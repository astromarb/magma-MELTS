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6D655140-C597-4EF7-A3F1-0D0EB4ACC515}" xr6:coauthVersionLast="47" xr6:coauthVersionMax="47" xr10:uidLastSave="{00000000-0000-0000-0000-000000000000}"/>
  <bookViews>
    <workbookView xWindow="28680" yWindow="4920" windowWidth="29040" windowHeight="15720" activeTab="1" xr2:uid="{BC652764-4C9A-4122-B920-6FFB9A16F4C3}"/>
  </bookViews>
  <sheets>
    <sheet name="Phase_Diagram" sheetId="16" r:id="rId1"/>
    <sheet name="P_Calc" sheetId="17" r:id="rId2"/>
    <sheet name="Phase_Data" sheetId="13" r:id="rId3"/>
    <sheet name="system" sheetId="3" r:id="rId4"/>
    <sheet name="liquid" sheetId="5" r:id="rId5"/>
    <sheet name="tot_solids" sheetId="4" r:id="rId6"/>
    <sheet name="rhm-oxide" sheetId="12" r:id="rId7"/>
    <sheet name="spinel" sheetId="11" r:id="rId8"/>
    <sheet name="orthopyroxene" sheetId="10" r:id="rId9"/>
    <sheet name="feldspar1" sheetId="14" r:id="rId10"/>
    <sheet name="feldspar2" sheetId="15" r:id="rId11"/>
    <sheet name="feldspar" sheetId="9" r:id="rId12"/>
    <sheet name="quartz" sheetId="8" r:id="rId13"/>
    <sheet name="water" sheetId="6" r:id="rId14"/>
    <sheet name="affinities (kJ)" sheetId="7" r:id="rId15"/>
    <sheet name="init_cond" sheetId="2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7" l="1"/>
  <c r="D1" i="17"/>
  <c r="E1" i="17"/>
  <c r="F1" i="17"/>
  <c r="G1" i="17"/>
  <c r="H1" i="17"/>
  <c r="B1" i="17"/>
  <c r="C2" i="13" l="1"/>
  <c r="C4" i="13"/>
  <c r="C6" i="13"/>
  <c r="C8" i="13"/>
  <c r="C10" i="13"/>
  <c r="D4" i="13"/>
  <c r="D6" i="13"/>
  <c r="D8" i="13"/>
  <c r="D10" i="13"/>
  <c r="F6" i="13"/>
  <c r="F10" i="13"/>
  <c r="G4" i="13"/>
  <c r="G10" i="13"/>
  <c r="H4" i="13"/>
  <c r="C3" i="13"/>
  <c r="C7" i="13"/>
  <c r="D3" i="13"/>
  <c r="D9" i="13"/>
  <c r="E5" i="13"/>
  <c r="F3" i="13"/>
  <c r="F7" i="13"/>
  <c r="G3" i="13"/>
  <c r="G7" i="13"/>
  <c r="H7" i="13"/>
  <c r="D2" i="13"/>
  <c r="E2" i="13"/>
  <c r="E4" i="13"/>
  <c r="E6" i="13"/>
  <c r="E8" i="13"/>
  <c r="E10" i="13"/>
  <c r="F2" i="13"/>
  <c r="F4" i="13"/>
  <c r="F8" i="13"/>
  <c r="G2" i="13"/>
  <c r="G8" i="13"/>
  <c r="H2" i="13"/>
  <c r="H6" i="13"/>
  <c r="H10" i="13"/>
  <c r="C5" i="13"/>
  <c r="C9" i="13"/>
  <c r="D7" i="13"/>
  <c r="E3" i="13"/>
  <c r="E9" i="13"/>
  <c r="F5" i="13"/>
  <c r="F9" i="13"/>
  <c r="G5" i="13"/>
  <c r="G9" i="13"/>
  <c r="H9" i="13"/>
  <c r="G6" i="13"/>
  <c r="H5" i="13"/>
  <c r="D5" i="13"/>
  <c r="H8" i="13"/>
  <c r="E7" i="13"/>
  <c r="B10" i="13"/>
  <c r="B9" i="13"/>
  <c r="B8" i="13"/>
  <c r="B7" i="13"/>
  <c r="B6" i="13"/>
  <c r="B5" i="13"/>
  <c r="B4" i="13"/>
  <c r="B3" i="13"/>
  <c r="B2" i="13"/>
  <c r="E4" i="17" l="1"/>
  <c r="H2" i="17"/>
  <c r="G3" i="17"/>
  <c r="D4" i="17"/>
  <c r="H3" i="17"/>
  <c r="G2" i="17"/>
  <c r="F2" i="17"/>
  <c r="E2" i="17"/>
  <c r="E3" i="17"/>
  <c r="H4" i="17"/>
  <c r="G4" i="17"/>
  <c r="F4" i="17"/>
  <c r="C4" i="17"/>
  <c r="F3" i="17"/>
  <c r="D2" i="17"/>
  <c r="D3" i="17"/>
  <c r="C2" i="17"/>
  <c r="C3" i="17"/>
  <c r="B4" i="17"/>
  <c r="B3" i="17"/>
  <c r="B2" i="17"/>
  <c r="E7" i="17" l="1"/>
  <c r="E6" i="17"/>
  <c r="F6" i="17"/>
  <c r="F7" i="17"/>
  <c r="G7" i="17"/>
  <c r="G6" i="17"/>
  <c r="C6" i="17"/>
  <c r="C7" i="17"/>
  <c r="D6" i="17"/>
  <c r="D7" i="17"/>
  <c r="H7" i="17"/>
  <c r="H6" i="17"/>
  <c r="B6" i="17"/>
  <c r="B7" i="17"/>
  <c r="J6" i="17" l="1"/>
  <c r="J7" i="17"/>
  <c r="K7" i="17" s="1"/>
  <c r="K6" i="17"/>
  <c r="L6" i="17"/>
  <c r="N6" i="17" a="1"/>
  <c r="L7" i="17" l="1"/>
  <c r="P6" i="17"/>
  <c r="O6" i="17"/>
  <c r="N6" i="17"/>
  <c r="B9" i="17"/>
  <c r="N7" i="17" a="1"/>
  <c r="B13" i="17" l="1"/>
  <c r="N7" i="17"/>
  <c r="C9" i="17"/>
  <c r="D9" i="17"/>
  <c r="E9" i="17"/>
  <c r="H9" i="17"/>
  <c r="F9" i="17"/>
  <c r="G9" i="17"/>
  <c r="O7" i="17"/>
  <c r="P7" i="17"/>
  <c r="C13" i="17"/>
  <c r="B10" i="17"/>
  <c r="E10" i="17" l="1"/>
  <c r="F10" i="17"/>
  <c r="C10" i="17"/>
  <c r="H10" i="17"/>
  <c r="D10" i="17"/>
  <c r="G10" i="17"/>
  <c r="B14" i="17"/>
  <c r="C14" i="17" s="1"/>
</calcChain>
</file>

<file path=xl/sharedStrings.xml><?xml version="1.0" encoding="utf-8"?>
<sst xmlns="http://schemas.openxmlformats.org/spreadsheetml/2006/main" count="601" uniqueCount="150">
  <si>
    <t xml:space="preserve"> </t>
  </si>
  <si>
    <t>061125-KCP109B-c3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</si>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</sst>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2.xml"/><Relationship Id="rId21" Type="http://schemas.microsoft.com/office/2006/relationships/vbaProject" Target="vbaProject.bin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calcChain" Target="calcChain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Phase_Data!$B$2:$H$2</c:f>
              <c:numCache>
                <c:formatCode>General</c:formatCode>
                <c:ptCount val="7"/>
                <c:pt idx="0">
                  <c:v>757</c:v>
                </c:pt>
                <c:pt idx="1">
                  <c:v>757</c:v>
                </c:pt>
                <c:pt idx="2">
                  <c:v>757</c:v>
                </c:pt>
                <c:pt idx="3">
                  <c:v>758</c:v>
                </c:pt>
                <c:pt idx="4">
                  <c:v>767</c:v>
                </c:pt>
                <c:pt idx="5">
                  <c:v>777</c:v>
                </c:pt>
                <c:pt idx="6">
                  <c:v>791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D0-4209-84DB-3668D2048343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Phase_Data!$B$3:$H$3</c:f>
              <c:numCache>
                <c:formatCode>General</c:formatCode>
                <c:ptCount val="7"/>
                <c:pt idx="0">
                  <c:v>738</c:v>
                </c:pt>
                <c:pt idx="1">
                  <c:v>742</c:v>
                </c:pt>
                <c:pt idx="2">
                  <c:v>746</c:v>
                </c:pt>
                <c:pt idx="3">
                  <c:v>750</c:v>
                </c:pt>
                <c:pt idx="4">
                  <c:v>755</c:v>
                </c:pt>
                <c:pt idx="5">
                  <c:v>761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D0-4209-84DB-3668D2048343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Phase_Data!$B$4:$H$4</c:f>
              <c:numCache>
                <c:formatCode>General</c:formatCode>
                <c:ptCount val="7"/>
                <c:pt idx="0">
                  <c:v>738</c:v>
                </c:pt>
                <c:pt idx="1">
                  <c:v>742</c:v>
                </c:pt>
                <c:pt idx="2">
                  <c:v>747</c:v>
                </c:pt>
                <c:pt idx="3">
                  <c:v>751</c:v>
                </c:pt>
                <c:pt idx="4">
                  <c:v>757</c:v>
                </c:pt>
                <c:pt idx="5">
                  <c:v>764</c:v>
                </c:pt>
                <c:pt idx="6">
                  <c:v>772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AD0-4209-84DB-3668D2048343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Phase_Data!$B$5:$H$5</c:f>
              <c:numCache>
                <c:formatCode>General</c:formatCode>
                <c:ptCount val="7"/>
                <c:pt idx="0">
                  <c:v>738</c:v>
                </c:pt>
                <c:pt idx="1">
                  <c:v>742</c:v>
                </c:pt>
                <c:pt idx="2">
                  <c:v>746</c:v>
                </c:pt>
                <c:pt idx="3">
                  <c:v>751</c:v>
                </c:pt>
                <c:pt idx="4">
                  <c:v>756</c:v>
                </c:pt>
                <c:pt idx="5">
                  <c:v>762</c:v>
                </c:pt>
                <c:pt idx="6">
                  <c:v>770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AD0-4209-84DB-3668D2048343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Phase_Data!$B$6:$H$6</c:f>
              <c:numCache>
                <c:formatCode>General</c:formatCode>
                <c:ptCount val="7"/>
                <c:pt idx="0">
                  <c:v>741</c:v>
                </c:pt>
                <c:pt idx="1">
                  <c:v>745</c:v>
                </c:pt>
                <c:pt idx="2">
                  <c:v>750</c:v>
                </c:pt>
                <c:pt idx="3">
                  <c:v>756</c:v>
                </c:pt>
                <c:pt idx="4">
                  <c:v>766</c:v>
                </c:pt>
                <c:pt idx="5">
                  <c:v>776</c:v>
                </c:pt>
                <c:pt idx="6">
                  <c:v>790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AD0-4209-84DB-3668D2048343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Phase_Data!$B$7:$H$7</c:f>
              <c:numCache>
                <c:formatCode>General</c:formatCode>
                <c:ptCount val="7"/>
                <c:pt idx="0">
                  <c:v>740</c:v>
                </c:pt>
                <c:pt idx="1">
                  <c:v>745</c:v>
                </c:pt>
                <c:pt idx="2">
                  <c:v>749</c:v>
                </c:pt>
                <c:pt idx="3">
                  <c:v>754</c:v>
                </c:pt>
                <c:pt idx="4">
                  <c:v>759</c:v>
                </c:pt>
                <c:pt idx="5">
                  <c:v>766</c:v>
                </c:pt>
                <c:pt idx="6">
                  <c:v>775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AD0-4209-84DB-3668D2048343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Phase_Data!$B$8:$H$8</c:f>
              <c:numCache>
                <c:formatCode>General</c:formatCode>
                <c:ptCount val="7"/>
                <c:pt idx="0">
                  <c:v>756</c:v>
                </c:pt>
                <c:pt idx="1">
                  <c:v>756</c:v>
                </c:pt>
                <c:pt idx="2">
                  <c:v>756</c:v>
                </c:pt>
                <c:pt idx="3">
                  <c:v>757</c:v>
                </c:pt>
                <c:pt idx="4">
                  <c:v>762</c:v>
                </c:pt>
                <c:pt idx="5">
                  <c:v>769</c:v>
                </c:pt>
                <c:pt idx="6">
                  <c:v>778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AD0-4209-84DB-3668D2048343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Phase_Data!$B$9:$H$9</c:f>
              <c:numCache>
                <c:formatCode>General</c:formatCode>
                <c:ptCount val="7"/>
                <c:pt idx="0">
                  <c:v>757</c:v>
                </c:pt>
                <c:pt idx="1">
                  <c:v>757</c:v>
                </c:pt>
                <c:pt idx="2">
                  <c:v>757</c:v>
                </c:pt>
                <c:pt idx="3">
                  <c:v>758</c:v>
                </c:pt>
                <c:pt idx="4">
                  <c:v>767</c:v>
                </c:pt>
                <c:pt idx="5">
                  <c:v>777</c:v>
                </c:pt>
                <c:pt idx="6">
                  <c:v>791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DAD0-4209-84DB-3668D20483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1322640"/>
        <c:axId val="1993333856"/>
      </c:scatterChart>
      <c:valAx>
        <c:axId val="1741322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1993333856"/>
        <c:crosses val="autoZero"/>
        <c:crossBetween val="midCat"/>
      </c:valAx>
      <c:valAx>
        <c:axId val="1993333856"/>
        <c:scaling>
          <c:orientation val="minMax"/>
          <c:max val="275"/>
          <c:min val="125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1741322640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P_Calc!$B$2:$H$2</c:f>
              <c:numCache>
                <c:formatCode>General</c:formatCode>
                <c:ptCount val="7"/>
                <c:pt idx="0">
                  <c:v>756</c:v>
                </c:pt>
                <c:pt idx="1">
                  <c:v>756</c:v>
                </c:pt>
                <c:pt idx="2">
                  <c:v>756</c:v>
                </c:pt>
                <c:pt idx="3">
                  <c:v>757</c:v>
                </c:pt>
                <c:pt idx="4">
                  <c:v>762</c:v>
                </c:pt>
                <c:pt idx="5">
                  <c:v>769</c:v>
                </c:pt>
                <c:pt idx="6">
                  <c:v>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E0-48EA-AD0A-C37B1E83B6C4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P_Calc!$B$3:$H$3</c:f>
              <c:numCache>
                <c:formatCode>General</c:formatCode>
                <c:ptCount val="7"/>
                <c:pt idx="0">
                  <c:v>741</c:v>
                </c:pt>
                <c:pt idx="1">
                  <c:v>745</c:v>
                </c:pt>
                <c:pt idx="2">
                  <c:v>750</c:v>
                </c:pt>
                <c:pt idx="3">
                  <c:v>756</c:v>
                </c:pt>
                <c:pt idx="4">
                  <c:v>766</c:v>
                </c:pt>
                <c:pt idx="5">
                  <c:v>776</c:v>
                </c:pt>
                <c:pt idx="6">
                  <c:v>790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E0-48EA-AD0A-C37B1E83B6C4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P_Calc!$B$4:$H$4</c:f>
              <c:numCache>
                <c:formatCode>General</c:formatCode>
                <c:ptCount val="7"/>
                <c:pt idx="0">
                  <c:v>740</c:v>
                </c:pt>
                <c:pt idx="1">
                  <c:v>745</c:v>
                </c:pt>
                <c:pt idx="2">
                  <c:v>749</c:v>
                </c:pt>
                <c:pt idx="3">
                  <c:v>754</c:v>
                </c:pt>
                <c:pt idx="4">
                  <c:v>759</c:v>
                </c:pt>
                <c:pt idx="5">
                  <c:v>766</c:v>
                </c:pt>
                <c:pt idx="6">
                  <c:v>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AE0-48EA-AD0A-C37B1E83B6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1681216"/>
        <c:axId val="1991681696"/>
      </c:scatterChart>
      <c:valAx>
        <c:axId val="199168121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1681696"/>
        <c:crosses val="autoZero"/>
        <c:crossBetween val="midCat"/>
      </c:valAx>
      <c:valAx>
        <c:axId val="1991681696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1681216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P_Calc!$B$2:$H$2</c:f>
              <c:numCache>
                <c:formatCode>General</c:formatCode>
                <c:ptCount val="7"/>
                <c:pt idx="0">
                  <c:v>756</c:v>
                </c:pt>
                <c:pt idx="1">
                  <c:v>756</c:v>
                </c:pt>
                <c:pt idx="2">
                  <c:v>756</c:v>
                </c:pt>
                <c:pt idx="3">
                  <c:v>757</c:v>
                </c:pt>
                <c:pt idx="4">
                  <c:v>762</c:v>
                </c:pt>
                <c:pt idx="5">
                  <c:v>769</c:v>
                </c:pt>
                <c:pt idx="6">
                  <c:v>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4C-4B40-974B-5E578CA25BB6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P_Calc!$B$3:$H$3</c:f>
              <c:numCache>
                <c:formatCode>General</c:formatCode>
                <c:ptCount val="7"/>
                <c:pt idx="0">
                  <c:v>741</c:v>
                </c:pt>
                <c:pt idx="1">
                  <c:v>745</c:v>
                </c:pt>
                <c:pt idx="2">
                  <c:v>750</c:v>
                </c:pt>
                <c:pt idx="3">
                  <c:v>756</c:v>
                </c:pt>
                <c:pt idx="4">
                  <c:v>766</c:v>
                </c:pt>
                <c:pt idx="5">
                  <c:v>776</c:v>
                </c:pt>
                <c:pt idx="6">
                  <c:v>790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4C-4B40-974B-5E578CA25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1675936"/>
        <c:axId val="1991676416"/>
      </c:scatterChart>
      <c:valAx>
        <c:axId val="199167593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1676416"/>
        <c:crosses val="autoZero"/>
        <c:crossBetween val="midCat"/>
      </c:valAx>
      <c:valAx>
        <c:axId val="1991676416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1675936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P_Calc!$B$6:$H$6</c:f>
              <c:numCache>
                <c:formatCode>General</c:formatCode>
                <c:ptCount val="7"/>
                <c:pt idx="0">
                  <c:v>16</c:v>
                </c:pt>
                <c:pt idx="1">
                  <c:v>11</c:v>
                </c:pt>
                <c:pt idx="2">
                  <c:v>7</c:v>
                </c:pt>
                <c:pt idx="3">
                  <c:v>3</c:v>
                </c:pt>
                <c:pt idx="4">
                  <c:v>7</c:v>
                </c:pt>
                <c:pt idx="5">
                  <c:v>10</c:v>
                </c:pt>
                <c:pt idx="6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95-4AD5-90D7-7C49CF2245DA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P_Calc!$B$9:$H$9</c:f>
              <c:numCache>
                <c:formatCode>General</c:formatCode>
                <c:ptCount val="7"/>
                <c:pt idx="0">
                  <c:v>19.200000000002461</c:v>
                </c:pt>
                <c:pt idx="1">
                  <c:v>11.142857142862084</c:v>
                </c:pt>
                <c:pt idx="2">
                  <c:v>6.2285714285781211</c:v>
                </c:pt>
                <c:pt idx="3">
                  <c:v>4.4571428571506146</c:v>
                </c:pt>
                <c:pt idx="4">
                  <c:v>5.8285714285795223</c:v>
                </c:pt>
                <c:pt idx="5">
                  <c:v>10.34285714286483</c:v>
                </c:pt>
                <c:pt idx="6">
                  <c:v>18.000000000006565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95-4AD5-90D7-7C49CF2245DA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P_Calc!$B$13:$B$13</c:f>
              <c:numCache>
                <c:formatCode>0</c:formatCode>
                <c:ptCount val="1"/>
                <c:pt idx="0">
                  <c:v>198.40909090909602</c:v>
                </c:pt>
              </c:numCache>
            </c:numRef>
          </c:xVal>
          <c:yVal>
            <c:numRef>
              <c:f>P_Calc!$C$13:$C$13</c:f>
              <c:numCache>
                <c:formatCode>0</c:formatCode>
                <c:ptCount val="1"/>
                <c:pt idx="0">
                  <c:v>4.4507792207870267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495-4AD5-90D7-7C49CF2245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3017424"/>
        <c:axId val="1993017904"/>
      </c:scatterChart>
      <c:valAx>
        <c:axId val="199301742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3017904"/>
        <c:crosses val="autoZero"/>
        <c:crossBetween val="midCat"/>
      </c:valAx>
      <c:valAx>
        <c:axId val="1993017904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3017424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P_Calc!$B$7:$H$7</c:f>
              <c:numCache>
                <c:formatCode>General</c:formatCode>
                <c:ptCount val="7"/>
                <c:pt idx="0">
                  <c:v>15</c:v>
                </c:pt>
                <c:pt idx="1">
                  <c:v>11</c:v>
                </c:pt>
                <c:pt idx="2">
                  <c:v>6</c:v>
                </c:pt>
                <c:pt idx="3">
                  <c:v>1</c:v>
                </c:pt>
                <c:pt idx="4">
                  <c:v>4</c:v>
                </c:pt>
                <c:pt idx="5">
                  <c:v>7</c:v>
                </c:pt>
                <c:pt idx="6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8E-4441-BE57-B9B657076FBB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P_Calc!$B$10:$H$10</c:f>
              <c:numCache>
                <c:formatCode>General</c:formatCode>
                <c:ptCount val="7"/>
                <c:pt idx="0">
                  <c:v>20.800000000004019</c:v>
                </c:pt>
                <c:pt idx="1">
                  <c:v>11.22857142857697</c:v>
                </c:pt>
                <c:pt idx="2">
                  <c:v>5.0857142857207407</c:v>
                </c:pt>
                <c:pt idx="3">
                  <c:v>2.3714285714352741</c:v>
                </c:pt>
                <c:pt idx="4">
                  <c:v>3.0857142857205417</c:v>
                </c:pt>
                <c:pt idx="5">
                  <c:v>7.2285714285765437</c:v>
                </c:pt>
                <c:pt idx="6">
                  <c:v>14.800000000003308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8E-4441-BE57-B9B657076FBB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192.70833333333107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2.2255952381018602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78E-4441-BE57-B9B657076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5324384"/>
        <c:axId val="1995321504"/>
      </c:scatterChart>
      <c:valAx>
        <c:axId val="199532438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5321504"/>
        <c:crosses val="autoZero"/>
        <c:crossBetween val="midCat"/>
      </c:valAx>
      <c:valAx>
        <c:axId val="1995321504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5324384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ED6FD70-383E-45D4-A3B7-3B1172D864D2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D241314-5986-840F-9BB3-932651D4525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AC1C55-F4F6-5E16-661A-72EA9325C7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F42A665-6F03-81E4-D126-73B1D78B88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B3CAEC3-500E-F1CB-F80B-044A5E2D95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57A0FBB-0EC1-7682-2374-85A9712AC3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71216-C227-42E7-8D2E-402D4B1BE5E3}">
  <dimension ref="A1:P14"/>
  <sheetViews>
    <sheetView tabSelected="1" workbookViewId="0"/>
  </sheetViews>
  <sheetFormatPr defaultRowHeight="15" x14ac:dyDescent="0.2"/>
  <sheetData>
    <row r="1" spans="1:16" x14ac:dyDescent="0.2">
      <c r="A1" t="s">
        <v>135</v>
      </c>
      <c r="B1">
        <f>Phase_Data!B1</f>
        <v>275</v>
      </c>
      <c r="C1">
        <f>Phase_Data!C1</f>
        <v>250</v>
      </c>
      <c r="D1">
        <f>Phase_Data!D1</f>
        <v>225</v>
      </c>
      <c r="E1">
        <f>Phase_Data!E1</f>
        <v>200</v>
      </c>
      <c r="F1">
        <f>Phase_Data!F1</f>
        <v>175</v>
      </c>
      <c r="G1">
        <f>Phase_Data!G1</f>
        <v>150</v>
      </c>
      <c r="H1">
        <f>Phase_Data!H1</f>
        <v>125</v>
      </c>
      <c r="J1" t="s">
        <v>142</v>
      </c>
      <c r="K1" t="s">
        <v>143</v>
      </c>
      <c r="L1" t="s">
        <v>144</v>
      </c>
      <c r="N1" t="s">
        <v>145</v>
      </c>
      <c r="O1" t="s">
        <v>146</v>
      </c>
      <c r="P1" t="s">
        <v>147</v>
      </c>
    </row>
    <row r="2" spans="1:16" x14ac:dyDescent="0.2">
      <c r="A2" t="s">
        <v>96</v>
      </c>
      <c r="B2">
        <f ca="1">IFERROR(VLOOKUP($A2,Phase_Data!$1:$1048576,COLUMN(),0),"-")</f>
        <v>756</v>
      </c>
      <c r="C2">
        <f ca="1">IFERROR(VLOOKUP($A2,Phase_Data!$1:$1048576,COLUMN(),0),"-")</f>
        <v>756</v>
      </c>
      <c r="D2">
        <f ca="1">IFERROR(VLOOKUP($A2,Phase_Data!$1:$1048576,COLUMN(),0),"-")</f>
        <v>756</v>
      </c>
      <c r="E2">
        <f ca="1">IFERROR(VLOOKUP($A2,Phase_Data!$1:$1048576,COLUMN(),0),"-")</f>
        <v>757</v>
      </c>
      <c r="F2">
        <f ca="1">IFERROR(VLOOKUP($A2,Phase_Data!$1:$1048576,COLUMN(),0),"-")</f>
        <v>762</v>
      </c>
      <c r="G2">
        <f ca="1">IFERROR(VLOOKUP($A2,Phase_Data!$1:$1048576,COLUMN(),0),"-")</f>
        <v>769</v>
      </c>
      <c r="H2">
        <f ca="1">IFERROR(VLOOKUP($A2,Phase_Data!$1:$1048576,COLUMN(),0),"-")</f>
        <v>778</v>
      </c>
    </row>
    <row r="3" spans="1:16" x14ac:dyDescent="0.2">
      <c r="A3" t="s">
        <v>133</v>
      </c>
      <c r="B3">
        <f ca="1">IFERROR(VLOOKUP($A3,Phase_Data!$1:$1048576,COLUMN(),0),"-")</f>
        <v>741</v>
      </c>
      <c r="C3">
        <f ca="1">IFERROR(VLOOKUP($A3,Phase_Data!$1:$1048576,COLUMN(),0),"-")</f>
        <v>745</v>
      </c>
      <c r="D3">
        <f ca="1">IFERROR(VLOOKUP($A3,Phase_Data!$1:$1048576,COLUMN(),0),"-")</f>
        <v>750</v>
      </c>
      <c r="E3">
        <f ca="1">IFERROR(VLOOKUP($A3,Phase_Data!$1:$1048576,COLUMN(),0),"-")</f>
        <v>756</v>
      </c>
      <c r="F3">
        <f ca="1">IFERROR(VLOOKUP($A3,Phase_Data!$1:$1048576,COLUMN(),0),"-")</f>
        <v>766</v>
      </c>
      <c r="G3">
        <f ca="1">IFERROR(VLOOKUP($A3,Phase_Data!$1:$1048576,COLUMN(),0),"-")</f>
        <v>776</v>
      </c>
      <c r="H3">
        <f ca="1">IFERROR(VLOOKUP($A3,Phase_Data!$1:$1048576,COLUMN(),0),"-")</f>
        <v>790</v>
      </c>
    </row>
    <row r="4" spans="1:16" x14ac:dyDescent="0.2">
      <c r="A4" t="s">
        <v>134</v>
      </c>
      <c r="B4">
        <f ca="1">IFERROR(VLOOKUP($A4,Phase_Data!$1:$1048576,COLUMN(),0),"-")</f>
        <v>740</v>
      </c>
      <c r="C4">
        <f ca="1">IFERROR(VLOOKUP($A4,Phase_Data!$1:$1048576,COLUMN(),0),"-")</f>
        <v>745</v>
      </c>
      <c r="D4">
        <f ca="1">IFERROR(VLOOKUP($A4,Phase_Data!$1:$1048576,COLUMN(),0),"-")</f>
        <v>749</v>
      </c>
      <c r="E4">
        <f ca="1">IFERROR(VLOOKUP($A4,Phase_Data!$1:$1048576,COLUMN(),0),"-")</f>
        <v>754</v>
      </c>
      <c r="F4">
        <f ca="1">IFERROR(VLOOKUP($A4,Phase_Data!$1:$1048576,COLUMN(),0),"-")</f>
        <v>759</v>
      </c>
      <c r="G4">
        <f ca="1">IFERROR(VLOOKUP($A4,Phase_Data!$1:$1048576,COLUMN(),0),"-")</f>
        <v>766</v>
      </c>
      <c r="H4">
        <f ca="1">IFERROR(VLOOKUP($A4,Phase_Data!$1:$1048576,COLUMN(),0),"-")</f>
        <v>775</v>
      </c>
    </row>
    <row r="6" spans="1:16" x14ac:dyDescent="0.2">
      <c r="A6" t="s">
        <v>136</v>
      </c>
      <c r="B6">
        <f ca="1">IF(AND(B2&lt;&gt;0,B3&lt;&gt;0,B4&lt;&gt;0),MAX(B2:B4)-MIN(B2:B4),"-")</f>
        <v>16</v>
      </c>
      <c r="C6">
        <f t="shared" ref="C6:H6" ca="1" si="0">IF(AND(C2&lt;&gt;0,C3&lt;&gt;0,C4&lt;&gt;0),MAX(C2:C4)-MIN(C2:C4),"-")</f>
        <v>11</v>
      </c>
      <c r="D6">
        <f t="shared" ca="1" si="0"/>
        <v>7</v>
      </c>
      <c r="E6">
        <f t="shared" ca="1" si="0"/>
        <v>3</v>
      </c>
      <c r="F6">
        <f t="shared" ca="1" si="0"/>
        <v>7</v>
      </c>
      <c r="G6">
        <f t="shared" ca="1" si="0"/>
        <v>10</v>
      </c>
      <c r="H6">
        <f t="shared" ca="1" si="0"/>
        <v>15</v>
      </c>
      <c r="J6">
        <f ca="1">MIN(B6:H6)</f>
        <v>3</v>
      </c>
      <c r="K6">
        <f ca="1">IF(J6&lt;=5,INDEX(B$1:H$1,1,MATCH(J6,B6:H6,0)),"-")</f>
        <v>200</v>
      </c>
      <c r="L6">
        <f ca="1">IF(J6&lt;=5,MATCH(J6,B6:H6,0),"-")</f>
        <v>4</v>
      </c>
      <c r="N6">
        <f t="array" aca="1" ref="N6:P6" ca="1">IF(L6="-","-",TRANSPOSE(MMULT(MINVERSE(MMULT(TRANSPOSE(generate_matrix(TRANSPOSE(INDEX(B$1:H$1,1,MAX(L6-2,1)):INDEX(B$1:H$1,1,MIN(L6+2,COUNT(B$1:H$1)))))),generate_matrix(TRANSPOSE(INDEX(B$1:H$1,1,MAX(L6-2,1)):INDEX(B$1:H$1,1,MIN(L6+2,COUNT(B$1:H$1))))))),MMULT(TRANSPOSE(generate_matrix(TRANSPOSE(INDEX(B$1:H$1,1,MAX(L6-2,1)):INDEX(B$1:H$1,1,MIN(L6+2,COUNT(B$1:H$1)))))),TRANSPOSE(INDEX(B6:H6,1,MAX(L6-2,1)):INDEX(B6:H6,1,MIN(L6+2,COUNT(B$1:H$1))))))))</f>
        <v>103.42857142856155</v>
      </c>
      <c r="O6">
        <f ca="1"/>
        <v>-0.99771428571408194</v>
      </c>
      <c r="P6">
        <f ca="1"/>
        <v>2.514285714285136E-3</v>
      </c>
    </row>
    <row r="7" spans="1:16" x14ac:dyDescent="0.2">
      <c r="A7" t="s">
        <v>137</v>
      </c>
      <c r="B7">
        <f ca="1">IF(AND(MAX(B2:B4)&lt;&gt;0,LARGE(B2:B4,2)&lt;&gt;0),MAX(B2:B4)-LARGE(B2:B4,2),"-")</f>
        <v>15</v>
      </c>
      <c r="C7">
        <f t="shared" ref="C7:H7" ca="1" si="1">IF(AND(MAX(C2:C4)&lt;&gt;0,LARGE(C2:C4,2)&lt;&gt;0),MAX(C2:C4)-LARGE(C2:C4,2),"-")</f>
        <v>11</v>
      </c>
      <c r="D7">
        <f t="shared" ca="1" si="1"/>
        <v>6</v>
      </c>
      <c r="E7">
        <f t="shared" ca="1" si="1"/>
        <v>1</v>
      </c>
      <c r="F7">
        <f t="shared" ca="1" si="1"/>
        <v>4</v>
      </c>
      <c r="G7">
        <f t="shared" ca="1" si="1"/>
        <v>7</v>
      </c>
      <c r="H7">
        <f t="shared" ca="1" si="1"/>
        <v>12</v>
      </c>
      <c r="J7">
        <f ca="1">MIN(B7:H7)</f>
        <v>1</v>
      </c>
      <c r="K7">
        <f ca="1">IF(J7&lt;=5,INDEX(B$1:H$1,1,MATCH(J7,B7:H7,0)),"-")</f>
        <v>200</v>
      </c>
      <c r="L7">
        <f ca="1">IF(J7&lt;=5,MATCH(J7,B7:H7,0),"-")</f>
        <v>4</v>
      </c>
      <c r="N7">
        <f t="array" aca="1" ref="N7:P7" ca="1">IF(L7="-","-",TRANSPOSE(MMULT(MINVERSE(MMULT(TRANSPOSE(generate_matrix(TRANSPOSE(INDEX(B$1:H$1,1,MAX(L7-2,1)):INDEX(B$1:H$1,1,MIN(L7+2,COUNT(B$1:H$1)))))),generate_matrix(TRANSPOSE(INDEX(B$1:H$1,1,MAX(L7-2,1)):INDEX(B$1:H$1,1,MIN(L7+2,COUNT(B$1:H$1))))))),MMULT(TRANSPOSE(generate_matrix(TRANSPOSE(INDEX(B$1:H$1,1,MAX(L7-2,1)):INDEX(B$1:H$1,1,MIN(L7+2,COUNT(B$1:H$1)))))),TRANSPOSE(INDEX(B7:H7,1,MAX(L7-2,1)):INDEX(B7:H7,1,MIN(L7+2,COUNT(B$1:H$1))))))))</f>
        <v>104.08571428569849</v>
      </c>
      <c r="O7">
        <f ca="1"/>
        <v>-1.0571428571426367</v>
      </c>
      <c r="P7">
        <f ca="1"/>
        <v>2.7428571428566029E-3</v>
      </c>
    </row>
    <row r="9" spans="1:16" x14ac:dyDescent="0.2">
      <c r="A9" t="s">
        <v>138</v>
      </c>
      <c r="B9">
        <f ca="1">IFERROR(IF($P6&gt;0,$P6*B$1^2+$O6*B$1+$N6,"-"),"-")</f>
        <v>19.200000000002461</v>
      </c>
      <c r="C9">
        <f ca="1">IFERROR(IF($P6&gt;0,$P6*C$1^2+$O6*C$1+$N6,"-"),"-")</f>
        <v>11.142857142862084</v>
      </c>
      <c r="D9">
        <f ca="1">IFERROR(IF($P6&gt;0,$P6*D$1^2+$O6*D$1+$N6,"-"),"-")</f>
        <v>6.2285714285781211</v>
      </c>
      <c r="E9">
        <f ca="1">IFERROR(IF($P6&gt;0,$P6*E$1^2+$O6*E$1+$N6,"-"),"-")</f>
        <v>4.4571428571506146</v>
      </c>
      <c r="F9">
        <f ca="1">IFERROR(IF($P6&gt;0,$P6*F$1^2+$O6*F$1+$N6,"-"),"-")</f>
        <v>5.8285714285795223</v>
      </c>
      <c r="G9">
        <f ca="1">IFERROR(IF($P6&gt;0,$P6*G$1^2+$O6*G$1+$N6,"-"),"-")</f>
        <v>10.34285714286483</v>
      </c>
      <c r="H9">
        <f ca="1">IFERROR(IF($P6&gt;0,$P6*H$1^2+$O6*H$1+$N6,"-"),"-")</f>
        <v>18.000000000006565</v>
      </c>
    </row>
    <row r="10" spans="1:16" x14ac:dyDescent="0.2">
      <c r="A10" t="s">
        <v>139</v>
      </c>
      <c r="B10">
        <f ca="1">IFERROR(IF($P7&gt;0,$P7*B$1^2+$O7*B$1+$N7,"-"),"-")</f>
        <v>20.800000000004019</v>
      </c>
      <c r="C10">
        <f ca="1">IFERROR(IF($P7&gt;0,$P7*C$1^2+$O7*C$1+$N7,"-"),"-")</f>
        <v>11.22857142857697</v>
      </c>
      <c r="D10">
        <f ca="1">IFERROR(IF($P7&gt;0,$P7*D$1^2+$O7*D$1+$N7,"-"),"-")</f>
        <v>5.0857142857207407</v>
      </c>
      <c r="E10">
        <f ca="1">IFERROR(IF($P7&gt;0,$P7*E$1^2+$O7*E$1+$N7,"-"),"-")</f>
        <v>2.3714285714352741</v>
      </c>
      <c r="F10">
        <f ca="1">IFERROR(IF($P7&gt;0,$P7*F$1^2+$O7*F$1+$N7,"-"),"-")</f>
        <v>3.0857142857205417</v>
      </c>
      <c r="G10">
        <f ca="1">IFERROR(IF($P7&gt;0,$P7*G$1^2+$O7*G$1+$N7,"-"),"-")</f>
        <v>7.2285714285765437</v>
      </c>
      <c r="H10">
        <f ca="1">IFERROR(IF($P7&gt;0,$P7*H$1^2+$O7*H$1+$N7,"-"),"-")</f>
        <v>14.800000000003308</v>
      </c>
    </row>
    <row r="12" spans="1:16" x14ac:dyDescent="0.2">
      <c r="B12" t="s">
        <v>148</v>
      </c>
      <c r="C12" t="s">
        <v>149</v>
      </c>
    </row>
    <row r="13" spans="1:16" x14ac:dyDescent="0.2">
      <c r="A13" t="s">
        <v>140</v>
      </c>
      <c r="B13" s="2">
        <f ca="1">IFERROR(IF($J6&lt;=5,IF($P6&gt;0,-$O6/(2*$P6),"-"),"-"),"-")</f>
        <v>198.40909090909602</v>
      </c>
      <c r="C13" s="2">
        <f ca="1">IFERROR(IF($P6&gt;0,$P6*B13^2+$O6*B13+$N6,"-"),"-")</f>
        <v>4.4507792207870267</v>
      </c>
    </row>
    <row r="14" spans="1:16" x14ac:dyDescent="0.2">
      <c r="A14" t="s">
        <v>141</v>
      </c>
      <c r="B14" s="2">
        <f ca="1">IFERROR(IF($J7&lt;=5,IF($P7&gt;0,-$O7/(2*$P7),"-"),"-"),"-")</f>
        <v>192.70833333333107</v>
      </c>
      <c r="C14" s="2">
        <f ca="1">IFERROR(IF($P7&gt;0,$P7*B14^2+$O7*B14+$N7,"-"),"-")</f>
        <v>2.2255952381018602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DC226-8B3C-43D5-B0BD-B3CD9867E167}">
  <sheetPr codeName="Sheet2"/>
  <dimension ref="A1:H10"/>
  <sheetViews>
    <sheetView workbookViewId="0"/>
  </sheetViews>
  <sheetFormatPr defaultRowHeight="15" x14ac:dyDescent="0.2"/>
  <sheetData>
    <row r="1" spans="1:8" x14ac:dyDescent="0.2">
      <c r="A1">
        <v>275</v>
      </c>
      <c r="B1">
        <v>275</v>
      </c>
      <c r="C1">
        <v>250</v>
      </c>
      <c r="D1">
        <v>225</v>
      </c>
      <c r="E1">
        <v>200</v>
      </c>
      <c r="F1">
        <v>175</v>
      </c>
      <c r="G1">
        <v>150</v>
      </c>
      <c r="H1">
        <v>125</v>
      </c>
    </row>
    <row r="2" spans="1:8" x14ac:dyDescent="0.2">
      <c r="A2" t="s">
        <v>132</v>
      </c>
      <c r="B2">
        <f ca="1">_xlfn.IFNA(INDEX(INDIRECT("'"&amp;$A2&amp;"'!$B:$B"),MATCH(B$1,INDIRECT("'"&amp;$A2&amp;"'!$c:$c"),0)),"")</f>
        <v>757</v>
      </c>
      <c r="C2">
        <f t="shared" ref="C2:H10" ca="1" si="0">_xlfn.IFNA(INDEX(INDIRECT("'"&amp;$A2&amp;"'!$B:$B"),MATCH(C$1,INDIRECT("'"&amp;$A2&amp;"'!$c:$c"),0)),"")</f>
        <v>757</v>
      </c>
      <c r="D2">
        <f t="shared" ca="1" si="0"/>
        <v>757</v>
      </c>
      <c r="E2">
        <f t="shared" ca="1" si="0"/>
        <v>758</v>
      </c>
      <c r="F2">
        <f t="shared" ca="1" si="0"/>
        <v>767</v>
      </c>
      <c r="G2">
        <f t="shared" ca="1" si="0"/>
        <v>777</v>
      </c>
      <c r="H2">
        <f t="shared" ca="1" si="0"/>
        <v>791</v>
      </c>
    </row>
    <row r="3" spans="1:8" x14ac:dyDescent="0.2">
      <c r="A3" t="s">
        <v>97</v>
      </c>
      <c r="B3">
        <f ca="1">_xlfn.IFNA(INDEX(INDIRECT("'"&amp;$A3&amp;"'!$B:$B"),MATCH(B$1,INDIRECT("'"&amp;$A3&amp;"'!$c:$c"),0)),"")</f>
        <v>738</v>
      </c>
      <c r="C3">
        <f t="shared" ca="1" si="0"/>
        <v>742</v>
      </c>
      <c r="D3">
        <f t="shared" ca="1" si="0"/>
        <v>746</v>
      </c>
      <c r="E3">
        <f t="shared" ca="1" si="0"/>
        <v>750</v>
      </c>
      <c r="F3">
        <f t="shared" ca="1" si="0"/>
        <v>755</v>
      </c>
      <c r="G3">
        <f t="shared" ca="1" si="0"/>
        <v>761</v>
      </c>
    </row>
    <row r="4" spans="1:8" x14ac:dyDescent="0.2">
      <c r="A4" t="s">
        <v>101</v>
      </c>
      <c r="B4">
        <f ca="1">_xlfn.IFNA(INDEX(INDIRECT("'"&amp;$A4&amp;"'!$B:$B"),MATCH(B$1,INDIRECT("'"&amp;$A4&amp;"'!$c:$c"),0)),"")</f>
        <v>738</v>
      </c>
      <c r="C4">
        <f t="shared" ca="1" si="0"/>
        <v>742</v>
      </c>
      <c r="D4">
        <f t="shared" ca="1" si="0"/>
        <v>747</v>
      </c>
      <c r="E4">
        <f t="shared" ca="1" si="0"/>
        <v>751</v>
      </c>
      <c r="F4">
        <f t="shared" ca="1" si="0"/>
        <v>757</v>
      </c>
      <c r="G4">
        <f t="shared" ca="1" si="0"/>
        <v>764</v>
      </c>
      <c r="H4">
        <f t="shared" ca="1" si="0"/>
        <v>772</v>
      </c>
    </row>
    <row r="5" spans="1:8" x14ac:dyDescent="0.2">
      <c r="A5" t="s">
        <v>94</v>
      </c>
      <c r="B5">
        <f ca="1">_xlfn.IFNA(INDEX(INDIRECT("'"&amp;$A5&amp;"'!$B:$B"),MATCH(B$1,INDIRECT("'"&amp;$A5&amp;"'!$c:$c"),0)),"")</f>
        <v>738</v>
      </c>
      <c r="C5">
        <f t="shared" ca="1" si="0"/>
        <v>742</v>
      </c>
      <c r="D5">
        <f t="shared" ca="1" si="0"/>
        <v>746</v>
      </c>
      <c r="E5">
        <f t="shared" ca="1" si="0"/>
        <v>751</v>
      </c>
      <c r="F5">
        <f t="shared" ca="1" si="0"/>
        <v>756</v>
      </c>
      <c r="G5">
        <f t="shared" ca="1" si="0"/>
        <v>762</v>
      </c>
      <c r="H5">
        <f t="shared" ca="1" si="0"/>
        <v>770</v>
      </c>
    </row>
    <row r="6" spans="1:8" x14ac:dyDescent="0.2">
      <c r="A6" t="s">
        <v>133</v>
      </c>
      <c r="B6">
        <f ca="1">_xlfn.IFNA(INDEX(INDIRECT("'"&amp;$A6&amp;"'!$B:$B"),MATCH(B$1,INDIRECT("'"&amp;$A6&amp;"'!$c:$c"),0)),"")</f>
        <v>741</v>
      </c>
      <c r="C6">
        <f t="shared" ca="1" si="0"/>
        <v>745</v>
      </c>
      <c r="D6">
        <f t="shared" ca="1" si="0"/>
        <v>750</v>
      </c>
      <c r="E6">
        <f t="shared" ca="1" si="0"/>
        <v>756</v>
      </c>
      <c r="F6">
        <f t="shared" ca="1" si="0"/>
        <v>766</v>
      </c>
      <c r="G6">
        <f t="shared" ca="1" si="0"/>
        <v>776</v>
      </c>
      <c r="H6">
        <f t="shared" ca="1" si="0"/>
        <v>790</v>
      </c>
    </row>
    <row r="7" spans="1:8" x14ac:dyDescent="0.2">
      <c r="A7" t="s">
        <v>134</v>
      </c>
      <c r="B7">
        <f ca="1">_xlfn.IFNA(INDEX(INDIRECT("'"&amp;$A7&amp;"'!$B:$B"),MATCH(B$1,INDIRECT("'"&amp;$A7&amp;"'!$c:$c"),0)),"")</f>
        <v>740</v>
      </c>
      <c r="C7">
        <f t="shared" ca="1" si="0"/>
        <v>745</v>
      </c>
      <c r="D7">
        <f t="shared" ca="1" si="0"/>
        <v>749</v>
      </c>
      <c r="E7">
        <f t="shared" ca="1" si="0"/>
        <v>754</v>
      </c>
      <c r="F7">
        <f t="shared" ca="1" si="0"/>
        <v>759</v>
      </c>
      <c r="G7">
        <f t="shared" ca="1" si="0"/>
        <v>766</v>
      </c>
      <c r="H7">
        <f t="shared" ca="1" si="0"/>
        <v>775</v>
      </c>
    </row>
    <row r="8" spans="1:8" x14ac:dyDescent="0.2">
      <c r="A8" t="s">
        <v>96</v>
      </c>
      <c r="B8">
        <f ca="1">_xlfn.IFNA(INDEX(INDIRECT("'"&amp;$A8&amp;"'!$B:$B"),MATCH(B$1,INDIRECT("'"&amp;$A8&amp;"'!$c:$c"),0)),"")</f>
        <v>756</v>
      </c>
      <c r="C8">
        <f t="shared" ca="1" si="0"/>
        <v>756</v>
      </c>
      <c r="D8">
        <f t="shared" ca="1" si="0"/>
        <v>756</v>
      </c>
      <c r="E8">
        <f t="shared" ca="1" si="0"/>
        <v>757</v>
      </c>
      <c r="F8">
        <f t="shared" ca="1" si="0"/>
        <v>762</v>
      </c>
      <c r="G8">
        <f t="shared" ca="1" si="0"/>
        <v>769</v>
      </c>
      <c r="H8">
        <f t="shared" ca="1" si="0"/>
        <v>778</v>
      </c>
    </row>
    <row r="9" spans="1:8" x14ac:dyDescent="0.2">
      <c r="A9" t="s">
        <v>71</v>
      </c>
      <c r="B9">
        <f ca="1">_xlfn.IFNA(INDEX(INDIRECT("'"&amp;$A9&amp;"'!$B:$B"),MATCH(B$1,INDIRECT("'"&amp;$A9&amp;"'!$c:$c"),0)),"")</f>
        <v>757</v>
      </c>
      <c r="C9">
        <f t="shared" ca="1" si="0"/>
        <v>757</v>
      </c>
      <c r="D9">
        <f t="shared" ca="1" si="0"/>
        <v>757</v>
      </c>
      <c r="E9">
        <f t="shared" ca="1" si="0"/>
        <v>758</v>
      </c>
      <c r="F9">
        <f t="shared" ca="1" si="0"/>
        <v>767</v>
      </c>
      <c r="G9">
        <f t="shared" ca="1" si="0"/>
        <v>777</v>
      </c>
      <c r="H9">
        <f t="shared" ca="1" si="0"/>
        <v>791</v>
      </c>
    </row>
    <row r="10" spans="1:8" x14ac:dyDescent="0.2">
      <c r="A10" t="s">
        <v>84</v>
      </c>
      <c r="B10">
        <f ca="1">_xlfn.IFNA(INDEX(INDIRECT("'"&amp;$A10&amp;"'!$B:$B"),MATCH(B$1,INDIRECT("'"&amp;$A10&amp;"'!$c:$c"),0)),"")</f>
        <v>741</v>
      </c>
      <c r="C10">
        <f t="shared" ca="1" si="0"/>
        <v>745</v>
      </c>
      <c r="D10">
        <f t="shared" ca="1" si="0"/>
        <v>750</v>
      </c>
      <c r="E10">
        <f t="shared" ca="1" si="0"/>
        <v>756</v>
      </c>
      <c r="F10">
        <f t="shared" ca="1" si="0"/>
        <v>766</v>
      </c>
      <c r="G10">
        <f t="shared" ca="1" si="0"/>
        <v>776</v>
      </c>
      <c r="H10">
        <f t="shared" ca="1" si="0"/>
        <v>790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185312-4035-491C-9480-A0A467E8CFF7}">
  <sheetPr codeName="Sheet3"/>
  <dimension ref="A1:Q118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757</v>
      </c>
      <c r="C2">
        <v>275</v>
      </c>
      <c r="D2">
        <v>0.30264573120419402</v>
      </c>
      <c r="E2">
        <v>109.681875626703</v>
      </c>
      <c r="F2">
        <v>1.9732582617191201</v>
      </c>
      <c r="G2">
        <v>-1816.740233433336</v>
      </c>
      <c r="H2">
        <v>-1493.972088665786</v>
      </c>
      <c r="I2">
        <v>313.32378334373601</v>
      </c>
      <c r="J2">
        <v>158.806534172471</v>
      </c>
      <c r="K2">
        <v>55.584146157912002</v>
      </c>
      <c r="L2">
        <v>0.86674985485760714</v>
      </c>
      <c r="M2">
        <v>-0.86656392548921601</v>
      </c>
      <c r="N2">
        <v>48.168662176356001</v>
      </c>
      <c r="O2">
        <v>48.1686575700639</v>
      </c>
      <c r="P2">
        <v>48.1686520487481</v>
      </c>
      <c r="Q2" t="s">
        <v>51</v>
      </c>
    </row>
    <row r="3" spans="1:17" x14ac:dyDescent="0.2">
      <c r="A3">
        <v>2</v>
      </c>
      <c r="B3">
        <v>756</v>
      </c>
      <c r="C3">
        <v>275</v>
      </c>
      <c r="D3">
        <v>0.30190011174270298</v>
      </c>
      <c r="E3">
        <v>109.68190316965899</v>
      </c>
      <c r="F3">
        <v>1.9738270539729901</v>
      </c>
      <c r="G3">
        <v>-1816.4274350792073</v>
      </c>
      <c r="H3">
        <v>-1494.1497652079377</v>
      </c>
      <c r="I3">
        <v>313.15165361211598</v>
      </c>
      <c r="J3">
        <v>158.80613109083399</v>
      </c>
      <c r="K3">
        <v>55.568142583154298</v>
      </c>
      <c r="L3">
        <v>0.86587969825925704</v>
      </c>
      <c r="M3">
        <v>-0.86569359668691948</v>
      </c>
      <c r="N3">
        <v>48.106429581279102</v>
      </c>
      <c r="O3">
        <v>48.106424918918897</v>
      </c>
      <c r="P3">
        <v>48.106419394812903</v>
      </c>
      <c r="Q3" t="s">
        <v>51</v>
      </c>
    </row>
    <row r="4" spans="1:17" x14ac:dyDescent="0.2">
      <c r="A4">
        <v>3</v>
      </c>
      <c r="B4">
        <v>755</v>
      </c>
      <c r="C4">
        <v>275</v>
      </c>
      <c r="D4">
        <v>0.30115304187132302</v>
      </c>
      <c r="E4">
        <v>109.68193346352101</v>
      </c>
      <c r="F4">
        <v>1.97440214509947</v>
      </c>
      <c r="G4">
        <v>-1816.1148661990831</v>
      </c>
      <c r="H4">
        <v>-1494.3444310049424</v>
      </c>
      <c r="I4">
        <v>312.96289106909302</v>
      </c>
      <c r="J4">
        <v>158.810849691752</v>
      </c>
      <c r="K4">
        <v>55.5519723961783</v>
      </c>
      <c r="L4">
        <v>0.86412251612593616</v>
      </c>
      <c r="M4">
        <v>-0.86393600399430659</v>
      </c>
      <c r="N4">
        <v>47.994793375331803</v>
      </c>
      <c r="O4">
        <v>47.994788650660098</v>
      </c>
      <c r="P4">
        <v>47.994783116768403</v>
      </c>
      <c r="Q4" t="s">
        <v>51</v>
      </c>
    </row>
    <row r="5" spans="1:17" x14ac:dyDescent="0.2">
      <c r="A5">
        <v>4</v>
      </c>
      <c r="B5">
        <v>754</v>
      </c>
      <c r="C5">
        <v>275</v>
      </c>
      <c r="D5">
        <v>0.30040451735384299</v>
      </c>
      <c r="E5">
        <v>109.681963875119</v>
      </c>
      <c r="F5">
        <v>1.9749786928263899</v>
      </c>
      <c r="G5">
        <v>-1815.8024879471172</v>
      </c>
      <c r="H5">
        <v>-1494.5389302424951</v>
      </c>
      <c r="I5">
        <v>312.77410868561202</v>
      </c>
      <c r="J5">
        <v>158.81550946481099</v>
      </c>
      <c r="K5">
        <v>55.535770726798702</v>
      </c>
      <c r="L5">
        <v>0.86237466238627891</v>
      </c>
      <c r="M5">
        <v>-0.86218774448029223</v>
      </c>
      <c r="N5">
        <v>47.8837051437703</v>
      </c>
      <c r="O5">
        <v>47.883700356538199</v>
      </c>
      <c r="P5">
        <v>47.8836948130458</v>
      </c>
      <c r="Q5" t="s">
        <v>51</v>
      </c>
    </row>
    <row r="6" spans="1:17" x14ac:dyDescent="0.2">
      <c r="A6">
        <v>5</v>
      </c>
      <c r="B6">
        <v>753</v>
      </c>
      <c r="C6">
        <v>275</v>
      </c>
      <c r="D6">
        <v>0.29965453393753799</v>
      </c>
      <c r="E6">
        <v>109.68199440507099</v>
      </c>
      <c r="F6">
        <v>1.9755566850411199</v>
      </c>
      <c r="G6">
        <v>-1815.4903003536331</v>
      </c>
      <c r="H6">
        <v>-1494.7332642876311</v>
      </c>
      <c r="I6">
        <v>312.58530510132499</v>
      </c>
      <c r="J6">
        <v>158.82011018530801</v>
      </c>
      <c r="K6">
        <v>55.519537979133503</v>
      </c>
      <c r="L6">
        <v>0.86063605573115731</v>
      </c>
      <c r="M6">
        <v>-0.86044873681290679</v>
      </c>
      <c r="N6">
        <v>47.7731604307711</v>
      </c>
      <c r="O6">
        <v>47.773155580733402</v>
      </c>
      <c r="P6">
        <v>47.773150027824698</v>
      </c>
      <c r="Q6" t="s">
        <v>51</v>
      </c>
    </row>
    <row r="7" spans="1:17" x14ac:dyDescent="0.2">
      <c r="A7">
        <v>6</v>
      </c>
      <c r="B7">
        <v>752</v>
      </c>
      <c r="C7">
        <v>275</v>
      </c>
      <c r="D7">
        <v>0.29890308735307097</v>
      </c>
      <c r="E7">
        <v>109.68202505381601</v>
      </c>
      <c r="F7">
        <v>1.97613610973545</v>
      </c>
      <c r="G7">
        <v>-1815.1783034473199</v>
      </c>
      <c r="H7">
        <v>-1494.9274344892128</v>
      </c>
      <c r="I7">
        <v>312.39647896670101</v>
      </c>
      <c r="J7">
        <v>158.824651623954</v>
      </c>
      <c r="K7">
        <v>55.503274553542703</v>
      </c>
      <c r="L7">
        <v>0.8589066157702685</v>
      </c>
      <c r="M7">
        <v>-0.85871890057927025</v>
      </c>
      <c r="N7">
        <v>47.663154829024101</v>
      </c>
      <c r="O7">
        <v>47.663149915938902</v>
      </c>
      <c r="P7">
        <v>47.663144353797797</v>
      </c>
      <c r="Q7" t="s">
        <v>51</v>
      </c>
    </row>
    <row r="8" spans="1:17" x14ac:dyDescent="0.2">
      <c r="A8">
        <v>7</v>
      </c>
      <c r="B8">
        <v>751</v>
      </c>
      <c r="C8">
        <v>275</v>
      </c>
      <c r="D8">
        <v>0.29815017331445698</v>
      </c>
      <c r="E8">
        <v>109.682055821978</v>
      </c>
      <c r="F8">
        <v>1.97671695500097</v>
      </c>
      <c r="G8">
        <v>-1814.8664972612692</v>
      </c>
      <c r="H8">
        <v>-1495.1214421836908</v>
      </c>
      <c r="I8">
        <v>312.20762894335502</v>
      </c>
      <c r="J8">
        <v>158.82913354765699</v>
      </c>
      <c r="K8">
        <v>55.486980846949102</v>
      </c>
      <c r="L8">
        <v>0.85718626299921241</v>
      </c>
      <c r="M8">
        <v>-0.85699815625265441</v>
      </c>
      <c r="N8">
        <v>47.553683978199402</v>
      </c>
      <c r="O8">
        <v>47.553679001828598</v>
      </c>
      <c r="P8">
        <v>47.553673430638597</v>
      </c>
      <c r="Q8" t="s">
        <v>51</v>
      </c>
    </row>
    <row r="9" spans="1:17" x14ac:dyDescent="0.2">
      <c r="A9">
        <v>8</v>
      </c>
      <c r="B9">
        <v>750</v>
      </c>
      <c r="C9">
        <v>275</v>
      </c>
      <c r="D9">
        <v>0.29739578751893703</v>
      </c>
      <c r="E9">
        <v>109.682086710173</v>
      </c>
      <c r="F9">
        <v>1.97729920902981</v>
      </c>
      <c r="G9">
        <v>-1814.5548818297632</v>
      </c>
      <c r="H9">
        <v>-1495.3152886922571</v>
      </c>
      <c r="I9">
        <v>312.01875370374199</v>
      </c>
      <c r="J9">
        <v>158.83355571912099</v>
      </c>
      <c r="K9">
        <v>55.470657252723001</v>
      </c>
      <c r="L9">
        <v>0.85547491880341775</v>
      </c>
      <c r="M9">
        <v>-0.85528642519641052</v>
      </c>
      <c r="N9">
        <v>47.444743565085801</v>
      </c>
      <c r="O9">
        <v>47.4447385251949</v>
      </c>
      <c r="P9">
        <v>47.444732945138703</v>
      </c>
      <c r="Q9" t="s">
        <v>51</v>
      </c>
    </row>
    <row r="10" spans="1:17" x14ac:dyDescent="0.2">
      <c r="A10">
        <v>9</v>
      </c>
      <c r="B10">
        <v>749</v>
      </c>
      <c r="C10">
        <v>275</v>
      </c>
      <c r="D10">
        <v>0.29663992564692099</v>
      </c>
      <c r="E10">
        <v>109.68211771885299</v>
      </c>
      <c r="F10">
        <v>1.9778828601096801</v>
      </c>
      <c r="G10">
        <v>-1814.2434571857373</v>
      </c>
      <c r="H10">
        <v>-1495.5089753190257</v>
      </c>
      <c r="I10">
        <v>311.82985193051002</v>
      </c>
      <c r="J10">
        <v>158.837917896927</v>
      </c>
      <c r="K10">
        <v>55.454304160748201</v>
      </c>
      <c r="L10">
        <v>0.85377250543313243</v>
      </c>
      <c r="M10">
        <v>-0.85358362963894918</v>
      </c>
      <c r="N10">
        <v>47.336329322276001</v>
      </c>
      <c r="O10">
        <v>47.336324218634097</v>
      </c>
      <c r="P10">
        <v>47.336318629894102</v>
      </c>
      <c r="Q10" t="s">
        <v>51</v>
      </c>
    </row>
    <row r="11" spans="1:17" x14ac:dyDescent="0.2">
      <c r="A11">
        <v>10</v>
      </c>
      <c r="B11">
        <v>748</v>
      </c>
      <c r="C11">
        <v>275</v>
      </c>
      <c r="D11">
        <v>0.29588258336189799</v>
      </c>
      <c r="E11">
        <v>109.68214884864599</v>
      </c>
      <c r="F11">
        <v>1.9784678966282001</v>
      </c>
      <c r="G11">
        <v>-1813.9322233662967</v>
      </c>
      <c r="H11">
        <v>-1495.7025033559974</v>
      </c>
      <c r="I11">
        <v>311.64092231708503</v>
      </c>
      <c r="J11">
        <v>158.84221983573801</v>
      </c>
      <c r="K11">
        <v>55.437921957476199</v>
      </c>
      <c r="L11">
        <v>0.85207894599761647</v>
      </c>
      <c r="M11">
        <v>-0.85188969266793613</v>
      </c>
      <c r="N11">
        <v>47.228437027909003</v>
      </c>
      <c r="O11">
        <v>47.228431860288701</v>
      </c>
      <c r="P11">
        <v>47.228426263046799</v>
      </c>
      <c r="Q11" t="s">
        <v>51</v>
      </c>
    </row>
    <row r="12" spans="1:17" x14ac:dyDescent="0.2">
      <c r="A12">
        <v>11</v>
      </c>
      <c r="B12">
        <v>747</v>
      </c>
      <c r="C12">
        <v>275</v>
      </c>
      <c r="D12">
        <v>0.29512375631034898</v>
      </c>
      <c r="E12">
        <v>109.68218010016101</v>
      </c>
      <c r="F12">
        <v>1.9790543070667299</v>
      </c>
      <c r="G12">
        <v>-1813.6211804095369</v>
      </c>
      <c r="H12">
        <v>-1495.8958740803191</v>
      </c>
      <c r="I12">
        <v>311.45196356730401</v>
      </c>
      <c r="J12">
        <v>158.84646128626099</v>
      </c>
      <c r="K12">
        <v>55.421511026005</v>
      </c>
      <c r="L12">
        <v>0.85039416445829319</v>
      </c>
      <c r="M12">
        <v>-0.85020453822343356</v>
      </c>
      <c r="N12">
        <v>47.1210625053724</v>
      </c>
      <c r="O12">
        <v>47.121057273550299</v>
      </c>
      <c r="P12">
        <v>47.1210516679878</v>
      </c>
      <c r="Q12" t="s">
        <v>51</v>
      </c>
    </row>
    <row r="13" spans="1:17" x14ac:dyDescent="0.2">
      <c r="A13">
        <v>12</v>
      </c>
      <c r="B13">
        <v>746</v>
      </c>
      <c r="C13">
        <v>275</v>
      </c>
      <c r="D13">
        <v>0.29436344012167098</v>
      </c>
      <c r="E13">
        <v>109.682211473941</v>
      </c>
      <c r="F13">
        <v>1.97964208000231</v>
      </c>
      <c r="G13">
        <v>-1813.3103283537644</v>
      </c>
      <c r="H13">
        <v>-1496.0890887541302</v>
      </c>
      <c r="I13">
        <v>311.26297439484102</v>
      </c>
      <c r="J13">
        <v>158.85064199518999</v>
      </c>
      <c r="K13">
        <v>55.405071746006399</v>
      </c>
      <c r="L13">
        <v>0.8487180856027704</v>
      </c>
      <c r="M13">
        <v>-0.8485280910719194</v>
      </c>
      <c r="N13">
        <v>47.014201621816198</v>
      </c>
      <c r="O13">
        <v>47.014196325572499</v>
      </c>
      <c r="P13">
        <v>47.014190711870199</v>
      </c>
      <c r="Q13" t="s">
        <v>51</v>
      </c>
    </row>
    <row r="14" spans="1:17" x14ac:dyDescent="0.2">
      <c r="A14">
        <v>13</v>
      </c>
      <c r="B14">
        <v>745</v>
      </c>
      <c r="C14">
        <v>275</v>
      </c>
      <c r="D14">
        <v>0.29360163040809401</v>
      </c>
      <c r="E14">
        <v>109.682242970518</v>
      </c>
      <c r="F14">
        <v>1.98023120410429</v>
      </c>
      <c r="G14">
        <v>-1812.9996672383852</v>
      </c>
      <c r="H14">
        <v>-1496.282148625233</v>
      </c>
      <c r="I14">
        <v>311.073953523478</v>
      </c>
      <c r="J14">
        <v>158.854761705323</v>
      </c>
      <c r="K14">
        <v>55.388604493852498</v>
      </c>
      <c r="L14">
        <v>0.84705063504688538</v>
      </c>
      <c r="M14">
        <v>-0.84686027680832587</v>
      </c>
      <c r="N14">
        <v>46.907850288388403</v>
      </c>
      <c r="O14">
        <v>46.907844927507</v>
      </c>
      <c r="P14">
        <v>46.9078393058453</v>
      </c>
      <c r="Q14" t="s">
        <v>51</v>
      </c>
    </row>
    <row r="15" spans="1:17" x14ac:dyDescent="0.2">
      <c r="A15">
        <v>14</v>
      </c>
      <c r="B15">
        <v>744</v>
      </c>
      <c r="C15">
        <v>275</v>
      </c>
      <c r="D15">
        <v>0.29283832276459099</v>
      </c>
      <c r="E15">
        <v>109.682274590513</v>
      </c>
      <c r="F15">
        <v>1.98082166813637</v>
      </c>
      <c r="G15">
        <v>-1812.6891971055636</v>
      </c>
      <c r="H15">
        <v>-1496.4750549289181</v>
      </c>
      <c r="I15">
        <v>310.88489968698298</v>
      </c>
      <c r="J15">
        <v>158.858820155648</v>
      </c>
      <c r="K15">
        <v>55.372109642614298</v>
      </c>
      <c r="L15">
        <v>0.84539173921550026</v>
      </c>
      <c r="M15">
        <v>-0.84520102183683499</v>
      </c>
      <c r="N15">
        <v>46.8020044591836</v>
      </c>
      <c r="O15">
        <v>46.801999033452198</v>
      </c>
      <c r="P15">
        <v>46.801993404010801</v>
      </c>
      <c r="Q15" t="s">
        <v>51</v>
      </c>
    </row>
    <row r="16" spans="1:17" x14ac:dyDescent="0.2">
      <c r="A16">
        <v>15</v>
      </c>
      <c r="B16">
        <v>743</v>
      </c>
      <c r="C16">
        <v>275</v>
      </c>
      <c r="D16">
        <v>0.29207351276878402</v>
      </c>
      <c r="E16">
        <v>109.68230633459601</v>
      </c>
      <c r="F16">
        <v>1.9814134609509999</v>
      </c>
      <c r="G16">
        <v>-1812.3789179994646</v>
      </c>
      <c r="H16">
        <v>-1496.6678088873271</v>
      </c>
      <c r="I16">
        <v>310.69581162905001</v>
      </c>
      <c r="J16">
        <v>158.86281708148701</v>
      </c>
      <c r="K16">
        <v>55.355587562200398</v>
      </c>
      <c r="L16">
        <v>0.84374132533650525</v>
      </c>
      <c r="M16">
        <v>-0.84355025336487188</v>
      </c>
      <c r="N16">
        <v>46.696660131041099</v>
      </c>
      <c r="O16">
        <v>46.696654640250898</v>
      </c>
      <c r="P16">
        <v>46.696649003209302</v>
      </c>
      <c r="Q16" t="s">
        <v>51</v>
      </c>
    </row>
    <row r="17" spans="1:17" x14ac:dyDescent="0.2">
      <c r="A17">
        <v>16</v>
      </c>
      <c r="B17">
        <v>742</v>
      </c>
      <c r="C17">
        <v>275</v>
      </c>
      <c r="D17">
        <v>0.291307195980888</v>
      </c>
      <c r="E17">
        <v>109.682338203217</v>
      </c>
      <c r="F17">
        <v>1.98200657149214</v>
      </c>
      <c r="G17">
        <v>-1812.0688299619578</v>
      </c>
      <c r="H17">
        <v>-1496.8604117061227</v>
      </c>
      <c r="I17">
        <v>310.50668810238801</v>
      </c>
      <c r="J17">
        <v>158.866752214071</v>
      </c>
      <c r="K17">
        <v>55.339038619152397</v>
      </c>
      <c r="L17">
        <v>0.84209932142213761</v>
      </c>
      <c r="M17">
        <v>-0.8419078993844239</v>
      </c>
      <c r="N17">
        <v>46.591813342349703</v>
      </c>
      <c r="O17">
        <v>46.591807786296201</v>
      </c>
      <c r="P17">
        <v>46.591802141833</v>
      </c>
      <c r="Q17" t="s">
        <v>51</v>
      </c>
    </row>
    <row r="18" spans="1:17" x14ac:dyDescent="0.2">
      <c r="A18">
        <v>17</v>
      </c>
      <c r="B18">
        <v>741</v>
      </c>
      <c r="C18">
        <v>275</v>
      </c>
      <c r="D18">
        <v>0.29053936794360102</v>
      </c>
      <c r="E18">
        <v>109.68235742944501</v>
      </c>
      <c r="F18">
        <v>1.97904277588388</v>
      </c>
      <c r="G18">
        <v>-1811.7590236448036</v>
      </c>
      <c r="H18">
        <v>-1497.8253222236831</v>
      </c>
      <c r="I18">
        <v>309.55609473973999</v>
      </c>
      <c r="J18">
        <v>158.865491813896</v>
      </c>
      <c r="K18">
        <v>55.421923551126298</v>
      </c>
      <c r="L18">
        <v>0.7990420141247877</v>
      </c>
      <c r="M18">
        <v>-0.79883744346839636</v>
      </c>
      <c r="N18">
        <v>44.274643084011103</v>
      </c>
      <c r="O18">
        <v>44.2746371314133</v>
      </c>
      <c r="P18">
        <v>44.274631111948999</v>
      </c>
      <c r="Q18" t="s">
        <v>51</v>
      </c>
    </row>
    <row r="19" spans="1:17" x14ac:dyDescent="0.2">
      <c r="A19">
        <v>18</v>
      </c>
      <c r="B19">
        <v>740</v>
      </c>
      <c r="C19">
        <v>275</v>
      </c>
      <c r="D19">
        <v>0.28977002418201098</v>
      </c>
      <c r="E19">
        <v>109.682337025</v>
      </c>
      <c r="F19">
        <v>1.9576823425280301</v>
      </c>
      <c r="G19">
        <v>-1811.4512836891192</v>
      </c>
      <c r="H19">
        <v>-1501.953400968983</v>
      </c>
      <c r="I19">
        <v>305.48426919738102</v>
      </c>
      <c r="J19">
        <v>159.09052942456199</v>
      </c>
      <c r="K19">
        <v>56.026626303102503</v>
      </c>
      <c r="L19">
        <v>0.59297731488081151</v>
      </c>
      <c r="M19">
        <v>-0.59270284823065844</v>
      </c>
      <c r="N19">
        <v>33.20920729745</v>
      </c>
      <c r="O19">
        <v>33.209199479044301</v>
      </c>
      <c r="P19">
        <v>33.209191413812199</v>
      </c>
      <c r="Q19" t="s">
        <v>51</v>
      </c>
    </row>
    <row r="20" spans="1:17" x14ac:dyDescent="0.2">
      <c r="A20">
        <v>19</v>
      </c>
      <c r="B20">
        <v>739</v>
      </c>
      <c r="C20">
        <v>275</v>
      </c>
      <c r="D20">
        <v>0.28899916020352701</v>
      </c>
      <c r="E20">
        <v>109.68231366562</v>
      </c>
      <c r="F20">
        <v>1.9448253444641601</v>
      </c>
      <c r="G20">
        <v>-1811.1468079117926</v>
      </c>
      <c r="H20">
        <v>-1504.5883664971702</v>
      </c>
      <c r="I20">
        <v>302.88248219199801</v>
      </c>
      <c r="J20">
        <v>159.25699167309199</v>
      </c>
      <c r="K20">
        <v>56.396999338693597</v>
      </c>
      <c r="L20">
        <v>0.4667721590489029</v>
      </c>
      <c r="M20">
        <v>-0.46645488031337357</v>
      </c>
      <c r="N20">
        <v>26.309049570264801</v>
      </c>
      <c r="O20">
        <v>26.309040550012899</v>
      </c>
      <c r="P20">
        <v>26.309031212417999</v>
      </c>
      <c r="Q20" t="s">
        <v>51</v>
      </c>
    </row>
    <row r="21" spans="1:17" x14ac:dyDescent="0.2">
      <c r="A21">
        <v>20</v>
      </c>
      <c r="B21">
        <v>738</v>
      </c>
      <c r="C21">
        <v>275</v>
      </c>
      <c r="D21">
        <v>0.28822677149780002</v>
      </c>
      <c r="E21">
        <v>109.689806704929</v>
      </c>
      <c r="F21">
        <v>1.91216778096433</v>
      </c>
      <c r="G21">
        <v>-1810.9695411441005</v>
      </c>
      <c r="H21">
        <v>-1511.1154431350108</v>
      </c>
      <c r="I21">
        <v>296.55298916609701</v>
      </c>
      <c r="J21">
        <v>159.59101377681699</v>
      </c>
      <c r="K21">
        <v>57.364111976414499</v>
      </c>
      <c r="L21">
        <v>0.16222164705038761</v>
      </c>
      <c r="M21">
        <v>-0.16179994022257327</v>
      </c>
      <c r="N21">
        <v>9.2847276649652795</v>
      </c>
      <c r="O21">
        <v>9.2847157199404506</v>
      </c>
      <c r="P21">
        <v>9.2847031957502999</v>
      </c>
      <c r="Q21" t="s">
        <v>51</v>
      </c>
    </row>
    <row r="22" spans="1:17" x14ac:dyDescent="0.2">
      <c r="A22">
        <v>21</v>
      </c>
      <c r="B22">
        <v>737</v>
      </c>
      <c r="C22">
        <v>275</v>
      </c>
      <c r="D22">
        <v>0.28745285353660599</v>
      </c>
      <c r="E22">
        <v>109.690338155897</v>
      </c>
      <c r="F22">
        <v>1.90502463392518</v>
      </c>
      <c r="G22">
        <v>-1810.6826123038768</v>
      </c>
      <c r="H22">
        <v>-1512.8101149883485</v>
      </c>
      <c r="I22">
        <v>294.88520893504199</v>
      </c>
      <c r="J22">
        <v>159.70706199633199</v>
      </c>
      <c r="K22">
        <v>57.579485431580601</v>
      </c>
      <c r="L22">
        <v>8.9676281988650158E-2</v>
      </c>
      <c r="M22">
        <v>-8.9229881916680381E-2</v>
      </c>
      <c r="N22">
        <v>5.1412203525428897</v>
      </c>
      <c r="O22">
        <v>5.1412076261226503</v>
      </c>
      <c r="P22">
        <v>5.1411943405233496</v>
      </c>
      <c r="Q22" t="s">
        <v>51</v>
      </c>
    </row>
    <row r="23" spans="1:17" x14ac:dyDescent="0.2">
      <c r="A23">
        <v>22</v>
      </c>
      <c r="B23">
        <v>736</v>
      </c>
      <c r="C23">
        <v>275</v>
      </c>
      <c r="D23">
        <v>0.28667740177377199</v>
      </c>
      <c r="E23">
        <v>109.69052455430401</v>
      </c>
      <c r="F23">
        <v>1.90301785353196</v>
      </c>
      <c r="G23">
        <v>-1810.391135361953</v>
      </c>
      <c r="H23">
        <v>-1513.5163138945341</v>
      </c>
      <c r="I23">
        <v>294.18890990730802</v>
      </c>
      <c r="J23">
        <v>159.779319115927</v>
      </c>
      <c r="K23">
        <v>57.640302402166597</v>
      </c>
      <c r="L23">
        <v>6.4079724534634258E-2</v>
      </c>
      <c r="M23">
        <v>-6.3624792948449582E-2</v>
      </c>
      <c r="N23">
        <v>3.6708228451641198</v>
      </c>
      <c r="O23">
        <v>3.6708097840705198</v>
      </c>
      <c r="P23">
        <v>3.6707962405216099</v>
      </c>
      <c r="Q23" t="s">
        <v>51</v>
      </c>
    </row>
    <row r="24" spans="1:17" x14ac:dyDescent="0.2">
      <c r="A24">
        <v>23</v>
      </c>
      <c r="B24">
        <v>757</v>
      </c>
      <c r="C24">
        <v>250</v>
      </c>
      <c r="D24">
        <v>0.32934087268844398</v>
      </c>
      <c r="E24">
        <v>109.68206796844299</v>
      </c>
      <c r="F24">
        <v>1.9393156018486699</v>
      </c>
      <c r="G24">
        <v>-1818.1447808942278</v>
      </c>
      <c r="H24">
        <v>-1494.9453450586564</v>
      </c>
      <c r="I24">
        <v>313.742679318223</v>
      </c>
      <c r="J24">
        <v>159.63237025201701</v>
      </c>
      <c r="K24">
        <v>56.5571007957071</v>
      </c>
      <c r="L24">
        <v>0.84819216722082247</v>
      </c>
      <c r="M24">
        <v>-0.84796050510238152</v>
      </c>
      <c r="N24">
        <v>47.960162961999501</v>
      </c>
      <c r="O24">
        <v>47.960157974861197</v>
      </c>
      <c r="P24">
        <v>47.960150047878102</v>
      </c>
      <c r="Q24" t="s">
        <v>51</v>
      </c>
    </row>
    <row r="25" spans="1:17" x14ac:dyDescent="0.2">
      <c r="A25">
        <v>24</v>
      </c>
      <c r="B25">
        <v>756</v>
      </c>
      <c r="C25">
        <v>250</v>
      </c>
      <c r="D25">
        <v>0.32862119224602798</v>
      </c>
      <c r="E25">
        <v>109.682095086597</v>
      </c>
      <c r="F25">
        <v>1.9399237095249999</v>
      </c>
      <c r="G25">
        <v>-1817.8315552390345</v>
      </c>
      <c r="H25">
        <v>-1495.1184836188786</v>
      </c>
      <c r="I25">
        <v>313.57494993226902</v>
      </c>
      <c r="J25">
        <v>159.63255078584399</v>
      </c>
      <c r="K25">
        <v>56.539385826391097</v>
      </c>
      <c r="L25">
        <v>0.84762397271278667</v>
      </c>
      <c r="M25">
        <v>-0.84739221211685434</v>
      </c>
      <c r="N25">
        <v>47.913006595315402</v>
      </c>
      <c r="O25">
        <v>47.913001531149199</v>
      </c>
      <c r="P25">
        <v>47.912993602919201</v>
      </c>
      <c r="Q25" t="s">
        <v>51</v>
      </c>
    </row>
    <row r="26" spans="1:17" x14ac:dyDescent="0.2">
      <c r="A26">
        <v>25</v>
      </c>
      <c r="B26">
        <v>755</v>
      </c>
      <c r="C26">
        <v>250</v>
      </c>
      <c r="D26">
        <v>0.32790011185138401</v>
      </c>
      <c r="E26">
        <v>109.68212566782201</v>
      </c>
      <c r="F26">
        <v>1.94053388255223</v>
      </c>
      <c r="G26">
        <v>-1817.5185676250028</v>
      </c>
      <c r="H26">
        <v>-1495.3123084200859</v>
      </c>
      <c r="I26">
        <v>313.38700941981898</v>
      </c>
      <c r="J26">
        <v>159.63886096821199</v>
      </c>
      <c r="K26">
        <v>56.521623587198803</v>
      </c>
      <c r="L26">
        <v>0.84597151428799544</v>
      </c>
      <c r="M26">
        <v>-0.84573933435550219</v>
      </c>
      <c r="N26">
        <v>47.804530616071602</v>
      </c>
      <c r="O26">
        <v>47.804525467462398</v>
      </c>
      <c r="P26">
        <v>47.804517527103101</v>
      </c>
      <c r="Q26" t="s">
        <v>51</v>
      </c>
    </row>
    <row r="27" spans="1:17" x14ac:dyDescent="0.2">
      <c r="A27">
        <v>26</v>
      </c>
      <c r="B27">
        <v>754</v>
      </c>
      <c r="C27">
        <v>250</v>
      </c>
      <c r="D27">
        <v>0.32717762741566497</v>
      </c>
      <c r="E27">
        <v>109.68215636784301</v>
      </c>
      <c r="F27">
        <v>1.9411456078195199</v>
      </c>
      <c r="G27">
        <v>-1817.2057698415906</v>
      </c>
      <c r="H27">
        <v>-1495.5059787703053</v>
      </c>
      <c r="I27">
        <v>313.19903810794602</v>
      </c>
      <c r="J27">
        <v>159.645124035583</v>
      </c>
      <c r="K27">
        <v>56.503827392448201</v>
      </c>
      <c r="L27">
        <v>0.84432769586522649</v>
      </c>
      <c r="M27">
        <v>-0.84409510172556723</v>
      </c>
      <c r="N27">
        <v>47.696573119643503</v>
      </c>
      <c r="O27">
        <v>47.696567886174599</v>
      </c>
      <c r="P27">
        <v>47.696559933919701</v>
      </c>
      <c r="Q27" t="s">
        <v>51</v>
      </c>
    </row>
    <row r="28" spans="1:17" x14ac:dyDescent="0.2">
      <c r="A28">
        <v>27</v>
      </c>
      <c r="B28">
        <v>753</v>
      </c>
      <c r="C28">
        <v>250</v>
      </c>
      <c r="D28">
        <v>0.32645373483409301</v>
      </c>
      <c r="E28">
        <v>109.68218718724</v>
      </c>
      <c r="F28">
        <v>1.9417588717093199</v>
      </c>
      <c r="G28">
        <v>-1816.8931619293969</v>
      </c>
      <c r="H28">
        <v>-1495.6994959225824</v>
      </c>
      <c r="I28">
        <v>313.01103472533498</v>
      </c>
      <c r="J28">
        <v>159.651339640744</v>
      </c>
      <c r="K28">
        <v>56.485997713345398</v>
      </c>
      <c r="L28">
        <v>0.84269244282382039</v>
      </c>
      <c r="M28">
        <v>-0.84245943958641278</v>
      </c>
      <c r="N28">
        <v>47.589129993352799</v>
      </c>
      <c r="O28">
        <v>47.5891246746124</v>
      </c>
      <c r="P28">
        <v>47.5891167106954</v>
      </c>
      <c r="Q28" t="s">
        <v>51</v>
      </c>
    </row>
    <row r="29" spans="1:17" x14ac:dyDescent="0.2">
      <c r="A29">
        <v>28</v>
      </c>
      <c r="B29">
        <v>752</v>
      </c>
      <c r="C29">
        <v>250</v>
      </c>
      <c r="D29">
        <v>0.32572842998585799</v>
      </c>
      <c r="E29">
        <v>109.682218126593</v>
      </c>
      <c r="F29">
        <v>1.9423736606933599</v>
      </c>
      <c r="G29">
        <v>-1816.5807439302662</v>
      </c>
      <c r="H29">
        <v>-1495.8928611158883</v>
      </c>
      <c r="I29">
        <v>312.82299801064897</v>
      </c>
      <c r="J29">
        <v>159.65750743270101</v>
      </c>
      <c r="K29">
        <v>56.4681350175643</v>
      </c>
      <c r="L29">
        <v>0.84106568135828741</v>
      </c>
      <c r="M29">
        <v>-0.84083227411278483</v>
      </c>
      <c r="N29">
        <v>47.482197168096</v>
      </c>
      <c r="O29">
        <v>47.482191763677299</v>
      </c>
      <c r="P29">
        <v>47.482183788331497</v>
      </c>
      <c r="Q29" t="s">
        <v>51</v>
      </c>
    </row>
    <row r="30" spans="1:17" x14ac:dyDescent="0.2">
      <c r="A30">
        <v>29</v>
      </c>
      <c r="B30">
        <v>751</v>
      </c>
      <c r="C30">
        <v>250</v>
      </c>
      <c r="D30">
        <v>0.32500170873407402</v>
      </c>
      <c r="E30">
        <v>109.682249186419</v>
      </c>
      <c r="F30">
        <v>1.94298996132707</v>
      </c>
      <c r="G30">
        <v>-1816.2685158863092</v>
      </c>
      <c r="H30">
        <v>-1496.0860755745678</v>
      </c>
      <c r="I30">
        <v>312.63492671217</v>
      </c>
      <c r="J30">
        <v>159.66362705688499</v>
      </c>
      <c r="K30">
        <v>56.450239769384098</v>
      </c>
      <c r="L30">
        <v>0.83944733845721276</v>
      </c>
      <c r="M30">
        <v>-0.83921353227370432</v>
      </c>
      <c r="N30">
        <v>47.375770617288502</v>
      </c>
      <c r="O30">
        <v>47.375765126789702</v>
      </c>
      <c r="P30">
        <v>47.375757140247998</v>
      </c>
      <c r="Q30" t="s">
        <v>51</v>
      </c>
    </row>
    <row r="31" spans="1:17" x14ac:dyDescent="0.2">
      <c r="A31">
        <v>30</v>
      </c>
      <c r="B31">
        <v>750</v>
      </c>
      <c r="C31">
        <v>250</v>
      </c>
      <c r="D31">
        <v>0.324273566925672</v>
      </c>
      <c r="E31">
        <v>109.68228036731399</v>
      </c>
      <c r="F31">
        <v>1.94360776025354</v>
      </c>
      <c r="G31">
        <v>-1815.956477842117</v>
      </c>
      <c r="H31">
        <v>-1496.2791405100711</v>
      </c>
      <c r="I31">
        <v>312.44681958830301</v>
      </c>
      <c r="J31">
        <v>159.66969815502401</v>
      </c>
      <c r="K31">
        <v>56.4323124296468</v>
      </c>
      <c r="L31">
        <v>0.83783734191671622</v>
      </c>
      <c r="M31">
        <v>-0.83760314184593476</v>
      </c>
      <c r="N31">
        <v>47.269846357609403</v>
      </c>
      <c r="O31">
        <v>47.269840780633601</v>
      </c>
      <c r="P31">
        <v>47.269832783128898</v>
      </c>
      <c r="Q31" t="s">
        <v>51</v>
      </c>
    </row>
    <row r="32" spans="1:17" x14ac:dyDescent="0.2">
      <c r="A32">
        <v>31</v>
      </c>
      <c r="B32">
        <v>749</v>
      </c>
      <c r="C32">
        <v>250</v>
      </c>
      <c r="D32">
        <v>0.32354400039133302</v>
      </c>
      <c r="E32">
        <v>109.682311669844</v>
      </c>
      <c r="F32">
        <v>1.9442270441955301</v>
      </c>
      <c r="G32">
        <v>-1815.6446298430994</v>
      </c>
      <c r="H32">
        <v>-1496.4720571203654</v>
      </c>
      <c r="I32">
        <v>312.25867540658697</v>
      </c>
      <c r="J32">
        <v>159.675720365583</v>
      </c>
      <c r="K32">
        <v>56.414353455940102</v>
      </c>
      <c r="L32">
        <v>0.8362356202879877</v>
      </c>
      <c r="M32">
        <v>-0.83600103136149262</v>
      </c>
      <c r="N32">
        <v>47.164420446210499</v>
      </c>
      <c r="O32">
        <v>47.164414782365903</v>
      </c>
      <c r="P32">
        <v>47.164406774130804</v>
      </c>
      <c r="Q32" t="s">
        <v>51</v>
      </c>
    </row>
    <row r="33" spans="1:17" x14ac:dyDescent="0.2">
      <c r="A33">
        <v>32</v>
      </c>
      <c r="B33">
        <v>748</v>
      </c>
      <c r="C33">
        <v>250</v>
      </c>
      <c r="D33">
        <v>0.32281300494540499</v>
      </c>
      <c r="E33">
        <v>109.682343094689</v>
      </c>
      <c r="F33">
        <v>1.9448477999614699</v>
      </c>
      <c r="G33">
        <v>-1815.3329719376652</v>
      </c>
      <c r="H33">
        <v>-1496.6648265913468</v>
      </c>
      <c r="I33">
        <v>312.07049294449001</v>
      </c>
      <c r="J33">
        <v>159.681693323453</v>
      </c>
      <c r="K33">
        <v>56.396363302496802</v>
      </c>
      <c r="L33">
        <v>0.83464210290818541</v>
      </c>
      <c r="M33">
        <v>-0.83440713013856205</v>
      </c>
      <c r="N33">
        <v>47.059488982395301</v>
      </c>
      <c r="O33">
        <v>47.059483231295303</v>
      </c>
      <c r="P33">
        <v>47.059475212562198</v>
      </c>
      <c r="Q33" t="s">
        <v>51</v>
      </c>
    </row>
    <row r="34" spans="1:17" x14ac:dyDescent="0.2">
      <c r="A34">
        <v>33</v>
      </c>
      <c r="B34">
        <v>747</v>
      </c>
      <c r="C34">
        <v>250</v>
      </c>
      <c r="D34">
        <v>0.32208057638582899</v>
      </c>
      <c r="E34">
        <v>109.682374642211</v>
      </c>
      <c r="F34">
        <v>1.94547001443762</v>
      </c>
      <c r="G34">
        <v>-1815.0215041703279</v>
      </c>
      <c r="H34">
        <v>-1496.8574500912375</v>
      </c>
      <c r="I34">
        <v>311.88227098818601</v>
      </c>
      <c r="J34">
        <v>159.68761665981501</v>
      </c>
      <c r="K34">
        <v>56.378342420207801</v>
      </c>
      <c r="L34">
        <v>0.83305671987334851</v>
      </c>
      <c r="M34">
        <v>-0.83282136825439002</v>
      </c>
      <c r="N34">
        <v>46.955048106117601</v>
      </c>
      <c r="O34">
        <v>46.955042267381003</v>
      </c>
      <c r="P34">
        <v>46.955034238381799</v>
      </c>
      <c r="Q34" t="s">
        <v>51</v>
      </c>
    </row>
    <row r="35" spans="1:17" x14ac:dyDescent="0.2">
      <c r="A35">
        <v>34</v>
      </c>
      <c r="B35">
        <v>746</v>
      </c>
      <c r="C35">
        <v>250</v>
      </c>
      <c r="D35">
        <v>0.32134671049404001</v>
      </c>
      <c r="E35">
        <v>109.68240631313</v>
      </c>
      <c r="F35">
        <v>1.94609367459044</v>
      </c>
      <c r="G35">
        <v>-1814.7102265926123</v>
      </c>
      <c r="H35">
        <v>-1497.0499287805881</v>
      </c>
      <c r="I35">
        <v>311.69400833349403</v>
      </c>
      <c r="J35">
        <v>159.693490003031</v>
      </c>
      <c r="K35">
        <v>56.360291256901299</v>
      </c>
      <c r="L35">
        <v>0.83147940201145243</v>
      </c>
      <c r="M35">
        <v>-0.83124367651833475</v>
      </c>
      <c r="N35">
        <v>46.851093996712002</v>
      </c>
      <c r="O35">
        <v>46.851088069962501</v>
      </c>
      <c r="P35">
        <v>46.851080030929303</v>
      </c>
      <c r="Q35" t="s">
        <v>51</v>
      </c>
    </row>
    <row r="36" spans="1:17" x14ac:dyDescent="0.2">
      <c r="A36">
        <v>35</v>
      </c>
      <c r="B36">
        <v>745</v>
      </c>
      <c r="C36">
        <v>250</v>
      </c>
      <c r="D36">
        <v>0.32061140303491598</v>
      </c>
      <c r="E36">
        <v>109.68242739231501</v>
      </c>
      <c r="F36">
        <v>1.9404302510718301</v>
      </c>
      <c r="G36">
        <v>-1814.3990747880334</v>
      </c>
      <c r="H36">
        <v>-1498.3391099554119</v>
      </c>
      <c r="I36">
        <v>310.42857786062399</v>
      </c>
      <c r="J36">
        <v>159.72459906002101</v>
      </c>
      <c r="K36">
        <v>56.524797699752703</v>
      </c>
      <c r="L36">
        <v>0.7727289033643755</v>
      </c>
      <c r="M36">
        <v>-0.77247181084072714</v>
      </c>
      <c r="N36">
        <v>43.665946364706102</v>
      </c>
      <c r="O36">
        <v>43.6659398767246</v>
      </c>
      <c r="P36">
        <v>43.665931116587601</v>
      </c>
      <c r="Q36" t="s">
        <v>51</v>
      </c>
    </row>
    <row r="37" spans="1:17" x14ac:dyDescent="0.2">
      <c r="A37">
        <v>36</v>
      </c>
      <c r="B37">
        <v>744</v>
      </c>
      <c r="C37">
        <v>250</v>
      </c>
      <c r="D37">
        <v>0.31987464975667701</v>
      </c>
      <c r="E37">
        <v>109.68240284018</v>
      </c>
      <c r="F37">
        <v>1.9192359746498799</v>
      </c>
      <c r="G37">
        <v>-1814.090432580261</v>
      </c>
      <c r="H37">
        <v>-1502.4241588056002</v>
      </c>
      <c r="I37">
        <v>306.41498576578402</v>
      </c>
      <c r="J37">
        <v>159.82361770112001</v>
      </c>
      <c r="K37">
        <v>57.148992770516003</v>
      </c>
      <c r="L37">
        <v>0.57099139677226485</v>
      </c>
      <c r="M37">
        <v>-0.57066072668194379</v>
      </c>
      <c r="N37">
        <v>32.6154411229546</v>
      </c>
      <c r="O37">
        <v>32.615432850562399</v>
      </c>
      <c r="P37">
        <v>32.615421566849399</v>
      </c>
      <c r="Q37" t="s">
        <v>51</v>
      </c>
    </row>
    <row r="38" spans="1:17" x14ac:dyDescent="0.2">
      <c r="A38">
        <v>37</v>
      </c>
      <c r="B38">
        <v>743</v>
      </c>
      <c r="C38">
        <v>250</v>
      </c>
      <c r="D38">
        <v>0.31913644639078897</v>
      </c>
      <c r="E38">
        <v>109.68237778862699</v>
      </c>
      <c r="F38">
        <v>1.9070585123413899</v>
      </c>
      <c r="G38">
        <v>-1813.7849327216452</v>
      </c>
      <c r="H38">
        <v>-1504.9469178942786</v>
      </c>
      <c r="I38">
        <v>303.93371828933999</v>
      </c>
      <c r="J38">
        <v>159.90156067762899</v>
      </c>
      <c r="K38">
        <v>57.513902734932302</v>
      </c>
      <c r="L38">
        <v>0.45179296141684333</v>
      </c>
      <c r="M38">
        <v>-0.45141892465580358</v>
      </c>
      <c r="N38">
        <v>25.9659880300438</v>
      </c>
      <c r="O38">
        <v>25.9659786258485</v>
      </c>
      <c r="P38">
        <v>25.9659658313874</v>
      </c>
      <c r="Q38" t="s">
        <v>51</v>
      </c>
    </row>
    <row r="39" spans="1:17" x14ac:dyDescent="0.2">
      <c r="A39">
        <v>38</v>
      </c>
      <c r="B39">
        <v>742</v>
      </c>
      <c r="C39">
        <v>250</v>
      </c>
      <c r="D39">
        <v>0.318396788651924</v>
      </c>
      <c r="E39">
        <v>109.69045467886301</v>
      </c>
      <c r="F39">
        <v>1.87554963159937</v>
      </c>
      <c r="G39">
        <v>-1813.6163661671262</v>
      </c>
      <c r="H39">
        <v>-1511.3194568542624</v>
      </c>
      <c r="I39">
        <v>297.79088952931897</v>
      </c>
      <c r="J39">
        <v>159.99322659088</v>
      </c>
      <c r="K39">
        <v>58.484431886414299</v>
      </c>
      <c r="L39">
        <v>0.15857469603989063</v>
      </c>
      <c r="M39">
        <v>-0.15809304531338134</v>
      </c>
      <c r="N39">
        <v>9.2500500259226399</v>
      </c>
      <c r="O39">
        <v>9.2500378614221095</v>
      </c>
      <c r="P39">
        <v>9.2500212198015497</v>
      </c>
      <c r="Q39" t="s">
        <v>51</v>
      </c>
    </row>
    <row r="40" spans="1:17" x14ac:dyDescent="0.2">
      <c r="A40">
        <v>39</v>
      </c>
      <c r="B40">
        <v>741</v>
      </c>
      <c r="C40">
        <v>250</v>
      </c>
      <c r="D40">
        <v>0.31765567223783697</v>
      </c>
      <c r="E40">
        <v>109.690838649452</v>
      </c>
      <c r="F40">
        <v>1.86875695601375</v>
      </c>
      <c r="G40">
        <v>-1813.3257838360405</v>
      </c>
      <c r="H40">
        <v>-1512.9794649653011</v>
      </c>
      <c r="I40">
        <v>296.161458259553</v>
      </c>
      <c r="J40">
        <v>160.04291169804199</v>
      </c>
      <c r="K40">
        <v>58.697220254598399</v>
      </c>
      <c r="L40">
        <v>8.8422447168091667E-2</v>
      </c>
      <c r="M40">
        <v>-8.7915312847390875E-2</v>
      </c>
      <c r="N40">
        <v>5.1646715874162403</v>
      </c>
      <c r="O40">
        <v>5.1646586406201198</v>
      </c>
      <c r="P40">
        <v>5.16464107749424</v>
      </c>
      <c r="Q40" t="s">
        <v>51</v>
      </c>
    </row>
    <row r="41" spans="1:17" x14ac:dyDescent="0.2">
      <c r="A41">
        <v>40</v>
      </c>
      <c r="B41">
        <v>740</v>
      </c>
      <c r="C41">
        <v>250</v>
      </c>
      <c r="D41">
        <v>0.31691309282929903</v>
      </c>
      <c r="E41">
        <v>109.690976497626</v>
      </c>
      <c r="F41">
        <v>1.8669050131029801</v>
      </c>
      <c r="G41">
        <v>-1813.0322374634225</v>
      </c>
      <c r="H41">
        <v>-1513.6772950931681</v>
      </c>
      <c r="I41">
        <v>295.47537656158499</v>
      </c>
      <c r="J41">
        <v>160.08961078803401</v>
      </c>
      <c r="K41">
        <v>58.755520890325798</v>
      </c>
      <c r="L41">
        <v>6.3496832642925535E-2</v>
      </c>
      <c r="M41">
        <v>-6.298084054308456E-2</v>
      </c>
      <c r="N41">
        <v>3.70482818986524</v>
      </c>
      <c r="O41">
        <v>3.70481487332551</v>
      </c>
      <c r="P41">
        <v>3.7047969947784001</v>
      </c>
      <c r="Q41" t="s">
        <v>51</v>
      </c>
    </row>
    <row r="42" spans="1:17" x14ac:dyDescent="0.2">
      <c r="A42">
        <v>41</v>
      </c>
      <c r="B42">
        <v>757</v>
      </c>
      <c r="C42">
        <v>225</v>
      </c>
      <c r="D42">
        <v>0.35603601417269398</v>
      </c>
      <c r="E42">
        <v>109.682262466263</v>
      </c>
      <c r="F42">
        <v>1.9002769896887299</v>
      </c>
      <c r="G42">
        <v>-1819.5758935988351</v>
      </c>
      <c r="H42">
        <v>-1495.8887170058579</v>
      </c>
      <c r="I42">
        <v>314.21636849882799</v>
      </c>
      <c r="J42">
        <v>160.47419228231399</v>
      </c>
      <c r="K42">
        <v>57.719092038381802</v>
      </c>
      <c r="L42">
        <v>0.8275290404923098</v>
      </c>
      <c r="M42">
        <v>-0.82723847730437816</v>
      </c>
      <c r="N42">
        <v>47.7502094869213</v>
      </c>
      <c r="O42">
        <v>47.7502049941601</v>
      </c>
      <c r="P42">
        <v>47.750193416136099</v>
      </c>
      <c r="Q42" t="s">
        <v>51</v>
      </c>
    </row>
    <row r="43" spans="1:17" x14ac:dyDescent="0.2">
      <c r="A43">
        <v>42</v>
      </c>
      <c r="B43">
        <v>756</v>
      </c>
      <c r="C43">
        <v>225</v>
      </c>
      <c r="D43">
        <v>0.35534227274935698</v>
      </c>
      <c r="E43">
        <v>109.68229047072801</v>
      </c>
      <c r="F43">
        <v>1.9009394712199299</v>
      </c>
      <c r="G43">
        <v>-1819.2622107785028</v>
      </c>
      <c r="H43">
        <v>-1496.0655604540168</v>
      </c>
      <c r="I43">
        <v>314.04505561388601</v>
      </c>
      <c r="J43">
        <v>160.47798331599699</v>
      </c>
      <c r="K43">
        <v>57.698991541450198</v>
      </c>
      <c r="L43">
        <v>0.82684098212996215</v>
      </c>
      <c r="M43">
        <v>-0.82655026162540413</v>
      </c>
      <c r="N43">
        <v>47.693866891151202</v>
      </c>
      <c r="O43">
        <v>47.6938622875278</v>
      </c>
      <c r="P43">
        <v>47.693850703927502</v>
      </c>
      <c r="Q43" t="s">
        <v>51</v>
      </c>
    </row>
    <row r="44" spans="1:17" x14ac:dyDescent="0.2">
      <c r="A44">
        <v>43</v>
      </c>
      <c r="B44">
        <v>755</v>
      </c>
      <c r="C44">
        <v>225</v>
      </c>
      <c r="D44">
        <v>0.354647181831445</v>
      </c>
      <c r="E44">
        <v>109.68232131700699</v>
      </c>
      <c r="F44">
        <v>1.9015976251470099</v>
      </c>
      <c r="G44">
        <v>-1818.9487572232802</v>
      </c>
      <c r="H44">
        <v>-1496.2584565490188</v>
      </c>
      <c r="I44">
        <v>313.85802197363103</v>
      </c>
      <c r="J44">
        <v>160.48643680222401</v>
      </c>
      <c r="K44">
        <v>57.6790378082895</v>
      </c>
      <c r="L44">
        <v>0.82530859876855001</v>
      </c>
      <c r="M44">
        <v>-0.82501744344240058</v>
      </c>
      <c r="N44">
        <v>47.5889599755346</v>
      </c>
      <c r="O44">
        <v>47.5889552559225</v>
      </c>
      <c r="P44">
        <v>47.588943655757298</v>
      </c>
      <c r="Q44" t="s">
        <v>51</v>
      </c>
    </row>
    <row r="45" spans="1:17" x14ac:dyDescent="0.2">
      <c r="A45">
        <v>44</v>
      </c>
      <c r="B45">
        <v>754</v>
      </c>
      <c r="C45">
        <v>225</v>
      </c>
      <c r="D45">
        <v>0.35395073747748601</v>
      </c>
      <c r="E45">
        <v>109.68235228307501</v>
      </c>
      <c r="F45">
        <v>1.9022574999733699</v>
      </c>
      <c r="G45">
        <v>-1818.6354926161018</v>
      </c>
      <c r="H45">
        <v>-1496.4512121913615</v>
      </c>
      <c r="I45">
        <v>313.67094481707801</v>
      </c>
      <c r="J45">
        <v>160.494856928009</v>
      </c>
      <c r="K45">
        <v>57.659045783555001</v>
      </c>
      <c r="L45">
        <v>0.82378412313906479</v>
      </c>
      <c r="M45">
        <v>-0.82349253861889704</v>
      </c>
      <c r="N45">
        <v>47.484538906934802</v>
      </c>
      <c r="O45">
        <v>47.484534070593</v>
      </c>
      <c r="P45">
        <v>47.484522454160597</v>
      </c>
      <c r="Q45" t="s">
        <v>51</v>
      </c>
    </row>
    <row r="46" spans="1:17" x14ac:dyDescent="0.2">
      <c r="A46">
        <v>45</v>
      </c>
      <c r="B46">
        <v>753</v>
      </c>
      <c r="C46">
        <v>225</v>
      </c>
      <c r="D46">
        <v>0.35325293573064698</v>
      </c>
      <c r="E46">
        <v>109.682383369485</v>
      </c>
      <c r="F46">
        <v>1.9029190808143399</v>
      </c>
      <c r="G46">
        <v>-1818.322417009814</v>
      </c>
      <c r="H46">
        <v>-1496.6438285203644</v>
      </c>
      <c r="I46">
        <v>313.48382295846397</v>
      </c>
      <c r="J46">
        <v>160.503243159557</v>
      </c>
      <c r="K46">
        <v>57.639016012466101</v>
      </c>
      <c r="L46">
        <v>0.82226748760824708</v>
      </c>
      <c r="M46">
        <v>-0.82197547950798322</v>
      </c>
      <c r="N46">
        <v>47.380599935608799</v>
      </c>
      <c r="O46">
        <v>47.380594981802297</v>
      </c>
      <c r="P46">
        <v>47.380583349401</v>
      </c>
      <c r="Q46" t="s">
        <v>51</v>
      </c>
    </row>
    <row r="47" spans="1:17" x14ac:dyDescent="0.2">
      <c r="A47">
        <v>46</v>
      </c>
      <c r="B47">
        <v>752</v>
      </c>
      <c r="C47">
        <v>225</v>
      </c>
      <c r="D47">
        <v>0.35255377261864101</v>
      </c>
      <c r="E47">
        <v>109.68241457680899</v>
      </c>
      <c r="F47">
        <v>1.90358235285248</v>
      </c>
      <c r="G47">
        <v>-1818.0095304587664</v>
      </c>
      <c r="H47">
        <v>-1496.8363066631355</v>
      </c>
      <c r="I47">
        <v>313.29665522078102</v>
      </c>
      <c r="J47">
        <v>160.511594958693</v>
      </c>
      <c r="K47">
        <v>57.618949037036401</v>
      </c>
      <c r="L47">
        <v>0.82075862524655629</v>
      </c>
      <c r="M47">
        <v>-0.82046619916662689</v>
      </c>
      <c r="N47">
        <v>47.277139350057702</v>
      </c>
      <c r="O47">
        <v>47.2771342780579</v>
      </c>
      <c r="P47">
        <v>47.277122629986401</v>
      </c>
      <c r="Q47" t="s">
        <v>51</v>
      </c>
    </row>
    <row r="48" spans="1:17" x14ac:dyDescent="0.2">
      <c r="A48">
        <v>47</v>
      </c>
      <c r="B48">
        <v>751</v>
      </c>
      <c r="C48">
        <v>225</v>
      </c>
      <c r="D48">
        <v>0.35185324415369101</v>
      </c>
      <c r="E48">
        <v>109.682445905644</v>
      </c>
      <c r="F48">
        <v>1.90424730134005</v>
      </c>
      <c r="G48">
        <v>-1817.6968330188599</v>
      </c>
      <c r="H48">
        <v>-1497.0286477345776</v>
      </c>
      <c r="I48">
        <v>313.10944043584999</v>
      </c>
      <c r="J48">
        <v>160.51991178270799</v>
      </c>
      <c r="K48">
        <v>57.598845396004201</v>
      </c>
      <c r="L48">
        <v>0.81925746983167469</v>
      </c>
      <c r="M48">
        <v>-0.81896463135918041</v>
      </c>
      <c r="N48">
        <v>47.174153477192299</v>
      </c>
      <c r="O48">
        <v>47.174148286276903</v>
      </c>
      <c r="P48">
        <v>47.174136622834602</v>
      </c>
      <c r="Q48" t="s">
        <v>51</v>
      </c>
    </row>
    <row r="49" spans="1:17" x14ac:dyDescent="0.2">
      <c r="A49">
        <v>48</v>
      </c>
      <c r="B49">
        <v>750</v>
      </c>
      <c r="C49">
        <v>225</v>
      </c>
      <c r="D49">
        <v>0.35115134633240402</v>
      </c>
      <c r="E49">
        <v>109.682477864248</v>
      </c>
      <c r="F49">
        <v>1.9025279489012199</v>
      </c>
      <c r="G49">
        <v>-1817.3844603970317</v>
      </c>
      <c r="H49">
        <v>-1497.5427417933811</v>
      </c>
      <c r="I49">
        <v>312.60777474376198</v>
      </c>
      <c r="J49">
        <v>160.54878708948399</v>
      </c>
      <c r="K49">
        <v>57.650915418926402</v>
      </c>
      <c r="L49">
        <v>0.80176020398402503</v>
      </c>
      <c r="M49">
        <v>-0.80145964683292437</v>
      </c>
      <c r="N49">
        <v>46.207685801621899</v>
      </c>
      <c r="O49">
        <v>46.2076803774738</v>
      </c>
      <c r="P49">
        <v>46.207668403647197</v>
      </c>
      <c r="Q49" t="s">
        <v>51</v>
      </c>
    </row>
    <row r="50" spans="1:17" x14ac:dyDescent="0.2">
      <c r="A50">
        <v>49</v>
      </c>
      <c r="B50">
        <v>749</v>
      </c>
      <c r="C50">
        <v>225</v>
      </c>
      <c r="D50">
        <v>0.350448075135744</v>
      </c>
      <c r="E50">
        <v>109.682481549673</v>
      </c>
      <c r="F50">
        <v>1.8883216469580599</v>
      </c>
      <c r="G50">
        <v>-1817.0727228413662</v>
      </c>
      <c r="H50">
        <v>-1500.2166741605333</v>
      </c>
      <c r="I50">
        <v>309.993139725768</v>
      </c>
      <c r="J50">
        <v>160.54809688286801</v>
      </c>
      <c r="K50">
        <v>58.084639196062398</v>
      </c>
      <c r="L50">
        <v>0.67288842573012619</v>
      </c>
      <c r="M50">
        <v>-0.67253609167638184</v>
      </c>
      <c r="N50">
        <v>39.067309658660498</v>
      </c>
      <c r="O50">
        <v>39.067303266773003</v>
      </c>
      <c r="P50">
        <v>39.067289204899303</v>
      </c>
      <c r="Q50" t="s">
        <v>51</v>
      </c>
    </row>
    <row r="51" spans="1:17" x14ac:dyDescent="0.2">
      <c r="A51">
        <v>50</v>
      </c>
      <c r="B51">
        <v>748</v>
      </c>
      <c r="C51">
        <v>225</v>
      </c>
      <c r="D51">
        <v>0.34974342652891699</v>
      </c>
      <c r="E51">
        <v>109.682455793456</v>
      </c>
      <c r="F51">
        <v>1.87112787000311</v>
      </c>
      <c r="G51">
        <v>-1816.764052930268</v>
      </c>
      <c r="H51">
        <v>-1503.5204150980749</v>
      </c>
      <c r="I51">
        <v>306.75974345581398</v>
      </c>
      <c r="J51">
        <v>160.53146973907701</v>
      </c>
      <c r="K51">
        <v>58.618364651515698</v>
      </c>
      <c r="L51">
        <v>0.51401940244764988</v>
      </c>
      <c r="M51">
        <v>-0.51360400668606232</v>
      </c>
      <c r="N51">
        <v>30.110525787835201</v>
      </c>
      <c r="O51">
        <v>30.110518184666301</v>
      </c>
      <c r="P51">
        <v>30.110501539170901</v>
      </c>
      <c r="Q51" t="s">
        <v>51</v>
      </c>
    </row>
    <row r="52" spans="1:17" x14ac:dyDescent="0.2">
      <c r="A52">
        <v>51</v>
      </c>
      <c r="B52">
        <v>747</v>
      </c>
      <c r="C52">
        <v>225</v>
      </c>
      <c r="D52">
        <v>0.34903739646130499</v>
      </c>
      <c r="E52">
        <v>109.688490166994</v>
      </c>
      <c r="F52">
        <v>1.8462478970226499</v>
      </c>
      <c r="G52">
        <v>-1816.5573087143191</v>
      </c>
      <c r="H52">
        <v>-1508.414470998991</v>
      </c>
      <c r="I52">
        <v>302.06130251972098</v>
      </c>
      <c r="J52">
        <v>160.458569500507</v>
      </c>
      <c r="K52">
        <v>59.4115721642167</v>
      </c>
      <c r="L52">
        <v>0.28864192314119247</v>
      </c>
      <c r="M52">
        <v>-0.28813676731515364</v>
      </c>
      <c r="N52">
        <v>17.1234396166975</v>
      </c>
      <c r="O52">
        <v>17.123430255744999</v>
      </c>
      <c r="P52">
        <v>17.1234098441128</v>
      </c>
      <c r="Q52" t="s">
        <v>51</v>
      </c>
    </row>
    <row r="53" spans="1:17" x14ac:dyDescent="0.2">
      <c r="A53">
        <v>52</v>
      </c>
      <c r="B53">
        <v>746</v>
      </c>
      <c r="C53">
        <v>225</v>
      </c>
      <c r="D53">
        <v>0.34832998086640898</v>
      </c>
      <c r="E53">
        <v>109.691134429727</v>
      </c>
      <c r="F53">
        <v>1.82950272334151</v>
      </c>
      <c r="G53">
        <v>-1816.3000839146366</v>
      </c>
      <c r="H53">
        <v>-1511.9229775454087</v>
      </c>
      <c r="I53">
        <v>298.66335714420501</v>
      </c>
      <c r="J53">
        <v>160.39707499554899</v>
      </c>
      <c r="K53">
        <v>59.9568030319084</v>
      </c>
      <c r="L53">
        <v>0.13301552784559836</v>
      </c>
      <c r="M53">
        <v>-0.13244851878981573</v>
      </c>
      <c r="N53">
        <v>7.9465858894169799</v>
      </c>
      <c r="O53">
        <v>7.9465751942265799</v>
      </c>
      <c r="P53">
        <v>7.9465521314368104</v>
      </c>
      <c r="Q53" t="s">
        <v>51</v>
      </c>
    </row>
    <row r="54" spans="1:17" x14ac:dyDescent="0.2">
      <c r="A54">
        <v>53</v>
      </c>
      <c r="B54">
        <v>745</v>
      </c>
      <c r="C54">
        <v>225</v>
      </c>
      <c r="D54">
        <v>0.347621175661739</v>
      </c>
      <c r="E54">
        <v>109.691330356873</v>
      </c>
      <c r="F54">
        <v>1.8245781364151099</v>
      </c>
      <c r="G54">
        <v>-1816.0053406113198</v>
      </c>
      <c r="H54">
        <v>-1513.2174461688205</v>
      </c>
      <c r="I54">
        <v>297.39603225297299</v>
      </c>
      <c r="J54">
        <v>160.399664676013</v>
      </c>
      <c r="K54">
        <v>60.118735486106601</v>
      </c>
      <c r="L54">
        <v>8.075095104217872E-2</v>
      </c>
      <c r="M54">
        <v>-8.016341332399203E-2</v>
      </c>
      <c r="N54">
        <v>4.8249149152337196</v>
      </c>
      <c r="O54">
        <v>4.8249036247622001</v>
      </c>
      <c r="P54">
        <v>4.8248796770837901</v>
      </c>
      <c r="Q54" t="s">
        <v>51</v>
      </c>
    </row>
    <row r="55" spans="1:17" x14ac:dyDescent="0.2">
      <c r="A55">
        <v>54</v>
      </c>
      <c r="B55">
        <v>758</v>
      </c>
      <c r="C55">
        <v>200</v>
      </c>
      <c r="D55">
        <v>0.383397662803666</v>
      </c>
      <c r="E55">
        <v>109.68243412501</v>
      </c>
      <c r="F55">
        <v>1.85293491169389</v>
      </c>
      <c r="G55">
        <v>-1821.3538797831375</v>
      </c>
      <c r="H55">
        <v>-1496.6240974563577</v>
      </c>
      <c r="I55">
        <v>314.92297600737101</v>
      </c>
      <c r="J55">
        <v>161.316957708525</v>
      </c>
      <c r="K55">
        <v>59.193894741149698</v>
      </c>
      <c r="L55">
        <v>0.80340792443737652</v>
      </c>
      <c r="M55">
        <v>-0.80303899706165571</v>
      </c>
      <c r="N55">
        <v>47.5389838423146</v>
      </c>
      <c r="O55">
        <v>47.538982167135501</v>
      </c>
      <c r="P55">
        <v>47.538964880538899</v>
      </c>
      <c r="Q55" t="s">
        <v>51</v>
      </c>
    </row>
    <row r="56" spans="1:17" x14ac:dyDescent="0.2">
      <c r="A56">
        <v>55</v>
      </c>
      <c r="B56">
        <v>757</v>
      </c>
      <c r="C56">
        <v>200</v>
      </c>
      <c r="D56">
        <v>0.38273115565694399</v>
      </c>
      <c r="E56">
        <v>109.682459702459</v>
      </c>
      <c r="F56">
        <v>1.8536833073239301</v>
      </c>
      <c r="G56">
        <v>-1821.0394477156935</v>
      </c>
      <c r="H56">
        <v>-1496.7862613443672</v>
      </c>
      <c r="I56">
        <v>314.76603531542702</v>
      </c>
      <c r="J56">
        <v>161.320070445032</v>
      </c>
      <c r="K56">
        <v>59.170009930553803</v>
      </c>
      <c r="L56">
        <v>0.80358042380041506</v>
      </c>
      <c r="M56">
        <v>-0.80321160551915149</v>
      </c>
      <c r="N56">
        <v>47.5300050866269</v>
      </c>
      <c r="O56">
        <v>47.530003259195603</v>
      </c>
      <c r="P56">
        <v>47.529985974307898</v>
      </c>
      <c r="Q56" t="s">
        <v>51</v>
      </c>
    </row>
    <row r="57" spans="1:17" x14ac:dyDescent="0.2">
      <c r="A57">
        <v>56</v>
      </c>
      <c r="B57">
        <v>756</v>
      </c>
      <c r="C57">
        <v>200</v>
      </c>
      <c r="D57">
        <v>0.38206335325268598</v>
      </c>
      <c r="E57">
        <v>109.68249121269599</v>
      </c>
      <c r="F57">
        <v>1.8518226925575401</v>
      </c>
      <c r="G57">
        <v>-1820.725426510455</v>
      </c>
      <c r="H57">
        <v>-1497.3093706485074</v>
      </c>
      <c r="I57">
        <v>314.25853938774799</v>
      </c>
      <c r="J57">
        <v>161.33704273194499</v>
      </c>
      <c r="K57">
        <v>59.229477883335903</v>
      </c>
      <c r="L57">
        <v>0.7859720639229969</v>
      </c>
      <c r="M57">
        <v>-0.78559459602868675</v>
      </c>
      <c r="N57">
        <v>46.534410579332999</v>
      </c>
      <c r="O57">
        <v>46.534408567705803</v>
      </c>
      <c r="P57">
        <v>46.534390861899702</v>
      </c>
      <c r="Q57" t="s">
        <v>51</v>
      </c>
    </row>
    <row r="58" spans="1:17" x14ac:dyDescent="0.2">
      <c r="A58">
        <v>57</v>
      </c>
      <c r="B58">
        <v>755</v>
      </c>
      <c r="C58">
        <v>200</v>
      </c>
      <c r="D58">
        <v>0.38139425181150599</v>
      </c>
      <c r="E58">
        <v>109.682522190163</v>
      </c>
      <c r="F58">
        <v>1.8494844987567101</v>
      </c>
      <c r="G58">
        <v>-1820.4119513610776</v>
      </c>
      <c r="H58">
        <v>-1497.8984719106929</v>
      </c>
      <c r="I58">
        <v>313.68641570292601</v>
      </c>
      <c r="J58">
        <v>161.35739427727901</v>
      </c>
      <c r="K58">
        <v>59.3043749563166</v>
      </c>
      <c r="L58">
        <v>0.76503678492217209</v>
      </c>
      <c r="M58">
        <v>-0.76464907124958614</v>
      </c>
      <c r="N58">
        <v>45.351192058688802</v>
      </c>
      <c r="O58">
        <v>45.351189849364999</v>
      </c>
      <c r="P58">
        <v>45.351171644431197</v>
      </c>
      <c r="Q58" t="s">
        <v>51</v>
      </c>
    </row>
    <row r="59" spans="1:17" x14ac:dyDescent="0.2">
      <c r="A59">
        <v>58</v>
      </c>
      <c r="B59">
        <v>754</v>
      </c>
      <c r="C59">
        <v>200</v>
      </c>
      <c r="D59">
        <v>0.38072384753930699</v>
      </c>
      <c r="E59">
        <v>109.68253758523799</v>
      </c>
      <c r="F59">
        <v>1.8403805386946701</v>
      </c>
      <c r="G59">
        <v>-1820.0989554973871</v>
      </c>
      <c r="H59">
        <v>-1499.5863068400743</v>
      </c>
      <c r="I59">
        <v>312.04415690014599</v>
      </c>
      <c r="J59">
        <v>161.32274933231301</v>
      </c>
      <c r="K59">
        <v>59.597749095430402</v>
      </c>
      <c r="L59">
        <v>0.68776517117083313</v>
      </c>
      <c r="M59">
        <v>-0.68734267831360329</v>
      </c>
      <c r="N59">
        <v>40.968610948004198</v>
      </c>
      <c r="O59">
        <v>40.968608415556602</v>
      </c>
      <c r="P59">
        <v>40.968588524821499</v>
      </c>
      <c r="Q59" t="s">
        <v>51</v>
      </c>
    </row>
    <row r="60" spans="1:17" x14ac:dyDescent="0.2">
      <c r="A60">
        <v>59</v>
      </c>
      <c r="B60">
        <v>753</v>
      </c>
      <c r="C60">
        <v>200</v>
      </c>
      <c r="D60">
        <v>0.380052136627202</v>
      </c>
      <c r="E60">
        <v>109.682511901949</v>
      </c>
      <c r="F60">
        <v>1.82128564687568</v>
      </c>
      <c r="G60">
        <v>-1819.7882821897874</v>
      </c>
      <c r="H60">
        <v>-1502.9993295522743</v>
      </c>
      <c r="I60">
        <v>308.720052440274</v>
      </c>
      <c r="J60">
        <v>161.18722352139301</v>
      </c>
      <c r="K60">
        <v>60.2225752396959</v>
      </c>
      <c r="L60">
        <v>0.52450569690297311</v>
      </c>
      <c r="M60">
        <v>-0.52401150502726734</v>
      </c>
      <c r="N60">
        <v>31.562655167517502</v>
      </c>
      <c r="O60">
        <v>31.562652086259099</v>
      </c>
      <c r="P60">
        <v>31.562628675183699</v>
      </c>
      <c r="Q60" t="s">
        <v>51</v>
      </c>
    </row>
    <row r="61" spans="1:17" x14ac:dyDescent="0.2">
      <c r="A61">
        <v>60</v>
      </c>
      <c r="B61">
        <v>752</v>
      </c>
      <c r="C61">
        <v>200</v>
      </c>
      <c r="D61">
        <v>0.37937911525142798</v>
      </c>
      <c r="E61">
        <v>109.682486294629</v>
      </c>
      <c r="F61">
        <v>1.80978193997523</v>
      </c>
      <c r="G61">
        <v>-1819.4802991043516</v>
      </c>
      <c r="H61">
        <v>-1505.234551154568</v>
      </c>
      <c r="I61">
        <v>306.54077231904301</v>
      </c>
      <c r="J61">
        <v>161.112329999351</v>
      </c>
      <c r="K61">
        <v>60.605360166280803</v>
      </c>
      <c r="L61">
        <v>0.42234897178216951</v>
      </c>
      <c r="M61">
        <v>-0.42181006539956017</v>
      </c>
      <c r="N61">
        <v>25.5697823164227</v>
      </c>
      <c r="O61">
        <v>25.569778775407599</v>
      </c>
      <c r="P61">
        <v>25.569753129930699</v>
      </c>
      <c r="Q61" t="s">
        <v>51</v>
      </c>
    </row>
    <row r="62" spans="1:17" x14ac:dyDescent="0.2">
      <c r="A62">
        <v>61</v>
      </c>
      <c r="B62">
        <v>751</v>
      </c>
      <c r="C62">
        <v>200</v>
      </c>
      <c r="D62">
        <v>0.378704779573308</v>
      </c>
      <c r="E62">
        <v>109.69145936787601</v>
      </c>
      <c r="F62">
        <v>1.7798283487687101</v>
      </c>
      <c r="G62">
        <v>-1819.3237229328606</v>
      </c>
      <c r="H62">
        <v>-1510.9136774944379</v>
      </c>
      <c r="I62">
        <v>301.14297275225601</v>
      </c>
      <c r="J62">
        <v>160.79032956684</v>
      </c>
      <c r="K62">
        <v>61.630358592591897</v>
      </c>
      <c r="L62">
        <v>0.16988570671388797</v>
      </c>
      <c r="M62">
        <v>-0.16923572862501779</v>
      </c>
      <c r="N62">
        <v>10.4371765579608</v>
      </c>
      <c r="O62">
        <v>10.4371720957023</v>
      </c>
      <c r="P62">
        <v>10.4371407634855</v>
      </c>
      <c r="Q62" t="s">
        <v>51</v>
      </c>
    </row>
    <row r="63" spans="1:17" x14ac:dyDescent="0.2">
      <c r="A63">
        <v>62</v>
      </c>
      <c r="B63">
        <v>750</v>
      </c>
      <c r="C63">
        <v>200</v>
      </c>
      <c r="D63">
        <v>0.37802912573913899</v>
      </c>
      <c r="E63">
        <v>109.69172751098699</v>
      </c>
      <c r="F63">
        <v>1.77168429291616</v>
      </c>
      <c r="G63">
        <v>-1819.0279750995358</v>
      </c>
      <c r="H63">
        <v>-1512.7476080504337</v>
      </c>
      <c r="I63">
        <v>299.35611192308897</v>
      </c>
      <c r="J63">
        <v>160.707334067772</v>
      </c>
      <c r="K63">
        <v>61.913811591362098</v>
      </c>
      <c r="L63">
        <v>9.3640124267357794E-2</v>
      </c>
      <c r="M63">
        <v>-9.2956880514027021E-2</v>
      </c>
      <c r="N63">
        <v>5.76280985002224</v>
      </c>
      <c r="O63">
        <v>5.7628048903865299</v>
      </c>
      <c r="P63">
        <v>5.7627718206135903</v>
      </c>
      <c r="Q63" t="s">
        <v>51</v>
      </c>
    </row>
    <row r="64" spans="1:17" x14ac:dyDescent="0.2">
      <c r="A64">
        <v>63</v>
      </c>
      <c r="B64">
        <v>749</v>
      </c>
      <c r="C64">
        <v>200</v>
      </c>
      <c r="D64">
        <v>0.37735214988015597</v>
      </c>
      <c r="E64">
        <v>109.69178899174101</v>
      </c>
      <c r="F64">
        <v>1.7693973164052199</v>
      </c>
      <c r="G64">
        <v>-1818.7300389821323</v>
      </c>
      <c r="H64">
        <v>-1513.5265297331612</v>
      </c>
      <c r="I64">
        <v>298.595569617222</v>
      </c>
      <c r="J64">
        <v>160.704441274342</v>
      </c>
      <c r="K64">
        <v>61.993871006086401</v>
      </c>
      <c r="L64">
        <v>6.576855043259501E-2</v>
      </c>
      <c r="M64">
        <v>-6.5073312739738431E-2</v>
      </c>
      <c r="N64">
        <v>4.0417642211550397</v>
      </c>
      <c r="O64">
        <v>4.0417588892961804</v>
      </c>
      <c r="P64">
        <v>4.0417251897808004</v>
      </c>
      <c r="Q64" t="s">
        <v>51</v>
      </c>
    </row>
    <row r="65" spans="1:17" x14ac:dyDescent="0.2">
      <c r="A65">
        <v>64</v>
      </c>
      <c r="B65">
        <v>767</v>
      </c>
      <c r="C65">
        <v>175</v>
      </c>
      <c r="D65">
        <v>0.41577705138682203</v>
      </c>
      <c r="E65">
        <v>109.682407150736</v>
      </c>
      <c r="F65">
        <v>1.78710997538218</v>
      </c>
      <c r="G65">
        <v>-1825.7026287495203</v>
      </c>
      <c r="H65">
        <v>-1495.9887010546531</v>
      </c>
      <c r="I65">
        <v>316.990052227018</v>
      </c>
      <c r="J65">
        <v>162.04197888346599</v>
      </c>
      <c r="K65">
        <v>61.374178792370898</v>
      </c>
      <c r="L65">
        <v>0.77212975807440409</v>
      </c>
      <c r="M65">
        <v>-0.77165354132380193</v>
      </c>
      <c r="N65">
        <v>47.365725562735904</v>
      </c>
      <c r="O65">
        <v>47.365733243945101</v>
      </c>
      <c r="P65">
        <v>47.365706865349203</v>
      </c>
      <c r="Q65" t="s">
        <v>51</v>
      </c>
    </row>
    <row r="66" spans="1:17" x14ac:dyDescent="0.2">
      <c r="A66">
        <v>65</v>
      </c>
      <c r="B66">
        <v>766</v>
      </c>
      <c r="C66">
        <v>175</v>
      </c>
      <c r="D66">
        <v>0.41514747630275201</v>
      </c>
      <c r="E66">
        <v>109.68243100184201</v>
      </c>
      <c r="F66">
        <v>1.7878133343448901</v>
      </c>
      <c r="G66">
        <v>-1825.386102790625</v>
      </c>
      <c r="H66">
        <v>-1496.1644917335111</v>
      </c>
      <c r="I66">
        <v>316.82133400108</v>
      </c>
      <c r="J66">
        <v>162.047534826065</v>
      </c>
      <c r="K66">
        <v>61.350046391746197</v>
      </c>
      <c r="L66">
        <v>0.77176948809849111</v>
      </c>
      <c r="M66">
        <v>-0.77129293391942222</v>
      </c>
      <c r="N66">
        <v>47.324968682679902</v>
      </c>
      <c r="O66">
        <v>47.324976184476597</v>
      </c>
      <c r="P66">
        <v>47.324949774486299</v>
      </c>
      <c r="Q66" t="s">
        <v>51</v>
      </c>
    </row>
    <row r="67" spans="1:17" x14ac:dyDescent="0.2">
      <c r="A67">
        <v>66</v>
      </c>
      <c r="B67">
        <v>765</v>
      </c>
      <c r="C67">
        <v>175</v>
      </c>
      <c r="D67">
        <v>0.41451668833983701</v>
      </c>
      <c r="E67">
        <v>109.682449721079</v>
      </c>
      <c r="F67">
        <v>1.78771310553303</v>
      </c>
      <c r="G67">
        <v>-1825.0697021329561</v>
      </c>
      <c r="H67">
        <v>-1496.4124458902106</v>
      </c>
      <c r="I67">
        <v>316.58291449288703</v>
      </c>
      <c r="J67">
        <v>162.04065468963</v>
      </c>
      <c r="K67">
        <v>61.353496476368797</v>
      </c>
      <c r="L67">
        <v>0.76808885512874026</v>
      </c>
      <c r="M67">
        <v>-0.76760989123680246</v>
      </c>
      <c r="N67">
        <v>47.101678923627297</v>
      </c>
      <c r="O67">
        <v>47.101686281873299</v>
      </c>
      <c r="P67">
        <v>47.101659717931</v>
      </c>
      <c r="Q67" t="s">
        <v>51</v>
      </c>
    </row>
    <row r="68" spans="1:17" x14ac:dyDescent="0.2">
      <c r="A68">
        <v>67</v>
      </c>
      <c r="B68">
        <v>764</v>
      </c>
      <c r="C68">
        <v>175</v>
      </c>
      <c r="D68">
        <v>0.41388468398978101</v>
      </c>
      <c r="E68">
        <v>109.68246840074499</v>
      </c>
      <c r="F68">
        <v>1.7876171119050099</v>
      </c>
      <c r="G68">
        <v>-1824.7535393619789</v>
      </c>
      <c r="H68">
        <v>-1496.6604569028607</v>
      </c>
      <c r="I68">
        <v>316.34420980791498</v>
      </c>
      <c r="J68">
        <v>162.03454515393199</v>
      </c>
      <c r="K68">
        <v>61.356801560184103</v>
      </c>
      <c r="L68">
        <v>0.76439648080855094</v>
      </c>
      <c r="M68">
        <v>-0.76391510697165199</v>
      </c>
      <c r="N68">
        <v>46.877532404483901</v>
      </c>
      <c r="O68">
        <v>46.877539615622901</v>
      </c>
      <c r="P68">
        <v>46.877512897506101</v>
      </c>
      <c r="Q68" t="s">
        <v>51</v>
      </c>
    </row>
    <row r="69" spans="1:17" x14ac:dyDescent="0.2">
      <c r="A69">
        <v>68</v>
      </c>
      <c r="B69">
        <v>763</v>
      </c>
      <c r="C69">
        <v>175</v>
      </c>
      <c r="D69">
        <v>0.41325145973073701</v>
      </c>
      <c r="E69">
        <v>109.682487041474</v>
      </c>
      <c r="F69">
        <v>1.7875258806263501</v>
      </c>
      <c r="G69">
        <v>-1824.4376147550383</v>
      </c>
      <c r="H69">
        <v>-1496.9084861152935</v>
      </c>
      <c r="I69">
        <v>316.10525668596199</v>
      </c>
      <c r="J69">
        <v>162.02920831217099</v>
      </c>
      <c r="K69">
        <v>61.359943500813401</v>
      </c>
      <c r="L69">
        <v>0.76069404486044634</v>
      </c>
      <c r="M69">
        <v>-0.76021026227320021</v>
      </c>
      <c r="N69">
        <v>46.652619959642998</v>
      </c>
      <c r="O69">
        <v>46.652627020066099</v>
      </c>
      <c r="P69">
        <v>46.6526001476403</v>
      </c>
      <c r="Q69" t="s">
        <v>51</v>
      </c>
    </row>
    <row r="70" spans="1:17" x14ac:dyDescent="0.2">
      <c r="A70">
        <v>69</v>
      </c>
      <c r="B70">
        <v>762</v>
      </c>
      <c r="C70">
        <v>175</v>
      </c>
      <c r="D70">
        <v>0.41261701202724399</v>
      </c>
      <c r="E70">
        <v>109.682512862362</v>
      </c>
      <c r="F70">
        <v>1.7860915978855401</v>
      </c>
      <c r="G70">
        <v>-1824.1221019078253</v>
      </c>
      <c r="H70">
        <v>-1497.3474026946076</v>
      </c>
      <c r="I70">
        <v>315.68186906476302</v>
      </c>
      <c r="J70">
        <v>162.02940670346101</v>
      </c>
      <c r="K70">
        <v>61.409231750605002</v>
      </c>
      <c r="L70">
        <v>0.74758542927780902</v>
      </c>
      <c r="M70">
        <v>-0.74709425173600619</v>
      </c>
      <c r="N70">
        <v>45.884728747380798</v>
      </c>
      <c r="O70">
        <v>45.884735734178598</v>
      </c>
      <c r="P70">
        <v>45.884708416101198</v>
      </c>
      <c r="Q70" t="s">
        <v>51</v>
      </c>
    </row>
    <row r="71" spans="1:17" x14ac:dyDescent="0.2">
      <c r="A71">
        <v>70</v>
      </c>
      <c r="B71">
        <v>761</v>
      </c>
      <c r="C71">
        <v>175</v>
      </c>
      <c r="D71">
        <v>0.411981337330175</v>
      </c>
      <c r="E71">
        <v>109.68254271485699</v>
      </c>
      <c r="F71">
        <v>1.78363055304701</v>
      </c>
      <c r="G71">
        <v>-1823.807182105593</v>
      </c>
      <c r="H71">
        <v>-1497.9323454932701</v>
      </c>
      <c r="I71">
        <v>315.11705887528302</v>
      </c>
      <c r="J71">
        <v>162.03345605426699</v>
      </c>
      <c r="K71">
        <v>61.493980649459601</v>
      </c>
      <c r="L71">
        <v>0.7272228518656727</v>
      </c>
      <c r="M71">
        <v>-0.72672047170706144</v>
      </c>
      <c r="N71">
        <v>44.6953138099909</v>
      </c>
      <c r="O71">
        <v>44.695320776251201</v>
      </c>
      <c r="P71">
        <v>44.695292788260197</v>
      </c>
      <c r="Q71" t="s">
        <v>51</v>
      </c>
    </row>
    <row r="72" spans="1:17" x14ac:dyDescent="0.2">
      <c r="A72">
        <v>71</v>
      </c>
      <c r="B72">
        <v>760</v>
      </c>
      <c r="C72">
        <v>175</v>
      </c>
      <c r="D72">
        <v>0.41134443207665999</v>
      </c>
      <c r="E72">
        <v>109.68257138845701</v>
      </c>
      <c r="F72">
        <v>1.7807940680637999</v>
      </c>
      <c r="G72">
        <v>-1823.4928306707716</v>
      </c>
      <c r="H72">
        <v>-1498.5705815549322</v>
      </c>
      <c r="I72">
        <v>314.50013212533003</v>
      </c>
      <c r="J72">
        <v>162.03666780790701</v>
      </c>
      <c r="K72">
        <v>61.591945613179</v>
      </c>
      <c r="L72">
        <v>0.70408950410976234</v>
      </c>
      <c r="M72">
        <v>-0.70357454764852401</v>
      </c>
      <c r="N72">
        <v>43.341057106387296</v>
      </c>
      <c r="O72">
        <v>43.341064063331203</v>
      </c>
      <c r="P72">
        <v>43.341035322279701</v>
      </c>
      <c r="Q72" t="s">
        <v>51</v>
      </c>
    </row>
    <row r="73" spans="1:17" x14ac:dyDescent="0.2">
      <c r="A73">
        <v>72</v>
      </c>
      <c r="B73">
        <v>759</v>
      </c>
      <c r="C73">
        <v>175</v>
      </c>
      <c r="D73">
        <v>0.41070629269001901</v>
      </c>
      <c r="E73">
        <v>109.682556250131</v>
      </c>
      <c r="F73">
        <v>1.7617608506492599</v>
      </c>
      <c r="G73">
        <v>-1823.1794348699395</v>
      </c>
      <c r="H73">
        <v>-1501.6435491598411</v>
      </c>
      <c r="I73">
        <v>311.52446397323303</v>
      </c>
      <c r="J73">
        <v>161.79469731395</v>
      </c>
      <c r="K73">
        <v>62.257346795797801</v>
      </c>
      <c r="L73">
        <v>0.55903313178517766</v>
      </c>
      <c r="M73">
        <v>-0.55844648656009743</v>
      </c>
      <c r="N73">
        <v>34.7748838479299</v>
      </c>
      <c r="O73">
        <v>34.774891669421898</v>
      </c>
      <c r="P73">
        <v>34.774858666495</v>
      </c>
      <c r="Q73" t="s">
        <v>51</v>
      </c>
    </row>
    <row r="74" spans="1:17" x14ac:dyDescent="0.2">
      <c r="A74">
        <v>73</v>
      </c>
      <c r="B74">
        <v>758</v>
      </c>
      <c r="C74">
        <v>175</v>
      </c>
      <c r="D74">
        <v>0.41006691557969399</v>
      </c>
      <c r="E74">
        <v>109.68253166902301</v>
      </c>
      <c r="F74">
        <v>1.7474362531665399</v>
      </c>
      <c r="G74">
        <v>-1822.8687781923668</v>
      </c>
      <c r="H74">
        <v>-1504.1129747946086</v>
      </c>
      <c r="I74">
        <v>309.130881635913</v>
      </c>
      <c r="J74">
        <v>161.60511224047599</v>
      </c>
      <c r="K74">
        <v>62.7676869300766</v>
      </c>
      <c r="L74">
        <v>0.44640573740903722</v>
      </c>
      <c r="M74">
        <v>-0.44576371610387566</v>
      </c>
      <c r="N74">
        <v>27.987788093535599</v>
      </c>
      <c r="O74">
        <v>27.987796494101499</v>
      </c>
      <c r="P74">
        <v>27.987760131385599</v>
      </c>
      <c r="Q74" t="s">
        <v>51</v>
      </c>
    </row>
    <row r="75" spans="1:17" x14ac:dyDescent="0.2">
      <c r="A75">
        <v>74</v>
      </c>
      <c r="B75">
        <v>757</v>
      </c>
      <c r="C75">
        <v>175</v>
      </c>
      <c r="D75">
        <v>0.40942629714119499</v>
      </c>
      <c r="E75">
        <v>109.689907644697</v>
      </c>
      <c r="F75">
        <v>1.7200827809569901</v>
      </c>
      <c r="G75">
        <v>-1822.6819740989229</v>
      </c>
      <c r="H75">
        <v>-1508.8577927462836</v>
      </c>
      <c r="I75">
        <v>304.64444544357599</v>
      </c>
      <c r="J75">
        <v>161.15186949480801</v>
      </c>
      <c r="K75">
        <v>63.770132960502202</v>
      </c>
      <c r="L75">
        <v>0.23815539684345241</v>
      </c>
      <c r="M75">
        <v>-0.23741082089437129</v>
      </c>
      <c r="N75">
        <v>15.149375347369199</v>
      </c>
      <c r="O75">
        <v>15.1493849957679</v>
      </c>
      <c r="P75">
        <v>15.149342257056</v>
      </c>
      <c r="Q75" t="s">
        <v>51</v>
      </c>
    </row>
    <row r="76" spans="1:17" x14ac:dyDescent="0.2">
      <c r="A76">
        <v>75</v>
      </c>
      <c r="B76">
        <v>756</v>
      </c>
      <c r="C76">
        <v>175</v>
      </c>
      <c r="D76">
        <v>0.40878443375601398</v>
      </c>
      <c r="E76">
        <v>109.69209691717801</v>
      </c>
      <c r="F76">
        <v>1.706721582293</v>
      </c>
      <c r="G76">
        <v>-1822.4142584110828</v>
      </c>
      <c r="H76">
        <v>-1511.4274869035162</v>
      </c>
      <c r="I76">
        <v>302.18382248258501</v>
      </c>
      <c r="J76">
        <v>160.91518506875201</v>
      </c>
      <c r="K76">
        <v>64.270644992844097</v>
      </c>
      <c r="L76">
        <v>0.13080972432803747</v>
      </c>
      <c r="M76">
        <v>-0.13001243443785451</v>
      </c>
      <c r="N76">
        <v>8.36637079443922</v>
      </c>
      <c r="O76">
        <v>8.3663808989654207</v>
      </c>
      <c r="P76">
        <v>8.3663347988225496</v>
      </c>
      <c r="Q76" t="s">
        <v>51</v>
      </c>
    </row>
    <row r="77" spans="1:17" x14ac:dyDescent="0.2">
      <c r="A77">
        <v>76</v>
      </c>
      <c r="B77">
        <v>755</v>
      </c>
      <c r="C77">
        <v>175</v>
      </c>
      <c r="D77">
        <v>0.40814132179156798</v>
      </c>
      <c r="E77">
        <v>109.69215844092</v>
      </c>
      <c r="F77">
        <v>1.70131815727335</v>
      </c>
      <c r="G77">
        <v>-1822.1137630330654</v>
      </c>
      <c r="H77">
        <v>-1512.6964120302912</v>
      </c>
      <c r="I77">
        <v>300.951468240873</v>
      </c>
      <c r="J77">
        <v>160.82428995230899</v>
      </c>
      <c r="K77">
        <v>64.474806180121405</v>
      </c>
      <c r="L77">
        <v>8.1651669161702717E-2</v>
      </c>
      <c r="M77">
        <v>-8.083032047776198E-2</v>
      </c>
      <c r="N77">
        <v>5.22222614500033</v>
      </c>
      <c r="O77">
        <v>5.2222362507121103</v>
      </c>
      <c r="P77">
        <v>5.2221885939783297</v>
      </c>
      <c r="Q77" t="s">
        <v>51</v>
      </c>
    </row>
    <row r="78" spans="1:17" x14ac:dyDescent="0.2">
      <c r="A78">
        <v>77</v>
      </c>
      <c r="B78">
        <v>754</v>
      </c>
      <c r="C78">
        <v>175</v>
      </c>
      <c r="D78">
        <v>0.40749695760112897</v>
      </c>
      <c r="E78">
        <v>109.69217315604099</v>
      </c>
      <c r="F78">
        <v>1.6996129179750099</v>
      </c>
      <c r="G78">
        <v>-1821.8133963449932</v>
      </c>
      <c r="H78">
        <v>-1513.3497369559639</v>
      </c>
      <c r="I78">
        <v>300.31606387528001</v>
      </c>
      <c r="J78">
        <v>160.810898929118</v>
      </c>
      <c r="K78">
        <v>64.539503080932604</v>
      </c>
      <c r="L78">
        <v>6.0026745958970944E-2</v>
      </c>
      <c r="M78">
        <v>-5.9194850386606178E-2</v>
      </c>
      <c r="N78">
        <v>3.83123507261746</v>
      </c>
      <c r="O78">
        <v>3.8312449672683599</v>
      </c>
      <c r="P78">
        <v>3.83119661892409</v>
      </c>
      <c r="Q78" t="s">
        <v>51</v>
      </c>
    </row>
    <row r="79" spans="1:17" x14ac:dyDescent="0.2">
      <c r="A79">
        <v>78</v>
      </c>
      <c r="B79">
        <v>777</v>
      </c>
      <c r="C79">
        <v>150</v>
      </c>
      <c r="D79">
        <v>0.44819359139171</v>
      </c>
      <c r="E79">
        <v>109.682364142984</v>
      </c>
      <c r="F79">
        <v>1.7003398530310201</v>
      </c>
      <c r="G79">
        <v>-1830.4545608263029</v>
      </c>
      <c r="H79">
        <v>-1495.0798840526741</v>
      </c>
      <c r="I79">
        <v>319.36218210114799</v>
      </c>
      <c r="J79">
        <v>162.48760373624799</v>
      </c>
      <c r="K79">
        <v>64.5061420794583</v>
      </c>
      <c r="L79">
        <v>0.73148964425509233</v>
      </c>
      <c r="M79">
        <v>-0.73086729433483677</v>
      </c>
      <c r="N79">
        <v>47.155351046030702</v>
      </c>
      <c r="O79">
        <v>47.155378337544398</v>
      </c>
      <c r="P79">
        <v>47.155337142715403</v>
      </c>
      <c r="Q79" t="s">
        <v>51</v>
      </c>
    </row>
    <row r="80" spans="1:17" x14ac:dyDescent="0.2">
      <c r="A80">
        <v>79</v>
      </c>
      <c r="B80">
        <v>776</v>
      </c>
      <c r="C80">
        <v>150</v>
      </c>
      <c r="D80">
        <v>0.447600915026452</v>
      </c>
      <c r="E80">
        <v>109.682382267817</v>
      </c>
      <c r="F80">
        <v>1.7003698422992899</v>
      </c>
      <c r="G80">
        <v>-1830.135605266109</v>
      </c>
      <c r="H80">
        <v>-1495.3217464305239</v>
      </c>
      <c r="I80">
        <v>319.13205239905102</v>
      </c>
      <c r="J80">
        <v>162.479253244071</v>
      </c>
      <c r="K80">
        <v>64.505015049843905</v>
      </c>
      <c r="L80">
        <v>0.72831042642059862</v>
      </c>
      <c r="M80">
        <v>-0.72768551750015409</v>
      </c>
      <c r="N80">
        <v>46.9493051212757</v>
      </c>
      <c r="O80">
        <v>46.9493323631904</v>
      </c>
      <c r="P80">
        <v>46.949290964845098</v>
      </c>
      <c r="Q80" t="s">
        <v>51</v>
      </c>
    </row>
    <row r="81" spans="1:17" x14ac:dyDescent="0.2">
      <c r="A81">
        <v>80</v>
      </c>
      <c r="B81">
        <v>775</v>
      </c>
      <c r="C81">
        <v>150</v>
      </c>
      <c r="D81">
        <v>0.44700710776129698</v>
      </c>
      <c r="E81">
        <v>109.68240023982101</v>
      </c>
      <c r="F81">
        <v>1.70038402692682</v>
      </c>
      <c r="G81">
        <v>-1829.8168790402319</v>
      </c>
      <c r="H81">
        <v>-1495.5653157828328</v>
      </c>
      <c r="I81">
        <v>318.90007416111803</v>
      </c>
      <c r="J81">
        <v>162.47113479863501</v>
      </c>
      <c r="K81">
        <v>64.504487517478694</v>
      </c>
      <c r="L81">
        <v>0.72504709074546625</v>
      </c>
      <c r="M81">
        <v>-0.72441956822324616</v>
      </c>
      <c r="N81">
        <v>46.738271950062199</v>
      </c>
      <c r="O81">
        <v>46.7382991412236</v>
      </c>
      <c r="P81">
        <v>46.738257534855997</v>
      </c>
      <c r="Q81" t="s">
        <v>51</v>
      </c>
    </row>
    <row r="82" spans="1:17" x14ac:dyDescent="0.2">
      <c r="A82">
        <v>81</v>
      </c>
      <c r="B82">
        <v>774</v>
      </c>
      <c r="C82">
        <v>150</v>
      </c>
      <c r="D82">
        <v>0.44641216635630598</v>
      </c>
      <c r="E82">
        <v>109.68241818760499</v>
      </c>
      <c r="F82">
        <v>1.7004033771737901</v>
      </c>
      <c r="G82">
        <v>-1829.498384453274</v>
      </c>
      <c r="H82">
        <v>-1495.8088332212483</v>
      </c>
      <c r="I82">
        <v>318.66792365922601</v>
      </c>
      <c r="J82">
        <v>162.46373125240501</v>
      </c>
      <c r="K82">
        <v>64.503764024455606</v>
      </c>
      <c r="L82">
        <v>0.7217773745714714</v>
      </c>
      <c r="M82">
        <v>-0.72114723804622471</v>
      </c>
      <c r="N82">
        <v>46.526689094469397</v>
      </c>
      <c r="O82">
        <v>46.526716230964396</v>
      </c>
      <c r="P82">
        <v>46.526674416041899</v>
      </c>
      <c r="Q82" t="s">
        <v>51</v>
      </c>
    </row>
    <row r="83" spans="1:17" x14ac:dyDescent="0.2">
      <c r="A83">
        <v>82</v>
      </c>
      <c r="B83">
        <v>773</v>
      </c>
      <c r="C83">
        <v>150</v>
      </c>
      <c r="D83">
        <v>0.44581608755914398</v>
      </c>
      <c r="E83">
        <v>109.68243611238999</v>
      </c>
      <c r="F83">
        <v>1.7004283609003501</v>
      </c>
      <c r="G83">
        <v>-1829.1801216821018</v>
      </c>
      <c r="H83">
        <v>-1496.0522660349291</v>
      </c>
      <c r="I83">
        <v>318.43563182892098</v>
      </c>
      <c r="J83">
        <v>162.457047094996</v>
      </c>
      <c r="K83">
        <v>64.502826837300802</v>
      </c>
      <c r="L83">
        <v>0.71850270146169659</v>
      </c>
      <c r="M83">
        <v>-0.71786995181573132</v>
      </c>
      <c r="N83">
        <v>46.314637645580703</v>
      </c>
      <c r="O83">
        <v>46.314664723376303</v>
      </c>
      <c r="P83">
        <v>46.314622699458198</v>
      </c>
      <c r="Q83" t="s">
        <v>51</v>
      </c>
    </row>
    <row r="84" spans="1:17" x14ac:dyDescent="0.2">
      <c r="A84">
        <v>83</v>
      </c>
      <c r="B84">
        <v>772</v>
      </c>
      <c r="C84">
        <v>150</v>
      </c>
      <c r="D84">
        <v>0.44521886810505501</v>
      </c>
      <c r="E84">
        <v>109.682454015423</v>
      </c>
      <c r="F84">
        <v>1.70045943061889</v>
      </c>
      <c r="G84">
        <v>-1828.8620908734626</v>
      </c>
      <c r="H84">
        <v>-1496.2955824476064</v>
      </c>
      <c r="I84">
        <v>318.20322880128799</v>
      </c>
      <c r="J84">
        <v>162.45108641182</v>
      </c>
      <c r="K84">
        <v>64.501658810821198</v>
      </c>
      <c r="L84">
        <v>0.71522445085682329</v>
      </c>
      <c r="M84">
        <v>-0.71458909022789496</v>
      </c>
      <c r="N84">
        <v>46.1021965016267</v>
      </c>
      <c r="O84">
        <v>46.102223516571897</v>
      </c>
      <c r="P84">
        <v>46.102181283307999</v>
      </c>
      <c r="Q84" t="s">
        <v>51</v>
      </c>
    </row>
    <row r="85" spans="1:17" x14ac:dyDescent="0.2">
      <c r="A85">
        <v>84</v>
      </c>
      <c r="B85">
        <v>771</v>
      </c>
      <c r="C85">
        <v>150</v>
      </c>
      <c r="D85">
        <v>0.44462050471675502</v>
      </c>
      <c r="E85">
        <v>109.682471897941</v>
      </c>
      <c r="F85">
        <v>1.7004970220856499</v>
      </c>
      <c r="G85">
        <v>-1828.5442921443055</v>
      </c>
      <c r="H85">
        <v>-1496.5387517483018</v>
      </c>
      <c r="I85">
        <v>317.970743774244</v>
      </c>
      <c r="J85">
        <v>162.44585290175399</v>
      </c>
      <c r="K85">
        <v>64.500243442600393</v>
      </c>
      <c r="L85">
        <v>0.71194395189603377</v>
      </c>
      <c r="M85">
        <v>-0.71130598364490016</v>
      </c>
      <c r="N85">
        <v>45.889441996225301</v>
      </c>
      <c r="O85">
        <v>45.889468944053597</v>
      </c>
      <c r="P85">
        <v>45.889426501182598</v>
      </c>
      <c r="Q85" t="s">
        <v>51</v>
      </c>
    </row>
    <row r="86" spans="1:17" x14ac:dyDescent="0.2">
      <c r="A86">
        <v>85</v>
      </c>
      <c r="B86">
        <v>770</v>
      </c>
      <c r="C86">
        <v>150</v>
      </c>
      <c r="D86">
        <v>0.44402099410439499</v>
      </c>
      <c r="E86">
        <v>109.68248976112601</v>
      </c>
      <c r="F86">
        <v>1.70054155316371</v>
      </c>
      <c r="G86">
        <v>-1828.226725581959</v>
      </c>
      <c r="H86">
        <v>-1496.781744401301</v>
      </c>
      <c r="I86">
        <v>317.73820490282998</v>
      </c>
      <c r="J86">
        <v>162.441349899545</v>
      </c>
      <c r="K86">
        <v>64.498564917200198</v>
      </c>
      <c r="L86">
        <v>0.70866247822684725</v>
      </c>
      <c r="M86">
        <v>-0.70802190690117484</v>
      </c>
      <c r="N86">
        <v>45.676447581800403</v>
      </c>
      <c r="O86">
        <v>45.676474458133001</v>
      </c>
      <c r="P86">
        <v>45.6764318054801</v>
      </c>
      <c r="Q86" t="s">
        <v>51</v>
      </c>
    </row>
    <row r="87" spans="1:17" x14ac:dyDescent="0.2">
      <c r="A87">
        <v>86</v>
      </c>
      <c r="B87">
        <v>769</v>
      </c>
      <c r="C87">
        <v>150</v>
      </c>
      <c r="D87">
        <v>0.44342033296550898</v>
      </c>
      <c r="E87">
        <v>109.682515316036</v>
      </c>
      <c r="F87">
        <v>1.69882779911648</v>
      </c>
      <c r="G87">
        <v>-1827.9095885532793</v>
      </c>
      <c r="H87">
        <v>-1497.2430507152317</v>
      </c>
      <c r="I87">
        <v>317.29618519623801</v>
      </c>
      <c r="J87">
        <v>162.428310060836</v>
      </c>
      <c r="K87">
        <v>64.563645222358303</v>
      </c>
      <c r="L87">
        <v>0.69483050667065926</v>
      </c>
      <c r="M87">
        <v>-0.69418103574199663</v>
      </c>
      <c r="N87">
        <v>44.829034127253202</v>
      </c>
      <c r="O87">
        <v>44.829061218561598</v>
      </c>
      <c r="P87">
        <v>44.829017899852403</v>
      </c>
      <c r="Q87" t="s">
        <v>51</v>
      </c>
    </row>
    <row r="88" spans="1:17" x14ac:dyDescent="0.2">
      <c r="A88">
        <v>87</v>
      </c>
      <c r="B88">
        <v>768</v>
      </c>
      <c r="C88">
        <v>150</v>
      </c>
      <c r="D88">
        <v>0.442818517984921</v>
      </c>
      <c r="E88">
        <v>109.682543607821</v>
      </c>
      <c r="F88">
        <v>1.69610471366282</v>
      </c>
      <c r="G88">
        <v>-1827.5930286152161</v>
      </c>
      <c r="H88">
        <v>-1497.830754894457</v>
      </c>
      <c r="I88">
        <v>316.73249016614102</v>
      </c>
      <c r="J88">
        <v>162.409325198392</v>
      </c>
      <c r="K88">
        <v>64.667318429271006</v>
      </c>
      <c r="L88">
        <v>0.67482290002821244</v>
      </c>
      <c r="M88">
        <v>-0.67416089719546668</v>
      </c>
      <c r="N88">
        <v>43.606540585624401</v>
      </c>
      <c r="O88">
        <v>43.6065680517762</v>
      </c>
      <c r="P88">
        <v>43.606523800615498</v>
      </c>
      <c r="Q88" t="s">
        <v>51</v>
      </c>
    </row>
    <row r="89" spans="1:17" x14ac:dyDescent="0.2">
      <c r="A89">
        <v>88</v>
      </c>
      <c r="B89">
        <v>767</v>
      </c>
      <c r="C89">
        <v>150</v>
      </c>
      <c r="D89">
        <v>0.44221554583473799</v>
      </c>
      <c r="E89">
        <v>109.682570409356</v>
      </c>
      <c r="F89">
        <v>1.6928886684870199</v>
      </c>
      <c r="G89">
        <v>-1827.2770344874498</v>
      </c>
      <c r="H89">
        <v>-1498.4812699924612</v>
      </c>
      <c r="I89">
        <v>316.107879648758</v>
      </c>
      <c r="J89">
        <v>162.38392477247299</v>
      </c>
      <c r="K89">
        <v>64.790185232548396</v>
      </c>
      <c r="L89">
        <v>0.65162332613633855</v>
      </c>
      <c r="M89">
        <v>-0.65094701523915754</v>
      </c>
      <c r="N89">
        <v>42.185558079915197</v>
      </c>
      <c r="O89">
        <v>42.185585993493603</v>
      </c>
      <c r="P89">
        <v>42.185540676062701</v>
      </c>
      <c r="Q89" t="s">
        <v>51</v>
      </c>
    </row>
    <row r="90" spans="1:17" x14ac:dyDescent="0.2">
      <c r="A90">
        <v>89</v>
      </c>
      <c r="B90">
        <v>766</v>
      </c>
      <c r="C90">
        <v>150</v>
      </c>
      <c r="D90">
        <v>0.44161141317423203</v>
      </c>
      <c r="E90">
        <v>109.68256638199701</v>
      </c>
      <c r="F90">
        <v>1.67753980817714</v>
      </c>
      <c r="G90">
        <v>-1826.9616870899918</v>
      </c>
      <c r="H90">
        <v>-1500.7436344443317</v>
      </c>
      <c r="I90">
        <v>313.93182632601298</v>
      </c>
      <c r="J90">
        <v>162.09722041503801</v>
      </c>
      <c r="K90">
        <v>65.382988735856898</v>
      </c>
      <c r="L90">
        <v>0.54942529630472803</v>
      </c>
      <c r="M90">
        <v>-0.54869151103228775</v>
      </c>
      <c r="N90">
        <v>35.886634066857198</v>
      </c>
      <c r="O90">
        <v>35.886664391737</v>
      </c>
      <c r="P90">
        <v>35.8866148231022</v>
      </c>
      <c r="Q90" t="s">
        <v>51</v>
      </c>
    </row>
    <row r="91" spans="1:17" x14ac:dyDescent="0.2">
      <c r="A91">
        <v>90</v>
      </c>
      <c r="B91">
        <v>765</v>
      </c>
      <c r="C91">
        <v>150</v>
      </c>
      <c r="D91">
        <v>0.44100611664981298</v>
      </c>
      <c r="E91">
        <v>109.68254380800199</v>
      </c>
      <c r="F91">
        <v>1.6618060866623301</v>
      </c>
      <c r="G91">
        <v>-1826.6486061865235</v>
      </c>
      <c r="H91">
        <v>-1503.1463809899892</v>
      </c>
      <c r="I91">
        <v>311.61855987380102</v>
      </c>
      <c r="J91">
        <v>161.779547027934</v>
      </c>
      <c r="K91">
        <v>66.002011118092895</v>
      </c>
      <c r="L91">
        <v>0.44244097748822153</v>
      </c>
      <c r="M91">
        <v>-0.44164758976058982</v>
      </c>
      <c r="N91">
        <v>29.1621848926791</v>
      </c>
      <c r="O91">
        <v>29.1622177305129</v>
      </c>
      <c r="P91">
        <v>29.162163670489399</v>
      </c>
      <c r="Q91" t="s">
        <v>51</v>
      </c>
    </row>
    <row r="92" spans="1:17" x14ac:dyDescent="0.2">
      <c r="A92">
        <v>91</v>
      </c>
      <c r="B92">
        <v>764</v>
      </c>
      <c r="C92">
        <v>150</v>
      </c>
      <c r="D92">
        <v>0.44039965289495597</v>
      </c>
      <c r="E92">
        <v>109.68764281624399</v>
      </c>
      <c r="F92">
        <v>1.63784871365637</v>
      </c>
      <c r="G92">
        <v>-1826.4214580856201</v>
      </c>
      <c r="H92">
        <v>-1506.8826901775737</v>
      </c>
      <c r="I92">
        <v>308.09808568694302</v>
      </c>
      <c r="J92">
        <v>161.22781225465999</v>
      </c>
      <c r="K92">
        <v>66.970558331590198</v>
      </c>
      <c r="L92">
        <v>0.28271650601547627</v>
      </c>
      <c r="M92">
        <v>-0.28183418250515435</v>
      </c>
      <c r="N92">
        <v>18.888707890047101</v>
      </c>
      <c r="O92">
        <v>18.8887446444418</v>
      </c>
      <c r="P92">
        <v>18.8886837162256</v>
      </c>
      <c r="Q92" t="s">
        <v>51</v>
      </c>
    </row>
    <row r="93" spans="1:17" x14ac:dyDescent="0.2">
      <c r="A93">
        <v>92</v>
      </c>
      <c r="B93">
        <v>763</v>
      </c>
      <c r="C93">
        <v>150</v>
      </c>
      <c r="D93">
        <v>0.43979201853014099</v>
      </c>
      <c r="E93">
        <v>109.692114622647</v>
      </c>
      <c r="F93">
        <v>1.62125435673356</v>
      </c>
      <c r="G93">
        <v>-1826.1877184346929</v>
      </c>
      <c r="H93">
        <v>-1509.6938937369489</v>
      </c>
      <c r="I93">
        <v>305.45713383092101</v>
      </c>
      <c r="J93">
        <v>160.819268511243</v>
      </c>
      <c r="K93">
        <v>67.658794048609593</v>
      </c>
      <c r="L93">
        <v>0.16869085988239391</v>
      </c>
      <c r="M93">
        <v>-0.16774507798742266</v>
      </c>
      <c r="N93">
        <v>11.364668006292399</v>
      </c>
      <c r="O93">
        <v>11.3647074922723</v>
      </c>
      <c r="P93">
        <v>11.3646415303444</v>
      </c>
      <c r="Q93" t="s">
        <v>51</v>
      </c>
    </row>
    <row r="94" spans="1:17" x14ac:dyDescent="0.2">
      <c r="A94">
        <v>93</v>
      </c>
      <c r="B94">
        <v>762</v>
      </c>
      <c r="C94">
        <v>150</v>
      </c>
      <c r="D94">
        <v>0.439183210162781</v>
      </c>
      <c r="E94">
        <v>109.69257101618101</v>
      </c>
      <c r="F94">
        <v>1.61185962713904</v>
      </c>
      <c r="G94">
        <v>-1825.8906421031318</v>
      </c>
      <c r="H94">
        <v>-1511.4591641056738</v>
      </c>
      <c r="I94">
        <v>303.76015239159102</v>
      </c>
      <c r="J94">
        <v>160.572569920365</v>
      </c>
      <c r="K94">
        <v>68.053426718602907</v>
      </c>
      <c r="L94">
        <v>9.9710493157291344E-2</v>
      </c>
      <c r="M94">
        <v>-9.8726231426078892E-2</v>
      </c>
      <c r="N94">
        <v>6.73456574897659</v>
      </c>
      <c r="O94">
        <v>6.7346067536916099</v>
      </c>
      <c r="P94">
        <v>6.7345376854618104</v>
      </c>
      <c r="Q94" t="s">
        <v>51</v>
      </c>
    </row>
    <row r="95" spans="1:17" x14ac:dyDescent="0.2">
      <c r="A95">
        <v>94</v>
      </c>
      <c r="B95">
        <v>761</v>
      </c>
      <c r="C95">
        <v>150</v>
      </c>
      <c r="D95">
        <v>0.43857322438717999</v>
      </c>
      <c r="E95">
        <v>109.692532347873</v>
      </c>
      <c r="F95">
        <v>1.6084526483958499</v>
      </c>
      <c r="G95">
        <v>-1825.5867098764709</v>
      </c>
      <c r="H95">
        <v>-1512.335684767992</v>
      </c>
      <c r="I95">
        <v>302.91252150389499</v>
      </c>
      <c r="J95">
        <v>160.48950908492299</v>
      </c>
      <c r="K95">
        <v>68.197551514663502</v>
      </c>
      <c r="L95">
        <v>6.9203804777205377E-2</v>
      </c>
      <c r="M95">
        <v>-6.8202365205135368E-2</v>
      </c>
      <c r="N95">
        <v>4.6674140263893102</v>
      </c>
      <c r="O95">
        <v>4.66745550250271</v>
      </c>
      <c r="P95">
        <v>4.6673850266757198</v>
      </c>
      <c r="Q95" t="s">
        <v>51</v>
      </c>
    </row>
    <row r="96" spans="1:17" x14ac:dyDescent="0.2">
      <c r="A96">
        <v>95</v>
      </c>
      <c r="B96">
        <v>791</v>
      </c>
      <c r="C96">
        <v>125</v>
      </c>
      <c r="D96">
        <v>0.48221632288681698</v>
      </c>
      <c r="E96">
        <v>109.68223956879601</v>
      </c>
      <c r="F96">
        <v>1.57883294529811</v>
      </c>
      <c r="G96">
        <v>-1836.6156518859541</v>
      </c>
      <c r="H96">
        <v>-1493.3775743282386</v>
      </c>
      <c r="I96">
        <v>322.55026222368099</v>
      </c>
      <c r="J96">
        <v>162.39510103581901</v>
      </c>
      <c r="K96">
        <v>69.470452776804606</v>
      </c>
      <c r="L96">
        <v>0.67572339507553347</v>
      </c>
      <c r="M96">
        <v>-0.67490328581212211</v>
      </c>
      <c r="N96">
        <v>46.903013785644099</v>
      </c>
      <c r="O96">
        <v>46.903076973605202</v>
      </c>
      <c r="P96">
        <v>46.9030097536927</v>
      </c>
      <c r="Q96" t="s">
        <v>51</v>
      </c>
    </row>
    <row r="97" spans="1:17" x14ac:dyDescent="0.2">
      <c r="A97">
        <v>96</v>
      </c>
      <c r="B97">
        <v>790</v>
      </c>
      <c r="C97">
        <v>125</v>
      </c>
      <c r="D97">
        <v>0.48166345294643498</v>
      </c>
      <c r="E97">
        <v>109.682261844808</v>
      </c>
      <c r="F97">
        <v>1.5797983415429599</v>
      </c>
      <c r="G97">
        <v>-1836.2935392319969</v>
      </c>
      <c r="H97">
        <v>-1493.5481596550603</v>
      </c>
      <c r="I97">
        <v>322.39022214284802</v>
      </c>
      <c r="J97">
        <v>162.40843014519299</v>
      </c>
      <c r="K97">
        <v>69.428014298131103</v>
      </c>
      <c r="L97">
        <v>0.67577414381943535</v>
      </c>
      <c r="M97">
        <v>-0.67495334456961342</v>
      </c>
      <c r="N97">
        <v>46.877818188593501</v>
      </c>
      <c r="O97">
        <v>46.877881341496803</v>
      </c>
      <c r="P97">
        <v>46.877814062342999</v>
      </c>
      <c r="Q97" t="s">
        <v>51</v>
      </c>
    </row>
    <row r="98" spans="1:17" x14ac:dyDescent="0.2">
      <c r="A98">
        <v>97</v>
      </c>
      <c r="B98">
        <v>789</v>
      </c>
      <c r="C98">
        <v>125</v>
      </c>
      <c r="D98">
        <v>0.48110954196676597</v>
      </c>
      <c r="E98">
        <v>109.68227890865499</v>
      </c>
      <c r="F98">
        <v>1.57990823515837</v>
      </c>
      <c r="G98">
        <v>-1835.9715370290662</v>
      </c>
      <c r="H98">
        <v>-1493.7872732641079</v>
      </c>
      <c r="I98">
        <v>322.16547734583202</v>
      </c>
      <c r="J98">
        <v>162.39526069607399</v>
      </c>
      <c r="K98">
        <v>69.423195896982193</v>
      </c>
      <c r="L98">
        <v>0.67296677381626735</v>
      </c>
      <c r="M98">
        <v>-0.67214310624477269</v>
      </c>
      <c r="N98">
        <v>46.679494553115603</v>
      </c>
      <c r="O98">
        <v>46.6795578673321</v>
      </c>
      <c r="P98">
        <v>46.6794903186195</v>
      </c>
      <c r="Q98" t="s">
        <v>51</v>
      </c>
    </row>
    <row r="99" spans="1:17" x14ac:dyDescent="0.2">
      <c r="A99">
        <v>98</v>
      </c>
      <c r="B99">
        <v>788</v>
      </c>
      <c r="C99">
        <v>125</v>
      </c>
      <c r="D99">
        <v>0.48055458700466802</v>
      </c>
      <c r="E99">
        <v>109.68229595907999</v>
      </c>
      <c r="F99">
        <v>1.58002330486211</v>
      </c>
      <c r="G99">
        <v>-1835.6497593788238</v>
      </c>
      <c r="H99">
        <v>-1494.0262832492067</v>
      </c>
      <c r="I99">
        <v>321.94061823807402</v>
      </c>
      <c r="J99">
        <v>162.38274855504599</v>
      </c>
      <c r="K99">
        <v>69.418150745980199</v>
      </c>
      <c r="L99">
        <v>0.67015544718673548</v>
      </c>
      <c r="M99">
        <v>-0.66932890708524628</v>
      </c>
      <c r="N99">
        <v>46.480771017576103</v>
      </c>
      <c r="O99">
        <v>46.480834490969499</v>
      </c>
      <c r="P99">
        <v>46.4807666717169</v>
      </c>
      <c r="Q99" t="s">
        <v>51</v>
      </c>
    </row>
    <row r="100" spans="1:17" x14ac:dyDescent="0.2">
      <c r="A100">
        <v>99</v>
      </c>
      <c r="B100">
        <v>787</v>
      </c>
      <c r="C100">
        <v>125</v>
      </c>
      <c r="D100">
        <v>0.479998585105882</v>
      </c>
      <c r="E100">
        <v>109.68231299765399</v>
      </c>
      <c r="F100">
        <v>1.5801439799705901</v>
      </c>
      <c r="G100">
        <v>-1835.3282064081811</v>
      </c>
      <c r="H100">
        <v>-1494.2651614813715</v>
      </c>
      <c r="I100">
        <v>321.71567114330401</v>
      </c>
      <c r="J100">
        <v>162.370901599923</v>
      </c>
      <c r="K100">
        <v>69.412860086139901</v>
      </c>
      <c r="L100">
        <v>0.66734136309278802</v>
      </c>
      <c r="M100">
        <v>-0.66651194735463937</v>
      </c>
      <c r="N100">
        <v>46.281720338718898</v>
      </c>
      <c r="O100">
        <v>46.281783968994397</v>
      </c>
      <c r="P100">
        <v>46.281715878316703</v>
      </c>
      <c r="Q100" t="s">
        <v>51</v>
      </c>
    </row>
    <row r="101" spans="1:17" x14ac:dyDescent="0.2">
      <c r="A101">
        <v>100</v>
      </c>
      <c r="B101">
        <v>786</v>
      </c>
      <c r="C101">
        <v>125</v>
      </c>
      <c r="D101">
        <v>0.47944153330501299</v>
      </c>
      <c r="E101">
        <v>109.68233002597</v>
      </c>
      <c r="F101">
        <v>1.5802706772581001</v>
      </c>
      <c r="G101">
        <v>-1835.0068782183591</v>
      </c>
      <c r="H101">
        <v>-1494.503880577548</v>
      </c>
      <c r="I101">
        <v>321.49066175623301</v>
      </c>
      <c r="J101">
        <v>162.35972735718099</v>
      </c>
      <c r="K101">
        <v>69.4073057258002</v>
      </c>
      <c r="L101">
        <v>0.66452569038310483</v>
      </c>
      <c r="M101">
        <v>-0.66369339698217145</v>
      </c>
      <c r="N101">
        <v>46.082413735596297</v>
      </c>
      <c r="O101">
        <v>46.082477520302298</v>
      </c>
      <c r="P101">
        <v>46.082409157408499</v>
      </c>
      <c r="Q101" t="s">
        <v>51</v>
      </c>
    </row>
    <row r="102" spans="1:17" x14ac:dyDescent="0.2">
      <c r="A102">
        <v>101</v>
      </c>
      <c r="B102">
        <v>785</v>
      </c>
      <c r="C102">
        <v>125</v>
      </c>
      <c r="D102">
        <v>0.47888342862543298</v>
      </c>
      <c r="E102">
        <v>109.682347045621</v>
      </c>
      <c r="F102">
        <v>1.5804037996952001</v>
      </c>
      <c r="G102">
        <v>-1834.685774885302</v>
      </c>
      <c r="H102">
        <v>-1494.7424140025905</v>
      </c>
      <c r="I102">
        <v>321.26561504364099</v>
      </c>
      <c r="J102">
        <v>162.34923300196101</v>
      </c>
      <c r="K102">
        <v>69.401470096930296</v>
      </c>
      <c r="L102">
        <v>0.66170956302226791</v>
      </c>
      <c r="M102">
        <v>-0.66087439098820466</v>
      </c>
      <c r="N102">
        <v>45.8829205996268</v>
      </c>
      <c r="O102">
        <v>45.882984536156002</v>
      </c>
      <c r="P102">
        <v>45.882915900347101</v>
      </c>
      <c r="Q102" t="s">
        <v>51</v>
      </c>
    </row>
    <row r="103" spans="1:17" x14ac:dyDescent="0.2">
      <c r="A103">
        <v>102</v>
      </c>
      <c r="B103">
        <v>784</v>
      </c>
      <c r="C103">
        <v>125</v>
      </c>
      <c r="D103">
        <v>0.47832426807926898</v>
      </c>
      <c r="E103">
        <v>109.682364058198</v>
      </c>
      <c r="F103">
        <v>1.5805437354076599</v>
      </c>
      <c r="G103">
        <v>-1834.3648964603337</v>
      </c>
      <c r="H103">
        <v>-1494.9807361568414</v>
      </c>
      <c r="I103">
        <v>321.04055515871602</v>
      </c>
      <c r="J103">
        <v>162.33942536260901</v>
      </c>
      <c r="K103">
        <v>69.395336301724299</v>
      </c>
      <c r="L103">
        <v>0.65889407617763751</v>
      </c>
      <c r="M103">
        <v>-0.65805602556799603</v>
      </c>
      <c r="N103">
        <v>45.6833082428343</v>
      </c>
      <c r="O103">
        <v>45.683372328425598</v>
      </c>
      <c r="P103">
        <v>45.683303419092098</v>
      </c>
      <c r="Q103" t="s">
        <v>51</v>
      </c>
    </row>
    <row r="104" spans="1:17" x14ac:dyDescent="0.2">
      <c r="A104">
        <v>103</v>
      </c>
      <c r="B104">
        <v>783</v>
      </c>
      <c r="C104">
        <v>125</v>
      </c>
      <c r="D104">
        <v>0.47776404866733202</v>
      </c>
      <c r="E104">
        <v>109.682381065318</v>
      </c>
      <c r="F104">
        <v>1.5806908568144</v>
      </c>
      <c r="G104">
        <v>-1834.0442429715201</v>
      </c>
      <c r="H104">
        <v>-1495.2188224509614</v>
      </c>
      <c r="I104">
        <v>320.815505367654</v>
      </c>
      <c r="J104">
        <v>162.330310929539</v>
      </c>
      <c r="K104">
        <v>69.388888151326</v>
      </c>
      <c r="L104">
        <v>0.65608028290072506</v>
      </c>
      <c r="M104">
        <v>-0.65523935477038919</v>
      </c>
      <c r="N104">
        <v>45.483641681323299</v>
      </c>
      <c r="O104">
        <v>45.483705913063602</v>
      </c>
      <c r="P104">
        <v>45.483636729682502</v>
      </c>
      <c r="Q104" t="s">
        <v>51</v>
      </c>
    </row>
    <row r="105" spans="1:17" x14ac:dyDescent="0.2">
      <c r="A105">
        <v>104</v>
      </c>
      <c r="B105">
        <v>782</v>
      </c>
      <c r="C105">
        <v>125</v>
      </c>
      <c r="D105">
        <v>0.47720276737904699</v>
      </c>
      <c r="E105">
        <v>109.68239806856199</v>
      </c>
      <c r="F105">
        <v>1.5808455199742</v>
      </c>
      <c r="G105">
        <v>-1833.7238144235278</v>
      </c>
      <c r="H105">
        <v>-1495.4566493653911</v>
      </c>
      <c r="I105">
        <v>320.59048798897999</v>
      </c>
      <c r="J105">
        <v>162.32189586793601</v>
      </c>
      <c r="K105">
        <v>69.382110195278401</v>
      </c>
      <c r="L105">
        <v>0.65326919146770723</v>
      </c>
      <c r="M105">
        <v>-0.65242538783615733</v>
      </c>
      <c r="N105">
        <v>45.283983457760399</v>
      </c>
      <c r="O105">
        <v>45.284047832587</v>
      </c>
      <c r="P105">
        <v>45.283978374719098</v>
      </c>
      <c r="Q105" t="s">
        <v>51</v>
      </c>
    </row>
    <row r="106" spans="1:17" x14ac:dyDescent="0.2">
      <c r="A106">
        <v>105</v>
      </c>
      <c r="B106">
        <v>781</v>
      </c>
      <c r="C106">
        <v>125</v>
      </c>
      <c r="D106">
        <v>0.476640421192431</v>
      </c>
      <c r="E106">
        <v>109.68241506949499</v>
      </c>
      <c r="F106">
        <v>1.5810080641111</v>
      </c>
      <c r="G106">
        <v>-1833.4036107989668</v>
      </c>
      <c r="H106">
        <v>-1495.6941944975622</v>
      </c>
      <c r="I106">
        <v>320.36552434555603</v>
      </c>
      <c r="J106">
        <v>162.31418603457701</v>
      </c>
      <c r="K106">
        <v>69.3749877431286</v>
      </c>
      <c r="L106">
        <v>0.65046176334097539</v>
      </c>
      <c r="M106">
        <v>-0.64961508715783844</v>
      </c>
      <c r="N106">
        <v>45.084393501371899</v>
      </c>
      <c r="O106">
        <v>45.084458016074898</v>
      </c>
      <c r="P106">
        <v>45.084388283361598</v>
      </c>
      <c r="Q106" t="s">
        <v>51</v>
      </c>
    </row>
    <row r="107" spans="1:17" x14ac:dyDescent="0.2">
      <c r="A107">
        <v>106</v>
      </c>
      <c r="B107">
        <v>780</v>
      </c>
      <c r="C107">
        <v>125</v>
      </c>
      <c r="D107">
        <v>0.47607700707401701</v>
      </c>
      <c r="E107">
        <v>109.682432069603</v>
      </c>
      <c r="F107">
        <v>1.58117881134062</v>
      </c>
      <c r="G107">
        <v>-1833.0836320583487</v>
      </c>
      <c r="H107">
        <v>-1495.931436593095</v>
      </c>
      <c r="I107">
        <v>320.14063473019098</v>
      </c>
      <c r="J107">
        <v>162.307186998898</v>
      </c>
      <c r="K107">
        <v>69.367506877104901</v>
      </c>
      <c r="L107">
        <v>0.64765891183414692</v>
      </c>
      <c r="M107">
        <v>-0.6468093669435484</v>
      </c>
      <c r="N107">
        <v>44.884929030667998</v>
      </c>
      <c r="O107">
        <v>44.884993681892503</v>
      </c>
      <c r="P107">
        <v>44.884923674052402</v>
      </c>
      <c r="Q107" t="s">
        <v>51</v>
      </c>
    </row>
    <row r="108" spans="1:17" x14ac:dyDescent="0.2">
      <c r="A108">
        <v>107</v>
      </c>
      <c r="B108">
        <v>779</v>
      </c>
      <c r="C108">
        <v>125</v>
      </c>
      <c r="D108">
        <v>0.475512521978807</v>
      </c>
      <c r="E108">
        <v>109.682449070403</v>
      </c>
      <c r="F108">
        <v>1.5813580665674201</v>
      </c>
      <c r="G108">
        <v>-1832.7638781429289</v>
      </c>
      <c r="H108">
        <v>-1496.1683555665547</v>
      </c>
      <c r="I108">
        <v>319.91583838372702</v>
      </c>
      <c r="J108">
        <v>162.30090406796401</v>
      </c>
      <c r="K108">
        <v>69.359654457313994</v>
      </c>
      <c r="L108">
        <v>0.64486150140322562</v>
      </c>
      <c r="M108">
        <v>-0.64400909250739513</v>
      </c>
      <c r="N108">
        <v>44.685644494663599</v>
      </c>
      <c r="O108">
        <v>44.685709278912803</v>
      </c>
      <c r="P108">
        <v>44.685638995738202</v>
      </c>
      <c r="Q108" t="s">
        <v>51</v>
      </c>
    </row>
    <row r="109" spans="1:17" x14ac:dyDescent="0.2">
      <c r="A109">
        <v>108</v>
      </c>
      <c r="B109">
        <v>778</v>
      </c>
      <c r="C109">
        <v>125</v>
      </c>
      <c r="D109">
        <v>0.47494696285021398</v>
      </c>
      <c r="E109">
        <v>109.682475800066</v>
      </c>
      <c r="F109">
        <v>1.5787824440340299</v>
      </c>
      <c r="G109">
        <v>-1832.4446394739734</v>
      </c>
      <c r="H109">
        <v>-1496.7037365711562</v>
      </c>
      <c r="I109">
        <v>319.40721249995403</v>
      </c>
      <c r="J109">
        <v>162.254728359034</v>
      </c>
      <c r="K109">
        <v>69.472824589948303</v>
      </c>
      <c r="L109">
        <v>0.62817916292766429</v>
      </c>
      <c r="M109">
        <v>-0.62731459953621593</v>
      </c>
      <c r="N109">
        <v>43.598951249715</v>
      </c>
      <c r="O109">
        <v>43.599016976541201</v>
      </c>
      <c r="P109">
        <v>43.598945540325197</v>
      </c>
      <c r="Q109" t="s">
        <v>51</v>
      </c>
    </row>
    <row r="110" spans="1:17" x14ac:dyDescent="0.2">
      <c r="A110">
        <v>109</v>
      </c>
      <c r="B110">
        <v>777</v>
      </c>
      <c r="C110">
        <v>125</v>
      </c>
      <c r="D110">
        <v>0.47438032662001101</v>
      </c>
      <c r="E110">
        <v>109.68250215990901</v>
      </c>
      <c r="F110">
        <v>1.57572029354565</v>
      </c>
      <c r="G110">
        <v>-1832.1259359327614</v>
      </c>
      <c r="H110">
        <v>-1497.293998003262</v>
      </c>
      <c r="I110">
        <v>318.84587656623</v>
      </c>
      <c r="J110">
        <v>162.19939440099799</v>
      </c>
      <c r="K110">
        <v>69.6078502061455</v>
      </c>
      <c r="L110">
        <v>0.60886542234793295</v>
      </c>
      <c r="M110">
        <v>-0.60798701671861588</v>
      </c>
      <c r="N110">
        <v>42.338580139923401</v>
      </c>
      <c r="O110">
        <v>42.338646955169303</v>
      </c>
      <c r="P110">
        <v>42.3385742009078</v>
      </c>
      <c r="Q110" t="s">
        <v>51</v>
      </c>
    </row>
    <row r="111" spans="1:17" x14ac:dyDescent="0.2">
      <c r="A111">
        <v>110</v>
      </c>
      <c r="B111">
        <v>776</v>
      </c>
      <c r="C111">
        <v>125</v>
      </c>
      <c r="D111">
        <v>0.47381261020826598</v>
      </c>
      <c r="E111">
        <v>109.682526618091</v>
      </c>
      <c r="F111">
        <v>1.5720032423544501</v>
      </c>
      <c r="G111">
        <v>-1831.8077934624735</v>
      </c>
      <c r="H111">
        <v>-1497.9584410465729</v>
      </c>
      <c r="I111">
        <v>318.21331056045699</v>
      </c>
      <c r="J111">
        <v>162.12840520034499</v>
      </c>
      <c r="K111">
        <v>69.772455719502801</v>
      </c>
      <c r="L111">
        <v>0.58594483529103614</v>
      </c>
      <c r="M111">
        <v>-0.58505033759689151</v>
      </c>
      <c r="N111">
        <v>40.8386390946647</v>
      </c>
      <c r="O111">
        <v>40.838707194507698</v>
      </c>
      <c r="P111">
        <v>40.838632901423097</v>
      </c>
      <c r="Q111" t="s">
        <v>51</v>
      </c>
    </row>
    <row r="112" spans="1:17" x14ac:dyDescent="0.2">
      <c r="A112">
        <v>111</v>
      </c>
      <c r="B112">
        <v>775</v>
      </c>
      <c r="C112">
        <v>125</v>
      </c>
      <c r="D112">
        <v>0.473243810523307</v>
      </c>
      <c r="E112">
        <v>109.68253332546099</v>
      </c>
      <c r="F112">
        <v>1.5610872741222099</v>
      </c>
      <c r="G112">
        <v>-1831.4901877186644</v>
      </c>
      <c r="H112">
        <v>-1499.4629665103569</v>
      </c>
      <c r="I112">
        <v>316.77868364289299</v>
      </c>
      <c r="J112">
        <v>161.84970736519901</v>
      </c>
      <c r="K112">
        <v>70.260346838798597</v>
      </c>
      <c r="L112">
        <v>0.52342228360625498</v>
      </c>
      <c r="M112">
        <v>-0.5224873680214277</v>
      </c>
      <c r="N112">
        <v>36.729289181793902</v>
      </c>
      <c r="O112">
        <v>36.729360716837199</v>
      </c>
      <c r="P112">
        <v>36.729282536946698</v>
      </c>
      <c r="Q112" t="s">
        <v>51</v>
      </c>
    </row>
    <row r="113" spans="1:17" x14ac:dyDescent="0.2">
      <c r="A113">
        <v>112</v>
      </c>
      <c r="B113">
        <v>774</v>
      </c>
      <c r="C113">
        <v>125</v>
      </c>
      <c r="D113">
        <v>0.47267392446163797</v>
      </c>
      <c r="E113">
        <v>109.68251379043799</v>
      </c>
      <c r="F113">
        <v>1.54441299473417</v>
      </c>
      <c r="G113">
        <v>-1831.1742120215301</v>
      </c>
      <c r="H113">
        <v>-1501.711541017745</v>
      </c>
      <c r="I113">
        <v>314.63243367440901</v>
      </c>
      <c r="J113">
        <v>161.378723494632</v>
      </c>
      <c r="K113">
        <v>71.018901138757002</v>
      </c>
      <c r="L113">
        <v>0.42773092984237127</v>
      </c>
      <c r="M113">
        <v>-0.42673559347264473</v>
      </c>
      <c r="N113">
        <v>30.3268341398601</v>
      </c>
      <c r="O113">
        <v>30.326910945547802</v>
      </c>
      <c r="P113">
        <v>30.326826858290801</v>
      </c>
      <c r="Q113" t="s">
        <v>51</v>
      </c>
    </row>
    <row r="114" spans="1:17" x14ac:dyDescent="0.2">
      <c r="A114">
        <v>113</v>
      </c>
      <c r="B114">
        <v>773</v>
      </c>
      <c r="C114">
        <v>125</v>
      </c>
      <c r="D114">
        <v>0.472102948907902</v>
      </c>
      <c r="E114">
        <v>109.682493079339</v>
      </c>
      <c r="F114">
        <v>1.5327958461701401</v>
      </c>
      <c r="G114">
        <v>-1830.8600878119353</v>
      </c>
      <c r="H114">
        <v>-1503.4151046245415</v>
      </c>
      <c r="I114">
        <v>313.00473618389401</v>
      </c>
      <c r="J114">
        <v>161.04073319470501</v>
      </c>
      <c r="K114">
        <v>71.557143995002903</v>
      </c>
      <c r="L114">
        <v>0.35855485167147816</v>
      </c>
      <c r="M114">
        <v>-0.35751565226269266</v>
      </c>
      <c r="N114">
        <v>25.604350446638101</v>
      </c>
      <c r="O114">
        <v>25.604431085873099</v>
      </c>
      <c r="P114">
        <v>25.604342631796001</v>
      </c>
      <c r="Q114" t="s">
        <v>51</v>
      </c>
    </row>
    <row r="115" spans="1:17" x14ac:dyDescent="0.2">
      <c r="A115">
        <v>114</v>
      </c>
      <c r="B115">
        <v>772</v>
      </c>
      <c r="C115">
        <v>125</v>
      </c>
      <c r="D115">
        <v>0.47153088073482102</v>
      </c>
      <c r="E115">
        <v>109.69024262895</v>
      </c>
      <c r="F115">
        <v>1.50464283460229</v>
      </c>
      <c r="G115">
        <v>-1830.6757254973243</v>
      </c>
      <c r="H115">
        <v>-1507.4268170365831</v>
      </c>
      <c r="I115">
        <v>309.28995372777001</v>
      </c>
      <c r="J115">
        <v>160.116074798201</v>
      </c>
      <c r="K115">
        <v>72.901182995992301</v>
      </c>
      <c r="L115">
        <v>0.19990099401406128</v>
      </c>
      <c r="M115">
        <v>-0.1987619992552529</v>
      </c>
      <c r="N115">
        <v>14.513970470979601</v>
      </c>
      <c r="O115">
        <v>14.514060278447101</v>
      </c>
      <c r="P115">
        <v>14.5139615973331</v>
      </c>
      <c r="Q115" t="s">
        <v>51</v>
      </c>
    </row>
    <row r="116" spans="1:17" x14ac:dyDescent="0.2">
      <c r="A116">
        <v>115</v>
      </c>
      <c r="B116">
        <v>771</v>
      </c>
      <c r="C116">
        <v>125</v>
      </c>
      <c r="D116">
        <v>0.47095771680314102</v>
      </c>
      <c r="E116">
        <v>109.693003698835</v>
      </c>
      <c r="F116">
        <v>1.4938575957247999</v>
      </c>
      <c r="G116">
        <v>-1830.4123874087193</v>
      </c>
      <c r="H116">
        <v>-1509.2225922495732</v>
      </c>
      <c r="I116">
        <v>307.61434789050003</v>
      </c>
      <c r="J116">
        <v>159.74509814780001</v>
      </c>
      <c r="K116">
        <v>73.429357666192601</v>
      </c>
      <c r="L116">
        <v>0.13411872387098353</v>
      </c>
      <c r="M116">
        <v>-0.13293795022077681</v>
      </c>
      <c r="N116">
        <v>9.7865310910122592</v>
      </c>
      <c r="O116">
        <v>9.7866246921890898</v>
      </c>
      <c r="P116">
        <v>9.7865216287615002</v>
      </c>
      <c r="Q116" t="s">
        <v>51</v>
      </c>
    </row>
    <row r="117" spans="1:17" x14ac:dyDescent="0.2">
      <c r="A117">
        <v>116</v>
      </c>
      <c r="B117">
        <v>770</v>
      </c>
      <c r="C117">
        <v>125</v>
      </c>
      <c r="D117">
        <v>0.47038345396155901</v>
      </c>
      <c r="E117">
        <v>109.692959303099</v>
      </c>
      <c r="F117">
        <v>1.48614051878065</v>
      </c>
      <c r="G117">
        <v>-1830.1048276435386</v>
      </c>
      <c r="H117">
        <v>-1510.6101718106258</v>
      </c>
      <c r="I117">
        <v>306.28439330775501</v>
      </c>
      <c r="J117">
        <v>159.46028056210801</v>
      </c>
      <c r="K117">
        <v>73.810624175094603</v>
      </c>
      <c r="L117">
        <v>8.4399903206275315E-2</v>
      </c>
      <c r="M117">
        <v>-8.3187309224482267E-2</v>
      </c>
      <c r="N117">
        <v>6.1658349056684498</v>
      </c>
      <c r="O117">
        <v>6.1659313565620097</v>
      </c>
      <c r="P117">
        <v>6.16582492422003</v>
      </c>
      <c r="Q117" t="s">
        <v>51</v>
      </c>
    </row>
    <row r="118" spans="1:17" x14ac:dyDescent="0.2">
      <c r="A118">
        <v>117</v>
      </c>
      <c r="B118">
        <v>769</v>
      </c>
      <c r="C118">
        <v>125</v>
      </c>
      <c r="D118">
        <v>0.46980808904668597</v>
      </c>
      <c r="E118">
        <v>109.6928691474</v>
      </c>
      <c r="F118">
        <v>1.48347798156591</v>
      </c>
      <c r="G118">
        <v>-1829.797441176755</v>
      </c>
      <c r="H118">
        <v>-1511.3190050630785</v>
      </c>
      <c r="I118">
        <v>305.60324969664202</v>
      </c>
      <c r="J118">
        <v>159.362572064815</v>
      </c>
      <c r="K118">
        <v>73.943038259059094</v>
      </c>
      <c r="L118">
        <v>6.2363474049798202E-2</v>
      </c>
      <c r="M118">
        <v>-6.1136259595950058E-2</v>
      </c>
      <c r="N118">
        <v>4.546627763769</v>
      </c>
      <c r="O118">
        <v>4.5467253931011298</v>
      </c>
      <c r="P118">
        <v>4.5466174128615204</v>
      </c>
      <c r="Q118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C9000-066B-431E-9BC7-22560D9F433F}">
  <sheetPr codeName="Sheet4"/>
  <dimension ref="A1:AI118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757</v>
      </c>
      <c r="C2">
        <v>275</v>
      </c>
      <c r="D2">
        <v>0.30264573120419402</v>
      </c>
      <c r="E2">
        <v>105.574235357132</v>
      </c>
      <c r="F2">
        <v>2.1917620970085299</v>
      </c>
      <c r="G2">
        <v>-1727.7299909758733</v>
      </c>
      <c r="H2">
        <v>-1441.6820265361025</v>
      </c>
      <c r="I2">
        <v>277.67603207277602</v>
      </c>
      <c r="J2">
        <v>142.94784124129899</v>
      </c>
      <c r="K2">
        <v>48.168656398076898</v>
      </c>
      <c r="L2">
        <v>1.5958041261937816E-4</v>
      </c>
      <c r="M2">
        <v>1.7797278464086665E-5</v>
      </c>
      <c r="N2" s="1">
        <v>3.8239844694333298E-6</v>
      </c>
      <c r="O2" s="1">
        <v>1.0507877433302999E-7</v>
      </c>
      <c r="P2" s="1">
        <v>-5.3423213251463296E-7</v>
      </c>
      <c r="Q2">
        <v>72.328252950841701</v>
      </c>
      <c r="R2">
        <v>6.5356855076041401E-2</v>
      </c>
      <c r="S2">
        <v>11.9820900972747</v>
      </c>
      <c r="T2">
        <v>0.14791595653813699</v>
      </c>
      <c r="V2">
        <v>0.35944800860603399</v>
      </c>
      <c r="W2">
        <v>2.2732819156883698E-2</v>
      </c>
      <c r="X2">
        <v>4.73600399101754E-2</v>
      </c>
      <c r="AA2">
        <v>0.51148843102988795</v>
      </c>
      <c r="AB2">
        <v>3.7603871688678598</v>
      </c>
      <c r="AC2">
        <v>4.3665956797180696</v>
      </c>
      <c r="AD2">
        <v>5.6832047892208396E-3</v>
      </c>
      <c r="AE2">
        <v>6.4026887881911803</v>
      </c>
    </row>
    <row r="3" spans="1:35" x14ac:dyDescent="0.2">
      <c r="A3">
        <v>2</v>
      </c>
      <c r="B3">
        <v>756</v>
      </c>
      <c r="C3">
        <v>275</v>
      </c>
      <c r="D3">
        <v>0.30190011174270298</v>
      </c>
      <c r="E3">
        <v>105.457860864395</v>
      </c>
      <c r="F3">
        <v>2.1921783546912099</v>
      </c>
      <c r="G3">
        <v>-1725.5193912129525</v>
      </c>
      <c r="H3">
        <v>-1440.1919616112032</v>
      </c>
      <c r="I3">
        <v>277.24571695258101</v>
      </c>
      <c r="J3">
        <v>142.787865935122</v>
      </c>
      <c r="K3">
        <v>48.106423749107101</v>
      </c>
      <c r="L3">
        <v>1.5957115419993367E-4</v>
      </c>
      <c r="M3">
        <v>1.7788955075320625E-5</v>
      </c>
      <c r="N3" s="1">
        <v>3.8247049866094496E-6</v>
      </c>
      <c r="O3" s="1">
        <v>1.04889165572112E-7</v>
      </c>
      <c r="P3" s="1">
        <v>-5.33744850621297E-7</v>
      </c>
      <c r="Q3">
        <v>72.303986665930495</v>
      </c>
      <c r="R3">
        <v>6.5428977446000805E-2</v>
      </c>
      <c r="S3">
        <v>11.9953125317678</v>
      </c>
      <c r="T3">
        <v>0.148339866341057</v>
      </c>
      <c r="V3">
        <v>0.35961010080149802</v>
      </c>
      <c r="W3">
        <v>2.27579051986085E-2</v>
      </c>
      <c r="X3">
        <v>4.7412302497103098E-2</v>
      </c>
      <c r="AA3">
        <v>0.5120528669687</v>
      </c>
      <c r="AB3">
        <v>3.7645368182698502</v>
      </c>
      <c r="AC3">
        <v>4.3714142902326998</v>
      </c>
      <c r="AD3">
        <v>5.6894762996519297E-3</v>
      </c>
      <c r="AE3">
        <v>6.4034581982463603</v>
      </c>
    </row>
    <row r="4" spans="1:35" x14ac:dyDescent="0.2">
      <c r="A4">
        <v>3</v>
      </c>
      <c r="B4">
        <v>755</v>
      </c>
      <c r="C4">
        <v>275</v>
      </c>
      <c r="D4">
        <v>0.30115304187132302</v>
      </c>
      <c r="E4">
        <v>105.235049889023</v>
      </c>
      <c r="F4">
        <v>2.19263497998584</v>
      </c>
      <c r="G4">
        <v>-1721.5461359467433</v>
      </c>
      <c r="H4">
        <v>-1437.2067001860323</v>
      </c>
      <c r="I4">
        <v>276.554428595741</v>
      </c>
      <c r="J4">
        <v>142.49545907422501</v>
      </c>
      <c r="K4">
        <v>47.994787481545302</v>
      </c>
      <c r="L4">
        <v>1.5961606809842453E-4</v>
      </c>
      <c r="M4">
        <v>1.778153742542118E-5</v>
      </c>
      <c r="N4" s="1">
        <v>3.8224289544719302E-6</v>
      </c>
      <c r="O4" s="1">
        <v>1.0461661043518E-7</v>
      </c>
      <c r="P4" s="1">
        <v>-5.3299653303466201E-7</v>
      </c>
      <c r="Q4">
        <v>72.256634266707806</v>
      </c>
      <c r="R4">
        <v>6.5567508233013203E-2</v>
      </c>
      <c r="S4">
        <v>12.020709842720899</v>
      </c>
      <c r="T4">
        <v>0.148941267054088</v>
      </c>
      <c r="V4">
        <v>0.36011295395155302</v>
      </c>
      <c r="W4">
        <v>2.2806089820177702E-2</v>
      </c>
      <c r="X4">
        <v>4.7512687125373598E-2</v>
      </c>
      <c r="AA4">
        <v>0.51313702095401204</v>
      </c>
      <c r="AB4">
        <v>3.7725073577544399</v>
      </c>
      <c r="AC4">
        <v>4.3806697529590997</v>
      </c>
      <c r="AD4">
        <v>5.7015224550441002E-3</v>
      </c>
      <c r="AE4">
        <v>6.4056997302644003</v>
      </c>
    </row>
    <row r="5" spans="1:35" x14ac:dyDescent="0.2">
      <c r="A5">
        <v>4</v>
      </c>
      <c r="B5">
        <v>754</v>
      </c>
      <c r="C5">
        <v>275</v>
      </c>
      <c r="D5">
        <v>0.30040451735384299</v>
      </c>
      <c r="E5">
        <v>105.01333680238901</v>
      </c>
      <c r="F5">
        <v>2.1930915652469398</v>
      </c>
      <c r="G5">
        <v>-1717.5923747890088</v>
      </c>
      <c r="H5">
        <v>-1434.2362505645474</v>
      </c>
      <c r="I5">
        <v>275.86635274737</v>
      </c>
      <c r="J5">
        <v>142.204496270936</v>
      </c>
      <c r="K5">
        <v>47.883699188166403</v>
      </c>
      <c r="L5">
        <v>1.596610314033585E-4</v>
      </c>
      <c r="M5">
        <v>1.7774117359587627E-5</v>
      </c>
      <c r="N5" s="1">
        <v>3.8201784504777298E-6</v>
      </c>
      <c r="O5" s="1">
        <v>1.04345482500961E-7</v>
      </c>
      <c r="P5" s="1">
        <v>-5.3225304011588404E-7</v>
      </c>
      <c r="Q5">
        <v>72.209302056190793</v>
      </c>
      <c r="R5">
        <v>6.5705939932032401E-2</v>
      </c>
      <c r="S5">
        <v>12.046088987541699</v>
      </c>
      <c r="T5">
        <v>0.14954477542994499</v>
      </c>
      <c r="V5">
        <v>0.360613163853305</v>
      </c>
      <c r="W5">
        <v>2.28542399763581E-2</v>
      </c>
      <c r="X5">
        <v>4.7612999950750599E-2</v>
      </c>
      <c r="AA5">
        <v>0.51422039946807496</v>
      </c>
      <c r="AB5">
        <v>3.78047219608928</v>
      </c>
      <c r="AC5">
        <v>4.3899185954587203</v>
      </c>
      <c r="AD5">
        <v>5.7135599940890697E-3</v>
      </c>
      <c r="AE5">
        <v>6.40795308611475</v>
      </c>
    </row>
    <row r="6" spans="1:35" x14ac:dyDescent="0.2">
      <c r="A6">
        <v>5</v>
      </c>
      <c r="B6">
        <v>753</v>
      </c>
      <c r="C6">
        <v>275</v>
      </c>
      <c r="D6">
        <v>0.29965453393753799</v>
      </c>
      <c r="E6">
        <v>104.792712617384</v>
      </c>
      <c r="F6">
        <v>2.1935481109562098</v>
      </c>
      <c r="G6">
        <v>-1713.6579495925007</v>
      </c>
      <c r="H6">
        <v>-1431.2804910275554</v>
      </c>
      <c r="I6">
        <v>275.18146329965901</v>
      </c>
      <c r="J6">
        <v>141.91496582708999</v>
      </c>
      <c r="K6">
        <v>47.773154413149904</v>
      </c>
      <c r="L6">
        <v>1.5970604460899447E-4</v>
      </c>
      <c r="M6">
        <v>1.7766694869046199E-5</v>
      </c>
      <c r="N6" s="1">
        <v>3.8179533119857196E-6</v>
      </c>
      <c r="O6" s="1">
        <v>1.04075770595414E-7</v>
      </c>
      <c r="P6" s="1">
        <v>-5.3151433703371396E-7</v>
      </c>
      <c r="Q6">
        <v>72.161989778329001</v>
      </c>
      <c r="R6">
        <v>6.5844273210039397E-2</v>
      </c>
      <c r="S6">
        <v>12.0714500885116</v>
      </c>
      <c r="T6">
        <v>0.15015040406123301</v>
      </c>
      <c r="V6">
        <v>0.361110724202167</v>
      </c>
      <c r="W6">
        <v>2.2902355899142302E-2</v>
      </c>
      <c r="X6">
        <v>4.77132414565547E-2</v>
      </c>
      <c r="AA6">
        <v>0.51530300773073401</v>
      </c>
      <c r="AB6">
        <v>3.7884313716498799</v>
      </c>
      <c r="AC6">
        <v>4.3991608622934697</v>
      </c>
      <c r="AD6">
        <v>5.7255889747847401E-3</v>
      </c>
      <c r="AE6">
        <v>6.4102183036812397</v>
      </c>
    </row>
    <row r="7" spans="1:35" x14ac:dyDescent="0.2">
      <c r="A7">
        <v>6</v>
      </c>
      <c r="B7">
        <v>752</v>
      </c>
      <c r="C7">
        <v>275</v>
      </c>
      <c r="D7">
        <v>0.29890308735307097</v>
      </c>
      <c r="E7">
        <v>104.57316844416199</v>
      </c>
      <c r="F7">
        <v>2.1940046175808301</v>
      </c>
      <c r="G7">
        <v>-1709.7427039241011</v>
      </c>
      <c r="H7">
        <v>-1428.3393011724436</v>
      </c>
      <c r="I7">
        <v>274.499734430724</v>
      </c>
      <c r="J7">
        <v>141.62685617244</v>
      </c>
      <c r="K7">
        <v>47.6631487491887</v>
      </c>
      <c r="L7">
        <v>1.5975110821861335E-4</v>
      </c>
      <c r="M7">
        <v>1.7759269945600111E-5</v>
      </c>
      <c r="N7" s="1">
        <v>3.8157533786667598E-6</v>
      </c>
      <c r="O7" s="1">
        <v>1.03807463673422E-7</v>
      </c>
      <c r="P7" s="1">
        <v>-5.30780389398009E-7</v>
      </c>
      <c r="Q7">
        <v>72.114697177035197</v>
      </c>
      <c r="R7">
        <v>6.5982508732003703E-2</v>
      </c>
      <c r="S7">
        <v>12.0967932675391</v>
      </c>
      <c r="T7">
        <v>0.15075816560448699</v>
      </c>
      <c r="V7">
        <v>0.36160562862129397</v>
      </c>
      <c r="W7">
        <v>2.2950437819825299E-2</v>
      </c>
      <c r="X7">
        <v>4.7813412124645398E-2</v>
      </c>
      <c r="AA7">
        <v>0.51638485094610498</v>
      </c>
      <c r="AB7">
        <v>3.7963849226962001</v>
      </c>
      <c r="AC7">
        <v>4.4083965978913202</v>
      </c>
      <c r="AD7">
        <v>5.7376094549553402E-3</v>
      </c>
      <c r="AE7">
        <v>6.4124954215348202</v>
      </c>
    </row>
    <row r="8" spans="1:35" x14ac:dyDescent="0.2">
      <c r="A8">
        <v>7</v>
      </c>
      <c r="B8">
        <v>751</v>
      </c>
      <c r="C8">
        <v>275</v>
      </c>
      <c r="D8">
        <v>0.29815017331445698</v>
      </c>
      <c r="E8">
        <v>104.354695487141</v>
      </c>
      <c r="F8">
        <v>2.1944610855784599</v>
      </c>
      <c r="G8">
        <v>-1705.8464830128764</v>
      </c>
      <c r="H8">
        <v>-1425.4125618719172</v>
      </c>
      <c r="I8">
        <v>273.821140595575</v>
      </c>
      <c r="J8">
        <v>141.34015586062301</v>
      </c>
      <c r="K8">
        <v>47.5536778359563</v>
      </c>
      <c r="L8">
        <v>1.5979622274276938E-4</v>
      </c>
      <c r="M8">
        <v>1.775184258144348E-5</v>
      </c>
      <c r="N8" s="1">
        <v>3.81357849233871E-6</v>
      </c>
      <c r="O8" s="1">
        <v>1.03540550813437E-7</v>
      </c>
      <c r="P8" s="1">
        <v>-5.3005116323506297E-7</v>
      </c>
      <c r="Q8">
        <v>72.067423995952694</v>
      </c>
      <c r="R8">
        <v>6.6120647161971496E-2</v>
      </c>
      <c r="S8">
        <v>12.122118646367101</v>
      </c>
      <c r="T8">
        <v>0.15136807278314399</v>
      </c>
      <c r="V8">
        <v>0.36209787066625798</v>
      </c>
      <c r="W8">
        <v>2.29984859693791E-2</v>
      </c>
      <c r="X8">
        <v>4.7913512436216901E-2</v>
      </c>
      <c r="AA8">
        <v>0.51746593431107002</v>
      </c>
      <c r="AB8">
        <v>3.80433288743491</v>
      </c>
      <c r="AC8">
        <v>4.4176258466180904</v>
      </c>
      <c r="AD8">
        <v>5.7496214923436397E-3</v>
      </c>
      <c r="AE8">
        <v>6.4147844788066601</v>
      </c>
    </row>
    <row r="9" spans="1:35" x14ac:dyDescent="0.2">
      <c r="A9">
        <v>8</v>
      </c>
      <c r="B9">
        <v>750</v>
      </c>
      <c r="C9">
        <v>275</v>
      </c>
      <c r="D9">
        <v>0.29739578751893703</v>
      </c>
      <c r="E9">
        <v>104.13728504526</v>
      </c>
      <c r="F9">
        <v>2.1949175153938101</v>
      </c>
      <c r="G9">
        <v>-1701.9691337535457</v>
      </c>
      <c r="H9">
        <v>-1422.500155278103</v>
      </c>
      <c r="I9">
        <v>273.14565652684598</v>
      </c>
      <c r="J9">
        <v>141.054853569535</v>
      </c>
      <c r="K9">
        <v>47.444737360244503</v>
      </c>
      <c r="L9">
        <v>1.5984138870027875E-4</v>
      </c>
      <c r="M9">
        <v>1.7744412769279607E-5</v>
      </c>
      <c r="N9" s="1">
        <v>3.8114284970448101E-6</v>
      </c>
      <c r="O9" s="1">
        <v>1.0327502121856E-7</v>
      </c>
      <c r="P9" s="1">
        <v>-5.2932662499593305E-7</v>
      </c>
      <c r="Q9">
        <v>72.020169978685402</v>
      </c>
      <c r="R9">
        <v>6.6258689162113901E-2</v>
      </c>
      <c r="S9">
        <v>12.147426346394999</v>
      </c>
      <c r="T9">
        <v>0.15198013838537</v>
      </c>
      <c r="V9">
        <v>0.36258744382028502</v>
      </c>
      <c r="W9">
        <v>2.3046500578123501E-2</v>
      </c>
      <c r="X9">
        <v>4.8013542871104403E-2</v>
      </c>
      <c r="AA9">
        <v>0.51854626300783202</v>
      </c>
      <c r="AB9">
        <v>3.8122753039647499</v>
      </c>
      <c r="AC9">
        <v>4.4268486527143702</v>
      </c>
      <c r="AD9">
        <v>5.7616251445294104E-3</v>
      </c>
      <c r="AE9">
        <v>6.41708551527101</v>
      </c>
    </row>
    <row r="10" spans="1:35" x14ac:dyDescent="0.2">
      <c r="A10">
        <v>9</v>
      </c>
      <c r="B10">
        <v>749</v>
      </c>
      <c r="C10">
        <v>275</v>
      </c>
      <c r="D10">
        <v>0.29663992564692099</v>
      </c>
      <c r="E10">
        <v>103.92092850936299</v>
      </c>
      <c r="F10">
        <v>2.1953739074618799</v>
      </c>
      <c r="G10">
        <v>-1698.1105046613245</v>
      </c>
      <c r="H10">
        <v>-1419.6019647866081</v>
      </c>
      <c r="I10">
        <v>272.47325722713498</v>
      </c>
      <c r="J10">
        <v>140.770938097868</v>
      </c>
      <c r="K10">
        <v>47.336323054649398</v>
      </c>
      <c r="L10">
        <v>1.5988660661727527E-4</v>
      </c>
      <c r="M10">
        <v>1.7736980502205924E-5</v>
      </c>
      <c r="N10" s="1">
        <v>3.8093032389332501E-6</v>
      </c>
      <c r="O10" s="1">
        <v>1.03010864212395E-7</v>
      </c>
      <c r="P10" s="1">
        <v>-5.2860674153845504E-7</v>
      </c>
      <c r="Q10">
        <v>71.972934868591096</v>
      </c>
      <c r="R10">
        <v>6.6396635393597705E-2</v>
      </c>
      <c r="S10">
        <v>12.1727164888341</v>
      </c>
      <c r="T10">
        <v>0.15259437526681099</v>
      </c>
      <c r="V10">
        <v>0.363074341498688</v>
      </c>
      <c r="W10">
        <v>2.30944818760308E-2</v>
      </c>
      <c r="X10">
        <v>4.8113503908411903E-2</v>
      </c>
      <c r="AA10">
        <v>0.51962584221074803</v>
      </c>
      <c r="AB10">
        <v>3.82021221032692</v>
      </c>
      <c r="AC10">
        <v>4.4360650603540401</v>
      </c>
      <c r="AD10">
        <v>5.77362046900615E-3</v>
      </c>
      <c r="AE10">
        <v>6.4193985712704498</v>
      </c>
    </row>
    <row r="11" spans="1:35" x14ac:dyDescent="0.2">
      <c r="A11">
        <v>10</v>
      </c>
      <c r="B11">
        <v>748</v>
      </c>
      <c r="C11">
        <v>275</v>
      </c>
      <c r="D11">
        <v>0.29588258336189799</v>
      </c>
      <c r="E11">
        <v>103.705617361553</v>
      </c>
      <c r="F11">
        <v>2.1958302622037702</v>
      </c>
      <c r="G11">
        <v>-1694.2704458606734</v>
      </c>
      <c r="H11">
        <v>-1416.7178750278338</v>
      </c>
      <c r="I11">
        <v>271.80391796781998</v>
      </c>
      <c r="J11">
        <v>140.48839836442201</v>
      </c>
      <c r="K11">
        <v>47.228430697313101</v>
      </c>
      <c r="L11">
        <v>1.5993187702942408E-4</v>
      </c>
      <c r="M11">
        <v>1.7729545773895464E-5</v>
      </c>
      <c r="N11" s="1">
        <v>3.8072025663346199E-6</v>
      </c>
      <c r="O11" s="1">
        <v>1.02748069240068E-7</v>
      </c>
      <c r="P11" s="1">
        <v>-5.2789148013741804E-7</v>
      </c>
      <c r="Q11">
        <v>71.925718408751393</v>
      </c>
      <c r="R11">
        <v>6.6534486516237196E-2</v>
      </c>
      <c r="S11">
        <v>12.197989194651599</v>
      </c>
      <c r="T11">
        <v>0.15321079634962101</v>
      </c>
      <c r="V11">
        <v>0.36355855704635198</v>
      </c>
      <c r="W11">
        <v>2.3142430092600901E-2</v>
      </c>
      <c r="X11">
        <v>4.8213396026266897E-2</v>
      </c>
      <c r="AA11">
        <v>0.52070467708357904</v>
      </c>
      <c r="AB11">
        <v>3.82814364448457</v>
      </c>
      <c r="AC11">
        <v>4.4452751136202204</v>
      </c>
      <c r="AD11">
        <v>5.7856075231486302E-3</v>
      </c>
      <c r="AE11">
        <v>6.4217236878542696</v>
      </c>
    </row>
    <row r="12" spans="1:35" x14ac:dyDescent="0.2">
      <c r="A12">
        <v>11</v>
      </c>
      <c r="B12">
        <v>747</v>
      </c>
      <c r="C12">
        <v>275</v>
      </c>
      <c r="D12">
        <v>0.29512375631034898</v>
      </c>
      <c r="E12">
        <v>103.491343174802</v>
      </c>
      <c r="F12">
        <v>2.1962865800299198</v>
      </c>
      <c r="G12">
        <v>-1690.4488090768857</v>
      </c>
      <c r="H12">
        <v>-1413.8477718623492</v>
      </c>
      <c r="I12">
        <v>271.13761428665998</v>
      </c>
      <c r="J12">
        <v>140.20722340736199</v>
      </c>
      <c r="K12">
        <v>47.121056111626501</v>
      </c>
      <c r="L12">
        <v>1.5997720047932108E-4</v>
      </c>
      <c r="M12">
        <v>1.7722108578424118E-5</v>
      </c>
      <c r="N12" s="1">
        <v>3.8051263296862901E-6</v>
      </c>
      <c r="O12" s="1">
        <v>1.0248662586537901E-7</v>
      </c>
      <c r="P12" s="1">
        <v>-5.2718080846921195E-7</v>
      </c>
      <c r="Q12">
        <v>71.8785203422797</v>
      </c>
      <c r="R12">
        <v>6.6672243187973101E-2</v>
      </c>
      <c r="S12">
        <v>12.223244584471001</v>
      </c>
      <c r="T12">
        <v>0.15382941462152999</v>
      </c>
      <c r="V12">
        <v>0.36404008373508101</v>
      </c>
      <c r="W12">
        <v>2.3190345456682498E-2</v>
      </c>
      <c r="X12">
        <v>4.8313219701438898E-2</v>
      </c>
      <c r="AA12">
        <v>0.52178277277542195</v>
      </c>
      <c r="AB12">
        <v>3.8360696442930902</v>
      </c>
      <c r="AC12">
        <v>4.4544788564708702</v>
      </c>
      <c r="AD12">
        <v>5.79758636416883E-3</v>
      </c>
      <c r="AE12">
        <v>6.4240609066429499</v>
      </c>
    </row>
    <row r="13" spans="1:35" x14ac:dyDescent="0.2">
      <c r="A13">
        <v>12</v>
      </c>
      <c r="B13">
        <v>746</v>
      </c>
      <c r="C13">
        <v>275</v>
      </c>
      <c r="D13">
        <v>0.29436344012167098</v>
      </c>
      <c r="E13">
        <v>103.278097609695</v>
      </c>
      <c r="F13">
        <v>2.1967428613378899</v>
      </c>
      <c r="G13">
        <v>-1686.6454475815265</v>
      </c>
      <c r="H13">
        <v>-1410.9915423355956</v>
      </c>
      <c r="I13">
        <v>270.47432198001201</v>
      </c>
      <c r="J13">
        <v>139.92740238024999</v>
      </c>
      <c r="K13">
        <v>47.014195164743001</v>
      </c>
      <c r="L13">
        <v>1.6002257751947824E-4</v>
      </c>
      <c r="M13">
        <v>1.7714668910428675E-5</v>
      </c>
      <c r="N13" s="1">
        <v>3.80307438151515E-6</v>
      </c>
      <c r="O13" s="1">
        <v>1.02226523769283E-7</v>
      </c>
      <c r="P13" s="1">
        <v>-5.2647469461228905E-7</v>
      </c>
      <c r="Q13">
        <v>71.831340411746396</v>
      </c>
      <c r="R13">
        <v>6.6809906066208194E-2</v>
      </c>
      <c r="S13">
        <v>12.248482778815299</v>
      </c>
      <c r="T13">
        <v>0.154450243139684</v>
      </c>
      <c r="V13">
        <v>0.364518914770323</v>
      </c>
      <c r="W13">
        <v>2.3238228196937799E-2</v>
      </c>
      <c r="X13">
        <v>4.8412975410306203E-2</v>
      </c>
      <c r="AA13">
        <v>0.52286013443117296</v>
      </c>
      <c r="AB13">
        <v>3.843990247577</v>
      </c>
      <c r="AC13">
        <v>4.4636763328281903</v>
      </c>
      <c r="AD13">
        <v>5.8095570492324401E-3</v>
      </c>
      <c r="AE13">
        <v>6.4264102699691499</v>
      </c>
    </row>
    <row r="14" spans="1:35" x14ac:dyDescent="0.2">
      <c r="A14">
        <v>13</v>
      </c>
      <c r="B14">
        <v>745</v>
      </c>
      <c r="C14">
        <v>275</v>
      </c>
      <c r="D14">
        <v>0.29360163040809401</v>
      </c>
      <c r="E14">
        <v>103.06587241511799</v>
      </c>
      <c r="F14">
        <v>2.1971991065135499</v>
      </c>
      <c r="G14">
        <v>-1682.8602162021152</v>
      </c>
      <c r="H14">
        <v>-1408.1490746882102</v>
      </c>
      <c r="I14">
        <v>269.814017103477</v>
      </c>
      <c r="J14">
        <v>139.648924552719</v>
      </c>
      <c r="K14">
        <v>46.907843767813901</v>
      </c>
      <c r="L14">
        <v>1.6006800871019942E-4</v>
      </c>
      <c r="M14">
        <v>1.7707226765001645E-5</v>
      </c>
      <c r="N14" s="1">
        <v>3.8010465764267001E-6</v>
      </c>
      <c r="O14" s="1">
        <v>1.01967752748782E-7</v>
      </c>
      <c r="P14" s="1">
        <v>-5.2577310704016998E-7</v>
      </c>
      <c r="Q14">
        <v>71.784178359652302</v>
      </c>
      <c r="R14">
        <v>6.6947475806631407E-2</v>
      </c>
      <c r="S14">
        <v>12.2737038978931</v>
      </c>
      <c r="T14">
        <v>0.155073295027751</v>
      </c>
      <c r="V14">
        <v>0.364995043284779</v>
      </c>
      <c r="W14">
        <v>2.3286078541432699E-2</v>
      </c>
      <c r="X14">
        <v>4.8512663628004299E-2</v>
      </c>
      <c r="AA14">
        <v>0.52393676718230997</v>
      </c>
      <c r="AB14">
        <v>3.8519054920621998</v>
      </c>
      <c r="AC14">
        <v>4.4728675864999197</v>
      </c>
      <c r="AD14">
        <v>5.82151963535612E-3</v>
      </c>
      <c r="AE14">
        <v>6.4287718207861602</v>
      </c>
    </row>
    <row r="15" spans="1:35" x14ac:dyDescent="0.2">
      <c r="A15">
        <v>14</v>
      </c>
      <c r="B15">
        <v>744</v>
      </c>
      <c r="C15">
        <v>275</v>
      </c>
      <c r="D15">
        <v>0.29283832276459099</v>
      </c>
      <c r="E15">
        <v>102.854659425951</v>
      </c>
      <c r="F15">
        <v>2.1976553159289498</v>
      </c>
      <c r="G15">
        <v>-1679.0929712833511</v>
      </c>
      <c r="H15">
        <v>-1405.3202583241628</v>
      </c>
      <c r="I15">
        <v>269.15667596636501</v>
      </c>
      <c r="J15">
        <v>139.37177930767001</v>
      </c>
      <c r="K15">
        <v>46.801997874937101</v>
      </c>
      <c r="L15">
        <v>1.6011349462185476E-4</v>
      </c>
      <c r="M15">
        <v>1.769978213782357E-5</v>
      </c>
      <c r="N15" s="1">
        <v>3.79904277110631E-6</v>
      </c>
      <c r="O15" s="1">
        <v>1.01710302715944E-7</v>
      </c>
      <c r="P15" s="1">
        <v>-5.2507601462291796E-7</v>
      </c>
      <c r="Q15">
        <v>71.737033928067206</v>
      </c>
      <c r="R15">
        <v>6.7084953063969194E-2</v>
      </c>
      <c r="S15">
        <v>12.2989080617387</v>
      </c>
      <c r="T15">
        <v>0.15569858347808599</v>
      </c>
      <c r="V15">
        <v>0.36546846234189501</v>
      </c>
      <c r="W15">
        <v>2.3333896717897901E-2</v>
      </c>
      <c r="X15">
        <v>4.8612284828974103E-2</v>
      </c>
      <c r="AA15">
        <v>0.52501267615278002</v>
      </c>
      <c r="AB15">
        <v>3.8598154154191602</v>
      </c>
      <c r="AC15">
        <v>4.4820526612292699</v>
      </c>
      <c r="AD15">
        <v>5.8334741794723701E-3</v>
      </c>
      <c r="AE15">
        <v>6.43114560278247</v>
      </c>
    </row>
    <row r="16" spans="1:35" x14ac:dyDescent="0.2">
      <c r="A16">
        <v>15</v>
      </c>
      <c r="B16">
        <v>743</v>
      </c>
      <c r="C16">
        <v>275</v>
      </c>
      <c r="D16">
        <v>0.29207351276878402</v>
      </c>
      <c r="E16">
        <v>102.64445056289701</v>
      </c>
      <c r="F16">
        <v>2.1981114899457102</v>
      </c>
      <c r="G16">
        <v>-1675.343570682197</v>
      </c>
      <c r="H16">
        <v>-1402.5049838090467</v>
      </c>
      <c r="I16">
        <v>268.50227512980302</v>
      </c>
      <c r="J16">
        <v>139.095956140791</v>
      </c>
      <c r="K16">
        <v>46.696653482955099</v>
      </c>
      <c r="L16">
        <v>1.6015903583206862E-4</v>
      </c>
      <c r="M16">
        <v>1.7692335024979102E-5</v>
      </c>
      <c r="N16" s="1">
        <v>3.7970628242443299E-6</v>
      </c>
      <c r="O16" s="1">
        <v>1.0145416369515801E-7</v>
      </c>
      <c r="P16" s="1">
        <v>-5.2438338661173396E-7</v>
      </c>
      <c r="Q16">
        <v>71.689906858975107</v>
      </c>
      <c r="R16">
        <v>6.7222338491378E-2</v>
      </c>
      <c r="S16">
        <v>12.3240953900994</v>
      </c>
      <c r="T16">
        <v>0.15632612175046301</v>
      </c>
      <c r="V16">
        <v>0.36593916493251799</v>
      </c>
      <c r="W16">
        <v>2.3381682953517401E-2</v>
      </c>
      <c r="X16">
        <v>4.8711839486519103E-2</v>
      </c>
      <c r="AA16">
        <v>0.526087866454235</v>
      </c>
      <c r="AB16">
        <v>3.8677200552279301</v>
      </c>
      <c r="AC16">
        <v>4.4912316006544399</v>
      </c>
      <c r="AD16">
        <v>5.8454207383767899E-3</v>
      </c>
      <c r="AE16">
        <v>6.43353166023602</v>
      </c>
    </row>
    <row r="17" spans="1:31" x14ac:dyDescent="0.2">
      <c r="A17">
        <v>16</v>
      </c>
      <c r="B17">
        <v>742</v>
      </c>
      <c r="C17">
        <v>275</v>
      </c>
      <c r="D17">
        <v>0.291307195980888</v>
      </c>
      <c r="E17">
        <v>102.435237829771</v>
      </c>
      <c r="F17">
        <v>2.1985676289109901</v>
      </c>
      <c r="G17">
        <v>-1671.6118737228073</v>
      </c>
      <c r="H17">
        <v>-1399.7031428323651</v>
      </c>
      <c r="I17">
        <v>267.85079140072099</v>
      </c>
      <c r="J17">
        <v>138.821444657347</v>
      </c>
      <c r="K17">
        <v>46.5918066302605</v>
      </c>
      <c r="L17">
        <v>1.6020463292947299E-4</v>
      </c>
      <c r="M17">
        <v>1.7684885423185605E-5</v>
      </c>
      <c r="N17" s="1">
        <v>3.7951065965679302E-6</v>
      </c>
      <c r="O17" s="1">
        <v>1.0119932582292299E-7</v>
      </c>
      <c r="P17" s="1">
        <v>-5.2369519264639603E-7</v>
      </c>
      <c r="Q17">
        <v>71.642796893743807</v>
      </c>
      <c r="R17">
        <v>6.7359632741490594E-2</v>
      </c>
      <c r="S17">
        <v>12.3492660026215</v>
      </c>
      <c r="T17">
        <v>0.156955923175289</v>
      </c>
      <c r="V17">
        <v>0.36640714398049401</v>
      </c>
      <c r="W17">
        <v>2.3429437475295099E-2</v>
      </c>
      <c r="X17">
        <v>4.8811328073558702E-2</v>
      </c>
      <c r="AA17">
        <v>0.52716234319424404</v>
      </c>
      <c r="AB17">
        <v>3.8756194490386902</v>
      </c>
      <c r="AC17">
        <v>4.5004044483792001</v>
      </c>
      <c r="AD17">
        <v>5.8573593688209299E-3</v>
      </c>
      <c r="AE17">
        <v>6.4359300382074904</v>
      </c>
    </row>
    <row r="18" spans="1:31" x14ac:dyDescent="0.2">
      <c r="A18">
        <v>17</v>
      </c>
      <c r="B18">
        <v>741</v>
      </c>
      <c r="C18">
        <v>275</v>
      </c>
      <c r="D18">
        <v>0.29053936794360102</v>
      </c>
      <c r="E18">
        <v>97.344160863451094</v>
      </c>
      <c r="F18">
        <v>2.1986439612966802</v>
      </c>
      <c r="G18">
        <v>-1588.5681514283551</v>
      </c>
      <c r="H18">
        <v>-1330.2242368443992</v>
      </c>
      <c r="I18">
        <v>254.73935274264699</v>
      </c>
      <c r="J18">
        <v>132.021090996331</v>
      </c>
      <c r="K18">
        <v>44.274635901503999</v>
      </c>
      <c r="L18">
        <v>1.6090874076358545E-4</v>
      </c>
      <c r="M18">
        <v>1.7730029934511946E-5</v>
      </c>
      <c r="N18" s="1">
        <v>3.6324128360692201E-6</v>
      </c>
      <c r="O18" s="1">
        <v>9.6626191130113498E-8</v>
      </c>
      <c r="P18" s="1">
        <v>-5.00582489280207E-7</v>
      </c>
      <c r="Q18">
        <v>71.531408500744604</v>
      </c>
      <c r="R18">
        <v>7.0882525862847698E-2</v>
      </c>
      <c r="S18">
        <v>12.394413522923101</v>
      </c>
      <c r="T18">
        <v>0.165361815463725</v>
      </c>
      <c r="V18">
        <v>0.385392769003369</v>
      </c>
      <c r="W18">
        <v>2.46547916044614E-2</v>
      </c>
      <c r="X18">
        <v>5.1364149175994703E-2</v>
      </c>
      <c r="AA18">
        <v>0.54660349862729296</v>
      </c>
      <c r="AB18">
        <v>3.9315941162222701</v>
      </c>
      <c r="AC18">
        <v>4.4174230608413998</v>
      </c>
      <c r="AD18">
        <v>6.1636979011122899E-3</v>
      </c>
      <c r="AE18">
        <v>6.4747375516297403</v>
      </c>
    </row>
    <row r="19" spans="1:31" x14ac:dyDescent="0.2">
      <c r="A19">
        <v>18</v>
      </c>
      <c r="B19">
        <v>740</v>
      </c>
      <c r="C19">
        <v>275</v>
      </c>
      <c r="D19">
        <v>0.28977002418201098</v>
      </c>
      <c r="E19">
        <v>73.100138502630003</v>
      </c>
      <c r="F19">
        <v>2.20120157271039</v>
      </c>
      <c r="G19">
        <v>-1191.455290166969</v>
      </c>
      <c r="H19">
        <v>-997.65250982316149</v>
      </c>
      <c r="I19">
        <v>191.28735166935499</v>
      </c>
      <c r="J19">
        <v>99.170966332811702</v>
      </c>
      <c r="K19">
        <v>33.209197834898802</v>
      </c>
      <c r="L19">
        <v>1.6141566691870945E-4</v>
      </c>
      <c r="M19">
        <v>1.7746237985493463E-5</v>
      </c>
      <c r="N19" s="1">
        <v>2.7366700854144399E-6</v>
      </c>
      <c r="O19" s="1">
        <v>7.2642727007692594E-8</v>
      </c>
      <c r="P19" s="1">
        <v>-3.7675978684548802E-7</v>
      </c>
      <c r="Q19">
        <v>71.338561231997105</v>
      </c>
      <c r="R19">
        <v>9.4391066027230297E-2</v>
      </c>
      <c r="S19">
        <v>12.388992862196799</v>
      </c>
      <c r="T19">
        <v>0.21992626900345999</v>
      </c>
      <c r="V19">
        <v>0.51346088280736601</v>
      </c>
      <c r="W19">
        <v>3.2831675139888598E-2</v>
      </c>
      <c r="X19">
        <v>6.83993232081819E-2</v>
      </c>
      <c r="AA19">
        <v>0.53472100646765897</v>
      </c>
      <c r="AB19">
        <v>3.9421505590739701</v>
      </c>
      <c r="AC19">
        <v>4.3698939324845503</v>
      </c>
      <c r="AD19">
        <v>8.2079187849648308E-3</v>
      </c>
      <c r="AE19">
        <v>6.4884632728087501</v>
      </c>
    </row>
    <row r="20" spans="1:31" x14ac:dyDescent="0.2">
      <c r="A20">
        <v>19</v>
      </c>
      <c r="B20">
        <v>739</v>
      </c>
      <c r="C20">
        <v>275</v>
      </c>
      <c r="D20">
        <v>0.28899916020352701</v>
      </c>
      <c r="E20">
        <v>57.986222917267298</v>
      </c>
      <c r="F20">
        <v>2.2040418765026502</v>
      </c>
      <c r="G20">
        <v>-943.85335141710448</v>
      </c>
      <c r="H20">
        <v>-790.30824113846654</v>
      </c>
      <c r="I20">
        <v>151.70193180717999</v>
      </c>
      <c r="J20">
        <v>78.685790667811403</v>
      </c>
      <c r="K20">
        <v>26.3090386509712</v>
      </c>
      <c r="L20">
        <v>1.6184996554881144E-4</v>
      </c>
      <c r="M20">
        <v>1.7755916905148082E-5</v>
      </c>
      <c r="N20" s="1">
        <v>2.1762430355438002E-6</v>
      </c>
      <c r="O20" s="1">
        <v>5.76460276155218E-8</v>
      </c>
      <c r="P20" s="1">
        <v>-2.9929569115279302E-7</v>
      </c>
      <c r="Q20">
        <v>71.141369007273994</v>
      </c>
      <c r="R20">
        <v>0.118993782537732</v>
      </c>
      <c r="S20">
        <v>12.3821222848274</v>
      </c>
      <c r="T20">
        <v>0.27684723043663301</v>
      </c>
      <c r="V20">
        <v>0.64765455152677598</v>
      </c>
      <c r="W20">
        <v>4.1389141752225501E-2</v>
      </c>
      <c r="X20">
        <v>8.6227378650599998E-2</v>
      </c>
      <c r="AA20">
        <v>0.52635086934842601</v>
      </c>
      <c r="AB20">
        <v>3.9413615584859598</v>
      </c>
      <c r="AC20">
        <v>4.3302079859941296</v>
      </c>
      <c r="AD20">
        <v>1.03472854380469E-2</v>
      </c>
      <c r="AE20">
        <v>6.4971289237279297</v>
      </c>
    </row>
    <row r="21" spans="1:31" x14ac:dyDescent="0.2">
      <c r="A21">
        <v>20</v>
      </c>
      <c r="B21">
        <v>738</v>
      </c>
      <c r="C21">
        <v>275</v>
      </c>
      <c r="D21">
        <v>0.28822677149780002</v>
      </c>
      <c r="E21">
        <v>20.482175220531801</v>
      </c>
      <c r="F21">
        <v>2.20601054940889</v>
      </c>
      <c r="G21">
        <v>-333.4350341139575</v>
      </c>
      <c r="H21">
        <v>-279.28976698950868</v>
      </c>
      <c r="I21">
        <v>53.548204642682798</v>
      </c>
      <c r="J21">
        <v>27.819578659423001</v>
      </c>
      <c r="K21">
        <v>9.2847131787379809</v>
      </c>
      <c r="L21">
        <v>1.619858097818994E-4</v>
      </c>
      <c r="M21">
        <v>1.7768962490127021E-5</v>
      </c>
      <c r="N21" s="1">
        <v>7.6996058761874699E-7</v>
      </c>
      <c r="O21" s="1">
        <v>2.03525855603703E-8</v>
      </c>
      <c r="P21" s="1">
        <v>-1.05529868324766E-7</v>
      </c>
      <c r="Q21">
        <v>70.908747648659002</v>
      </c>
      <c r="R21">
        <v>0.12997972693677101</v>
      </c>
      <c r="S21">
        <v>12.618270632167</v>
      </c>
      <c r="T21">
        <v>0.26068093466688902</v>
      </c>
      <c r="V21">
        <v>0.61304548613900101</v>
      </c>
      <c r="W21">
        <v>0.116564283812725</v>
      </c>
      <c r="X21">
        <v>0.13959108671686499</v>
      </c>
      <c r="AA21">
        <v>0.50905325038649296</v>
      </c>
      <c r="AB21">
        <v>3.8530316830528002</v>
      </c>
      <c r="AC21">
        <v>4.3214444034483002</v>
      </c>
      <c r="AD21">
        <v>2.9293763652466401E-2</v>
      </c>
      <c r="AE21">
        <v>6.5002971003615899</v>
      </c>
    </row>
    <row r="22" spans="1:31" x14ac:dyDescent="0.2">
      <c r="A22">
        <v>21</v>
      </c>
      <c r="B22">
        <v>737</v>
      </c>
      <c r="C22">
        <v>275</v>
      </c>
      <c r="D22">
        <v>0.28745285353660599</v>
      </c>
      <c r="E22">
        <v>11.3550197742536</v>
      </c>
      <c r="F22">
        <v>2.2086300611743299</v>
      </c>
      <c r="G22">
        <v>-184.80564546484868</v>
      </c>
      <c r="H22">
        <v>-154.85039547959005</v>
      </c>
      <c r="I22">
        <v>29.654259253832201</v>
      </c>
      <c r="J22">
        <v>15.432035512436901</v>
      </c>
      <c r="K22">
        <v>5.1412049368811399</v>
      </c>
      <c r="L22">
        <v>1.6207694012808498E-4</v>
      </c>
      <c r="M22">
        <v>1.7785522665586575E-5</v>
      </c>
      <c r="N22" s="1">
        <v>4.2735866259711699E-7</v>
      </c>
      <c r="O22" s="1">
        <v>1.1273271097488E-8</v>
      </c>
      <c r="P22" s="1">
        <v>-5.8341334393720601E-8</v>
      </c>
      <c r="Q22">
        <v>70.612809050475704</v>
      </c>
      <c r="R22">
        <v>0.12928390438349999</v>
      </c>
      <c r="S22">
        <v>12.9286712353507</v>
      </c>
      <c r="T22">
        <v>0.25696762826117198</v>
      </c>
      <c r="V22">
        <v>0.60897145007007902</v>
      </c>
      <c r="W22">
        <v>0.20822103616827201</v>
      </c>
      <c r="X22">
        <v>0.139040653051276</v>
      </c>
      <c r="AA22">
        <v>0.51132172413700805</v>
      </c>
      <c r="AB22">
        <v>3.71786841031461</v>
      </c>
      <c r="AC22">
        <v>4.3334885122233002</v>
      </c>
      <c r="AD22">
        <v>5.2840066501600197E-2</v>
      </c>
      <c r="AE22">
        <v>6.50051632906262</v>
      </c>
    </row>
    <row r="23" spans="1:31" x14ac:dyDescent="0.2">
      <c r="A23">
        <v>22</v>
      </c>
      <c r="B23">
        <v>736</v>
      </c>
      <c r="C23">
        <v>275</v>
      </c>
      <c r="D23">
        <v>0.28667740177377199</v>
      </c>
      <c r="E23">
        <v>8.1162477753545303</v>
      </c>
      <c r="F23">
        <v>2.2110254411481298</v>
      </c>
      <c r="G23">
        <v>-132.06283468504574</v>
      </c>
      <c r="H23">
        <v>-110.69527358205526</v>
      </c>
      <c r="I23">
        <v>21.173820644096899</v>
      </c>
      <c r="J23">
        <v>11.036375283101099</v>
      </c>
      <c r="K23">
        <v>3.6708070492123901</v>
      </c>
      <c r="L23">
        <v>1.6215345626659284E-4</v>
      </c>
      <c r="M23">
        <v>1.7799142334040364E-5</v>
      </c>
      <c r="N23" s="1">
        <v>3.0582056717372298E-7</v>
      </c>
      <c r="O23" s="1">
        <v>8.0506991596805605E-9</v>
      </c>
      <c r="P23" s="1">
        <v>-4.1596400496234298E-8</v>
      </c>
      <c r="Q23">
        <v>70.345867994591799</v>
      </c>
      <c r="R23">
        <v>0.12875656341585501</v>
      </c>
      <c r="S23">
        <v>13.207277498044901</v>
      </c>
      <c r="T23">
        <v>0.25347156561671802</v>
      </c>
      <c r="V23">
        <v>0.60463304404625895</v>
      </c>
      <c r="W23">
        <v>0.28907000646986403</v>
      </c>
      <c r="X23">
        <v>0.13848392171819501</v>
      </c>
      <c r="AA23">
        <v>0.51693864085235097</v>
      </c>
      <c r="AB23">
        <v>3.5963792099877301</v>
      </c>
      <c r="AC23">
        <v>4.3445328500139304</v>
      </c>
      <c r="AD23">
        <v>7.3925786472473304E-2</v>
      </c>
      <c r="AE23">
        <v>6.5006629187698497</v>
      </c>
    </row>
    <row r="24" spans="1:31" x14ac:dyDescent="0.2">
      <c r="A24">
        <v>23</v>
      </c>
      <c r="B24">
        <v>757</v>
      </c>
      <c r="C24">
        <v>250</v>
      </c>
      <c r="D24">
        <v>0.32934087268844398</v>
      </c>
      <c r="E24">
        <v>105.164440070151</v>
      </c>
      <c r="F24">
        <v>2.1927459898239898</v>
      </c>
      <c r="G24">
        <v>-1720.0411305578948</v>
      </c>
      <c r="H24">
        <v>-1437.4955750542365</v>
      </c>
      <c r="I24">
        <v>274.276130178767</v>
      </c>
      <c r="J24">
        <v>142.020718985733</v>
      </c>
      <c r="K24">
        <v>47.960156150413098</v>
      </c>
      <c r="L24">
        <v>1.5530895110453698E-4</v>
      </c>
      <c r="M24">
        <v>1.7758906050464465E-5</v>
      </c>
      <c r="N24" s="1">
        <v>3.61989439798276E-6</v>
      </c>
      <c r="O24" s="1">
        <v>1.01166889253096E-7</v>
      </c>
      <c r="P24" s="1">
        <v>-5.1701532024573503E-7</v>
      </c>
      <c r="Q24">
        <v>72.610095151067398</v>
      </c>
      <c r="R24">
        <v>6.5611531762992295E-2</v>
      </c>
      <c r="S24">
        <v>12.028780823215699</v>
      </c>
      <c r="T24">
        <v>0.15031785382892801</v>
      </c>
      <c r="V24">
        <v>0.35920605754377699</v>
      </c>
      <c r="W24">
        <v>2.2821402352344901E-2</v>
      </c>
      <c r="X24">
        <v>4.7544588234052901E-2</v>
      </c>
      <c r="AA24">
        <v>0.51348155292776498</v>
      </c>
      <c r="AB24">
        <v>3.7750403057837301</v>
      </c>
      <c r="AC24">
        <v>4.3836110351795803</v>
      </c>
      <c r="AD24">
        <v>5.7053505880861402E-3</v>
      </c>
      <c r="AE24">
        <v>6.03778434751547</v>
      </c>
    </row>
    <row r="25" spans="1:31" x14ac:dyDescent="0.2">
      <c r="A25">
        <v>24</v>
      </c>
      <c r="B25">
        <v>756</v>
      </c>
      <c r="C25">
        <v>250</v>
      </c>
      <c r="D25">
        <v>0.32862119224602798</v>
      </c>
      <c r="E25">
        <v>105.080303816804</v>
      </c>
      <c r="F25">
        <v>2.1931480903062601</v>
      </c>
      <c r="G25">
        <v>-1718.3675446831151</v>
      </c>
      <c r="H25">
        <v>-1436.4562550868343</v>
      </c>
      <c r="I25">
        <v>273.92633687633497</v>
      </c>
      <c r="J25">
        <v>141.901071720288</v>
      </c>
      <c r="K25">
        <v>47.912999710899598</v>
      </c>
      <c r="L25">
        <v>1.5528296019848625E-4</v>
      </c>
      <c r="M25">
        <v>1.7750263991170922E-5</v>
      </c>
      <c r="N25" s="1">
        <v>3.6212725872019798E-6</v>
      </c>
      <c r="O25" s="1">
        <v>1.0100726350499001E-7</v>
      </c>
      <c r="P25" s="1">
        <v>-5.1660642366661203E-7</v>
      </c>
      <c r="Q25">
        <v>72.592859056715795</v>
      </c>
      <c r="R25">
        <v>6.5664065951212103E-2</v>
      </c>
      <c r="S25">
        <v>12.0384120910566</v>
      </c>
      <c r="T25">
        <v>0.15069579485522999</v>
      </c>
      <c r="V25">
        <v>0.359261891870849</v>
      </c>
      <c r="W25">
        <v>2.2839675113464599E-2</v>
      </c>
      <c r="X25">
        <v>4.7582656486386703E-2</v>
      </c>
      <c r="AA25">
        <v>0.51389269005296301</v>
      </c>
      <c r="AB25">
        <v>3.7780629250189701</v>
      </c>
      <c r="AC25">
        <v>4.3871209280446397</v>
      </c>
      <c r="AD25">
        <v>5.7099187783659902E-3</v>
      </c>
      <c r="AE25">
        <v>6.0378983060554603</v>
      </c>
    </row>
    <row r="26" spans="1:31" x14ac:dyDescent="0.2">
      <c r="A26">
        <v>25</v>
      </c>
      <c r="B26">
        <v>755</v>
      </c>
      <c r="C26">
        <v>250</v>
      </c>
      <c r="D26">
        <v>0.32790011185138401</v>
      </c>
      <c r="E26">
        <v>104.864307018229</v>
      </c>
      <c r="F26">
        <v>2.1936063580168601</v>
      </c>
      <c r="G26">
        <v>-1714.5097865613743</v>
      </c>
      <c r="H26">
        <v>-1433.5628332972117</v>
      </c>
      <c r="I26">
        <v>273.25482980514698</v>
      </c>
      <c r="J26">
        <v>141.61758773967301</v>
      </c>
      <c r="K26">
        <v>47.804523648916103</v>
      </c>
      <c r="L26">
        <v>1.5532225430989788E-4</v>
      </c>
      <c r="M26">
        <v>1.7742594769015448E-5</v>
      </c>
      <c r="N26" s="1">
        <v>3.6190605628378499E-6</v>
      </c>
      <c r="O26" s="1">
        <v>1.00746458428643E-7</v>
      </c>
      <c r="P26" s="1">
        <v>-5.1587800897702504E-7</v>
      </c>
      <c r="Q26">
        <v>72.547088009036898</v>
      </c>
      <c r="R26">
        <v>6.5799319102929604E-2</v>
      </c>
      <c r="S26">
        <v>12.063208502205701</v>
      </c>
      <c r="T26">
        <v>0.15129727030498799</v>
      </c>
      <c r="V26">
        <v>0.35973997675234798</v>
      </c>
      <c r="W26">
        <v>2.2886719687974701E-2</v>
      </c>
      <c r="X26">
        <v>4.76806660166176E-2</v>
      </c>
      <c r="AA26">
        <v>0.51495119297944503</v>
      </c>
      <c r="AB26">
        <v>3.7858448817191901</v>
      </c>
      <c r="AC26">
        <v>4.3961574067317599</v>
      </c>
      <c r="AD26">
        <v>5.7216799219932998E-3</v>
      </c>
      <c r="AE26">
        <v>6.0396243755400603</v>
      </c>
    </row>
    <row r="27" spans="1:31" x14ac:dyDescent="0.2">
      <c r="A27">
        <v>26</v>
      </c>
      <c r="B27">
        <v>754</v>
      </c>
      <c r="C27">
        <v>250</v>
      </c>
      <c r="D27">
        <v>0.32717762741566497</v>
      </c>
      <c r="E27">
        <v>104.64935057387299</v>
      </c>
      <c r="F27">
        <v>2.1940646716918302</v>
      </c>
      <c r="G27">
        <v>-1710.670509387666</v>
      </c>
      <c r="H27">
        <v>-1430.6834537584632</v>
      </c>
      <c r="I27">
        <v>272.58633659076298</v>
      </c>
      <c r="J27">
        <v>141.33546530465301</v>
      </c>
      <c r="K27">
        <v>47.696566069394301</v>
      </c>
      <c r="L27">
        <v>1.5536154023008202E-4</v>
      </c>
      <c r="M27">
        <v>1.7734919679423661E-5</v>
      </c>
      <c r="N27" s="1">
        <v>3.6168698465125402E-6</v>
      </c>
      <c r="O27" s="1">
        <v>1.00486942489517E-7</v>
      </c>
      <c r="P27" s="1">
        <v>-5.1515383426787903E-7</v>
      </c>
      <c r="Q27">
        <v>72.501340813177805</v>
      </c>
      <c r="R27">
        <v>6.5934475103400697E-2</v>
      </c>
      <c r="S27">
        <v>12.0879871022925</v>
      </c>
      <c r="T27">
        <v>0.15190085181702001</v>
      </c>
      <c r="V27">
        <v>0.36021543442154902</v>
      </c>
      <c r="W27">
        <v>2.2933730470747E-2</v>
      </c>
      <c r="X27">
        <v>4.7778605147394203E-2</v>
      </c>
      <c r="AA27">
        <v>0.51600893559182603</v>
      </c>
      <c r="AB27">
        <v>3.7936212487027898</v>
      </c>
      <c r="AC27">
        <v>4.4051873945892703</v>
      </c>
      <c r="AD27">
        <v>5.7334326176862504E-3</v>
      </c>
      <c r="AE27">
        <v>6.0413579760678999</v>
      </c>
    </row>
    <row r="28" spans="1:31" x14ac:dyDescent="0.2">
      <c r="A28">
        <v>27</v>
      </c>
      <c r="B28">
        <v>753</v>
      </c>
      <c r="C28">
        <v>250</v>
      </c>
      <c r="D28">
        <v>0.32645373483409301</v>
      </c>
      <c r="E28">
        <v>104.43542621332</v>
      </c>
      <c r="F28">
        <v>2.1945230325277998</v>
      </c>
      <c r="G28">
        <v>-1706.8495673793648</v>
      </c>
      <c r="H28">
        <v>-1427.8180044614332</v>
      </c>
      <c r="I28">
        <v>271.92083313154097</v>
      </c>
      <c r="J28">
        <v>141.05469363995101</v>
      </c>
      <c r="K28">
        <v>47.589122859660399</v>
      </c>
      <c r="L28">
        <v>1.554008178242444E-4</v>
      </c>
      <c r="M28">
        <v>1.7727238677611944E-5</v>
      </c>
      <c r="N28" s="1">
        <v>3.6147002788923698E-6</v>
      </c>
      <c r="O28" s="1">
        <v>1.00228705378287E-7</v>
      </c>
      <c r="P28" s="1">
        <v>-5.1443386607785697E-7</v>
      </c>
      <c r="Q28">
        <v>72.455617278516002</v>
      </c>
      <c r="R28">
        <v>6.6069534545740702E-2</v>
      </c>
      <c r="S28">
        <v>12.1127480000553</v>
      </c>
      <c r="T28">
        <v>0.15250655177938</v>
      </c>
      <c r="V28">
        <v>0.36068825820135197</v>
      </c>
      <c r="W28">
        <v>2.2980707668082499E-2</v>
      </c>
      <c r="X28">
        <v>4.7876474308510601E-2</v>
      </c>
      <c r="AA28">
        <v>0.517065922531877</v>
      </c>
      <c r="AB28">
        <v>3.8013920600953801</v>
      </c>
      <c r="AC28">
        <v>4.41421093124411</v>
      </c>
      <c r="AD28">
        <v>5.7451769170200296E-3</v>
      </c>
      <c r="AE28">
        <v>6.0430991041370898</v>
      </c>
    </row>
    <row r="29" spans="1:31" x14ac:dyDescent="0.2">
      <c r="A29">
        <v>28</v>
      </c>
      <c r="B29">
        <v>752</v>
      </c>
      <c r="C29">
        <v>250</v>
      </c>
      <c r="D29">
        <v>0.32572842998585799</v>
      </c>
      <c r="E29">
        <v>104.222525753715</v>
      </c>
      <c r="F29">
        <v>2.1949814417177</v>
      </c>
      <c r="G29">
        <v>-1703.0468162968484</v>
      </c>
      <c r="H29">
        <v>-1424.9663745829416</v>
      </c>
      <c r="I29">
        <v>271.258295580067</v>
      </c>
      <c r="J29">
        <v>140.77526208471301</v>
      </c>
      <c r="K29">
        <v>47.4821899506154</v>
      </c>
      <c r="L29">
        <v>1.5544008695794195E-4</v>
      </c>
      <c r="M29">
        <v>1.7719551718867004E-5</v>
      </c>
      <c r="N29" s="1">
        <v>3.6125517023724199E-6</v>
      </c>
      <c r="O29" s="1">
        <v>9.9971736895161001E-8</v>
      </c>
      <c r="P29" s="1">
        <v>-5.1371807130359298E-7</v>
      </c>
      <c r="Q29">
        <v>72.4099172150123</v>
      </c>
      <c r="R29">
        <v>6.6204498020948799E-2</v>
      </c>
      <c r="S29">
        <v>12.1374913038443</v>
      </c>
      <c r="T29">
        <v>0.15311438264182001</v>
      </c>
      <c r="V29">
        <v>0.36115844134320102</v>
      </c>
      <c r="W29">
        <v>2.3027651485545801E-2</v>
      </c>
      <c r="X29">
        <v>4.7974273928227402E-2</v>
      </c>
      <c r="AA29">
        <v>0.51812215842480902</v>
      </c>
      <c r="AB29">
        <v>3.80915734990079</v>
      </c>
      <c r="AC29">
        <v>4.4232280561818396</v>
      </c>
      <c r="AD29">
        <v>5.7569128713856801E-3</v>
      </c>
      <c r="AE29">
        <v>6.0448477563446703</v>
      </c>
    </row>
    <row r="30" spans="1:31" x14ac:dyDescent="0.2">
      <c r="A30">
        <v>29</v>
      </c>
      <c r="B30">
        <v>751</v>
      </c>
      <c r="C30">
        <v>250</v>
      </c>
      <c r="D30">
        <v>0.32500170873407402</v>
      </c>
      <c r="E30">
        <v>104.010641097739</v>
      </c>
      <c r="F30">
        <v>2.1954399004546898</v>
      </c>
      <c r="G30">
        <v>-1699.2621134080537</v>
      </c>
      <c r="H30">
        <v>-1422.1284544580881</v>
      </c>
      <c r="I30">
        <v>270.59870033683097</v>
      </c>
      <c r="J30">
        <v>140.49716008975099</v>
      </c>
      <c r="K30">
        <v>47.375763315678903</v>
      </c>
      <c r="L30">
        <v>1.5547934749532332E-4</v>
      </c>
      <c r="M30">
        <v>1.7711858758381711E-5</v>
      </c>
      <c r="N30" s="1">
        <v>3.6104239609566901E-6</v>
      </c>
      <c r="O30" s="1">
        <v>9.9716026945857796E-8</v>
      </c>
      <c r="P30" s="1">
        <v>-5.1300641718051901E-7</v>
      </c>
      <c r="Q30">
        <v>72.364240433139699</v>
      </c>
      <c r="R30">
        <v>6.63393661184742E-2</v>
      </c>
      <c r="S30">
        <v>12.162217121724201</v>
      </c>
      <c r="T30">
        <v>0.15372435691767</v>
      </c>
      <c r="V30">
        <v>0.36162597702979099</v>
      </c>
      <c r="W30">
        <v>2.3074562128163299E-2</v>
      </c>
      <c r="X30">
        <v>4.8072004433680898E-2</v>
      </c>
      <c r="AA30">
        <v>0.51917764788370302</v>
      </c>
      <c r="AB30">
        <v>3.8169171520337599</v>
      </c>
      <c r="AC30">
        <v>4.4322388087846099</v>
      </c>
      <c r="AD30">
        <v>5.76864053203998E-3</v>
      </c>
      <c r="AE30">
        <v>6.0466039292740197</v>
      </c>
    </row>
    <row r="31" spans="1:31" x14ac:dyDescent="0.2">
      <c r="A31">
        <v>30</v>
      </c>
      <c r="B31">
        <v>750</v>
      </c>
      <c r="C31">
        <v>250</v>
      </c>
      <c r="D31">
        <v>0.324273566925672</v>
      </c>
      <c r="E31">
        <v>103.799764235086</v>
      </c>
      <c r="F31">
        <v>2.19589840992673</v>
      </c>
      <c r="G31">
        <v>-1695.4953175126291</v>
      </c>
      <c r="H31">
        <v>-1419.3041356014326</v>
      </c>
      <c r="I31">
        <v>269.94202405433799</v>
      </c>
      <c r="J31">
        <v>140.22037721951401</v>
      </c>
      <c r="K31">
        <v>47.269838971534703</v>
      </c>
      <c r="L31">
        <v>1.5551859930048784E-4</v>
      </c>
      <c r="M31">
        <v>1.7704159751442525E-5</v>
      </c>
      <c r="N31" s="1">
        <v>3.6083169003971002E-6</v>
      </c>
      <c r="O31" s="1">
        <v>9.94615655445323E-8</v>
      </c>
      <c r="P31" s="1">
        <v>-5.1229887129968702E-7</v>
      </c>
      <c r="Q31">
        <v>72.3185867443013</v>
      </c>
      <c r="R31">
        <v>6.6474139424565898E-2</v>
      </c>
      <c r="S31">
        <v>12.186925561174601</v>
      </c>
      <c r="T31">
        <v>0.15433648717943099</v>
      </c>
      <c r="V31">
        <v>0.36209085836629101</v>
      </c>
      <c r="W31">
        <v>2.31214397998473E-2</v>
      </c>
      <c r="X31">
        <v>4.8169666249689498E-2</v>
      </c>
      <c r="AA31">
        <v>0.52023239549659395</v>
      </c>
      <c r="AB31">
        <v>3.8246715002248202</v>
      </c>
      <c r="AC31">
        <v>4.4412432282205598</v>
      </c>
      <c r="AD31">
        <v>5.78035994996089E-3</v>
      </c>
      <c r="AE31">
        <v>6.0483676196122902</v>
      </c>
    </row>
    <row r="32" spans="1:31" x14ac:dyDescent="0.2">
      <c r="A32">
        <v>31</v>
      </c>
      <c r="B32">
        <v>749</v>
      </c>
      <c r="C32">
        <v>250</v>
      </c>
      <c r="D32">
        <v>0.32354400039133302</v>
      </c>
      <c r="E32">
        <v>103.589887236797</v>
      </c>
      <c r="F32">
        <v>2.1963569713241502</v>
      </c>
      <c r="G32">
        <v>-1691.7462888458331</v>
      </c>
      <c r="H32">
        <v>-1416.4933106281646</v>
      </c>
      <c r="I32">
        <v>269.28824362145298</v>
      </c>
      <c r="J32">
        <v>139.94490314471199</v>
      </c>
      <c r="K32">
        <v>47.164412975339097</v>
      </c>
      <c r="L32">
        <v>1.5555784223632294E-4</v>
      </c>
      <c r="M32">
        <v>1.7696454653195373E-5</v>
      </c>
      <c r="N32" s="1">
        <v>3.6062303679318701E-6</v>
      </c>
      <c r="O32" s="1">
        <v>9.9208342805909002E-8</v>
      </c>
      <c r="P32" s="1">
        <v>-5.11595401572837E-7</v>
      </c>
      <c r="Q32">
        <v>72.272955960020894</v>
      </c>
      <c r="R32">
        <v>6.6608818525184701E-2</v>
      </c>
      <c r="S32">
        <v>12.2116167296216</v>
      </c>
      <c r="T32">
        <v>0.15495078606707799</v>
      </c>
      <c r="V32">
        <v>0.36255307839505002</v>
      </c>
      <c r="W32">
        <v>2.3168284704410201E-2</v>
      </c>
      <c r="X32">
        <v>4.82672598008628E-2</v>
      </c>
      <c r="AA32">
        <v>0.521286405849261</v>
      </c>
      <c r="AB32">
        <v>3.8324204281879499</v>
      </c>
      <c r="AC32">
        <v>4.45024135363869</v>
      </c>
      <c r="AD32">
        <v>5.7920711761015597E-3</v>
      </c>
      <c r="AE32">
        <v>6.05013882401287</v>
      </c>
    </row>
    <row r="33" spans="1:31" x14ac:dyDescent="0.2">
      <c r="A33">
        <v>32</v>
      </c>
      <c r="B33">
        <v>748</v>
      </c>
      <c r="C33">
        <v>250</v>
      </c>
      <c r="D33">
        <v>0.32281300494540499</v>
      </c>
      <c r="E33">
        <v>103.38100225866999</v>
      </c>
      <c r="F33">
        <v>2.1968155858316201</v>
      </c>
      <c r="G33">
        <v>-1688.0148891349554</v>
      </c>
      <c r="H33">
        <v>-1413.6958733022684</v>
      </c>
      <c r="I33">
        <v>268.637336172635</v>
      </c>
      <c r="J33">
        <v>139.67072764677499</v>
      </c>
      <c r="K33">
        <v>47.059481426400303</v>
      </c>
      <c r="L33">
        <v>1.555970761660047E-4</v>
      </c>
      <c r="M33">
        <v>1.7688743418903813E-5</v>
      </c>
      <c r="N33" s="1">
        <v>3.6041642125135302E-6</v>
      </c>
      <c r="O33" s="1">
        <v>9.8956348950631398E-8</v>
      </c>
      <c r="P33" s="1">
        <v>-5.1089597626005803E-7</v>
      </c>
      <c r="Q33">
        <v>72.227347892716693</v>
      </c>
      <c r="R33">
        <v>6.6743404003143506E-2</v>
      </c>
      <c r="S33">
        <v>12.2362907339167</v>
      </c>
      <c r="T33">
        <v>0.15556726628034301</v>
      </c>
      <c r="V33">
        <v>0.36301263008069201</v>
      </c>
      <c r="W33">
        <v>2.3215097044568801E-2</v>
      </c>
      <c r="X33">
        <v>4.8364785509531202E-2</v>
      </c>
      <c r="AA33">
        <v>0.52233968350284699</v>
      </c>
      <c r="AB33">
        <v>3.8401639694558898</v>
      </c>
      <c r="AC33">
        <v>4.4592332239774004</v>
      </c>
      <c r="AD33">
        <v>5.80377426114071E-3</v>
      </c>
      <c r="AE33">
        <v>6.0519175392509199</v>
      </c>
    </row>
    <row r="34" spans="1:31" x14ac:dyDescent="0.2">
      <c r="A34">
        <v>33</v>
      </c>
      <c r="B34">
        <v>747</v>
      </c>
      <c r="C34">
        <v>250</v>
      </c>
      <c r="D34">
        <v>0.32208057638582899</v>
      </c>
      <c r="E34">
        <v>103.173101538292</v>
      </c>
      <c r="F34">
        <v>2.1972742546331401</v>
      </c>
      <c r="G34">
        <v>-1684.3009815482928</v>
      </c>
      <c r="H34">
        <v>-1410.9117184956256</v>
      </c>
      <c r="I34">
        <v>267.98927907922001</v>
      </c>
      <c r="J34">
        <v>139.397840613889</v>
      </c>
      <c r="K34">
        <v>46.955040464676799</v>
      </c>
      <c r="L34">
        <v>1.5563630095133952E-4</v>
      </c>
      <c r="M34">
        <v>1.7681026003761399E-5</v>
      </c>
      <c r="N34" s="1">
        <v>3.6021182846497599E-6</v>
      </c>
      <c r="O34" s="1">
        <v>9.8705574300234005E-8</v>
      </c>
      <c r="P34" s="1">
        <v>-5.1020056394631901E-7</v>
      </c>
      <c r="Q34">
        <v>72.181762355439503</v>
      </c>
      <c r="R34">
        <v>6.6877896439310094E-2</v>
      </c>
      <c r="S34">
        <v>12.260947680547501</v>
      </c>
      <c r="T34">
        <v>0.15618594058258001</v>
      </c>
      <c r="V34">
        <v>0.363469506316621</v>
      </c>
      <c r="W34">
        <v>2.32618770223657E-2</v>
      </c>
      <c r="X34">
        <v>4.8462243796608802E-2</v>
      </c>
      <c r="AA34">
        <v>0.52339223300328097</v>
      </c>
      <c r="AB34">
        <v>3.84790215744981</v>
      </c>
      <c r="AC34">
        <v>4.4682188780459002</v>
      </c>
      <c r="AD34">
        <v>5.8154692555899201E-3</v>
      </c>
      <c r="AE34">
        <v>6.0537037621007501</v>
      </c>
    </row>
    <row r="35" spans="1:31" x14ac:dyDescent="0.2">
      <c r="A35">
        <v>34</v>
      </c>
      <c r="B35">
        <v>746</v>
      </c>
      <c r="C35">
        <v>250</v>
      </c>
      <c r="D35">
        <v>0.32134671049404001</v>
      </c>
      <c r="E35">
        <v>102.96617739236</v>
      </c>
      <c r="F35">
        <v>2.19773297891224</v>
      </c>
      <c r="G35">
        <v>-1680.6044306497645</v>
      </c>
      <c r="H35">
        <v>-1408.1407421508277</v>
      </c>
      <c r="I35">
        <v>267.34404994253703</v>
      </c>
      <c r="J35">
        <v>139.12623203765</v>
      </c>
      <c r="K35">
        <v>46.851086269507803</v>
      </c>
      <c r="L35">
        <v>1.5567551645397483E-4</v>
      </c>
      <c r="M35">
        <v>1.7673302362932359E-5</v>
      </c>
      <c r="N35" s="1">
        <v>3.60009243635064E-6</v>
      </c>
      <c r="O35" s="1">
        <v>9.8456009274909398E-8</v>
      </c>
      <c r="P35" s="1">
        <v>-5.0950913353532995E-7</v>
      </c>
      <c r="Q35">
        <v>72.136199161470799</v>
      </c>
      <c r="R35">
        <v>6.7012296413679798E-2</v>
      </c>
      <c r="S35">
        <v>12.2855876758499</v>
      </c>
      <c r="T35">
        <v>0.15680682180345001</v>
      </c>
      <c r="V35">
        <v>0.36392369992923201</v>
      </c>
      <c r="W35">
        <v>2.3308624839537301E-2</v>
      </c>
      <c r="X35">
        <v>4.8559635082385103E-2</v>
      </c>
      <c r="AA35">
        <v>0.52444405888964896</v>
      </c>
      <c r="AB35">
        <v>3.8556350255403</v>
      </c>
      <c r="AC35">
        <v>4.47719835459423</v>
      </c>
      <c r="AD35">
        <v>5.8271562098825497E-3</v>
      </c>
      <c r="AE35">
        <v>6.0554974893768003</v>
      </c>
    </row>
    <row r="36" spans="1:31" x14ac:dyDescent="0.2">
      <c r="A36">
        <v>35</v>
      </c>
      <c r="B36">
        <v>745</v>
      </c>
      <c r="C36">
        <v>250</v>
      </c>
      <c r="D36">
        <v>0.32061140303491598</v>
      </c>
      <c r="E36">
        <v>96.008882471537703</v>
      </c>
      <c r="F36">
        <v>2.19871339184995</v>
      </c>
      <c r="G36">
        <v>-1566.3644595465978</v>
      </c>
      <c r="H36">
        <v>-1312.6766406949225</v>
      </c>
      <c r="I36">
        <v>249.16546565012499</v>
      </c>
      <c r="J36">
        <v>129.73121212650099</v>
      </c>
      <c r="K36">
        <v>43.665937919610997</v>
      </c>
      <c r="L36">
        <v>1.5574092008422286E-4</v>
      </c>
      <c r="M36">
        <v>1.76649721934613E-5</v>
      </c>
      <c r="N36" s="1">
        <v>3.3608523626699299E-6</v>
      </c>
      <c r="O36" s="1">
        <v>9.1733787272983394E-8</v>
      </c>
      <c r="P36" s="1">
        <v>-4.7526007979619001E-7</v>
      </c>
      <c r="Q36">
        <v>72.064789420780002</v>
      </c>
      <c r="R36">
        <v>7.1868350327342498E-2</v>
      </c>
      <c r="S36">
        <v>12.302438456807399</v>
      </c>
      <c r="T36">
        <v>0.16838897967121</v>
      </c>
      <c r="V36">
        <v>0.39009829507677601</v>
      </c>
      <c r="W36">
        <v>2.4997687070369101E-2</v>
      </c>
      <c r="X36">
        <v>5.20785147299851E-2</v>
      </c>
      <c r="AA36">
        <v>0.52317247712035297</v>
      </c>
      <c r="AB36">
        <v>3.8571977016744698</v>
      </c>
      <c r="AC36">
        <v>4.4829357448056104</v>
      </c>
      <c r="AD36">
        <v>6.2494217675878403E-3</v>
      </c>
      <c r="AE36">
        <v>6.0557849501687597</v>
      </c>
    </row>
    <row r="37" spans="1:31" x14ac:dyDescent="0.2">
      <c r="A37">
        <v>36</v>
      </c>
      <c r="B37">
        <v>744</v>
      </c>
      <c r="C37">
        <v>250</v>
      </c>
      <c r="D37">
        <v>0.31987464975667701</v>
      </c>
      <c r="E37">
        <v>71.808347471590395</v>
      </c>
      <c r="F37">
        <v>2.20166794466147</v>
      </c>
      <c r="G37">
        <v>-1169.9640007436726</v>
      </c>
      <c r="H37">
        <v>-980.48205775867075</v>
      </c>
      <c r="I37">
        <v>186.287118895936</v>
      </c>
      <c r="J37">
        <v>97.047485394039796</v>
      </c>
      <c r="K37">
        <v>32.615430335763698</v>
      </c>
      <c r="L37">
        <v>1.560758746470319E-4</v>
      </c>
      <c r="M37">
        <v>1.7668214270491908E-5</v>
      </c>
      <c r="N37" s="1">
        <v>2.5179823188714202E-6</v>
      </c>
      <c r="O37" s="1">
        <v>6.8589276582306698E-8</v>
      </c>
      <c r="P37" s="1">
        <v>-3.5567190465297699E-7</v>
      </c>
      <c r="Q37">
        <v>71.874575371365097</v>
      </c>
      <c r="R37">
        <v>9.6089107227141299E-2</v>
      </c>
      <c r="S37">
        <v>12.2954857203326</v>
      </c>
      <c r="T37">
        <v>0.22479742630247401</v>
      </c>
      <c r="V37">
        <v>0.52187459406243797</v>
      </c>
      <c r="W37">
        <v>3.3422298165942201E-2</v>
      </c>
      <c r="X37">
        <v>6.9629787845800997E-2</v>
      </c>
      <c r="AA37">
        <v>0.51991491733186301</v>
      </c>
      <c r="AB37">
        <v>3.8468944905363398</v>
      </c>
      <c r="AC37">
        <v>4.4498010509928703</v>
      </c>
      <c r="AD37">
        <v>8.35557454147824E-3</v>
      </c>
      <c r="AE37">
        <v>6.05915966129586</v>
      </c>
    </row>
    <row r="38" spans="1:31" x14ac:dyDescent="0.2">
      <c r="A38">
        <v>37</v>
      </c>
      <c r="B38">
        <v>743</v>
      </c>
      <c r="C38">
        <v>250</v>
      </c>
      <c r="D38">
        <v>0.31913644639078897</v>
      </c>
      <c r="E38">
        <v>57.246713559232703</v>
      </c>
      <c r="F38">
        <v>2.2046817743800902</v>
      </c>
      <c r="G38">
        <v>-931.44122565976363</v>
      </c>
      <c r="H38">
        <v>-780.59639816246113</v>
      </c>
      <c r="I38">
        <v>148.447401955717</v>
      </c>
      <c r="J38">
        <v>77.380994585069203</v>
      </c>
      <c r="K38">
        <v>25.965975781393201</v>
      </c>
      <c r="L38">
        <v>1.5640369957642229E-4</v>
      </c>
      <c r="M38">
        <v>1.7670592171655504E-5</v>
      </c>
      <c r="N38" s="1">
        <v>2.0105828026201098E-6</v>
      </c>
      <c r="O38" s="1">
        <v>5.4657816851862199E-8</v>
      </c>
      <c r="P38" s="1">
        <v>-2.8368303006693899E-7</v>
      </c>
      <c r="Q38">
        <v>71.682449144322703</v>
      </c>
      <c r="R38">
        <v>0.120530936555204</v>
      </c>
      <c r="S38">
        <v>12.288816040511101</v>
      </c>
      <c r="T38">
        <v>0.28154152807186</v>
      </c>
      <c r="V38">
        <v>0.65501491994078298</v>
      </c>
      <c r="W38">
        <v>4.1923804019170799E-2</v>
      </c>
      <c r="X38">
        <v>8.7341258373410002E-2</v>
      </c>
      <c r="AA38">
        <v>0.51757481999474597</v>
      </c>
      <c r="AB38">
        <v>3.8348908891321898</v>
      </c>
      <c r="AC38">
        <v>4.4175344870390703</v>
      </c>
      <c r="AD38">
        <v>1.0480951004781599E-2</v>
      </c>
      <c r="AE38">
        <v>6.0619012210349004</v>
      </c>
    </row>
    <row r="39" spans="1:31" x14ac:dyDescent="0.2">
      <c r="A39">
        <v>38</v>
      </c>
      <c r="B39">
        <v>742</v>
      </c>
      <c r="C39">
        <v>250</v>
      </c>
      <c r="D39">
        <v>0.318396788651924</v>
      </c>
      <c r="E39">
        <v>20.414427082925499</v>
      </c>
      <c r="F39">
        <v>2.2069569372540201</v>
      </c>
      <c r="G39">
        <v>-332.22770968894207</v>
      </c>
      <c r="H39">
        <v>-278.55267494182721</v>
      </c>
      <c r="I39">
        <v>52.8739937419247</v>
      </c>
      <c r="J39">
        <v>27.616988794230501</v>
      </c>
      <c r="K39">
        <v>9.2500341707282594</v>
      </c>
      <c r="L39">
        <v>1.562425692857699E-4</v>
      </c>
      <c r="M39">
        <v>1.76612531813012E-5</v>
      </c>
      <c r="N39" s="1">
        <v>7.1631157396985704E-7</v>
      </c>
      <c r="O39" s="1">
        <v>1.9435798097033201E-8</v>
      </c>
      <c r="P39" s="1">
        <v>-1.00686866521023E-7</v>
      </c>
      <c r="Q39">
        <v>71.469943538483605</v>
      </c>
      <c r="R39">
        <v>0.14109909894837799</v>
      </c>
      <c r="S39">
        <v>12.5270155522179</v>
      </c>
      <c r="T39">
        <v>0.25558325399357501</v>
      </c>
      <c r="V39">
        <v>0.59767871168044295</v>
      </c>
      <c r="W39">
        <v>0.11718811987521</v>
      </c>
      <c r="X39">
        <v>0.14982959647696401</v>
      </c>
      <c r="AA39">
        <v>0.514318480940123</v>
      </c>
      <c r="AB39">
        <v>3.7163339569205598</v>
      </c>
      <c r="AC39">
        <v>4.4323121945584001</v>
      </c>
      <c r="AD39">
        <v>2.93909791130102E-2</v>
      </c>
      <c r="AE39">
        <v>6.0493065167917202</v>
      </c>
    </row>
    <row r="40" spans="1:31" x14ac:dyDescent="0.2">
      <c r="A40">
        <v>39</v>
      </c>
      <c r="B40">
        <v>741</v>
      </c>
      <c r="C40">
        <v>250</v>
      </c>
      <c r="D40">
        <v>0.31765567223783697</v>
      </c>
      <c r="E40">
        <v>11.411978592744701</v>
      </c>
      <c r="F40">
        <v>2.2096304851872102</v>
      </c>
      <c r="G40">
        <v>-185.67122595148362</v>
      </c>
      <c r="H40">
        <v>-155.73098598276323</v>
      </c>
      <c r="I40">
        <v>29.5224966412467</v>
      </c>
      <c r="J40">
        <v>15.446924578305801</v>
      </c>
      <c r="K40">
        <v>5.1646547552849702</v>
      </c>
      <c r="L40">
        <v>1.5626796903117954E-4</v>
      </c>
      <c r="M40">
        <v>1.767329306470959E-5</v>
      </c>
      <c r="N40" s="1">
        <v>4.0069911772380999E-7</v>
      </c>
      <c r="O40" s="1">
        <v>1.0850518191581E-8</v>
      </c>
      <c r="P40" s="1">
        <v>-5.6093911103074897E-8</v>
      </c>
      <c r="Q40">
        <v>71.179330589961793</v>
      </c>
      <c r="R40">
        <v>0.14042360594384201</v>
      </c>
      <c r="S40">
        <v>12.834343922010801</v>
      </c>
      <c r="T40">
        <v>0.25178330803131899</v>
      </c>
      <c r="V40">
        <v>0.59335232669519</v>
      </c>
      <c r="W40">
        <v>0.20754785362400799</v>
      </c>
      <c r="X40">
        <v>0.149291803480638</v>
      </c>
      <c r="AA40">
        <v>0.51880332205636404</v>
      </c>
      <c r="AB40">
        <v>3.57716811056099</v>
      </c>
      <c r="AC40">
        <v>4.4489048087272298</v>
      </c>
      <c r="AD40">
        <v>5.2576334166951601E-2</v>
      </c>
      <c r="AE40">
        <v>6.0464740147407303</v>
      </c>
    </row>
    <row r="41" spans="1:31" x14ac:dyDescent="0.2">
      <c r="A41">
        <v>40</v>
      </c>
      <c r="B41">
        <v>740</v>
      </c>
      <c r="C41">
        <v>250</v>
      </c>
      <c r="D41">
        <v>0.31691309282929903</v>
      </c>
      <c r="E41">
        <v>8.1950960959446295</v>
      </c>
      <c r="F41">
        <v>2.21201466280715</v>
      </c>
      <c r="G41">
        <v>-133.30100943090991</v>
      </c>
      <c r="H41">
        <v>-111.84502377113749</v>
      </c>
      <c r="I41">
        <v>21.177501514852</v>
      </c>
      <c r="J41">
        <v>11.098380816529399</v>
      </c>
      <c r="K41">
        <v>3.70481092812678</v>
      </c>
      <c r="L41">
        <v>1.5630876391243084E-4</v>
      </c>
      <c r="M41">
        <v>1.768462039047106E-5</v>
      </c>
      <c r="N41" s="1">
        <v>2.8801444857548301E-7</v>
      </c>
      <c r="O41" s="1">
        <v>7.7834817343283203E-9</v>
      </c>
      <c r="P41" s="1">
        <v>-4.0168502727188903E-8</v>
      </c>
      <c r="Q41">
        <v>70.918132611020198</v>
      </c>
      <c r="R41">
        <v>0.139846609134582</v>
      </c>
      <c r="S41">
        <v>13.1084969833591</v>
      </c>
      <c r="T41">
        <v>0.248313628995251</v>
      </c>
      <c r="V41">
        <v>0.58899416604939103</v>
      </c>
      <c r="W41">
        <v>0.28674535489205299</v>
      </c>
      <c r="X41">
        <v>0.14874168792030301</v>
      </c>
      <c r="AA41">
        <v>0.52444819799533104</v>
      </c>
      <c r="AB41">
        <v>3.4562884928537301</v>
      </c>
      <c r="AC41">
        <v>4.4615943938265801</v>
      </c>
      <c r="AD41">
        <v>7.3214516702878402E-2</v>
      </c>
      <c r="AE41">
        <v>6.0451833572505498</v>
      </c>
    </row>
    <row r="42" spans="1:31" x14ac:dyDescent="0.2">
      <c r="A42">
        <v>41</v>
      </c>
      <c r="B42">
        <v>757</v>
      </c>
      <c r="C42">
        <v>225</v>
      </c>
      <c r="D42">
        <v>0.35603601417269398</v>
      </c>
      <c r="E42">
        <v>104.762454741358</v>
      </c>
      <c r="F42">
        <v>2.1939688254501801</v>
      </c>
      <c r="G42">
        <v>-1712.4972833814404</v>
      </c>
      <c r="H42">
        <v>-1433.4188086314252</v>
      </c>
      <c r="I42">
        <v>270.910522496738</v>
      </c>
      <c r="J42">
        <v>141.10195482570401</v>
      </c>
      <c r="K42">
        <v>47.750202065821199</v>
      </c>
      <c r="L42">
        <v>1.5085860174022966E-4</v>
      </c>
      <c r="M42">
        <v>1.7680822216603552E-5</v>
      </c>
      <c r="N42" s="1">
        <v>3.41669392062629E-6</v>
      </c>
      <c r="O42" s="1">
        <v>9.7104102419953701E-8</v>
      </c>
      <c r="P42" s="1">
        <v>-4.9795638491277997E-7</v>
      </c>
      <c r="Q42">
        <v>72.888708257683803</v>
      </c>
      <c r="R42">
        <v>6.5863290594277896E-2</v>
      </c>
      <c r="S42">
        <v>12.074936608951299</v>
      </c>
      <c r="T42">
        <v>0.15274769870193999</v>
      </c>
      <c r="V42">
        <v>0.35891696930241102</v>
      </c>
      <c r="W42">
        <v>2.2908970641487801E-2</v>
      </c>
      <c r="X42">
        <v>4.7727022169767E-2</v>
      </c>
      <c r="AA42">
        <v>0.51545183943347905</v>
      </c>
      <c r="AB42">
        <v>3.7895255602794502</v>
      </c>
      <c r="AC42">
        <v>4.4004314440524404</v>
      </c>
      <c r="AD42">
        <v>5.7272426603718904E-3</v>
      </c>
      <c r="AE42">
        <v>5.6770550955292203</v>
      </c>
    </row>
    <row r="43" spans="1:31" x14ac:dyDescent="0.2">
      <c r="A43">
        <v>42</v>
      </c>
      <c r="B43">
        <v>756</v>
      </c>
      <c r="C43">
        <v>225</v>
      </c>
      <c r="D43">
        <v>0.35534227274935698</v>
      </c>
      <c r="E43">
        <v>104.65820006187199</v>
      </c>
      <c r="F43">
        <v>2.1943747361752202</v>
      </c>
      <c r="G43">
        <v>-1710.4937731881132</v>
      </c>
      <c r="H43">
        <v>-1432.0941952811279</v>
      </c>
      <c r="I43">
        <v>270.51409212163901</v>
      </c>
      <c r="J43">
        <v>140.957713997475</v>
      </c>
      <c r="K43">
        <v>47.6938593652836</v>
      </c>
      <c r="L43">
        <v>1.5084390517113816E-4</v>
      </c>
      <c r="M43">
        <v>1.7672438856962614E-5</v>
      </c>
      <c r="N43" s="1">
        <v>3.4173757852873202E-6</v>
      </c>
      <c r="O43" s="1">
        <v>9.6935935203920394E-8</v>
      </c>
      <c r="P43" s="1">
        <v>-4.9751161451849999E-7</v>
      </c>
      <c r="Q43">
        <v>72.867091925860095</v>
      </c>
      <c r="R43">
        <v>6.5928899942105407E-2</v>
      </c>
      <c r="S43">
        <v>12.086964989387001</v>
      </c>
      <c r="T43">
        <v>0.15316693265199199</v>
      </c>
      <c r="V43">
        <v>0.35903418523670899</v>
      </c>
      <c r="W43">
        <v>2.29317912842101E-2</v>
      </c>
      <c r="X43">
        <v>4.77745651754398E-2</v>
      </c>
      <c r="AA43">
        <v>0.51596530389473605</v>
      </c>
      <c r="AB43">
        <v>3.7933004749297798</v>
      </c>
      <c r="AC43">
        <v>4.4048149091753404</v>
      </c>
      <c r="AD43">
        <v>5.7329478210523203E-3</v>
      </c>
      <c r="AE43">
        <v>5.6772930746413603</v>
      </c>
    </row>
    <row r="44" spans="1:31" x14ac:dyDescent="0.2">
      <c r="A44">
        <v>43</v>
      </c>
      <c r="B44">
        <v>755</v>
      </c>
      <c r="C44">
        <v>225</v>
      </c>
      <c r="D44">
        <v>0.354647181831445</v>
      </c>
      <c r="E44">
        <v>104.449660096749</v>
      </c>
      <c r="F44">
        <v>2.1948299966149598</v>
      </c>
      <c r="G44">
        <v>-1706.7630311813841</v>
      </c>
      <c r="H44">
        <v>-1429.3015755541001</v>
      </c>
      <c r="I44">
        <v>269.86476256118499</v>
      </c>
      <c r="J44">
        <v>140.68412665889599</v>
      </c>
      <c r="K44">
        <v>47.5889523370099</v>
      </c>
      <c r="L44">
        <v>1.5087973488307134E-4</v>
      </c>
      <c r="M44">
        <v>1.7664704901839538E-5</v>
      </c>
      <c r="N44" s="1">
        <v>3.4153203843830998E-6</v>
      </c>
      <c r="O44" s="1">
        <v>9.6689493095908602E-8</v>
      </c>
      <c r="P44" s="1">
        <v>-4.9682029178292703E-7</v>
      </c>
      <c r="Q44">
        <v>72.822856690185304</v>
      </c>
      <c r="R44">
        <v>6.6060530916125806E-2</v>
      </c>
      <c r="S44">
        <v>12.1110973346258</v>
      </c>
      <c r="T44">
        <v>0.15376750371966499</v>
      </c>
      <c r="V44">
        <v>0.35948578632004702</v>
      </c>
      <c r="W44">
        <v>2.2977575970825202E-2</v>
      </c>
      <c r="X44">
        <v>4.7869949939224297E-2</v>
      </c>
      <c r="AA44">
        <v>0.51699545934358704</v>
      </c>
      <c r="AB44">
        <v>3.80087402517406</v>
      </c>
      <c r="AC44">
        <v>4.4136093843959401</v>
      </c>
      <c r="AD44">
        <v>5.7443939927057904E-3</v>
      </c>
      <c r="AE44">
        <v>5.6786613654166302</v>
      </c>
    </row>
    <row r="45" spans="1:31" x14ac:dyDescent="0.2">
      <c r="A45">
        <v>44</v>
      </c>
      <c r="B45">
        <v>754</v>
      </c>
      <c r="C45">
        <v>225</v>
      </c>
      <c r="D45">
        <v>0.35395073747748601</v>
      </c>
      <c r="E45">
        <v>104.242096378206</v>
      </c>
      <c r="F45">
        <v>2.1952853664641201</v>
      </c>
      <c r="G45">
        <v>-1703.0496473549038</v>
      </c>
      <c r="H45">
        <v>-1426.5221358283659</v>
      </c>
      <c r="I45">
        <v>269.218236408059</v>
      </c>
      <c r="J45">
        <v>140.411811094115</v>
      </c>
      <c r="K45">
        <v>47.484531155102502</v>
      </c>
      <c r="L45">
        <v>1.5091551750346814E-4</v>
      </c>
      <c r="M45">
        <v>1.7656962587318195E-5</v>
      </c>
      <c r="N45" s="1">
        <v>3.4132826019468298E-6</v>
      </c>
      <c r="O45" s="1">
        <v>9.6444202882408502E-8</v>
      </c>
      <c r="P45" s="1">
        <v>-4.9613264617244198E-7</v>
      </c>
      <c r="Q45">
        <v>72.778646997266506</v>
      </c>
      <c r="R45">
        <v>6.6192068653012401E-2</v>
      </c>
      <c r="S45">
        <v>12.1352125863897</v>
      </c>
      <c r="T45">
        <v>0.15437017912974099</v>
      </c>
      <c r="V45">
        <v>0.35993479123628802</v>
      </c>
      <c r="W45">
        <v>2.30233282271331E-2</v>
      </c>
      <c r="X45">
        <v>4.7965267139868102E-2</v>
      </c>
      <c r="AA45">
        <v>0.51802488511052303</v>
      </c>
      <c r="AB45">
        <v>3.8084422109050098</v>
      </c>
      <c r="AC45">
        <v>4.4223976302950403</v>
      </c>
      <c r="AD45">
        <v>5.7558320567824804E-3</v>
      </c>
      <c r="AE45">
        <v>5.6800342235903001</v>
      </c>
    </row>
    <row r="46" spans="1:31" x14ac:dyDescent="0.2">
      <c r="A46">
        <v>45</v>
      </c>
      <c r="B46">
        <v>753</v>
      </c>
      <c r="C46">
        <v>225</v>
      </c>
      <c r="D46">
        <v>0.35325293573064698</v>
      </c>
      <c r="E46">
        <v>104.035501380783</v>
      </c>
      <c r="F46">
        <v>2.1957408473804501</v>
      </c>
      <c r="G46">
        <v>-1699.3534888450656</v>
      </c>
      <c r="H46">
        <v>-1423.7557741877608</v>
      </c>
      <c r="I46">
        <v>268.57449169936598</v>
      </c>
      <c r="J46">
        <v>140.14075749923799</v>
      </c>
      <c r="K46">
        <v>47.380592069823997</v>
      </c>
      <c r="L46">
        <v>1.5095125248370996E-4</v>
      </c>
      <c r="M46">
        <v>1.7649211843729401E-5</v>
      </c>
      <c r="N46" s="1">
        <v>3.4112622888324702E-6</v>
      </c>
      <c r="O46" s="1">
        <v>9.6200055253765395E-8</v>
      </c>
      <c r="P46" s="1">
        <v>-4.95448646639157E-7</v>
      </c>
      <c r="Q46">
        <v>72.734462700680695</v>
      </c>
      <c r="R46">
        <v>6.63235136892871E-2</v>
      </c>
      <c r="S46">
        <v>12.159310843041</v>
      </c>
      <c r="T46">
        <v>0.154974971097286</v>
      </c>
      <c r="V46">
        <v>0.36038119303755101</v>
      </c>
      <c r="W46">
        <v>2.3069048239749999E-2</v>
      </c>
      <c r="X46">
        <v>4.8060517166155101E-2</v>
      </c>
      <c r="AA46">
        <v>0.51905358539441004</v>
      </c>
      <c r="AB46">
        <v>3.8160050629920801</v>
      </c>
      <c r="AC46">
        <v>4.4311796827185201</v>
      </c>
      <c r="AD46">
        <v>5.7672620599365301E-3</v>
      </c>
      <c r="AE46">
        <v>5.68141161988326</v>
      </c>
    </row>
    <row r="47" spans="1:31" x14ac:dyDescent="0.2">
      <c r="A47">
        <v>46</v>
      </c>
      <c r="B47">
        <v>752</v>
      </c>
      <c r="C47">
        <v>225</v>
      </c>
      <c r="D47">
        <v>0.35255377261864101</v>
      </c>
      <c r="E47">
        <v>103.829867656074</v>
      </c>
      <c r="F47">
        <v>2.1961964410273098</v>
      </c>
      <c r="G47">
        <v>-1695.6744241468441</v>
      </c>
      <c r="H47">
        <v>-1421.0023897601764</v>
      </c>
      <c r="I47">
        <v>267.93350669333</v>
      </c>
      <c r="J47">
        <v>139.87095617045</v>
      </c>
      <c r="K47">
        <v>47.2771313696813</v>
      </c>
      <c r="L47">
        <v>1.509869392689538E-4</v>
      </c>
      <c r="M47">
        <v>1.7641452601030624E-5</v>
      </c>
      <c r="N47" s="1">
        <v>3.4092592971007598E-6</v>
      </c>
      <c r="O47" s="1">
        <v>9.5957040990421798E-8</v>
      </c>
      <c r="P47" s="1">
        <v>-4.9476826241154003E-7</v>
      </c>
      <c r="Q47">
        <v>72.690303654882996</v>
      </c>
      <c r="R47">
        <v>6.6454866559743198E-2</v>
      </c>
      <c r="S47">
        <v>12.183392202625299</v>
      </c>
      <c r="T47">
        <v>0.155581891898431</v>
      </c>
      <c r="V47">
        <v>0.36082498470794</v>
      </c>
      <c r="W47">
        <v>2.3114736194691E-2</v>
      </c>
      <c r="X47">
        <v>4.8155700405616703E-2</v>
      </c>
      <c r="AA47">
        <v>0.52008156438058695</v>
      </c>
      <c r="AB47">
        <v>3.8235626122052402</v>
      </c>
      <c r="AC47">
        <v>4.4399555773967396</v>
      </c>
      <c r="AD47">
        <v>5.7786840486716302E-3</v>
      </c>
      <c r="AE47">
        <v>5.6827935246939099</v>
      </c>
    </row>
    <row r="48" spans="1:31" x14ac:dyDescent="0.2">
      <c r="A48">
        <v>47</v>
      </c>
      <c r="B48">
        <v>751</v>
      </c>
      <c r="C48">
        <v>225</v>
      </c>
      <c r="D48">
        <v>0.35185324415369101</v>
      </c>
      <c r="E48">
        <v>103.62518783300899</v>
      </c>
      <c r="F48">
        <v>2.19665214906993</v>
      </c>
      <c r="G48">
        <v>-1692.0123231178729</v>
      </c>
      <c r="H48">
        <v>-1418.2618827217584</v>
      </c>
      <c r="I48">
        <v>267.29525987024698</v>
      </c>
      <c r="J48">
        <v>139.60239750443</v>
      </c>
      <c r="K48">
        <v>47.174145381590897</v>
      </c>
      <c r="L48">
        <v>1.5102257729946895E-4</v>
      </c>
      <c r="M48">
        <v>1.763368478895432E-5</v>
      </c>
      <c r="N48" s="1">
        <v>3.40727348009826E-6</v>
      </c>
      <c r="O48" s="1">
        <v>9.5715150964385996E-8</v>
      </c>
      <c r="P48" s="1">
        <v>-4.9409146300471502E-7</v>
      </c>
      <c r="Q48">
        <v>72.646169715374995</v>
      </c>
      <c r="R48">
        <v>6.6586127796647201E-2</v>
      </c>
      <c r="S48">
        <v>12.207456762725499</v>
      </c>
      <c r="T48">
        <v>0.15619095386835299</v>
      </c>
      <c r="V48">
        <v>0.36126615915934601</v>
      </c>
      <c r="W48">
        <v>2.31603922770919E-2</v>
      </c>
      <c r="X48">
        <v>4.8250817243953997E-2</v>
      </c>
      <c r="AA48">
        <v>0.52110882623461596</v>
      </c>
      <c r="AB48">
        <v>3.8311148891690801</v>
      </c>
      <c r="AC48">
        <v>4.4487253498912196</v>
      </c>
      <c r="AD48">
        <v>5.7900980692716401E-3</v>
      </c>
      <c r="AE48">
        <v>5.6841799081898099</v>
      </c>
    </row>
    <row r="49" spans="1:31" x14ac:dyDescent="0.2">
      <c r="A49">
        <v>48</v>
      </c>
      <c r="B49">
        <v>750</v>
      </c>
      <c r="C49">
        <v>225</v>
      </c>
      <c r="D49">
        <v>0.35115134633240402</v>
      </c>
      <c r="E49">
        <v>101.547422181698</v>
      </c>
      <c r="F49">
        <v>2.1976309541731101</v>
      </c>
      <c r="G49">
        <v>-1657.2830693609801</v>
      </c>
      <c r="H49">
        <v>-1389.5766753098894</v>
      </c>
      <c r="I49">
        <v>261.649214730089</v>
      </c>
      <c r="J49">
        <v>136.755524227254</v>
      </c>
      <c r="K49">
        <v>46.207677403190999</v>
      </c>
      <c r="L49">
        <v>1.507301069089632E-4</v>
      </c>
      <c r="M49">
        <v>1.7595453730370075E-5</v>
      </c>
      <c r="N49" s="1">
        <v>3.3322557371565801E-6</v>
      </c>
      <c r="O49" s="1">
        <v>9.3452316045000402E-8</v>
      </c>
      <c r="P49" s="1">
        <v>-4.8302912680404598E-7</v>
      </c>
      <c r="Q49">
        <v>72.618392391005202</v>
      </c>
      <c r="R49">
        <v>6.7948549079408005E-2</v>
      </c>
      <c r="S49">
        <v>12.213989909214099</v>
      </c>
      <c r="T49">
        <v>0.159700903458491</v>
      </c>
      <c r="V49">
        <v>0.36837539057880497</v>
      </c>
      <c r="W49">
        <v>2.3634277940659101E-2</v>
      </c>
      <c r="X49">
        <v>4.9238079043060302E-2</v>
      </c>
      <c r="AA49">
        <v>0.50852763888902797</v>
      </c>
      <c r="AB49">
        <v>3.8047968516939199</v>
      </c>
      <c r="AC49">
        <v>4.5132058458235704</v>
      </c>
      <c r="AD49">
        <v>5.9085694851626997E-3</v>
      </c>
      <c r="AE49">
        <v>5.6662815937884403</v>
      </c>
    </row>
    <row r="50" spans="1:31" x14ac:dyDescent="0.2">
      <c r="A50">
        <v>49</v>
      </c>
      <c r="B50">
        <v>749</v>
      </c>
      <c r="C50">
        <v>225</v>
      </c>
      <c r="D50">
        <v>0.350448075135744</v>
      </c>
      <c r="E50">
        <v>85.938320691781996</v>
      </c>
      <c r="F50">
        <v>2.19975071657545</v>
      </c>
      <c r="G50">
        <v>-1401.1997185447187</v>
      </c>
      <c r="H50">
        <v>-1175.0860333357205</v>
      </c>
      <c r="I50">
        <v>221.21379954898799</v>
      </c>
      <c r="J50">
        <v>115.71208336667701</v>
      </c>
      <c r="K50">
        <v>39.067299782754397</v>
      </c>
      <c r="L50">
        <v>1.5062588022733556E-4</v>
      </c>
      <c r="M50">
        <v>1.7567914362952893E-5</v>
      </c>
      <c r="N50" s="1">
        <v>2.8163603533970801E-6</v>
      </c>
      <c r="O50" s="1">
        <v>7.8846636356081396E-8</v>
      </c>
      <c r="P50" s="1">
        <v>-4.0794486162708897E-7</v>
      </c>
      <c r="Q50">
        <v>72.516694631458606</v>
      </c>
      <c r="R50">
        <v>8.0290142330657593E-2</v>
      </c>
      <c r="S50">
        <v>12.2127135966177</v>
      </c>
      <c r="T50">
        <v>0.18875040954455799</v>
      </c>
      <c r="V50">
        <v>0.43524543368485602</v>
      </c>
      <c r="W50">
        <v>2.79270060280459E-2</v>
      </c>
      <c r="X50">
        <v>5.8181262558470698E-2</v>
      </c>
      <c r="AA50">
        <v>0.50452621555384203</v>
      </c>
      <c r="AB50">
        <v>3.7718727152712899</v>
      </c>
      <c r="AC50">
        <v>4.5444122508001801</v>
      </c>
      <c r="AD50">
        <v>6.9817515070070297E-3</v>
      </c>
      <c r="AE50">
        <v>5.6524045846447599</v>
      </c>
    </row>
    <row r="51" spans="1:31" x14ac:dyDescent="0.2">
      <c r="A51">
        <v>50</v>
      </c>
      <c r="B51">
        <v>748</v>
      </c>
      <c r="C51">
        <v>225</v>
      </c>
      <c r="D51">
        <v>0.34974342652891699</v>
      </c>
      <c r="E51">
        <v>66.329226411467801</v>
      </c>
      <c r="F51">
        <v>2.2028593153490701</v>
      </c>
      <c r="G51">
        <v>-1080.0058545409954</v>
      </c>
      <c r="H51">
        <v>-905.76025232550535</v>
      </c>
      <c r="I51">
        <v>170.63663733583701</v>
      </c>
      <c r="J51">
        <v>89.318733696840397</v>
      </c>
      <c r="K51">
        <v>30.110514071098098</v>
      </c>
      <c r="L51">
        <v>1.5085265763644008E-4</v>
      </c>
      <c r="M51">
        <v>1.7563291039232866E-5</v>
      </c>
      <c r="N51" s="1">
        <v>2.1753854348882299E-6</v>
      </c>
      <c r="O51" s="1">
        <v>6.0784462388647706E-8</v>
      </c>
      <c r="P51" s="1">
        <v>-3.1472522735659802E-7</v>
      </c>
      <c r="Q51">
        <v>72.331686851335704</v>
      </c>
      <c r="R51">
        <v>0.104026541138854</v>
      </c>
      <c r="S51">
        <v>12.2069846873628</v>
      </c>
      <c r="T51">
        <v>0.24416364306381799</v>
      </c>
      <c r="V51">
        <v>0.56426700149532305</v>
      </c>
      <c r="W51">
        <v>3.6183144743938002E-2</v>
      </c>
      <c r="X51">
        <v>7.5381551549926901E-2</v>
      </c>
      <c r="AA51">
        <v>0.50888102534259805</v>
      </c>
      <c r="AB51">
        <v>3.7481197994581099</v>
      </c>
      <c r="AC51">
        <v>4.5210201496353601</v>
      </c>
      <c r="AD51">
        <v>9.0457861859794993E-3</v>
      </c>
      <c r="AE51">
        <v>5.6502398186875498</v>
      </c>
    </row>
    <row r="52" spans="1:31" x14ac:dyDescent="0.2">
      <c r="A52">
        <v>51</v>
      </c>
      <c r="B52">
        <v>747</v>
      </c>
      <c r="C52">
        <v>225</v>
      </c>
      <c r="D52">
        <v>0.34903739646130499</v>
      </c>
      <c r="E52">
        <v>37.767452113797198</v>
      </c>
      <c r="F52">
        <v>2.2056014856158401</v>
      </c>
      <c r="G52">
        <v>-614.54499965247737</v>
      </c>
      <c r="H52">
        <v>-515.51928334020022</v>
      </c>
      <c r="I52">
        <v>97.069760635472306</v>
      </c>
      <c r="J52">
        <v>50.878523177152502</v>
      </c>
      <c r="K52">
        <v>17.123425224413001</v>
      </c>
      <c r="L52">
        <v>1.508349867548442E-4</v>
      </c>
      <c r="M52">
        <v>1.7546744614809947E-5</v>
      </c>
      <c r="N52" s="1">
        <v>1.23769762236319E-6</v>
      </c>
      <c r="O52" s="1">
        <v>3.4519511235392303E-8</v>
      </c>
      <c r="P52" s="1">
        <v>-1.7869181339581001E-7</v>
      </c>
      <c r="Q52">
        <v>72.162036317631802</v>
      </c>
      <c r="R52">
        <v>0.13057043424951301</v>
      </c>
      <c r="S52">
        <v>12.270346939980699</v>
      </c>
      <c r="T52">
        <v>0.26283731536517901</v>
      </c>
      <c r="V52">
        <v>0.60895248214888698</v>
      </c>
      <c r="W52">
        <v>6.3546780777474096E-2</v>
      </c>
      <c r="X52">
        <v>0.12695319244651801</v>
      </c>
      <c r="AA52">
        <v>0.51451756552130601</v>
      </c>
      <c r="AB52">
        <v>3.6875150990117298</v>
      </c>
      <c r="AC52">
        <v>4.5173871924390898</v>
      </c>
      <c r="AD52">
        <v>1.58866951943555E-2</v>
      </c>
      <c r="AE52">
        <v>5.6394499852332496</v>
      </c>
    </row>
    <row r="53" spans="1:31" x14ac:dyDescent="0.2">
      <c r="A53">
        <v>52</v>
      </c>
      <c r="B53">
        <v>746</v>
      </c>
      <c r="C53">
        <v>225</v>
      </c>
      <c r="D53">
        <v>0.34832998086640898</v>
      </c>
      <c r="E53">
        <v>17.5483476510916</v>
      </c>
      <c r="F53">
        <v>2.2082922194086398</v>
      </c>
      <c r="G53">
        <v>-285.50446116584362</v>
      </c>
      <c r="H53">
        <v>-239.6006413148362</v>
      </c>
      <c r="I53">
        <v>45.041279351427598</v>
      </c>
      <c r="J53">
        <v>23.653212183048101</v>
      </c>
      <c r="K53">
        <v>7.9465695241143797</v>
      </c>
      <c r="L53">
        <v>1.5065067766589741E-4</v>
      </c>
      <c r="M53">
        <v>1.753468017991637E-5</v>
      </c>
      <c r="N53" s="1">
        <v>5.7422241219662804E-7</v>
      </c>
      <c r="O53" s="1">
        <v>1.5985897753635999E-8</v>
      </c>
      <c r="P53" s="1">
        <v>-8.2589723511858994E-8</v>
      </c>
      <c r="Q53">
        <v>71.930377695728893</v>
      </c>
      <c r="R53">
        <v>0.15274592352239</v>
      </c>
      <c r="S53">
        <v>12.5060943525087</v>
      </c>
      <c r="T53">
        <v>0.25045827606964199</v>
      </c>
      <c r="V53">
        <v>0.583573390185533</v>
      </c>
      <c r="W53">
        <v>0.13634522338455299</v>
      </c>
      <c r="X53">
        <v>0.16036990282892799</v>
      </c>
      <c r="AA53">
        <v>0.52167678723939503</v>
      </c>
      <c r="AB53">
        <v>3.55732014751197</v>
      </c>
      <c r="AC53">
        <v>4.5422859664040596</v>
      </c>
      <c r="AD53">
        <v>3.4191253326427598E-2</v>
      </c>
      <c r="AE53">
        <v>5.6245610812894702</v>
      </c>
    </row>
    <row r="54" spans="1:31" x14ac:dyDescent="0.2">
      <c r="A54">
        <v>53</v>
      </c>
      <c r="B54">
        <v>745</v>
      </c>
      <c r="C54">
        <v>225</v>
      </c>
      <c r="D54">
        <v>0.347621175661739</v>
      </c>
      <c r="E54">
        <v>10.667352665075001</v>
      </c>
      <c r="F54">
        <v>2.21089714485769</v>
      </c>
      <c r="G54">
        <v>-173.50688617324286</v>
      </c>
      <c r="H54">
        <v>-145.66385754547903</v>
      </c>
      <c r="I54">
        <v>27.346686271928299</v>
      </c>
      <c r="J54">
        <v>14.385802553206201</v>
      </c>
      <c r="K54">
        <v>4.8248977524287699</v>
      </c>
      <c r="L54">
        <v>1.5063685929478439E-4</v>
      </c>
      <c r="M54">
        <v>1.754341234498988E-5</v>
      </c>
      <c r="N54" s="1">
        <v>3.4920198798722398E-7</v>
      </c>
      <c r="O54" s="1">
        <v>9.70253858748947E-9</v>
      </c>
      <c r="P54" s="1">
        <v>-5.0020691698926297E-8</v>
      </c>
      <c r="Q54">
        <v>71.652871550301299</v>
      </c>
      <c r="R54">
        <v>0.15207485547954799</v>
      </c>
      <c r="S54">
        <v>12.800285702566599</v>
      </c>
      <c r="T54">
        <v>0.24671292564841099</v>
      </c>
      <c r="V54">
        <v>0.57909657463636699</v>
      </c>
      <c r="W54">
        <v>0.222143811674057</v>
      </c>
      <c r="X54">
        <v>0.15983434679084499</v>
      </c>
      <c r="AA54">
        <v>0.52781336883205598</v>
      </c>
      <c r="AB54">
        <v>3.4212696683188701</v>
      </c>
      <c r="AC54">
        <v>4.5612123915915204</v>
      </c>
      <c r="AD54">
        <v>5.6246382662770801E-2</v>
      </c>
      <c r="AE54">
        <v>5.6204384214974601</v>
      </c>
    </row>
    <row r="55" spans="1:31" x14ac:dyDescent="0.2">
      <c r="A55">
        <v>54</v>
      </c>
      <c r="B55">
        <v>758</v>
      </c>
      <c r="C55">
        <v>200</v>
      </c>
      <c r="D55">
        <v>0.383397662803666</v>
      </c>
      <c r="E55">
        <v>104.362517066169</v>
      </c>
      <c r="F55">
        <v>2.1953042128986802</v>
      </c>
      <c r="G55">
        <v>-1705.2400261345249</v>
      </c>
      <c r="H55">
        <v>-1429.2387954029671</v>
      </c>
      <c r="I55">
        <v>267.663512322705</v>
      </c>
      <c r="J55">
        <v>140.19065909903799</v>
      </c>
      <c r="K55">
        <v>47.538977264735699</v>
      </c>
      <c r="L55">
        <v>1.4616894641811384E-4</v>
      </c>
      <c r="M55">
        <v>1.7561829440261628E-5</v>
      </c>
      <c r="N55" s="1">
        <v>3.2074871768593902E-6</v>
      </c>
      <c r="O55" s="1">
        <v>9.2878872681946603E-8</v>
      </c>
      <c r="P55" s="1">
        <v>-4.7665048796623202E-7</v>
      </c>
      <c r="Q55">
        <v>73.168032112144502</v>
      </c>
      <c r="R55">
        <v>6.6115691667585699E-2</v>
      </c>
      <c r="S55">
        <v>12.1212101390577</v>
      </c>
      <c r="T55">
        <v>0.15497478664036299</v>
      </c>
      <c r="V55">
        <v>0.358815164068221</v>
      </c>
      <c r="W55">
        <v>2.2996762319160102E-2</v>
      </c>
      <c r="X55">
        <v>4.79099214982509E-2</v>
      </c>
      <c r="AA55">
        <v>0.51742715218110502</v>
      </c>
      <c r="AB55">
        <v>3.8040477669610699</v>
      </c>
      <c r="AC55">
        <v>4.4172947621386598</v>
      </c>
      <c r="AD55">
        <v>5.7491905797899603E-3</v>
      </c>
      <c r="AE55">
        <v>5.3154265507434904</v>
      </c>
    </row>
    <row r="56" spans="1:31" x14ac:dyDescent="0.2">
      <c r="A56">
        <v>55</v>
      </c>
      <c r="B56">
        <v>757</v>
      </c>
      <c r="C56">
        <v>200</v>
      </c>
      <c r="D56">
        <v>0.38273115565694399</v>
      </c>
      <c r="E56">
        <v>104.359213825469</v>
      </c>
      <c r="F56">
        <v>2.19564942991415</v>
      </c>
      <c r="G56">
        <v>-1704.9134289631531</v>
      </c>
      <c r="H56">
        <v>-1429.3337014883487</v>
      </c>
      <c r="I56">
        <v>267.51417509566897</v>
      </c>
      <c r="J56">
        <v>140.17204924117499</v>
      </c>
      <c r="K56">
        <v>47.529998370254098</v>
      </c>
      <c r="L56">
        <v>1.4611038072001091E-4</v>
      </c>
      <c r="M56">
        <v>1.7553254777188892E-5</v>
      </c>
      <c r="N56" s="1">
        <v>3.2106328995634199E-6</v>
      </c>
      <c r="O56" s="1">
        <v>9.2793907650120098E-8</v>
      </c>
      <c r="P56" s="1">
        <v>-4.7646485913831203E-7</v>
      </c>
      <c r="Q56">
        <v>73.168038465630204</v>
      </c>
      <c r="R56">
        <v>6.6117784401285601E-2</v>
      </c>
      <c r="S56">
        <v>12.121593806903499</v>
      </c>
      <c r="T56">
        <v>0.15522431981388801</v>
      </c>
      <c r="V56">
        <v>0.35860640269732802</v>
      </c>
      <c r="W56">
        <v>2.29974902265336E-2</v>
      </c>
      <c r="X56">
        <v>4.7911437971947198E-2</v>
      </c>
      <c r="AA56">
        <v>0.51744353009701605</v>
      </c>
      <c r="AB56">
        <v>3.8041681749724701</v>
      </c>
      <c r="AC56">
        <v>4.4174345810133104</v>
      </c>
      <c r="AD56">
        <v>5.74937255663321E-3</v>
      </c>
      <c r="AE56">
        <v>5.3147146337157798</v>
      </c>
    </row>
    <row r="57" spans="1:31" x14ac:dyDescent="0.2">
      <c r="A57">
        <v>56</v>
      </c>
      <c r="B57">
        <v>756</v>
      </c>
      <c r="C57">
        <v>200</v>
      </c>
      <c r="D57">
        <v>0.38206335325268598</v>
      </c>
      <c r="E57">
        <v>102.21761782698999</v>
      </c>
      <c r="F57">
        <v>2.1966031576334801</v>
      </c>
      <c r="G57">
        <v>-1669.109429908661</v>
      </c>
      <c r="H57">
        <v>-1399.7395437640146</v>
      </c>
      <c r="I57">
        <v>261.74016046703201</v>
      </c>
      <c r="J57">
        <v>137.24705090180001</v>
      </c>
      <c r="K57">
        <v>46.534403572976103</v>
      </c>
      <c r="L57">
        <v>1.4583254869694894E-4</v>
      </c>
      <c r="M57">
        <v>1.7515332192666571E-5</v>
      </c>
      <c r="N57" s="1">
        <v>3.1383163236188898E-6</v>
      </c>
      <c r="O57" s="1">
        <v>9.05566447712512E-8</v>
      </c>
      <c r="P57" s="1">
        <v>-4.6559149590778501E-7</v>
      </c>
      <c r="Q57">
        <v>73.139937489708998</v>
      </c>
      <c r="R57">
        <v>6.7503040539241901E-2</v>
      </c>
      <c r="S57">
        <v>12.127040899609099</v>
      </c>
      <c r="T57">
        <v>0.15878416166402601</v>
      </c>
      <c r="V57">
        <v>0.36584282927600398</v>
      </c>
      <c r="W57">
        <v>2.3479318448431302E-2</v>
      </c>
      <c r="X57">
        <v>4.8915246767568102E-2</v>
      </c>
      <c r="AA57">
        <v>0.50429058951606598</v>
      </c>
      <c r="AB57">
        <v>3.77616022280663</v>
      </c>
      <c r="AC57">
        <v>4.4843955403685598</v>
      </c>
      <c r="AD57">
        <v>5.8698296121075903E-3</v>
      </c>
      <c r="AE57">
        <v>5.2977808316831601</v>
      </c>
    </row>
    <row r="58" spans="1:31" x14ac:dyDescent="0.2">
      <c r="A58">
        <v>57</v>
      </c>
      <c r="B58">
        <v>755</v>
      </c>
      <c r="C58">
        <v>200</v>
      </c>
      <c r="D58">
        <v>0.38139425181150599</v>
      </c>
      <c r="E58">
        <v>99.667605190600597</v>
      </c>
      <c r="F58">
        <v>2.1976847085592501</v>
      </c>
      <c r="G58">
        <v>-1626.580262700822</v>
      </c>
      <c r="H58">
        <v>-1364.5048692177436</v>
      </c>
      <c r="I58">
        <v>254.89995961978099</v>
      </c>
      <c r="J58">
        <v>133.76724656257699</v>
      </c>
      <c r="K58">
        <v>45.3511847274671</v>
      </c>
      <c r="L58">
        <v>1.4549657978983903E-4</v>
      </c>
      <c r="M58">
        <v>1.7471839744955219E-5</v>
      </c>
      <c r="N58" s="1">
        <v>3.0517681473780201E-6</v>
      </c>
      <c r="O58" s="1">
        <v>8.7921257978032498E-8</v>
      </c>
      <c r="P58" s="1">
        <v>-4.5263910324954002E-7</v>
      </c>
      <c r="Q58">
        <v>73.112572184551297</v>
      </c>
      <c r="R58">
        <v>6.9230117316503401E-2</v>
      </c>
      <c r="S58">
        <v>12.1302374642824</v>
      </c>
      <c r="T58">
        <v>0.16315690147683201</v>
      </c>
      <c r="V58">
        <v>0.37492384091699299</v>
      </c>
      <c r="W58">
        <v>2.4080040805738199E-2</v>
      </c>
      <c r="X58">
        <v>5.0166751678630703E-2</v>
      </c>
      <c r="AA58">
        <v>0.49094116309487201</v>
      </c>
      <c r="AB58">
        <v>3.7401929234998401</v>
      </c>
      <c r="AC58">
        <v>4.5610296886021402</v>
      </c>
      <c r="AD58">
        <v>6.0200102014338099E-3</v>
      </c>
      <c r="AE58">
        <v>5.2774489135731102</v>
      </c>
    </row>
    <row r="59" spans="1:31" x14ac:dyDescent="0.2">
      <c r="A59">
        <v>58</v>
      </c>
      <c r="B59">
        <v>754</v>
      </c>
      <c r="C59">
        <v>200</v>
      </c>
      <c r="D59">
        <v>0.38072384753930699</v>
      </c>
      <c r="E59">
        <v>90.106093619842099</v>
      </c>
      <c r="F59">
        <v>2.1993938622825202</v>
      </c>
      <c r="G59">
        <v>-1469.3906809967916</v>
      </c>
      <c r="H59">
        <v>-1232.9637586334566</v>
      </c>
      <c r="I59">
        <v>230.17760050950099</v>
      </c>
      <c r="J59">
        <v>120.895701562928</v>
      </c>
      <c r="K59">
        <v>40.968602834205498</v>
      </c>
      <c r="L59">
        <v>1.452522894244176E-4</v>
      </c>
      <c r="M59">
        <v>1.7433978129179696E-5</v>
      </c>
      <c r="N59" s="1">
        <v>2.7525270271777399E-6</v>
      </c>
      <c r="O59" s="1">
        <v>7.9172107033055798E-8</v>
      </c>
      <c r="P59" s="1">
        <v>-4.0804298020727002E-7</v>
      </c>
      <c r="Q59">
        <v>73.045153775794901</v>
      </c>
      <c r="R59">
        <v>7.6576397031612495E-2</v>
      </c>
      <c r="S59">
        <v>12.131736007117199</v>
      </c>
      <c r="T59">
        <v>0.18064064957016801</v>
      </c>
      <c r="V59">
        <v>0.41455503927859</v>
      </c>
      <c r="W59">
        <v>2.6635268532728001E-2</v>
      </c>
      <c r="X59">
        <v>5.5490142776548103E-2</v>
      </c>
      <c r="AA59">
        <v>0.486726232482526</v>
      </c>
      <c r="AB59">
        <v>3.69866284081023</v>
      </c>
      <c r="AC59">
        <v>4.6181061064957101</v>
      </c>
      <c r="AD59">
        <v>6.6588171331797901E-3</v>
      </c>
      <c r="AE59">
        <v>5.2590587229764703</v>
      </c>
    </row>
    <row r="60" spans="1:31" x14ac:dyDescent="0.2">
      <c r="A60">
        <v>59</v>
      </c>
      <c r="B60">
        <v>753</v>
      </c>
      <c r="C60">
        <v>200</v>
      </c>
      <c r="D60">
        <v>0.380052136627202</v>
      </c>
      <c r="E60">
        <v>69.518494019222501</v>
      </c>
      <c r="F60">
        <v>2.2025559911706698</v>
      </c>
      <c r="G60">
        <v>-1132.1368027207873</v>
      </c>
      <c r="H60">
        <v>-950.0442133067246</v>
      </c>
      <c r="I60">
        <v>177.45221401750399</v>
      </c>
      <c r="J60">
        <v>93.277549930114503</v>
      </c>
      <c r="K60">
        <v>31.562645534505901</v>
      </c>
      <c r="L60">
        <v>1.4538599440026649E-4</v>
      </c>
      <c r="M60">
        <v>1.742262150993652E-5</v>
      </c>
      <c r="N60" s="1">
        <v>2.1235323860578998E-6</v>
      </c>
      <c r="O60" s="1">
        <v>6.0967235886715605E-8</v>
      </c>
      <c r="P60" s="1">
        <v>-3.14406532555415E-7</v>
      </c>
      <c r="Q60">
        <v>72.867553650741598</v>
      </c>
      <c r="R60">
        <v>9.92541639077094E-2</v>
      </c>
      <c r="S60">
        <v>12.127900734396199</v>
      </c>
      <c r="T60">
        <v>0.23376784027556699</v>
      </c>
      <c r="V60">
        <v>0.53765551786467902</v>
      </c>
      <c r="W60">
        <v>3.4523187446147401E-2</v>
      </c>
      <c r="X60">
        <v>7.1923307179535698E-2</v>
      </c>
      <c r="AA60">
        <v>0.49844877364137002</v>
      </c>
      <c r="AB60">
        <v>3.6625640077400901</v>
      </c>
      <c r="AC60">
        <v>4.6049430790450296</v>
      </c>
      <c r="AD60">
        <v>8.6307968615332801E-3</v>
      </c>
      <c r="AE60">
        <v>5.2528349409003798</v>
      </c>
    </row>
    <row r="61" spans="1:31" x14ac:dyDescent="0.2">
      <c r="A61">
        <v>60</v>
      </c>
      <c r="B61">
        <v>752</v>
      </c>
      <c r="C61">
        <v>200</v>
      </c>
      <c r="D61">
        <v>0.37937911525142798</v>
      </c>
      <c r="E61">
        <v>56.3984043043369</v>
      </c>
      <c r="F61">
        <v>2.2056671114645199</v>
      </c>
      <c r="G61">
        <v>-917.23370929033319</v>
      </c>
      <c r="H61">
        <v>-769.74980744124798</v>
      </c>
      <c r="I61">
        <v>143.86567999715601</v>
      </c>
      <c r="J61">
        <v>75.679523027257005</v>
      </c>
      <c r="K61">
        <v>25.569771617480999</v>
      </c>
      <c r="L61">
        <v>1.4557050092336277E-4</v>
      </c>
      <c r="M61">
        <v>1.7415245544058524E-5</v>
      </c>
      <c r="N61" s="1">
        <v>1.7234750495775099E-6</v>
      </c>
      <c r="O61" s="1">
        <v>4.9388485803388103E-8</v>
      </c>
      <c r="P61" s="1">
        <v>-2.5486565003042003E-7</v>
      </c>
      <c r="Q61">
        <v>72.687378433117203</v>
      </c>
      <c r="R61">
        <v>0.12234388694346</v>
      </c>
      <c r="S61">
        <v>12.122966871119001</v>
      </c>
      <c r="T61">
        <v>0.28769659713544199</v>
      </c>
      <c r="V61">
        <v>0.66313933554326998</v>
      </c>
      <c r="W61">
        <v>4.25543954585735E-2</v>
      </c>
      <c r="X61">
        <v>8.8654990538797399E-2</v>
      </c>
      <c r="AA61">
        <v>0.505555605227472</v>
      </c>
      <c r="AB61">
        <v>3.6343956715144299</v>
      </c>
      <c r="AC61">
        <v>4.5856511145595196</v>
      </c>
      <c r="AD61">
        <v>1.06385988646378E-2</v>
      </c>
      <c r="AE61">
        <v>5.2490244999780602</v>
      </c>
    </row>
    <row r="62" spans="1:31" x14ac:dyDescent="0.2">
      <c r="A62">
        <v>61</v>
      </c>
      <c r="B62">
        <v>751</v>
      </c>
      <c r="C62">
        <v>200</v>
      </c>
      <c r="D62">
        <v>0.378704779573308</v>
      </c>
      <c r="E62">
        <v>23.045892103114099</v>
      </c>
      <c r="F62">
        <v>2.2080608760893101</v>
      </c>
      <c r="G62">
        <v>-374.91821115316628</v>
      </c>
      <c r="H62">
        <v>-314.80994933526057</v>
      </c>
      <c r="I62">
        <v>58.690877135093203</v>
      </c>
      <c r="J62">
        <v>30.9463379415578</v>
      </c>
      <c r="K62">
        <v>10.437163373833499</v>
      </c>
      <c r="L62">
        <v>1.4511446522814597E-4</v>
      </c>
      <c r="M62">
        <v>1.7377220941850959E-5</v>
      </c>
      <c r="N62" s="1">
        <v>7.0153046351573596E-7</v>
      </c>
      <c r="O62" s="1">
        <v>2.00702771642246E-8</v>
      </c>
      <c r="P62" s="1">
        <v>-1.03353897828108E-7</v>
      </c>
      <c r="Q62">
        <v>72.522017615172601</v>
      </c>
      <c r="R62">
        <v>0.152813381325069</v>
      </c>
      <c r="S62">
        <v>12.3188375449809</v>
      </c>
      <c r="T62">
        <v>0.25264839567271502</v>
      </c>
      <c r="V62">
        <v>0.58454410539639201</v>
      </c>
      <c r="W62">
        <v>0.104140034556292</v>
      </c>
      <c r="X62">
        <v>0.16892271166921599</v>
      </c>
      <c r="AA62">
        <v>0.52502092570331604</v>
      </c>
      <c r="AB62">
        <v>3.4920227057322499</v>
      </c>
      <c r="AC62">
        <v>4.6302482131391702</v>
      </c>
      <c r="AD62">
        <v>2.6035008639050301E-2</v>
      </c>
      <c r="AE62">
        <v>5.2227493580128401</v>
      </c>
    </row>
    <row r="63" spans="1:31" x14ac:dyDescent="0.2">
      <c r="A63">
        <v>62</v>
      </c>
      <c r="B63">
        <v>750</v>
      </c>
      <c r="C63">
        <v>200</v>
      </c>
      <c r="D63">
        <v>0.37802912573913899</v>
      </c>
      <c r="E63">
        <v>12.740166163173001</v>
      </c>
      <c r="F63">
        <v>2.2107613743890799</v>
      </c>
      <c r="G63">
        <v>-207.21072482354543</v>
      </c>
      <c r="H63">
        <v>-174.05986710859</v>
      </c>
      <c r="I63">
        <v>32.4007796656946</v>
      </c>
      <c r="J63">
        <v>17.115146496842701</v>
      </c>
      <c r="K63">
        <v>5.7627957095521696</v>
      </c>
      <c r="L63">
        <v>1.4498664485603733E-4</v>
      </c>
      <c r="M63">
        <v>1.7375345663045295E-5</v>
      </c>
      <c r="N63" s="1">
        <v>3.8750065485759798E-7</v>
      </c>
      <c r="O63" s="1">
        <v>1.10657755940771E-8</v>
      </c>
      <c r="P63" s="1">
        <v>-5.6849925903147698E-8</v>
      </c>
      <c r="Q63">
        <v>72.257271083149604</v>
      </c>
      <c r="R63">
        <v>0.16526385390814699</v>
      </c>
      <c r="S63">
        <v>12.601735855344</v>
      </c>
      <c r="T63">
        <v>0.244614094239755</v>
      </c>
      <c r="V63">
        <v>0.56991237415710705</v>
      </c>
      <c r="W63">
        <v>0.187193217158729</v>
      </c>
      <c r="X63">
        <v>0.171258230992652</v>
      </c>
      <c r="AA63">
        <v>0.533994489555211</v>
      </c>
      <c r="AB63">
        <v>3.3492884709261901</v>
      </c>
      <c r="AC63">
        <v>4.6598278835385498</v>
      </c>
      <c r="AD63">
        <v>4.7095147136560801E-2</v>
      </c>
      <c r="AE63">
        <v>5.2125452998933604</v>
      </c>
    </row>
    <row r="64" spans="1:31" x14ac:dyDescent="0.2">
      <c r="A64">
        <v>63</v>
      </c>
      <c r="B64">
        <v>749</v>
      </c>
      <c r="C64">
        <v>200</v>
      </c>
      <c r="D64">
        <v>0.37735214988015597</v>
      </c>
      <c r="E64">
        <v>8.9449025820279804</v>
      </c>
      <c r="F64">
        <v>2.2131263829720602</v>
      </c>
      <c r="G64">
        <v>-145.44661948183045</v>
      </c>
      <c r="H64">
        <v>-122.22057816961816</v>
      </c>
      <c r="I64">
        <v>22.722732781110601</v>
      </c>
      <c r="J64">
        <v>12.0223234097976</v>
      </c>
      <c r="K64">
        <v>4.0417495588370498</v>
      </c>
      <c r="L64">
        <v>1.4497314179663567E-4</v>
      </c>
      <c r="M64">
        <v>1.7383150214988397E-5</v>
      </c>
      <c r="N64" s="1">
        <v>2.7221105860792301E-7</v>
      </c>
      <c r="O64" s="1">
        <v>7.7584738651149294E-9</v>
      </c>
      <c r="P64" s="1">
        <v>-3.9779486587141201E-8</v>
      </c>
      <c r="Q64">
        <v>72.003511262088196</v>
      </c>
      <c r="R64">
        <v>0.164526001902217</v>
      </c>
      <c r="S64">
        <v>12.869873891728799</v>
      </c>
      <c r="T64">
        <v>0.24115366656694401</v>
      </c>
      <c r="V64">
        <v>0.56552459853696702</v>
      </c>
      <c r="W64">
        <v>0.26435766788959503</v>
      </c>
      <c r="X64">
        <v>0.17071113599149801</v>
      </c>
      <c r="AA64">
        <v>0.53981430864743796</v>
      </c>
      <c r="AB64">
        <v>3.2275469308287899</v>
      </c>
      <c r="AC64">
        <v>4.6764814196710303</v>
      </c>
      <c r="AD64">
        <v>6.7077309618128106E-2</v>
      </c>
      <c r="AE64">
        <v>5.2094218065303197</v>
      </c>
    </row>
    <row r="65" spans="1:31" x14ac:dyDescent="0.2">
      <c r="A65">
        <v>64</v>
      </c>
      <c r="B65">
        <v>767</v>
      </c>
      <c r="C65">
        <v>175</v>
      </c>
      <c r="D65">
        <v>0.41577705138682203</v>
      </c>
      <c r="E65">
        <v>103.95927253831699</v>
      </c>
      <c r="F65">
        <v>2.19482069945709</v>
      </c>
      <c r="G65">
        <v>-1699.9964825904613</v>
      </c>
      <c r="H65">
        <v>-1423.9154760451224</v>
      </c>
      <c r="I65">
        <v>265.42422395360097</v>
      </c>
      <c r="J65">
        <v>139.36470138024001</v>
      </c>
      <c r="K65">
        <v>47.365724482201699</v>
      </c>
      <c r="L65">
        <v>1.4142010182695153E-4</v>
      </c>
      <c r="M65">
        <v>1.7440798578968241E-5</v>
      </c>
      <c r="N65" s="1">
        <v>2.9662118926870301E-6</v>
      </c>
      <c r="O65" s="1">
        <v>8.8852541631075304E-8</v>
      </c>
      <c r="P65" s="1">
        <v>-4.5319736555918699E-7</v>
      </c>
      <c r="Q65">
        <v>73.451841414029403</v>
      </c>
      <c r="R65">
        <v>6.6372145856030004E-2</v>
      </c>
      <c r="S65">
        <v>12.168226740272701</v>
      </c>
      <c r="T65">
        <v>0.15531693347455</v>
      </c>
      <c r="V65">
        <v>0.36043999481103101</v>
      </c>
      <c r="W65">
        <v>2.3085963776010202E-2</v>
      </c>
      <c r="X65">
        <v>4.8095757866689001E-2</v>
      </c>
      <c r="AA65">
        <v>0.51943418496023397</v>
      </c>
      <c r="AB65">
        <v>3.8188031746150299</v>
      </c>
      <c r="AC65">
        <v>4.4344288753086198</v>
      </c>
      <c r="AD65">
        <v>5.7714909440024602E-3</v>
      </c>
      <c r="AE65">
        <v>4.9481833240856199</v>
      </c>
    </row>
    <row r="66" spans="1:31" x14ac:dyDescent="0.2">
      <c r="A66">
        <v>65</v>
      </c>
      <c r="B66">
        <v>766</v>
      </c>
      <c r="C66">
        <v>175</v>
      </c>
      <c r="D66">
        <v>0.41514747630275201</v>
      </c>
      <c r="E66">
        <v>103.885354429331</v>
      </c>
      <c r="F66">
        <v>2.1951489892061602</v>
      </c>
      <c r="G66">
        <v>-1698.5002568583911</v>
      </c>
      <c r="H66">
        <v>-1423.0380957505658</v>
      </c>
      <c r="I66">
        <v>265.08411789233998</v>
      </c>
      <c r="J66">
        <v>139.245213024023</v>
      </c>
      <c r="K66">
        <v>47.324967435080197</v>
      </c>
      <c r="L66">
        <v>1.4133732038348369E-4</v>
      </c>
      <c r="M66">
        <v>1.7431296905692689E-5</v>
      </c>
      <c r="N66" s="1">
        <v>2.9665542710076901E-6</v>
      </c>
      <c r="O66" s="1">
        <v>8.8697796688672202E-8</v>
      </c>
      <c r="P66" s="1">
        <v>-4.5259372582494399E-7</v>
      </c>
      <c r="Q66">
        <v>73.460805420933994</v>
      </c>
      <c r="R66">
        <v>6.6419371988511E-2</v>
      </c>
      <c r="S66">
        <v>12.1629114830597</v>
      </c>
      <c r="T66">
        <v>0.15565660420480801</v>
      </c>
      <c r="V66">
        <v>0.36049026243297499</v>
      </c>
      <c r="W66">
        <v>2.3102390256872801E-2</v>
      </c>
      <c r="X66">
        <v>4.8129979701820799E-2</v>
      </c>
      <c r="AA66">
        <v>0.51837896295380304</v>
      </c>
      <c r="AB66">
        <v>3.8154553607241599</v>
      </c>
      <c r="AC66">
        <v>4.4362857661066704</v>
      </c>
      <c r="AD66">
        <v>5.77559756421798E-3</v>
      </c>
      <c r="AE66">
        <v>4.9465888000724298</v>
      </c>
    </row>
    <row r="67" spans="1:31" x14ac:dyDescent="0.2">
      <c r="A67">
        <v>66</v>
      </c>
      <c r="B67">
        <v>765</v>
      </c>
      <c r="C67">
        <v>175</v>
      </c>
      <c r="D67">
        <v>0.41451668833983701</v>
      </c>
      <c r="E67">
        <v>103.412214923064</v>
      </c>
      <c r="F67">
        <v>2.19551023237781</v>
      </c>
      <c r="G67">
        <v>-1690.370990397766</v>
      </c>
      <c r="H67">
        <v>-1416.6666546489785</v>
      </c>
      <c r="I67">
        <v>263.64623199806101</v>
      </c>
      <c r="J67">
        <v>138.553575949227</v>
      </c>
      <c r="K67">
        <v>47.101677504397202</v>
      </c>
      <c r="L67">
        <v>1.4107472338855987E-4</v>
      </c>
      <c r="M67">
        <v>1.741204436828307E-5</v>
      </c>
      <c r="N67" s="1">
        <v>2.95151133515634E-6</v>
      </c>
      <c r="O67" s="1">
        <v>8.8094140421535303E-8</v>
      </c>
      <c r="P67" s="1">
        <v>-4.4944027083947303E-7</v>
      </c>
      <c r="Q67">
        <v>73.517017207516005</v>
      </c>
      <c r="R67">
        <v>6.6723258999272894E-2</v>
      </c>
      <c r="S67">
        <v>12.1285090240927</v>
      </c>
      <c r="T67">
        <v>0.156549450258852</v>
      </c>
      <c r="V67">
        <v>0.36197703270162701</v>
      </c>
      <c r="W67">
        <v>2.3208090086702798E-2</v>
      </c>
      <c r="X67">
        <v>4.8350187680634399E-2</v>
      </c>
      <c r="AA67">
        <v>0.51176648217874199</v>
      </c>
      <c r="AB67">
        <v>3.7937566515047401</v>
      </c>
      <c r="AC67">
        <v>4.4479888245602996</v>
      </c>
      <c r="AD67">
        <v>5.8020225216753301E-3</v>
      </c>
      <c r="AE67">
        <v>4.9383517678987099</v>
      </c>
    </row>
    <row r="68" spans="1:31" x14ac:dyDescent="0.2">
      <c r="A68">
        <v>67</v>
      </c>
      <c r="B68">
        <v>764</v>
      </c>
      <c r="C68">
        <v>175</v>
      </c>
      <c r="D68">
        <v>0.41388468398978101</v>
      </c>
      <c r="E68">
        <v>102.93711434313499</v>
      </c>
      <c r="F68">
        <v>2.1958732160986698</v>
      </c>
      <c r="G68">
        <v>-1682.2141961124701</v>
      </c>
      <c r="H68">
        <v>-1410.2685926156398</v>
      </c>
      <c r="I68">
        <v>262.20469893152301</v>
      </c>
      <c r="J68">
        <v>137.859672468469</v>
      </c>
      <c r="K68">
        <v>46.877530810280398</v>
      </c>
      <c r="L68">
        <v>1.4081051440790641E-4</v>
      </c>
      <c r="M68">
        <v>1.7392780579374919E-5</v>
      </c>
      <c r="N68" s="1">
        <v>2.9363884830114801E-6</v>
      </c>
      <c r="O68" s="1">
        <v>8.7490085237257398E-8</v>
      </c>
      <c r="P68" s="1">
        <v>-4.4627875839063099E-7</v>
      </c>
      <c r="Q68">
        <v>73.573555571725805</v>
      </c>
      <c r="R68">
        <v>6.7031216525065301E-2</v>
      </c>
      <c r="S68">
        <v>12.093973797330699</v>
      </c>
      <c r="T68">
        <v>0.15745311975285201</v>
      </c>
      <c r="V68">
        <v>0.36348474026496802</v>
      </c>
      <c r="W68">
        <v>2.3315205747847699E-2</v>
      </c>
      <c r="X68">
        <v>4.8573345308021001E-2</v>
      </c>
      <c r="AA68">
        <v>0.50543555828700604</v>
      </c>
      <c r="AB68">
        <v>3.7718027771263101</v>
      </c>
      <c r="AC68">
        <v>4.4594760433331198</v>
      </c>
      <c r="AD68">
        <v>5.82880143696138E-3</v>
      </c>
      <c r="AE68">
        <v>4.9300698231612801</v>
      </c>
    </row>
    <row r="69" spans="1:31" x14ac:dyDescent="0.2">
      <c r="A69">
        <v>68</v>
      </c>
      <c r="B69">
        <v>763</v>
      </c>
      <c r="C69">
        <v>175</v>
      </c>
      <c r="D69">
        <v>0.41325145973073701</v>
      </c>
      <c r="E69">
        <v>102.460238036767</v>
      </c>
      <c r="F69">
        <v>2.1962376822207799</v>
      </c>
      <c r="G69">
        <v>-1674.0330606136285</v>
      </c>
      <c r="H69">
        <v>-1403.846494018145</v>
      </c>
      <c r="I69">
        <v>260.760089364941</v>
      </c>
      <c r="J69">
        <v>137.163772950446</v>
      </c>
      <c r="K69">
        <v>46.652618187099797</v>
      </c>
      <c r="L69">
        <v>1.4054482495091101E-4</v>
      </c>
      <c r="M69">
        <v>1.737351855676479E-5</v>
      </c>
      <c r="N69" s="1">
        <v>2.9211957502963202E-6</v>
      </c>
      <c r="O69" s="1">
        <v>8.6885924676086402E-8</v>
      </c>
      <c r="P69" s="1">
        <v>-4.431107969407E-7</v>
      </c>
      <c r="Q69">
        <v>73.630418694273004</v>
      </c>
      <c r="R69">
        <v>6.7343197050977896E-2</v>
      </c>
      <c r="S69">
        <v>12.0593070752789</v>
      </c>
      <c r="T69">
        <v>0.158367535005842</v>
      </c>
      <c r="V69">
        <v>0.36501309693784101</v>
      </c>
      <c r="W69">
        <v>2.34237207133823E-2</v>
      </c>
      <c r="X69">
        <v>4.8799418152885701E-2</v>
      </c>
      <c r="AA69">
        <v>0.49938221091178298</v>
      </c>
      <c r="AB69">
        <v>3.7496131306053502</v>
      </c>
      <c r="AC69">
        <v>4.4707259023241503</v>
      </c>
      <c r="AD69">
        <v>5.8559301783449201E-3</v>
      </c>
      <c r="AE69">
        <v>4.9217500885674799</v>
      </c>
    </row>
    <row r="70" spans="1:31" x14ac:dyDescent="0.2">
      <c r="A70">
        <v>69</v>
      </c>
      <c r="B70">
        <v>762</v>
      </c>
      <c r="C70">
        <v>175</v>
      </c>
      <c r="D70">
        <v>0.41261701202724399</v>
      </c>
      <c r="E70">
        <v>100.80808310088899</v>
      </c>
      <c r="F70">
        <v>2.1969855805798302</v>
      </c>
      <c r="G70">
        <v>-1646.3682174609542</v>
      </c>
      <c r="H70">
        <v>-1381.0698816242734</v>
      </c>
      <c r="I70">
        <v>256.28975108600702</v>
      </c>
      <c r="J70">
        <v>134.898747028808</v>
      </c>
      <c r="K70">
        <v>45.884726778354199</v>
      </c>
      <c r="L70">
        <v>1.4026764569312667E-4</v>
      </c>
      <c r="M70">
        <v>1.7341841603825413E-5</v>
      </c>
      <c r="N70" s="1">
        <v>2.86933414585696E-6</v>
      </c>
      <c r="O70" s="1">
        <v>8.5204380093933904E-8</v>
      </c>
      <c r="P70" s="1">
        <v>-4.3486228354814301E-7</v>
      </c>
      <c r="Q70">
        <v>73.634848456719695</v>
      </c>
      <c r="R70">
        <v>6.84468922308024E-2</v>
      </c>
      <c r="S70">
        <v>12.048058006778501</v>
      </c>
      <c r="T70">
        <v>0.161218692071534</v>
      </c>
      <c r="V70">
        <v>0.370765297218828</v>
      </c>
      <c r="W70">
        <v>2.3807614688971499E-2</v>
      </c>
      <c r="X70">
        <v>4.9599197268705202E-2</v>
      </c>
      <c r="AA70">
        <v>0.48937171725891798</v>
      </c>
      <c r="AB70">
        <v>3.7200613784786798</v>
      </c>
      <c r="AC70">
        <v>4.5198849308598401</v>
      </c>
      <c r="AD70">
        <v>5.9519036722412199E-3</v>
      </c>
      <c r="AE70">
        <v>4.90798591275313</v>
      </c>
    </row>
    <row r="71" spans="1:31" x14ac:dyDescent="0.2">
      <c r="A71">
        <v>70</v>
      </c>
      <c r="B71">
        <v>761</v>
      </c>
      <c r="C71">
        <v>175</v>
      </c>
      <c r="D71">
        <v>0.411981337330175</v>
      </c>
      <c r="E71">
        <v>98.241821899174198</v>
      </c>
      <c r="F71">
        <v>2.1980341634796199</v>
      </c>
      <c r="G71">
        <v>-1603.5921997212492</v>
      </c>
      <c r="H71">
        <v>-1345.6004061047927</v>
      </c>
      <c r="I71">
        <v>249.47231409027299</v>
      </c>
      <c r="J71">
        <v>131.413001423521</v>
      </c>
      <c r="K71">
        <v>44.695311625025603</v>
      </c>
      <c r="L71">
        <v>1.3996836229825953E-4</v>
      </c>
      <c r="M71">
        <v>1.7300719225078071E-5</v>
      </c>
      <c r="N71" s="1">
        <v>2.7891405182191799E-6</v>
      </c>
      <c r="O71" s="1">
        <v>8.2695384286879104E-8</v>
      </c>
      <c r="P71" s="1">
        <v>-4.2262630830649598E-7</v>
      </c>
      <c r="Q71">
        <v>73.604510967561893</v>
      </c>
      <c r="R71">
        <v>7.0234853818996801E-2</v>
      </c>
      <c r="S71">
        <v>12.051747662129699</v>
      </c>
      <c r="T71">
        <v>0.165733321251714</v>
      </c>
      <c r="V71">
        <v>0.38017747729822199</v>
      </c>
      <c r="W71">
        <v>2.4429514371821101E-2</v>
      </c>
      <c r="X71">
        <v>5.0894821607978001E-2</v>
      </c>
      <c r="AA71">
        <v>0.47798759613645497</v>
      </c>
      <c r="AB71">
        <v>3.6827839494187802</v>
      </c>
      <c r="AC71">
        <v>4.5955443240818603</v>
      </c>
      <c r="AD71">
        <v>6.1073785929535796E-3</v>
      </c>
      <c r="AE71">
        <v>4.8898481337295401</v>
      </c>
    </row>
    <row r="72" spans="1:31" x14ac:dyDescent="0.2">
      <c r="A72">
        <v>71</v>
      </c>
      <c r="B72">
        <v>760</v>
      </c>
      <c r="C72">
        <v>175</v>
      </c>
      <c r="D72">
        <v>0.41134443207665999</v>
      </c>
      <c r="E72">
        <v>95.314840779556206</v>
      </c>
      <c r="F72">
        <v>2.1991813872462398</v>
      </c>
      <c r="G72">
        <v>-1554.925733216196</v>
      </c>
      <c r="H72">
        <v>-1305.1717575784048</v>
      </c>
      <c r="I72">
        <v>241.740285183943</v>
      </c>
      <c r="J72">
        <v>127.445270248808</v>
      </c>
      <c r="K72">
        <v>43.341054690766903</v>
      </c>
      <c r="L72">
        <v>1.3964616245474833E-4</v>
      </c>
      <c r="M72">
        <v>1.7257296755369848E-5</v>
      </c>
      <c r="N72" s="1">
        <v>2.6983028377676101E-6</v>
      </c>
      <c r="O72" s="1">
        <v>7.9880838200460399E-8</v>
      </c>
      <c r="P72" s="1">
        <v>-4.0878032157571197E-7</v>
      </c>
      <c r="Q72">
        <v>73.571762695236302</v>
      </c>
      <c r="R72">
        <v>7.2391664756160504E-2</v>
      </c>
      <c r="S72">
        <v>12.0552999420145</v>
      </c>
      <c r="T72">
        <v>0.17112301483414799</v>
      </c>
      <c r="V72">
        <v>0.39158199901693702</v>
      </c>
      <c r="W72">
        <v>2.5179709480399302E-2</v>
      </c>
      <c r="X72">
        <v>5.2457728084184502E-2</v>
      </c>
      <c r="AA72">
        <v>0.46876827808877097</v>
      </c>
      <c r="AB72">
        <v>3.64046921465853</v>
      </c>
      <c r="AC72">
        <v>4.6743680552579603</v>
      </c>
      <c r="AD72">
        <v>6.2949273700979797E-3</v>
      </c>
      <c r="AE72">
        <v>4.8703027712019296</v>
      </c>
    </row>
    <row r="73" spans="1:31" x14ac:dyDescent="0.2">
      <c r="A73">
        <v>72</v>
      </c>
      <c r="B73">
        <v>759</v>
      </c>
      <c r="C73">
        <v>175</v>
      </c>
      <c r="D73">
        <v>0.41070629269001901</v>
      </c>
      <c r="E73">
        <v>76.573796433024498</v>
      </c>
      <c r="F73">
        <v>2.2019858694832202</v>
      </c>
      <c r="G73">
        <v>-1247.7251982347304</v>
      </c>
      <c r="H73">
        <v>-1047.4677723064046</v>
      </c>
      <c r="I73">
        <v>194.01969280465499</v>
      </c>
      <c r="J73">
        <v>102.378046403718</v>
      </c>
      <c r="K73">
        <v>34.774880935541702</v>
      </c>
      <c r="L73">
        <v>1.39621595612584E-4</v>
      </c>
      <c r="M73">
        <v>1.723449663800185E-5</v>
      </c>
      <c r="N73" s="1">
        <v>2.1650811701850199E-6</v>
      </c>
      <c r="O73" s="1">
        <v>6.3985421666455402E-8</v>
      </c>
      <c r="P73" s="1">
        <v>-3.2764202299759498E-7</v>
      </c>
      <c r="Q73">
        <v>73.427450269227805</v>
      </c>
      <c r="R73">
        <v>9.0109153802192005E-2</v>
      </c>
      <c r="S73">
        <v>12.055197220390699</v>
      </c>
      <c r="T73">
        <v>0.21280716554139301</v>
      </c>
      <c r="V73">
        <v>0.48759724706029201</v>
      </c>
      <c r="W73">
        <v>3.1342314365966399E-2</v>
      </c>
      <c r="X73">
        <v>6.5296488262491195E-2</v>
      </c>
      <c r="AA73">
        <v>0.483895020447833</v>
      </c>
      <c r="AB73">
        <v>3.5916503296417401</v>
      </c>
      <c r="AC73">
        <v>4.6880666930724804</v>
      </c>
      <c r="AD73">
        <v>7.8355785914863106E-3</v>
      </c>
      <c r="AE73">
        <v>4.8587525195954298</v>
      </c>
    </row>
    <row r="74" spans="1:31" x14ac:dyDescent="0.2">
      <c r="A74">
        <v>73</v>
      </c>
      <c r="B74">
        <v>758</v>
      </c>
      <c r="C74">
        <v>175</v>
      </c>
      <c r="D74">
        <v>0.41006691557969399</v>
      </c>
      <c r="E74">
        <v>61.714884449912702</v>
      </c>
      <c r="F74">
        <v>2.2050649993819902</v>
      </c>
      <c r="G74">
        <v>-1004.2968454202249</v>
      </c>
      <c r="H74">
        <v>-843.18098990939109</v>
      </c>
      <c r="I74">
        <v>156.248708248881</v>
      </c>
      <c r="J74">
        <v>82.514757904133702</v>
      </c>
      <c r="K74">
        <v>27.987784698958599</v>
      </c>
      <c r="L74">
        <v>1.3973366296903098E-4</v>
      </c>
      <c r="M74">
        <v>1.7222119612502695E-5</v>
      </c>
      <c r="N74" s="1">
        <v>1.7446278840485099E-6</v>
      </c>
      <c r="O74" s="1">
        <v>5.14663480969776E-8</v>
      </c>
      <c r="P74" s="1">
        <v>-2.6368645136198497E-7</v>
      </c>
      <c r="Q74">
        <v>73.256164352480894</v>
      </c>
      <c r="R74">
        <v>0.11180447085826099</v>
      </c>
      <c r="S74">
        <v>12.0522916027082</v>
      </c>
      <c r="T74">
        <v>0.26364657290097199</v>
      </c>
      <c r="V74">
        <v>0.60535232863502297</v>
      </c>
      <c r="W74">
        <v>3.8888511602854503E-2</v>
      </c>
      <c r="X74">
        <v>8.1017732506031406E-2</v>
      </c>
      <c r="AA74">
        <v>0.49712117504590603</v>
      </c>
      <c r="AB74">
        <v>3.55373439181071</v>
      </c>
      <c r="AC74">
        <v>4.6779392793245398</v>
      </c>
      <c r="AD74">
        <v>9.7221279007085708E-3</v>
      </c>
      <c r="AE74">
        <v>4.8523174542258101</v>
      </c>
    </row>
    <row r="75" spans="1:31" x14ac:dyDescent="0.2">
      <c r="A75">
        <v>74</v>
      </c>
      <c r="B75">
        <v>757</v>
      </c>
      <c r="C75">
        <v>175</v>
      </c>
      <c r="D75">
        <v>0.40942629714119499</v>
      </c>
      <c r="E75">
        <v>33.445326375035499</v>
      </c>
      <c r="F75">
        <v>2.20770393708663</v>
      </c>
      <c r="G75">
        <v>-544.08134988250447</v>
      </c>
      <c r="H75">
        <v>-456.97180215938891</v>
      </c>
      <c r="I75">
        <v>84.560061858093803</v>
      </c>
      <c r="J75">
        <v>44.735622693201499</v>
      </c>
      <c r="K75">
        <v>15.1493711693838</v>
      </c>
      <c r="L75">
        <v>1.394480044267548E-4</v>
      </c>
      <c r="M75">
        <v>1.7186812930058638E-5</v>
      </c>
      <c r="N75" s="1">
        <v>9.4253899702041104E-7</v>
      </c>
      <c r="O75" s="1">
        <v>2.77594298641374E-8</v>
      </c>
      <c r="P75" s="1">
        <v>-1.4209033246896999E-7</v>
      </c>
      <c r="Q75">
        <v>73.106473627688302</v>
      </c>
      <c r="R75">
        <v>0.13969251317958101</v>
      </c>
      <c r="S75">
        <v>12.1465015135615</v>
      </c>
      <c r="T75">
        <v>0.26154215048373902</v>
      </c>
      <c r="V75">
        <v>0.60197696786833699</v>
      </c>
      <c r="W75">
        <v>7.1758905058568398E-2</v>
      </c>
      <c r="X75">
        <v>0.14161830329098399</v>
      </c>
      <c r="AA75">
        <v>0.52222520052846899</v>
      </c>
      <c r="AB75">
        <v>3.44943940824164</v>
      </c>
      <c r="AC75">
        <v>4.70906104699342</v>
      </c>
      <c r="AD75">
        <v>1.79397262646314E-2</v>
      </c>
      <c r="AE75">
        <v>4.8317706368407496</v>
      </c>
    </row>
    <row r="76" spans="1:31" x14ac:dyDescent="0.2">
      <c r="A76">
        <v>75</v>
      </c>
      <c r="B76">
        <v>756</v>
      </c>
      <c r="C76">
        <v>175</v>
      </c>
      <c r="D76">
        <v>0.40878443375601398</v>
      </c>
      <c r="E76">
        <v>18.4915929254872</v>
      </c>
      <c r="F76">
        <v>2.2102299696122598</v>
      </c>
      <c r="G76">
        <v>-300.77661551589324</v>
      </c>
      <c r="H76">
        <v>-252.72880424763741</v>
      </c>
      <c r="I76">
        <v>46.6868884693735</v>
      </c>
      <c r="J76">
        <v>24.745368864562501</v>
      </c>
      <c r="K76">
        <v>8.3663660251296008</v>
      </c>
      <c r="L76">
        <v>1.3919562561838143E-4</v>
      </c>
      <c r="M76">
        <v>1.7164385558099215E-5</v>
      </c>
      <c r="N76" s="1">
        <v>5.1987290952452798E-7</v>
      </c>
      <c r="O76" s="1">
        <v>1.5285331785692999E-8</v>
      </c>
      <c r="P76" s="1">
        <v>-7.80972081217396E-8</v>
      </c>
      <c r="Q76">
        <v>72.911487934151097</v>
      </c>
      <c r="R76">
        <v>0.168334384173876</v>
      </c>
      <c r="S76">
        <v>12.3342159360529</v>
      </c>
      <c r="T76">
        <v>0.248162221329259</v>
      </c>
      <c r="V76">
        <v>0.57363217115522103</v>
      </c>
      <c r="W76">
        <v>0.12978871045179999</v>
      </c>
      <c r="X76">
        <v>0.181116920834067</v>
      </c>
      <c r="AA76">
        <v>0.53726001795047695</v>
      </c>
      <c r="AB76">
        <v>3.3258090781945699</v>
      </c>
      <c r="AC76">
        <v>4.7430153324628099</v>
      </c>
      <c r="AD76">
        <v>3.2447177612915698E-2</v>
      </c>
      <c r="AE76">
        <v>4.8147301156309101</v>
      </c>
    </row>
    <row r="77" spans="1:31" x14ac:dyDescent="0.2">
      <c r="A77">
        <v>76</v>
      </c>
      <c r="B77">
        <v>755</v>
      </c>
      <c r="C77">
        <v>175</v>
      </c>
      <c r="D77">
        <v>0.40814132179156798</v>
      </c>
      <c r="E77">
        <v>11.555405138530199</v>
      </c>
      <c r="F77">
        <v>2.2127377076202102</v>
      </c>
      <c r="G77">
        <v>-187.91014670210581</v>
      </c>
      <c r="H77">
        <v>-157.95309955553736</v>
      </c>
      <c r="I77">
        <v>29.136844960918602</v>
      </c>
      <c r="J77">
        <v>15.469810593302901</v>
      </c>
      <c r="K77">
        <v>5.2222209160786699</v>
      </c>
      <c r="L77">
        <v>1.3908414604372121E-4</v>
      </c>
      <c r="M77">
        <v>1.7162924720408125E-5</v>
      </c>
      <c r="N77" s="1">
        <v>3.2466865508241901E-7</v>
      </c>
      <c r="O77" s="1">
        <v>9.5285878989080801E-9</v>
      </c>
      <c r="P77" s="1">
        <v>-4.8573436775539198E-8</v>
      </c>
      <c r="Q77">
        <v>72.662629570373994</v>
      </c>
      <c r="R77">
        <v>0.17982226654244601</v>
      </c>
      <c r="S77">
        <v>12.5975308593289</v>
      </c>
      <c r="T77">
        <v>0.24097199192371499</v>
      </c>
      <c r="V77">
        <v>0.56058312639038999</v>
      </c>
      <c r="W77">
        <v>0.20658012412875901</v>
      </c>
      <c r="X77">
        <v>0.1831091299581</v>
      </c>
      <c r="AA77">
        <v>0.54580528754341595</v>
      </c>
      <c r="AB77">
        <v>3.19384135378121</v>
      </c>
      <c r="AC77">
        <v>4.7708956721015499</v>
      </c>
      <c r="AD77">
        <v>5.19237528070709E-2</v>
      </c>
      <c r="AE77">
        <v>4.8063068651202903</v>
      </c>
    </row>
    <row r="78" spans="1:31" x14ac:dyDescent="0.2">
      <c r="A78">
        <v>77</v>
      </c>
      <c r="B78">
        <v>754</v>
      </c>
      <c r="C78">
        <v>175</v>
      </c>
      <c r="D78">
        <v>0.40749695760112897</v>
      </c>
      <c r="E78">
        <v>8.4860322614258301</v>
      </c>
      <c r="F78">
        <v>2.21496320368776</v>
      </c>
      <c r="G78">
        <v>-137.96343923293432</v>
      </c>
      <c r="H78">
        <v>-116.00926251179571</v>
      </c>
      <c r="I78">
        <v>21.373875988062601</v>
      </c>
      <c r="J78">
        <v>11.365820681335499</v>
      </c>
      <c r="K78">
        <v>3.8312294521629799</v>
      </c>
      <c r="L78">
        <v>1.3906615991264904E-4</v>
      </c>
      <c r="M78">
        <v>1.7170044994047859E-5</v>
      </c>
      <c r="N78" s="1">
        <v>2.38567488094678E-7</v>
      </c>
      <c r="O78" s="1">
        <v>6.9882902676786597E-9</v>
      </c>
      <c r="P78" s="1">
        <v>-3.5553215257546197E-8</v>
      </c>
      <c r="Q78">
        <v>72.4226163786401</v>
      </c>
      <c r="R78">
        <v>0.17896405005788499</v>
      </c>
      <c r="S78">
        <v>12.850808359953</v>
      </c>
      <c r="T78">
        <v>0.23766556313391099</v>
      </c>
      <c r="V78">
        <v>0.55626704923917702</v>
      </c>
      <c r="W78">
        <v>0.27900978356657002</v>
      </c>
      <c r="X78">
        <v>0.18254649333647199</v>
      </c>
      <c r="AA78">
        <v>0.55118777493801696</v>
      </c>
      <c r="AB78">
        <v>3.0796327424837999</v>
      </c>
      <c r="AC78">
        <v>4.7869549488767102</v>
      </c>
      <c r="AD78">
        <v>7.0704421278927995E-2</v>
      </c>
      <c r="AE78">
        <v>4.8036424344952398</v>
      </c>
    </row>
    <row r="79" spans="1:31" x14ac:dyDescent="0.2">
      <c r="A79">
        <v>78</v>
      </c>
      <c r="B79">
        <v>777</v>
      </c>
      <c r="C79">
        <v>150</v>
      </c>
      <c r="D79">
        <v>0.44819359139171</v>
      </c>
      <c r="E79">
        <v>103.533496075111</v>
      </c>
      <c r="F79">
        <v>2.1955826850099101</v>
      </c>
      <c r="G79">
        <v>-1694.4357049433002</v>
      </c>
      <c r="H79">
        <v>-1418.200501278056</v>
      </c>
      <c r="I79">
        <v>263.04356869518</v>
      </c>
      <c r="J79">
        <v>138.47659490115299</v>
      </c>
      <c r="K79">
        <v>47.155361891844898</v>
      </c>
      <c r="L79">
        <v>1.3586779893181311E-4</v>
      </c>
      <c r="M79">
        <v>1.7226230518499099E-5</v>
      </c>
      <c r="N79" s="1">
        <v>2.71013602855917E-6</v>
      </c>
      <c r="O79" s="1">
        <v>8.4155609296603304E-8</v>
      </c>
      <c r="P79" s="1">
        <v>-4.2472305172829101E-7</v>
      </c>
      <c r="Q79">
        <v>73.753908536637397</v>
      </c>
      <c r="R79">
        <v>6.6645098075256995E-2</v>
      </c>
      <c r="S79">
        <v>12.2182679804642</v>
      </c>
      <c r="T79">
        <v>0.15554105101857599</v>
      </c>
      <c r="V79">
        <v>0.36229536259443101</v>
      </c>
      <c r="W79">
        <v>2.318090367835E-2</v>
      </c>
      <c r="X79">
        <v>4.8293549329896802E-2</v>
      </c>
      <c r="AA79">
        <v>0.52157033276288001</v>
      </c>
      <c r="AB79">
        <v>3.8345078167937499</v>
      </c>
      <c r="AC79">
        <v>4.4526652482164</v>
      </c>
      <c r="AD79">
        <v>5.7952259195874403E-3</v>
      </c>
      <c r="AE79">
        <v>4.5573288945091504</v>
      </c>
    </row>
    <row r="80" spans="1:31" x14ac:dyDescent="0.2">
      <c r="A80">
        <v>79</v>
      </c>
      <c r="B80">
        <v>776</v>
      </c>
      <c r="C80">
        <v>150</v>
      </c>
      <c r="D80">
        <v>0.447600915026452</v>
      </c>
      <c r="E80">
        <v>103.09568359821201</v>
      </c>
      <c r="F80">
        <v>2.1958932026403701</v>
      </c>
      <c r="G80">
        <v>-1686.8938492132161</v>
      </c>
      <c r="H80">
        <v>-1412.3130466440703</v>
      </c>
      <c r="I80">
        <v>261.71739271709998</v>
      </c>
      <c r="J80">
        <v>137.83868728641201</v>
      </c>
      <c r="K80">
        <v>46.949315874855998</v>
      </c>
      <c r="L80">
        <v>1.3564427224346828E-4</v>
      </c>
      <c r="M80">
        <v>1.7209706688545472E-5</v>
      </c>
      <c r="N80" s="1">
        <v>2.6980111472383002E-6</v>
      </c>
      <c r="O80" s="1">
        <v>8.3633326041626001E-8</v>
      </c>
      <c r="P80" s="1">
        <v>-4.2203335055921698E-7</v>
      </c>
      <c r="Q80">
        <v>73.805487992097</v>
      </c>
      <c r="R80">
        <v>6.6928117251648905E-2</v>
      </c>
      <c r="S80">
        <v>12.185856561081501</v>
      </c>
      <c r="T80">
        <v>0.15637705518711401</v>
      </c>
      <c r="V80">
        <v>0.36367601497882601</v>
      </c>
      <c r="W80">
        <v>2.3279345131007802E-2</v>
      </c>
      <c r="X80">
        <v>4.8498635689601902E-2</v>
      </c>
      <c r="AA80">
        <v>0.51528574905906199</v>
      </c>
      <c r="AB80">
        <v>3.8140994850071301</v>
      </c>
      <c r="AC80">
        <v>4.4637369883286304</v>
      </c>
      <c r="AD80">
        <v>5.8198362827517501E-3</v>
      </c>
      <c r="AE80">
        <v>4.5509542199056598</v>
      </c>
    </row>
    <row r="81" spans="1:31" x14ac:dyDescent="0.2">
      <c r="A81">
        <v>80</v>
      </c>
      <c r="B81">
        <v>775</v>
      </c>
      <c r="C81">
        <v>150</v>
      </c>
      <c r="D81">
        <v>0.44700710776129698</v>
      </c>
      <c r="E81">
        <v>102.646877950469</v>
      </c>
      <c r="F81">
        <v>2.1962055989370501</v>
      </c>
      <c r="G81">
        <v>-1679.1736535378304</v>
      </c>
      <c r="H81">
        <v>-1406.2744854963191</v>
      </c>
      <c r="I81">
        <v>260.36270385108099</v>
      </c>
      <c r="J81">
        <v>137.18553347312701</v>
      </c>
      <c r="K81">
        <v>46.738282608945802</v>
      </c>
      <c r="L81">
        <v>1.3541535156535802E-4</v>
      </c>
      <c r="M81">
        <v>1.7192955988347933E-5</v>
      </c>
      <c r="N81" s="1">
        <v>2.6854922394164E-6</v>
      </c>
      <c r="O81" s="1">
        <v>8.3100768837991297E-8</v>
      </c>
      <c r="P81" s="1">
        <v>-4.1928078606382099E-7</v>
      </c>
      <c r="Q81">
        <v>73.858448736929802</v>
      </c>
      <c r="R81">
        <v>6.7220748821309101E-2</v>
      </c>
      <c r="S81">
        <v>12.152637599055</v>
      </c>
      <c r="T81">
        <v>0.15723554200899101</v>
      </c>
      <c r="V81">
        <v>0.36510887844884798</v>
      </c>
      <c r="W81">
        <v>2.33811300248025E-2</v>
      </c>
      <c r="X81">
        <v>4.8710687551674903E-2</v>
      </c>
      <c r="AA81">
        <v>0.50911612972884301</v>
      </c>
      <c r="AB81">
        <v>3.7930199500549402</v>
      </c>
      <c r="AC81">
        <v>4.47487070103044</v>
      </c>
      <c r="AD81">
        <v>5.8452825062003397E-3</v>
      </c>
      <c r="AE81">
        <v>4.5444046138389602</v>
      </c>
    </row>
    <row r="82" spans="1:31" x14ac:dyDescent="0.2">
      <c r="A82">
        <v>81</v>
      </c>
      <c r="B82">
        <v>774</v>
      </c>
      <c r="C82">
        <v>150</v>
      </c>
      <c r="D82">
        <v>0.44641216635630598</v>
      </c>
      <c r="E82">
        <v>102.19679910017901</v>
      </c>
      <c r="F82">
        <v>2.1965194148290399</v>
      </c>
      <c r="G82">
        <v>-1671.4368356249843</v>
      </c>
      <c r="H82">
        <v>-1400.2186242954024</v>
      </c>
      <c r="I82">
        <v>259.00607489813399</v>
      </c>
      <c r="J82">
        <v>136.531023334906</v>
      </c>
      <c r="K82">
        <v>46.526699655023599</v>
      </c>
      <c r="L82">
        <v>1.3518515783949309E-4</v>
      </c>
      <c r="M82">
        <v>1.7176203951415001E-5</v>
      </c>
      <c r="N82" s="1">
        <v>2.6729197555599701E-6</v>
      </c>
      <c r="O82" s="1">
        <v>8.2568275954523394E-8</v>
      </c>
      <c r="P82" s="1">
        <v>-4.1652353980200002E-7</v>
      </c>
      <c r="Q82">
        <v>73.911663572907003</v>
      </c>
      <c r="R82">
        <v>6.75167917268749E-2</v>
      </c>
      <c r="S82">
        <v>12.1193199363421</v>
      </c>
      <c r="T82">
        <v>0.15810330196095099</v>
      </c>
      <c r="V82">
        <v>0.36655910647270101</v>
      </c>
      <c r="W82">
        <v>2.3484101470216401E-2</v>
      </c>
      <c r="X82">
        <v>4.8925211396288401E-2</v>
      </c>
      <c r="AA82">
        <v>0.50319741312966704</v>
      </c>
      <c r="AB82">
        <v>3.7717289518217201</v>
      </c>
      <c r="AC82">
        <v>4.4858064210817599</v>
      </c>
      <c r="AD82">
        <v>5.87102536755367E-3</v>
      </c>
      <c r="AE82">
        <v>4.5378241663231096</v>
      </c>
    </row>
    <row r="83" spans="1:31" x14ac:dyDescent="0.2">
      <c r="A83">
        <v>82</v>
      </c>
      <c r="B83">
        <v>773</v>
      </c>
      <c r="C83">
        <v>150</v>
      </c>
      <c r="D83">
        <v>0.44581608755914398</v>
      </c>
      <c r="E83">
        <v>101.74561458638399</v>
      </c>
      <c r="F83">
        <v>2.1968344519796701</v>
      </c>
      <c r="G83">
        <v>-1663.68624926955</v>
      </c>
      <c r="H83">
        <v>-1394.1477900494856</v>
      </c>
      <c r="I83">
        <v>257.64800384272201</v>
      </c>
      <c r="J83">
        <v>135.87539717336099</v>
      </c>
      <c r="K83">
        <v>46.314648104091802</v>
      </c>
      <c r="L83">
        <v>1.349537908690589E-4</v>
      </c>
      <c r="M83">
        <v>1.7159460367307667E-5</v>
      </c>
      <c r="N83" s="1">
        <v>2.66030139220351E-6</v>
      </c>
      <c r="O83" s="1">
        <v>8.2036079396432902E-8</v>
      </c>
      <c r="P83" s="1">
        <v>-4.1376288502681903E-7</v>
      </c>
      <c r="Q83">
        <v>73.965130059733298</v>
      </c>
      <c r="R83">
        <v>6.7816190683500005E-2</v>
      </c>
      <c r="S83">
        <v>12.085905439295299</v>
      </c>
      <c r="T83">
        <v>0.15898024108659101</v>
      </c>
      <c r="V83">
        <v>0.36802636695401197</v>
      </c>
      <c r="W83">
        <v>2.3588240237737899E-2</v>
      </c>
      <c r="X83">
        <v>4.9142167161959398E-2</v>
      </c>
      <c r="AA83">
        <v>0.49752536174046302</v>
      </c>
      <c r="AB83">
        <v>3.7502432040982399</v>
      </c>
      <c r="AC83">
        <v>4.4965276965912899</v>
      </c>
      <c r="AD83">
        <v>5.8970600594339803E-3</v>
      </c>
      <c r="AE83">
        <v>4.5312179723581201</v>
      </c>
    </row>
    <row r="84" spans="1:31" x14ac:dyDescent="0.2">
      <c r="A84">
        <v>83</v>
      </c>
      <c r="B84">
        <v>772</v>
      </c>
      <c r="C84">
        <v>150</v>
      </c>
      <c r="D84">
        <v>0.44521886810505501</v>
      </c>
      <c r="E84">
        <v>101.293487290423</v>
      </c>
      <c r="F84">
        <v>2.1971505097477402</v>
      </c>
      <c r="G84">
        <v>-1655.9246686588112</v>
      </c>
      <c r="H84">
        <v>-1388.0642463882834</v>
      </c>
      <c r="I84">
        <v>256.28897504714803</v>
      </c>
      <c r="J84">
        <v>135.21888851793901</v>
      </c>
      <c r="K84">
        <v>46.102206854300903</v>
      </c>
      <c r="L84">
        <v>1.3472135115090612E-4</v>
      </c>
      <c r="M84">
        <v>1.7142735111131661E-5</v>
      </c>
      <c r="N84" s="1">
        <v>2.6476447129158301E-6</v>
      </c>
      <c r="O84" s="1">
        <v>8.15044054262582E-8</v>
      </c>
      <c r="P84" s="1">
        <v>-4.1100006566131201E-7</v>
      </c>
      <c r="Q84">
        <v>74.018845961105299</v>
      </c>
      <c r="R84">
        <v>6.81188908050607E-2</v>
      </c>
      <c r="S84">
        <v>12.0523958516485</v>
      </c>
      <c r="T84">
        <v>0.15986626594468201</v>
      </c>
      <c r="V84">
        <v>0.369510330337667</v>
      </c>
      <c r="W84">
        <v>2.3693527236541501E-2</v>
      </c>
      <c r="X84">
        <v>4.9361515076134198E-2</v>
      </c>
      <c r="AA84">
        <v>0.49209563505793802</v>
      </c>
      <c r="AB84">
        <v>3.7285796009180601</v>
      </c>
      <c r="AC84">
        <v>4.5070178606266103</v>
      </c>
      <c r="AD84">
        <v>5.9233818091347602E-3</v>
      </c>
      <c r="AE84">
        <v>4.5245911794343101</v>
      </c>
    </row>
    <row r="85" spans="1:31" x14ac:dyDescent="0.2">
      <c r="A85">
        <v>84</v>
      </c>
      <c r="B85">
        <v>771</v>
      </c>
      <c r="C85">
        <v>150</v>
      </c>
      <c r="D85">
        <v>0.44462050471675502</v>
      </c>
      <c r="E85">
        <v>100.84057463967</v>
      </c>
      <c r="F85">
        <v>2.1974673856218101</v>
      </c>
      <c r="G85">
        <v>-1648.1547752956039</v>
      </c>
      <c r="H85">
        <v>-1381.9701826550859</v>
      </c>
      <c r="I85">
        <v>254.92945710914901</v>
      </c>
      <c r="J85">
        <v>134.56172302888399</v>
      </c>
      <c r="K85">
        <v>45.889452239190199</v>
      </c>
      <c r="L85">
        <v>1.344879395559912E-4</v>
      </c>
      <c r="M85">
        <v>1.7126038126124147E-5</v>
      </c>
      <c r="N85" s="1">
        <v>2.6349571195103401E-6</v>
      </c>
      <c r="O85" s="1">
        <v>8.0973473741986199E-8</v>
      </c>
      <c r="P85" s="1">
        <v>-4.0823629146688303E-7</v>
      </c>
      <c r="Q85">
        <v>74.072809298470105</v>
      </c>
      <c r="R85">
        <v>6.8424838163166496E-2</v>
      </c>
      <c r="S85">
        <v>12.0187927652848</v>
      </c>
      <c r="T85">
        <v>0.160761284775541</v>
      </c>
      <c r="V85">
        <v>0.37101067277315802</v>
      </c>
      <c r="W85">
        <v>2.37999437089258E-2</v>
      </c>
      <c r="X85">
        <v>4.9583216060269497E-2</v>
      </c>
      <c r="AA85">
        <v>0.48690381710681502</v>
      </c>
      <c r="AB85">
        <v>3.70675516225544</v>
      </c>
      <c r="AC85">
        <v>4.5172600394252598</v>
      </c>
      <c r="AD85">
        <v>5.9499859272306999E-3</v>
      </c>
      <c r="AE85">
        <v>4.5179489760491904</v>
      </c>
    </row>
    <row r="86" spans="1:31" x14ac:dyDescent="0.2">
      <c r="A86">
        <v>85</v>
      </c>
      <c r="B86">
        <v>770</v>
      </c>
      <c r="C86">
        <v>150</v>
      </c>
      <c r="D86">
        <v>0.44402099410439499</v>
      </c>
      <c r="E86">
        <v>100.387027929486</v>
      </c>
      <c r="F86">
        <v>2.1977848756226002</v>
      </c>
      <c r="G86">
        <v>-1640.3791468972577</v>
      </c>
      <c r="H86">
        <v>-1375.8677046176742</v>
      </c>
      <c r="I86">
        <v>253.569901049306</v>
      </c>
      <c r="J86">
        <v>133.904117567084</v>
      </c>
      <c r="K86">
        <v>45.676457711106998</v>
      </c>
      <c r="L86">
        <v>1.3425365703961426E-4</v>
      </c>
      <c r="M86">
        <v>1.7109379408150908E-5</v>
      </c>
      <c r="N86" s="1">
        <v>2.6222458272709899E-6</v>
      </c>
      <c r="O86" s="1">
        <v>8.04434967851407E-8</v>
      </c>
      <c r="P86" s="1">
        <v>-4.0547273393151999E-7</v>
      </c>
      <c r="Q86">
        <v>74.127018399087802</v>
      </c>
      <c r="R86">
        <v>6.8733980299196307E-2</v>
      </c>
      <c r="S86">
        <v>11.9850975945121</v>
      </c>
      <c r="T86">
        <v>0.16166520857234101</v>
      </c>
      <c r="V86">
        <v>0.37252707900951498</v>
      </c>
      <c r="W86">
        <v>2.3907471408414298E-2</v>
      </c>
      <c r="X86">
        <v>4.9807232100871103E-2</v>
      </c>
      <c r="AA86">
        <v>0.481945442776333</v>
      </c>
      <c r="AB86">
        <v>3.6847869847284702</v>
      </c>
      <c r="AC86">
        <v>4.5272371583037403</v>
      </c>
      <c r="AD86">
        <v>5.9768678521027298E-3</v>
      </c>
      <c r="AE86">
        <v>4.5112965813490398</v>
      </c>
    </row>
    <row r="87" spans="1:31" x14ac:dyDescent="0.2">
      <c r="A87">
        <v>86</v>
      </c>
      <c r="B87">
        <v>769</v>
      </c>
      <c r="C87">
        <v>150</v>
      </c>
      <c r="D87">
        <v>0.44342033296550898</v>
      </c>
      <c r="E87">
        <v>98.558906205916102</v>
      </c>
      <c r="F87">
        <v>2.1985502446529899</v>
      </c>
      <c r="G87">
        <v>-1609.823082751795</v>
      </c>
      <c r="H87">
        <v>-1350.6414572137066</v>
      </c>
      <c r="I87">
        <v>248.69896419717699</v>
      </c>
      <c r="J87">
        <v>131.41722157985001</v>
      </c>
      <c r="K87">
        <v>44.829044251145497</v>
      </c>
      <c r="L87">
        <v>1.340088936823708E-4</v>
      </c>
      <c r="M87">
        <v>1.7078567863039362E-5</v>
      </c>
      <c r="N87" s="1">
        <v>2.5702432361549301E-6</v>
      </c>
      <c r="O87" s="1">
        <v>7.8722740188384104E-8</v>
      </c>
      <c r="P87" s="1">
        <v>-3.9715574101426102E-7</v>
      </c>
      <c r="Q87">
        <v>74.121650099254694</v>
      </c>
      <c r="R87">
        <v>7.00088938242098E-2</v>
      </c>
      <c r="S87">
        <v>11.977495239384799</v>
      </c>
      <c r="T87">
        <v>0.16492265488122701</v>
      </c>
      <c r="V87">
        <v>0.37920403690815302</v>
      </c>
      <c r="W87">
        <v>2.4350919591027202E-2</v>
      </c>
      <c r="X87">
        <v>5.0731082481316497E-2</v>
      </c>
      <c r="AA87">
        <v>0.47328589307345997</v>
      </c>
      <c r="AB87">
        <v>3.6529832842020702</v>
      </c>
      <c r="AC87">
        <v>4.5805806769562603</v>
      </c>
      <c r="AD87">
        <v>6.0877298977558801E-3</v>
      </c>
      <c r="AE87">
        <v>4.4986994895449097</v>
      </c>
    </row>
    <row r="88" spans="1:31" x14ac:dyDescent="0.2">
      <c r="A88">
        <v>87</v>
      </c>
      <c r="B88">
        <v>768</v>
      </c>
      <c r="C88">
        <v>150</v>
      </c>
      <c r="D88">
        <v>0.442818517984921</v>
      </c>
      <c r="E88">
        <v>95.9159341901278</v>
      </c>
      <c r="F88">
        <v>2.1995762681458699</v>
      </c>
      <c r="G88">
        <v>-1565.8144515576462</v>
      </c>
      <c r="H88">
        <v>-1314.1110576007893</v>
      </c>
      <c r="I88">
        <v>241.75516876228801</v>
      </c>
      <c r="J88">
        <v>127.84600872930901</v>
      </c>
      <c r="K88">
        <v>43.606550761242701</v>
      </c>
      <c r="L88">
        <v>1.3374650335260121E-4</v>
      </c>
      <c r="M88">
        <v>1.7040023216712776E-5</v>
      </c>
      <c r="N88" s="1">
        <v>2.4952451864172299E-6</v>
      </c>
      <c r="O88" s="1">
        <v>7.6310045575892596E-8</v>
      </c>
      <c r="P88" s="1">
        <v>-3.8551814693315399E-7</v>
      </c>
      <c r="Q88">
        <v>74.087868747900202</v>
      </c>
      <c r="R88">
        <v>7.1937995060579199E-2</v>
      </c>
      <c r="S88">
        <v>11.981600376452899</v>
      </c>
      <c r="T88">
        <v>0.16976152091719099</v>
      </c>
      <c r="V88">
        <v>0.38938812621117602</v>
      </c>
      <c r="W88">
        <v>2.5021911325416299E-2</v>
      </c>
      <c r="X88">
        <v>5.2128981927961802E-2</v>
      </c>
      <c r="AA88">
        <v>0.46433877247740801</v>
      </c>
      <c r="AB88">
        <v>3.6136057854799799</v>
      </c>
      <c r="AC88">
        <v>4.6554433702456803</v>
      </c>
      <c r="AD88">
        <v>6.2554778313529897E-3</v>
      </c>
      <c r="AE88">
        <v>4.4826489341700402</v>
      </c>
    </row>
    <row r="89" spans="1:31" x14ac:dyDescent="0.2">
      <c r="A89">
        <v>88</v>
      </c>
      <c r="B89">
        <v>767</v>
      </c>
      <c r="C89">
        <v>150</v>
      </c>
      <c r="D89">
        <v>0.44221554583473799</v>
      </c>
      <c r="E89">
        <v>92.838130752486904</v>
      </c>
      <c r="F89">
        <v>2.2007083092307602</v>
      </c>
      <c r="G89">
        <v>-1514.7043552466373</v>
      </c>
      <c r="H89">
        <v>-1271.6018989377151</v>
      </c>
      <c r="I89">
        <v>233.718652414481</v>
      </c>
      <c r="J89">
        <v>123.696303850558</v>
      </c>
      <c r="K89">
        <v>42.185568329561001</v>
      </c>
      <c r="L89">
        <v>1.3346557474359946E-4</v>
      </c>
      <c r="M89">
        <v>1.6999482702810392E-5</v>
      </c>
      <c r="N89" s="1">
        <v>2.40864258876794E-6</v>
      </c>
      <c r="O89" s="1">
        <v>7.3551860393143094E-8</v>
      </c>
      <c r="P89" s="1">
        <v>-3.7208611458807002E-7</v>
      </c>
      <c r="Q89">
        <v>74.050726842704805</v>
      </c>
      <c r="R89">
        <v>7.4322909607004106E-2</v>
      </c>
      <c r="S89">
        <v>11.985681821684301</v>
      </c>
      <c r="T89">
        <v>0.175677662416901</v>
      </c>
      <c r="V89">
        <v>0.40203798598990698</v>
      </c>
      <c r="W89">
        <v>2.5851446819824299E-2</v>
      </c>
      <c r="X89">
        <v>5.38571808746479E-2</v>
      </c>
      <c r="AA89">
        <v>0.45788467185482801</v>
      </c>
      <c r="AB89">
        <v>3.5691292169231601</v>
      </c>
      <c r="AC89">
        <v>4.7329461866153499</v>
      </c>
      <c r="AD89">
        <v>6.4628617049547503E-3</v>
      </c>
      <c r="AE89">
        <v>4.4654212128042099</v>
      </c>
    </row>
    <row r="90" spans="1:31" x14ac:dyDescent="0.2">
      <c r="A90">
        <v>89</v>
      </c>
      <c r="B90">
        <v>766</v>
      </c>
      <c r="C90">
        <v>150</v>
      </c>
      <c r="D90">
        <v>0.44161141317423203</v>
      </c>
      <c r="E90">
        <v>79.059933598863097</v>
      </c>
      <c r="F90">
        <v>2.20304610081807</v>
      </c>
      <c r="G90">
        <v>-1288.6293649427007</v>
      </c>
      <c r="H90">
        <v>-1082.0270468580379</v>
      </c>
      <c r="I90">
        <v>198.81857102888199</v>
      </c>
      <c r="J90">
        <v>105.32018720677</v>
      </c>
      <c r="K90">
        <v>35.886645118095799</v>
      </c>
      <c r="L90">
        <v>1.3335128340493985E-4</v>
      </c>
      <c r="M90">
        <v>1.6970460546917153E-5</v>
      </c>
      <c r="N90" s="1">
        <v>2.04734115624618E-6</v>
      </c>
      <c r="O90" s="1">
        <v>6.2418135893405404E-8</v>
      </c>
      <c r="P90" s="1">
        <v>-3.1600386370612998E-7</v>
      </c>
      <c r="Q90">
        <v>73.937511127532403</v>
      </c>
      <c r="R90">
        <v>8.7275560273171807E-2</v>
      </c>
      <c r="S90">
        <v>11.9883719483247</v>
      </c>
      <c r="T90">
        <v>0.206243100717935</v>
      </c>
      <c r="V90">
        <v>0.47214904697006599</v>
      </c>
      <c r="W90">
        <v>3.0356716616749099E-2</v>
      </c>
      <c r="X90">
        <v>6.3243159618255093E-2</v>
      </c>
      <c r="AA90">
        <v>0.47185187649410898</v>
      </c>
      <c r="AB90">
        <v>3.51547370759361</v>
      </c>
      <c r="AC90">
        <v>4.7679362764256004</v>
      </c>
      <c r="AD90">
        <v>7.5891791541846301E-3</v>
      </c>
      <c r="AE90">
        <v>4.4519983002791603</v>
      </c>
    </row>
    <row r="91" spans="1:31" x14ac:dyDescent="0.2">
      <c r="A91">
        <v>90</v>
      </c>
      <c r="B91">
        <v>765</v>
      </c>
      <c r="C91">
        <v>150</v>
      </c>
      <c r="D91">
        <v>0.44100611664981298</v>
      </c>
      <c r="E91">
        <v>64.332290509601194</v>
      </c>
      <c r="F91">
        <v>2.20601661233079</v>
      </c>
      <c r="G91">
        <v>-1047.279613047768</v>
      </c>
      <c r="H91">
        <v>-879.46892205858785</v>
      </c>
      <c r="I91">
        <v>161.643973403823</v>
      </c>
      <c r="J91">
        <v>85.7009300847715</v>
      </c>
      <c r="K91">
        <v>29.1621967622584</v>
      </c>
      <c r="L91">
        <v>1.3341202450038099E-4</v>
      </c>
      <c r="M91">
        <v>1.6954802367223739E-5</v>
      </c>
      <c r="N91" s="1">
        <v>1.66496357606253E-6</v>
      </c>
      <c r="O91" s="1">
        <v>5.0671682975488799E-8</v>
      </c>
      <c r="P91" s="1">
        <v>-2.5666423860201002E-7</v>
      </c>
      <c r="Q91">
        <v>73.776234610653404</v>
      </c>
      <c r="R91">
        <v>0.107255624591372</v>
      </c>
      <c r="S91">
        <v>11.987803220625601</v>
      </c>
      <c r="T91">
        <v>0.253108261599092</v>
      </c>
      <c r="V91">
        <v>0.58055365691545802</v>
      </c>
      <c r="W91">
        <v>3.7306304205680603E-2</v>
      </c>
      <c r="X91">
        <v>7.7721467095229702E-2</v>
      </c>
      <c r="AA91">
        <v>0.490038639399</v>
      </c>
      <c r="AB91">
        <v>3.4702836617368602</v>
      </c>
      <c r="AC91">
        <v>4.7660792491158102</v>
      </c>
      <c r="AD91">
        <v>9.3265760514167906E-3</v>
      </c>
      <c r="AE91">
        <v>4.44428872801093</v>
      </c>
    </row>
    <row r="92" spans="1:31" x14ac:dyDescent="0.2">
      <c r="A92">
        <v>91</v>
      </c>
      <c r="B92">
        <v>764</v>
      </c>
      <c r="C92">
        <v>150</v>
      </c>
      <c r="D92">
        <v>0.44039965289495597</v>
      </c>
      <c r="E92">
        <v>41.7203591934976</v>
      </c>
      <c r="F92">
        <v>2.2087445220560702</v>
      </c>
      <c r="G92">
        <v>-678.70646914716326</v>
      </c>
      <c r="H92">
        <v>-570.11621260452432</v>
      </c>
      <c r="I92">
        <v>104.700628204829</v>
      </c>
      <c r="J92">
        <v>55.588847270920198</v>
      </c>
      <c r="K92">
        <v>18.888721070674499</v>
      </c>
      <c r="L92">
        <v>1.3323764633502012E-4</v>
      </c>
      <c r="M92">
        <v>1.692443252206806E-5</v>
      </c>
      <c r="N92" s="1">
        <v>1.0770709168733801E-6</v>
      </c>
      <c r="O92" s="1">
        <v>3.2726589653723403E-8</v>
      </c>
      <c r="P92" s="1">
        <v>-1.65704829142219E-7</v>
      </c>
      <c r="Q92">
        <v>73.62822119978</v>
      </c>
      <c r="R92">
        <v>0.13311990377528199</v>
      </c>
      <c r="S92">
        <v>12.0405079395273</v>
      </c>
      <c r="T92">
        <v>0.26923891394196903</v>
      </c>
      <c r="V92">
        <v>0.61876809124155296</v>
      </c>
      <c r="W92">
        <v>5.7525870975081599E-2</v>
      </c>
      <c r="X92">
        <v>0.11609562018096301</v>
      </c>
      <c r="AA92">
        <v>0.51775577237316495</v>
      </c>
      <c r="AB92">
        <v>3.3843958066731998</v>
      </c>
      <c r="AC92">
        <v>4.7917744927581598</v>
      </c>
      <c r="AD92">
        <v>1.43814677437646E-2</v>
      </c>
      <c r="AE92">
        <v>4.4282149210294799</v>
      </c>
    </row>
    <row r="93" spans="1:31" x14ac:dyDescent="0.2">
      <c r="A93">
        <v>92</v>
      </c>
      <c r="B93">
        <v>763</v>
      </c>
      <c r="C93">
        <v>150</v>
      </c>
      <c r="D93">
        <v>0.43979201853014099</v>
      </c>
      <c r="E93">
        <v>25.127343848640201</v>
      </c>
      <c r="F93">
        <v>2.2110028043540302</v>
      </c>
      <c r="G93">
        <v>-408.73090322063462</v>
      </c>
      <c r="H93">
        <v>-343.47636370237637</v>
      </c>
      <c r="I93">
        <v>62.977888836807601</v>
      </c>
      <c r="J93">
        <v>33.4982123695628</v>
      </c>
      <c r="K93">
        <v>11.3646820343954</v>
      </c>
      <c r="L93">
        <v>1.3297957742259035E-4</v>
      </c>
      <c r="M93">
        <v>1.6894411705373973E-5</v>
      </c>
      <c r="N93" s="1">
        <v>6.4701274327425896E-7</v>
      </c>
      <c r="O93" s="1">
        <v>1.9627085784434299E-8</v>
      </c>
      <c r="P93" s="1">
        <v>-9.9260076590297805E-8</v>
      </c>
      <c r="Q93">
        <v>73.482825678513706</v>
      </c>
      <c r="R93">
        <v>0.15557550235487799</v>
      </c>
      <c r="S93">
        <v>12.155592168722499</v>
      </c>
      <c r="T93">
        <v>0.257357483336904</v>
      </c>
      <c r="V93">
        <v>0.59292991736034395</v>
      </c>
      <c r="W93">
        <v>9.5513477845333594E-2</v>
      </c>
      <c r="X93">
        <v>0.18287938620552999</v>
      </c>
      <c r="AA93">
        <v>0.53935105509267001</v>
      </c>
      <c r="AB93">
        <v>3.2794034973911099</v>
      </c>
      <c r="AC93">
        <v>4.8230020064604799</v>
      </c>
      <c r="AD93">
        <v>2.38783694613252E-2</v>
      </c>
      <c r="AE93">
        <v>4.4116914572550696</v>
      </c>
    </row>
    <row r="94" spans="1:31" x14ac:dyDescent="0.2">
      <c r="A94">
        <v>93</v>
      </c>
      <c r="B94">
        <v>762</v>
      </c>
      <c r="C94">
        <v>150</v>
      </c>
      <c r="D94">
        <v>0.439183210162781</v>
      </c>
      <c r="E94">
        <v>14.906845862063999</v>
      </c>
      <c r="F94">
        <v>2.2134781233433101</v>
      </c>
      <c r="G94">
        <v>-242.43442705164381</v>
      </c>
      <c r="H94">
        <v>-203.8136499698071</v>
      </c>
      <c r="I94">
        <v>37.309353312888703</v>
      </c>
      <c r="J94">
        <v>19.879527469111899</v>
      </c>
      <c r="K94">
        <v>6.7345801636151998</v>
      </c>
      <c r="L94">
        <v>1.3276457123520888E-4</v>
      </c>
      <c r="M94">
        <v>1.6879058454842365E-5</v>
      </c>
      <c r="N94" s="1">
        <v>3.8305359890630499E-7</v>
      </c>
      <c r="O94" s="1">
        <v>1.16005606705373E-8</v>
      </c>
      <c r="P94" s="1">
        <v>-5.8536476724665097E-8</v>
      </c>
      <c r="Q94">
        <v>73.266367499649107</v>
      </c>
      <c r="R94">
        <v>0.186284159439733</v>
      </c>
      <c r="S94">
        <v>12.3778962040767</v>
      </c>
      <c r="T94">
        <v>0.24467844046269699</v>
      </c>
      <c r="V94">
        <v>0.56654697571559898</v>
      </c>
      <c r="W94">
        <v>0.16099985350398999</v>
      </c>
      <c r="X94">
        <v>0.194318317692288</v>
      </c>
      <c r="AA94">
        <v>0.55345584071617004</v>
      </c>
      <c r="AB94">
        <v>3.1485910131502899</v>
      </c>
      <c r="AC94">
        <v>4.8629717217920501</v>
      </c>
      <c r="AD94">
        <v>4.0249963375974702E-2</v>
      </c>
      <c r="AE94">
        <v>4.3976400104252296</v>
      </c>
    </row>
    <row r="95" spans="1:31" x14ac:dyDescent="0.2">
      <c r="A95">
        <v>94</v>
      </c>
      <c r="B95">
        <v>761</v>
      </c>
      <c r="C95">
        <v>150</v>
      </c>
      <c r="D95">
        <v>0.43857322438717999</v>
      </c>
      <c r="E95">
        <v>10.3418790117935</v>
      </c>
      <c r="F95">
        <v>2.2157552381415502</v>
      </c>
      <c r="G95">
        <v>-168.15437257595624</v>
      </c>
      <c r="H95">
        <v>-141.41834679247512</v>
      </c>
      <c r="I95">
        <v>25.8531410177258</v>
      </c>
      <c r="J95">
        <v>13.797209645707801</v>
      </c>
      <c r="K95">
        <v>4.6674284387420499</v>
      </c>
      <c r="L95">
        <v>1.3267962641444055E-4</v>
      </c>
      <c r="M95">
        <v>1.6878878851631975E-5</v>
      </c>
      <c r="N95" s="1">
        <v>2.6567106328188098E-7</v>
      </c>
      <c r="O95" s="1">
        <v>8.0311480952754803E-9</v>
      </c>
      <c r="P95" s="1">
        <v>-4.0437053640698501E-8</v>
      </c>
      <c r="Q95">
        <v>73.035754868476104</v>
      </c>
      <c r="R95">
        <v>0.19725204737055499</v>
      </c>
      <c r="S95">
        <v>12.619343992618701</v>
      </c>
      <c r="T95">
        <v>0.238180395487882</v>
      </c>
      <c r="V95">
        <v>0.55466606417493602</v>
      </c>
      <c r="W95">
        <v>0.23108932891930301</v>
      </c>
      <c r="X95">
        <v>0.19607382834878601</v>
      </c>
      <c r="AA95">
        <v>0.560493196917494</v>
      </c>
      <c r="AB95">
        <v>3.0301685693223401</v>
      </c>
      <c r="AC95">
        <v>4.8876090895741999</v>
      </c>
      <c r="AD95">
        <v>5.80165363871274E-2</v>
      </c>
      <c r="AE95">
        <v>4.3913520824024701</v>
      </c>
    </row>
    <row r="96" spans="1:31" x14ac:dyDescent="0.2">
      <c r="A96">
        <v>95</v>
      </c>
      <c r="B96">
        <v>791</v>
      </c>
      <c r="C96">
        <v>125</v>
      </c>
      <c r="D96">
        <v>0.48221632288681698</v>
      </c>
      <c r="E96">
        <v>103.069898480882</v>
      </c>
      <c r="F96">
        <v>2.1975097933094898</v>
      </c>
      <c r="G96">
        <v>-1688.9762387784565</v>
      </c>
      <c r="H96">
        <v>-1411.4985472164294</v>
      </c>
      <c r="I96">
        <v>260.75054415451501</v>
      </c>
      <c r="J96">
        <v>137.52010694910399</v>
      </c>
      <c r="K96">
        <v>46.903043979457102</v>
      </c>
      <c r="L96">
        <v>1.2922766452778354E-4</v>
      </c>
      <c r="M96">
        <v>1.6896773294195942E-5</v>
      </c>
      <c r="N96" s="1">
        <v>2.4230959417742501E-6</v>
      </c>
      <c r="O96" s="1">
        <v>7.8643999016763095E-8</v>
      </c>
      <c r="P96" s="1">
        <v>-3.8951970937888002E-7</v>
      </c>
      <c r="Q96">
        <v>74.085645882517298</v>
      </c>
      <c r="R96">
        <v>6.6944860737199602E-2</v>
      </c>
      <c r="S96">
        <v>12.2732244684869</v>
      </c>
      <c r="T96">
        <v>0.15503430034073401</v>
      </c>
      <c r="V96">
        <v>0.36501042336499201</v>
      </c>
      <c r="W96">
        <v>2.32851689520692E-2</v>
      </c>
      <c r="X96">
        <v>4.8510768650145003E-2</v>
      </c>
      <c r="AA96">
        <v>0.52391630142156098</v>
      </c>
      <c r="AB96">
        <v>3.8517550308214701</v>
      </c>
      <c r="AC96">
        <v>4.4726928695432902</v>
      </c>
      <c r="AD96">
        <v>5.8212922380172496E-3</v>
      </c>
      <c r="AE96">
        <v>4.1281586329261097</v>
      </c>
    </row>
    <row r="97" spans="1:31" x14ac:dyDescent="0.2">
      <c r="A97">
        <v>96</v>
      </c>
      <c r="B97">
        <v>790</v>
      </c>
      <c r="C97">
        <v>125</v>
      </c>
      <c r="D97">
        <v>0.48166345294643498</v>
      </c>
      <c r="E97">
        <v>103.027120231377</v>
      </c>
      <c r="F97">
        <v>2.1977783494435501</v>
      </c>
      <c r="G97">
        <v>-1688.0060528866459</v>
      </c>
      <c r="H97">
        <v>-1411.046843468572</v>
      </c>
      <c r="I97">
        <v>260.50812154265401</v>
      </c>
      <c r="J97">
        <v>137.44772653646399</v>
      </c>
      <c r="K97">
        <v>46.877848376958802</v>
      </c>
      <c r="L97">
        <v>1.2918370768536045E-4</v>
      </c>
      <c r="M97">
        <v>1.689049059176936E-5</v>
      </c>
      <c r="N97" s="1">
        <v>2.4248140663996399E-6</v>
      </c>
      <c r="O97" s="1">
        <v>7.8554643622616696E-8</v>
      </c>
      <c r="P97" s="1">
        <v>-3.8925408946216201E-7</v>
      </c>
      <c r="Q97">
        <v>74.090404819966906</v>
      </c>
      <c r="R97">
        <v>6.6972657146041198E-2</v>
      </c>
      <c r="S97">
        <v>12.269928006926399</v>
      </c>
      <c r="T97">
        <v>0.15531447965307499</v>
      </c>
      <c r="V97">
        <v>0.36496779511709998</v>
      </c>
      <c r="W97">
        <v>2.3294837268187901E-2</v>
      </c>
      <c r="X97">
        <v>4.8530910975392999E-2</v>
      </c>
      <c r="AA97">
        <v>0.52327727460218199</v>
      </c>
      <c r="AB97">
        <v>3.8496990537459799</v>
      </c>
      <c r="AC97">
        <v>4.4737907022535204</v>
      </c>
      <c r="AD97">
        <v>5.8237093170468201E-3</v>
      </c>
      <c r="AE97">
        <v>4.1279957530280402</v>
      </c>
    </row>
    <row r="98" spans="1:31" x14ac:dyDescent="0.2">
      <c r="A98">
        <v>97</v>
      </c>
      <c r="B98">
        <v>789</v>
      </c>
      <c r="C98">
        <v>125</v>
      </c>
      <c r="D98">
        <v>0.48110954196676597</v>
      </c>
      <c r="E98">
        <v>102.603324385509</v>
      </c>
      <c r="F98">
        <v>2.1980370357111001</v>
      </c>
      <c r="G98">
        <v>-1680.6983045725817</v>
      </c>
      <c r="H98">
        <v>-1405.3513812408273</v>
      </c>
      <c r="I98">
        <v>259.23544069270298</v>
      </c>
      <c r="J98">
        <v>136.833343389177</v>
      </c>
      <c r="K98">
        <v>46.679524829896998</v>
      </c>
      <c r="L98">
        <v>1.2899045021582547E-4</v>
      </c>
      <c r="M98">
        <v>1.6876461113045817E-5</v>
      </c>
      <c r="N98" s="1">
        <v>2.4147624632487499E-6</v>
      </c>
      <c r="O98" s="1">
        <v>7.80934484899279E-8</v>
      </c>
      <c r="P98" s="1">
        <v>-3.8691719445189802E-7</v>
      </c>
      <c r="Q98">
        <v>74.139887556932706</v>
      </c>
      <c r="R98">
        <v>6.7249283016160399E-2</v>
      </c>
      <c r="S98">
        <v>12.238014085124</v>
      </c>
      <c r="T98">
        <v>0.156121990189791</v>
      </c>
      <c r="V98">
        <v>0.36632590494660799</v>
      </c>
      <c r="W98">
        <v>2.3391054962142201E-2</v>
      </c>
      <c r="X98">
        <v>4.8731364504465399E-2</v>
      </c>
      <c r="AA98">
        <v>0.51715842214582497</v>
      </c>
      <c r="AB98">
        <v>3.8295679756392</v>
      </c>
      <c r="AC98">
        <v>4.4846349117323703</v>
      </c>
      <c r="AD98">
        <v>5.8477637405353004E-3</v>
      </c>
      <c r="AE98">
        <v>4.1230696870660903</v>
      </c>
    </row>
    <row r="99" spans="1:31" x14ac:dyDescent="0.2">
      <c r="A99">
        <v>98</v>
      </c>
      <c r="B99">
        <v>788</v>
      </c>
      <c r="C99">
        <v>125</v>
      </c>
      <c r="D99">
        <v>0.48055458700466802</v>
      </c>
      <c r="E99">
        <v>102.178611241395</v>
      </c>
      <c r="F99">
        <v>2.1982971077473898</v>
      </c>
      <c r="G99">
        <v>-1673.3793025613018</v>
      </c>
      <c r="H99">
        <v>-1399.64337225861</v>
      </c>
      <c r="I99">
        <v>257.96157970380301</v>
      </c>
      <c r="J99">
        <v>136.21804622827401</v>
      </c>
      <c r="K99">
        <v>46.480801380891698</v>
      </c>
      <c r="L99">
        <v>1.2879610895003376E-4</v>
      </c>
      <c r="M99">
        <v>1.6862427728129064E-5</v>
      </c>
      <c r="N99" s="1">
        <v>2.4046688638593499E-6</v>
      </c>
      <c r="O99" s="1">
        <v>7.7632370392314806E-8</v>
      </c>
      <c r="P99" s="1">
        <v>-3.8457667083959998E-7</v>
      </c>
      <c r="Q99">
        <v>74.189563451165796</v>
      </c>
      <c r="R99">
        <v>6.7528809759401995E-2</v>
      </c>
      <c r="S99">
        <v>12.2060290404337</v>
      </c>
      <c r="T99">
        <v>0.1569374769661</v>
      </c>
      <c r="V99">
        <v>0.36769869932043198</v>
      </c>
      <c r="W99">
        <v>2.3488281655443401E-2</v>
      </c>
      <c r="X99">
        <v>4.8933920115510503E-2</v>
      </c>
      <c r="AA99">
        <v>0.51126884147115104</v>
      </c>
      <c r="AB99">
        <v>3.8092427140401099</v>
      </c>
      <c r="AC99">
        <v>4.4953176885180897</v>
      </c>
      <c r="AD99">
        <v>5.8720704138605397E-3</v>
      </c>
      <c r="AE99">
        <v>4.1181190061402697</v>
      </c>
    </row>
    <row r="100" spans="1:31" x14ac:dyDescent="0.2">
      <c r="A100">
        <v>99</v>
      </c>
      <c r="B100">
        <v>787</v>
      </c>
      <c r="C100">
        <v>125</v>
      </c>
      <c r="D100">
        <v>0.479998585105882</v>
      </c>
      <c r="E100">
        <v>101.75313277388901</v>
      </c>
      <c r="F100">
        <v>2.1985584176169399</v>
      </c>
      <c r="G100">
        <v>-1666.0516191935653</v>
      </c>
      <c r="H100">
        <v>-1393.9249199280166</v>
      </c>
      <c r="I100">
        <v>256.68697756501302</v>
      </c>
      <c r="J100">
        <v>135.60205012032901</v>
      </c>
      <c r="K100">
        <v>46.281750786582002</v>
      </c>
      <c r="L100">
        <v>1.2860075732335698E-4</v>
      </c>
      <c r="M100">
        <v>1.6848397540696798E-5</v>
      </c>
      <c r="N100" s="1">
        <v>2.3945390953396201E-6</v>
      </c>
      <c r="O100" s="1">
        <v>7.7171593081742799E-8</v>
      </c>
      <c r="P100" s="1">
        <v>-3.8223351986679101E-7</v>
      </c>
      <c r="Q100">
        <v>74.239429737847303</v>
      </c>
      <c r="R100">
        <v>6.7811179979420405E-2</v>
      </c>
      <c r="S100">
        <v>12.1739750733836</v>
      </c>
      <c r="T100">
        <v>0.15776084160294801</v>
      </c>
      <c r="V100">
        <v>0.36908583420893598</v>
      </c>
      <c r="W100">
        <v>2.35864973841453E-2</v>
      </c>
      <c r="X100">
        <v>4.9138536216973498E-2</v>
      </c>
      <c r="AA100">
        <v>0.50560440408514995</v>
      </c>
      <c r="AB100">
        <v>3.78873734553185</v>
      </c>
      <c r="AC100">
        <v>4.5058267188513303</v>
      </c>
      <c r="AD100">
        <v>5.8966243460358801E-3</v>
      </c>
      <c r="AE100">
        <v>4.1131472065623003</v>
      </c>
    </row>
    <row r="101" spans="1:31" x14ac:dyDescent="0.2">
      <c r="A101">
        <v>100</v>
      </c>
      <c r="B101">
        <v>786</v>
      </c>
      <c r="C101">
        <v>125</v>
      </c>
      <c r="D101">
        <v>0.47944153330501299</v>
      </c>
      <c r="E101">
        <v>101.32703772241599</v>
      </c>
      <c r="F101">
        <v>2.1988208163984302</v>
      </c>
      <c r="G101">
        <v>-1658.7177703271636</v>
      </c>
      <c r="H101">
        <v>-1388.1980833426396</v>
      </c>
      <c r="I101">
        <v>255.412063432492</v>
      </c>
      <c r="J101">
        <v>134.985565348519</v>
      </c>
      <c r="K101">
        <v>46.082444265915697</v>
      </c>
      <c r="L101">
        <v>1.2840446906588359E-4</v>
      </c>
      <c r="M101">
        <v>1.6834377672013751E-5</v>
      </c>
      <c r="N101" s="1">
        <v>2.3843788953198E-6</v>
      </c>
      <c r="O101" s="1">
        <v>7.6711296165777404E-8</v>
      </c>
      <c r="P101" s="1">
        <v>-3.79888722705047E-7</v>
      </c>
      <c r="Q101">
        <v>74.289483722486693</v>
      </c>
      <c r="R101">
        <v>6.8096335934566293E-2</v>
      </c>
      <c r="S101">
        <v>12.1418543319717</v>
      </c>
      <c r="T101">
        <v>0.158591984831053</v>
      </c>
      <c r="V101">
        <v>0.37048696378124801</v>
      </c>
      <c r="W101">
        <v>2.3685682064195801E-2</v>
      </c>
      <c r="X101">
        <v>4.9345170967079903E-2</v>
      </c>
      <c r="AA101">
        <v>0.50016088210480703</v>
      </c>
      <c r="AB101">
        <v>3.7680660461148601</v>
      </c>
      <c r="AC101">
        <v>4.51614965697242</v>
      </c>
      <c r="AD101">
        <v>5.92142051604837E-3</v>
      </c>
      <c r="AE101">
        <v>4.1081578022551897</v>
      </c>
    </row>
    <row r="102" spans="1:31" x14ac:dyDescent="0.2">
      <c r="A102">
        <v>101</v>
      </c>
      <c r="B102">
        <v>785</v>
      </c>
      <c r="C102">
        <v>125</v>
      </c>
      <c r="D102">
        <v>0.47888342862543298</v>
      </c>
      <c r="E102">
        <v>100.900470970928</v>
      </c>
      <c r="F102">
        <v>2.1990841545624602</v>
      </c>
      <c r="G102">
        <v>-1651.3802051048237</v>
      </c>
      <c r="H102">
        <v>-1382.4648687731583</v>
      </c>
      <c r="I102">
        <v>254.13725495597501</v>
      </c>
      <c r="J102">
        <v>134.368796557758</v>
      </c>
      <c r="K102">
        <v>45.882951210206699</v>
      </c>
      <c r="L102">
        <v>1.2820731794656261E-4</v>
      </c>
      <c r="M102">
        <v>1.6820375244826204E-5</v>
      </c>
      <c r="N102" s="1">
        <v>2.3741938911846498E-6</v>
      </c>
      <c r="O102" s="1">
        <v>7.6251654488472296E-8</v>
      </c>
      <c r="P102" s="1">
        <v>-3.7754323688528301E-7</v>
      </c>
      <c r="Q102">
        <v>74.339722817669099</v>
      </c>
      <c r="R102">
        <v>6.8384219950650194E-2</v>
      </c>
      <c r="S102">
        <v>12.1096688905424</v>
      </c>
      <c r="T102">
        <v>0.159430807344692</v>
      </c>
      <c r="V102">
        <v>0.371901742747696</v>
      </c>
      <c r="W102">
        <v>2.3785815635007299E-2</v>
      </c>
      <c r="X102">
        <v>4.9553782572938299E-2</v>
      </c>
      <c r="AA102">
        <v>0.494933969639414</v>
      </c>
      <c r="AB102">
        <v>3.7472430439549802</v>
      </c>
      <c r="AC102">
        <v>4.5262741406903304</v>
      </c>
      <c r="AD102">
        <v>5.9464539087511498E-3</v>
      </c>
      <c r="AE102">
        <v>4.1031543153438701</v>
      </c>
    </row>
    <row r="103" spans="1:31" x14ac:dyDescent="0.2">
      <c r="A103">
        <v>102</v>
      </c>
      <c r="B103">
        <v>784</v>
      </c>
      <c r="C103">
        <v>125</v>
      </c>
      <c r="D103">
        <v>0.47832426807926898</v>
      </c>
      <c r="E103">
        <v>100.47357300924899</v>
      </c>
      <c r="F103">
        <v>2.1993482823175499</v>
      </c>
      <c r="G103">
        <v>-1644.0412970891052</v>
      </c>
      <c r="H103">
        <v>-1376.7272222718291</v>
      </c>
      <c r="I103">
        <v>252.86295683420099</v>
      </c>
      <c r="J103">
        <v>133.751942015015</v>
      </c>
      <c r="K103">
        <v>45.6833389313745</v>
      </c>
      <c r="L103">
        <v>1.2800937754308054E-4</v>
      </c>
      <c r="M103">
        <v>1.6806397369122214E-5</v>
      </c>
      <c r="N103" s="1">
        <v>2.36398958196992E-6</v>
      </c>
      <c r="O103" s="1">
        <v>7.57928376013539E-8</v>
      </c>
      <c r="P103" s="1">
        <v>-3.7519799322214498E-7</v>
      </c>
      <c r="Q103">
        <v>74.390144575823598</v>
      </c>
      <c r="R103">
        <v>6.8674774802374897E-2</v>
      </c>
      <c r="S103">
        <v>12.0774207310098</v>
      </c>
      <c r="T103">
        <v>0.160277210592467</v>
      </c>
      <c r="V103">
        <v>0.37332982852283902</v>
      </c>
      <c r="W103">
        <v>2.3886878192128799E-2</v>
      </c>
      <c r="X103">
        <v>4.97643295669421E-2</v>
      </c>
      <c r="AA103">
        <v>0.48991930344316598</v>
      </c>
      <c r="AB103">
        <v>3.7262825755781002</v>
      </c>
      <c r="AC103">
        <v>4.5361878051697602</v>
      </c>
      <c r="AD103">
        <v>5.97171954803146E-3</v>
      </c>
      <c r="AE103">
        <v>4.0981402677506198</v>
      </c>
    </row>
    <row r="104" spans="1:31" x14ac:dyDescent="0.2">
      <c r="A104">
        <v>103</v>
      </c>
      <c r="B104">
        <v>783</v>
      </c>
      <c r="C104">
        <v>125</v>
      </c>
      <c r="D104">
        <v>0.47776404866733202</v>
      </c>
      <c r="E104">
        <v>100.046479470066</v>
      </c>
      <c r="F104">
        <v>2.1996130499383599</v>
      </c>
      <c r="G104">
        <v>-1636.7033366629516</v>
      </c>
      <c r="H104">
        <v>-1370.9870233131167</v>
      </c>
      <c r="I104">
        <v>251.589559579449</v>
      </c>
      <c r="J104">
        <v>133.13519297565699</v>
      </c>
      <c r="K104">
        <v>45.483672445419501</v>
      </c>
      <c r="L104">
        <v>1.2781072102636639E-4</v>
      </c>
      <c r="M104">
        <v>1.6792451128781336E-5</v>
      </c>
      <c r="N104" s="1">
        <v>2.3537713224786399E-6</v>
      </c>
      <c r="O104" s="1">
        <v>7.53350093100738E-8</v>
      </c>
      <c r="P104" s="1">
        <v>-3.7285389314907001E-7</v>
      </c>
      <c r="Q104">
        <v>74.440746718991704</v>
      </c>
      <c r="R104">
        <v>6.8967944065084302E-2</v>
      </c>
      <c r="S104">
        <v>12.0451117260353</v>
      </c>
      <c r="T104">
        <v>0.16113109750906199</v>
      </c>
      <c r="V104">
        <v>0.37477088321777602</v>
      </c>
      <c r="W104">
        <v>2.3988850109592799E-2</v>
      </c>
      <c r="X104">
        <v>4.99767710616595E-2</v>
      </c>
      <c r="AA104">
        <v>0.48511248247941102</v>
      </c>
      <c r="AB104">
        <v>3.7051988454298201</v>
      </c>
      <c r="AC104">
        <v>4.5458782952946404</v>
      </c>
      <c r="AD104">
        <v>5.9972125273973402E-3</v>
      </c>
      <c r="AE104">
        <v>4.0931191732784802</v>
      </c>
    </row>
    <row r="105" spans="1:31" x14ac:dyDescent="0.2">
      <c r="A105">
        <v>104</v>
      </c>
      <c r="B105">
        <v>782</v>
      </c>
      <c r="C105">
        <v>125</v>
      </c>
      <c r="D105">
        <v>0.47720276737904699</v>
      </c>
      <c r="E105">
        <v>99.619320749254001</v>
      </c>
      <c r="F105">
        <v>2.1998783080602999</v>
      </c>
      <c r="G105">
        <v>-1629.3685248195648</v>
      </c>
      <c r="H105">
        <v>-1365.2460795727216</v>
      </c>
      <c r="I105">
        <v>250.31743851285901</v>
      </c>
      <c r="J105">
        <v>132.51873316658001</v>
      </c>
      <c r="K105">
        <v>45.2840142949048</v>
      </c>
      <c r="L105">
        <v>1.276114209712994E-4</v>
      </c>
      <c r="M105">
        <v>1.6778543569921117E-5</v>
      </c>
      <c r="N105" s="1">
        <v>2.3435443100620601E-6</v>
      </c>
      <c r="O105" s="1">
        <v>7.4878327309383997E-8</v>
      </c>
      <c r="P105" s="1">
        <v>-3.7051180654896802E-7</v>
      </c>
      <c r="Q105">
        <v>74.491527164290602</v>
      </c>
      <c r="R105">
        <v>6.9263672429244902E-2</v>
      </c>
      <c r="S105">
        <v>12.0127436245936</v>
      </c>
      <c r="T105">
        <v>0.16199237317194601</v>
      </c>
      <c r="V105">
        <v>0.37622457541937898</v>
      </c>
      <c r="W105">
        <v>2.40917121493005E-2</v>
      </c>
      <c r="X105">
        <v>5.01910669777186E-2</v>
      </c>
      <c r="AA105">
        <v>0.480509086161859</v>
      </c>
      <c r="AB105">
        <v>3.6840059890096799</v>
      </c>
      <c r="AC105">
        <v>4.5553332771035899</v>
      </c>
      <c r="AD105">
        <v>6.0229280373241502E-3</v>
      </c>
      <c r="AE105">
        <v>4.0880945306556304</v>
      </c>
    </row>
    <row r="106" spans="1:31" x14ac:dyDescent="0.2">
      <c r="A106">
        <v>105</v>
      </c>
      <c r="B106">
        <v>781</v>
      </c>
      <c r="C106">
        <v>125</v>
      </c>
      <c r="D106">
        <v>0.476640421192431</v>
      </c>
      <c r="E106">
        <v>99.192221707001394</v>
      </c>
      <c r="F106">
        <v>2.2001439079546401</v>
      </c>
      <c r="G106">
        <v>-1622.0389682948387</v>
      </c>
      <c r="H106">
        <v>-1359.5061228111708</v>
      </c>
      <c r="I106">
        <v>249.04695297981101</v>
      </c>
      <c r="J106">
        <v>131.90273838177799</v>
      </c>
      <c r="K106">
        <v>45.084424408953801</v>
      </c>
      <c r="L106">
        <v>1.2741154918522832E-4</v>
      </c>
      <c r="M106">
        <v>1.6764681690154402E-5</v>
      </c>
      <c r="N106" s="1">
        <v>2.3333135737565598E-6</v>
      </c>
      <c r="O106" s="1">
        <v>7.4422942896194096E-8</v>
      </c>
      <c r="P106" s="1">
        <v>-3.6817257001883902E-7</v>
      </c>
      <c r="Q106">
        <v>74.542484045392698</v>
      </c>
      <c r="R106">
        <v>6.9561905976678301E-2</v>
      </c>
      <c r="S106">
        <v>11.9803180399563</v>
      </c>
      <c r="T106">
        <v>0.16286094538099899</v>
      </c>
      <c r="V106">
        <v>0.37769058175040998</v>
      </c>
      <c r="W106">
        <v>2.4195445557102999E-2</v>
      </c>
      <c r="X106">
        <v>5.0407178243975698E-2</v>
      </c>
      <c r="AA106">
        <v>0.47610469114694598</v>
      </c>
      <c r="AB106">
        <v>3.6627180396518999</v>
      </c>
      <c r="AC106">
        <v>4.5645404484241601</v>
      </c>
      <c r="AD106">
        <v>6.04886138927457E-3</v>
      </c>
      <c r="AE106">
        <v>4.0830698171294202</v>
      </c>
    </row>
    <row r="107" spans="1:31" x14ac:dyDescent="0.2">
      <c r="A107">
        <v>106</v>
      </c>
      <c r="B107">
        <v>780</v>
      </c>
      <c r="C107">
        <v>125</v>
      </c>
      <c r="D107">
        <v>0.47607700707401701</v>
      </c>
      <c r="E107">
        <v>98.765301461137895</v>
      </c>
      <c r="F107">
        <v>2.2004097017796602</v>
      </c>
      <c r="G107">
        <v>-1614.7166762242259</v>
      </c>
      <c r="H107">
        <v>-1353.7688060147011</v>
      </c>
      <c r="I107">
        <v>247.778445814484</v>
      </c>
      <c r="J107">
        <v>131.287376205893</v>
      </c>
      <c r="K107">
        <v>44.8849600059742</v>
      </c>
      <c r="L107">
        <v>1.2721117656138675E-4</v>
      </c>
      <c r="M107">
        <v>1.6750872429044152E-5</v>
      </c>
      <c r="N107" s="1">
        <v>2.3230839661550501E-6</v>
      </c>
      <c r="O107" s="1">
        <v>7.3969000771581005E-8</v>
      </c>
      <c r="P107" s="1">
        <v>-3.6583698564055201E-7</v>
      </c>
      <c r="Q107">
        <v>74.593615728290899</v>
      </c>
      <c r="R107">
        <v>6.9862592407671495E-2</v>
      </c>
      <c r="S107">
        <v>11.9478364409268</v>
      </c>
      <c r="T107">
        <v>0.163736725138516</v>
      </c>
      <c r="V107">
        <v>0.37916858814930499</v>
      </c>
      <c r="W107">
        <v>2.4300032141796098E-2</v>
      </c>
      <c r="X107">
        <v>5.0625066962087302E-2</v>
      </c>
      <c r="AA107">
        <v>0.47189488648429501</v>
      </c>
      <c r="AB107">
        <v>3.64134889921807</v>
      </c>
      <c r="AC107">
        <v>4.5734875494224996</v>
      </c>
      <c r="AD107">
        <v>6.0750080354476698E-3</v>
      </c>
      <c r="AE107">
        <v>4.0780484828224601</v>
      </c>
    </row>
    <row r="108" spans="1:31" x14ac:dyDescent="0.2">
      <c r="A108">
        <v>107</v>
      </c>
      <c r="B108">
        <v>779</v>
      </c>
      <c r="C108">
        <v>125</v>
      </c>
      <c r="D108">
        <v>0.475512521978807</v>
      </c>
      <c r="E108">
        <v>98.338673263661406</v>
      </c>
      <c r="F108">
        <v>2.2006755428124398</v>
      </c>
      <c r="G108">
        <v>-1607.4035581704463</v>
      </c>
      <c r="H108">
        <v>-1348.0357016694634</v>
      </c>
      <c r="I108">
        <v>246.51224302711799</v>
      </c>
      <c r="J108">
        <v>130.672805852533</v>
      </c>
      <c r="K108">
        <v>44.685675534879302</v>
      </c>
      <c r="L108">
        <v>1.2701037295216993E-4</v>
      </c>
      <c r="M108">
        <v>1.6737122659335226E-5</v>
      </c>
      <c r="N108" s="1">
        <v>2.3128601576633798E-6</v>
      </c>
      <c r="O108" s="1">
        <v>7.3516638919976996E-8</v>
      </c>
      <c r="P108" s="1">
        <v>-3.6350582019385702E-7</v>
      </c>
      <c r="Q108">
        <v>74.644920822093496</v>
      </c>
      <c r="R108">
        <v>7.0165681221876303E-2</v>
      </c>
      <c r="S108">
        <v>11.9153001458609</v>
      </c>
      <c r="T108">
        <v>0.16461962703541599</v>
      </c>
      <c r="V108">
        <v>0.38065829088568998</v>
      </c>
      <c r="W108">
        <v>2.4405454338040901E-2</v>
      </c>
      <c r="X108">
        <v>5.0844696537598801E-2</v>
      </c>
      <c r="AA108">
        <v>0.46787528695557701</v>
      </c>
      <c r="AB108">
        <v>3.6199123122347001</v>
      </c>
      <c r="AC108">
        <v>4.5821623736204797</v>
      </c>
      <c r="AD108">
        <v>6.10136358450869E-3</v>
      </c>
      <c r="AE108">
        <v>4.0730339456315798</v>
      </c>
    </row>
    <row r="109" spans="1:31" x14ac:dyDescent="0.2">
      <c r="A109">
        <v>108</v>
      </c>
      <c r="B109">
        <v>778</v>
      </c>
      <c r="C109">
        <v>125</v>
      </c>
      <c r="D109">
        <v>0.47494696285021398</v>
      </c>
      <c r="E109">
        <v>95.985862248879002</v>
      </c>
      <c r="F109">
        <v>2.20156196788398</v>
      </c>
      <c r="G109">
        <v>-1568.1753641604307</v>
      </c>
      <c r="H109">
        <v>-1315.514909898222</v>
      </c>
      <c r="I109">
        <v>240.36574633706701</v>
      </c>
      <c r="J109">
        <v>127.503964220751</v>
      </c>
      <c r="K109">
        <v>43.5989827445716</v>
      </c>
      <c r="L109">
        <v>1.2680293720642629E-4</v>
      </c>
      <c r="M109">
        <v>1.6704463009058067E-5</v>
      </c>
      <c r="N109" s="1">
        <v>2.2531477339916002E-6</v>
      </c>
      <c r="O109" s="1">
        <v>7.1509953908083798E-8</v>
      </c>
      <c r="P109" s="1">
        <v>-3.5406965053146701E-7</v>
      </c>
      <c r="Q109">
        <v>74.614960820545207</v>
      </c>
      <c r="R109">
        <v>7.1885586463865503E-2</v>
      </c>
      <c r="S109">
        <v>11.9175452569556</v>
      </c>
      <c r="T109">
        <v>0.168932741011219</v>
      </c>
      <c r="V109">
        <v>0.389738908158556</v>
      </c>
      <c r="W109">
        <v>2.50036822482964E-2</v>
      </c>
      <c r="X109">
        <v>5.2091004683971598E-2</v>
      </c>
      <c r="AA109">
        <v>0.459940683225534</v>
      </c>
      <c r="AB109">
        <v>3.58319050530854</v>
      </c>
      <c r="AC109">
        <v>4.64998248538258</v>
      </c>
      <c r="AD109">
        <v>6.2509205620720001E-3</v>
      </c>
      <c r="AE109">
        <v>4.0604774054544803</v>
      </c>
    </row>
    <row r="110" spans="1:31" x14ac:dyDescent="0.2">
      <c r="A110">
        <v>109</v>
      </c>
      <c r="B110">
        <v>777</v>
      </c>
      <c r="C110">
        <v>125</v>
      </c>
      <c r="D110">
        <v>0.47438032662001101</v>
      </c>
      <c r="E110">
        <v>93.253214752972099</v>
      </c>
      <c r="F110">
        <v>2.2025571930252301</v>
      </c>
      <c r="G110">
        <v>-1522.7205573143196</v>
      </c>
      <c r="H110">
        <v>-1277.7529463761191</v>
      </c>
      <c r="I110">
        <v>233.269162441746</v>
      </c>
      <c r="J110">
        <v>123.831993035347</v>
      </c>
      <c r="K110">
        <v>42.338612158755197</v>
      </c>
      <c r="L110">
        <v>1.2658361569644117E-4</v>
      </c>
      <c r="M110">
        <v>1.6669325299237558E-5</v>
      </c>
      <c r="N110" s="1">
        <v>2.18409635185512E-6</v>
      </c>
      <c r="O110" s="1">
        <v>6.9215339838914203E-8</v>
      </c>
      <c r="P110" s="1">
        <v>-3.4320611106527298E-7</v>
      </c>
      <c r="Q110">
        <v>74.577532807749606</v>
      </c>
      <c r="R110">
        <v>7.3992087224861502E-2</v>
      </c>
      <c r="S110">
        <v>11.9220137925646</v>
      </c>
      <c r="T110">
        <v>0.17416519959506899</v>
      </c>
      <c r="V110">
        <v>0.400905762506295</v>
      </c>
      <c r="W110">
        <v>2.57363781651627E-2</v>
      </c>
      <c r="X110">
        <v>5.3617454510785E-2</v>
      </c>
      <c r="AA110">
        <v>0.45352540290493998</v>
      </c>
      <c r="AB110">
        <v>3.5419862201638601</v>
      </c>
      <c r="AC110">
        <v>4.7233540501654296</v>
      </c>
      <c r="AD110">
        <v>6.4340945412879802E-3</v>
      </c>
      <c r="AE110">
        <v>4.0467367499079803</v>
      </c>
    </row>
    <row r="111" spans="1:31" x14ac:dyDescent="0.2">
      <c r="A111">
        <v>110</v>
      </c>
      <c r="B111">
        <v>776</v>
      </c>
      <c r="C111">
        <v>125</v>
      </c>
      <c r="D111">
        <v>0.47381261020826598</v>
      </c>
      <c r="E111">
        <v>89.994916791229201</v>
      </c>
      <c r="F111">
        <v>2.2036690464380699</v>
      </c>
      <c r="G111">
        <v>-1468.6786078475984</v>
      </c>
      <c r="H111">
        <v>-1232.7636756870399</v>
      </c>
      <c r="I111">
        <v>224.862919659303</v>
      </c>
      <c r="J111">
        <v>119.46372125104</v>
      </c>
      <c r="K111">
        <v>40.838671730990399</v>
      </c>
      <c r="L111">
        <v>1.2635068938973457E-4</v>
      </c>
      <c r="M111">
        <v>1.6632569119875344E-5</v>
      </c>
      <c r="N111" s="1">
        <v>2.1025462281922699E-6</v>
      </c>
      <c r="O111" s="1">
        <v>6.6533302029319597E-8</v>
      </c>
      <c r="P111" s="1">
        <v>-3.3037097682476001E-7</v>
      </c>
      <c r="Q111">
        <v>74.535594627112104</v>
      </c>
      <c r="R111">
        <v>7.6670997052059597E-2</v>
      </c>
      <c r="S111">
        <v>11.926585422307401</v>
      </c>
      <c r="T111">
        <v>0.18074217260355099</v>
      </c>
      <c r="V111">
        <v>0.415176615425495</v>
      </c>
      <c r="W111">
        <v>2.6668172887665799E-2</v>
      </c>
      <c r="X111">
        <v>5.5558693516001997E-2</v>
      </c>
      <c r="AA111">
        <v>0.45001060135718801</v>
      </c>
      <c r="AB111">
        <v>3.4956617960240801</v>
      </c>
      <c r="AC111">
        <v>4.79860013135184</v>
      </c>
      <c r="AD111">
        <v>6.6670432219135996E-3</v>
      </c>
      <c r="AE111">
        <v>4.03206372714053</v>
      </c>
    </row>
    <row r="112" spans="1:31" x14ac:dyDescent="0.2">
      <c r="A112">
        <v>111</v>
      </c>
      <c r="B112">
        <v>775</v>
      </c>
      <c r="C112">
        <v>125</v>
      </c>
      <c r="D112">
        <v>0.473243810523307</v>
      </c>
      <c r="E112">
        <v>81.006714985855595</v>
      </c>
      <c r="F112">
        <v>2.2055052293684101</v>
      </c>
      <c r="G112">
        <v>-1320.9263482514343</v>
      </c>
      <c r="H112">
        <v>-1109.0123155083681</v>
      </c>
      <c r="I112">
        <v>202.17910866103699</v>
      </c>
      <c r="J112">
        <v>107.50643130159899</v>
      </c>
      <c r="K112">
        <v>36.729323470728403</v>
      </c>
      <c r="L112">
        <v>1.2618620601346299E-4</v>
      </c>
      <c r="M112">
        <v>1.6600331186282609E-5</v>
      </c>
      <c r="N112" s="1">
        <v>1.8883343095959701E-6</v>
      </c>
      <c r="O112" s="1">
        <v>5.9663815330291102E-8</v>
      </c>
      <c r="P112" s="1">
        <v>-2.96555142068955E-7</v>
      </c>
      <c r="Q112">
        <v>74.450989153283899</v>
      </c>
      <c r="R112">
        <v>8.5178123828449706E-2</v>
      </c>
      <c r="S112">
        <v>11.9312951790945</v>
      </c>
      <c r="T112">
        <v>0.200879286815276</v>
      </c>
      <c r="V112">
        <v>0.46116869837185898</v>
      </c>
      <c r="W112">
        <v>2.9627173505534701E-2</v>
      </c>
      <c r="X112">
        <v>6.1723278136589101E-2</v>
      </c>
      <c r="AA112">
        <v>0.46081475570711999</v>
      </c>
      <c r="AB112">
        <v>3.44029990868937</v>
      </c>
      <c r="AC112">
        <v>4.8521443468397001</v>
      </c>
      <c r="AD112">
        <v>7.4067933763783201E-3</v>
      </c>
      <c r="AE112">
        <v>4.0184733023512198</v>
      </c>
    </row>
    <row r="113" spans="1:31" x14ac:dyDescent="0.2">
      <c r="A113">
        <v>112</v>
      </c>
      <c r="B113">
        <v>774</v>
      </c>
      <c r="C113">
        <v>125</v>
      </c>
      <c r="D113">
        <v>0.47267392446163797</v>
      </c>
      <c r="E113">
        <v>66.970544700741996</v>
      </c>
      <c r="F113">
        <v>2.2082906205852302</v>
      </c>
      <c r="G113">
        <v>-1090.7949637782087</v>
      </c>
      <c r="H113">
        <v>-915.92298016732275</v>
      </c>
      <c r="I113">
        <v>166.99802665414299</v>
      </c>
      <c r="J113">
        <v>88.876820839150596</v>
      </c>
      <c r="K113">
        <v>30.326870963656699</v>
      </c>
      <c r="L113">
        <v>1.2620925498211635E-4</v>
      </c>
      <c r="M113">
        <v>1.6582678691331821E-5</v>
      </c>
      <c r="N113" s="1">
        <v>1.5597894528765799E-6</v>
      </c>
      <c r="O113" s="1">
        <v>4.91996413051603E-8</v>
      </c>
      <c r="P113" s="1">
        <v>-2.4465955749836603E-7</v>
      </c>
      <c r="Q113">
        <v>74.3017269912594</v>
      </c>
      <c r="R113">
        <v>0.103030370005707</v>
      </c>
      <c r="S113">
        <v>11.933454689584901</v>
      </c>
      <c r="T113">
        <v>0.24268987173019099</v>
      </c>
      <c r="V113">
        <v>0.55808574051313198</v>
      </c>
      <c r="W113">
        <v>3.5836650436750897E-2</v>
      </c>
      <c r="X113">
        <v>7.4659688409974695E-2</v>
      </c>
      <c r="AA113">
        <v>0.48328714083841201</v>
      </c>
      <c r="AB113">
        <v>3.3894695351585602</v>
      </c>
      <c r="AC113">
        <v>4.8583848485141496</v>
      </c>
      <c r="AD113">
        <v>8.9591626091792501E-3</v>
      </c>
      <c r="AE113">
        <v>4.0104153109395702</v>
      </c>
    </row>
    <row r="114" spans="1:31" x14ac:dyDescent="0.2">
      <c r="A114">
        <v>113</v>
      </c>
      <c r="B114">
        <v>773</v>
      </c>
      <c r="C114">
        <v>125</v>
      </c>
      <c r="D114">
        <v>0.472102948907902</v>
      </c>
      <c r="E114">
        <v>56.6132874708399</v>
      </c>
      <c r="F114">
        <v>2.2110774534042799</v>
      </c>
      <c r="G114">
        <v>-921.01813337535293</v>
      </c>
      <c r="H114">
        <v>-773.45005179325517</v>
      </c>
      <c r="I114">
        <v>141.05824363819499</v>
      </c>
      <c r="J114">
        <v>75.132652950140795</v>
      </c>
      <c r="K114">
        <v>25.6043891106914</v>
      </c>
      <c r="L114">
        <v>1.2628376211642749E-4</v>
      </c>
      <c r="M114">
        <v>1.6569256316246927E-5</v>
      </c>
      <c r="N114" s="1">
        <v>1.31808241232587E-6</v>
      </c>
      <c r="O114" s="1">
        <v>4.1503395651063201E-8</v>
      </c>
      <c r="P114" s="1">
        <v>-2.06496890105936E-7</v>
      </c>
      <c r="Q114">
        <v>74.148162223556398</v>
      </c>
      <c r="R114">
        <v>0.12187951465555499</v>
      </c>
      <c r="S114">
        <v>11.9331463794471</v>
      </c>
      <c r="T114">
        <v>0.28672422116906698</v>
      </c>
      <c r="V114">
        <v>0.66051467290261201</v>
      </c>
      <c r="W114">
        <v>4.2392874662778801E-2</v>
      </c>
      <c r="X114">
        <v>8.8318488880895704E-2</v>
      </c>
      <c r="AA114">
        <v>0.499857662329529</v>
      </c>
      <c r="AB114">
        <v>3.3480821064513901</v>
      </c>
      <c r="AC114">
        <v>4.8559376285704401</v>
      </c>
      <c r="AD114">
        <v>1.05982186656847E-2</v>
      </c>
      <c r="AE114">
        <v>4.00438600870846</v>
      </c>
    </row>
    <row r="115" spans="1:31" x14ac:dyDescent="0.2">
      <c r="A115">
        <v>114</v>
      </c>
      <c r="B115">
        <v>772</v>
      </c>
      <c r="C115">
        <v>125</v>
      </c>
      <c r="D115">
        <v>0.47153088073482102</v>
      </c>
      <c r="E115">
        <v>32.1230814699409</v>
      </c>
      <c r="F115">
        <v>2.21324593466584</v>
      </c>
      <c r="G115">
        <v>-522.57479408567679</v>
      </c>
      <c r="H115">
        <v>-439.05028231448381</v>
      </c>
      <c r="I115">
        <v>79.916291222497193</v>
      </c>
      <c r="J115">
        <v>42.647603044606001</v>
      </c>
      <c r="K115">
        <v>14.514013543095301</v>
      </c>
      <c r="L115">
        <v>1.2589882192187639E-4</v>
      </c>
      <c r="M115">
        <v>1.6526966396211333E-5</v>
      </c>
      <c r="N115" s="1">
        <v>7.4478235989265701E-7</v>
      </c>
      <c r="O115" s="1">
        <v>2.3417343549182799E-8</v>
      </c>
      <c r="P115" s="1">
        <v>-1.16359934676182E-7</v>
      </c>
      <c r="Q115">
        <v>74.023121597264705</v>
      </c>
      <c r="R115">
        <v>0.149489774355132</v>
      </c>
      <c r="S115">
        <v>12.0419877394714</v>
      </c>
      <c r="T115">
        <v>0.26793244528313198</v>
      </c>
      <c r="V115">
        <v>0.61825955917997599</v>
      </c>
      <c r="W115">
        <v>7.47126331029241E-2</v>
      </c>
      <c r="X115">
        <v>0.14705989507212699</v>
      </c>
      <c r="AA115">
        <v>0.53995275474023796</v>
      </c>
      <c r="AB115">
        <v>3.22043163979043</v>
      </c>
      <c r="AC115">
        <v>4.91520203324297</v>
      </c>
      <c r="AD115">
        <v>1.8678158275712502E-2</v>
      </c>
      <c r="AE115">
        <v>3.9831717702211802</v>
      </c>
    </row>
    <row r="116" spans="1:31" x14ac:dyDescent="0.2">
      <c r="A116">
        <v>115</v>
      </c>
      <c r="B116">
        <v>771</v>
      </c>
      <c r="C116">
        <v>125</v>
      </c>
      <c r="D116">
        <v>0.47095771680314102</v>
      </c>
      <c r="E116">
        <v>21.680082611227402</v>
      </c>
      <c r="F116">
        <v>2.2152878246435499</v>
      </c>
      <c r="G116">
        <v>-352.65184448210715</v>
      </c>
      <c r="H116">
        <v>-296.398569902487</v>
      </c>
      <c r="I116">
        <v>53.874706296624097</v>
      </c>
      <c r="J116">
        <v>28.798784406023501</v>
      </c>
      <c r="K116">
        <v>9.7865759789998297</v>
      </c>
      <c r="L116">
        <v>1.2571810024569817E-4</v>
      </c>
      <c r="M116">
        <v>1.6503831971575618E-5</v>
      </c>
      <c r="N116" s="1">
        <v>5.0173052645003303E-7</v>
      </c>
      <c r="O116" s="1">
        <v>1.5749116967216799E-8</v>
      </c>
      <c r="P116" s="1">
        <v>-7.8169356868923095E-8</v>
      </c>
      <c r="Q116">
        <v>73.8813993224867</v>
      </c>
      <c r="R116">
        <v>0.168607227877064</v>
      </c>
      <c r="S116">
        <v>12.151535192804699</v>
      </c>
      <c r="T116">
        <v>0.25799822387589899</v>
      </c>
      <c r="V116">
        <v>0.59672414554439002</v>
      </c>
      <c r="W116">
        <v>0.11070068518816201</v>
      </c>
      <c r="X116">
        <v>0.208461078876195</v>
      </c>
      <c r="AA116">
        <v>0.55788664182981795</v>
      </c>
      <c r="AB116">
        <v>3.1266350067632298</v>
      </c>
      <c r="AC116">
        <v>4.9410826021722301</v>
      </c>
      <c r="AD116">
        <v>2.7675171297009998E-2</v>
      </c>
      <c r="AE116">
        <v>3.9712947012845001</v>
      </c>
    </row>
    <row r="117" spans="1:31" x14ac:dyDescent="0.2">
      <c r="A117">
        <v>116</v>
      </c>
      <c r="B117">
        <v>770</v>
      </c>
      <c r="C117">
        <v>125</v>
      </c>
      <c r="D117">
        <v>0.47038345396155901</v>
      </c>
      <c r="E117">
        <v>13.673528590035501</v>
      </c>
      <c r="F117">
        <v>2.2176114414568802</v>
      </c>
      <c r="G117">
        <v>-222.36913374717767</v>
      </c>
      <c r="H117">
        <v>-186.97210199120968</v>
      </c>
      <c r="I117">
        <v>33.932830135616101</v>
      </c>
      <c r="J117">
        <v>18.168090795547101</v>
      </c>
      <c r="K117">
        <v>6.1658811523142898</v>
      </c>
      <c r="L117">
        <v>1.2553677048647902E-4</v>
      </c>
      <c r="M117">
        <v>1.6492316031782118E-5</v>
      </c>
      <c r="N117" s="1">
        <v>3.1588474034618102E-7</v>
      </c>
      <c r="O117" s="1">
        <v>9.8992027334121195E-9</v>
      </c>
      <c r="P117" s="1">
        <v>-4.9016337212484202E-8</v>
      </c>
      <c r="Q117">
        <v>73.665426150436502</v>
      </c>
      <c r="R117">
        <v>0.199642983523595</v>
      </c>
      <c r="S117">
        <v>12.3764285495716</v>
      </c>
      <c r="T117">
        <v>0.24608096985825001</v>
      </c>
      <c r="V117">
        <v>0.57198927683452006</v>
      </c>
      <c r="W117">
        <v>0.17552162810026201</v>
      </c>
      <c r="X117">
        <v>0.20766145937838301</v>
      </c>
      <c r="AA117">
        <v>0.57149473264796402</v>
      </c>
      <c r="AB117">
        <v>2.99889004743383</v>
      </c>
      <c r="AC117">
        <v>4.9831514341908703</v>
      </c>
      <c r="AD117">
        <v>4.3880407025003003E-2</v>
      </c>
      <c r="AE117">
        <v>3.9598323609991199</v>
      </c>
    </row>
    <row r="118" spans="1:31" x14ac:dyDescent="0.2">
      <c r="A118">
        <v>117</v>
      </c>
      <c r="B118">
        <v>769</v>
      </c>
      <c r="C118">
        <v>125</v>
      </c>
      <c r="D118">
        <v>0.46980808904668597</v>
      </c>
      <c r="E118">
        <v>10.0922383829319</v>
      </c>
      <c r="F118">
        <v>2.2196966696214502</v>
      </c>
      <c r="G118">
        <v>-164.09417151088502</v>
      </c>
      <c r="H118">
        <v>-138.02260500007162</v>
      </c>
      <c r="I118">
        <v>25.017095917874901</v>
      </c>
      <c r="J118">
        <v>13.4142943411227</v>
      </c>
      <c r="K118">
        <v>4.5466745619134903</v>
      </c>
      <c r="L118">
        <v>1.2545184904480332E-4</v>
      </c>
      <c r="M118">
        <v>1.6489805477477192E-5</v>
      </c>
      <c r="N118" s="1">
        <v>2.3305016816054301E-7</v>
      </c>
      <c r="O118" s="1">
        <v>7.2904678717918603E-9</v>
      </c>
      <c r="P118" s="1">
        <v>-3.6023438567640802E-8</v>
      </c>
      <c r="Q118">
        <v>73.457682395451798</v>
      </c>
      <c r="R118">
        <v>0.218753020989367</v>
      </c>
      <c r="S118">
        <v>12.5893709733422</v>
      </c>
      <c r="T118">
        <v>0.23807344531536601</v>
      </c>
      <c r="V118">
        <v>0.55602328282409097</v>
      </c>
      <c r="W118">
        <v>0.23780651119549601</v>
      </c>
      <c r="X118">
        <v>0.21079413423797799</v>
      </c>
      <c r="AA118">
        <v>0.57767019866134095</v>
      </c>
      <c r="AB118">
        <v>2.8925561154497599</v>
      </c>
      <c r="AC118">
        <v>5.0081751148828904</v>
      </c>
      <c r="AD118">
        <v>5.9451627798772E-2</v>
      </c>
      <c r="AE118">
        <v>3.9536431798507499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C59A9-144C-4D6D-9298-99195D8385B1}">
  <sheetPr codeName="Sheet5"/>
  <dimension ref="A1:P118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757</v>
      </c>
      <c r="C2">
        <v>275</v>
      </c>
      <c r="D2">
        <v>0.30264573120419402</v>
      </c>
      <c r="E2">
        <v>4.1076402695702496</v>
      </c>
      <c r="F2">
        <v>0.553927036865275</v>
      </c>
      <c r="G2">
        <v>-89.010242457462667</v>
      </c>
      <c r="H2">
        <v>-52.290062129683577</v>
      </c>
      <c r="I2">
        <v>35.647751270959901</v>
      </c>
      <c r="J2">
        <v>15.858692931172101</v>
      </c>
      <c r="K2">
        <v>7.41548975983509</v>
      </c>
      <c r="L2">
        <v>1.1994105535029585E-3</v>
      </c>
      <c r="M2">
        <v>1.9425669200678956E-4</v>
      </c>
      <c r="N2" s="1">
        <v>5.7782790891415799E-6</v>
      </c>
      <c r="O2" s="1">
        <v>1.1719870032554699E-6</v>
      </c>
      <c r="P2" s="1">
        <v>-4.3493288618910901E-6</v>
      </c>
    </row>
    <row r="3" spans="1:16" x14ac:dyDescent="0.2">
      <c r="A3">
        <v>2</v>
      </c>
      <c r="B3">
        <v>756</v>
      </c>
      <c r="C3">
        <v>275</v>
      </c>
      <c r="D3">
        <v>0.30190011174270298</v>
      </c>
      <c r="E3">
        <v>4.2240423052632101</v>
      </c>
      <c r="F3">
        <v>0.56609507798514802</v>
      </c>
      <c r="G3">
        <v>-90.908043866254701</v>
      </c>
      <c r="H3">
        <v>-53.957803596734614</v>
      </c>
      <c r="I3">
        <v>35.905936659535001</v>
      </c>
      <c r="J3">
        <v>16.0182651557122</v>
      </c>
      <c r="K3">
        <v>7.46171883404722</v>
      </c>
      <c r="L3">
        <v>1.1931277256540477E-3</v>
      </c>
      <c r="M3">
        <v>1.9278870145819215E-4</v>
      </c>
      <c r="N3" s="1">
        <v>5.8321720736349101E-6</v>
      </c>
      <c r="O3" s="1">
        <v>1.1698118350595101E-6</v>
      </c>
      <c r="P3" s="1">
        <v>-4.3542941746074499E-6</v>
      </c>
    </row>
    <row r="4" spans="1:16" x14ac:dyDescent="0.2">
      <c r="A4">
        <v>3</v>
      </c>
      <c r="B4">
        <v>755</v>
      </c>
      <c r="C4">
        <v>275</v>
      </c>
      <c r="D4">
        <v>0.30115304187132302</v>
      </c>
      <c r="E4">
        <v>4.4468835744983997</v>
      </c>
      <c r="F4">
        <v>0.58843122468631404</v>
      </c>
      <c r="G4">
        <v>-94.568730252339719</v>
      </c>
      <c r="H4">
        <v>-57.137730818910015</v>
      </c>
      <c r="I4">
        <v>36.408462473352003</v>
      </c>
      <c r="J4">
        <v>16.3153906175265</v>
      </c>
      <c r="K4">
        <v>7.5571849146329404</v>
      </c>
      <c r="L4">
        <v>1.1806884838173014E-3</v>
      </c>
      <c r="M4">
        <v>1.9034013396509607E-4</v>
      </c>
      <c r="N4" s="1">
        <v>5.89378641697375E-6</v>
      </c>
      <c r="O4" s="1">
        <v>1.1691147412012899E-6</v>
      </c>
      <c r="P4" s="1">
        <v>-4.3647769571856301E-6</v>
      </c>
    </row>
    <row r="5" spans="1:16" x14ac:dyDescent="0.2">
      <c r="A5">
        <v>4</v>
      </c>
      <c r="B5">
        <v>754</v>
      </c>
      <c r="C5">
        <v>275</v>
      </c>
      <c r="D5">
        <v>0.30040451735384299</v>
      </c>
      <c r="E5">
        <v>4.6686270727293602</v>
      </c>
      <c r="F5">
        <v>0.61011283665597604</v>
      </c>
      <c r="G5">
        <v>-98.210113158108385</v>
      </c>
      <c r="H5">
        <v>-60.302679677947545</v>
      </c>
      <c r="I5">
        <v>36.907755938242403</v>
      </c>
      <c r="J5">
        <v>16.611013193875099</v>
      </c>
      <c r="K5">
        <v>7.65207153863222</v>
      </c>
      <c r="L5">
        <v>1.1686172395545989E-3</v>
      </c>
      <c r="M5">
        <v>1.8796050794875132E-4</v>
      </c>
      <c r="N5" s="1">
        <v>5.9556038328503903E-6</v>
      </c>
      <c r="O5" s="1">
        <v>1.16837181813282E-6</v>
      </c>
      <c r="P5" s="1">
        <v>-4.3751206073244701E-6</v>
      </c>
    </row>
    <row r="6" spans="1:16" x14ac:dyDescent="0.2">
      <c r="A6">
        <v>5</v>
      </c>
      <c r="B6">
        <v>753</v>
      </c>
      <c r="C6">
        <v>275</v>
      </c>
      <c r="D6">
        <v>0.29965453393753799</v>
      </c>
      <c r="E6">
        <v>4.8892817876872403</v>
      </c>
      <c r="F6">
        <v>0.63116959624325697</v>
      </c>
      <c r="G6">
        <v>-101.83235076113239</v>
      </c>
      <c r="H6">
        <v>-63.452773260075496</v>
      </c>
      <c r="I6">
        <v>37.403841801666097</v>
      </c>
      <c r="J6">
        <v>16.9051443582179</v>
      </c>
      <c r="K6">
        <v>7.7463835659835603</v>
      </c>
      <c r="L6">
        <v>1.1568971703204191E-3</v>
      </c>
      <c r="M6">
        <v>1.8564670288571746E-4</v>
      </c>
      <c r="N6" s="1">
        <v>6.0176211935085703E-6</v>
      </c>
      <c r="O6" s="1">
        <v>1.1675834940867401E-6</v>
      </c>
      <c r="P6" s="1">
        <v>-4.3853252242229401E-6</v>
      </c>
    </row>
    <row r="7" spans="1:16" x14ac:dyDescent="0.2">
      <c r="A7">
        <v>6</v>
      </c>
      <c r="B7">
        <v>752</v>
      </c>
      <c r="C7">
        <v>275</v>
      </c>
      <c r="D7">
        <v>0.29890308735307097</v>
      </c>
      <c r="E7">
        <v>5.1088566096544001</v>
      </c>
      <c r="F7">
        <v>0.65162941732608404</v>
      </c>
      <c r="G7">
        <v>-105.43559952321878</v>
      </c>
      <c r="H7">
        <v>-66.588133316769301</v>
      </c>
      <c r="I7">
        <v>37.896744535976602</v>
      </c>
      <c r="J7">
        <v>17.197795451513901</v>
      </c>
      <c r="K7">
        <v>7.8401258043540096</v>
      </c>
      <c r="L7">
        <v>1.1455124556463885E-3</v>
      </c>
      <c r="M7">
        <v>1.8339578432724268E-4</v>
      </c>
      <c r="N7" s="1">
        <v>6.0798353457858903E-6</v>
      </c>
      <c r="O7" s="1">
        <v>1.16675019493361E-6</v>
      </c>
      <c r="P7" s="1">
        <v>-4.3953909059502801E-6</v>
      </c>
    </row>
    <row r="8" spans="1:16" x14ac:dyDescent="0.2">
      <c r="A8">
        <v>7</v>
      </c>
      <c r="B8">
        <v>751</v>
      </c>
      <c r="C8">
        <v>275</v>
      </c>
      <c r="D8">
        <v>0.29815017331445698</v>
      </c>
      <c r="E8">
        <v>5.3273603348372003</v>
      </c>
      <c r="F8">
        <v>0.67151857523346103</v>
      </c>
      <c r="G8">
        <v>-109.02001424839284</v>
      </c>
      <c r="H8">
        <v>-69.708880311773569</v>
      </c>
      <c r="I8">
        <v>38.386488347779597</v>
      </c>
      <c r="J8">
        <v>17.488977687033699</v>
      </c>
      <c r="K8">
        <v>7.9333030109927698</v>
      </c>
      <c r="L8">
        <v>1.1344482035253337E-3</v>
      </c>
      <c r="M8">
        <v>1.8120499023104166E-4</v>
      </c>
      <c r="N8" s="1">
        <v>6.14224311169658E-6</v>
      </c>
      <c r="O8" s="1">
        <v>1.16587234429324E-6</v>
      </c>
      <c r="P8" s="1">
        <v>-4.4053177498620202E-6</v>
      </c>
    </row>
    <row r="9" spans="1:16" x14ac:dyDescent="0.2">
      <c r="A9">
        <v>8</v>
      </c>
      <c r="B9">
        <v>750</v>
      </c>
      <c r="C9">
        <v>275</v>
      </c>
      <c r="D9">
        <v>0.29739578751893703</v>
      </c>
      <c r="E9">
        <v>5.5448016649130496</v>
      </c>
      <c r="F9">
        <v>0.690861825086169</v>
      </c>
      <c r="G9">
        <v>-112.58574807621758</v>
      </c>
      <c r="H9">
        <v>-72.815133414154232</v>
      </c>
      <c r="I9">
        <v>38.873097176896501</v>
      </c>
      <c r="J9">
        <v>17.778702149585801</v>
      </c>
      <c r="K9">
        <v>8.0259198924784503</v>
      </c>
      <c r="L9">
        <v>1.1236903833695662E-3</v>
      </c>
      <c r="M9">
        <v>1.7907171850878878E-4</v>
      </c>
      <c r="N9" s="1">
        <v>6.2048412883987002E-6</v>
      </c>
      <c r="O9" s="1">
        <v>1.1649503635245901E-6</v>
      </c>
      <c r="P9" s="1">
        <v>-4.4151058525619402E-6</v>
      </c>
    </row>
    <row r="10" spans="1:16" x14ac:dyDescent="0.2">
      <c r="A10">
        <v>9</v>
      </c>
      <c r="B10">
        <v>749</v>
      </c>
      <c r="C10">
        <v>275</v>
      </c>
      <c r="D10">
        <v>0.29663992564692099</v>
      </c>
      <c r="E10">
        <v>5.7611892094896104</v>
      </c>
      <c r="F10">
        <v>0.70968251024400597</v>
      </c>
      <c r="G10">
        <v>-116.1329525244129</v>
      </c>
      <c r="H10">
        <v>-75.907010532417857</v>
      </c>
      <c r="I10">
        <v>39.356594703374299</v>
      </c>
      <c r="J10">
        <v>18.066979799058199</v>
      </c>
      <c r="K10">
        <v>8.1179811060987905</v>
      </c>
      <c r="L10">
        <v>1.1132257645650866E-3</v>
      </c>
      <c r="M10">
        <v>1.769935156166625E-4</v>
      </c>
      <c r="N10" s="1">
        <v>6.2676266486920802E-6</v>
      </c>
      <c r="O10" s="1">
        <v>1.16398467181314E-6</v>
      </c>
      <c r="P10" s="1">
        <v>-4.4247553102343802E-6</v>
      </c>
    </row>
    <row r="11" spans="1:16" x14ac:dyDescent="0.2">
      <c r="A11">
        <v>10</v>
      </c>
      <c r="B11">
        <v>748</v>
      </c>
      <c r="C11">
        <v>275</v>
      </c>
      <c r="D11">
        <v>0.29588258336189799</v>
      </c>
      <c r="E11">
        <v>5.9765314870927</v>
      </c>
      <c r="F11">
        <v>0.72800266151618898</v>
      </c>
      <c r="G11">
        <v>-119.66177750562338</v>
      </c>
      <c r="H11">
        <v>-78.984628328163666</v>
      </c>
      <c r="I11">
        <v>39.837004349265797</v>
      </c>
      <c r="J11">
        <v>18.353821471316099</v>
      </c>
      <c r="K11">
        <v>8.2094912601631993</v>
      </c>
      <c r="L11">
        <v>1.1030418602630862E-3</v>
      </c>
      <c r="M11">
        <v>1.7496806611688373E-4</v>
      </c>
      <c r="N11" s="1">
        <v>6.3305959409995396E-6</v>
      </c>
      <c r="O11" s="1">
        <v>1.16297568616007E-6</v>
      </c>
      <c r="P11" s="1">
        <v>-4.4342662186067002E-6</v>
      </c>
    </row>
    <row r="12" spans="1:16" x14ac:dyDescent="0.2">
      <c r="A12">
        <v>11</v>
      </c>
      <c r="B12">
        <v>747</v>
      </c>
      <c r="C12">
        <v>275</v>
      </c>
      <c r="D12">
        <v>0.29512375631034898</v>
      </c>
      <c r="E12">
        <v>6.1908369253593003</v>
      </c>
      <c r="F12">
        <v>0.74584308802583299</v>
      </c>
      <c r="G12">
        <v>-123.17237133265122</v>
      </c>
      <c r="H12">
        <v>-82.048102217969983</v>
      </c>
      <c r="I12">
        <v>40.3143492806444</v>
      </c>
      <c r="J12">
        <v>18.639237878898999</v>
      </c>
      <c r="K12">
        <v>8.3004549143785393</v>
      </c>
      <c r="L12">
        <v>1.0931268759035051E-3</v>
      </c>
      <c r="M12">
        <v>1.729931831163878E-4</v>
      </c>
      <c r="N12" s="1">
        <v>6.3937458897557399E-6</v>
      </c>
      <c r="O12" s="1">
        <v>1.1619238214457701E-6</v>
      </c>
      <c r="P12" s="1">
        <v>-4.4436386731948897E-6</v>
      </c>
    </row>
    <row r="13" spans="1:16" x14ac:dyDescent="0.2">
      <c r="A13">
        <v>12</v>
      </c>
      <c r="B13">
        <v>746</v>
      </c>
      <c r="C13">
        <v>275</v>
      </c>
      <c r="D13">
        <v>0.29436344012167098</v>
      </c>
      <c r="E13">
        <v>6.4041138642458399</v>
      </c>
      <c r="F13">
        <v>0.76322346088918103</v>
      </c>
      <c r="G13">
        <v>-126.66488077223784</v>
      </c>
      <c r="H13">
        <v>-85.097546418534719</v>
      </c>
      <c r="I13">
        <v>40.788652414828299</v>
      </c>
      <c r="J13">
        <v>18.9232396149403</v>
      </c>
      <c r="K13">
        <v>8.3908765812634094</v>
      </c>
      <c r="L13">
        <v>1.0834696617987702E-3</v>
      </c>
      <c r="M13">
        <v>1.7106679946416719E-4</v>
      </c>
      <c r="N13" s="1">
        <v>6.45707319566251E-6</v>
      </c>
      <c r="O13" s="1">
        <v>1.1608294904641499E-6</v>
      </c>
      <c r="P13" s="1">
        <v>-4.4528727694418098E-6</v>
      </c>
    </row>
    <row r="14" spans="1:16" x14ac:dyDescent="0.2">
      <c r="A14">
        <v>13</v>
      </c>
      <c r="B14">
        <v>745</v>
      </c>
      <c r="C14">
        <v>275</v>
      </c>
      <c r="D14">
        <v>0.29360163040809401</v>
      </c>
      <c r="E14">
        <v>6.61637055539987</v>
      </c>
      <c r="F14">
        <v>0.78016238980608599</v>
      </c>
      <c r="G14">
        <v>-130.13945103626997</v>
      </c>
      <c r="H14">
        <v>-88.133073937022814</v>
      </c>
      <c r="I14">
        <v>41.259936420001303</v>
      </c>
      <c r="J14">
        <v>19.205837152604399</v>
      </c>
      <c r="K14">
        <v>8.4807607260385893</v>
      </c>
      <c r="L14">
        <v>1.0740596697467997E-3</v>
      </c>
      <c r="M14">
        <v>1.6918695969122196E-4</v>
      </c>
      <c r="N14" s="1">
        <v>6.5205745359187999E-6</v>
      </c>
      <c r="O14" s="1">
        <v>1.1596931039527801E-6</v>
      </c>
      <c r="P14" s="1">
        <v>-4.4619686028401E-6</v>
      </c>
    </row>
    <row r="15" spans="1:16" x14ac:dyDescent="0.2">
      <c r="A15">
        <v>14</v>
      </c>
      <c r="B15">
        <v>744</v>
      </c>
      <c r="C15">
        <v>275</v>
      </c>
      <c r="D15">
        <v>0.29283832276459099</v>
      </c>
      <c r="E15">
        <v>6.8276151645620198</v>
      </c>
      <c r="F15">
        <v>0.79667749378869002</v>
      </c>
      <c r="G15">
        <v>-133.59622582221266</v>
      </c>
      <c r="H15">
        <v>-91.154796604755361</v>
      </c>
      <c r="I15">
        <v>41.728223720618502</v>
      </c>
      <c r="J15">
        <v>19.487040847978701</v>
      </c>
      <c r="K15">
        <v>8.5701117676771794</v>
      </c>
      <c r="L15">
        <v>1.0648869129546814E-3</v>
      </c>
      <c r="M15">
        <v>1.6735181256986569E-4</v>
      </c>
      <c r="N15" s="1">
        <v>6.5842465644364603E-6</v>
      </c>
      <c r="O15" s="1">
        <v>1.15851507061709E-6</v>
      </c>
      <c r="P15" s="1">
        <v>-4.4709262690346302E-6</v>
      </c>
    </row>
    <row r="16" spans="1:16" x14ac:dyDescent="0.2">
      <c r="A16">
        <v>15</v>
      </c>
      <c r="B16">
        <v>743</v>
      </c>
      <c r="C16">
        <v>275</v>
      </c>
      <c r="D16">
        <v>0.29207351276878402</v>
      </c>
      <c r="E16">
        <v>7.0378557716987897</v>
      </c>
      <c r="F16">
        <v>0.81278546611966096</v>
      </c>
      <c r="G16">
        <v>-137.03534731726756</v>
      </c>
      <c r="H16">
        <v>-94.162825078280321</v>
      </c>
      <c r="I16">
        <v>42.193536499246299</v>
      </c>
      <c r="J16">
        <v>19.766860940695398</v>
      </c>
      <c r="K16">
        <v>8.6589340792452791</v>
      </c>
      <c r="L16">
        <v>1.0559419292397985E-3</v>
      </c>
      <c r="M16">
        <v>1.6555960427808188E-4</v>
      </c>
      <c r="N16" s="1">
        <v>6.6480859122634201E-6</v>
      </c>
      <c r="O16" s="1">
        <v>1.1572957971895101E-6</v>
      </c>
      <c r="P16" s="1">
        <v>-4.4797458640611702E-6</v>
      </c>
    </row>
    <row r="17" spans="1:16" x14ac:dyDescent="0.2">
      <c r="A17">
        <v>16</v>
      </c>
      <c r="B17">
        <v>742</v>
      </c>
      <c r="C17">
        <v>275</v>
      </c>
      <c r="D17">
        <v>0.291307195980888</v>
      </c>
      <c r="E17">
        <v>7.2471003734459201</v>
      </c>
      <c r="F17">
        <v>0.82850213446368404</v>
      </c>
      <c r="G17">
        <v>-140.45695623915063</v>
      </c>
      <c r="H17">
        <v>-97.157268873757772</v>
      </c>
      <c r="I17">
        <v>42.655896701667203</v>
      </c>
      <c r="J17">
        <v>20.045307556723301</v>
      </c>
      <c r="K17">
        <v>8.7472319888918495</v>
      </c>
      <c r="L17">
        <v>1.0472157469684827E-3</v>
      </c>
      <c r="M17">
        <v>1.6380867207600611E-4</v>
      </c>
      <c r="N17" s="1">
        <v>6.7120891877276703E-6</v>
      </c>
      <c r="O17" s="1">
        <v>1.1560356884377601E-6</v>
      </c>
      <c r="P17" s="1">
        <v>-4.4884274843912304E-6</v>
      </c>
    </row>
    <row r="18" spans="1:16" x14ac:dyDescent="0.2">
      <c r="A18">
        <v>17</v>
      </c>
      <c r="B18">
        <v>741</v>
      </c>
      <c r="C18">
        <v>275</v>
      </c>
      <c r="D18">
        <v>0.29053936794360102</v>
      </c>
      <c r="E18">
        <v>12.338196565994</v>
      </c>
      <c r="F18">
        <v>1.1068339630055299</v>
      </c>
      <c r="G18">
        <v>-223.19087221644833</v>
      </c>
      <c r="H18">
        <v>-167.60108537928383</v>
      </c>
      <c r="I18">
        <v>54.816741997092798</v>
      </c>
      <c r="J18">
        <v>26.844400817564399</v>
      </c>
      <c r="K18">
        <v>11.1472876496222</v>
      </c>
      <c r="L18">
        <v>8.7999159672580288E-4</v>
      </c>
      <c r="M18">
        <v>1.370898347120772E-4</v>
      </c>
      <c r="N18" s="1">
        <v>7.18250717700637E-6</v>
      </c>
      <c r="O18" s="1">
        <v>1.2299093809914099E-6</v>
      </c>
      <c r="P18" s="1">
        <v>-4.7895549378289397E-6</v>
      </c>
    </row>
    <row r="19" spans="1:16" x14ac:dyDescent="0.2">
      <c r="A19">
        <v>18</v>
      </c>
      <c r="B19">
        <v>740</v>
      </c>
      <c r="C19">
        <v>275</v>
      </c>
      <c r="D19">
        <v>0.28977002418201098</v>
      </c>
      <c r="E19">
        <v>36.582198522370398</v>
      </c>
      <c r="F19">
        <v>1.60325685137341</v>
      </c>
      <c r="G19">
        <v>-619.99599352215023</v>
      </c>
      <c r="H19">
        <v>-504.30089114582159</v>
      </c>
      <c r="I19">
        <v>114.19691752802601</v>
      </c>
      <c r="J19">
        <v>59.919563091751002</v>
      </c>
      <c r="K19">
        <v>22.817428468203602</v>
      </c>
      <c r="L19">
        <v>5.8379024455368432E-4</v>
      </c>
      <c r="M19">
        <v>9.0143738069676835E-5</v>
      </c>
      <c r="N19" s="1">
        <v>9.4625512193854593E-6</v>
      </c>
      <c r="O19" s="1">
        <v>1.6441455240244299E-6</v>
      </c>
      <c r="P19" s="1">
        <v>-6.4210866412770699E-6</v>
      </c>
    </row>
    <row r="20" spans="1:16" x14ac:dyDescent="0.2">
      <c r="A20">
        <v>19</v>
      </c>
      <c r="B20">
        <v>739</v>
      </c>
      <c r="C20">
        <v>275</v>
      </c>
      <c r="D20">
        <v>0.28899916020352701</v>
      </c>
      <c r="E20">
        <v>51.696090748352802</v>
      </c>
      <c r="F20">
        <v>1.7181653248253399</v>
      </c>
      <c r="G20">
        <v>-867.29345649468803</v>
      </c>
      <c r="H20">
        <v>-714.2801253587038</v>
      </c>
      <c r="I20">
        <v>151.180550384817</v>
      </c>
      <c r="J20">
        <v>80.571201005280699</v>
      </c>
      <c r="K20">
        <v>30.087960687722401</v>
      </c>
      <c r="L20">
        <v>5.1550500186232559E-4</v>
      </c>
      <c r="M20">
        <v>7.9203586850201877E-5</v>
      </c>
      <c r="N20" s="1">
        <v>1.09192936369106E-5</v>
      </c>
      <c r="O20" s="1">
        <v>1.89904170988045E-6</v>
      </c>
      <c r="P20" s="1">
        <v>-7.4385531683752904E-6</v>
      </c>
    </row>
    <row r="21" spans="1:16" x14ac:dyDescent="0.2">
      <c r="A21">
        <v>20</v>
      </c>
      <c r="B21">
        <v>738</v>
      </c>
      <c r="C21">
        <v>275</v>
      </c>
      <c r="D21">
        <v>0.28822677149780002</v>
      </c>
      <c r="E21">
        <v>89.207631484398107</v>
      </c>
      <c r="F21">
        <v>1.8554231898737601</v>
      </c>
      <c r="G21">
        <v>-1477.534507030143</v>
      </c>
      <c r="H21">
        <v>-1231.825676145502</v>
      </c>
      <c r="I21">
        <v>243.004784523414</v>
      </c>
      <c r="J21">
        <v>131.77143511739399</v>
      </c>
      <c r="K21">
        <v>48.079398797676497</v>
      </c>
      <c r="L21">
        <v>4.3651851278672676E-4</v>
      </c>
      <c r="M21">
        <v>6.662500183492313E-5</v>
      </c>
      <c r="N21" s="1">
        <v>1.44862272983351E-5</v>
      </c>
      <c r="O21" s="1">
        <v>2.54120246645361E-6</v>
      </c>
      <c r="P21" s="1">
        <v>-9.9829876860361704E-6</v>
      </c>
    </row>
    <row r="22" spans="1:16" x14ac:dyDescent="0.2">
      <c r="A22">
        <v>21</v>
      </c>
      <c r="B22">
        <v>737</v>
      </c>
      <c r="C22">
        <v>275</v>
      </c>
      <c r="D22">
        <v>0.28745285353660599</v>
      </c>
      <c r="E22">
        <v>98.3353183816441</v>
      </c>
      <c r="F22">
        <v>1.8752582551135299</v>
      </c>
      <c r="G22">
        <v>-1625.876966839028</v>
      </c>
      <c r="H22">
        <v>-1357.9597195087586</v>
      </c>
      <c r="I22">
        <v>265.23094968121001</v>
      </c>
      <c r="J22">
        <v>144.275026483895</v>
      </c>
      <c r="K22">
        <v>52.438280494699498</v>
      </c>
      <c r="L22">
        <v>4.2543796692401706E-4</v>
      </c>
      <c r="M22">
        <v>6.4728495403787621E-5</v>
      </c>
      <c r="N22" s="1">
        <v>1.5415661755920698E-5</v>
      </c>
      <c r="O22" s="1">
        <v>2.68924151321505E-6</v>
      </c>
      <c r="P22" s="1">
        <v>-1.0596357787464599E-5</v>
      </c>
    </row>
    <row r="23" spans="1:16" x14ac:dyDescent="0.2">
      <c r="A23">
        <v>22</v>
      </c>
      <c r="B23">
        <v>736</v>
      </c>
      <c r="C23">
        <v>275</v>
      </c>
      <c r="D23">
        <v>0.28667740177377199</v>
      </c>
      <c r="E23">
        <v>101.57427677894999</v>
      </c>
      <c r="F23">
        <v>1.88206830756274</v>
      </c>
      <c r="G23">
        <v>-1678.3283006769072</v>
      </c>
      <c r="H23">
        <v>-1402.8210403124788</v>
      </c>
      <c r="I23">
        <v>273.015089263211</v>
      </c>
      <c r="J23">
        <v>148.742943832826</v>
      </c>
      <c r="K23">
        <v>53.969495352954198</v>
      </c>
      <c r="L23">
        <v>4.2186147308887108E-4</v>
      </c>
      <c r="M23">
        <v>6.4012890354593095E-5</v>
      </c>
      <c r="N23" s="1">
        <v>1.57959517319353E-5</v>
      </c>
      <c r="O23" s="1">
        <v>2.7348581266626298E-6</v>
      </c>
      <c r="P23" s="1">
        <v>-1.08086907802791E-5</v>
      </c>
    </row>
    <row r="24" spans="1:16" x14ac:dyDescent="0.2">
      <c r="A24">
        <v>23</v>
      </c>
      <c r="B24">
        <v>757</v>
      </c>
      <c r="C24">
        <v>250</v>
      </c>
      <c r="D24">
        <v>0.32934087268844398</v>
      </c>
      <c r="E24">
        <v>4.5176278982920897</v>
      </c>
      <c r="F24">
        <v>0.52549226320365605</v>
      </c>
      <c r="G24">
        <v>-98.103650336333061</v>
      </c>
      <c r="H24">
        <v>-57.44977000441979</v>
      </c>
      <c r="I24">
        <v>39.466549139456099</v>
      </c>
      <c r="J24">
        <v>17.611651266283701</v>
      </c>
      <c r="K24">
        <v>8.5969446452939895</v>
      </c>
      <c r="L24">
        <v>1.2950816462789501E-3</v>
      </c>
      <c r="M24">
        <v>2.2896420068120721E-4</v>
      </c>
      <c r="N24" s="1">
        <v>6.8115863827103397E-6</v>
      </c>
      <c r="O24" s="1">
        <v>1.82444814815493E-6</v>
      </c>
      <c r="P24" s="1">
        <v>-6.10253492595572E-6</v>
      </c>
    </row>
    <row r="25" spans="1:16" x14ac:dyDescent="0.2">
      <c r="A25">
        <v>24</v>
      </c>
      <c r="B25">
        <v>756</v>
      </c>
      <c r="C25">
        <v>250</v>
      </c>
      <c r="D25">
        <v>0.32862119224602798</v>
      </c>
      <c r="E25">
        <v>4.6017912697937096</v>
      </c>
      <c r="F25">
        <v>0.53345528569949896</v>
      </c>
      <c r="G25">
        <v>-99.464010555919458</v>
      </c>
      <c r="H25">
        <v>-58.662228532044217</v>
      </c>
      <c r="I25">
        <v>39.648613055933403</v>
      </c>
      <c r="J25">
        <v>17.731479065556002</v>
      </c>
      <c r="K25">
        <v>8.6263861154914903</v>
      </c>
      <c r="L25">
        <v>1.291284421761755E-3</v>
      </c>
      <c r="M25">
        <v>2.2772963317813983E-4</v>
      </c>
      <c r="N25" s="1">
        <v>6.8844157873138904E-6</v>
      </c>
      <c r="O25" s="1">
        <v>1.82024961459945E-6</v>
      </c>
      <c r="P25" s="1">
        <v>-6.1079804294649896E-6</v>
      </c>
    </row>
    <row r="26" spans="1:16" x14ac:dyDescent="0.2">
      <c r="A26">
        <v>25</v>
      </c>
      <c r="B26">
        <v>755</v>
      </c>
      <c r="C26">
        <v>250</v>
      </c>
      <c r="D26">
        <v>0.32790011185138401</v>
      </c>
      <c r="E26">
        <v>4.8178186495928896</v>
      </c>
      <c r="F26">
        <v>0.552685948733314</v>
      </c>
      <c r="G26">
        <v>-103.00878106362829</v>
      </c>
      <c r="H26">
        <v>-61.749475122874109</v>
      </c>
      <c r="I26">
        <v>40.132179614671699</v>
      </c>
      <c r="J26">
        <v>18.021273228538899</v>
      </c>
      <c r="K26">
        <v>8.7170999382827006</v>
      </c>
      <c r="L26">
        <v>1.2802247584111819E-3</v>
      </c>
      <c r="M26">
        <v>2.2522852786505427E-4</v>
      </c>
      <c r="N26" s="1">
        <v>6.9671554995549002E-6</v>
      </c>
      <c r="O26" s="1">
        <v>1.8185463372256899E-6</v>
      </c>
      <c r="P26" s="1">
        <v>-6.1218130202588996E-6</v>
      </c>
    </row>
    <row r="27" spans="1:16" x14ac:dyDescent="0.2">
      <c r="A27">
        <v>26</v>
      </c>
      <c r="B27">
        <v>754</v>
      </c>
      <c r="C27">
        <v>250</v>
      </c>
      <c r="D27">
        <v>0.32717762741566497</v>
      </c>
      <c r="E27">
        <v>5.03280579397026</v>
      </c>
      <c r="F27">
        <v>0.57143822686359902</v>
      </c>
      <c r="G27">
        <v>-106.53526045392451</v>
      </c>
      <c r="H27">
        <v>-64.822525011842103</v>
      </c>
      <c r="I27">
        <v>40.612701517182899</v>
      </c>
      <c r="J27">
        <v>18.3096587309299</v>
      </c>
      <c r="K27">
        <v>8.8072613230538792</v>
      </c>
      <c r="L27">
        <v>1.26944347713079E-3</v>
      </c>
      <c r="M27">
        <v>2.2278647242258146E-4</v>
      </c>
      <c r="N27" s="1">
        <v>7.0502491282224497E-6</v>
      </c>
      <c r="O27" s="1">
        <v>1.81678029339355E-6</v>
      </c>
      <c r="P27" s="1">
        <v>-6.1354746514747099E-6</v>
      </c>
    </row>
    <row r="28" spans="1:16" x14ac:dyDescent="0.2">
      <c r="A28">
        <v>27</v>
      </c>
      <c r="B28">
        <v>753</v>
      </c>
      <c r="C28">
        <v>250</v>
      </c>
      <c r="D28">
        <v>0.32645373483409301</v>
      </c>
      <c r="E28">
        <v>5.2467609739205301</v>
      </c>
      <c r="F28">
        <v>0.58973078302291904</v>
      </c>
      <c r="G28">
        <v>-110.04359455003225</v>
      </c>
      <c r="H28">
        <v>-67.881491461149096</v>
      </c>
      <c r="I28">
        <v>41.090201593793402</v>
      </c>
      <c r="J28">
        <v>18.5966460007931</v>
      </c>
      <c r="K28">
        <v>8.8968748536849294</v>
      </c>
      <c r="L28">
        <v>1.2589295593686059E-3</v>
      </c>
      <c r="M28">
        <v>2.204011665164546E-4</v>
      </c>
      <c r="N28" s="1">
        <v>7.1336923090340396E-6</v>
      </c>
      <c r="O28" s="1">
        <v>1.81495200505013E-6</v>
      </c>
      <c r="P28" s="1">
        <v>-6.1489650342432796E-6</v>
      </c>
    </row>
    <row r="29" spans="1:16" x14ac:dyDescent="0.2">
      <c r="A29">
        <v>28</v>
      </c>
      <c r="B29">
        <v>752</v>
      </c>
      <c r="C29">
        <v>250</v>
      </c>
      <c r="D29">
        <v>0.32572842998585799</v>
      </c>
      <c r="E29">
        <v>5.4596923728775897</v>
      </c>
      <c r="F29">
        <v>0.60758132085169103</v>
      </c>
      <c r="G29">
        <v>-113.53392763341768</v>
      </c>
      <c r="H29">
        <v>-70.926486532946598</v>
      </c>
      <c r="I29">
        <v>41.564702430582102</v>
      </c>
      <c r="J29">
        <v>18.882245347987499</v>
      </c>
      <c r="K29">
        <v>8.98594506694897</v>
      </c>
      <c r="L29">
        <v>1.2486725525860953E-3</v>
      </c>
      <c r="M29">
        <v>2.180704282483992E-4</v>
      </c>
      <c r="N29" s="1">
        <v>7.2174806236023104E-6</v>
      </c>
      <c r="O29" s="1">
        <v>1.8130619924867501E-6</v>
      </c>
      <c r="P29" s="1">
        <v>-6.1622838796432198E-6</v>
      </c>
    </row>
    <row r="30" spans="1:16" x14ac:dyDescent="0.2">
      <c r="A30">
        <v>29</v>
      </c>
      <c r="B30">
        <v>751</v>
      </c>
      <c r="C30">
        <v>250</v>
      </c>
      <c r="D30">
        <v>0.32500170873407402</v>
      </c>
      <c r="E30">
        <v>5.6716080886801601</v>
      </c>
      <c r="F30">
        <v>0.62500664557506302</v>
      </c>
      <c r="G30">
        <v>-117.00640247825531</v>
      </c>
      <c r="H30">
        <v>-73.957621116479558</v>
      </c>
      <c r="I30">
        <v>42.036226375339098</v>
      </c>
      <c r="J30">
        <v>19.166466967133601</v>
      </c>
      <c r="K30">
        <v>9.0744764537051594</v>
      </c>
      <c r="L30">
        <v>1.2386625343491697E-3</v>
      </c>
      <c r="M30">
        <v>2.1579218664170892E-4</v>
      </c>
      <c r="N30" s="1">
        <v>7.30160960002552E-6</v>
      </c>
      <c r="O30" s="1">
        <v>1.81111077446168E-6</v>
      </c>
      <c r="P30" s="1">
        <v>-6.1754308991886204E-6</v>
      </c>
    </row>
    <row r="31" spans="1:16" x14ac:dyDescent="0.2">
      <c r="A31">
        <v>30</v>
      </c>
      <c r="B31">
        <v>750</v>
      </c>
      <c r="C31">
        <v>250</v>
      </c>
      <c r="D31">
        <v>0.324273566925672</v>
      </c>
      <c r="E31">
        <v>5.8825161322279298</v>
      </c>
      <c r="F31">
        <v>0.64202272007891004</v>
      </c>
      <c r="G31">
        <v>-120.46116032948784</v>
      </c>
      <c r="H31">
        <v>-76.975004908638596</v>
      </c>
      <c r="I31">
        <v>42.504795533964597</v>
      </c>
      <c r="J31">
        <v>19.449320935510599</v>
      </c>
      <c r="K31">
        <v>9.1624734581120606</v>
      </c>
      <c r="L31">
        <v>1.2288900792639479E-3</v>
      </c>
      <c r="M31">
        <v>2.1356447471679351E-4</v>
      </c>
      <c r="N31" s="1">
        <v>7.3860747127843204E-6</v>
      </c>
      <c r="O31" s="1">
        <v>1.8090988681423499E-6</v>
      </c>
      <c r="P31" s="1">
        <v>-6.1884058047075497E-6</v>
      </c>
    </row>
    <row r="32" spans="1:16" x14ac:dyDescent="0.2">
      <c r="A32">
        <v>31</v>
      </c>
      <c r="B32">
        <v>749</v>
      </c>
      <c r="C32">
        <v>250</v>
      </c>
      <c r="D32">
        <v>0.32354400039133302</v>
      </c>
      <c r="E32">
        <v>6.0924244330471602</v>
      </c>
      <c r="F32">
        <v>0.65864471731728902</v>
      </c>
      <c r="G32">
        <v>-123.89834099726629</v>
      </c>
      <c r="H32">
        <v>-79.978746492200713</v>
      </c>
      <c r="I32">
        <v>42.970431785134799</v>
      </c>
      <c r="J32">
        <v>19.730817220870598</v>
      </c>
      <c r="K32">
        <v>9.2499404806009409</v>
      </c>
      <c r="L32">
        <v>1.219346228047752E-3</v>
      </c>
      <c r="M32">
        <v>2.1138542302538265E-4</v>
      </c>
      <c r="N32" s="1">
        <v>7.4708713837747302E-6</v>
      </c>
      <c r="O32" s="1">
        <v>1.8070267893225699E-6</v>
      </c>
      <c r="P32" s="1">
        <v>-6.20120830916145E-6</v>
      </c>
    </row>
    <row r="33" spans="1:16" x14ac:dyDescent="0.2">
      <c r="A33">
        <v>32</v>
      </c>
      <c r="B33">
        <v>748</v>
      </c>
      <c r="C33">
        <v>250</v>
      </c>
      <c r="D33">
        <v>0.32281300494540499</v>
      </c>
      <c r="E33">
        <v>6.3013408360188201</v>
      </c>
      <c r="F33">
        <v>0.674887068256802</v>
      </c>
      <c r="G33">
        <v>-127.31808280270978</v>
      </c>
      <c r="H33">
        <v>-82.96895328907847</v>
      </c>
      <c r="I33">
        <v>43.433156771854598</v>
      </c>
      <c r="J33">
        <v>20.010965676678101</v>
      </c>
      <c r="K33">
        <v>9.3368818760964807</v>
      </c>
      <c r="L33">
        <v>1.2100224592692986E-3</v>
      </c>
      <c r="M33">
        <v>2.0925325372825294E-4</v>
      </c>
      <c r="N33" s="1">
        <v>7.5559949819837903E-6</v>
      </c>
      <c r="O33" s="1">
        <v>1.8048950523017601E-6</v>
      </c>
      <c r="P33" s="1">
        <v>-6.21383812631434E-6</v>
      </c>
    </row>
    <row r="34" spans="1:16" x14ac:dyDescent="0.2">
      <c r="A34">
        <v>33</v>
      </c>
      <c r="B34">
        <v>747</v>
      </c>
      <c r="C34">
        <v>250</v>
      </c>
      <c r="D34">
        <v>0.32208057638582899</v>
      </c>
      <c r="E34">
        <v>6.50927310391915</v>
      </c>
      <c r="F34">
        <v>0.69076350674495401</v>
      </c>
      <c r="G34">
        <v>-130.72052262203516</v>
      </c>
      <c r="H34">
        <v>-85.945731595611846</v>
      </c>
      <c r="I34">
        <v>43.892991908966003</v>
      </c>
      <c r="J34">
        <v>20.2897760459254</v>
      </c>
      <c r="K34">
        <v>9.4233019555309596</v>
      </c>
      <c r="L34">
        <v>1.2009106628793813E-3</v>
      </c>
      <c r="M34">
        <v>2.0716627505739413E-4</v>
      </c>
      <c r="N34" s="1">
        <v>7.6414408242662895E-6</v>
      </c>
      <c r="O34" s="1">
        <v>1.8027041700291199E-6</v>
      </c>
      <c r="P34" s="1">
        <v>-6.2262949713105304E-6</v>
      </c>
    </row>
    <row r="35" spans="1:16" x14ac:dyDescent="0.2">
      <c r="A35">
        <v>34</v>
      </c>
      <c r="B35">
        <v>746</v>
      </c>
      <c r="C35">
        <v>250</v>
      </c>
      <c r="D35">
        <v>0.32134671049404001</v>
      </c>
      <c r="E35">
        <v>6.7162289207704404</v>
      </c>
      <c r="F35">
        <v>0.70628711124371601</v>
      </c>
      <c r="G35">
        <v>-134.10579594284798</v>
      </c>
      <c r="H35">
        <v>-88.909186629760214</v>
      </c>
      <c r="I35">
        <v>44.349958390956402</v>
      </c>
      <c r="J35">
        <v>20.567257965381401</v>
      </c>
      <c r="K35">
        <v>9.5092049873934297</v>
      </c>
      <c r="L35">
        <v>1.1920031155863385E-3</v>
      </c>
      <c r="M35">
        <v>2.0512287616613196E-4</v>
      </c>
      <c r="N35" s="1">
        <v>7.7272041758630308E-6</v>
      </c>
      <c r="O35" s="1">
        <v>1.8004546541723299E-6</v>
      </c>
      <c r="P35" s="1">
        <v>-6.2385785610004196E-6</v>
      </c>
    </row>
    <row r="36" spans="1:16" x14ac:dyDescent="0.2">
      <c r="A36">
        <v>35</v>
      </c>
      <c r="B36">
        <v>745</v>
      </c>
      <c r="C36">
        <v>250</v>
      </c>
      <c r="D36">
        <v>0.32061140303491598</v>
      </c>
      <c r="E36">
        <v>13.673544920777999</v>
      </c>
      <c r="F36">
        <v>1.0633559393729799</v>
      </c>
      <c r="G36">
        <v>-248.03461524143563</v>
      </c>
      <c r="H36">
        <v>-185.66246926048942</v>
      </c>
      <c r="I36">
        <v>61.263112210499003</v>
      </c>
      <c r="J36">
        <v>29.993386933520799</v>
      </c>
      <c r="K36">
        <v>12.8588597801416</v>
      </c>
      <c r="L36">
        <v>9.6486158370207779E-4</v>
      </c>
      <c r="M36">
        <v>1.6526217048868115E-4</v>
      </c>
      <c r="N36" s="1">
        <v>8.44509508663282E-6</v>
      </c>
      <c r="O36" s="1">
        <v>1.9571136271462799E-6</v>
      </c>
      <c r="P36" s="1">
        <v>-6.8030233708249302E-6</v>
      </c>
    </row>
    <row r="37" spans="1:16" x14ac:dyDescent="0.2">
      <c r="A37">
        <v>36</v>
      </c>
      <c r="B37">
        <v>744</v>
      </c>
      <c r="C37">
        <v>250</v>
      </c>
      <c r="D37">
        <v>0.31987464975667701</v>
      </c>
      <c r="E37">
        <v>37.87405536859</v>
      </c>
      <c r="F37">
        <v>1.5437650145313</v>
      </c>
      <c r="G37">
        <v>-644.12643183658838</v>
      </c>
      <c r="H37">
        <v>-521.94210104692934</v>
      </c>
      <c r="I37">
        <v>120.12786686984801</v>
      </c>
      <c r="J37">
        <v>62.776132307080303</v>
      </c>
      <c r="K37">
        <v>24.533562434752199</v>
      </c>
      <c r="L37">
        <v>6.5839889515342917E-4</v>
      </c>
      <c r="M37">
        <v>1.118709199798788E-4</v>
      </c>
      <c r="N37" s="1">
        <v>1.07871909182843E-5</v>
      </c>
      <c r="O37" s="1">
        <v>2.5147986509618301E-6</v>
      </c>
      <c r="P37" s="1">
        <v>-8.7689143579221693E-6</v>
      </c>
    </row>
    <row r="38" spans="1:16" x14ac:dyDescent="0.2">
      <c r="A38">
        <v>37</v>
      </c>
      <c r="B38">
        <v>743</v>
      </c>
      <c r="C38">
        <v>250</v>
      </c>
      <c r="D38">
        <v>0.31913644639078897</v>
      </c>
      <c r="E38">
        <v>52.435664229394902</v>
      </c>
      <c r="F38">
        <v>1.66209539874418</v>
      </c>
      <c r="G38">
        <v>-882.34370706188133</v>
      </c>
      <c r="H38">
        <v>-724.35051973181737</v>
      </c>
      <c r="I38">
        <v>155.486316333622</v>
      </c>
      <c r="J38">
        <v>82.520566092559903</v>
      </c>
      <c r="K38">
        <v>31.547926953539001</v>
      </c>
      <c r="L38">
        <v>5.8326044336256481E-4</v>
      </c>
      <c r="M38">
        <v>9.8632662495492967E-5</v>
      </c>
      <c r="N38" s="1">
        <v>1.2248650537781E-5</v>
      </c>
      <c r="O38" s="1">
        <v>2.8444553109233599E-6</v>
      </c>
      <c r="P38" s="1">
        <v>-9.9500058433451707E-6</v>
      </c>
    </row>
    <row r="39" spans="1:16" x14ac:dyDescent="0.2">
      <c r="A39">
        <v>38</v>
      </c>
      <c r="B39">
        <v>742</v>
      </c>
      <c r="C39">
        <v>250</v>
      </c>
      <c r="D39">
        <v>0.318396788651924</v>
      </c>
      <c r="E39">
        <v>89.276027595937606</v>
      </c>
      <c r="F39">
        <v>1.81328566486138</v>
      </c>
      <c r="G39">
        <v>-1481.388656478184</v>
      </c>
      <c r="H39">
        <v>-1232.7667819124354</v>
      </c>
      <c r="I39">
        <v>244.91689578739499</v>
      </c>
      <c r="J39">
        <v>132.37623779664901</v>
      </c>
      <c r="K39">
        <v>49.234397715686001</v>
      </c>
      <c r="L39">
        <v>4.898371838493521E-4</v>
      </c>
      <c r="M39">
        <v>8.2304863469765527E-5</v>
      </c>
      <c r="N39" s="1">
        <v>1.5855194375707499E-5</v>
      </c>
      <c r="O39" s="1">
        <v>3.69069384355979E-6</v>
      </c>
      <c r="P39" s="1">
        <v>-1.2950926711740301E-5</v>
      </c>
    </row>
    <row r="40" spans="1:16" x14ac:dyDescent="0.2">
      <c r="A40">
        <v>39</v>
      </c>
      <c r="B40">
        <v>741</v>
      </c>
      <c r="C40">
        <v>250</v>
      </c>
      <c r="D40">
        <v>0.31765567223783697</v>
      </c>
      <c r="E40">
        <v>98.278860056707401</v>
      </c>
      <c r="F40">
        <v>1.83587054235178</v>
      </c>
      <c r="G40">
        <v>-1627.6545578845567</v>
      </c>
      <c r="H40">
        <v>-1357.248478982538</v>
      </c>
      <c r="I40">
        <v>266.63896161830598</v>
      </c>
      <c r="J40">
        <v>144.59598711973601</v>
      </c>
      <c r="K40">
        <v>53.532565499313499</v>
      </c>
      <c r="L40">
        <v>4.7629141912557056E-4</v>
      </c>
      <c r="M40">
        <v>7.9769637227525644E-5</v>
      </c>
      <c r="N40" s="1">
        <v>1.6832131266992201E-5</v>
      </c>
      <c r="O40" s="1">
        <v>3.8853351456080102E-6</v>
      </c>
      <c r="P40" s="1">
        <v>-1.36777907298034E-5</v>
      </c>
    </row>
    <row r="41" spans="1:16" x14ac:dyDescent="0.2">
      <c r="A41">
        <v>40</v>
      </c>
      <c r="B41">
        <v>740</v>
      </c>
      <c r="C41">
        <v>250</v>
      </c>
      <c r="D41">
        <v>0.31691309282929903</v>
      </c>
      <c r="E41">
        <v>101.49588040168101</v>
      </c>
      <c r="F41">
        <v>1.84367977218412</v>
      </c>
      <c r="G41">
        <v>-1679.7312280325123</v>
      </c>
      <c r="H41">
        <v>-1401.8322713220305</v>
      </c>
      <c r="I41">
        <v>274.297875046733</v>
      </c>
      <c r="J41">
        <v>148.99122997150499</v>
      </c>
      <c r="K41">
        <v>55.050709962199001</v>
      </c>
      <c r="L41">
        <v>4.7190215552141607E-4</v>
      </c>
      <c r="M41">
        <v>7.8815257973657E-5</v>
      </c>
      <c r="N41" s="1">
        <v>1.72617384569508E-5</v>
      </c>
      <c r="O41" s="1">
        <v>3.9451987210213696E-6</v>
      </c>
      <c r="P41" s="1">
        <v>-1.39333483839671E-5</v>
      </c>
    </row>
    <row r="42" spans="1:16" x14ac:dyDescent="0.2">
      <c r="A42">
        <v>41</v>
      </c>
      <c r="B42">
        <v>757</v>
      </c>
      <c r="C42">
        <v>225</v>
      </c>
      <c r="D42">
        <v>0.35603601417269398</v>
      </c>
      <c r="E42">
        <v>4.9198077249041603</v>
      </c>
      <c r="F42">
        <v>0.49351610243928701</v>
      </c>
      <c r="G42">
        <v>-107.07861021739478</v>
      </c>
      <c r="H42">
        <v>-62.469908374432634</v>
      </c>
      <c r="I42">
        <v>43.305846002090099</v>
      </c>
      <c r="J42">
        <v>19.3722374566103</v>
      </c>
      <c r="K42">
        <v>9.9688899725605093</v>
      </c>
      <c r="L42">
        <v>1.4066547857104819E-3</v>
      </c>
      <c r="M42">
        <v>2.7568331144484353E-4</v>
      </c>
      <c r="N42" s="1">
        <v>7.4211001086049399E-6</v>
      </c>
      <c r="O42" s="1">
        <v>2.9283389015500699E-6</v>
      </c>
      <c r="P42" s="1">
        <v>-8.6496851596196E-6</v>
      </c>
    </row>
    <row r="43" spans="1:16" x14ac:dyDescent="0.2">
      <c r="A43">
        <v>42</v>
      </c>
      <c r="B43">
        <v>756</v>
      </c>
      <c r="C43">
        <v>225</v>
      </c>
      <c r="D43">
        <v>0.35534227274935698</v>
      </c>
      <c r="E43">
        <v>5.0240904088557299</v>
      </c>
      <c r="F43">
        <v>0.50215132797782502</v>
      </c>
      <c r="G43">
        <v>-108.76843759038958</v>
      </c>
      <c r="H43">
        <v>-63.971365172888945</v>
      </c>
      <c r="I43">
        <v>43.5309634922463</v>
      </c>
      <c r="J43">
        <v>19.520269318521901</v>
      </c>
      <c r="K43">
        <v>10.005132176166599</v>
      </c>
      <c r="L43">
        <v>1.4024271254388764E-3</v>
      </c>
      <c r="M43">
        <v>2.741404239007483E-4</v>
      </c>
      <c r="N43" s="1">
        <v>7.5258675660921797E-6</v>
      </c>
      <c r="O43" s="1">
        <v>2.9222441326577301E-6</v>
      </c>
      <c r="P43" s="1">
        <v>-8.6613561177594901E-6</v>
      </c>
    </row>
    <row r="44" spans="1:16" x14ac:dyDescent="0.2">
      <c r="A44">
        <v>43</v>
      </c>
      <c r="B44">
        <v>755</v>
      </c>
      <c r="C44">
        <v>225</v>
      </c>
      <c r="D44">
        <v>0.354647181831445</v>
      </c>
      <c r="E44">
        <v>5.23266122025891</v>
      </c>
      <c r="F44">
        <v>0.51859434046947805</v>
      </c>
      <c r="G44">
        <v>-112.18572604189592</v>
      </c>
      <c r="H44">
        <v>-66.956880994918833</v>
      </c>
      <c r="I44">
        <v>43.993259412445703</v>
      </c>
      <c r="J44">
        <v>19.8023101433275</v>
      </c>
      <c r="K44">
        <v>10.0900854712796</v>
      </c>
      <c r="L44">
        <v>1.3928063253501486E-3</v>
      </c>
      <c r="M44">
        <v>2.7155609386417397E-4</v>
      </c>
      <c r="N44" s="1">
        <v>7.6385247214245804E-6</v>
      </c>
      <c r="O44" s="1">
        <v>2.9189126333386701E-6</v>
      </c>
      <c r="P44" s="1">
        <v>-8.6812525530274993E-6</v>
      </c>
    </row>
    <row r="45" spans="1:16" x14ac:dyDescent="0.2">
      <c r="A45">
        <v>44</v>
      </c>
      <c r="B45">
        <v>754</v>
      </c>
      <c r="C45">
        <v>225</v>
      </c>
      <c r="D45">
        <v>0.35395073747748601</v>
      </c>
      <c r="E45">
        <v>5.44025590486934</v>
      </c>
      <c r="F45">
        <v>0.53469439118559403</v>
      </c>
      <c r="G45">
        <v>-115.58584526119802</v>
      </c>
      <c r="H45">
        <v>-69.92907636299573</v>
      </c>
      <c r="I45">
        <v>44.452708409019301</v>
      </c>
      <c r="J45">
        <v>20.0830458338942</v>
      </c>
      <c r="K45">
        <v>10.174514628452499</v>
      </c>
      <c r="L45">
        <v>1.3833895033388091E-3</v>
      </c>
      <c r="M45">
        <v>2.6902201820117673E-4</v>
      </c>
      <c r="N45" s="1">
        <v>7.7518322915628792E-6</v>
      </c>
      <c r="O45" s="1">
        <v>2.91549048485777E-6</v>
      </c>
      <c r="P45" s="1">
        <v>-8.7009419041967992E-6</v>
      </c>
    </row>
    <row r="46" spans="1:16" x14ac:dyDescent="0.2">
      <c r="A46">
        <v>45</v>
      </c>
      <c r="B46">
        <v>753</v>
      </c>
      <c r="C46">
        <v>225</v>
      </c>
      <c r="D46">
        <v>0.35325293573064698</v>
      </c>
      <c r="E46">
        <v>5.6468819887021597</v>
      </c>
      <c r="F46">
        <v>0.55046291908733702</v>
      </c>
      <c r="G46">
        <v>-118.96892816474816</v>
      </c>
      <c r="H46">
        <v>-72.888054332603531</v>
      </c>
      <c r="I46">
        <v>44.909331259098103</v>
      </c>
      <c r="J46">
        <v>20.362485660318601</v>
      </c>
      <c r="K46">
        <v>10.258423942642001</v>
      </c>
      <c r="L46">
        <v>1.3741696616143978E-3</v>
      </c>
      <c r="M46">
        <v>2.6653651908006035E-4</v>
      </c>
      <c r="N46" s="1">
        <v>7.8657847298724695E-6</v>
      </c>
      <c r="O46" s="1">
        <v>2.9119782778299899E-6</v>
      </c>
      <c r="P46" s="1">
        <v>-8.7204230493021693E-6</v>
      </c>
    </row>
    <row r="47" spans="1:16" x14ac:dyDescent="0.2">
      <c r="A47">
        <v>46</v>
      </c>
      <c r="B47">
        <v>752</v>
      </c>
      <c r="C47">
        <v>225</v>
      </c>
      <c r="D47">
        <v>0.35255377261864101</v>
      </c>
      <c r="E47">
        <v>5.85254692073452</v>
      </c>
      <c r="F47">
        <v>0.56591085909478001</v>
      </c>
      <c r="G47">
        <v>-122.33510631192239</v>
      </c>
      <c r="H47">
        <v>-75.833916902959118</v>
      </c>
      <c r="I47">
        <v>45.363148527450797</v>
      </c>
      <c r="J47">
        <v>20.640638788243098</v>
      </c>
      <c r="K47">
        <v>10.3418176673551</v>
      </c>
      <c r="L47">
        <v>1.3651401100101483E-3</v>
      </c>
      <c r="M47">
        <v>2.6409799285620917E-4</v>
      </c>
      <c r="N47" s="1">
        <v>7.9803763696350494E-6</v>
      </c>
      <c r="O47" s="1">
        <v>2.9083766028989798E-6</v>
      </c>
      <c r="P47" s="1">
        <v>-8.7396948633213694E-6</v>
      </c>
    </row>
    <row r="48" spans="1:16" x14ac:dyDescent="0.2">
      <c r="A48">
        <v>47</v>
      </c>
      <c r="B48">
        <v>751</v>
      </c>
      <c r="C48">
        <v>225</v>
      </c>
      <c r="D48">
        <v>0.35185324415369101</v>
      </c>
      <c r="E48">
        <v>6.05725807263536</v>
      </c>
      <c r="F48">
        <v>0.58104866943514</v>
      </c>
      <c r="G48">
        <v>-125.68450990098704</v>
      </c>
      <c r="H48">
        <v>-78.766765012819192</v>
      </c>
      <c r="I48">
        <v>45.814180565603102</v>
      </c>
      <c r="J48">
        <v>20.917514278278301</v>
      </c>
      <c r="K48">
        <v>10.4247000144133</v>
      </c>
      <c r="L48">
        <v>1.3562944493170472E-3</v>
      </c>
      <c r="M48">
        <v>2.6170490604813401E-4</v>
      </c>
      <c r="N48" s="1">
        <v>8.0956014237553203E-6</v>
      </c>
      <c r="O48" s="1">
        <v>2.9046860507341098E-6</v>
      </c>
      <c r="P48" s="1">
        <v>-8.7587562183314797E-6</v>
      </c>
    </row>
    <row r="49" spans="1:16" x14ac:dyDescent="0.2">
      <c r="A49">
        <v>48</v>
      </c>
      <c r="B49">
        <v>750</v>
      </c>
      <c r="C49">
        <v>225</v>
      </c>
      <c r="D49">
        <v>0.35115134633240402</v>
      </c>
      <c r="E49">
        <v>8.1350556825497495</v>
      </c>
      <c r="F49">
        <v>0.71090504902225604</v>
      </c>
      <c r="G49">
        <v>-160.10139103605152</v>
      </c>
      <c r="H49">
        <v>-107.96606648349162</v>
      </c>
      <c r="I49">
        <v>50.9585600136731</v>
      </c>
      <c r="J49">
        <v>23.793262862229799</v>
      </c>
      <c r="K49">
        <v>11.4432380157354</v>
      </c>
      <c r="L49">
        <v>1.2699467522429742E-3</v>
      </c>
      <c r="M49">
        <v>2.4425708349175431E-4</v>
      </c>
      <c r="N49" s="1">
        <v>8.3984308738880196E-6</v>
      </c>
      <c r="O49" s="1">
        <v>2.9742828086229698E-6</v>
      </c>
      <c r="P49" s="1">
        <v>-8.9995437632397201E-6</v>
      </c>
    </row>
    <row r="50" spans="1:16" x14ac:dyDescent="0.2">
      <c r="A50">
        <v>49</v>
      </c>
      <c r="B50">
        <v>749</v>
      </c>
      <c r="C50">
        <v>225</v>
      </c>
      <c r="D50">
        <v>0.350448075135744</v>
      </c>
      <c r="E50">
        <v>23.744160857891298</v>
      </c>
      <c r="F50">
        <v>1.24855324616416</v>
      </c>
      <c r="G50">
        <v>-415.87300429664748</v>
      </c>
      <c r="H50">
        <v>-325.13064082481299</v>
      </c>
      <c r="I50">
        <v>88.779340176780096</v>
      </c>
      <c r="J50">
        <v>44.836013516191201</v>
      </c>
      <c r="K50">
        <v>19.017339413308001</v>
      </c>
      <c r="L50">
        <v>9.034725948248041E-4</v>
      </c>
      <c r="M50">
        <v>1.7266092435261286E-4</v>
      </c>
      <c r="N50" s="1">
        <v>9.8759061596787001E-6</v>
      </c>
      <c r="O50" s="1">
        <v>3.48401857885544E-6</v>
      </c>
      <c r="P50" s="1">
        <v>-1.05778550899479E-5</v>
      </c>
    </row>
    <row r="51" spans="1:16" x14ac:dyDescent="0.2">
      <c r="A51">
        <v>50</v>
      </c>
      <c r="B51">
        <v>748</v>
      </c>
      <c r="C51">
        <v>225</v>
      </c>
      <c r="D51">
        <v>0.34974342652891699</v>
      </c>
      <c r="E51">
        <v>43.353229381988399</v>
      </c>
      <c r="F51">
        <v>1.5207470398265801</v>
      </c>
      <c r="G51">
        <v>-736.75819838927259</v>
      </c>
      <c r="H51">
        <v>-597.7601627725694</v>
      </c>
      <c r="I51">
        <v>136.123106119977</v>
      </c>
      <c r="J51">
        <v>71.212736042237395</v>
      </c>
      <c r="K51">
        <v>28.5078505804175</v>
      </c>
      <c r="L51">
        <v>7.1779173511094256E-4</v>
      </c>
      <c r="M51">
        <v>1.3635264026880934E-4</v>
      </c>
      <c r="N51" s="1">
        <v>1.1716737104869E-5</v>
      </c>
      <c r="O51" s="1">
        <v>4.11356819588597E-6</v>
      </c>
      <c r="P51" s="1">
        <v>-1.25319271946205E-5</v>
      </c>
    </row>
    <row r="52" spans="1:16" x14ac:dyDescent="0.2">
      <c r="A52">
        <v>51</v>
      </c>
      <c r="B52">
        <v>747</v>
      </c>
      <c r="C52">
        <v>225</v>
      </c>
      <c r="D52">
        <v>0.34903739646130499</v>
      </c>
      <c r="E52">
        <v>71.921038053197293</v>
      </c>
      <c r="F52">
        <v>1.7007375176683801</v>
      </c>
      <c r="G52">
        <v>-1202.0123090618417</v>
      </c>
      <c r="H52">
        <v>-992.89518765879086</v>
      </c>
      <c r="I52">
        <v>204.99154188424899</v>
      </c>
      <c r="J52">
        <v>109.580046323354</v>
      </c>
      <c r="K52">
        <v>42.288146939803603</v>
      </c>
      <c r="L52">
        <v>5.9698103925241936E-4</v>
      </c>
      <c r="M52">
        <v>1.127237831319383E-4</v>
      </c>
      <c r="N52" s="1">
        <v>1.4392284479016101E-5</v>
      </c>
      <c r="O52" s="1">
        <v>5.0313319995490901E-6</v>
      </c>
      <c r="P52" s="1">
        <v>-1.5380300172234201E-5</v>
      </c>
    </row>
    <row r="53" spans="1:16" x14ac:dyDescent="0.2">
      <c r="A53">
        <v>52</v>
      </c>
      <c r="B53">
        <v>746</v>
      </c>
      <c r="C53">
        <v>225</v>
      </c>
      <c r="D53">
        <v>0.34832998086640898</v>
      </c>
      <c r="E53">
        <v>92.142786778635895</v>
      </c>
      <c r="F53">
        <v>1.7716280155678901</v>
      </c>
      <c r="G53">
        <v>-1530.795622748793</v>
      </c>
      <c r="H53">
        <v>-1272.3223362305725</v>
      </c>
      <c r="I53">
        <v>253.62207779277699</v>
      </c>
      <c r="J53">
        <v>136.74386281250099</v>
      </c>
      <c r="K53">
        <v>52.010233507793998</v>
      </c>
      <c r="L53">
        <v>5.502047804727061E-4</v>
      </c>
      <c r="M53">
        <v>1.0343678162051145E-4</v>
      </c>
      <c r="N53" s="1">
        <v>1.6365302595042098E-5</v>
      </c>
      <c r="O53" s="1">
        <v>5.6701121967931802E-6</v>
      </c>
      <c r="P53" s="1">
        <v>-1.73926775672125E-5</v>
      </c>
    </row>
    <row r="54" spans="1:16" x14ac:dyDescent="0.2">
      <c r="A54">
        <v>53</v>
      </c>
      <c r="B54">
        <v>745</v>
      </c>
      <c r="C54">
        <v>225</v>
      </c>
      <c r="D54">
        <v>0.347621175661739</v>
      </c>
      <c r="E54">
        <v>99.023977691798393</v>
      </c>
      <c r="F54">
        <v>1.7908682368683799</v>
      </c>
      <c r="G54">
        <v>-1642.4984544380768</v>
      </c>
      <c r="H54">
        <v>-1367.5535886233417</v>
      </c>
      <c r="I54">
        <v>270.04934598104501</v>
      </c>
      <c r="J54">
        <v>146.01386212280701</v>
      </c>
      <c r="K54">
        <v>55.293837733677798</v>
      </c>
      <c r="L54">
        <v>5.37986053180061E-4</v>
      </c>
      <c r="M54">
        <v>1.0081975440206728E-4</v>
      </c>
      <c r="N54" s="1">
        <v>1.71628049555985E-5</v>
      </c>
      <c r="O54" s="1">
        <v>5.8723334351357497E-6</v>
      </c>
      <c r="P54" s="1">
        <v>-1.80753449797859E-5</v>
      </c>
    </row>
    <row r="55" spans="1:16" x14ac:dyDescent="0.2">
      <c r="A55">
        <v>54</v>
      </c>
      <c r="B55">
        <v>758</v>
      </c>
      <c r="C55">
        <v>200</v>
      </c>
      <c r="D55">
        <v>0.383397662803666</v>
      </c>
      <c r="E55">
        <v>5.3199170588405904</v>
      </c>
      <c r="F55">
        <v>0.45645257202433998</v>
      </c>
      <c r="G55">
        <v>-116.11385364861245</v>
      </c>
      <c r="H55">
        <v>-67.385302053390461</v>
      </c>
      <c r="I55">
        <v>47.259463684666002</v>
      </c>
      <c r="J55">
        <v>21.126298609486099</v>
      </c>
      <c r="K55">
        <v>11.6549174764139</v>
      </c>
      <c r="L55">
        <v>1.5329879985900398E-3</v>
      </c>
      <c r="M55">
        <v>3.4074884165332146E-4</v>
      </c>
      <c r="N55" s="1">
        <v>6.5775789199413998E-6</v>
      </c>
      <c r="O55" s="1">
        <v>4.9023998222455704E-6</v>
      </c>
      <c r="P55" s="1">
        <v>-1.23841967490542E-5</v>
      </c>
    </row>
    <row r="56" spans="1:16" x14ac:dyDescent="0.2">
      <c r="A56">
        <v>55</v>
      </c>
      <c r="B56">
        <v>757</v>
      </c>
      <c r="C56">
        <v>200</v>
      </c>
      <c r="D56">
        <v>0.38273115565694399</v>
      </c>
      <c r="E56">
        <v>5.32324587698972</v>
      </c>
      <c r="F56">
        <v>0.45732307475927197</v>
      </c>
      <c r="G56">
        <v>-116.12601875254045</v>
      </c>
      <c r="H56">
        <v>-67.452559856018539</v>
      </c>
      <c r="I56">
        <v>47.2518602197582</v>
      </c>
      <c r="J56">
        <v>21.1480212038568</v>
      </c>
      <c r="K56">
        <v>11.6400115602996</v>
      </c>
      <c r="L56">
        <v>1.5346450407298451E-3</v>
      </c>
      <c r="M56">
        <v>3.4017967502553755E-4</v>
      </c>
      <c r="N56" s="1">
        <v>6.7163728023689498E-6</v>
      </c>
      <c r="O56" s="1">
        <v>4.8889414354220396E-6</v>
      </c>
      <c r="P56" s="1">
        <v>-1.23959462116657E-5</v>
      </c>
    </row>
    <row r="57" spans="1:16" x14ac:dyDescent="0.2">
      <c r="A57">
        <v>56</v>
      </c>
      <c r="B57">
        <v>756</v>
      </c>
      <c r="C57">
        <v>200</v>
      </c>
      <c r="D57">
        <v>0.38206335325268598</v>
      </c>
      <c r="E57">
        <v>7.4648733857060998</v>
      </c>
      <c r="F57">
        <v>0.58801336669722704</v>
      </c>
      <c r="G57">
        <v>-151.61599660179419</v>
      </c>
      <c r="H57">
        <v>-97.56982688449294</v>
      </c>
      <c r="I57">
        <v>52.518378920716103</v>
      </c>
      <c r="J57">
        <v>24.089991830144299</v>
      </c>
      <c r="K57">
        <v>12.695074310359701</v>
      </c>
      <c r="L57">
        <v>1.4424022753369758E-3</v>
      </c>
      <c r="M57">
        <v>3.1869228395014468E-4</v>
      </c>
      <c r="N57" s="1">
        <v>7.0063569032134002E-6</v>
      </c>
      <c r="O57" s="1">
        <v>4.9947296067417703E-6</v>
      </c>
      <c r="P57" s="1">
        <v>-1.2711076441065901E-5</v>
      </c>
    </row>
    <row r="58" spans="1:16" x14ac:dyDescent="0.2">
      <c r="A58">
        <v>57</v>
      </c>
      <c r="B58">
        <v>755</v>
      </c>
      <c r="C58">
        <v>200</v>
      </c>
      <c r="D58">
        <v>0.38139425181150599</v>
      </c>
      <c r="E58">
        <v>10.014916999562599</v>
      </c>
      <c r="F58">
        <v>0.71775105444028797</v>
      </c>
      <c r="G58">
        <v>-193.83168866025557</v>
      </c>
      <c r="H58">
        <v>-133.39360269294926</v>
      </c>
      <c r="I58">
        <v>58.786456083145502</v>
      </c>
      <c r="J58">
        <v>27.5901477147012</v>
      </c>
      <c r="K58">
        <v>13.9531902288495</v>
      </c>
      <c r="L58">
        <v>1.3504883559467711E-3</v>
      </c>
      <c r="M58">
        <v>2.9738690681557013E-4</v>
      </c>
      <c r="N58" s="1">
        <v>7.3312217149660597E-6</v>
      </c>
      <c r="O58" s="1">
        <v>5.12189796502596E-6</v>
      </c>
      <c r="P58" s="1">
        <v>-1.3083035829457401E-5</v>
      </c>
    </row>
    <row r="59" spans="1:16" x14ac:dyDescent="0.2">
      <c r="A59">
        <v>58</v>
      </c>
      <c r="B59">
        <v>754</v>
      </c>
      <c r="C59">
        <v>200</v>
      </c>
      <c r="D59">
        <v>0.38072384753930699</v>
      </c>
      <c r="E59">
        <v>19.5764439653964</v>
      </c>
      <c r="F59">
        <v>1.0508503015054</v>
      </c>
      <c r="G59">
        <v>-350.70827450059534</v>
      </c>
      <c r="H59">
        <v>-266.62254820661769</v>
      </c>
      <c r="I59">
        <v>81.866556390644604</v>
      </c>
      <c r="J59">
        <v>40.4270477693847</v>
      </c>
      <c r="K59">
        <v>18.6291462612248</v>
      </c>
      <c r="L59">
        <v>1.1086538008718712E-3</v>
      </c>
      <c r="M59">
        <v>2.4297138617169141E-4</v>
      </c>
      <c r="N59" s="1">
        <v>8.1137986124113495E-6</v>
      </c>
      <c r="O59" s="1">
        <v>5.5813510178772103E-6</v>
      </c>
      <c r="P59" s="1">
        <v>-1.43093840495427E-5</v>
      </c>
    </row>
    <row r="60" spans="1:16" x14ac:dyDescent="0.2">
      <c r="A60">
        <v>59</v>
      </c>
      <c r="B60">
        <v>753</v>
      </c>
      <c r="C60">
        <v>200</v>
      </c>
      <c r="D60">
        <v>0.380052136627202</v>
      </c>
      <c r="E60">
        <v>40.164017882726597</v>
      </c>
      <c r="F60">
        <v>1.4013997346076299</v>
      </c>
      <c r="G60">
        <v>-687.65147946900004</v>
      </c>
      <c r="H60">
        <v>-552.95511624554956</v>
      </c>
      <c r="I60">
        <v>131.26783842276899</v>
      </c>
      <c r="J60">
        <v>67.909673591279102</v>
      </c>
      <c r="K60">
        <v>28.659929705189899</v>
      </c>
      <c r="L60">
        <v>8.5269786541249267E-4</v>
      </c>
      <c r="M60">
        <v>1.857382969817065E-4</v>
      </c>
      <c r="N60" s="1">
        <v>9.6330115529176995E-6</v>
      </c>
      <c r="O60" s="1">
        <v>6.5517531491046398E-6</v>
      </c>
      <c r="P60" s="1">
        <v>-1.68593222486419E-5</v>
      </c>
    </row>
    <row r="61" spans="1:16" x14ac:dyDescent="0.2">
      <c r="A61">
        <v>60</v>
      </c>
      <c r="B61">
        <v>752</v>
      </c>
      <c r="C61">
        <v>200</v>
      </c>
      <c r="D61">
        <v>0.37937911525142798</v>
      </c>
      <c r="E61">
        <v>53.284081990292499</v>
      </c>
      <c r="F61">
        <v>1.5208559124409999</v>
      </c>
      <c r="G61">
        <v>-902.24658981401842</v>
      </c>
      <c r="H61">
        <v>-735.48474371331986</v>
      </c>
      <c r="I61">
        <v>162.67509232188701</v>
      </c>
      <c r="J61">
        <v>85.4328069720939</v>
      </c>
      <c r="K61">
        <v>35.035588548799801</v>
      </c>
      <c r="L61">
        <v>7.6607627693583654E-4</v>
      </c>
      <c r="M61">
        <v>1.6613627512262981E-4</v>
      </c>
      <c r="N61" s="1">
        <v>1.06989416865534E-5</v>
      </c>
      <c r="O61" s="1">
        <v>7.1579265799187602E-6</v>
      </c>
      <c r="P61" s="1">
        <v>-1.8487550292107601E-5</v>
      </c>
    </row>
    <row r="62" spans="1:16" x14ac:dyDescent="0.2">
      <c r="A62">
        <v>61</v>
      </c>
      <c r="B62">
        <v>751</v>
      </c>
      <c r="C62">
        <v>200</v>
      </c>
      <c r="D62">
        <v>0.378704779573308</v>
      </c>
      <c r="E62">
        <v>86.645567264762406</v>
      </c>
      <c r="F62">
        <v>1.6925211816630901</v>
      </c>
      <c r="G62">
        <v>-1444.4055117796943</v>
      </c>
      <c r="H62">
        <v>-1196.1037281591773</v>
      </c>
      <c r="I62">
        <v>242.452095617163</v>
      </c>
      <c r="J62">
        <v>129.843991625282</v>
      </c>
      <c r="K62">
        <v>51.193195218758397</v>
      </c>
      <c r="L62">
        <v>6.4371154327263211E-4</v>
      </c>
      <c r="M62">
        <v>1.3878274182173075E-4</v>
      </c>
      <c r="N62" s="1">
        <v>1.31841273508804E-5</v>
      </c>
      <c r="O62" s="1">
        <v>8.7218688373879096E-6</v>
      </c>
      <c r="P62" s="1">
        <v>-2.2610347982334298E-5</v>
      </c>
    </row>
    <row r="63" spans="1:16" x14ac:dyDescent="0.2">
      <c r="A63">
        <v>62</v>
      </c>
      <c r="B63">
        <v>750</v>
      </c>
      <c r="C63">
        <v>200</v>
      </c>
      <c r="D63">
        <v>0.37802912573913899</v>
      </c>
      <c r="E63">
        <v>96.951561347814106</v>
      </c>
      <c r="F63">
        <v>1.7266216795059099</v>
      </c>
      <c r="G63">
        <v>-1611.8172502759903</v>
      </c>
      <c r="H63">
        <v>-1338.6877409418437</v>
      </c>
      <c r="I63">
        <v>266.95533225739501</v>
      </c>
      <c r="J63">
        <v>143.59218757093001</v>
      </c>
      <c r="K63">
        <v>56.151015881809897</v>
      </c>
      <c r="L63">
        <v>6.2013662944325173E-4</v>
      </c>
      <c r="M63">
        <v>1.3322863653408013E-4</v>
      </c>
      <c r="N63" s="1">
        <v>1.41404700741769E-5</v>
      </c>
      <c r="O63" s="1">
        <v>9.1808343654591108E-6</v>
      </c>
      <c r="P63" s="1">
        <v>-2.38889385758415E-5</v>
      </c>
    </row>
    <row r="64" spans="1:16" x14ac:dyDescent="0.2">
      <c r="A64">
        <v>63</v>
      </c>
      <c r="B64">
        <v>749</v>
      </c>
      <c r="C64">
        <v>200</v>
      </c>
      <c r="D64">
        <v>0.37735214988015597</v>
      </c>
      <c r="E64">
        <v>100.746886409713</v>
      </c>
      <c r="F64">
        <v>1.7384503602929799</v>
      </c>
      <c r="G64">
        <v>-1673.2834195003018</v>
      </c>
      <c r="H64">
        <v>-1391.305951563543</v>
      </c>
      <c r="I64">
        <v>275.87283683611099</v>
      </c>
      <c r="J64">
        <v>148.68211786454501</v>
      </c>
      <c r="K64">
        <v>57.952121447249297</v>
      </c>
      <c r="L64">
        <v>6.1253103513801504E-4</v>
      </c>
      <c r="M64">
        <v>1.3119455718135577E-4</v>
      </c>
      <c r="N64" s="1">
        <v>1.46623179911684E-5</v>
      </c>
      <c r="O64" s="1">
        <v>9.3304591316911407E-6</v>
      </c>
      <c r="P64" s="1">
        <v>-2.43690562474086E-5</v>
      </c>
    </row>
    <row r="65" spans="1:16" x14ac:dyDescent="0.2">
      <c r="A65">
        <v>64</v>
      </c>
      <c r="B65">
        <v>767</v>
      </c>
      <c r="C65">
        <v>175</v>
      </c>
      <c r="D65">
        <v>0.41577705138682203</v>
      </c>
      <c r="E65">
        <v>5.7231346124181899</v>
      </c>
      <c r="F65">
        <v>0.40854861540745302</v>
      </c>
      <c r="G65">
        <v>-125.7061461590592</v>
      </c>
      <c r="H65">
        <v>-72.073225009530759</v>
      </c>
      <c r="I65">
        <v>51.565828273416699</v>
      </c>
      <c r="J65">
        <v>22.677277503225099</v>
      </c>
      <c r="K65">
        <v>14.0084543101691</v>
      </c>
      <c r="L65">
        <v>1.6493854536155936E-3</v>
      </c>
      <c r="M65">
        <v>4.3702689054680907E-4</v>
      </c>
      <c r="N65" s="1">
        <v>1.08053414054883E-6</v>
      </c>
      <c r="O65" s="1">
        <v>8.7617433602060095E-6</v>
      </c>
      <c r="P65" s="1">
        <v>-1.7616852569473599E-5</v>
      </c>
    </row>
    <row r="66" spans="1:16" x14ac:dyDescent="0.2">
      <c r="A66">
        <v>65</v>
      </c>
      <c r="B66">
        <v>766</v>
      </c>
      <c r="C66">
        <v>175</v>
      </c>
      <c r="D66">
        <v>0.41514747630275201</v>
      </c>
      <c r="E66">
        <v>5.7970765725109397</v>
      </c>
      <c r="F66">
        <v>0.41333646608496499</v>
      </c>
      <c r="G66">
        <v>-126.88584593223385</v>
      </c>
      <c r="H66">
        <v>-73.126395982945354</v>
      </c>
      <c r="I66">
        <v>51.737216108740398</v>
      </c>
      <c r="J66">
        <v>22.802321802042599</v>
      </c>
      <c r="K66">
        <v>14.025078956666</v>
      </c>
      <c r="L66">
        <v>1.6489364208149536E-3</v>
      </c>
      <c r="M66">
        <v>4.3565940102639566E-4</v>
      </c>
      <c r="N66" s="1">
        <v>1.2475997042808599E-6</v>
      </c>
      <c r="O66" s="1">
        <v>8.7493964014928601E-6</v>
      </c>
      <c r="P66" s="1">
        <v>-1.76605939172674E-5</v>
      </c>
    </row>
    <row r="67" spans="1:16" x14ac:dyDescent="0.2">
      <c r="A67">
        <v>66</v>
      </c>
      <c r="B67">
        <v>765</v>
      </c>
      <c r="C67">
        <v>175</v>
      </c>
      <c r="D67">
        <v>0.41451668833983701</v>
      </c>
      <c r="E67">
        <v>6.2702347980155402</v>
      </c>
      <c r="F67">
        <v>0.43996031737050101</v>
      </c>
      <c r="G67">
        <v>-134.69871173519016</v>
      </c>
      <c r="H67">
        <v>-79.745791241232098</v>
      </c>
      <c r="I67">
        <v>52.936682494826002</v>
      </c>
      <c r="J67">
        <v>23.487078740402801</v>
      </c>
      <c r="K67">
        <v>14.251818971971501</v>
      </c>
      <c r="L67">
        <v>1.63202762593377E-3</v>
      </c>
      <c r="M67">
        <v>4.2989229559348493E-4</v>
      </c>
      <c r="N67" s="1">
        <v>1.4192300704954699E-6</v>
      </c>
      <c r="O67" s="1">
        <v>8.7774760920734703E-6</v>
      </c>
      <c r="P67" s="1">
        <v>-1.7786466219854601E-5</v>
      </c>
    </row>
    <row r="68" spans="1:16" x14ac:dyDescent="0.2">
      <c r="A68">
        <v>67</v>
      </c>
      <c r="B68">
        <v>764</v>
      </c>
      <c r="C68">
        <v>175</v>
      </c>
      <c r="D68">
        <v>0.41388468398978101</v>
      </c>
      <c r="E68">
        <v>6.7453540576102604</v>
      </c>
      <c r="F68">
        <v>0.46586283067157502</v>
      </c>
      <c r="G68">
        <v>-142.53934324950893</v>
      </c>
      <c r="H68">
        <v>-86.391864287220969</v>
      </c>
      <c r="I68">
        <v>54.139510876391597</v>
      </c>
      <c r="J68">
        <v>24.174872685462098</v>
      </c>
      <c r="K68">
        <v>14.4792707499036</v>
      </c>
      <c r="L68">
        <v>1.6155769442365688E-3</v>
      </c>
      <c r="M68">
        <v>4.2427433674510531E-4</v>
      </c>
      <c r="N68" s="1">
        <v>1.5942034826277701E-6</v>
      </c>
      <c r="O68" s="1">
        <v>8.8053424502508105E-6</v>
      </c>
      <c r="P68" s="1">
        <v>-1.79127742839841E-5</v>
      </c>
    </row>
    <row r="69" spans="1:16" x14ac:dyDescent="0.2">
      <c r="A69">
        <v>68</v>
      </c>
      <c r="B69">
        <v>763</v>
      </c>
      <c r="C69">
        <v>175</v>
      </c>
      <c r="D69">
        <v>0.41325145973073701</v>
      </c>
      <c r="E69">
        <v>7.2222490047071402</v>
      </c>
      <c r="F69">
        <v>0.49106474839261899</v>
      </c>
      <c r="G69">
        <v>-150.40455414140985</v>
      </c>
      <c r="H69">
        <v>-93.061992097148746</v>
      </c>
      <c r="I69">
        <v>55.345167321021599</v>
      </c>
      <c r="J69">
        <v>24.865435361725101</v>
      </c>
      <c r="K69">
        <v>14.7073253137135</v>
      </c>
      <c r="L69">
        <v>1.5995720799354318E-3</v>
      </c>
      <c r="M69">
        <v>4.1880118555694487E-4</v>
      </c>
      <c r="N69" s="1">
        <v>1.77254316419446E-6</v>
      </c>
      <c r="O69" s="1">
        <v>8.8329662301072103E-6</v>
      </c>
      <c r="P69" s="1">
        <v>-1.8039459506346501E-5</v>
      </c>
    </row>
    <row r="70" spans="1:16" x14ac:dyDescent="0.2">
      <c r="A70">
        <v>69</v>
      </c>
      <c r="B70">
        <v>762</v>
      </c>
      <c r="C70">
        <v>175</v>
      </c>
      <c r="D70">
        <v>0.41261701202724399</v>
      </c>
      <c r="E70">
        <v>8.8744297614727703</v>
      </c>
      <c r="F70">
        <v>0.57164011202516996</v>
      </c>
      <c r="G70">
        <v>-177.75388444687121</v>
      </c>
      <c r="H70">
        <v>-116.27752107033407</v>
      </c>
      <c r="I70">
        <v>59.392117978756602</v>
      </c>
      <c r="J70">
        <v>27.130659674653401</v>
      </c>
      <c r="K70">
        <v>15.524504972250799</v>
      </c>
      <c r="L70">
        <v>1.5407964109045683E-3</v>
      </c>
      <c r="M70">
        <v>4.0212128915609606E-4</v>
      </c>
      <c r="N70" s="1">
        <v>1.9690266380892501E-6</v>
      </c>
      <c r="O70" s="1">
        <v>8.9558244319208299E-6</v>
      </c>
      <c r="P70" s="1">
        <v>-1.83622529301574E-5</v>
      </c>
    </row>
    <row r="71" spans="1:16" x14ac:dyDescent="0.2">
      <c r="A71">
        <v>70</v>
      </c>
      <c r="B71">
        <v>761</v>
      </c>
      <c r="C71">
        <v>175</v>
      </c>
      <c r="D71">
        <v>0.411981337330175</v>
      </c>
      <c r="E71">
        <v>11.4407208156835</v>
      </c>
      <c r="F71">
        <v>0.68104924259433097</v>
      </c>
      <c r="G71">
        <v>-220.21498238434361</v>
      </c>
      <c r="H71">
        <v>-152.33193938847759</v>
      </c>
      <c r="I71">
        <v>65.644744785009607</v>
      </c>
      <c r="J71">
        <v>30.620454630746</v>
      </c>
      <c r="K71">
        <v>16.798669024433899</v>
      </c>
      <c r="L71">
        <v>1.4594224941972247E-3</v>
      </c>
      <c r="M71">
        <v>3.7961342629003848E-4</v>
      </c>
      <c r="N71" s="1">
        <v>2.1849652564585299E-6</v>
      </c>
      <c r="O71" s="1">
        <v>9.1512256032603207E-6</v>
      </c>
      <c r="P71" s="1">
        <v>-1.8836765395726E-5</v>
      </c>
    </row>
    <row r="72" spans="1:16" x14ac:dyDescent="0.2">
      <c r="A72">
        <v>71</v>
      </c>
      <c r="B72">
        <v>760</v>
      </c>
      <c r="C72">
        <v>175</v>
      </c>
      <c r="D72">
        <v>0.41134443207665999</v>
      </c>
      <c r="E72">
        <v>14.367730608901701</v>
      </c>
      <c r="F72">
        <v>0.78723447912661104</v>
      </c>
      <c r="G72">
        <v>-268.56709745457562</v>
      </c>
      <c r="H72">
        <v>-193.39882397652738</v>
      </c>
      <c r="I72">
        <v>72.759846941386598</v>
      </c>
      <c r="J72">
        <v>34.591397559099597</v>
      </c>
      <c r="K72">
        <v>18.250890922412101</v>
      </c>
      <c r="L72">
        <v>1.3800834862719865E-3</v>
      </c>
      <c r="M72">
        <v>3.5775881899288958E-4</v>
      </c>
      <c r="N72" s="1">
        <v>2.4156203782880101E-6</v>
      </c>
      <c r="O72" s="1">
        <v>9.3725643354172092E-6</v>
      </c>
      <c r="P72" s="1">
        <v>-1.9368487208358301E-5</v>
      </c>
    </row>
    <row r="73" spans="1:16" x14ac:dyDescent="0.2">
      <c r="A73">
        <v>72</v>
      </c>
      <c r="B73">
        <v>759</v>
      </c>
      <c r="C73">
        <v>175</v>
      </c>
      <c r="D73">
        <v>0.41070629269001901</v>
      </c>
      <c r="E73">
        <v>33.108759817106701</v>
      </c>
      <c r="F73">
        <v>1.20472303997244</v>
      </c>
      <c r="G73">
        <v>-575.4542366352091</v>
      </c>
      <c r="H73">
        <v>-454.17577685343639</v>
      </c>
      <c r="I73">
        <v>117.50477116857699</v>
      </c>
      <c r="J73">
        <v>59.416650910231802</v>
      </c>
      <c r="K73">
        <v>27.482465860255999</v>
      </c>
      <c r="L73">
        <v>1.0566235394109732E-3</v>
      </c>
      <c r="M73">
        <v>2.7233199935415477E-4</v>
      </c>
      <c r="N73" s="1">
        <v>2.9123882135898799E-6</v>
      </c>
      <c r="O73" s="1">
        <v>1.07338802150916E-5</v>
      </c>
      <c r="P73" s="1">
        <v>-2.2269046675808099E-5</v>
      </c>
    </row>
    <row r="74" spans="1:16" x14ac:dyDescent="0.2">
      <c r="A74">
        <v>73</v>
      </c>
      <c r="B74">
        <v>758</v>
      </c>
      <c r="C74">
        <v>175</v>
      </c>
      <c r="D74">
        <v>0.41006691557969399</v>
      </c>
      <c r="E74">
        <v>47.967647219111001</v>
      </c>
      <c r="F74">
        <v>1.37917717250492</v>
      </c>
      <c r="G74">
        <v>-818.57193277214174</v>
      </c>
      <c r="H74">
        <v>-660.9319848852175</v>
      </c>
      <c r="I74">
        <v>152.882173387031</v>
      </c>
      <c r="J74">
        <v>79.090354336342898</v>
      </c>
      <c r="K74">
        <v>34.779902231117902</v>
      </c>
      <c r="L74">
        <v>9.2210927761360122E-4</v>
      </c>
      <c r="M74">
        <v>2.3655390714852313E-4</v>
      </c>
      <c r="N74" s="1">
        <v>3.3945770575355901E-6</v>
      </c>
      <c r="O74" s="1">
        <v>1.17951429569872E-5</v>
      </c>
      <c r="P74" s="1">
        <v>-2.4567573001007699E-5</v>
      </c>
    </row>
    <row r="75" spans="1:16" x14ac:dyDescent="0.2">
      <c r="A75">
        <v>74</v>
      </c>
      <c r="B75">
        <v>757</v>
      </c>
      <c r="C75">
        <v>175</v>
      </c>
      <c r="D75">
        <v>0.40942629714119499</v>
      </c>
      <c r="E75">
        <v>76.244581269662007</v>
      </c>
      <c r="F75">
        <v>1.5681486357046299</v>
      </c>
      <c r="G75">
        <v>-1278.6006242164185</v>
      </c>
      <c r="H75">
        <v>-1051.8859905868949</v>
      </c>
      <c r="I75">
        <v>220.08438358548199</v>
      </c>
      <c r="J75">
        <v>116.41624680160599</v>
      </c>
      <c r="K75">
        <v>48.620761791118298</v>
      </c>
      <c r="L75">
        <v>7.7806581366981803E-4</v>
      </c>
      <c r="M75">
        <v>1.9850685864007962E-4</v>
      </c>
      <c r="N75" s="1">
        <v>4.1779853436924396E-6</v>
      </c>
      <c r="O75" s="1">
        <v>1.3826384067378E-5</v>
      </c>
      <c r="P75" s="1">
        <v>-2.8912327792887601E-5</v>
      </c>
    </row>
    <row r="76" spans="1:16" x14ac:dyDescent="0.2">
      <c r="A76">
        <v>75</v>
      </c>
      <c r="B76">
        <v>756</v>
      </c>
      <c r="C76">
        <v>175</v>
      </c>
      <c r="D76">
        <v>0.40878443375601398</v>
      </c>
      <c r="E76">
        <v>91.200503991691505</v>
      </c>
      <c r="F76">
        <v>1.6313689341089801</v>
      </c>
      <c r="G76">
        <v>-1521.6376428951894</v>
      </c>
      <c r="H76">
        <v>-1258.6986826558787</v>
      </c>
      <c r="I76">
        <v>255.49693401321099</v>
      </c>
      <c r="J76">
        <v>136.169816204189</v>
      </c>
      <c r="K76">
        <v>55.904278967714497</v>
      </c>
      <c r="L76">
        <v>7.3088016738560076E-4</v>
      </c>
      <c r="M76">
        <v>1.857283004192742E-4</v>
      </c>
      <c r="N76" s="1">
        <v>4.7693096142917602E-6</v>
      </c>
      <c r="O76" s="1">
        <v>1.4873835818286899E-5</v>
      </c>
      <c r="P76" s="1">
        <v>-3.1226307051787901E-5</v>
      </c>
    </row>
    <row r="77" spans="1:16" x14ac:dyDescent="0.2">
      <c r="A77">
        <v>76</v>
      </c>
      <c r="B77">
        <v>755</v>
      </c>
      <c r="C77">
        <v>175</v>
      </c>
      <c r="D77">
        <v>0.40814132179156798</v>
      </c>
      <c r="E77">
        <v>98.136753302390503</v>
      </c>
      <c r="F77">
        <v>1.6562442442818499</v>
      </c>
      <c r="G77">
        <v>-1634.2036163309597</v>
      </c>
      <c r="H77">
        <v>-1354.743312474754</v>
      </c>
      <c r="I77">
        <v>271.81462327995501</v>
      </c>
      <c r="J77">
        <v>145.35447935900601</v>
      </c>
      <c r="K77">
        <v>59.2525852640427</v>
      </c>
      <c r="L77">
        <v>7.1312715246442545E-4</v>
      </c>
      <c r="M77">
        <v>1.8061101891481905E-4</v>
      </c>
      <c r="N77" s="1">
        <v>5.2289216591638898E-6</v>
      </c>
      <c r="O77" s="1">
        <v>1.5334633437072E-5</v>
      </c>
      <c r="P77" s="1">
        <v>-3.2322100342282402E-5</v>
      </c>
    </row>
    <row r="78" spans="1:16" x14ac:dyDescent="0.2">
      <c r="A78">
        <v>77</v>
      </c>
      <c r="B78">
        <v>754</v>
      </c>
      <c r="C78">
        <v>175</v>
      </c>
      <c r="D78">
        <v>0.40749695760112897</v>
      </c>
      <c r="E78">
        <v>101.206140894615</v>
      </c>
      <c r="F78">
        <v>1.6670897530950901</v>
      </c>
      <c r="G78">
        <v>-1683.849957112059</v>
      </c>
      <c r="H78">
        <v>-1397.3404744441682</v>
      </c>
      <c r="I78">
        <v>278.94218788721702</v>
      </c>
      <c r="J78">
        <v>149.44507824778199</v>
      </c>
      <c r="K78">
        <v>60.708273628769597</v>
      </c>
      <c r="L78">
        <v>7.0611303916347451E-4</v>
      </c>
      <c r="M78">
        <v>1.7828250770982789E-4</v>
      </c>
      <c r="N78" s="1">
        <v>5.6204544831030204E-6</v>
      </c>
      <c r="O78" s="1">
        <v>1.5515105379805501E-5</v>
      </c>
      <c r="P78" s="1">
        <v>-3.2833238892998301E-5</v>
      </c>
    </row>
    <row r="79" spans="1:16" x14ac:dyDescent="0.2">
      <c r="A79">
        <v>78</v>
      </c>
      <c r="B79">
        <v>777</v>
      </c>
      <c r="C79">
        <v>150</v>
      </c>
      <c r="D79">
        <v>0.44819359139171</v>
      </c>
      <c r="E79">
        <v>6.1488680678734298</v>
      </c>
      <c r="F79">
        <v>0.35438568187631497</v>
      </c>
      <c r="G79">
        <v>-136.01885588300269</v>
      </c>
      <c r="H79">
        <v>-76.879382774617895</v>
      </c>
      <c r="I79">
        <v>56.318613405967703</v>
      </c>
      <c r="J79">
        <v>24.0110088350952</v>
      </c>
      <c r="K79">
        <v>17.350780187613299</v>
      </c>
      <c r="L79">
        <v>1.7413067193394396E-3</v>
      </c>
      <c r="M79">
        <v>5.7244470538355817E-4</v>
      </c>
      <c r="N79" s="1">
        <v>-1.0845814237266201E-5</v>
      </c>
      <c r="O79" s="1">
        <v>1.6445699504446401E-5</v>
      </c>
      <c r="P79" s="1">
        <v>-2.4749129542101899E-5</v>
      </c>
    </row>
    <row r="80" spans="1:16" x14ac:dyDescent="0.2">
      <c r="A80">
        <v>79</v>
      </c>
      <c r="B80">
        <v>776</v>
      </c>
      <c r="C80">
        <v>150</v>
      </c>
      <c r="D80">
        <v>0.447600915026452</v>
      </c>
      <c r="E80">
        <v>6.5866986696046901</v>
      </c>
      <c r="F80">
        <v>0.37518862700660499</v>
      </c>
      <c r="G80">
        <v>-143.24175605289309</v>
      </c>
      <c r="H80">
        <v>-83.008699786453704</v>
      </c>
      <c r="I80">
        <v>57.414659681950802</v>
      </c>
      <c r="J80">
        <v>24.640565957658598</v>
      </c>
      <c r="K80">
        <v>17.555699174987801</v>
      </c>
      <c r="L80">
        <v>1.7293040886778011E-3</v>
      </c>
      <c r="M80">
        <v>5.6680265798376333E-4</v>
      </c>
      <c r="N80" s="1">
        <v>-1.07535803406072E-5</v>
      </c>
      <c r="O80" s="1">
        <v>1.6488334359693499E-5</v>
      </c>
      <c r="P80" s="1">
        <v>-2.49100109451515E-5</v>
      </c>
    </row>
    <row r="81" spans="1:16" x14ac:dyDescent="0.2">
      <c r="A81">
        <v>80</v>
      </c>
      <c r="B81">
        <v>775</v>
      </c>
      <c r="C81">
        <v>150</v>
      </c>
      <c r="D81">
        <v>0.44700710776129698</v>
      </c>
      <c r="E81">
        <v>7.0355222893526497</v>
      </c>
      <c r="F81">
        <v>0.39600591829116999</v>
      </c>
      <c r="G81">
        <v>-150.64322550240158</v>
      </c>
      <c r="H81">
        <v>-89.290830286513838</v>
      </c>
      <c r="I81">
        <v>58.537370310037403</v>
      </c>
      <c r="J81">
        <v>25.2856013255082</v>
      </c>
      <c r="K81">
        <v>17.766204908532799</v>
      </c>
      <c r="L81">
        <v>1.7172156792290203E-3</v>
      </c>
      <c r="M81">
        <v>5.6115603323725653E-4</v>
      </c>
      <c r="N81" s="1">
        <v>-1.0658883597374E-5</v>
      </c>
      <c r="O81" s="1">
        <v>1.65322777226072E-5</v>
      </c>
      <c r="P81" s="1">
        <v>-2.50740897981865E-5</v>
      </c>
    </row>
    <row r="82" spans="1:16" x14ac:dyDescent="0.2">
      <c r="A82">
        <v>81</v>
      </c>
      <c r="B82">
        <v>774</v>
      </c>
      <c r="C82">
        <v>150</v>
      </c>
      <c r="D82">
        <v>0.44641216635630598</v>
      </c>
      <c r="E82">
        <v>7.4856190874262101</v>
      </c>
      <c r="F82">
        <v>0.41639830250342202</v>
      </c>
      <c r="G82">
        <v>-158.06154882828972</v>
      </c>
      <c r="H82">
        <v>-95.590208925846014</v>
      </c>
      <c r="I82">
        <v>59.661848761091797</v>
      </c>
      <c r="J82">
        <v>25.9327079174986</v>
      </c>
      <c r="K82">
        <v>17.977064369431901</v>
      </c>
      <c r="L82">
        <v>1.7053836986726861E-3</v>
      </c>
      <c r="M82">
        <v>5.5561825873367979E-4</v>
      </c>
      <c r="N82" s="1">
        <v>-1.05605542911014E-5</v>
      </c>
      <c r="O82" s="1">
        <v>1.6575940767743099E-5</v>
      </c>
      <c r="P82" s="1">
        <v>-2.5238981760105701E-5</v>
      </c>
    </row>
    <row r="83" spans="1:16" x14ac:dyDescent="0.2">
      <c r="A83">
        <v>82</v>
      </c>
      <c r="B83">
        <v>773</v>
      </c>
      <c r="C83">
        <v>150</v>
      </c>
      <c r="D83">
        <v>0.44581608755914398</v>
      </c>
      <c r="E83">
        <v>7.9368215260066899</v>
      </c>
      <c r="F83">
        <v>0.43637252758657002</v>
      </c>
      <c r="G83">
        <v>-165.49387241255178</v>
      </c>
      <c r="H83">
        <v>-101.90447598544357</v>
      </c>
      <c r="I83">
        <v>60.787627986198103</v>
      </c>
      <c r="J83">
        <v>26.581649921634501</v>
      </c>
      <c r="K83">
        <v>18.1881787332089</v>
      </c>
      <c r="L83">
        <v>1.693805128962987E-3</v>
      </c>
      <c r="M83">
        <v>5.50187600806065E-4</v>
      </c>
      <c r="N83" s="1">
        <v>-1.04585111185493E-5</v>
      </c>
      <c r="O83" s="1">
        <v>1.6619284533724701E-5</v>
      </c>
      <c r="P83" s="1">
        <v>-2.5404633652001501E-5</v>
      </c>
    </row>
    <row r="84" spans="1:16" x14ac:dyDescent="0.2">
      <c r="A84">
        <v>83</v>
      </c>
      <c r="B84">
        <v>772</v>
      </c>
      <c r="C84">
        <v>150</v>
      </c>
      <c r="D84">
        <v>0.44521886810505501</v>
      </c>
      <c r="E84">
        <v>8.3889667250002002</v>
      </c>
      <c r="F84">
        <v>0.455935684651051</v>
      </c>
      <c r="G84">
        <v>-172.93742221465158</v>
      </c>
      <c r="H84">
        <v>-108.23133605932307</v>
      </c>
      <c r="I84">
        <v>61.914253754139203</v>
      </c>
      <c r="J84">
        <v>27.2321978938805</v>
      </c>
      <c r="K84">
        <v>18.399451956520199</v>
      </c>
      <c r="L84">
        <v>1.6824766355008223E-3</v>
      </c>
      <c r="M84">
        <v>5.4486223338600509E-4</v>
      </c>
      <c r="N84" s="1">
        <v>-1.03526741407932E-5</v>
      </c>
      <c r="O84" s="1">
        <v>1.6662271041080798E-5</v>
      </c>
      <c r="P84" s="1">
        <v>-2.55709928695353E-5</v>
      </c>
    </row>
    <row r="85" spans="1:16" x14ac:dyDescent="0.2">
      <c r="A85">
        <v>84</v>
      </c>
      <c r="B85">
        <v>771</v>
      </c>
      <c r="C85">
        <v>150</v>
      </c>
      <c r="D85">
        <v>0.44462050471675502</v>
      </c>
      <c r="E85">
        <v>8.8418972582714108</v>
      </c>
      <c r="F85">
        <v>0.475095183306941</v>
      </c>
      <c r="G85">
        <v>-180.3895168487015</v>
      </c>
      <c r="H85">
        <v>-114.56856909321607</v>
      </c>
      <c r="I85">
        <v>63.041286665095001</v>
      </c>
      <c r="J85">
        <v>27.8841298728704</v>
      </c>
      <c r="K85">
        <v>18.610791203410201</v>
      </c>
      <c r="L85">
        <v>1.6713945823708526E-3</v>
      </c>
      <c r="M85">
        <v>5.3964024452232088E-4</v>
      </c>
      <c r="N85" s="1">
        <v>-1.02429649054168E-5</v>
      </c>
      <c r="O85" s="1">
        <v>1.6704863414859701E-5</v>
      </c>
      <c r="P85" s="1">
        <v>-2.5738007583128E-5</v>
      </c>
    </row>
    <row r="86" spans="1:16" x14ac:dyDescent="0.2">
      <c r="A86">
        <v>85</v>
      </c>
      <c r="B86">
        <v>770</v>
      </c>
      <c r="C86">
        <v>150</v>
      </c>
      <c r="D86">
        <v>0.44402099410439499</v>
      </c>
      <c r="E86">
        <v>9.2954618316397593</v>
      </c>
      <c r="F86">
        <v>0.49385872314182699</v>
      </c>
      <c r="G86">
        <v>-187.84757868470135</v>
      </c>
      <c r="H86">
        <v>-120.91403978362675</v>
      </c>
      <c r="I86">
        <v>64.168303853524705</v>
      </c>
      <c r="J86">
        <v>28.5372323324614</v>
      </c>
      <c r="K86">
        <v>18.822107206093101</v>
      </c>
      <c r="L86">
        <v>1.6605550509850753E-3</v>
      </c>
      <c r="M86">
        <v>5.345196439249919E-4</v>
      </c>
      <c r="N86" s="1">
        <v>-1.01293065500447E-5</v>
      </c>
      <c r="O86" s="1">
        <v>1.6747025986674801E-5</v>
      </c>
      <c r="P86" s="1">
        <v>-2.5905626911197098E-5</v>
      </c>
    </row>
    <row r="87" spans="1:16" x14ac:dyDescent="0.2">
      <c r="A87">
        <v>86</v>
      </c>
      <c r="B87">
        <v>769</v>
      </c>
      <c r="C87">
        <v>150</v>
      </c>
      <c r="D87">
        <v>0.44342033296550898</v>
      </c>
      <c r="E87">
        <v>11.123609110120499</v>
      </c>
      <c r="F87">
        <v>0.56366019897472297</v>
      </c>
      <c r="G87">
        <v>-218.08650580148429</v>
      </c>
      <c r="H87">
        <v>-146.60159350152506</v>
      </c>
      <c r="I87">
        <v>68.597220999060596</v>
      </c>
      <c r="J87">
        <v>31.011088480985901</v>
      </c>
      <c r="K87">
        <v>19.734600971212799</v>
      </c>
      <c r="L87">
        <v>1.6086502715073382E-3</v>
      </c>
      <c r="M87">
        <v>5.161563400673414E-4</v>
      </c>
      <c r="N87" s="1">
        <v>-1.01238922582413E-5</v>
      </c>
      <c r="O87" s="1">
        <v>1.696741616224E-5</v>
      </c>
      <c r="P87" s="1">
        <v>-2.63512931101668E-5</v>
      </c>
    </row>
    <row r="88" spans="1:16" x14ac:dyDescent="0.2">
      <c r="A88">
        <v>87</v>
      </c>
      <c r="B88">
        <v>768</v>
      </c>
      <c r="C88">
        <v>150</v>
      </c>
      <c r="D88">
        <v>0.442818517984921</v>
      </c>
      <c r="E88">
        <v>13.766609417693701</v>
      </c>
      <c r="F88">
        <v>0.65366133061675402</v>
      </c>
      <c r="G88">
        <v>-261.77857705756969</v>
      </c>
      <c r="H88">
        <v>-183.71969729366774</v>
      </c>
      <c r="I88">
        <v>74.9773214038525</v>
      </c>
      <c r="J88">
        <v>34.563316469083503</v>
      </c>
      <c r="K88">
        <v>21.060767668028198</v>
      </c>
      <c r="L88">
        <v>1.5401432064152359E-3</v>
      </c>
      <c r="M88">
        <v>4.9254376212494498E-4</v>
      </c>
      <c r="N88" s="1">
        <v>-1.0175618317963099E-5</v>
      </c>
      <c r="O88" s="1">
        <v>1.72905334725423E-5</v>
      </c>
      <c r="P88" s="1">
        <v>-2.6960627223435699E-5</v>
      </c>
    </row>
    <row r="89" spans="1:16" x14ac:dyDescent="0.2">
      <c r="A89">
        <v>88</v>
      </c>
      <c r="B89">
        <v>767</v>
      </c>
      <c r="C89">
        <v>150</v>
      </c>
      <c r="D89">
        <v>0.44221554583473799</v>
      </c>
      <c r="E89">
        <v>16.8444396568696</v>
      </c>
      <c r="F89">
        <v>0.74517695783835403</v>
      </c>
      <c r="G89">
        <v>-312.57267924081259</v>
      </c>
      <c r="H89">
        <v>-226.87937105474614</v>
      </c>
      <c r="I89">
        <v>82.389227234277797</v>
      </c>
      <c r="J89">
        <v>38.687620921915503</v>
      </c>
      <c r="K89">
        <v>22.604616902987399</v>
      </c>
      <c r="L89">
        <v>1.4699507098188947E-3</v>
      </c>
      <c r="M89">
        <v>4.6851648434779038E-4</v>
      </c>
      <c r="N89" s="1">
        <v>-1.02496457351472E-5</v>
      </c>
      <c r="O89" s="1">
        <v>1.7663932633744599E-5</v>
      </c>
      <c r="P89" s="1">
        <v>-2.7653498218104201E-5</v>
      </c>
    </row>
    <row r="90" spans="1:16" x14ac:dyDescent="0.2">
      <c r="A90">
        <v>89</v>
      </c>
      <c r="B90">
        <v>766</v>
      </c>
      <c r="C90">
        <v>150</v>
      </c>
      <c r="D90">
        <v>0.44161141317423203</v>
      </c>
      <c r="E90">
        <v>30.622632783134801</v>
      </c>
      <c r="F90">
        <v>1.0381840264667701</v>
      </c>
      <c r="G90">
        <v>-538.33232214729117</v>
      </c>
      <c r="H90">
        <v>-418.71658758629394</v>
      </c>
      <c r="I90">
        <v>115.113255297131</v>
      </c>
      <c r="J90">
        <v>56.777033208267298</v>
      </c>
      <c r="K90">
        <v>29.496343617761099</v>
      </c>
      <c r="L90">
        <v>1.2348256401898178E-3</v>
      </c>
      <c r="M90">
        <v>3.9171746034589712E-4</v>
      </c>
      <c r="N90" s="1">
        <v>-1.10512385922653E-5</v>
      </c>
      <c r="O90" s="1">
        <v>1.92736411736394E-5</v>
      </c>
      <c r="P90" s="1">
        <v>-3.02949935769002E-5</v>
      </c>
    </row>
    <row r="91" spans="1:16" x14ac:dyDescent="0.2">
      <c r="A91">
        <v>90</v>
      </c>
      <c r="B91">
        <v>765</v>
      </c>
      <c r="C91">
        <v>150</v>
      </c>
      <c r="D91">
        <v>0.44100611664981298</v>
      </c>
      <c r="E91">
        <v>45.350253298400702</v>
      </c>
      <c r="F91">
        <v>1.2310119931757499</v>
      </c>
      <c r="G91">
        <v>-779.36899313875551</v>
      </c>
      <c r="H91">
        <v>-623.67745893140136</v>
      </c>
      <c r="I91">
        <v>149.974586469977</v>
      </c>
      <c r="J91">
        <v>76.078616943162999</v>
      </c>
      <c r="K91">
        <v>36.839814355834498</v>
      </c>
      <c r="L91">
        <v>1.0802864703579661E-3</v>
      </c>
      <c r="M91">
        <v>3.4114266916791325E-4</v>
      </c>
      <c r="N91" s="1">
        <v>-1.18695792276152E-5</v>
      </c>
      <c r="O91" s="1">
        <v>2.09682544856582E-5</v>
      </c>
      <c r="P91" s="1">
        <v>-3.3091769008931599E-5</v>
      </c>
    </row>
    <row r="92" spans="1:16" x14ac:dyDescent="0.2">
      <c r="A92">
        <v>91</v>
      </c>
      <c r="B92">
        <v>764</v>
      </c>
      <c r="C92">
        <v>150</v>
      </c>
      <c r="D92">
        <v>0.44039965289495597</v>
      </c>
      <c r="E92">
        <v>67.967283622747004</v>
      </c>
      <c r="F92">
        <v>1.4135750107451801</v>
      </c>
      <c r="G92">
        <v>-1147.7149889384568</v>
      </c>
      <c r="H92">
        <v>-936.76647757304966</v>
      </c>
      <c r="I92">
        <v>203.39745748211399</v>
      </c>
      <c r="J92">
        <v>105.63896498374</v>
      </c>
      <c r="K92">
        <v>48.081837260915698</v>
      </c>
      <c r="L92">
        <v>9.3509710318106154E-4</v>
      </c>
      <c r="M92">
        <v>2.9384300147216664E-4</v>
      </c>
      <c r="N92" s="1">
        <v>-1.31806273729333E-5</v>
      </c>
      <c r="O92" s="1">
        <v>2.3573767313297502E-5</v>
      </c>
      <c r="P92" s="1">
        <v>-3.7354448877409501E-5</v>
      </c>
    </row>
    <row r="93" spans="1:16" x14ac:dyDescent="0.2">
      <c r="A93">
        <v>92</v>
      </c>
      <c r="B93">
        <v>763</v>
      </c>
      <c r="C93">
        <v>150</v>
      </c>
      <c r="D93">
        <v>0.43979201853014099</v>
      </c>
      <c r="E93">
        <v>84.564770774006803</v>
      </c>
      <c r="F93">
        <v>1.50219566040324</v>
      </c>
      <c r="G93">
        <v>-1417.4568152140582</v>
      </c>
      <c r="H93">
        <v>-1166.2175300345725</v>
      </c>
      <c r="I93">
        <v>242.479244994113</v>
      </c>
      <c r="J93">
        <v>127.321056141681</v>
      </c>
      <c r="K93">
        <v>56.2941120142141</v>
      </c>
      <c r="L93">
        <v>8.6577637565324306E-4</v>
      </c>
      <c r="M93">
        <v>2.7094041687034738E-4</v>
      </c>
      <c r="N93" s="1">
        <v>-1.402810300215E-5</v>
      </c>
      <c r="O93" s="1">
        <v>2.5457876913389E-5</v>
      </c>
      <c r="P93" s="1">
        <v>-4.0504051018754302E-5</v>
      </c>
    </row>
    <row r="94" spans="1:16" x14ac:dyDescent="0.2">
      <c r="A94">
        <v>93</v>
      </c>
      <c r="B94">
        <v>762</v>
      </c>
      <c r="C94">
        <v>150</v>
      </c>
      <c r="D94">
        <v>0.439183210162781</v>
      </c>
      <c r="E94">
        <v>94.785725154117699</v>
      </c>
      <c r="F94">
        <v>1.5457845422633401</v>
      </c>
      <c r="G94">
        <v>-1583.456215051488</v>
      </c>
      <c r="H94">
        <v>-1307.6455141358667</v>
      </c>
      <c r="I94">
        <v>266.450799078702</v>
      </c>
      <c r="J94">
        <v>140.69304245125301</v>
      </c>
      <c r="K94">
        <v>61.318846554987701</v>
      </c>
      <c r="L94">
        <v>8.3270606687770032E-4</v>
      </c>
      <c r="M94">
        <v>2.596560266741505E-4</v>
      </c>
      <c r="N94" s="1">
        <v>-1.4414638605972E-5</v>
      </c>
      <c r="O94" s="1">
        <v>2.6590076412486701E-5</v>
      </c>
      <c r="P94" s="1">
        <v>-4.2478153388352403E-5</v>
      </c>
    </row>
    <row r="95" spans="1:16" x14ac:dyDescent="0.2">
      <c r="A95">
        <v>94</v>
      </c>
      <c r="B95">
        <v>761</v>
      </c>
      <c r="C95">
        <v>150</v>
      </c>
      <c r="D95">
        <v>0.43857322438717999</v>
      </c>
      <c r="E95">
        <v>99.350653336079603</v>
      </c>
      <c r="F95">
        <v>1.56383536700142</v>
      </c>
      <c r="G95">
        <v>-1657.4323373005147</v>
      </c>
      <c r="H95">
        <v>-1370.9173379755168</v>
      </c>
      <c r="I95">
        <v>277.059380486169</v>
      </c>
      <c r="J95">
        <v>146.69229943921599</v>
      </c>
      <c r="K95">
        <v>63.530123075921502</v>
      </c>
      <c r="L95">
        <v>8.2010863570765021E-4</v>
      </c>
      <c r="M95">
        <v>2.5490465717467983E-4</v>
      </c>
      <c r="N95" s="1">
        <v>-1.44123527410697E-5</v>
      </c>
      <c r="O95" s="1">
        <v>2.7063760665940499E-5</v>
      </c>
      <c r="P95" s="1">
        <v>-4.3412066331891203E-5</v>
      </c>
    </row>
    <row r="96" spans="1:16" x14ac:dyDescent="0.2">
      <c r="A96">
        <v>95</v>
      </c>
      <c r="B96">
        <v>791</v>
      </c>
      <c r="C96">
        <v>125</v>
      </c>
      <c r="D96">
        <v>0.48221632288681698</v>
      </c>
      <c r="E96">
        <v>6.6123410879132196</v>
      </c>
      <c r="F96">
        <v>0.29300400180150099</v>
      </c>
      <c r="G96">
        <v>-147.63941310749752</v>
      </c>
      <c r="H96">
        <v>-81.879027111809279</v>
      </c>
      <c r="I96">
        <v>61.799718069165998</v>
      </c>
      <c r="J96">
        <v>24.874994086714501</v>
      </c>
      <c r="K96">
        <v>22.567408797347401</v>
      </c>
      <c r="L96">
        <v>1.7621087417196372E-3</v>
      </c>
      <c r="M96">
        <v>7.6247714969804314E-4</v>
      </c>
      <c r="N96" s="1">
        <v>-3.0193812978145199E-5</v>
      </c>
      <c r="O96" s="1">
        <v>3.2994148024249301E-5</v>
      </c>
      <c r="P96" s="1">
        <v>-3.42257644195634E-5</v>
      </c>
    </row>
    <row r="97" spans="1:16" x14ac:dyDescent="0.2">
      <c r="A97">
        <v>96</v>
      </c>
      <c r="B97">
        <v>790</v>
      </c>
      <c r="C97">
        <v>125</v>
      </c>
      <c r="D97">
        <v>0.48166345294643498</v>
      </c>
      <c r="E97">
        <v>6.6551416134307404</v>
      </c>
      <c r="F97">
        <v>0.29512605967933198</v>
      </c>
      <c r="G97">
        <v>-148.28748634535123</v>
      </c>
      <c r="H97">
        <v>-82.501316186488268</v>
      </c>
      <c r="I97">
        <v>61.8821006001942</v>
      </c>
      <c r="J97">
        <v>24.960703608728799</v>
      </c>
      <c r="K97">
        <v>22.550165921172301</v>
      </c>
      <c r="L97">
        <v>1.7653325737558448E-3</v>
      </c>
      <c r="M97">
        <v>7.6176466587105475E-4</v>
      </c>
      <c r="N97" s="1">
        <v>-3.01883653116325E-5</v>
      </c>
      <c r="O97" s="1">
        <v>3.2964537985292001E-5</v>
      </c>
      <c r="P97" s="1">
        <v>-3.4314615828456403E-5</v>
      </c>
    </row>
    <row r="98" spans="1:16" x14ac:dyDescent="0.2">
      <c r="A98">
        <v>97</v>
      </c>
      <c r="B98">
        <v>789</v>
      </c>
      <c r="C98">
        <v>125</v>
      </c>
      <c r="D98">
        <v>0.48110954196676597</v>
      </c>
      <c r="E98">
        <v>7.0789545231452804</v>
      </c>
      <c r="F98">
        <v>0.31124942417013701</v>
      </c>
      <c r="G98">
        <v>-155.27323245648441</v>
      </c>
      <c r="H98">
        <v>-88.435892023280402</v>
      </c>
      <c r="I98">
        <v>62.930036653128802</v>
      </c>
      <c r="J98">
        <v>25.561917306896799</v>
      </c>
      <c r="K98">
        <v>22.743671067085199</v>
      </c>
      <c r="L98">
        <v>1.757822683590068E-3</v>
      </c>
      <c r="M98">
        <v>7.5635521676757178E-4</v>
      </c>
      <c r="N98" s="1">
        <v>-3.0276781416394E-5</v>
      </c>
      <c r="O98" s="1">
        <v>3.3037435155948597E-5</v>
      </c>
      <c r="P98" s="1">
        <v>-3.4511277513643903E-5</v>
      </c>
    </row>
    <row r="99" spans="1:16" x14ac:dyDescent="0.2">
      <c r="A99">
        <v>98</v>
      </c>
      <c r="B99">
        <v>788</v>
      </c>
      <c r="C99">
        <v>125</v>
      </c>
      <c r="D99">
        <v>0.48055458700466802</v>
      </c>
      <c r="E99">
        <v>7.5036847176847701</v>
      </c>
      <c r="F99">
        <v>0.32713826686119402</v>
      </c>
      <c r="G99">
        <v>-162.27045681752199</v>
      </c>
      <c r="H99">
        <v>-94.382910990596542</v>
      </c>
      <c r="I99">
        <v>63.979038534271702</v>
      </c>
      <c r="J99">
        <v>26.164702326771302</v>
      </c>
      <c r="K99">
        <v>22.937349365088501</v>
      </c>
      <c r="L99">
        <v>1.7504409301101395E-3</v>
      </c>
      <c r="M99">
        <v>7.5102009093099768E-4</v>
      </c>
      <c r="N99" s="1">
        <v>-3.0363315527584099E-5</v>
      </c>
      <c r="O99" s="1">
        <v>3.3110077846103702E-5</v>
      </c>
      <c r="P99" s="1">
        <v>-3.4709174797238298E-5</v>
      </c>
    </row>
    <row r="100" spans="1:16" x14ac:dyDescent="0.2">
      <c r="A100">
        <v>99</v>
      </c>
      <c r="B100">
        <v>787</v>
      </c>
      <c r="C100">
        <v>125</v>
      </c>
      <c r="D100">
        <v>0.479998585105882</v>
      </c>
      <c r="E100">
        <v>7.92918022376519</v>
      </c>
      <c r="F100">
        <v>0.34279290807366197</v>
      </c>
      <c r="G100">
        <v>-169.27658721461589</v>
      </c>
      <c r="H100">
        <v>-100.34024155335469</v>
      </c>
      <c r="I100">
        <v>65.028693578290799</v>
      </c>
      <c r="J100">
        <v>26.768851479594499</v>
      </c>
      <c r="K100">
        <v>23.131109299557899</v>
      </c>
      <c r="L100">
        <v>1.7431883161932143E-3</v>
      </c>
      <c r="M100">
        <v>7.4575926689839144E-4</v>
      </c>
      <c r="N100" s="1">
        <v>-3.04478630822394E-5</v>
      </c>
      <c r="O100" s="1">
        <v>3.3182412463613003E-5</v>
      </c>
      <c r="P100" s="1">
        <v>-3.4908265274242702E-5</v>
      </c>
    </row>
    <row r="101" spans="1:16" x14ac:dyDescent="0.2">
      <c r="A101">
        <v>100</v>
      </c>
      <c r="B101">
        <v>786</v>
      </c>
      <c r="C101">
        <v>125</v>
      </c>
      <c r="D101">
        <v>0.47944153330501299</v>
      </c>
      <c r="E101">
        <v>8.3552923035546698</v>
      </c>
      <c r="F101">
        <v>0.35821401631579203</v>
      </c>
      <c r="G101">
        <v>-176.28910789119547</v>
      </c>
      <c r="H101">
        <v>-106.30579723490828</v>
      </c>
      <c r="I101">
        <v>66.078598323741204</v>
      </c>
      <c r="J101">
        <v>27.3741620086622</v>
      </c>
      <c r="K101">
        <v>23.324861459884499</v>
      </c>
      <c r="L101">
        <v>1.736065580605249E-3</v>
      </c>
      <c r="M101">
        <v>7.4057260357006556E-4</v>
      </c>
      <c r="N101" s="1">
        <v>-3.0530319408258503E-5</v>
      </c>
      <c r="O101" s="1">
        <v>3.32543866263934E-5</v>
      </c>
      <c r="P101" s="1">
        <v>-3.5108507175722701E-5</v>
      </c>
    </row>
    <row r="102" spans="1:16" x14ac:dyDescent="0.2">
      <c r="A102">
        <v>101</v>
      </c>
      <c r="B102">
        <v>785</v>
      </c>
      <c r="C102">
        <v>125</v>
      </c>
      <c r="D102">
        <v>0.47888342862543298</v>
      </c>
      <c r="E102">
        <v>8.7818760746934696</v>
      </c>
      <c r="F102">
        <v>0.37340259890476701</v>
      </c>
      <c r="G102">
        <v>-183.30556978047821</v>
      </c>
      <c r="H102">
        <v>-112.27754522943239</v>
      </c>
      <c r="I102">
        <v>67.128360087665996</v>
      </c>
      <c r="J102">
        <v>27.980436444203001</v>
      </c>
      <c r="K102">
        <v>23.518518886723601</v>
      </c>
      <c r="L102">
        <v>1.7290732010776578E-3</v>
      </c>
      <c r="M102">
        <v>7.3545984315918878E-4</v>
      </c>
      <c r="N102" s="1">
        <v>-3.0610579901008303E-5</v>
      </c>
      <c r="O102" s="1">
        <v>3.3325949330325698E-5</v>
      </c>
      <c r="P102" s="1">
        <v>-3.5309859554633E-5</v>
      </c>
    </row>
    <row r="103" spans="1:16" x14ac:dyDescent="0.2">
      <c r="A103">
        <v>102</v>
      </c>
      <c r="B103">
        <v>784</v>
      </c>
      <c r="C103">
        <v>125</v>
      </c>
      <c r="D103">
        <v>0.47832426807926898</v>
      </c>
      <c r="E103">
        <v>9.2087910489492</v>
      </c>
      <c r="F103">
        <v>0.38835998946525502</v>
      </c>
      <c r="G103">
        <v>-190.32359937122848</v>
      </c>
      <c r="H103">
        <v>-118.25351388501245</v>
      </c>
      <c r="I103">
        <v>68.177598324514705</v>
      </c>
      <c r="J103">
        <v>28.587483347593899</v>
      </c>
      <c r="K103">
        <v>23.7119973703497</v>
      </c>
      <c r="L103">
        <v>1.7222113999396378E-3</v>
      </c>
      <c r="M103">
        <v>7.304206152215578E-4</v>
      </c>
      <c r="N103" s="1">
        <v>-3.0688540177431101E-5</v>
      </c>
      <c r="O103" s="1">
        <v>3.3397051091712802E-5</v>
      </c>
      <c r="P103" s="1">
        <v>-3.5512282448617102E-5</v>
      </c>
    </row>
    <row r="104" spans="1:16" x14ac:dyDescent="0.2">
      <c r="A104">
        <v>103</v>
      </c>
      <c r="B104">
        <v>783</v>
      </c>
      <c r="C104">
        <v>125</v>
      </c>
      <c r="D104">
        <v>0.47776404866733202</v>
      </c>
      <c r="E104">
        <v>9.6359015952515996</v>
      </c>
      <c r="F104">
        <v>0.40308783295650302</v>
      </c>
      <c r="G104">
        <v>-197.34090630856863</v>
      </c>
      <c r="H104">
        <v>-124.23179913784475</v>
      </c>
      <c r="I104">
        <v>69.225945788204797</v>
      </c>
      <c r="J104">
        <v>29.195117953881599</v>
      </c>
      <c r="K104">
        <v>23.9052157059064</v>
      </c>
      <c r="L104">
        <v>1.715480151850294E-3</v>
      </c>
      <c r="M104">
        <v>7.2545444154754424E-4</v>
      </c>
      <c r="N104" s="1">
        <v>-3.07640962112637E-5</v>
      </c>
      <c r="O104" s="1">
        <v>3.3467644068492302E-5</v>
      </c>
      <c r="P104" s="1">
        <v>-3.57157370236915E-5</v>
      </c>
    </row>
    <row r="105" spans="1:16" x14ac:dyDescent="0.2">
      <c r="A105">
        <v>104</v>
      </c>
      <c r="B105">
        <v>782</v>
      </c>
      <c r="C105">
        <v>125</v>
      </c>
      <c r="D105">
        <v>0.47720276737904699</v>
      </c>
      <c r="E105">
        <v>10.063077319308199</v>
      </c>
      <c r="F105">
        <v>0.41758806840636098</v>
      </c>
      <c r="G105">
        <v>-204.35528960396312</v>
      </c>
      <c r="H105">
        <v>-130.21056979266945</v>
      </c>
      <c r="I105">
        <v>70.273049476121599</v>
      </c>
      <c r="J105">
        <v>29.8031627013556</v>
      </c>
      <c r="K105">
        <v>24.098095900373501</v>
      </c>
      <c r="L105">
        <v>1.7088791935377639E-3</v>
      </c>
      <c r="M105">
        <v>7.2056074185817046E-4</v>
      </c>
      <c r="N105" s="1">
        <v>-3.0837144445859899E-5</v>
      </c>
      <c r="O105" s="1">
        <v>3.3537682156723497E-5</v>
      </c>
      <c r="P105" s="1">
        <v>-3.5920185694612297E-5</v>
      </c>
    </row>
    <row r="106" spans="1:16" x14ac:dyDescent="0.2">
      <c r="A106">
        <v>105</v>
      </c>
      <c r="B106">
        <v>781</v>
      </c>
      <c r="C106">
        <v>125</v>
      </c>
      <c r="D106">
        <v>0.476640421192431</v>
      </c>
      <c r="E106">
        <v>10.4901933624937</v>
      </c>
      <c r="F106">
        <v>0.43186290981300002</v>
      </c>
      <c r="G106">
        <v>-211.36464250412823</v>
      </c>
      <c r="H106">
        <v>-136.18807168639151</v>
      </c>
      <c r="I106">
        <v>71.318571365745797</v>
      </c>
      <c r="J106">
        <v>30.411447652799399</v>
      </c>
      <c r="K106">
        <v>24.290563334174699</v>
      </c>
      <c r="L106">
        <v>1.7024080352210182E-3</v>
      </c>
      <c r="M106">
        <v>7.1573884014938707E-4</v>
      </c>
      <c r="N106" s="1">
        <v>-3.0907581887159199E-5</v>
      </c>
      <c r="O106" s="1">
        <v>3.3607121065369201E-5</v>
      </c>
      <c r="P106" s="1">
        <v>-3.6125592224588201E-5</v>
      </c>
    </row>
    <row r="107" spans="1:16" x14ac:dyDescent="0.2">
      <c r="A107">
        <v>106</v>
      </c>
      <c r="B107">
        <v>780</v>
      </c>
      <c r="C107">
        <v>125</v>
      </c>
      <c r="D107">
        <v>0.47607700707401701</v>
      </c>
      <c r="E107">
        <v>10.9171306084653</v>
      </c>
      <c r="F107">
        <v>0.44591482519894898</v>
      </c>
      <c r="G107">
        <v>-218.36695583412276</v>
      </c>
      <c r="H107">
        <v>-142.1626305783941</v>
      </c>
      <c r="I107">
        <v>72.362188915706696</v>
      </c>
      <c r="J107">
        <v>31.019810793005199</v>
      </c>
      <c r="K107">
        <v>24.482546871130701</v>
      </c>
      <c r="L107">
        <v>1.6960659737657179E-3</v>
      </c>
      <c r="M107">
        <v>7.109879716916146E-4</v>
      </c>
      <c r="N107" s="1">
        <v>-3.0975306173880602E-5</v>
      </c>
      <c r="O107" s="1">
        <v>3.3675918366483702E-5</v>
      </c>
      <c r="P107" s="1">
        <v>-3.6331921800704901E-5</v>
      </c>
    </row>
    <row r="108" spans="1:16" x14ac:dyDescent="0.2">
      <c r="A108">
        <v>107</v>
      </c>
      <c r="B108">
        <v>779</v>
      </c>
      <c r="C108">
        <v>125</v>
      </c>
      <c r="D108">
        <v>0.475512521978807</v>
      </c>
      <c r="E108">
        <v>11.343775806741499</v>
      </c>
      <c r="F108">
        <v>0.45974651443133402</v>
      </c>
      <c r="G108">
        <v>-225.36031997248256</v>
      </c>
      <c r="H108">
        <v>-148.13265389709119</v>
      </c>
      <c r="I108">
        <v>73.403595356608307</v>
      </c>
      <c r="J108">
        <v>31.628098215431301</v>
      </c>
      <c r="K108">
        <v>24.673978922434699</v>
      </c>
      <c r="L108">
        <v>1.6898521071213341E-3</v>
      </c>
      <c r="M108">
        <v>7.0630729047715956E-4</v>
      </c>
      <c r="N108" s="1">
        <v>-3.1040215627944097E-5</v>
      </c>
      <c r="O108" s="1">
        <v>3.3744033524174797E-5</v>
      </c>
      <c r="P108" s="1">
        <v>-3.6539141088080899E-5</v>
      </c>
    </row>
    <row r="109" spans="1:16" x14ac:dyDescent="0.2">
      <c r="A109">
        <v>108</v>
      </c>
      <c r="B109">
        <v>778</v>
      </c>
      <c r="C109">
        <v>125</v>
      </c>
      <c r="D109">
        <v>0.47494696285021398</v>
      </c>
      <c r="E109">
        <v>13.6966135511875</v>
      </c>
      <c r="F109">
        <v>0.52936141578970697</v>
      </c>
      <c r="G109">
        <v>-264.26927531354301</v>
      </c>
      <c r="H109">
        <v>-181.18882667293428</v>
      </c>
      <c r="I109">
        <v>79.041466162887005</v>
      </c>
      <c r="J109">
        <v>34.7507641382823</v>
      </c>
      <c r="K109">
        <v>25.873841845376599</v>
      </c>
      <c r="L109">
        <v>1.6386454248235322E-3</v>
      </c>
      <c r="M109">
        <v>6.8275938239161752E-4</v>
      </c>
      <c r="N109" s="1">
        <v>-3.1494856576959001E-5</v>
      </c>
      <c r="O109" s="1">
        <v>3.4231969539439602E-5</v>
      </c>
      <c r="P109" s="1">
        <v>-3.7204246427464302E-5</v>
      </c>
    </row>
    <row r="110" spans="1:16" x14ac:dyDescent="0.2">
      <c r="A110">
        <v>109</v>
      </c>
      <c r="B110">
        <v>777</v>
      </c>
      <c r="C110">
        <v>125</v>
      </c>
      <c r="D110">
        <v>0.47438032662001101</v>
      </c>
      <c r="E110">
        <v>16.4292874069377</v>
      </c>
      <c r="F110">
        <v>0.60248428571365997</v>
      </c>
      <c r="G110">
        <v>-309.40537861844189</v>
      </c>
      <c r="H110">
        <v>-219.54105162714293</v>
      </c>
      <c r="I110">
        <v>85.576714124483502</v>
      </c>
      <c r="J110">
        <v>38.367401365650899</v>
      </c>
      <c r="K110">
        <v>27.269238047390299</v>
      </c>
      <c r="L110">
        <v>1.5842377284662347E-3</v>
      </c>
      <c r="M110">
        <v>6.5799314573291993E-4</v>
      </c>
      <c r="N110" s="1">
        <v>-3.2018831846509302E-5</v>
      </c>
      <c r="O110" s="1">
        <v>3.4796414076181401E-5</v>
      </c>
      <c r="P110" s="1">
        <v>-3.7957847434935697E-5</v>
      </c>
    </row>
    <row r="111" spans="1:16" x14ac:dyDescent="0.2">
      <c r="A111">
        <v>110</v>
      </c>
      <c r="B111">
        <v>776</v>
      </c>
      <c r="C111">
        <v>125</v>
      </c>
      <c r="D111">
        <v>0.47381261020826598</v>
      </c>
      <c r="E111">
        <v>19.687609826862001</v>
      </c>
      <c r="F111">
        <v>0.68043674600869997</v>
      </c>
      <c r="G111">
        <v>-363.12918561487493</v>
      </c>
      <c r="H111">
        <v>-265.19476535953299</v>
      </c>
      <c r="I111">
        <v>93.350390901154597</v>
      </c>
      <c r="J111">
        <v>42.664683949304397</v>
      </c>
      <c r="K111">
        <v>28.933783988512399</v>
      </c>
      <c r="L111">
        <v>1.5254950214014476E-3</v>
      </c>
      <c r="M111">
        <v>6.3154398810661132E-4</v>
      </c>
      <c r="N111" s="1">
        <v>-3.2636325695679902E-5</v>
      </c>
      <c r="O111" s="1">
        <v>3.5463517333198899E-5</v>
      </c>
      <c r="P111" s="1">
        <v>-3.8829567214334201E-5</v>
      </c>
    </row>
    <row r="112" spans="1:16" x14ac:dyDescent="0.2">
      <c r="A112">
        <v>111</v>
      </c>
      <c r="B112">
        <v>775</v>
      </c>
      <c r="C112">
        <v>125</v>
      </c>
      <c r="D112">
        <v>0.473243810523307</v>
      </c>
      <c r="E112">
        <v>28.675818339605499</v>
      </c>
      <c r="F112">
        <v>0.855202599241633</v>
      </c>
      <c r="G112">
        <v>-510.56383946723003</v>
      </c>
      <c r="H112">
        <v>-390.45065100198866</v>
      </c>
      <c r="I112">
        <v>114.599574981855</v>
      </c>
      <c r="J112">
        <v>54.343276063599497</v>
      </c>
      <c r="K112">
        <v>33.531023368070102</v>
      </c>
      <c r="L112">
        <v>1.3870056422837648E-3</v>
      </c>
      <c r="M112">
        <v>5.7200087338107994E-4</v>
      </c>
      <c r="N112" s="1">
        <v>-3.4288934509747297E-5</v>
      </c>
      <c r="O112" s="1">
        <v>3.7246108778235303E-5</v>
      </c>
      <c r="P112" s="1">
        <v>-4.0933781633572397E-5</v>
      </c>
    </row>
    <row r="113" spans="1:16" x14ac:dyDescent="0.2">
      <c r="A113">
        <v>112</v>
      </c>
      <c r="B113">
        <v>774</v>
      </c>
      <c r="C113">
        <v>125</v>
      </c>
      <c r="D113">
        <v>0.47267392446163797</v>
      </c>
      <c r="E113">
        <v>42.711969089696197</v>
      </c>
      <c r="F113">
        <v>1.04963966914169</v>
      </c>
      <c r="G113">
        <v>-740.37924824332129</v>
      </c>
      <c r="H113">
        <v>-585.78856085042241</v>
      </c>
      <c r="I113">
        <v>147.634407020265</v>
      </c>
      <c r="J113">
        <v>72.501902655482098</v>
      </c>
      <c r="K113">
        <v>40.6920301751002</v>
      </c>
      <c r="L113">
        <v>1.2314366373852375E-3</v>
      </c>
      <c r="M113">
        <v>5.0570193587461923E-4</v>
      </c>
      <c r="N113" s="1">
        <v>-3.6823796674845901E-5</v>
      </c>
      <c r="O113" s="1">
        <v>3.9981891073389299E-5</v>
      </c>
      <c r="P113" s="1">
        <v>-4.41053659665196E-5</v>
      </c>
    </row>
    <row r="114" spans="1:16" x14ac:dyDescent="0.2">
      <c r="A114">
        <v>113</v>
      </c>
      <c r="B114">
        <v>773</v>
      </c>
      <c r="C114">
        <v>125</v>
      </c>
      <c r="D114">
        <v>0.472102948907902</v>
      </c>
      <c r="E114">
        <v>53.069205608499502</v>
      </c>
      <c r="F114">
        <v>1.15486450686371</v>
      </c>
      <c r="G114">
        <v>-909.84195443658234</v>
      </c>
      <c r="H114">
        <v>-729.96505283128636</v>
      </c>
      <c r="I114">
        <v>171.94649254569899</v>
      </c>
      <c r="J114">
        <v>85.908080244564601</v>
      </c>
      <c r="K114">
        <v>45.952754884311503</v>
      </c>
      <c r="L114">
        <v>1.1483977533953437E-3</v>
      </c>
      <c r="M114">
        <v>4.6983257732577849E-4</v>
      </c>
      <c r="N114" s="1">
        <v>-3.8664053284114399E-5</v>
      </c>
      <c r="O114" s="1">
        <v>4.1975181683232502E-5</v>
      </c>
      <c r="P114" s="1">
        <v>-4.64788953902117E-5</v>
      </c>
    </row>
    <row r="115" spans="1:16" x14ac:dyDescent="0.2">
      <c r="A115">
        <v>114</v>
      </c>
      <c r="B115">
        <v>772</v>
      </c>
      <c r="C115">
        <v>125</v>
      </c>
      <c r="D115">
        <v>0.47153088073482102</v>
      </c>
      <c r="E115">
        <v>77.567161159009402</v>
      </c>
      <c r="F115">
        <v>1.32849668661512</v>
      </c>
      <c r="G115">
        <v>-1308.1009314116475</v>
      </c>
      <c r="H115">
        <v>-1068.3765347220992</v>
      </c>
      <c r="I115">
        <v>229.37366250527299</v>
      </c>
      <c r="J115">
        <v>117.468471753595</v>
      </c>
      <c r="K115">
        <v>58.387169452896899</v>
      </c>
      <c r="L115">
        <v>1.010588510410211E-3</v>
      </c>
      <c r="M115">
        <v>4.115401202704472E-4</v>
      </c>
      <c r="N115" s="1">
        <v>-4.3072115723761401E-5</v>
      </c>
      <c r="O115" s="1">
        <v>4.6735351769326699E-5</v>
      </c>
      <c r="P115" s="1">
        <v>-5.1945762277496799E-5</v>
      </c>
    </row>
    <row r="116" spans="1:16" x14ac:dyDescent="0.2">
      <c r="A116">
        <v>115</v>
      </c>
      <c r="B116">
        <v>771</v>
      </c>
      <c r="C116">
        <v>125</v>
      </c>
      <c r="D116">
        <v>0.47095771680314102</v>
      </c>
      <c r="E116">
        <v>88.012921087607793</v>
      </c>
      <c r="F116">
        <v>1.38292071393414</v>
      </c>
      <c r="G116">
        <v>-1477.7605429266121</v>
      </c>
      <c r="H116">
        <v>-1212.8240223470864</v>
      </c>
      <c r="I116">
        <v>253.739641593876</v>
      </c>
      <c r="J116">
        <v>130.946313741777</v>
      </c>
      <c r="K116">
        <v>63.642781687192802</v>
      </c>
      <c r="L116">
        <v>9.6909286836460392E-4</v>
      </c>
      <c r="M116">
        <v>3.9325252863571964E-4</v>
      </c>
      <c r="N116" s="1">
        <v>-4.4887987569225499E-5</v>
      </c>
      <c r="O116" s="1">
        <v>4.8713189254086997E-5</v>
      </c>
      <c r="P116" s="1">
        <v>-5.4350238334262001E-5</v>
      </c>
    </row>
    <row r="117" spans="1:16" x14ac:dyDescent="0.2">
      <c r="A117">
        <v>116</v>
      </c>
      <c r="B117">
        <v>770</v>
      </c>
      <c r="C117">
        <v>125</v>
      </c>
      <c r="D117">
        <v>0.47038345396155901</v>
      </c>
      <c r="E117">
        <v>96.019430713063798</v>
      </c>
      <c r="F117">
        <v>1.4194662648171701</v>
      </c>
      <c r="G117">
        <v>-1607.735693896361</v>
      </c>
      <c r="H117">
        <v>-1323.6380698194162</v>
      </c>
      <c r="I117">
        <v>272.35156317213898</v>
      </c>
      <c r="J117">
        <v>141.29218976656</v>
      </c>
      <c r="K117">
        <v>67.644743022780304</v>
      </c>
      <c r="L117">
        <v>9.4210401001892539E-4</v>
      </c>
      <c r="M117">
        <v>3.8101903942435296E-4</v>
      </c>
      <c r="N117" s="1">
        <v>-4.6246645840171799E-5</v>
      </c>
      <c r="O117" s="1">
        <v>5.0204247723596603E-5</v>
      </c>
      <c r="P117" s="1">
        <v>-5.6228094254015702E-5</v>
      </c>
    </row>
    <row r="118" spans="1:16" x14ac:dyDescent="0.2">
      <c r="A118">
        <v>117</v>
      </c>
      <c r="B118">
        <v>769</v>
      </c>
      <c r="C118">
        <v>125</v>
      </c>
      <c r="D118">
        <v>0.46980808904668597</v>
      </c>
      <c r="E118">
        <v>99.600630764468093</v>
      </c>
      <c r="F118">
        <v>1.43524279167043</v>
      </c>
      <c r="G118">
        <v>-1665.7032696658698</v>
      </c>
      <c r="H118">
        <v>-1373.296400063007</v>
      </c>
      <c r="I118">
        <v>280.58615377876703</v>
      </c>
      <c r="J118">
        <v>145.948277723693</v>
      </c>
      <c r="K118">
        <v>69.396363697145603</v>
      </c>
      <c r="L118">
        <v>9.318958843549948E-4</v>
      </c>
      <c r="M118">
        <v>3.7572256247000161E-4</v>
      </c>
      <c r="N118" s="1">
        <v>-4.6798144486699699E-5</v>
      </c>
      <c r="O118" s="1">
        <v>5.0831187639181701E-5</v>
      </c>
      <c r="P118" s="1">
        <v>-5.7149051973599203E-5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015EC-1B04-4257-BC55-9BDB167580D4}">
  <sheetPr codeName="Sheet6"/>
  <dimension ref="A1:AN14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128</v>
      </c>
      <c r="AK1" t="s">
        <v>129</v>
      </c>
      <c r="AL1" t="s">
        <v>130</v>
      </c>
      <c r="AM1" t="s">
        <v>131</v>
      </c>
      <c r="AN1" t="s">
        <v>80</v>
      </c>
    </row>
    <row r="2" spans="1:40" x14ac:dyDescent="0.2">
      <c r="A2">
        <v>20</v>
      </c>
      <c r="B2">
        <v>738</v>
      </c>
      <c r="C2">
        <v>275</v>
      </c>
      <c r="D2">
        <v>0.28822677149780002</v>
      </c>
      <c r="E2">
        <v>2.0752136754597399E-2</v>
      </c>
      <c r="F2">
        <v>4.6574649514603399</v>
      </c>
      <c r="G2">
        <v>-0.1965691613391041</v>
      </c>
      <c r="H2">
        <v>-0.15975892727843838</v>
      </c>
      <c r="I2">
        <v>3.6404325827686899E-2</v>
      </c>
      <c r="J2">
        <v>1.90261072914659E-2</v>
      </c>
      <c r="K2">
        <v>4.4556721244011898E-3</v>
      </c>
      <c r="L2">
        <v>3.168647580568746E-5</v>
      </c>
      <c r="M2">
        <v>5.5280077730306393E-7</v>
      </c>
      <c r="N2" s="1">
        <v>2.15470649535615E-11</v>
      </c>
      <c r="O2" s="1">
        <v>9.7307967675681896E-15</v>
      </c>
      <c r="P2" s="1">
        <v>3.5954873096332798E-14</v>
      </c>
      <c r="R2">
        <v>47.314095767961</v>
      </c>
      <c r="S2">
        <v>2.2385482713674199</v>
      </c>
      <c r="T2">
        <v>9.8023601896131396</v>
      </c>
      <c r="V2">
        <v>37.623365960461797</v>
      </c>
      <c r="W2">
        <v>0.60282536869385805</v>
      </c>
      <c r="X2">
        <v>2.41880444190262</v>
      </c>
      <c r="AJ2">
        <v>8.8841231955482006E-2</v>
      </c>
      <c r="AK2">
        <v>9.0868472539505293E-2</v>
      </c>
      <c r="AL2">
        <v>0.77520918571631203</v>
      </c>
      <c r="AM2">
        <v>1.2580054682331501E-2</v>
      </c>
      <c r="AN2">
        <v>3.2501055106367999E-2</v>
      </c>
    </row>
    <row r="3" spans="1:40" x14ac:dyDescent="0.2">
      <c r="A3">
        <v>21</v>
      </c>
      <c r="B3">
        <v>737</v>
      </c>
      <c r="C3">
        <v>275</v>
      </c>
      <c r="D3">
        <v>0.28745285353660599</v>
      </c>
      <c r="E3">
        <v>3.6959434531742802E-2</v>
      </c>
      <c r="F3">
        <v>4.6601051944896401</v>
      </c>
      <c r="G3">
        <v>-0.35054807410901956</v>
      </c>
      <c r="H3">
        <v>-0.28498970883235814</v>
      </c>
      <c r="I3">
        <v>6.4899633991646194E-2</v>
      </c>
      <c r="J3">
        <v>3.3846884251815999E-2</v>
      </c>
      <c r="K3">
        <v>7.9310300925064092E-3</v>
      </c>
      <c r="L3">
        <v>3.1588826434079228E-5</v>
      </c>
      <c r="M3">
        <v>5.5251867943452091E-7</v>
      </c>
      <c r="N3" s="1">
        <v>4.27059984051588E-11</v>
      </c>
      <c r="O3" s="1">
        <v>1.7316379161930501E-14</v>
      </c>
      <c r="P3" s="1">
        <v>5.8099758938004695E-14</v>
      </c>
      <c r="R3">
        <v>47.265698898084501</v>
      </c>
      <c r="S3">
        <v>2.3085894819286401</v>
      </c>
      <c r="T3">
        <v>9.8334773363206498</v>
      </c>
      <c r="V3">
        <v>37.203078335734098</v>
      </c>
      <c r="W3">
        <v>0.96446326475072797</v>
      </c>
      <c r="X3">
        <v>2.42469268318133</v>
      </c>
      <c r="AJ3">
        <v>8.9021122290991503E-2</v>
      </c>
      <c r="AK3">
        <v>9.1119691504633199E-2</v>
      </c>
      <c r="AL3">
        <v>0.76623623959670395</v>
      </c>
      <c r="AM3">
        <v>2.0118669088322098E-2</v>
      </c>
      <c r="AN3">
        <v>3.3504277519348702E-2</v>
      </c>
    </row>
    <row r="4" spans="1:40" x14ac:dyDescent="0.2">
      <c r="A4">
        <v>22</v>
      </c>
      <c r="B4">
        <v>736</v>
      </c>
      <c r="C4">
        <v>275</v>
      </c>
      <c r="D4">
        <v>0.28667740177377199</v>
      </c>
      <c r="E4">
        <v>4.3636627689074302E-2</v>
      </c>
      <c r="F4">
        <v>4.6621299459738204</v>
      </c>
      <c r="G4">
        <v>-0.41426465802218881</v>
      </c>
      <c r="H4">
        <v>-0.33689129063155976</v>
      </c>
      <c r="I4">
        <v>7.6671820235474406E-2</v>
      </c>
      <c r="J4">
        <v>3.9928242492025201E-2</v>
      </c>
      <c r="K4">
        <v>9.3598051094132394E-3</v>
      </c>
      <c r="L4">
        <v>3.1507911167933396E-5</v>
      </c>
      <c r="M4">
        <v>5.5225458393500016E-7</v>
      </c>
      <c r="N4" s="1">
        <v>5.3083593641938102E-11</v>
      </c>
      <c r="O4" s="1">
        <v>2.0424448089690901E-14</v>
      </c>
      <c r="P4" s="1">
        <v>6.5206488272585403E-14</v>
      </c>
      <c r="R4">
        <v>47.215168573343902</v>
      </c>
      <c r="S4">
        <v>2.3743921752283899</v>
      </c>
      <c r="T4">
        <v>9.8671704366670792</v>
      </c>
      <c r="V4">
        <v>36.884738646374501</v>
      </c>
      <c r="W4">
        <v>1.2337388546374499</v>
      </c>
      <c r="X4">
        <v>2.4247913137485502</v>
      </c>
      <c r="AJ4">
        <v>8.8995254164003501E-2</v>
      </c>
      <c r="AK4">
        <v>9.1401614335951606E-2</v>
      </c>
      <c r="AL4">
        <v>0.75942805878229802</v>
      </c>
      <c r="AM4">
        <v>2.57272233081287E-2</v>
      </c>
      <c r="AN4">
        <v>3.4447849409617398E-2</v>
      </c>
    </row>
    <row r="5" spans="1:40" x14ac:dyDescent="0.2">
      <c r="A5">
        <v>38</v>
      </c>
      <c r="B5">
        <v>742</v>
      </c>
      <c r="C5">
        <v>250</v>
      </c>
      <c r="D5">
        <v>0.318396788651924</v>
      </c>
      <c r="E5">
        <v>1.19037707371978E-2</v>
      </c>
      <c r="F5">
        <v>4.6538831144130599</v>
      </c>
      <c r="G5">
        <v>-0.11304940433746913</v>
      </c>
      <c r="H5">
        <v>-9.1792196461475559E-2</v>
      </c>
      <c r="I5">
        <v>2.0939967370333001E-2</v>
      </c>
      <c r="J5">
        <v>1.0925829533968701E-2</v>
      </c>
      <c r="K5">
        <v>2.5578147204281701E-3</v>
      </c>
      <c r="L5">
        <v>3.1660749101225689E-5</v>
      </c>
      <c r="M5">
        <v>5.5307126865706856E-7</v>
      </c>
      <c r="N5" s="1">
        <v>1.20003655479727E-11</v>
      </c>
      <c r="O5" s="1">
        <v>5.5787129157395498E-15</v>
      </c>
      <c r="P5" s="1">
        <v>2.18655114512401E-14</v>
      </c>
      <c r="R5">
        <v>47.320766774279797</v>
      </c>
      <c r="S5">
        <v>2.2034869079499502</v>
      </c>
      <c r="T5">
        <v>9.9166716012794804</v>
      </c>
      <c r="V5">
        <v>37.379022997031903</v>
      </c>
      <c r="W5">
        <v>0.64447409059324101</v>
      </c>
      <c r="X5">
        <v>2.5355776288654899</v>
      </c>
      <c r="AJ5">
        <v>9.3067492508649305E-2</v>
      </c>
      <c r="AK5">
        <v>9.1866207831759306E-2</v>
      </c>
      <c r="AL5">
        <v>0.76965571012858602</v>
      </c>
      <c r="AM5">
        <v>1.34401389182761E-2</v>
      </c>
      <c r="AN5">
        <v>3.1970450612728699E-2</v>
      </c>
    </row>
    <row r="6" spans="1:40" x14ac:dyDescent="0.2">
      <c r="A6">
        <v>39</v>
      </c>
      <c r="B6">
        <v>741</v>
      </c>
      <c r="C6">
        <v>250</v>
      </c>
      <c r="D6">
        <v>0.31765567223783697</v>
      </c>
      <c r="E6">
        <v>3.0825589729706601E-2</v>
      </c>
      <c r="F6">
        <v>4.6566522223706803</v>
      </c>
      <c r="G6">
        <v>-0.29313794384898334</v>
      </c>
      <c r="H6">
        <v>-0.23808870097738616</v>
      </c>
      <c r="I6">
        <v>5.4281164395402197E-2</v>
      </c>
      <c r="J6">
        <v>2.82595886595947E-2</v>
      </c>
      <c r="K6">
        <v>6.6196890507776501E-3</v>
      </c>
      <c r="L6">
        <v>3.1560031003704882E-5</v>
      </c>
      <c r="M6">
        <v>5.5277884431263334E-7</v>
      </c>
      <c r="N6" s="1">
        <v>3.4615377315300001E-11</v>
      </c>
      <c r="O6" s="1">
        <v>1.44331276842065E-14</v>
      </c>
      <c r="P6" s="1">
        <v>5.1867613446807003E-14</v>
      </c>
      <c r="R6">
        <v>47.269721218150501</v>
      </c>
      <c r="S6">
        <v>2.2725717992423</v>
      </c>
      <c r="T6">
        <v>9.9548148576820097</v>
      </c>
      <c r="V6">
        <v>36.939488388089501</v>
      </c>
      <c r="W6">
        <v>1.0208511093077399</v>
      </c>
      <c r="X6">
        <v>2.5425526275278401</v>
      </c>
      <c r="AJ6">
        <v>9.32852066174122E-2</v>
      </c>
      <c r="AK6">
        <v>9.2181712175208E-2</v>
      </c>
      <c r="AL6">
        <v>0.76029327909587496</v>
      </c>
      <c r="AM6">
        <v>2.1280529287049599E-2</v>
      </c>
      <c r="AN6">
        <v>3.2959272824454697E-2</v>
      </c>
    </row>
    <row r="7" spans="1:40" x14ac:dyDescent="0.2">
      <c r="A7">
        <v>40</v>
      </c>
      <c r="B7">
        <v>740</v>
      </c>
      <c r="C7">
        <v>250</v>
      </c>
      <c r="D7">
        <v>0.31691309282929903</v>
      </c>
      <c r="E7">
        <v>3.8549608412722501E-2</v>
      </c>
      <c r="F7">
        <v>4.6587659363756302</v>
      </c>
      <c r="G7">
        <v>-0.36693276599442692</v>
      </c>
      <c r="H7">
        <v>-0.29811336575479719</v>
      </c>
      <c r="I7">
        <v>6.7926171089798801E-2</v>
      </c>
      <c r="J7">
        <v>3.5310518741797102E-2</v>
      </c>
      <c r="K7">
        <v>8.2746394515610493E-3</v>
      </c>
      <c r="L7">
        <v>3.1478563926344043E-5</v>
      </c>
      <c r="M7">
        <v>5.525103749382721E-7</v>
      </c>
      <c r="N7" s="1">
        <v>4.5496866835761899E-11</v>
      </c>
      <c r="O7" s="1">
        <v>1.8030204264829101E-14</v>
      </c>
      <c r="P7" s="1">
        <v>6.2143780135302395E-14</v>
      </c>
      <c r="R7">
        <v>47.2172059602537</v>
      </c>
      <c r="S7">
        <v>2.3374227775756302</v>
      </c>
      <c r="T7">
        <v>9.9938721068829199</v>
      </c>
      <c r="V7">
        <v>36.608704597564603</v>
      </c>
      <c r="W7">
        <v>1.29947523864496</v>
      </c>
      <c r="X7">
        <v>2.54331931907811</v>
      </c>
      <c r="AJ7">
        <v>9.3282528107524507E-2</v>
      </c>
      <c r="AK7">
        <v>9.25128288989953E-2</v>
      </c>
      <c r="AL7">
        <v>0.75323627596286902</v>
      </c>
      <c r="AM7">
        <v>2.70797480669259E-2</v>
      </c>
      <c r="AN7">
        <v>3.3888618963684898E-2</v>
      </c>
    </row>
    <row r="8" spans="1:40" x14ac:dyDescent="0.2">
      <c r="A8">
        <v>52</v>
      </c>
      <c r="B8">
        <v>746</v>
      </c>
      <c r="C8">
        <v>225</v>
      </c>
      <c r="D8">
        <v>0.34832998086640898</v>
      </c>
      <c r="E8">
        <v>9.5072382808462901E-3</v>
      </c>
      <c r="F8">
        <v>4.6508348346702801</v>
      </c>
      <c r="G8">
        <v>-9.0561151062353309E-2</v>
      </c>
      <c r="H8">
        <v>-7.3463334150304177E-2</v>
      </c>
      <c r="I8">
        <v>1.6776546055093999E-2</v>
      </c>
      <c r="J8">
        <v>8.7339987822420192E-3</v>
      </c>
      <c r="K8">
        <v>2.04420036806581E-3</v>
      </c>
      <c r="L8">
        <v>3.1612839122222616E-5</v>
      </c>
      <c r="M8">
        <v>5.5326485715303372E-7</v>
      </c>
      <c r="N8" s="1">
        <v>9.5473229030506302E-12</v>
      </c>
      <c r="O8" s="1">
        <v>4.45216746327618E-15</v>
      </c>
      <c r="P8" s="1">
        <v>1.8133324154178802E-14</v>
      </c>
      <c r="R8">
        <v>47.315665292727701</v>
      </c>
      <c r="S8">
        <v>2.1846879817802298</v>
      </c>
      <c r="T8">
        <v>10.042038520589401</v>
      </c>
      <c r="V8">
        <v>37.025529665694499</v>
      </c>
      <c r="W8">
        <v>0.77484325764726902</v>
      </c>
      <c r="X8">
        <v>2.6572352815607299</v>
      </c>
      <c r="AJ8">
        <v>9.7455498398552498E-2</v>
      </c>
      <c r="AK8">
        <v>9.2953763041262502E-2</v>
      </c>
      <c r="AL8">
        <v>0.76177210458667</v>
      </c>
      <c r="AM8">
        <v>1.6146090734049798E-2</v>
      </c>
      <c r="AN8">
        <v>3.1672543239464203E-2</v>
      </c>
    </row>
    <row r="9" spans="1:40" x14ac:dyDescent="0.2">
      <c r="A9">
        <v>53</v>
      </c>
      <c r="B9">
        <v>745</v>
      </c>
      <c r="C9">
        <v>225</v>
      </c>
      <c r="D9">
        <v>0.347621175661739</v>
      </c>
      <c r="E9">
        <v>2.6661701808420101E-2</v>
      </c>
      <c r="F9">
        <v>4.6535413262955103</v>
      </c>
      <c r="G9">
        <v>-0.25427759993412946</v>
      </c>
      <c r="H9">
        <v>-0.2063303057057822</v>
      </c>
      <c r="I9">
        <v>4.7092564188329002E-2</v>
      </c>
      <c r="J9">
        <v>2.4465066329958401E-2</v>
      </c>
      <c r="K9">
        <v>5.7293359914446802E-3</v>
      </c>
      <c r="L9">
        <v>3.1514062282318866E-5</v>
      </c>
      <c r="M9">
        <v>5.5296835276066715E-7</v>
      </c>
      <c r="N9" s="1">
        <v>2.9360450221769401E-11</v>
      </c>
      <c r="O9" s="1">
        <v>1.24721401274061E-14</v>
      </c>
      <c r="P9" s="1">
        <v>4.7500927118789802E-14</v>
      </c>
      <c r="R9">
        <v>47.261393451451603</v>
      </c>
      <c r="S9">
        <v>2.25154396866651</v>
      </c>
      <c r="T9">
        <v>10.0877270552933</v>
      </c>
      <c r="V9">
        <v>36.598955924855801</v>
      </c>
      <c r="W9">
        <v>1.1369723780230201</v>
      </c>
      <c r="X9">
        <v>2.6634072217096101</v>
      </c>
      <c r="AJ9">
        <v>9.7643962712650301E-2</v>
      </c>
      <c r="AK9">
        <v>9.3340452622778694E-2</v>
      </c>
      <c r="AL9">
        <v>0.75270355625428198</v>
      </c>
      <c r="AM9">
        <v>2.3682902705600101E-2</v>
      </c>
      <c r="AN9">
        <v>3.2629125704688101E-2</v>
      </c>
    </row>
    <row r="10" spans="1:40" x14ac:dyDescent="0.2">
      <c r="A10">
        <v>62</v>
      </c>
      <c r="B10">
        <v>750</v>
      </c>
      <c r="C10">
        <v>200</v>
      </c>
      <c r="D10">
        <v>0.37802912573913899</v>
      </c>
      <c r="E10">
        <v>1.43569270945902E-2</v>
      </c>
      <c r="F10">
        <v>4.6487601017896498</v>
      </c>
      <c r="G10">
        <v>-0.13724996739294684</v>
      </c>
      <c r="H10">
        <v>-0.11123252633587945</v>
      </c>
      <c r="I10">
        <v>2.5428765143984101E-2</v>
      </c>
      <c r="J10">
        <v>1.3195917900922E-2</v>
      </c>
      <c r="K10">
        <v>3.0883346914509801E-3</v>
      </c>
      <c r="L10">
        <v>3.1524465439896699E-5</v>
      </c>
      <c r="M10">
        <v>5.533078577830939E-7</v>
      </c>
      <c r="N10" s="1">
        <v>1.4806634606670799E-11</v>
      </c>
      <c r="O10" s="1">
        <v>6.7140986956563301E-15</v>
      </c>
      <c r="P10" s="1">
        <v>2.7906498626685799E-14</v>
      </c>
      <c r="R10">
        <v>47.283514048600601</v>
      </c>
      <c r="S10">
        <v>2.1938632299390499</v>
      </c>
      <c r="T10">
        <v>10.197726204703001</v>
      </c>
      <c r="V10">
        <v>36.485930630134199</v>
      </c>
      <c r="W10">
        <v>1.0536592320718901</v>
      </c>
      <c r="X10">
        <v>2.7853066545510101</v>
      </c>
      <c r="AJ10">
        <v>0.102052641568941</v>
      </c>
      <c r="AK10">
        <v>9.4302528563157406E-2</v>
      </c>
      <c r="AL10">
        <v>0.74993584182234896</v>
      </c>
      <c r="AM10">
        <v>2.1934543700633299E-2</v>
      </c>
      <c r="AN10">
        <v>3.1774444344918502E-2</v>
      </c>
    </row>
    <row r="11" spans="1:40" x14ac:dyDescent="0.2">
      <c r="A11">
        <v>63</v>
      </c>
      <c r="B11">
        <v>749</v>
      </c>
      <c r="C11">
        <v>200</v>
      </c>
      <c r="D11">
        <v>0.37735214988015597</v>
      </c>
      <c r="E11">
        <v>2.5897474735341701E-2</v>
      </c>
      <c r="F11">
        <v>4.6511487655667603</v>
      </c>
      <c r="G11">
        <v>-0.2478213295529049</v>
      </c>
      <c r="H11">
        <v>-0.20090107973615426</v>
      </c>
      <c r="I11">
        <v>4.5903487567138503E-2</v>
      </c>
      <c r="J11">
        <v>2.37807185825188E-2</v>
      </c>
      <c r="K11">
        <v>5.5679738577843604E-3</v>
      </c>
      <c r="L11">
        <v>3.143880352279506E-5</v>
      </c>
      <c r="M11">
        <v>5.5302810135943665E-7</v>
      </c>
      <c r="N11" s="1">
        <v>2.8252596105844201E-11</v>
      </c>
      <c r="O11" s="1">
        <v>1.2096465762776501E-14</v>
      </c>
      <c r="P11" s="1">
        <v>4.8501708532878997E-14</v>
      </c>
      <c r="R11">
        <v>47.2274497091867</v>
      </c>
      <c r="S11">
        <v>2.25681445996026</v>
      </c>
      <c r="T11">
        <v>10.247610557026899</v>
      </c>
      <c r="V11">
        <v>36.114931451241802</v>
      </c>
      <c r="W11">
        <v>1.3648594805112599</v>
      </c>
      <c r="X11">
        <v>2.7883343420729698</v>
      </c>
      <c r="AJ11">
        <v>0.10212917492234699</v>
      </c>
      <c r="AK11">
        <v>9.4731921061710994E-2</v>
      </c>
      <c r="AL11">
        <v>0.74206033657163895</v>
      </c>
      <c r="AM11">
        <v>2.8403385622548301E-2</v>
      </c>
      <c r="AN11">
        <v>3.2675181821753399E-2</v>
      </c>
    </row>
    <row r="12" spans="1:40" x14ac:dyDescent="0.2">
      <c r="A12">
        <v>76</v>
      </c>
      <c r="B12">
        <v>755</v>
      </c>
      <c r="C12">
        <v>175</v>
      </c>
      <c r="D12">
        <v>0.40814132179156798</v>
      </c>
      <c r="E12">
        <v>1.0743573691053001E-2</v>
      </c>
      <c r="F12">
        <v>4.6454934376704999</v>
      </c>
      <c r="G12">
        <v>-0.10304732497556754</v>
      </c>
      <c r="H12">
        <v>-8.3410335464845206E-2</v>
      </c>
      <c r="I12">
        <v>1.9099343005127899E-2</v>
      </c>
      <c r="J12">
        <v>9.8856159564685003E-3</v>
      </c>
      <c r="K12">
        <v>2.3126873033406802E-3</v>
      </c>
      <c r="L12">
        <v>3.1473248348326098E-5</v>
      </c>
      <c r="M12">
        <v>5.5340883096974634E-7</v>
      </c>
      <c r="N12" s="1">
        <v>1.08285098892675E-11</v>
      </c>
      <c r="O12" s="1">
        <v>5.0180744267325002E-15</v>
      </c>
      <c r="P12" s="1">
        <v>2.2067964971832199E-14</v>
      </c>
      <c r="R12">
        <v>47.261625849860899</v>
      </c>
      <c r="S12">
        <v>2.18348960019074</v>
      </c>
      <c r="T12">
        <v>10.353228856869301</v>
      </c>
      <c r="V12">
        <v>36.087270909163003</v>
      </c>
      <c r="W12">
        <v>1.19913284844048</v>
      </c>
      <c r="X12">
        <v>2.9152519354752999</v>
      </c>
      <c r="AJ12">
        <v>0.106719535528603</v>
      </c>
      <c r="AK12">
        <v>9.5656041472286402E-2</v>
      </c>
      <c r="AL12">
        <v>0.74108721734915395</v>
      </c>
      <c r="AM12">
        <v>2.49409118668622E-2</v>
      </c>
      <c r="AN12">
        <v>3.1596293783093102E-2</v>
      </c>
    </row>
    <row r="13" spans="1:40" x14ac:dyDescent="0.2">
      <c r="A13">
        <v>77</v>
      </c>
      <c r="B13">
        <v>754</v>
      </c>
      <c r="C13">
        <v>175</v>
      </c>
      <c r="D13">
        <v>0.40749695760112897</v>
      </c>
      <c r="E13">
        <v>2.1597663402894401E-2</v>
      </c>
      <c r="F13">
        <v>4.6478092859541897</v>
      </c>
      <c r="G13">
        <v>-0.20734233981653816</v>
      </c>
      <c r="H13">
        <v>-0.16787801657833787</v>
      </c>
      <c r="I13">
        <v>3.8421187984423101E-2</v>
      </c>
      <c r="J13">
        <v>1.98558331804243E-2</v>
      </c>
      <c r="K13">
        <v>4.6468480254048296E-3</v>
      </c>
      <c r="L13">
        <v>3.1394326977968523E-5</v>
      </c>
      <c r="M13">
        <v>5.5314061475304405E-7</v>
      </c>
      <c r="N13" s="1">
        <v>2.2757959170444499E-11</v>
      </c>
      <c r="O13" s="1">
        <v>1.0075024796474799E-14</v>
      </c>
      <c r="P13" s="1">
        <v>4.32618818653785E-14</v>
      </c>
      <c r="R13">
        <v>47.205166555477803</v>
      </c>
      <c r="S13">
        <v>2.2437102294311502</v>
      </c>
      <c r="T13">
        <v>10.4058154003996</v>
      </c>
      <c r="V13">
        <v>35.731611995125498</v>
      </c>
      <c r="W13">
        <v>1.4961792299436201</v>
      </c>
      <c r="X13">
        <v>2.9175165896221</v>
      </c>
      <c r="AJ13">
        <v>0.106768839232316</v>
      </c>
      <c r="AK13">
        <v>9.6111656075138996E-2</v>
      </c>
      <c r="AL13">
        <v>0.73355257311511202</v>
      </c>
      <c r="AM13">
        <v>3.1109426299170798E-2</v>
      </c>
      <c r="AN13">
        <v>3.2457505278261502E-2</v>
      </c>
    </row>
    <row r="14" spans="1:40" x14ac:dyDescent="0.2">
      <c r="A14">
        <v>94</v>
      </c>
      <c r="B14">
        <v>761</v>
      </c>
      <c r="C14">
        <v>150</v>
      </c>
      <c r="D14">
        <v>0.43857322438717999</v>
      </c>
      <c r="E14">
        <v>7.3374396340401904E-3</v>
      </c>
      <c r="F14">
        <v>4.6421682693913704</v>
      </c>
      <c r="G14">
        <v>-7.0636581399298071E-2</v>
      </c>
      <c r="H14">
        <v>-5.7088278556418182E-2</v>
      </c>
      <c r="I14">
        <v>1.31009068731614E-2</v>
      </c>
      <c r="J14">
        <v>6.7600918054624703E-3</v>
      </c>
      <c r="K14">
        <v>1.58060613235852E-3</v>
      </c>
      <c r="L14">
        <v>3.1418038041549751E-5</v>
      </c>
      <c r="M14">
        <v>5.5341985592002039E-7</v>
      </c>
      <c r="N14" s="1">
        <v>7.1722423220072499E-12</v>
      </c>
      <c r="O14" s="1">
        <v>3.4214850342996899E-15</v>
      </c>
      <c r="P14" s="1">
        <v>1.6026377169022901E-14</v>
      </c>
      <c r="R14">
        <v>47.223513646430597</v>
      </c>
      <c r="S14">
        <v>2.1831095376429901</v>
      </c>
      <c r="T14">
        <v>10.535701568620199</v>
      </c>
      <c r="V14">
        <v>35.628354824288003</v>
      </c>
      <c r="W14">
        <v>1.37679080201353</v>
      </c>
      <c r="X14">
        <v>3.0525296210045001</v>
      </c>
      <c r="AJ14">
        <v>0.111635876779947</v>
      </c>
      <c r="AK14">
        <v>9.7246978713527998E-2</v>
      </c>
      <c r="AL14">
        <v>0.73094907019815203</v>
      </c>
      <c r="AM14">
        <v>2.8608102312546201E-2</v>
      </c>
      <c r="AN14">
        <v>3.1559971995824901E-2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30F61-063E-4BC2-A626-6FADB4D9FD09}">
  <sheetPr codeName="Sheet7"/>
  <dimension ref="A1:AN25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124</v>
      </c>
      <c r="AK1" t="s">
        <v>125</v>
      </c>
      <c r="AL1" t="s">
        <v>126</v>
      </c>
      <c r="AM1" t="s">
        <v>101</v>
      </c>
      <c r="AN1" t="s">
        <v>127</v>
      </c>
    </row>
    <row r="2" spans="1:40" x14ac:dyDescent="0.2">
      <c r="A2">
        <v>20</v>
      </c>
      <c r="B2">
        <v>738</v>
      </c>
      <c r="C2">
        <v>275</v>
      </c>
      <c r="D2">
        <v>0.28822677149780002</v>
      </c>
      <c r="E2">
        <v>0.35956316616303902</v>
      </c>
      <c r="F2">
        <v>4.9389666382691901</v>
      </c>
      <c r="G2">
        <v>-2.4019421337321392</v>
      </c>
      <c r="H2">
        <v>-1.7624262984408325</v>
      </c>
      <c r="I2">
        <v>0.63246386321644199</v>
      </c>
      <c r="J2">
        <v>0.31863532691311602</v>
      </c>
      <c r="K2">
        <v>7.2801294784417603E-2</v>
      </c>
      <c r="L2">
        <v>3.5624469441302484E-5</v>
      </c>
      <c r="M2">
        <v>4.1448731482578491E-7</v>
      </c>
      <c r="N2" s="1">
        <v>1.41655947027984E-9</v>
      </c>
      <c r="O2" s="1">
        <v>1.7503196457730801E-13</v>
      </c>
      <c r="P2">
        <v>0</v>
      </c>
      <c r="R2">
        <v>9.0499859253700894</v>
      </c>
      <c r="S2">
        <v>1.8119175822938001</v>
      </c>
      <c r="T2">
        <v>49.860264493903998</v>
      </c>
      <c r="V2">
        <v>38.374242779024797</v>
      </c>
      <c r="X2">
        <v>0.90358921940713</v>
      </c>
      <c r="AJ2">
        <v>0</v>
      </c>
      <c r="AK2">
        <v>-1.04868784984785E-2</v>
      </c>
      <c r="AL2">
        <v>0.70437900380787</v>
      </c>
      <c r="AM2">
        <v>5.0577121476263601E-2</v>
      </c>
      <c r="AN2">
        <v>0.25553075321434399</v>
      </c>
    </row>
    <row r="3" spans="1:40" x14ac:dyDescent="0.2">
      <c r="A3">
        <v>21</v>
      </c>
      <c r="B3">
        <v>737</v>
      </c>
      <c r="C3">
        <v>275</v>
      </c>
      <c r="D3">
        <v>0.28745285353660599</v>
      </c>
      <c r="E3">
        <v>0.41313233265510602</v>
      </c>
      <c r="F3">
        <v>4.9394411065236303</v>
      </c>
      <c r="G3">
        <v>-2.7586183712707846</v>
      </c>
      <c r="H3">
        <v>-2.0249643670796496</v>
      </c>
      <c r="I3">
        <v>0.72628223946060899</v>
      </c>
      <c r="J3">
        <v>0.36612525439944898</v>
      </c>
      <c r="K3">
        <v>8.3639489518251897E-2</v>
      </c>
      <c r="L3">
        <v>3.572602532092521E-5</v>
      </c>
      <c r="M3">
        <v>4.1582561958100539E-7</v>
      </c>
      <c r="N3" s="1">
        <v>1.6331983528300299E-9</v>
      </c>
      <c r="O3" s="1">
        <v>2.0184832530442699E-13</v>
      </c>
      <c r="P3">
        <v>0</v>
      </c>
      <c r="R3">
        <v>8.9122235252482795</v>
      </c>
      <c r="S3">
        <v>1.87933471292721</v>
      </c>
      <c r="T3">
        <v>50.0435801603413</v>
      </c>
      <c r="V3">
        <v>38.2674141665306</v>
      </c>
      <c r="X3">
        <v>0.897447434952518</v>
      </c>
      <c r="AJ3">
        <v>0</v>
      </c>
      <c r="AK3">
        <v>-8.6497813753099798E-3</v>
      </c>
      <c r="AL3">
        <v>0.70683329637271197</v>
      </c>
      <c r="AM3">
        <v>5.0223721685983602E-2</v>
      </c>
      <c r="AN3">
        <v>0.25159276331661301</v>
      </c>
    </row>
    <row r="4" spans="1:40" x14ac:dyDescent="0.2">
      <c r="A4">
        <v>22</v>
      </c>
      <c r="B4">
        <v>736</v>
      </c>
      <c r="C4">
        <v>275</v>
      </c>
      <c r="D4">
        <v>0.28667740177377199</v>
      </c>
      <c r="E4">
        <v>0.43102562246548498</v>
      </c>
      <c r="F4">
        <v>4.93982171930534</v>
      </c>
      <c r="G4">
        <v>-2.8770923519411182</v>
      </c>
      <c r="H4">
        <v>-2.1128366116376083</v>
      </c>
      <c r="I4">
        <v>0.75732620552297403</v>
      </c>
      <c r="J4">
        <v>0.38199842018501701</v>
      </c>
      <c r="K4">
        <v>8.72552992714275E-2</v>
      </c>
      <c r="L4">
        <v>3.5805691182242619E-5</v>
      </c>
      <c r="M4">
        <v>4.1691964070027546E-7</v>
      </c>
      <c r="N4" s="1">
        <v>1.70873474846634E-9</v>
      </c>
      <c r="O4" s="1">
        <v>2.11227559660969E-13</v>
      </c>
      <c r="P4">
        <v>0</v>
      </c>
      <c r="R4">
        <v>8.7952906521152201</v>
      </c>
      <c r="S4">
        <v>1.94003627568423</v>
      </c>
      <c r="T4">
        <v>50.194935496911597</v>
      </c>
      <c r="V4">
        <v>38.177789232618103</v>
      </c>
      <c r="X4">
        <v>0.89194834267076195</v>
      </c>
      <c r="AJ4">
        <v>0</v>
      </c>
      <c r="AK4">
        <v>-6.9979624127684903E-3</v>
      </c>
      <c r="AL4">
        <v>0.70884379184381496</v>
      </c>
      <c r="AM4">
        <v>4.9907013989817901E-2</v>
      </c>
      <c r="AN4">
        <v>0.24824715657913499</v>
      </c>
    </row>
    <row r="5" spans="1:40" x14ac:dyDescent="0.2">
      <c r="A5">
        <v>38</v>
      </c>
      <c r="B5">
        <v>742</v>
      </c>
      <c r="C5">
        <v>250</v>
      </c>
      <c r="D5">
        <v>0.318396788651924</v>
      </c>
      <c r="E5">
        <v>0.37784164504371798</v>
      </c>
      <c r="F5">
        <v>4.9355459481350996</v>
      </c>
      <c r="G5">
        <v>-2.5319878733140246</v>
      </c>
      <c r="H5">
        <v>-1.8556425533312733</v>
      </c>
      <c r="I5">
        <v>0.66625160811973605</v>
      </c>
      <c r="J5">
        <v>0.33500852461632502</v>
      </c>
      <c r="K5">
        <v>7.6555187412749207E-2</v>
      </c>
      <c r="L5">
        <v>3.5663355743408148E-5</v>
      </c>
      <c r="M5">
        <v>4.1502849174611248E-7</v>
      </c>
      <c r="N5" s="1">
        <v>1.4868605344567001E-9</v>
      </c>
      <c r="O5" s="1">
        <v>1.8347228498104501E-13</v>
      </c>
      <c r="P5">
        <v>0</v>
      </c>
      <c r="R5">
        <v>9.1432063210412302</v>
      </c>
      <c r="S5">
        <v>1.7876071210713</v>
      </c>
      <c r="T5">
        <v>49.736251782841499</v>
      </c>
      <c r="V5">
        <v>38.378714189510099</v>
      </c>
      <c r="X5">
        <v>0.95422058553572597</v>
      </c>
      <c r="AJ5">
        <v>0</v>
      </c>
      <c r="AK5">
        <v>-1.3854044968690001E-2</v>
      </c>
      <c r="AL5">
        <v>0.70238664305974696</v>
      </c>
      <c r="AM5">
        <v>5.33928639128083E-2</v>
      </c>
      <c r="AN5">
        <v>0.258074537996134</v>
      </c>
    </row>
    <row r="6" spans="1:40" x14ac:dyDescent="0.2">
      <c r="A6">
        <v>39</v>
      </c>
      <c r="B6">
        <v>741</v>
      </c>
      <c r="C6">
        <v>250</v>
      </c>
      <c r="D6">
        <v>0.31765567223783697</v>
      </c>
      <c r="E6">
        <v>0.42633767668028399</v>
      </c>
      <c r="F6">
        <v>4.9360813485717303</v>
      </c>
      <c r="G6">
        <v>-2.8555954437640834</v>
      </c>
      <c r="H6">
        <v>-2.0936283367421127</v>
      </c>
      <c r="I6">
        <v>0.75133570677115802</v>
      </c>
      <c r="J6">
        <v>0.37802437341856898</v>
      </c>
      <c r="K6">
        <v>8.6371687695877497E-2</v>
      </c>
      <c r="L6">
        <v>3.577142317433846E-5</v>
      </c>
      <c r="M6">
        <v>4.1643731380050483E-7</v>
      </c>
      <c r="N6" s="1">
        <v>1.68376018480376E-9</v>
      </c>
      <c r="O6" s="1">
        <v>2.0782239268770699E-13</v>
      </c>
      <c r="P6">
        <v>0</v>
      </c>
      <c r="R6">
        <v>9.0009903682172006</v>
      </c>
      <c r="S6">
        <v>1.8543231139284599</v>
      </c>
      <c r="T6">
        <v>49.928789049676297</v>
      </c>
      <c r="V6">
        <v>38.268186314645398</v>
      </c>
      <c r="X6">
        <v>0.94771115353248803</v>
      </c>
      <c r="AJ6">
        <v>0</v>
      </c>
      <c r="AK6">
        <v>-1.2012000932283501E-2</v>
      </c>
      <c r="AL6">
        <v>0.70497842381734699</v>
      </c>
      <c r="AM6">
        <v>5.3019060520728502E-2</v>
      </c>
      <c r="AN6">
        <v>0.25401451659420599</v>
      </c>
    </row>
    <row r="7" spans="1:40" x14ac:dyDescent="0.2">
      <c r="A7">
        <v>40</v>
      </c>
      <c r="B7">
        <v>740</v>
      </c>
      <c r="C7">
        <v>250</v>
      </c>
      <c r="D7">
        <v>0.31691309282929903</v>
      </c>
      <c r="E7">
        <v>0.442545078244793</v>
      </c>
      <c r="F7">
        <v>4.9365062405482298</v>
      </c>
      <c r="G7">
        <v>-2.9629959144024478</v>
      </c>
      <c r="H7">
        <v>-2.1732763774342079</v>
      </c>
      <c r="I7">
        <v>0.77946951287394695</v>
      </c>
      <c r="J7">
        <v>0.39241007658828803</v>
      </c>
      <c r="K7">
        <v>8.9647426070233099E-2</v>
      </c>
      <c r="L7">
        <v>3.5855717666906129E-5</v>
      </c>
      <c r="M7">
        <v>4.1758151884308843E-7</v>
      </c>
      <c r="N7" s="1">
        <v>1.75290783626945E-9</v>
      </c>
      <c r="O7" s="1">
        <v>2.1640467500796299E-13</v>
      </c>
      <c r="P7">
        <v>0</v>
      </c>
      <c r="R7">
        <v>8.8810880679564601</v>
      </c>
      <c r="S7">
        <v>1.9143019307988001</v>
      </c>
      <c r="T7">
        <v>50.086597506197698</v>
      </c>
      <c r="V7">
        <v>38.176037285880099</v>
      </c>
      <c r="X7">
        <v>0.94197520916681199</v>
      </c>
      <c r="AJ7">
        <v>0</v>
      </c>
      <c r="AK7">
        <v>-1.03629471326371E-2</v>
      </c>
      <c r="AL7">
        <v>0.70708581304422002</v>
      </c>
      <c r="AM7">
        <v>5.2689164316103203E-2</v>
      </c>
      <c r="AN7">
        <v>0.25058796977231301</v>
      </c>
    </row>
    <row r="8" spans="1:40" x14ac:dyDescent="0.2">
      <c r="A8">
        <v>51</v>
      </c>
      <c r="B8">
        <v>747</v>
      </c>
      <c r="C8">
        <v>225</v>
      </c>
      <c r="D8">
        <v>0.34903739646130499</v>
      </c>
      <c r="E8">
        <v>0.239070931519997</v>
      </c>
      <c r="F8">
        <v>4.9447902993373196</v>
      </c>
      <c r="G8">
        <v>-1.5907530718950418</v>
      </c>
      <c r="H8">
        <v>-1.1606491880466556</v>
      </c>
      <c r="I8">
        <v>0.42160847311511601</v>
      </c>
      <c r="J8">
        <v>0.21190053587244301</v>
      </c>
      <c r="K8">
        <v>4.8348042494751699E-2</v>
      </c>
      <c r="L8">
        <v>3.6855123569233918E-5</v>
      </c>
      <c r="M8">
        <v>4.2740302772111589E-7</v>
      </c>
      <c r="N8" s="1">
        <v>9.6946118074710598E-10</v>
      </c>
      <c r="O8" s="1">
        <v>1.20002911567653E-13</v>
      </c>
      <c r="P8">
        <v>0</v>
      </c>
      <c r="R8">
        <v>8.2347417332945607</v>
      </c>
      <c r="S8">
        <v>1.8085311976879801</v>
      </c>
      <c r="T8">
        <v>51.413529168247003</v>
      </c>
      <c r="V8">
        <v>37.684451158612397</v>
      </c>
      <c r="X8">
        <v>0.85874674215794</v>
      </c>
      <c r="AJ8">
        <v>0</v>
      </c>
      <c r="AK8">
        <v>-8.0610870107934492E-3</v>
      </c>
      <c r="AL8">
        <v>0.72715879433484298</v>
      </c>
      <c r="AM8">
        <v>4.8122501084646399E-2</v>
      </c>
      <c r="AN8">
        <v>0.23277979159130299</v>
      </c>
    </row>
    <row r="9" spans="1:40" x14ac:dyDescent="0.2">
      <c r="A9">
        <v>52</v>
      </c>
      <c r="B9">
        <v>746</v>
      </c>
      <c r="C9">
        <v>225</v>
      </c>
      <c r="D9">
        <v>0.34832998086640898</v>
      </c>
      <c r="E9">
        <v>0.40913959478398598</v>
      </c>
      <c r="F9">
        <v>4.9320668147049496</v>
      </c>
      <c r="G9">
        <v>-2.750468052329472</v>
      </c>
      <c r="H9">
        <v>-2.0134072116348896</v>
      </c>
      <c r="I9">
        <v>0.72321134346718496</v>
      </c>
      <c r="J9">
        <v>0.36296239073704001</v>
      </c>
      <c r="K9">
        <v>8.2954998412458097E-2</v>
      </c>
      <c r="L9">
        <v>3.572631296645351E-5</v>
      </c>
      <c r="M9">
        <v>4.1585057506512008E-7</v>
      </c>
      <c r="N9" s="1">
        <v>1.6092806276566401E-9</v>
      </c>
      <c r="O9" s="1">
        <v>1.98310156524863E-13</v>
      </c>
      <c r="P9">
        <v>0</v>
      </c>
      <c r="R9">
        <v>9.2095268743710896</v>
      </c>
      <c r="S9">
        <v>1.7790111977351699</v>
      </c>
      <c r="T9">
        <v>49.646181789562299</v>
      </c>
      <c r="V9">
        <v>38.359503103931203</v>
      </c>
      <c r="X9">
        <v>1.00577703440008</v>
      </c>
      <c r="AJ9">
        <v>0</v>
      </c>
      <c r="AK9">
        <v>-1.6922048291450199E-2</v>
      </c>
      <c r="AL9">
        <v>0.70082742967306899</v>
      </c>
      <c r="AM9">
        <v>5.6254620166635398E-2</v>
      </c>
      <c r="AN9">
        <v>0.25983999845174399</v>
      </c>
    </row>
    <row r="10" spans="1:40" x14ac:dyDescent="0.2">
      <c r="A10">
        <v>53</v>
      </c>
      <c r="B10">
        <v>745</v>
      </c>
      <c r="C10">
        <v>225</v>
      </c>
      <c r="D10">
        <v>0.347621175661739</v>
      </c>
      <c r="E10">
        <v>0.44268737318385598</v>
      </c>
      <c r="F10">
        <v>4.9326326420130897</v>
      </c>
      <c r="G10">
        <v>-2.974475665845651</v>
      </c>
      <c r="H10">
        <v>-2.1782184179654012</v>
      </c>
      <c r="I10">
        <v>0.78206280791656402</v>
      </c>
      <c r="J10">
        <v>0.39273946350454297</v>
      </c>
      <c r="K10">
        <v>8.9746673898502202E-2</v>
      </c>
      <c r="L10">
        <v>3.5834086746794843E-5</v>
      </c>
      <c r="M10">
        <v>4.1725374373318736E-7</v>
      </c>
      <c r="N10" s="1">
        <v>1.7474959039676301E-9</v>
      </c>
      <c r="O10" s="1">
        <v>2.153997229478E-13</v>
      </c>
      <c r="P10">
        <v>0</v>
      </c>
      <c r="R10">
        <v>9.0692956737391093</v>
      </c>
      <c r="S10">
        <v>1.84302509282618</v>
      </c>
      <c r="T10">
        <v>49.837977790131902</v>
      </c>
      <c r="V10">
        <v>38.250595713547497</v>
      </c>
      <c r="X10">
        <v>0.99910572975524803</v>
      </c>
      <c r="AJ10">
        <v>0</v>
      </c>
      <c r="AK10">
        <v>-1.5131098497607E-2</v>
      </c>
      <c r="AL10">
        <v>0.70341795970480303</v>
      </c>
      <c r="AM10">
        <v>5.5872195024525999E-2</v>
      </c>
      <c r="AN10">
        <v>0.25584094376827698</v>
      </c>
    </row>
    <row r="11" spans="1:40" x14ac:dyDescent="0.2">
      <c r="A11">
        <v>61</v>
      </c>
      <c r="B11">
        <v>751</v>
      </c>
      <c r="C11">
        <v>200</v>
      </c>
      <c r="D11">
        <v>0.378704779573308</v>
      </c>
      <c r="E11">
        <v>0.38344631750900798</v>
      </c>
      <c r="F11">
        <v>4.9328972909486</v>
      </c>
      <c r="G11">
        <v>-2.5759410208851512</v>
      </c>
      <c r="H11">
        <v>-1.8804998998895626</v>
      </c>
      <c r="I11">
        <v>0.67904225064256996</v>
      </c>
      <c r="J11">
        <v>0.34030047479340297</v>
      </c>
      <c r="K11">
        <v>7.7732475438439599E-2</v>
      </c>
      <c r="L11">
        <v>3.6414952020535113E-5</v>
      </c>
      <c r="M11">
        <v>4.234257874850415E-7</v>
      </c>
      <c r="N11" s="1">
        <v>1.5325844449369601E-9</v>
      </c>
      <c r="O11" s="1">
        <v>1.8879527887278999E-13</v>
      </c>
      <c r="P11">
        <v>0</v>
      </c>
      <c r="R11">
        <v>8.8086258170092595</v>
      </c>
      <c r="S11">
        <v>1.78298394611982</v>
      </c>
      <c r="T11">
        <v>50.431160857377201</v>
      </c>
      <c r="V11">
        <v>37.942034764822601</v>
      </c>
      <c r="X11">
        <v>1.03519461467106</v>
      </c>
      <c r="AJ11">
        <v>0</v>
      </c>
      <c r="AK11">
        <v>-1.8482211152835701E-2</v>
      </c>
      <c r="AL11">
        <v>0.71200977557325196</v>
      </c>
      <c r="AM11">
        <v>5.7908223097552301E-2</v>
      </c>
      <c r="AN11">
        <v>0.24856421248203001</v>
      </c>
    </row>
    <row r="12" spans="1:40" x14ac:dyDescent="0.2">
      <c r="A12">
        <v>62</v>
      </c>
      <c r="B12">
        <v>750</v>
      </c>
      <c r="C12">
        <v>200</v>
      </c>
      <c r="D12">
        <v>0.37802912573913899</v>
      </c>
      <c r="E12">
        <v>0.44574827845576698</v>
      </c>
      <c r="F12">
        <v>4.9285550991239102</v>
      </c>
      <c r="G12">
        <v>-3.0062245926567428</v>
      </c>
      <c r="H12">
        <v>-2.1980905217590787</v>
      </c>
      <c r="I12">
        <v>0.78984906504194297</v>
      </c>
      <c r="J12">
        <v>0.39568509424627502</v>
      </c>
      <c r="K12">
        <v>9.0441979340963902E-2</v>
      </c>
      <c r="L12">
        <v>3.5831937038467947E-5</v>
      </c>
      <c r="M12">
        <v>4.1716077096840377E-7</v>
      </c>
      <c r="N12" s="1">
        <v>1.7546009426726001E-9</v>
      </c>
      <c r="O12" s="1">
        <v>2.1593043650821599E-13</v>
      </c>
      <c r="P12">
        <v>0</v>
      </c>
      <c r="R12">
        <v>9.2280208756873705</v>
      </c>
      <c r="S12">
        <v>1.79670415422109</v>
      </c>
      <c r="T12">
        <v>49.617696093108698</v>
      </c>
      <c r="V12">
        <v>38.299906657412897</v>
      </c>
      <c r="X12">
        <v>1.0576722195697501</v>
      </c>
      <c r="AJ12">
        <v>0</v>
      </c>
      <c r="AK12">
        <v>-1.94235236410196E-2</v>
      </c>
      <c r="AL12">
        <v>0.700067679506028</v>
      </c>
      <c r="AM12">
        <v>5.9126990463259997E-2</v>
      </c>
      <c r="AN12">
        <v>0.26022885367172999</v>
      </c>
    </row>
    <row r="13" spans="1:40" x14ac:dyDescent="0.2">
      <c r="A13">
        <v>63</v>
      </c>
      <c r="B13">
        <v>749</v>
      </c>
      <c r="C13">
        <v>200</v>
      </c>
      <c r="D13">
        <v>0.37735214988015597</v>
      </c>
      <c r="E13">
        <v>0.46185679212900299</v>
      </c>
      <c r="F13">
        <v>4.9290983613065702</v>
      </c>
      <c r="G13">
        <v>-3.1133187111672673</v>
      </c>
      <c r="H13">
        <v>-2.2772715339698841</v>
      </c>
      <c r="I13">
        <v>0.81793002709717999</v>
      </c>
      <c r="J13">
        <v>0.409997327252281</v>
      </c>
      <c r="K13">
        <v>9.3700055927992701E-2</v>
      </c>
      <c r="L13">
        <v>3.5929603598591174E-5</v>
      </c>
      <c r="M13">
        <v>4.1844926752523934E-7</v>
      </c>
      <c r="N13" s="1">
        <v>1.8240121288939E-9</v>
      </c>
      <c r="O13" s="1">
        <v>2.2453049744326701E-13</v>
      </c>
      <c r="P13">
        <v>0</v>
      </c>
      <c r="R13">
        <v>9.0987080188916902</v>
      </c>
      <c r="S13">
        <v>1.8557372788675901</v>
      </c>
      <c r="T13">
        <v>49.7943892944106</v>
      </c>
      <c r="V13">
        <v>38.199952117651598</v>
      </c>
      <c r="X13">
        <v>1.0512132901784099</v>
      </c>
      <c r="AJ13">
        <v>0</v>
      </c>
      <c r="AK13">
        <v>-1.7755260333659699E-2</v>
      </c>
      <c r="AL13">
        <v>0.70245467601821299</v>
      </c>
      <c r="AM13">
        <v>5.8757050124185903E-2</v>
      </c>
      <c r="AN13">
        <v>0.25654353419125903</v>
      </c>
    </row>
    <row r="14" spans="1:40" x14ac:dyDescent="0.2">
      <c r="A14">
        <v>74</v>
      </c>
      <c r="B14">
        <v>757</v>
      </c>
      <c r="C14">
        <v>175</v>
      </c>
      <c r="D14">
        <v>0.40942629714119499</v>
      </c>
      <c r="E14">
        <v>0.28499825808696699</v>
      </c>
      <c r="F14">
        <v>4.9425511957560797</v>
      </c>
      <c r="G14">
        <v>-1.9005051907433406</v>
      </c>
      <c r="H14">
        <v>-1.3803740430379279</v>
      </c>
      <c r="I14">
        <v>0.50490816648586301</v>
      </c>
      <c r="J14">
        <v>0.25284310917118502</v>
      </c>
      <c r="K14">
        <v>5.7662176232323302E-2</v>
      </c>
      <c r="L14">
        <v>3.7701618850096273E-5</v>
      </c>
      <c r="M14">
        <v>4.3650532335065381E-7</v>
      </c>
      <c r="N14" s="1">
        <v>1.1755532178434899E-9</v>
      </c>
      <c r="O14" s="1">
        <v>1.4532972161276801E-13</v>
      </c>
      <c r="P14">
        <v>0</v>
      </c>
      <c r="R14">
        <v>7.81737516403199</v>
      </c>
      <c r="S14">
        <v>1.8290367074164999</v>
      </c>
      <c r="T14">
        <v>52.230555235452798</v>
      </c>
      <c r="V14">
        <v>37.198361887990899</v>
      </c>
      <c r="X14">
        <v>0.92467100510770295</v>
      </c>
      <c r="AJ14">
        <v>0</v>
      </c>
      <c r="AK14">
        <v>-1.12987394596651E-2</v>
      </c>
      <c r="AL14">
        <v>0.73855800792983795</v>
      </c>
      <c r="AM14">
        <v>5.1805808057944699E-2</v>
      </c>
      <c r="AN14">
        <v>0.22093492347188101</v>
      </c>
    </row>
    <row r="15" spans="1:40" x14ac:dyDescent="0.2">
      <c r="A15">
        <v>75</v>
      </c>
      <c r="B15">
        <v>756</v>
      </c>
      <c r="C15">
        <v>175</v>
      </c>
      <c r="D15">
        <v>0.40878443375601398</v>
      </c>
      <c r="E15">
        <v>0.42242896931631302</v>
      </c>
      <c r="F15">
        <v>4.9280968172209496</v>
      </c>
      <c r="G15">
        <v>-2.8503850006007045</v>
      </c>
      <c r="H15">
        <v>-2.078059431688251</v>
      </c>
      <c r="I15">
        <v>0.750449952788663</v>
      </c>
      <c r="J15">
        <v>0.37516637744095199</v>
      </c>
      <c r="K15">
        <v>8.5718480172743097E-2</v>
      </c>
      <c r="L15">
        <v>3.6385689450931375E-5</v>
      </c>
      <c r="M15">
        <v>4.2303869560745385E-7</v>
      </c>
      <c r="N15" s="1">
        <v>1.68256597286746E-9</v>
      </c>
      <c r="O15" s="1">
        <v>2.06925319172855E-13</v>
      </c>
      <c r="P15">
        <v>0</v>
      </c>
      <c r="R15">
        <v>8.9627919627432604</v>
      </c>
      <c r="S15">
        <v>1.77741975215126</v>
      </c>
      <c r="T15">
        <v>50.1732630724036</v>
      </c>
      <c r="V15">
        <v>37.989981386051497</v>
      </c>
      <c r="X15">
        <v>1.09654382665031</v>
      </c>
      <c r="AJ15">
        <v>0</v>
      </c>
      <c r="AK15">
        <v>-2.20241807847243E-2</v>
      </c>
      <c r="AL15">
        <v>0.70795369306867895</v>
      </c>
      <c r="AM15">
        <v>6.1304131307332602E-2</v>
      </c>
      <c r="AN15">
        <v>0.25276635640871198</v>
      </c>
    </row>
    <row r="16" spans="1:40" x14ac:dyDescent="0.2">
      <c r="A16">
        <v>76</v>
      </c>
      <c r="B16">
        <v>755</v>
      </c>
      <c r="C16">
        <v>175</v>
      </c>
      <c r="D16">
        <v>0.40814132179156798</v>
      </c>
      <c r="E16">
        <v>0.46305102333238202</v>
      </c>
      <c r="F16">
        <v>4.9243937745740398</v>
      </c>
      <c r="G16">
        <v>-3.1348667508249659</v>
      </c>
      <c r="H16">
        <v>-2.2887179151553725</v>
      </c>
      <c r="I16">
        <v>0.82298189531643495</v>
      </c>
      <c r="J16">
        <v>0.41132394493067398</v>
      </c>
      <c r="K16">
        <v>9.4032086898338099E-2</v>
      </c>
      <c r="L16">
        <v>3.5892617556932161E-5</v>
      </c>
      <c r="M16">
        <v>4.1778584844806837E-7</v>
      </c>
      <c r="N16" s="1">
        <v>1.8208377907675799E-9</v>
      </c>
      <c r="O16" s="1">
        <v>2.2373302233062001E-13</v>
      </c>
      <c r="P16">
        <v>0</v>
      </c>
      <c r="R16">
        <v>9.3121693892840192</v>
      </c>
      <c r="S16">
        <v>1.79447610244553</v>
      </c>
      <c r="T16">
        <v>49.4895662730883</v>
      </c>
      <c r="V16">
        <v>38.287452194908496</v>
      </c>
      <c r="X16">
        <v>1.1163360402734901</v>
      </c>
      <c r="AJ16">
        <v>0</v>
      </c>
      <c r="AK16">
        <v>-2.2740506824481501E-2</v>
      </c>
      <c r="AL16">
        <v>0.69789980059241297</v>
      </c>
      <c r="AM16">
        <v>6.2374290147687701E-2</v>
      </c>
      <c r="AN16">
        <v>0.26246641608437998</v>
      </c>
    </row>
    <row r="17" spans="1:40" x14ac:dyDescent="0.2">
      <c r="A17">
        <v>77</v>
      </c>
      <c r="B17">
        <v>754</v>
      </c>
      <c r="C17">
        <v>175</v>
      </c>
      <c r="D17">
        <v>0.40749695760112897</v>
      </c>
      <c r="E17">
        <v>0.47454020991824802</v>
      </c>
      <c r="F17">
        <v>4.9249605850584199</v>
      </c>
      <c r="G17">
        <v>-3.2109805971127923</v>
      </c>
      <c r="H17">
        <v>-2.3451706193562698</v>
      </c>
      <c r="I17">
        <v>0.84292457553085898</v>
      </c>
      <c r="J17">
        <v>0.42154050226308998</v>
      </c>
      <c r="K17">
        <v>9.6354113240607595E-2</v>
      </c>
      <c r="L17">
        <v>3.598914235334047E-5</v>
      </c>
      <c r="M17">
        <v>4.190584562510106E-7</v>
      </c>
      <c r="N17" s="1">
        <v>1.8721040950400702E-9</v>
      </c>
      <c r="O17" s="1">
        <v>2.3009352121588901E-13</v>
      </c>
      <c r="P17">
        <v>0</v>
      </c>
      <c r="R17">
        <v>9.1855081046721292</v>
      </c>
      <c r="S17">
        <v>1.85081564379839</v>
      </c>
      <c r="T17">
        <v>49.664238275825603</v>
      </c>
      <c r="V17">
        <v>38.1896910663041</v>
      </c>
      <c r="X17">
        <v>1.1097469093996599</v>
      </c>
      <c r="AJ17">
        <v>0</v>
      </c>
      <c r="AK17">
        <v>-2.1125092659226401E-2</v>
      </c>
      <c r="AL17">
        <v>0.70026667852305802</v>
      </c>
      <c r="AM17">
        <v>6.1997598944722801E-2</v>
      </c>
      <c r="AN17">
        <v>0.25886081519144399</v>
      </c>
    </row>
    <row r="18" spans="1:40" x14ac:dyDescent="0.2">
      <c r="A18">
        <v>91</v>
      </c>
      <c r="B18">
        <v>764</v>
      </c>
      <c r="C18">
        <v>150</v>
      </c>
      <c r="D18">
        <v>0.44039965289495597</v>
      </c>
      <c r="E18">
        <v>0.189501466387064</v>
      </c>
      <c r="F18">
        <v>4.9492049316556699</v>
      </c>
      <c r="G18">
        <v>-1.2577712240777661</v>
      </c>
      <c r="H18">
        <v>-0.9090622510041324</v>
      </c>
      <c r="I18">
        <v>0.33621845738189599</v>
      </c>
      <c r="J18">
        <v>0.168084408878372</v>
      </c>
      <c r="K18">
        <v>3.8289274540844201E-2</v>
      </c>
      <c r="L18">
        <v>3.8648192604299703E-5</v>
      </c>
      <c r="M18">
        <v>4.4551635481452244E-7</v>
      </c>
      <c r="N18" s="1">
        <v>7.98455570780808E-10</v>
      </c>
      <c r="O18" s="1">
        <v>9.8994674330098095E-14</v>
      </c>
      <c r="P18">
        <v>0</v>
      </c>
      <c r="R18">
        <v>7.1038489799488698</v>
      </c>
      <c r="S18">
        <v>1.8691016346557601</v>
      </c>
      <c r="T18">
        <v>53.507130721080003</v>
      </c>
      <c r="V18">
        <v>36.694336529015303</v>
      </c>
      <c r="X18">
        <v>0.82558213530003599</v>
      </c>
      <c r="AJ18">
        <v>0</v>
      </c>
      <c r="AK18">
        <v>-4.86583265963959E-3</v>
      </c>
      <c r="AL18">
        <v>0.757538861067102</v>
      </c>
      <c r="AM18">
        <v>4.6311066678360803E-2</v>
      </c>
      <c r="AN18">
        <v>0.20101590491417601</v>
      </c>
    </row>
    <row r="19" spans="1:40" x14ac:dyDescent="0.2">
      <c r="A19">
        <v>92</v>
      </c>
      <c r="B19">
        <v>763</v>
      </c>
      <c r="C19">
        <v>150</v>
      </c>
      <c r="D19">
        <v>0.43979201853014099</v>
      </c>
      <c r="E19">
        <v>0.37303067226126801</v>
      </c>
      <c r="F19">
        <v>4.9334333334823599</v>
      </c>
      <c r="G19">
        <v>-2.5054024187064483</v>
      </c>
      <c r="H19">
        <v>-1.8176869765705987</v>
      </c>
      <c r="I19">
        <v>0.66372189560956396</v>
      </c>
      <c r="J19">
        <v>0.331366625075243</v>
      </c>
      <c r="K19">
        <v>7.5612792764335607E-2</v>
      </c>
      <c r="L19">
        <v>3.7767436317511925E-5</v>
      </c>
      <c r="M19">
        <v>4.3770970370557898E-7</v>
      </c>
      <c r="N19" s="1">
        <v>1.53578831449458E-9</v>
      </c>
      <c r="O19" s="1">
        <v>1.8910225181564699E-13</v>
      </c>
      <c r="P19">
        <v>0</v>
      </c>
      <c r="R19">
        <v>8.0175735678123594</v>
      </c>
      <c r="S19">
        <v>1.83508046552635</v>
      </c>
      <c r="T19">
        <v>51.923572317870502</v>
      </c>
      <c r="V19">
        <v>37.1388044757839</v>
      </c>
      <c r="X19">
        <v>1.08496917300684</v>
      </c>
      <c r="AJ19">
        <v>0</v>
      </c>
      <c r="AK19">
        <v>-2.01165989329956E-2</v>
      </c>
      <c r="AL19">
        <v>0.73315334433814805</v>
      </c>
      <c r="AM19">
        <v>6.0698631326091303E-2</v>
      </c>
      <c r="AN19">
        <v>0.22626462326875599</v>
      </c>
    </row>
    <row r="20" spans="1:40" x14ac:dyDescent="0.2">
      <c r="A20">
        <v>93</v>
      </c>
      <c r="B20">
        <v>762</v>
      </c>
      <c r="C20">
        <v>150</v>
      </c>
      <c r="D20">
        <v>0.439183210162781</v>
      </c>
      <c r="E20">
        <v>0.45265298433788498</v>
      </c>
      <c r="F20">
        <v>4.9228739642116697</v>
      </c>
      <c r="G20">
        <v>-3.0691353074472851</v>
      </c>
      <c r="H20">
        <v>-2.2336678315960086</v>
      </c>
      <c r="I20">
        <v>0.80709798179131198</v>
      </c>
      <c r="J20">
        <v>0.40234027098366398</v>
      </c>
      <c r="K20">
        <v>9.1948928131937405E-2</v>
      </c>
      <c r="L20">
        <v>3.6386922539160787E-5</v>
      </c>
      <c r="M20">
        <v>4.2281289796694141E-7</v>
      </c>
      <c r="N20" s="1">
        <v>1.79732661068313E-9</v>
      </c>
      <c r="O20" s="1">
        <v>2.20642396654839E-13</v>
      </c>
      <c r="P20">
        <v>0</v>
      </c>
      <c r="R20">
        <v>9.1054877491584598</v>
      </c>
      <c r="S20">
        <v>1.7828895841275201</v>
      </c>
      <c r="T20">
        <v>49.927059059374898</v>
      </c>
      <c r="V20">
        <v>38.021987562392297</v>
      </c>
      <c r="X20">
        <v>1.1625760449467399</v>
      </c>
      <c r="AJ20">
        <v>0</v>
      </c>
      <c r="AK20">
        <v>-2.5577776172076599E-2</v>
      </c>
      <c r="AL20">
        <v>0.70400720377185599</v>
      </c>
      <c r="AM20">
        <v>6.4952180004086202E-2</v>
      </c>
      <c r="AN20">
        <v>0.25661839239613299</v>
      </c>
    </row>
    <row r="21" spans="1:40" x14ac:dyDescent="0.2">
      <c r="A21">
        <v>94</v>
      </c>
      <c r="B21">
        <v>761</v>
      </c>
      <c r="C21">
        <v>150</v>
      </c>
      <c r="D21">
        <v>0.43857322438717999</v>
      </c>
      <c r="E21">
        <v>0.47936420456550199</v>
      </c>
      <c r="F21">
        <v>4.9195929054589103</v>
      </c>
      <c r="G21">
        <v>-3.2597417350402882</v>
      </c>
      <c r="H21">
        <v>-2.3755260052471261</v>
      </c>
      <c r="I21">
        <v>0.85501690257038299</v>
      </c>
      <c r="J21">
        <v>0.426153338895915</v>
      </c>
      <c r="K21">
        <v>9.7439811337557303E-2</v>
      </c>
      <c r="L21">
        <v>3.5951856294036785E-5</v>
      </c>
      <c r="M21">
        <v>4.1821752679222655E-7</v>
      </c>
      <c r="N21" s="1">
        <v>1.8820478202419701E-9</v>
      </c>
      <c r="O21" s="1">
        <v>2.3085352773513301E-13</v>
      </c>
      <c r="P21">
        <v>0</v>
      </c>
      <c r="R21">
        <v>9.41072916511723</v>
      </c>
      <c r="S21">
        <v>1.8007087941044</v>
      </c>
      <c r="T21">
        <v>49.326843040455898</v>
      </c>
      <c r="V21">
        <v>38.280848465627201</v>
      </c>
      <c r="X21">
        <v>1.18087053469512</v>
      </c>
      <c r="AJ21">
        <v>0</v>
      </c>
      <c r="AK21">
        <v>-2.6192393699023798E-2</v>
      </c>
      <c r="AL21">
        <v>0.69517346462470797</v>
      </c>
      <c r="AM21">
        <v>6.5939157673298901E-2</v>
      </c>
      <c r="AN21">
        <v>0.26507977140101502</v>
      </c>
    </row>
    <row r="22" spans="1:40" x14ac:dyDescent="0.2">
      <c r="A22">
        <v>114</v>
      </c>
      <c r="B22">
        <v>772</v>
      </c>
      <c r="C22">
        <v>125</v>
      </c>
      <c r="D22">
        <v>0.47153088073482102</v>
      </c>
      <c r="E22">
        <v>0.28849685223099197</v>
      </c>
      <c r="F22">
        <v>4.9409479291242997</v>
      </c>
      <c r="G22">
        <v>-1.9281888092381128</v>
      </c>
      <c r="H22">
        <v>-1.3905069729265629</v>
      </c>
      <c r="I22">
        <v>0.51445422792091999</v>
      </c>
      <c r="J22">
        <v>0.25622348318949201</v>
      </c>
      <c r="K22">
        <v>5.8388968345619199E-2</v>
      </c>
      <c r="L22">
        <v>3.8751786422792978E-5</v>
      </c>
      <c r="M22">
        <v>4.4644309030695183E-7</v>
      </c>
      <c r="N22" s="1">
        <v>1.2134605960691801E-9</v>
      </c>
      <c r="O22" s="1">
        <v>1.49966207688637E-13</v>
      </c>
      <c r="P22">
        <v>0</v>
      </c>
      <c r="R22">
        <v>7.2719261345313804</v>
      </c>
      <c r="S22">
        <v>1.8777660853347</v>
      </c>
      <c r="T22">
        <v>53.243272028817898</v>
      </c>
      <c r="V22">
        <v>36.650411762152899</v>
      </c>
      <c r="X22">
        <v>0.95662398916299896</v>
      </c>
      <c r="AJ22">
        <v>0</v>
      </c>
      <c r="AK22">
        <v>-1.20099444354767E-2</v>
      </c>
      <c r="AL22">
        <v>0.75289032478428497</v>
      </c>
      <c r="AM22">
        <v>5.3596877685169797E-2</v>
      </c>
      <c r="AN22">
        <v>0.20552274196602099</v>
      </c>
    </row>
    <row r="23" spans="1:40" x14ac:dyDescent="0.2">
      <c r="A23">
        <v>115</v>
      </c>
      <c r="B23">
        <v>771</v>
      </c>
      <c r="C23">
        <v>125</v>
      </c>
      <c r="D23">
        <v>0.47095771680314102</v>
      </c>
      <c r="E23">
        <v>0.406273182529585</v>
      </c>
      <c r="F23">
        <v>4.9277393274801398</v>
      </c>
      <c r="G23">
        <v>-2.7418559262665907</v>
      </c>
      <c r="H23">
        <v>-1.9837065940582013</v>
      </c>
      <c r="I23">
        <v>0.72609235474633804</v>
      </c>
      <c r="J23">
        <v>0.36128358540280098</v>
      </c>
      <c r="K23">
        <v>8.2446159492234605E-2</v>
      </c>
      <c r="L23">
        <v>3.808485448271112E-5</v>
      </c>
      <c r="M23">
        <v>4.4083167212872703E-7</v>
      </c>
      <c r="N23" s="1">
        <v>1.6792861827167699E-9</v>
      </c>
      <c r="O23" s="1">
        <v>2.0629199767855701E-13</v>
      </c>
      <c r="P23">
        <v>0</v>
      </c>
      <c r="R23">
        <v>7.9862061053972502</v>
      </c>
      <c r="S23">
        <v>1.8590252987243201</v>
      </c>
      <c r="T23">
        <v>52.008775869204499</v>
      </c>
      <c r="V23">
        <v>36.963176312967498</v>
      </c>
      <c r="X23">
        <v>1.18281641370629</v>
      </c>
      <c r="AJ23">
        <v>0</v>
      </c>
      <c r="AK23">
        <v>-2.5039917669516399E-2</v>
      </c>
      <c r="AL23">
        <v>0.73373466295218503</v>
      </c>
      <c r="AM23">
        <v>6.6116672848731406E-2</v>
      </c>
      <c r="AN23">
        <v>0.225188581868599</v>
      </c>
    </row>
    <row r="24" spans="1:40" x14ac:dyDescent="0.2">
      <c r="A24">
        <v>116</v>
      </c>
      <c r="B24">
        <v>770</v>
      </c>
      <c r="C24">
        <v>125</v>
      </c>
      <c r="D24">
        <v>0.47038345396155901</v>
      </c>
      <c r="E24">
        <v>0.46393210876340002</v>
      </c>
      <c r="F24">
        <v>4.9193963383741899</v>
      </c>
      <c r="G24">
        <v>-3.1561789929378921</v>
      </c>
      <c r="H24">
        <v>-2.2897600653110244</v>
      </c>
      <c r="I24">
        <v>0.83057942541999397</v>
      </c>
      <c r="J24">
        <v>0.41272772234260502</v>
      </c>
      <c r="K24">
        <v>9.4306715062670493E-2</v>
      </c>
      <c r="L24">
        <v>3.6760173276736872E-5</v>
      </c>
      <c r="M24">
        <v>4.2630685469638611E-7</v>
      </c>
      <c r="N24" s="1">
        <v>1.8530344175638199E-9</v>
      </c>
      <c r="O24" s="1">
        <v>2.27184711664864E-13</v>
      </c>
      <c r="P24">
        <v>0</v>
      </c>
      <c r="R24">
        <v>8.98562635811051</v>
      </c>
      <c r="S24">
        <v>1.8099688079173499</v>
      </c>
      <c r="T24">
        <v>50.157638122404499</v>
      </c>
      <c r="V24">
        <v>37.826620652433299</v>
      </c>
      <c r="X24">
        <v>1.2201460591342099</v>
      </c>
      <c r="AJ24">
        <v>0</v>
      </c>
      <c r="AK24">
        <v>-2.81828488689999E-2</v>
      </c>
      <c r="AL24">
        <v>0.706925337877093</v>
      </c>
      <c r="AM24">
        <v>6.8136455184196698E-2</v>
      </c>
      <c r="AN24">
        <v>0.25312105580770899</v>
      </c>
    </row>
    <row r="25" spans="1:40" x14ac:dyDescent="0.2">
      <c r="A25">
        <v>117</v>
      </c>
      <c r="B25">
        <v>769</v>
      </c>
      <c r="C25">
        <v>125</v>
      </c>
      <c r="D25">
        <v>0.46980808904668597</v>
      </c>
      <c r="E25">
        <v>0.491306130868989</v>
      </c>
      <c r="F25">
        <v>4.9138767514276998</v>
      </c>
      <c r="G25">
        <v>-3.3588730317658602</v>
      </c>
      <c r="H25">
        <v>-2.4414155445569006</v>
      </c>
      <c r="I25">
        <v>0.880350704993484</v>
      </c>
      <c r="J25">
        <v>0.43718763353416801</v>
      </c>
      <c r="K25">
        <v>9.9983405307477999E-2</v>
      </c>
      <c r="L25">
        <v>3.6013410257811293E-5</v>
      </c>
      <c r="M25">
        <v>4.1830840133418104E-7</v>
      </c>
      <c r="N25" s="1">
        <v>1.9240849059017101E-9</v>
      </c>
      <c r="O25" s="1">
        <v>2.3553375805544902E-13</v>
      </c>
      <c r="P25">
        <v>0</v>
      </c>
      <c r="R25">
        <v>9.5460222201942493</v>
      </c>
      <c r="S25">
        <v>1.8023989269949501</v>
      </c>
      <c r="T25">
        <v>49.103605785528401</v>
      </c>
      <c r="V25">
        <v>38.293223944903602</v>
      </c>
      <c r="X25">
        <v>1.2547491223787299</v>
      </c>
      <c r="AJ25">
        <v>0</v>
      </c>
      <c r="AK25">
        <v>-3.0259182533465202E-2</v>
      </c>
      <c r="AL25">
        <v>0.69154181230084699</v>
      </c>
      <c r="AM25">
        <v>7.0015340224488604E-2</v>
      </c>
      <c r="AN25">
        <v>0.26870203000812898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E6CA9-1D76-4038-9B65-80FB1078A6B6}">
  <sheetPr codeName="Sheet8"/>
  <dimension ref="A1:AP19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117</v>
      </c>
      <c r="AK1" t="s">
        <v>118</v>
      </c>
      <c r="AL1" t="s">
        <v>119</v>
      </c>
      <c r="AM1" t="s">
        <v>120</v>
      </c>
      <c r="AN1" t="s">
        <v>121</v>
      </c>
      <c r="AO1" t="s">
        <v>122</v>
      </c>
      <c r="AP1" t="s">
        <v>123</v>
      </c>
    </row>
    <row r="2" spans="1:42" x14ac:dyDescent="0.2">
      <c r="A2">
        <v>20</v>
      </c>
      <c r="B2">
        <v>738</v>
      </c>
      <c r="C2">
        <v>275</v>
      </c>
      <c r="D2">
        <v>0.28822677149780002</v>
      </c>
      <c r="E2">
        <v>0.115181082114363</v>
      </c>
      <c r="F2">
        <v>3.58130327880344</v>
      </c>
      <c r="G2">
        <v>-1.4699723224448467</v>
      </c>
      <c r="H2">
        <v>-1.2494792220027668</v>
      </c>
      <c r="I2">
        <v>0.21806171234938401</v>
      </c>
      <c r="J2">
        <v>0.12883133113211301</v>
      </c>
      <c r="K2">
        <v>3.21617783101706E-2</v>
      </c>
      <c r="L2">
        <v>4.4428851809869279E-5</v>
      </c>
      <c r="M2">
        <v>9.1361505462606344E-7</v>
      </c>
      <c r="N2" s="1">
        <v>1.6647448419069801E-10</v>
      </c>
      <c r="O2" s="1">
        <v>3.1660975756608702E-14</v>
      </c>
      <c r="P2" s="1">
        <v>-1.64355380502464E-13</v>
      </c>
      <c r="Q2">
        <v>49.886157769390699</v>
      </c>
      <c r="R2">
        <v>1.5820991426634699E-2</v>
      </c>
      <c r="S2">
        <v>2.0054018493098602</v>
      </c>
      <c r="T2">
        <v>0.53466158699521205</v>
      </c>
      <c r="V2">
        <v>32.038297872424302</v>
      </c>
      <c r="X2">
        <v>15.3304527881919</v>
      </c>
      <c r="AA2">
        <v>0.172097391241016</v>
      </c>
      <c r="AB2">
        <v>1.7109751020158898E-2</v>
      </c>
      <c r="AJ2">
        <v>-1.09187279103381</v>
      </c>
      <c r="AK2">
        <v>0.99151219238695498</v>
      </c>
      <c r="AL2">
        <v>1.04529683424438</v>
      </c>
      <c r="AM2">
        <v>3.8073138878254503E-2</v>
      </c>
      <c r="AN2">
        <v>-3.7144816870797903E-2</v>
      </c>
      <c r="AO2">
        <v>5.2841232389206301E-2</v>
      </c>
      <c r="AP2">
        <v>1.2942100058189201E-3</v>
      </c>
    </row>
    <row r="3" spans="1:42" x14ac:dyDescent="0.2">
      <c r="A3">
        <v>21</v>
      </c>
      <c r="B3">
        <v>737</v>
      </c>
      <c r="C3">
        <v>275</v>
      </c>
      <c r="D3">
        <v>0.28745285353660599</v>
      </c>
      <c r="E3">
        <v>0.19447616909298099</v>
      </c>
      <c r="F3">
        <v>3.5837698429682199</v>
      </c>
      <c r="G3">
        <v>-2.4794621331333535</v>
      </c>
      <c r="H3">
        <v>-2.1078378670288007</v>
      </c>
      <c r="I3">
        <v>0.36789018076973801</v>
      </c>
      <c r="J3">
        <v>0.21742638252428101</v>
      </c>
      <c r="K3">
        <v>5.4265808803142399E-2</v>
      </c>
      <c r="L3">
        <v>4.4404279816376216E-5</v>
      </c>
      <c r="M3">
        <v>9.1368228329276596E-7</v>
      </c>
      <c r="N3" s="1">
        <v>2.90420356352614E-10</v>
      </c>
      <c r="O3" s="1">
        <v>5.3519496230914498E-14</v>
      </c>
      <c r="P3" s="1">
        <v>-3.6276614935897302E-13</v>
      </c>
      <c r="Q3">
        <v>49.7887759270087</v>
      </c>
      <c r="R3">
        <v>1.6133139084792001E-2</v>
      </c>
      <c r="S3">
        <v>2.1163431158882999</v>
      </c>
      <c r="T3">
        <v>0.54888546478509104</v>
      </c>
      <c r="V3">
        <v>32.131151879721898</v>
      </c>
      <c r="X3">
        <v>15.224543070106</v>
      </c>
      <c r="AA3">
        <v>0.15734263687386199</v>
      </c>
      <c r="AB3">
        <v>1.6824766531197299E-2</v>
      </c>
      <c r="AJ3">
        <v>-1.09885868307026</v>
      </c>
      <c r="AK3">
        <v>0.99214648651926196</v>
      </c>
      <c r="AL3">
        <v>1.0488612153914501</v>
      </c>
      <c r="AM3">
        <v>4.04554614071925E-2</v>
      </c>
      <c r="AN3">
        <v>-3.95083406381493E-2</v>
      </c>
      <c r="AO3">
        <v>5.5630557746094302E-2</v>
      </c>
      <c r="AP3">
        <v>1.2733026444126101E-3</v>
      </c>
    </row>
    <row r="4" spans="1:42" x14ac:dyDescent="0.2">
      <c r="A4">
        <v>22</v>
      </c>
      <c r="B4">
        <v>736</v>
      </c>
      <c r="C4">
        <v>275</v>
      </c>
      <c r="D4">
        <v>0.28667740177377199</v>
      </c>
      <c r="E4">
        <v>0.22378348310617599</v>
      </c>
      <c r="F4">
        <v>3.5859592245081102</v>
      </c>
      <c r="G4">
        <v>-2.8505907264232788</v>
      </c>
      <c r="H4">
        <v>-2.423714487508235</v>
      </c>
      <c r="I4">
        <v>0.423005736426738</v>
      </c>
      <c r="J4">
        <v>0.250088138776209</v>
      </c>
      <c r="K4">
        <v>6.2405473430020002E-2</v>
      </c>
      <c r="L4">
        <v>4.4378173523870329E-5</v>
      </c>
      <c r="M4">
        <v>9.1372553431580111E-7</v>
      </c>
      <c r="N4" s="1">
        <v>3.4428021313657498E-10</v>
      </c>
      <c r="O4" s="1">
        <v>6.1631079409491195E-14</v>
      </c>
      <c r="P4" s="1">
        <v>-5.0388905664563098E-13</v>
      </c>
      <c r="Q4">
        <v>49.700656326015398</v>
      </c>
      <c r="R4">
        <v>1.6415278556036701E-2</v>
      </c>
      <c r="S4">
        <v>2.2184949411786001</v>
      </c>
      <c r="T4">
        <v>0.56131853277640498</v>
      </c>
      <c r="V4">
        <v>32.210810960670003</v>
      </c>
      <c r="X4">
        <v>15.1296593745755</v>
      </c>
      <c r="AA4">
        <v>0.14608015589029899</v>
      </c>
      <c r="AB4">
        <v>1.65644303376116E-2</v>
      </c>
      <c r="AJ4">
        <v>-1.1049716846003701</v>
      </c>
      <c r="AK4">
        <v>0.99263392097346903</v>
      </c>
      <c r="AL4">
        <v>1.05192922432609</v>
      </c>
      <c r="AM4">
        <v>4.2659638625343797E-2</v>
      </c>
      <c r="AN4">
        <v>-4.1695525779822003E-2</v>
      </c>
      <c r="AO4">
        <v>5.8190268522316298E-2</v>
      </c>
      <c r="AP4">
        <v>1.25415793297171E-3</v>
      </c>
    </row>
    <row r="5" spans="1:42" x14ac:dyDescent="0.2">
      <c r="A5">
        <v>38</v>
      </c>
      <c r="B5">
        <v>742</v>
      </c>
      <c r="C5">
        <v>250</v>
      </c>
      <c r="D5">
        <v>0.318396788651924</v>
      </c>
      <c r="E5">
        <v>9.8303540067418302E-2</v>
      </c>
      <c r="F5">
        <v>3.5709973275012499</v>
      </c>
      <c r="G5">
        <v>-1.2622972832939265</v>
      </c>
      <c r="H5">
        <v>-1.0726726114727929</v>
      </c>
      <c r="I5">
        <v>0.18679473163683499</v>
      </c>
      <c r="J5">
        <v>0.110299500376107</v>
      </c>
      <c r="K5">
        <v>2.75283152161316E-2</v>
      </c>
      <c r="L5">
        <v>4.4453840074357967E-5</v>
      </c>
      <c r="M5">
        <v>9.1183327953856876E-7</v>
      </c>
      <c r="N5" s="1">
        <v>1.3147155540668101E-10</v>
      </c>
      <c r="O5" s="1">
        <v>2.74214625506583E-14</v>
      </c>
      <c r="P5" s="1">
        <v>-7.5924658594032003E-14</v>
      </c>
      <c r="Q5">
        <v>50.102600347496498</v>
      </c>
      <c r="R5">
        <v>1.5900311906921798E-2</v>
      </c>
      <c r="S5">
        <v>1.89511157594401</v>
      </c>
      <c r="T5">
        <v>0.51801581994955903</v>
      </c>
      <c r="V5">
        <v>31.496220015040102</v>
      </c>
      <c r="X5">
        <v>15.773464681422499</v>
      </c>
      <c r="AA5">
        <v>0.18184375620837301</v>
      </c>
      <c r="AB5">
        <v>1.68434920317958E-2</v>
      </c>
      <c r="AJ5">
        <v>-1.06798050948823</v>
      </c>
      <c r="AK5">
        <v>0.99115005775488896</v>
      </c>
      <c r="AL5">
        <v>1.0247023062924401</v>
      </c>
      <c r="AM5">
        <v>3.5692989320796002E-2</v>
      </c>
      <c r="AN5">
        <v>-3.47626536505483E-2</v>
      </c>
      <c r="AO5">
        <v>4.9927346024120599E-2</v>
      </c>
      <c r="AP5">
        <v>1.2704637465245801E-3</v>
      </c>
    </row>
    <row r="6" spans="1:42" x14ac:dyDescent="0.2">
      <c r="A6">
        <v>39</v>
      </c>
      <c r="B6">
        <v>741</v>
      </c>
      <c r="C6">
        <v>250</v>
      </c>
      <c r="D6">
        <v>0.31765567223783697</v>
      </c>
      <c r="E6">
        <v>0.17958994278273799</v>
      </c>
      <c r="F6">
        <v>3.57343805108871</v>
      </c>
      <c r="G6">
        <v>-2.3037277462146828</v>
      </c>
      <c r="H6">
        <v>-1.9579198188401528</v>
      </c>
      <c r="I6">
        <v>0.34098301767443501</v>
      </c>
      <c r="J6">
        <v>0.20141623172060399</v>
      </c>
      <c r="K6">
        <v>5.0256906714255797E-2</v>
      </c>
      <c r="L6">
        <v>4.4437566262317935E-5</v>
      </c>
      <c r="M6">
        <v>9.1196158807513617E-7</v>
      </c>
      <c r="N6" s="1">
        <v>2.4721822455563801E-10</v>
      </c>
      <c r="O6" s="1">
        <v>5.0188083290746699E-14</v>
      </c>
      <c r="P6" s="1">
        <v>-2.1468905401002499E-13</v>
      </c>
      <c r="Q6">
        <v>50.0085457822113</v>
      </c>
      <c r="R6">
        <v>1.6206145481606201E-2</v>
      </c>
      <c r="S6">
        <v>1.9999430279002799</v>
      </c>
      <c r="T6">
        <v>0.53173942162127696</v>
      </c>
      <c r="V6">
        <v>31.5912000522931</v>
      </c>
      <c r="X6">
        <v>15.6682742668771</v>
      </c>
      <c r="AA6">
        <v>0.16753395191937201</v>
      </c>
      <c r="AB6">
        <v>1.6557351695765402E-2</v>
      </c>
      <c r="AJ6">
        <v>-1.07484723239416</v>
      </c>
      <c r="AK6">
        <v>0.99176382866361901</v>
      </c>
      <c r="AL6">
        <v>1.0283246257085701</v>
      </c>
      <c r="AM6">
        <v>3.7934744633464301E-2</v>
      </c>
      <c r="AN6">
        <v>-3.6986023452876902E-2</v>
      </c>
      <c r="AO6">
        <v>5.2560529253196299E-2</v>
      </c>
      <c r="AP6">
        <v>1.24952758818994E-3</v>
      </c>
    </row>
    <row r="7" spans="1:42" x14ac:dyDescent="0.2">
      <c r="A7">
        <v>40</v>
      </c>
      <c r="B7">
        <v>740</v>
      </c>
      <c r="C7">
        <v>250</v>
      </c>
      <c r="D7">
        <v>0.31691309282929903</v>
      </c>
      <c r="E7">
        <v>0.20970986161566799</v>
      </c>
      <c r="F7">
        <v>3.5756056012711501</v>
      </c>
      <c r="G7">
        <v>-2.687684111038231</v>
      </c>
      <c r="H7">
        <v>-2.2845859712220919</v>
      </c>
      <c r="I7">
        <v>0.39786619929540401</v>
      </c>
      <c r="J7">
        <v>0.235101880371578</v>
      </c>
      <c r="K7">
        <v>5.8650165874310801E-2</v>
      </c>
      <c r="L7">
        <v>4.4419441572308486E-5</v>
      </c>
      <c r="M7">
        <v>9.1205594149230547E-7</v>
      </c>
      <c r="N7" s="1">
        <v>2.9653820765012498E-10</v>
      </c>
      <c r="O7" s="1">
        <v>5.86890499594726E-14</v>
      </c>
      <c r="P7" s="1">
        <v>-3.3034863668567201E-13</v>
      </c>
      <c r="Q7">
        <v>49.923546926856801</v>
      </c>
      <c r="R7">
        <v>1.6484610607723799E-2</v>
      </c>
      <c r="S7">
        <v>2.0965517965086899</v>
      </c>
      <c r="T7">
        <v>0.54372626264317203</v>
      </c>
      <c r="V7">
        <v>31.672813163455</v>
      </c>
      <c r="X7">
        <v>15.574551870865299</v>
      </c>
      <c r="AA7">
        <v>0.15602368285301099</v>
      </c>
      <c r="AB7">
        <v>1.63016862102025E-2</v>
      </c>
      <c r="AJ7">
        <v>-1.0808790273678399</v>
      </c>
      <c r="AK7">
        <v>0.99225965395433102</v>
      </c>
      <c r="AL7">
        <v>1.0314449397859</v>
      </c>
      <c r="AM7">
        <v>4.0010886522276898E-2</v>
      </c>
      <c r="AN7">
        <v>-3.9045429703068402E-2</v>
      </c>
      <c r="AO7">
        <v>5.4978190084563998E-2</v>
      </c>
      <c r="AP7">
        <v>1.23078672383146E-3</v>
      </c>
    </row>
    <row r="8" spans="1:42" x14ac:dyDescent="0.2">
      <c r="A8">
        <v>52</v>
      </c>
      <c r="B8">
        <v>746</v>
      </c>
      <c r="C8">
        <v>225</v>
      </c>
      <c r="D8">
        <v>0.34832998086640898</v>
      </c>
      <c r="E8">
        <v>0.108022157412067</v>
      </c>
      <c r="F8">
        <v>3.5612465744849802</v>
      </c>
      <c r="G8">
        <v>-1.3953189079705257</v>
      </c>
      <c r="H8">
        <v>-1.1853670479412308</v>
      </c>
      <c r="I8">
        <v>0.20600682924917199</v>
      </c>
      <c r="J8">
        <v>0.121560695548524</v>
      </c>
      <c r="K8">
        <v>3.03326813105293E-2</v>
      </c>
      <c r="L8">
        <v>4.4448575283631576E-5</v>
      </c>
      <c r="M8">
        <v>9.0995979499840655E-7</v>
      </c>
      <c r="N8" s="1">
        <v>1.3632922649648801E-10</v>
      </c>
      <c r="O8" s="1">
        <v>3.0550092109333599E-14</v>
      </c>
      <c r="P8" s="1">
        <v>-2.3904680905631799E-14</v>
      </c>
      <c r="Q8">
        <v>50.295034656796801</v>
      </c>
      <c r="R8">
        <v>1.6089605118203398E-2</v>
      </c>
      <c r="S8">
        <v>1.8123915601409499</v>
      </c>
      <c r="T8">
        <v>0.505738783913113</v>
      </c>
      <c r="V8">
        <v>30.9736580948178</v>
      </c>
      <c r="X8">
        <v>16.1911875952825</v>
      </c>
      <c r="AA8">
        <v>0.18936418189620699</v>
      </c>
      <c r="AB8">
        <v>1.65355220343451E-2</v>
      </c>
      <c r="AJ8">
        <v>-1.0457691548835599</v>
      </c>
      <c r="AK8">
        <v>0.99088456272651304</v>
      </c>
      <c r="AL8">
        <v>1.00497402258733</v>
      </c>
      <c r="AM8">
        <v>3.3901491475467997E-2</v>
      </c>
      <c r="AN8">
        <v>-3.2962627939244503E-2</v>
      </c>
      <c r="AO8">
        <v>4.7727847158222203E-2</v>
      </c>
      <c r="AP8">
        <v>1.2438588752684201E-3</v>
      </c>
    </row>
    <row r="9" spans="1:42" x14ac:dyDescent="0.2">
      <c r="A9">
        <v>53</v>
      </c>
      <c r="B9">
        <v>745</v>
      </c>
      <c r="C9">
        <v>225</v>
      </c>
      <c r="D9">
        <v>0.347621175661739</v>
      </c>
      <c r="E9">
        <v>0.17287874048058399</v>
      </c>
      <c r="F9">
        <v>3.5635796084903801</v>
      </c>
      <c r="G9">
        <v>-2.2308445939432597</v>
      </c>
      <c r="H9">
        <v>-1.895429381663007</v>
      </c>
      <c r="I9">
        <v>0.32943594979153601</v>
      </c>
      <c r="J9">
        <v>0.194463211237589</v>
      </c>
      <c r="K9">
        <v>4.8512664083241903E-2</v>
      </c>
      <c r="L9">
        <v>4.4439549998534562E-5</v>
      </c>
      <c r="M9">
        <v>9.1013699432173787E-7</v>
      </c>
      <c r="N9" s="1">
        <v>2.23366739037531E-10</v>
      </c>
      <c r="O9" s="1">
        <v>4.9006578444866301E-14</v>
      </c>
      <c r="P9" s="1">
        <v>-1.06154571594162E-13</v>
      </c>
      <c r="Q9">
        <v>50.206940067429798</v>
      </c>
      <c r="R9">
        <v>1.6381582924139201E-2</v>
      </c>
      <c r="S9">
        <v>1.9088996036059001</v>
      </c>
      <c r="T9">
        <v>0.51848450902273502</v>
      </c>
      <c r="V9">
        <v>31.066594886192899</v>
      </c>
      <c r="X9">
        <v>16.090400629292201</v>
      </c>
      <c r="AA9">
        <v>0.17603943918436499</v>
      </c>
      <c r="AB9">
        <v>1.6259282347772099E-2</v>
      </c>
      <c r="AJ9">
        <v>-1.0522794346828599</v>
      </c>
      <c r="AK9">
        <v>0.99145493145388697</v>
      </c>
      <c r="AL9">
        <v>1.0084969568084901</v>
      </c>
      <c r="AM9">
        <v>3.5958895077301399E-2</v>
      </c>
      <c r="AN9">
        <v>-3.5002512725871203E-2</v>
      </c>
      <c r="AO9">
        <v>5.0147469102141698E-2</v>
      </c>
      <c r="AP9">
        <v>1.22369496690879E-3</v>
      </c>
    </row>
    <row r="10" spans="1:42" x14ac:dyDescent="0.2">
      <c r="A10">
        <v>61</v>
      </c>
      <c r="B10">
        <v>751</v>
      </c>
      <c r="C10">
        <v>200</v>
      </c>
      <c r="D10">
        <v>0.378704779573308</v>
      </c>
      <c r="E10">
        <v>4.3113491468297002E-2</v>
      </c>
      <c r="F10">
        <v>3.5540428787510399</v>
      </c>
      <c r="G10">
        <v>-0.55924863113895895</v>
      </c>
      <c r="H10">
        <v>-0.47472413603292757</v>
      </c>
      <c r="I10">
        <v>8.2531362696901103E-2</v>
      </c>
      <c r="J10">
        <v>4.8612669306720001E-2</v>
      </c>
      <c r="K10">
        <v>1.2130830420213699E-2</v>
      </c>
      <c r="L10">
        <v>4.4439877187960092E-5</v>
      </c>
      <c r="M10">
        <v>9.0874728798193987E-7</v>
      </c>
      <c r="N10" s="1">
        <v>5.2139364150153497E-11</v>
      </c>
      <c r="O10" s="1">
        <v>1.2237128149461799E-14</v>
      </c>
      <c r="P10" s="1">
        <v>1.9685213564936798E-14</v>
      </c>
      <c r="Q10">
        <v>50.447126956740398</v>
      </c>
      <c r="R10">
        <v>1.49412678769139E-2</v>
      </c>
      <c r="S10">
        <v>1.7056594092417601</v>
      </c>
      <c r="T10">
        <v>0.50159259148758895</v>
      </c>
      <c r="V10">
        <v>30.642073671181802</v>
      </c>
      <c r="X10">
        <v>16.470107755789599</v>
      </c>
      <c r="AA10">
        <v>0.202238372769451</v>
      </c>
      <c r="AB10">
        <v>1.62599749123951E-2</v>
      </c>
      <c r="AJ10">
        <v>-1.03021200890079</v>
      </c>
      <c r="AK10">
        <v>0.99038636241250499</v>
      </c>
      <c r="AL10">
        <v>0.992539521883545</v>
      </c>
      <c r="AM10">
        <v>3.1445570104063097E-2</v>
      </c>
      <c r="AN10">
        <v>-3.0575184178919201E-2</v>
      </c>
      <c r="AO10">
        <v>4.5194669159020803E-2</v>
      </c>
      <c r="AP10">
        <v>1.2210695205767601E-3</v>
      </c>
    </row>
    <row r="11" spans="1:42" x14ac:dyDescent="0.2">
      <c r="A11">
        <v>62</v>
      </c>
      <c r="B11">
        <v>750</v>
      </c>
      <c r="C11">
        <v>200</v>
      </c>
      <c r="D11">
        <v>0.37802912573913899</v>
      </c>
      <c r="E11">
        <v>0.13921015987673799</v>
      </c>
      <c r="F11">
        <v>3.5523401138680999</v>
      </c>
      <c r="G11">
        <v>-1.8082256447383993</v>
      </c>
      <c r="H11">
        <v>-1.535630614646859</v>
      </c>
      <c r="I11">
        <v>0.266427239497181</v>
      </c>
      <c r="J11">
        <v>0.15708252500746001</v>
      </c>
      <c r="K11">
        <v>3.9188297126525301E-2</v>
      </c>
      <c r="L11">
        <v>4.4418027498530058E-5</v>
      </c>
      <c r="M11">
        <v>9.0804552919212615E-7</v>
      </c>
      <c r="N11" s="1">
        <v>1.69538172681145E-10</v>
      </c>
      <c r="O11" s="1">
        <v>3.9910155458741897E-14</v>
      </c>
      <c r="P11" s="1">
        <v>2.53251863159143E-14</v>
      </c>
      <c r="Q11">
        <v>50.4519549900754</v>
      </c>
      <c r="R11">
        <v>1.6454672449097599E-2</v>
      </c>
      <c r="S11">
        <v>1.7690856193419799</v>
      </c>
      <c r="T11">
        <v>0.49980830922471903</v>
      </c>
      <c r="V11">
        <v>30.483522885376502</v>
      </c>
      <c r="X11">
        <v>16.569894516124901</v>
      </c>
      <c r="AA11">
        <v>0.19313319380074401</v>
      </c>
      <c r="AB11">
        <v>1.6145813606516599E-2</v>
      </c>
      <c r="AJ11">
        <v>-1.0260740898295599</v>
      </c>
      <c r="AK11">
        <v>0.99078042442715197</v>
      </c>
      <c r="AL11">
        <v>0.98658643847011795</v>
      </c>
      <c r="AM11">
        <v>3.2940313625897603E-2</v>
      </c>
      <c r="AN11">
        <v>-3.1982559617770703E-2</v>
      </c>
      <c r="AO11">
        <v>4.6537980274878599E-2</v>
      </c>
      <c r="AP11">
        <v>1.2114926492893001E-3</v>
      </c>
    </row>
    <row r="12" spans="1:42" x14ac:dyDescent="0.2">
      <c r="A12">
        <v>63</v>
      </c>
      <c r="B12">
        <v>749</v>
      </c>
      <c r="C12">
        <v>200</v>
      </c>
      <c r="D12">
        <v>0.37735214988015597</v>
      </c>
      <c r="E12">
        <v>0.176920234035915</v>
      </c>
      <c r="F12">
        <v>3.55447589903202</v>
      </c>
      <c r="G12">
        <v>-2.2959194117204689</v>
      </c>
      <c r="H12">
        <v>-1.9500840128498667</v>
      </c>
      <c r="I12">
        <v>0.33834114256283498</v>
      </c>
      <c r="J12">
        <v>0.19955616613687399</v>
      </c>
      <c r="K12">
        <v>4.9773929845492997E-2</v>
      </c>
      <c r="L12">
        <v>4.4414637666894174E-5</v>
      </c>
      <c r="M12">
        <v>9.0824861396905556E-7</v>
      </c>
      <c r="N12" s="1">
        <v>2.19305468510162E-10</v>
      </c>
      <c r="O12" s="1">
        <v>5.0855875840166603E-14</v>
      </c>
      <c r="P12" s="1">
        <v>-3.0456821088902101E-14</v>
      </c>
      <c r="Q12">
        <v>50.372583422863201</v>
      </c>
      <c r="R12">
        <v>1.6725938726563298E-2</v>
      </c>
      <c r="S12">
        <v>1.8553110445033301</v>
      </c>
      <c r="T12">
        <v>0.51106524774874396</v>
      </c>
      <c r="V12">
        <v>30.569515026499602</v>
      </c>
      <c r="X12">
        <v>16.477960921539601</v>
      </c>
      <c r="AA12">
        <v>0.180942576648639</v>
      </c>
      <c r="AB12">
        <v>1.5895821470237999E-2</v>
      </c>
      <c r="AJ12">
        <v>-1.03198709207592</v>
      </c>
      <c r="AK12">
        <v>0.991300635177227</v>
      </c>
      <c r="AL12">
        <v>0.98982688789791395</v>
      </c>
      <c r="AM12">
        <v>3.4776157744808703E-2</v>
      </c>
      <c r="AN12">
        <v>-3.3802164487574601E-2</v>
      </c>
      <c r="AO12">
        <v>4.8692289764817098E-2</v>
      </c>
      <c r="AP12">
        <v>1.19328597872979E-3</v>
      </c>
    </row>
    <row r="13" spans="1:42" x14ac:dyDescent="0.2">
      <c r="A13">
        <v>75</v>
      </c>
      <c r="B13">
        <v>756</v>
      </c>
      <c r="C13">
        <v>175</v>
      </c>
      <c r="D13">
        <v>0.40878443375601398</v>
      </c>
      <c r="E13">
        <v>7.0246356429226497E-2</v>
      </c>
      <c r="F13">
        <v>3.5437745413609898</v>
      </c>
      <c r="G13">
        <v>-0.91699205411147111</v>
      </c>
      <c r="H13">
        <v>-0.77801114974359487</v>
      </c>
      <c r="I13">
        <v>0.13504436123779401</v>
      </c>
      <c r="J13">
        <v>7.94459173600853E-2</v>
      </c>
      <c r="K13">
        <v>1.9822467713267101E-2</v>
      </c>
      <c r="L13">
        <v>4.4389685945442087E-5</v>
      </c>
      <c r="M13">
        <v>9.0649033066379536E-7</v>
      </c>
      <c r="N13" s="1">
        <v>8.2591772701375499E-11</v>
      </c>
      <c r="O13" s="1">
        <v>2.0186241243540899E-14</v>
      </c>
      <c r="P13" s="1">
        <v>6.9703801029842002E-14</v>
      </c>
      <c r="Q13">
        <v>50.638394113540997</v>
      </c>
      <c r="R13">
        <v>1.54616058815308E-2</v>
      </c>
      <c r="S13">
        <v>1.6377592910168299</v>
      </c>
      <c r="T13">
        <v>0.49209584270364398</v>
      </c>
      <c r="V13">
        <v>30.081670949847499</v>
      </c>
      <c r="X13">
        <v>16.9068946760252</v>
      </c>
      <c r="AA13">
        <v>0.211717621349196</v>
      </c>
      <c r="AB13">
        <v>1.6005899634870799E-2</v>
      </c>
      <c r="AJ13">
        <v>-1.0071101344289399</v>
      </c>
      <c r="AK13">
        <v>0.99004067588053601</v>
      </c>
      <c r="AL13">
        <v>0.97159650969307099</v>
      </c>
      <c r="AM13">
        <v>2.99727902827066E-2</v>
      </c>
      <c r="AN13">
        <v>-2.9074672409416101E-2</v>
      </c>
      <c r="AO13">
        <v>4.3376284332922302E-2</v>
      </c>
      <c r="AP13">
        <v>1.1985466491217199E-3</v>
      </c>
    </row>
    <row r="14" spans="1:42" x14ac:dyDescent="0.2">
      <c r="A14">
        <v>76</v>
      </c>
      <c r="B14">
        <v>755</v>
      </c>
      <c r="C14">
        <v>175</v>
      </c>
      <c r="D14">
        <v>0.40814132179156798</v>
      </c>
      <c r="E14">
        <v>0.13751282062582099</v>
      </c>
      <c r="F14">
        <v>3.5424718450491102</v>
      </c>
      <c r="G14">
        <v>-1.7970191515033775</v>
      </c>
      <c r="H14">
        <v>-1.525294402219709</v>
      </c>
      <c r="I14">
        <v>0.26428512306926799</v>
      </c>
      <c r="J14">
        <v>0.155609921819721</v>
      </c>
      <c r="K14">
        <v>3.8818324221265701E-2</v>
      </c>
      <c r="L14">
        <v>4.4367073552961651E-5</v>
      </c>
      <c r="M14">
        <v>9.0590580018050786E-7</v>
      </c>
      <c r="N14" s="1">
        <v>1.63111730803251E-10</v>
      </c>
      <c r="O14" s="1">
        <v>3.9875519998340497E-14</v>
      </c>
      <c r="P14" s="1">
        <v>1.00110419325651E-13</v>
      </c>
      <c r="Q14">
        <v>50.637828607943597</v>
      </c>
      <c r="R14">
        <v>1.6816846133144801E-2</v>
      </c>
      <c r="S14">
        <v>1.69650357406649</v>
      </c>
      <c r="T14">
        <v>0.49141716428270898</v>
      </c>
      <c r="V14">
        <v>29.952105400107801</v>
      </c>
      <c r="X14">
        <v>16.986481975420698</v>
      </c>
      <c r="AA14">
        <v>0.202957038395675</v>
      </c>
      <c r="AB14">
        <v>1.5889393649775901E-2</v>
      </c>
      <c r="AJ14">
        <v>-1.0039815013031801</v>
      </c>
      <c r="AK14">
        <v>0.99041837163699098</v>
      </c>
      <c r="AL14">
        <v>0.96675964981262197</v>
      </c>
      <c r="AM14">
        <v>3.1342198131083798E-2</v>
      </c>
      <c r="AN14">
        <v>-3.03660168807692E-2</v>
      </c>
      <c r="AO14">
        <v>4.4638278087714901E-2</v>
      </c>
      <c r="AP14">
        <v>1.1890205155456401E-3</v>
      </c>
    </row>
    <row r="15" spans="1:42" x14ac:dyDescent="0.2">
      <c r="A15">
        <v>77</v>
      </c>
      <c r="B15">
        <v>754</v>
      </c>
      <c r="C15">
        <v>175</v>
      </c>
      <c r="D15">
        <v>0.40749695760112897</v>
      </c>
      <c r="E15">
        <v>0.16931090867045501</v>
      </c>
      <c r="F15">
        <v>3.5445007180911801</v>
      </c>
      <c r="G15">
        <v>-2.2105723261355652</v>
      </c>
      <c r="H15">
        <v>-1.8765901523653825</v>
      </c>
      <c r="I15">
        <v>0.325154236255836</v>
      </c>
      <c r="J15">
        <v>0.191521461959788</v>
      </c>
      <c r="K15">
        <v>4.7767209583648801E-2</v>
      </c>
      <c r="L15">
        <v>4.4369148184490057E-5</v>
      </c>
      <c r="M15">
        <v>9.0614556111890404E-7</v>
      </c>
      <c r="N15" s="1">
        <v>2.032445932641E-10</v>
      </c>
      <c r="O15" s="1">
        <v>4.9245817038891701E-14</v>
      </c>
      <c r="P15" s="1">
        <v>6.8111882547373696E-14</v>
      </c>
      <c r="Q15">
        <v>50.564059916319302</v>
      </c>
      <c r="R15">
        <v>1.7075422123757799E-2</v>
      </c>
      <c r="S15">
        <v>1.7753502687506</v>
      </c>
      <c r="T15">
        <v>0.50180157895864297</v>
      </c>
      <c r="V15">
        <v>30.035480615182099</v>
      </c>
      <c r="X15">
        <v>16.899522412321499</v>
      </c>
      <c r="AA15">
        <v>0.19105575181583301</v>
      </c>
      <c r="AB15">
        <v>1.5654034528073801E-2</v>
      </c>
      <c r="AJ15">
        <v>-1.0095727243111501</v>
      </c>
      <c r="AK15">
        <v>0.99092409756105604</v>
      </c>
      <c r="AL15">
        <v>0.96988076322790095</v>
      </c>
      <c r="AM15">
        <v>3.3015614531017999E-2</v>
      </c>
      <c r="AN15">
        <v>-3.2023983840805001E-2</v>
      </c>
      <c r="AO15">
        <v>4.6604304886794401E-2</v>
      </c>
      <c r="AP15">
        <v>1.17192794518504E-3</v>
      </c>
    </row>
    <row r="16" spans="1:42" x14ac:dyDescent="0.2">
      <c r="A16">
        <v>93</v>
      </c>
      <c r="B16">
        <v>762</v>
      </c>
      <c r="C16">
        <v>150</v>
      </c>
      <c r="D16">
        <v>0.439183210162781</v>
      </c>
      <c r="E16">
        <v>9.0989284830336303E-2</v>
      </c>
      <c r="F16">
        <v>3.5335883292527099</v>
      </c>
      <c r="G16">
        <v>-1.1953598673525248</v>
      </c>
      <c r="H16">
        <v>-1.0134198238324066</v>
      </c>
      <c r="I16">
        <v>0.175762008907035</v>
      </c>
      <c r="J16">
        <v>0.103212911798375</v>
      </c>
      <c r="K16">
        <v>2.5749826055594501E-2</v>
      </c>
      <c r="L16">
        <v>4.4317122447210489E-5</v>
      </c>
      <c r="M16">
        <v>9.0409361718863697E-7</v>
      </c>
      <c r="N16" s="1">
        <v>1.06255841267543E-10</v>
      </c>
      <c r="O16" s="1">
        <v>2.64252648277104E-14</v>
      </c>
      <c r="P16" s="1">
        <v>1.38482779638721E-13</v>
      </c>
      <c r="Q16">
        <v>50.818427999404598</v>
      </c>
      <c r="R16">
        <v>1.6095798348234099E-2</v>
      </c>
      <c r="S16">
        <v>1.5815987565388401</v>
      </c>
      <c r="T16">
        <v>0.48699725128246601</v>
      </c>
      <c r="V16">
        <v>29.526326459824102</v>
      </c>
      <c r="X16">
        <v>17.332626327008001</v>
      </c>
      <c r="AA16">
        <v>0.22215620370670999</v>
      </c>
      <c r="AB16">
        <v>1.57712038868838E-2</v>
      </c>
      <c r="AJ16">
        <v>-0.98464543646327196</v>
      </c>
      <c r="AK16">
        <v>0.98965541681103797</v>
      </c>
      <c r="AL16">
        <v>0.95098352422500199</v>
      </c>
      <c r="AM16">
        <v>2.8715120675734802E-2</v>
      </c>
      <c r="AN16">
        <v>-2.7782788121115801E-2</v>
      </c>
      <c r="AO16">
        <v>4.1896504605993097E-2</v>
      </c>
      <c r="AP16">
        <v>1.17765826661939E-3</v>
      </c>
    </row>
    <row r="17" spans="1:42" x14ac:dyDescent="0.2">
      <c r="A17">
        <v>94</v>
      </c>
      <c r="B17">
        <v>761</v>
      </c>
      <c r="C17">
        <v>150</v>
      </c>
      <c r="D17">
        <v>0.43857322438717999</v>
      </c>
      <c r="E17">
        <v>0.13698643085244899</v>
      </c>
      <c r="F17">
        <v>3.5325017962177498</v>
      </c>
      <c r="G17">
        <v>-1.8012773410152692</v>
      </c>
      <c r="H17">
        <v>-1.5277135462770166</v>
      </c>
      <c r="I17">
        <v>0.264530092093267</v>
      </c>
      <c r="J17">
        <v>0.15546120994600501</v>
      </c>
      <c r="K17">
        <v>3.8778870827219501E-2</v>
      </c>
      <c r="L17">
        <v>4.4294299142606072E-5</v>
      </c>
      <c r="M17">
        <v>9.0358603376213183E-7</v>
      </c>
      <c r="N17" s="1">
        <v>1.61421262891968E-10</v>
      </c>
      <c r="O17" s="1">
        <v>4.0121075061326002E-14</v>
      </c>
      <c r="P17" s="1">
        <v>1.74420280987039E-13</v>
      </c>
      <c r="Q17">
        <v>50.816494450842796</v>
      </c>
      <c r="R17">
        <v>1.7350696314819301E-2</v>
      </c>
      <c r="S17">
        <v>1.63479266591143</v>
      </c>
      <c r="T17">
        <v>0.48670067794894301</v>
      </c>
      <c r="V17">
        <v>29.4140359672489</v>
      </c>
      <c r="X17">
        <v>17.401456178001499</v>
      </c>
      <c r="AA17">
        <v>0.21350795629490299</v>
      </c>
      <c r="AB17">
        <v>1.5661407436552401E-2</v>
      </c>
      <c r="AJ17">
        <v>-0.98205505890050004</v>
      </c>
      <c r="AK17">
        <v>0.99002630098790301</v>
      </c>
      <c r="AL17">
        <v>0.94681349713537899</v>
      </c>
      <c r="AM17">
        <v>2.99496019008859E-2</v>
      </c>
      <c r="AN17">
        <v>-2.8945167726518801E-2</v>
      </c>
      <c r="AO17">
        <v>4.3042050098967499E-2</v>
      </c>
      <c r="AP17">
        <v>1.1687765038826401E-3</v>
      </c>
    </row>
    <row r="18" spans="1:42" x14ac:dyDescent="0.2">
      <c r="A18">
        <v>116</v>
      </c>
      <c r="B18">
        <v>770</v>
      </c>
      <c r="C18">
        <v>125</v>
      </c>
      <c r="D18">
        <v>0.47038345396155901</v>
      </c>
      <c r="E18">
        <v>9.0232180624104805E-2</v>
      </c>
      <c r="F18">
        <v>3.5248128874902198</v>
      </c>
      <c r="G18">
        <v>-1.1920530487249272</v>
      </c>
      <c r="H18">
        <v>-1.0092007725463763</v>
      </c>
      <c r="I18">
        <v>0.17528857420174601</v>
      </c>
      <c r="J18">
        <v>0.102620902331961</v>
      </c>
      <c r="K18">
        <v>2.5599140579729601E-2</v>
      </c>
      <c r="L18">
        <v>4.4246884974900073E-5</v>
      </c>
      <c r="M18">
        <v>9.0198366153189034E-7</v>
      </c>
      <c r="N18" s="1">
        <v>1.06295955401217E-10</v>
      </c>
      <c r="O18" s="1">
        <v>2.6305606488466701E-14</v>
      </c>
      <c r="P18" s="1">
        <v>1.93195891698783E-13</v>
      </c>
      <c r="Q18">
        <v>50.962731505632902</v>
      </c>
      <c r="R18">
        <v>1.6129191423396302E-2</v>
      </c>
      <c r="S18">
        <v>1.5278195786287101</v>
      </c>
      <c r="T18">
        <v>0.49148351113654298</v>
      </c>
      <c r="V18">
        <v>29.080012263438199</v>
      </c>
      <c r="X18">
        <v>17.6707484281843</v>
      </c>
      <c r="AA18">
        <v>0.23550778682255</v>
      </c>
      <c r="AB18">
        <v>1.55677347331596E-2</v>
      </c>
      <c r="AJ18">
        <v>-0.96644137037562305</v>
      </c>
      <c r="AK18">
        <v>0.98914361977328702</v>
      </c>
      <c r="AL18">
        <v>0.93454768047066805</v>
      </c>
      <c r="AM18">
        <v>2.7377772558167202E-2</v>
      </c>
      <c r="AN18">
        <v>-2.6445561553093799E-2</v>
      </c>
      <c r="AO18">
        <v>4.0657952139622401E-2</v>
      </c>
      <c r="AP18">
        <v>1.1599069869716501E-3</v>
      </c>
    </row>
    <row r="19" spans="1:42" x14ac:dyDescent="0.2">
      <c r="A19">
        <v>117</v>
      </c>
      <c r="B19">
        <v>769</v>
      </c>
      <c r="C19">
        <v>125</v>
      </c>
      <c r="D19">
        <v>0.46980808904668597</v>
      </c>
      <c r="E19">
        <v>0.12650847743966201</v>
      </c>
      <c r="F19">
        <v>3.5218458226579101</v>
      </c>
      <c r="G19">
        <v>-1.674602786471183</v>
      </c>
      <c r="H19">
        <v>-1.4184981697228063</v>
      </c>
      <c r="I19">
        <v>0.24574640574617601</v>
      </c>
      <c r="J19">
        <v>0.144010909361414</v>
      </c>
      <c r="K19">
        <v>3.5921072020179301E-2</v>
      </c>
      <c r="L19">
        <v>4.4200601637150503E-5</v>
      </c>
      <c r="M19">
        <v>9.0098919082279488E-7</v>
      </c>
      <c r="N19" s="1">
        <v>1.5101650154633801E-10</v>
      </c>
      <c r="O19" s="1">
        <v>3.7288544281472899E-14</v>
      </c>
      <c r="P19" s="1">
        <v>2.4542079511228002E-13</v>
      </c>
      <c r="Q19">
        <v>51.005852081583903</v>
      </c>
      <c r="R19">
        <v>1.7968147619327701E-2</v>
      </c>
      <c r="S19">
        <v>1.56250906130375</v>
      </c>
      <c r="T19">
        <v>0.484547976271613</v>
      </c>
      <c r="V19">
        <v>28.850267551129299</v>
      </c>
      <c r="X19">
        <v>17.833978059717602</v>
      </c>
      <c r="AA19">
        <v>0.22933052635578899</v>
      </c>
      <c r="AB19">
        <v>1.5546596018512099E-2</v>
      </c>
      <c r="AJ19">
        <v>-0.95890268869939199</v>
      </c>
      <c r="AK19">
        <v>0.98941221427334103</v>
      </c>
      <c r="AL19">
        <v>0.92605481803277401</v>
      </c>
      <c r="AM19">
        <v>2.8283644969233399E-2</v>
      </c>
      <c r="AN19">
        <v>-2.7246391470747401E-2</v>
      </c>
      <c r="AO19">
        <v>4.1241457059308102E-2</v>
      </c>
      <c r="AP19">
        <v>1.1569458354830601E-3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7AFE8-1EEF-4728-A934-F047439E1DFD}">
  <sheetPr codeName="Sheet9"/>
  <dimension ref="A1:AL78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17</v>
      </c>
      <c r="B2">
        <v>741</v>
      </c>
      <c r="C2">
        <v>275</v>
      </c>
      <c r="D2">
        <v>0.29053936794360102</v>
      </c>
      <c r="E2">
        <v>3.0790317243724901</v>
      </c>
      <c r="F2">
        <v>2.5261136156472399</v>
      </c>
      <c r="G2">
        <v>-48.506380469634749</v>
      </c>
      <c r="H2">
        <v>-42.094129832419036</v>
      </c>
      <c r="I2">
        <v>6.3227832541692104</v>
      </c>
      <c r="J2">
        <v>3.6743415473034702</v>
      </c>
      <c r="K2">
        <v>1.21888093445218</v>
      </c>
      <c r="L2">
        <v>2.8934863455451451E-5</v>
      </c>
      <c r="M2">
        <v>1.7948490639157055E-6</v>
      </c>
      <c r="N2" s="1">
        <v>-3.4813580159792403E-8</v>
      </c>
      <c r="O2" s="1">
        <v>1.15346720123645E-11</v>
      </c>
      <c r="P2" s="1">
        <v>1.25124731374236E-10</v>
      </c>
      <c r="Q2">
        <v>66.047934694530795</v>
      </c>
      <c r="S2">
        <v>18.991755023342002</v>
      </c>
      <c r="AA2">
        <v>0.257009726414344</v>
      </c>
      <c r="AB2">
        <v>4.6385588649736196</v>
      </c>
      <c r="AC2">
        <v>10.064741690739099</v>
      </c>
      <c r="AJ2">
        <v>0.40680386043411099</v>
      </c>
      <c r="AK2">
        <v>1.2455533751610799E-2</v>
      </c>
      <c r="AL2">
        <v>0.580740605814277</v>
      </c>
    </row>
    <row r="3" spans="1:38" x14ac:dyDescent="0.2">
      <c r="A3">
        <v>18</v>
      </c>
      <c r="B3">
        <v>740</v>
      </c>
      <c r="C3">
        <v>275</v>
      </c>
      <c r="D3">
        <v>0.28977002418201098</v>
      </c>
      <c r="E3">
        <v>13.0050069723597</v>
      </c>
      <c r="F3">
        <v>2.52622993828858</v>
      </c>
      <c r="G3">
        <v>-204.88648196588116</v>
      </c>
      <c r="H3">
        <v>-177.83916878296441</v>
      </c>
      <c r="I3">
        <v>26.696257398131301</v>
      </c>
      <c r="J3">
        <v>15.5282974000281</v>
      </c>
      <c r="K3">
        <v>5.1479902028118998</v>
      </c>
      <c r="L3">
        <v>2.9000712081669661E-5</v>
      </c>
      <c r="M3">
        <v>1.7955147379422471E-6</v>
      </c>
      <c r="N3" s="1">
        <v>-1.53973951123503E-7</v>
      </c>
      <c r="O3" s="1">
        <v>4.8651205458653599E-11</v>
      </c>
      <c r="P3" s="1">
        <v>5.4834664580884597E-10</v>
      </c>
      <c r="Q3">
        <v>66.063117242140805</v>
      </c>
      <c r="S3">
        <v>18.9943620734288</v>
      </c>
      <c r="AA3">
        <v>0.25561792950388801</v>
      </c>
      <c r="AB3">
        <v>4.6792270790089097</v>
      </c>
      <c r="AC3">
        <v>10.007675675917501</v>
      </c>
      <c r="AJ3">
        <v>0.41028578575170499</v>
      </c>
      <c r="AK3">
        <v>1.2385525922973E-2</v>
      </c>
      <c r="AL3">
        <v>0.57732868832532003</v>
      </c>
    </row>
    <row r="4" spans="1:38" x14ac:dyDescent="0.2">
      <c r="A4">
        <v>19</v>
      </c>
      <c r="B4">
        <v>739</v>
      </c>
      <c r="C4">
        <v>275</v>
      </c>
      <c r="D4">
        <v>0.28899916020352701</v>
      </c>
      <c r="E4">
        <v>19.125864476742699</v>
      </c>
      <c r="F4">
        <v>2.5262732454233601</v>
      </c>
      <c r="G4">
        <v>-301.29168761163351</v>
      </c>
      <c r="H4">
        <v>-261.57401132037859</v>
      </c>
      <c r="I4">
        <v>39.2408993639825</v>
      </c>
      <c r="J4">
        <v>22.845631071071299</v>
      </c>
      <c r="K4">
        <v>7.5707821833570197</v>
      </c>
      <c r="L4">
        <v>2.9044387575785978E-5</v>
      </c>
      <c r="M4">
        <v>1.7958938767568079E-6</v>
      </c>
      <c r="N4" s="1">
        <v>-2.3535006985343399E-7</v>
      </c>
      <c r="O4" s="1">
        <v>7.1475353929912303E-11</v>
      </c>
      <c r="P4" s="1">
        <v>8.3183274245596502E-10</v>
      </c>
      <c r="Q4">
        <v>66.0710740824168</v>
      </c>
      <c r="S4">
        <v>18.992511725606899</v>
      </c>
      <c r="AA4">
        <v>0.25223475370339199</v>
      </c>
      <c r="AB4">
        <v>4.6921075435588104</v>
      </c>
      <c r="AC4">
        <v>9.9920718947138703</v>
      </c>
      <c r="AJ4">
        <v>0.41138831038302298</v>
      </c>
      <c r="AK4">
        <v>1.22208019099021E-2</v>
      </c>
      <c r="AL4">
        <v>0.57639088770707303</v>
      </c>
    </row>
    <row r="5" spans="1:38" x14ac:dyDescent="0.2">
      <c r="A5">
        <v>20</v>
      </c>
      <c r="B5">
        <v>738</v>
      </c>
      <c r="C5">
        <v>275</v>
      </c>
      <c r="D5">
        <v>0.28822677149780002</v>
      </c>
      <c r="E5">
        <v>33.725308974201802</v>
      </c>
      <c r="F5">
        <v>2.52638179291089</v>
      </c>
      <c r="G5">
        <v>-531.35489576636508</v>
      </c>
      <c r="H5">
        <v>-461.40424960014929</v>
      </c>
      <c r="I5">
        <v>69.179297004614298</v>
      </c>
      <c r="J5">
        <v>40.316571882523398</v>
      </c>
      <c r="K5">
        <v>13.349252701565501</v>
      </c>
      <c r="L5">
        <v>2.913806632154512E-5</v>
      </c>
      <c r="M5">
        <v>1.7969589360717037E-6</v>
      </c>
      <c r="N5" s="1">
        <v>-4.3725460250709601E-7</v>
      </c>
      <c r="O5" s="1">
        <v>1.2581302964958399E-10</v>
      </c>
      <c r="P5" s="1">
        <v>1.5305611765786801E-9</v>
      </c>
      <c r="Q5">
        <v>66.099091547114398</v>
      </c>
      <c r="S5">
        <v>18.994239820871002</v>
      </c>
      <c r="AA5">
        <v>0.24712295762661801</v>
      </c>
      <c r="AB5">
        <v>4.7590733878031299</v>
      </c>
      <c r="AC5">
        <v>9.9004722865847796</v>
      </c>
      <c r="AJ5">
        <v>0.41711792881029802</v>
      </c>
      <c r="AK5">
        <v>1.19690681229158E-2</v>
      </c>
      <c r="AL5">
        <v>0.57091300306678505</v>
      </c>
    </row>
    <row r="6" spans="1:38" x14ac:dyDescent="0.2">
      <c r="A6">
        <v>21</v>
      </c>
      <c r="B6">
        <v>737</v>
      </c>
      <c r="C6">
        <v>275</v>
      </c>
      <c r="D6">
        <v>0.28745285353660599</v>
      </c>
      <c r="E6">
        <v>37.218069773087997</v>
      </c>
      <c r="F6">
        <v>2.5264175025140601</v>
      </c>
      <c r="G6">
        <v>-586.31779883403397</v>
      </c>
      <c r="H6">
        <v>-509.24154914291171</v>
      </c>
      <c r="I6">
        <v>76.301786557563005</v>
      </c>
      <c r="J6">
        <v>44.508434262125398</v>
      </c>
      <c r="K6">
        <v>14.731559505130001</v>
      </c>
      <c r="L6">
        <v>2.9178513381144397E-5</v>
      </c>
      <c r="M6">
        <v>1.7972601811000615E-6</v>
      </c>
      <c r="N6" s="1">
        <v>-5.0045860743367197E-7</v>
      </c>
      <c r="O6" s="1">
        <v>1.38700741795765E-10</v>
      </c>
      <c r="P6" s="1">
        <v>1.7400251717581E-9</v>
      </c>
      <c r="Q6">
        <v>66.104489441314101</v>
      </c>
      <c r="S6">
        <v>18.991893806692101</v>
      </c>
      <c r="AA6">
        <v>0.24392794709024901</v>
      </c>
      <c r="AB6">
        <v>4.7649519244310898</v>
      </c>
      <c r="AC6">
        <v>9.8947368804723705</v>
      </c>
      <c r="AJ6">
        <v>0.41762073754169199</v>
      </c>
      <c r="AK6">
        <v>1.1813970549586999E-2</v>
      </c>
      <c r="AL6">
        <v>0.57056529190871996</v>
      </c>
    </row>
    <row r="7" spans="1:38" x14ac:dyDescent="0.2">
      <c r="A7">
        <v>22</v>
      </c>
      <c r="B7">
        <v>736</v>
      </c>
      <c r="C7">
        <v>275</v>
      </c>
      <c r="D7">
        <v>0.28667740177377199</v>
      </c>
      <c r="E7">
        <v>38.410344579679297</v>
      </c>
      <c r="F7">
        <v>2.5264388662072501</v>
      </c>
      <c r="G7">
        <v>-605.00125204014944</v>
      </c>
      <c r="H7">
        <v>-525.58345867524804</v>
      </c>
      <c r="I7">
        <v>78.697709324581297</v>
      </c>
      <c r="J7">
        <v>45.947865557054101</v>
      </c>
      <c r="K7">
        <v>15.203354054373699</v>
      </c>
      <c r="L7">
        <v>2.920939571939931E-5</v>
      </c>
      <c r="M7">
        <v>1.7974148596724863E-6</v>
      </c>
      <c r="N7" s="1">
        <v>-5.3404455191212502E-7</v>
      </c>
      <c r="O7" s="1">
        <v>1.4301489432949401E-10</v>
      </c>
      <c r="P7" s="1">
        <v>1.8455276239193799E-9</v>
      </c>
      <c r="Q7">
        <v>66.105485717086594</v>
      </c>
      <c r="S7">
        <v>18.988781201877501</v>
      </c>
      <c r="AA7">
        <v>0.241127548916092</v>
      </c>
      <c r="AB7">
        <v>4.75901197338416</v>
      </c>
      <c r="AC7">
        <v>9.9055935587355695</v>
      </c>
      <c r="AJ7">
        <v>0.41711273081257599</v>
      </c>
      <c r="AK7">
        <v>1.1678693738376201E-2</v>
      </c>
      <c r="AL7">
        <v>0.57120857544904702</v>
      </c>
    </row>
    <row r="8" spans="1:38" x14ac:dyDescent="0.2">
      <c r="A8">
        <v>35</v>
      </c>
      <c r="B8">
        <v>745</v>
      </c>
      <c r="C8">
        <v>250</v>
      </c>
      <c r="D8">
        <v>0.32061140303491598</v>
      </c>
      <c r="E8">
        <v>2.8047523186783399</v>
      </c>
      <c r="F8">
        <v>2.5252670637765098</v>
      </c>
      <c r="G8">
        <v>-44.280049645926169</v>
      </c>
      <c r="H8">
        <v>-38.394665730141007</v>
      </c>
      <c r="I8">
        <v>5.78046841406979</v>
      </c>
      <c r="J8">
        <v>3.3478448605442499</v>
      </c>
      <c r="K8">
        <v>1.1106755237538499</v>
      </c>
      <c r="L8">
        <v>2.8968264006234139E-5</v>
      </c>
      <c r="M8">
        <v>1.7981507574243548E-6</v>
      </c>
      <c r="N8" s="1">
        <v>-2.8434387035791899E-8</v>
      </c>
      <c r="O8" s="1">
        <v>1.05168830636553E-11</v>
      </c>
      <c r="P8" s="1">
        <v>1.04693818861687E-10</v>
      </c>
      <c r="Q8">
        <v>66.107208091298006</v>
      </c>
      <c r="S8">
        <v>19.025248522072499</v>
      </c>
      <c r="AA8">
        <v>0.27081156899658498</v>
      </c>
      <c r="AB8">
        <v>4.8584540129306397</v>
      </c>
      <c r="AC8">
        <v>9.7382778047021397</v>
      </c>
      <c r="AJ8">
        <v>0.42561350384448998</v>
      </c>
      <c r="AK8">
        <v>1.3109777054892901E-2</v>
      </c>
      <c r="AL8">
        <v>0.56127671910061605</v>
      </c>
    </row>
    <row r="9" spans="1:38" x14ac:dyDescent="0.2">
      <c r="A9">
        <v>36</v>
      </c>
      <c r="B9">
        <v>744</v>
      </c>
      <c r="C9">
        <v>250</v>
      </c>
      <c r="D9">
        <v>0.31987464975667701</v>
      </c>
      <c r="E9">
        <v>13.033039167385301</v>
      </c>
      <c r="F9">
        <v>2.5252876275177498</v>
      </c>
      <c r="G9">
        <v>-205.72717775731334</v>
      </c>
      <c r="H9">
        <v>-178.42225177248173</v>
      </c>
      <c r="I9">
        <v>26.844542088021999</v>
      </c>
      <c r="J9">
        <v>15.5601130817672</v>
      </c>
      <c r="K9">
        <v>5.1610117696557998</v>
      </c>
      <c r="L9">
        <v>2.8992869264303096E-5</v>
      </c>
      <c r="M9">
        <v>1.7983112238388127E-6</v>
      </c>
      <c r="N9" s="1">
        <v>-1.3674174663478499E-7</v>
      </c>
      <c r="O9" s="1">
        <v>4.8835627869563498E-11</v>
      </c>
      <c r="P9" s="1">
        <v>4.9967428478668496E-10</v>
      </c>
      <c r="Q9">
        <v>66.109155270266001</v>
      </c>
      <c r="S9">
        <v>19.022136267939999</v>
      </c>
      <c r="AA9">
        <v>0.26778957987779101</v>
      </c>
      <c r="AB9">
        <v>4.8546340180280501</v>
      </c>
      <c r="AC9">
        <v>9.7462848638881194</v>
      </c>
      <c r="AJ9">
        <v>0.42528712880971897</v>
      </c>
      <c r="AK9">
        <v>1.29637369039706E-2</v>
      </c>
      <c r="AL9">
        <v>0.56174913428631001</v>
      </c>
    </row>
    <row r="10" spans="1:38" x14ac:dyDescent="0.2">
      <c r="A10">
        <v>37</v>
      </c>
      <c r="B10">
        <v>743</v>
      </c>
      <c r="C10">
        <v>250</v>
      </c>
      <c r="D10">
        <v>0.31913644639078897</v>
      </c>
      <c r="E10">
        <v>19.1545450520311</v>
      </c>
      <c r="F10">
        <v>2.5253040359980998</v>
      </c>
      <c r="G10">
        <v>-302.30442975390196</v>
      </c>
      <c r="H10">
        <v>-262.23859361367715</v>
      </c>
      <c r="I10">
        <v>39.429056871746099</v>
      </c>
      <c r="J10">
        <v>22.8733668148714</v>
      </c>
      <c r="K10">
        <v>7.58504511891792</v>
      </c>
      <c r="L10">
        <v>2.9015690163148198E-5</v>
      </c>
      <c r="M10">
        <v>1.7984351973387718E-6</v>
      </c>
      <c r="N10" s="1">
        <v>-2.07810816919001E-7</v>
      </c>
      <c r="O10" s="1">
        <v>7.1724303540933503E-11</v>
      </c>
      <c r="P10" s="1">
        <v>7.5389590023313402E-10</v>
      </c>
      <c r="Q10">
        <v>66.109950833419305</v>
      </c>
      <c r="S10">
        <v>19.018816178452099</v>
      </c>
      <c r="AA10">
        <v>0.26486483826949397</v>
      </c>
      <c r="AB10">
        <v>4.84770284162538</v>
      </c>
      <c r="AC10">
        <v>9.7586653082335992</v>
      </c>
      <c r="AJ10">
        <v>0.42469488256413501</v>
      </c>
      <c r="AK10">
        <v>1.2822601220008899E-2</v>
      </c>
      <c r="AL10">
        <v>0.56248251621585499</v>
      </c>
    </row>
    <row r="11" spans="1:38" x14ac:dyDescent="0.2">
      <c r="A11">
        <v>38</v>
      </c>
      <c r="B11">
        <v>742</v>
      </c>
      <c r="C11">
        <v>250</v>
      </c>
      <c r="D11">
        <v>0.318396788651924</v>
      </c>
      <c r="E11">
        <v>34.0435496495856</v>
      </c>
      <c r="F11">
        <v>2.52536052151954</v>
      </c>
      <c r="G11">
        <v>-537.26057279587087</v>
      </c>
      <c r="H11">
        <v>-466.15459974519143</v>
      </c>
      <c r="I11">
        <v>70.044794415287697</v>
      </c>
      <c r="J11">
        <v>40.669688161927297</v>
      </c>
      <c r="K11">
        <v>13.480669139906</v>
      </c>
      <c r="L11">
        <v>2.9063183675159107E-5</v>
      </c>
      <c r="M11">
        <v>1.7989059042043095E-6</v>
      </c>
      <c r="N11" s="1">
        <v>-3.8459131112320001E-7</v>
      </c>
      <c r="O11" s="1">
        <v>1.2734379070545E-10</v>
      </c>
      <c r="P11" s="1">
        <v>1.3835622277466799E-9</v>
      </c>
      <c r="Q11">
        <v>66.1207957083775</v>
      </c>
      <c r="S11">
        <v>19.0174694965642</v>
      </c>
      <c r="AA11">
        <v>0.26122330861055298</v>
      </c>
      <c r="AB11">
        <v>4.8683395623411299</v>
      </c>
      <c r="AC11">
        <v>9.7321719241064493</v>
      </c>
      <c r="AJ11">
        <v>0.42645821512837701</v>
      </c>
      <c r="AK11">
        <v>1.26449855917355E-2</v>
      </c>
      <c r="AL11">
        <v>0.560896799279886</v>
      </c>
    </row>
    <row r="12" spans="1:38" x14ac:dyDescent="0.2">
      <c r="A12">
        <v>39</v>
      </c>
      <c r="B12">
        <v>741</v>
      </c>
      <c r="C12">
        <v>250</v>
      </c>
      <c r="D12">
        <v>0.31765567223783697</v>
      </c>
      <c r="E12">
        <v>37.6331678283969</v>
      </c>
      <c r="F12">
        <v>2.52537870730563</v>
      </c>
      <c r="G12">
        <v>-593.81274768357343</v>
      </c>
      <c r="H12">
        <v>-515.334441829762</v>
      </c>
      <c r="I12">
        <v>77.383331710113296</v>
      </c>
      <c r="J12">
        <v>44.968691680768799</v>
      </c>
      <c r="K12">
        <v>14.901989836030699</v>
      </c>
      <c r="L12">
        <v>2.9088833101303276E-5</v>
      </c>
      <c r="M12">
        <v>1.799047551688086E-6</v>
      </c>
      <c r="N12" s="1">
        <v>-4.3968403113703102E-7</v>
      </c>
      <c r="O12" s="1">
        <v>1.4066542710113001E-10</v>
      </c>
      <c r="P12" s="1">
        <v>1.5708796837693E-9</v>
      </c>
      <c r="Q12">
        <v>66.121931531780703</v>
      </c>
      <c r="S12">
        <v>19.014239410738298</v>
      </c>
      <c r="AA12">
        <v>0.25829342586727999</v>
      </c>
      <c r="AB12">
        <v>4.8624025939621101</v>
      </c>
      <c r="AC12">
        <v>9.7431330376515302</v>
      </c>
      <c r="AJ12">
        <v>0.42595099772234901</v>
      </c>
      <c r="AK12">
        <v>1.25035365604563E-2</v>
      </c>
      <c r="AL12">
        <v>0.56154546571719399</v>
      </c>
    </row>
    <row r="13" spans="1:38" x14ac:dyDescent="0.2">
      <c r="A13">
        <v>40</v>
      </c>
      <c r="B13">
        <v>740</v>
      </c>
      <c r="C13">
        <v>250</v>
      </c>
      <c r="D13">
        <v>0.31691309282929903</v>
      </c>
      <c r="E13">
        <v>38.867191084921302</v>
      </c>
      <c r="F13">
        <v>2.5253914608021</v>
      </c>
      <c r="G13">
        <v>-613.17298846171116</v>
      </c>
      <c r="H13">
        <v>-532.25233378270377</v>
      </c>
      <c r="I13">
        <v>79.870359452210806</v>
      </c>
      <c r="J13">
        <v>46.453460154945802</v>
      </c>
      <c r="K13">
        <v>15.390560904397899</v>
      </c>
      <c r="L13">
        <v>2.9111824025165414E-5</v>
      </c>
      <c r="M13">
        <v>1.7991401114963257E-6</v>
      </c>
      <c r="N13" s="1">
        <v>-4.6913265598750501E-7</v>
      </c>
      <c r="O13" s="1">
        <v>1.4517222848928299E-10</v>
      </c>
      <c r="P13" s="1">
        <v>1.66514813983623E-9</v>
      </c>
      <c r="Q13">
        <v>66.121544860641393</v>
      </c>
      <c r="S13">
        <v>19.0107401697671</v>
      </c>
      <c r="AA13">
        <v>0.25549674066086497</v>
      </c>
      <c r="AB13">
        <v>4.8523672029223501</v>
      </c>
      <c r="AC13">
        <v>9.7598510260081799</v>
      </c>
      <c r="AJ13">
        <v>0.425093547073713</v>
      </c>
      <c r="AK13">
        <v>1.2368784084736999E-2</v>
      </c>
      <c r="AL13">
        <v>0.56253766884154899</v>
      </c>
    </row>
    <row r="14" spans="1:38" x14ac:dyDescent="0.2">
      <c r="A14">
        <v>48</v>
      </c>
      <c r="B14">
        <v>750</v>
      </c>
      <c r="C14">
        <v>225</v>
      </c>
      <c r="D14">
        <v>0.35115134633240402</v>
      </c>
      <c r="E14">
        <v>1.17608811160212</v>
      </c>
      <c r="F14">
        <v>2.5669466256576898</v>
      </c>
      <c r="G14">
        <v>-19.018990589969668</v>
      </c>
      <c r="H14">
        <v>-16.494003765753881</v>
      </c>
      <c r="I14">
        <v>2.46785595877025</v>
      </c>
      <c r="J14">
        <v>1.43935415964653</v>
      </c>
      <c r="K14">
        <v>0.45816617293348799</v>
      </c>
      <c r="L14">
        <v>3.1772727387220985E-5</v>
      </c>
      <c r="M14">
        <v>1.8212505939125053E-6</v>
      </c>
      <c r="N14" s="1">
        <v>-2.07114497537563E-8</v>
      </c>
      <c r="O14" s="1">
        <v>4.0500719771407703E-12</v>
      </c>
      <c r="P14" s="1">
        <v>6.9968600622815003E-11</v>
      </c>
      <c r="Q14">
        <v>65.657838644848596</v>
      </c>
      <c r="S14">
        <v>21.002516668258099</v>
      </c>
      <c r="AA14">
        <v>2.0069322522612101</v>
      </c>
      <c r="AB14">
        <v>9.0407238033661894</v>
      </c>
      <c r="AC14">
        <v>2.2919886312658102</v>
      </c>
      <c r="AJ14">
        <v>0.77551422116847302</v>
      </c>
      <c r="AK14">
        <v>9.5132753536384798E-2</v>
      </c>
      <c r="AL14">
        <v>0.12935302529514101</v>
      </c>
    </row>
    <row r="15" spans="1:38" x14ac:dyDescent="0.2">
      <c r="A15">
        <v>49</v>
      </c>
      <c r="B15">
        <v>749</v>
      </c>
      <c r="C15">
        <v>225</v>
      </c>
      <c r="D15">
        <v>0.350448075135744</v>
      </c>
      <c r="E15">
        <v>4.5569075617273498</v>
      </c>
      <c r="F15">
        <v>2.5658779368548501</v>
      </c>
      <c r="G15">
        <v>-73.653986618267496</v>
      </c>
      <c r="H15">
        <v>-63.88574938660291</v>
      </c>
      <c r="I15">
        <v>9.5565594400670903</v>
      </c>
      <c r="J15">
        <v>5.5776310230515804</v>
      </c>
      <c r="K15">
        <v>1.7759642796231401</v>
      </c>
      <c r="L15">
        <v>3.1799187687401677E-5</v>
      </c>
      <c r="M15">
        <v>1.8221221988000903E-6</v>
      </c>
      <c r="N15" s="1">
        <v>-8.2317846130157697E-8</v>
      </c>
      <c r="O15" s="1">
        <v>1.5704991669926799E-11</v>
      </c>
      <c r="P15" s="1">
        <v>2.7697858702670398E-10</v>
      </c>
      <c r="Q15">
        <v>65.711142904685701</v>
      </c>
      <c r="S15">
        <v>20.9392058867654</v>
      </c>
      <c r="AA15">
        <v>1.94226238896212</v>
      </c>
      <c r="AB15">
        <v>8.9935320437067503</v>
      </c>
      <c r="AC15">
        <v>2.4138567758799199</v>
      </c>
      <c r="AJ15">
        <v>0.77164800304192105</v>
      </c>
      <c r="AK15">
        <v>9.2088975387196403E-2</v>
      </c>
      <c r="AL15">
        <v>0.13626302157088199</v>
      </c>
    </row>
    <row r="16" spans="1:38" x14ac:dyDescent="0.2">
      <c r="A16">
        <v>50</v>
      </c>
      <c r="B16">
        <v>748</v>
      </c>
      <c r="C16">
        <v>225</v>
      </c>
      <c r="D16">
        <v>0.34974342652891699</v>
      </c>
      <c r="E16">
        <v>8.1491412985972893</v>
      </c>
      <c r="F16">
        <v>2.5663455631066898</v>
      </c>
      <c r="G16">
        <v>-131.71147479057225</v>
      </c>
      <c r="H16">
        <v>-114.27027524430041</v>
      </c>
      <c r="I16">
        <v>17.079958425570901</v>
      </c>
      <c r="J16">
        <v>9.9791879345814092</v>
      </c>
      <c r="K16">
        <v>3.1753873740729999</v>
      </c>
      <c r="L16">
        <v>3.1843987689333945E-5</v>
      </c>
      <c r="M16">
        <v>1.8218770021183638E-6</v>
      </c>
      <c r="N16" s="1">
        <v>-1.52018189517881E-7</v>
      </c>
      <c r="O16" s="1">
        <v>2.8026183429460699E-11</v>
      </c>
      <c r="P16" s="1">
        <v>5.0911269825393096E-10</v>
      </c>
      <c r="Q16">
        <v>65.685226410157</v>
      </c>
      <c r="S16">
        <v>20.963387098697801</v>
      </c>
      <c r="AA16">
        <v>1.96825939609927</v>
      </c>
      <c r="AB16">
        <v>8.9991727160894506</v>
      </c>
      <c r="AC16">
        <v>2.3839543789562998</v>
      </c>
      <c r="AJ16">
        <v>0.77210991240420301</v>
      </c>
      <c r="AK16">
        <v>9.3318911544373495E-2</v>
      </c>
      <c r="AL16">
        <v>0.13457117605142199</v>
      </c>
    </row>
    <row r="17" spans="1:38" x14ac:dyDescent="0.2">
      <c r="A17">
        <v>51</v>
      </c>
      <c r="B17">
        <v>747</v>
      </c>
      <c r="C17">
        <v>225</v>
      </c>
      <c r="D17">
        <v>0.34903739646130499</v>
      </c>
      <c r="E17">
        <v>13.5783169902538</v>
      </c>
      <c r="F17">
        <v>2.5667393412457198</v>
      </c>
      <c r="G17">
        <v>-219.45073244697377</v>
      </c>
      <c r="H17">
        <v>-190.43520741374783</v>
      </c>
      <c r="I17">
        <v>28.4424104624084</v>
      </c>
      <c r="J17">
        <v>16.635667644344601</v>
      </c>
      <c r="K17">
        <v>5.2901035847542603</v>
      </c>
      <c r="L17">
        <v>3.1892215107741561E-5</v>
      </c>
      <c r="M17">
        <v>1.8217522298372261E-6</v>
      </c>
      <c r="N17" s="1">
        <v>-2.6159228029068197E-7</v>
      </c>
      <c r="O17" s="1">
        <v>4.6603394104787202E-11</v>
      </c>
      <c r="P17" s="1">
        <v>8.7206313553059696E-10</v>
      </c>
      <c r="Q17">
        <v>65.665195230882802</v>
      </c>
      <c r="S17">
        <v>20.982615769101098</v>
      </c>
      <c r="AA17">
        <v>1.9887972479076801</v>
      </c>
      <c r="AB17">
        <v>9.0049447664655293</v>
      </c>
      <c r="AC17">
        <v>2.3584469856428099</v>
      </c>
      <c r="AJ17">
        <v>0.77258265339078502</v>
      </c>
      <c r="AK17">
        <v>9.4289905424040102E-2</v>
      </c>
      <c r="AL17">
        <v>0.133127441185174</v>
      </c>
    </row>
    <row r="18" spans="1:38" x14ac:dyDescent="0.2">
      <c r="A18">
        <v>52</v>
      </c>
      <c r="B18">
        <v>746</v>
      </c>
      <c r="C18">
        <v>225</v>
      </c>
      <c r="D18">
        <v>0.34832998086640898</v>
      </c>
      <c r="E18">
        <v>17.483054655498002</v>
      </c>
      <c r="F18">
        <v>2.56703049430498</v>
      </c>
      <c r="G18">
        <v>-282.53954107585599</v>
      </c>
      <c r="H18">
        <v>-245.23817563654876</v>
      </c>
      <c r="I18">
        <v>36.6004665057227</v>
      </c>
      <c r="J18">
        <v>21.4304359927424</v>
      </c>
      <c r="K18">
        <v>6.8106143243271102</v>
      </c>
      <c r="L18">
        <v>3.194502411561076E-5</v>
      </c>
      <c r="M18">
        <v>1.821803206241032E-6</v>
      </c>
      <c r="N18" s="1">
        <v>-3.4789621449727998E-7</v>
      </c>
      <c r="O18" s="1">
        <v>5.9891508153393902E-11</v>
      </c>
      <c r="P18" s="1">
        <v>1.15454691518532E-9</v>
      </c>
      <c r="Q18">
        <v>65.653671491649504</v>
      </c>
      <c r="S18">
        <v>20.994816161514901</v>
      </c>
      <c r="AA18">
        <v>2.0015516035815799</v>
      </c>
      <c r="AB18">
        <v>9.0112496463344307</v>
      </c>
      <c r="AC18">
        <v>2.3387110969194702</v>
      </c>
      <c r="AJ18">
        <v>0.77309916314313099</v>
      </c>
      <c r="AK18">
        <v>9.48915986868131E-2</v>
      </c>
      <c r="AL18">
        <v>0.132009238170055</v>
      </c>
    </row>
    <row r="19" spans="1:38" x14ac:dyDescent="0.2">
      <c r="A19">
        <v>53</v>
      </c>
      <c r="B19">
        <v>745</v>
      </c>
      <c r="C19">
        <v>225</v>
      </c>
      <c r="D19">
        <v>0.347621175661739</v>
      </c>
      <c r="E19">
        <v>18.8525909680186</v>
      </c>
      <c r="F19">
        <v>2.5672234310417399</v>
      </c>
      <c r="G19">
        <v>-304.6462511341482</v>
      </c>
      <c r="H19">
        <v>-264.48526276904045</v>
      </c>
      <c r="I19">
        <v>39.4450605167291</v>
      </c>
      <c r="J19">
        <v>23.1213571716305</v>
      </c>
      <c r="K19">
        <v>7.3435723358011504</v>
      </c>
      <c r="L19">
        <v>3.2002528881655975E-5</v>
      </c>
      <c r="M19">
        <v>1.8220274508991089E-6</v>
      </c>
      <c r="N19" s="1">
        <v>-3.8754442232291902E-7</v>
      </c>
      <c r="O19" s="1">
        <v>6.44686074584833E-11</v>
      </c>
      <c r="P19" s="1">
        <v>1.28042919700098E-9</v>
      </c>
      <c r="Q19">
        <v>65.650443656126896</v>
      </c>
      <c r="S19">
        <v>21.0002200156224</v>
      </c>
      <c r="AA19">
        <v>2.0067630098431599</v>
      </c>
      <c r="AB19">
        <v>9.0182234940337604</v>
      </c>
      <c r="AC19">
        <v>2.3243498243736398</v>
      </c>
      <c r="AJ19">
        <v>0.77367058588384297</v>
      </c>
      <c r="AK19">
        <v>9.5135360735420393E-2</v>
      </c>
      <c r="AL19">
        <v>0.131194053380736</v>
      </c>
    </row>
    <row r="20" spans="1:38" x14ac:dyDescent="0.2">
      <c r="A20">
        <v>56</v>
      </c>
      <c r="B20">
        <v>756</v>
      </c>
      <c r="C20">
        <v>200</v>
      </c>
      <c r="D20">
        <v>0.38206335325268598</v>
      </c>
      <c r="E20">
        <v>1.20786862444014</v>
      </c>
      <c r="F20">
        <v>2.5660396044165701</v>
      </c>
      <c r="G20">
        <v>-19.567335386180837</v>
      </c>
      <c r="H20">
        <v>-16.949431825975037</v>
      </c>
      <c r="I20">
        <v>2.5437531557166499</v>
      </c>
      <c r="J20">
        <v>1.4751689171014</v>
      </c>
      <c r="K20">
        <v>0.47071316528443202</v>
      </c>
      <c r="L20">
        <v>3.1526708159014369E-5</v>
      </c>
      <c r="M20">
        <v>1.8220470493450554E-6</v>
      </c>
      <c r="N20" s="1">
        <v>-1.7421367019381602E-8</v>
      </c>
      <c r="O20" s="1">
        <v>4.1877199137720598E-12</v>
      </c>
      <c r="P20" s="1">
        <v>6.0785267969328905E-11</v>
      </c>
      <c r="Q20">
        <v>65.657644945291096</v>
      </c>
      <c r="S20">
        <v>21.031068642456599</v>
      </c>
      <c r="AA20">
        <v>2.0305331204675299</v>
      </c>
      <c r="AB20">
        <v>9.1151448666593708</v>
      </c>
      <c r="AC20">
        <v>2.1656084251252801</v>
      </c>
      <c r="AJ20">
        <v>0.781608830609552</v>
      </c>
      <c r="AK20">
        <v>9.6215878647142802E-2</v>
      </c>
      <c r="AL20">
        <v>0.12217529074330501</v>
      </c>
    </row>
    <row r="21" spans="1:38" x14ac:dyDescent="0.2">
      <c r="A21">
        <v>57</v>
      </c>
      <c r="B21">
        <v>755</v>
      </c>
      <c r="C21">
        <v>200</v>
      </c>
      <c r="D21">
        <v>0.38139425181150599</v>
      </c>
      <c r="E21">
        <v>2.6801926331256598</v>
      </c>
      <c r="F21">
        <v>2.56378672666838</v>
      </c>
      <c r="G21">
        <v>-43.382202031818686</v>
      </c>
      <c r="H21">
        <v>-37.581909187036665</v>
      </c>
      <c r="I21">
        <v>5.6414850408812098</v>
      </c>
      <c r="J21">
        <v>3.2728640695680702</v>
      </c>
      <c r="K21">
        <v>1.04540389621587</v>
      </c>
      <c r="L21">
        <v>3.1545541105926969E-5</v>
      </c>
      <c r="M21">
        <v>1.8240303416997304E-6</v>
      </c>
      <c r="N21" s="1">
        <v>-3.94842168174085E-8</v>
      </c>
      <c r="O21" s="1">
        <v>9.3214603595018297E-12</v>
      </c>
      <c r="P21" s="1">
        <v>1.3721037494293801E-10</v>
      </c>
      <c r="Q21">
        <v>65.780678414227594</v>
      </c>
      <c r="S21">
        <v>20.897110472577101</v>
      </c>
      <c r="AA21">
        <v>1.89130808069395</v>
      </c>
      <c r="AB21">
        <v>9.0381295973040796</v>
      </c>
      <c r="AC21">
        <v>2.3927734351971099</v>
      </c>
      <c r="AJ21">
        <v>0.77530360026828204</v>
      </c>
      <c r="AK21">
        <v>8.9653305132583294E-2</v>
      </c>
      <c r="AL21">
        <v>0.13504309459913399</v>
      </c>
    </row>
    <row r="22" spans="1:38" x14ac:dyDescent="0.2">
      <c r="A22">
        <v>58</v>
      </c>
      <c r="B22">
        <v>754</v>
      </c>
      <c r="C22">
        <v>200</v>
      </c>
      <c r="D22">
        <v>0.38072384753930699</v>
      </c>
      <c r="E22">
        <v>5.0522103634196496</v>
      </c>
      <c r="F22">
        <v>2.5620918603473899</v>
      </c>
      <c r="G22">
        <v>-81.714927964369735</v>
      </c>
      <c r="H22">
        <v>-70.798569321372312</v>
      </c>
      <c r="I22">
        <v>10.627813506301299</v>
      </c>
      <c r="J22">
        <v>6.1683370133716497</v>
      </c>
      <c r="K22">
        <v>1.97190836191744</v>
      </c>
      <c r="L22">
        <v>3.1543432640944811E-5</v>
      </c>
      <c r="M22">
        <v>1.8249237725109277E-6</v>
      </c>
      <c r="N22" s="1">
        <v>-7.5939867836106405E-8</v>
      </c>
      <c r="O22" s="1">
        <v>1.7607982985926601E-11</v>
      </c>
      <c r="P22" s="1">
        <v>2.6290588534034801E-10</v>
      </c>
      <c r="Q22">
        <v>65.852148071835998</v>
      </c>
      <c r="S22">
        <v>20.803975105534199</v>
      </c>
      <c r="AA22">
        <v>1.79779398170353</v>
      </c>
      <c r="AB22">
        <v>8.9532294241075903</v>
      </c>
      <c r="AC22">
        <v>2.5928534168185799</v>
      </c>
      <c r="AJ22">
        <v>0.76834621043017004</v>
      </c>
      <c r="AK22">
        <v>8.5256588952743503E-2</v>
      </c>
      <c r="AL22">
        <v>0.146397200617085</v>
      </c>
    </row>
    <row r="23" spans="1:38" x14ac:dyDescent="0.2">
      <c r="A23">
        <v>59</v>
      </c>
      <c r="B23">
        <v>753</v>
      </c>
      <c r="C23">
        <v>200</v>
      </c>
      <c r="D23">
        <v>0.380052136627202</v>
      </c>
      <c r="E23">
        <v>8.2837785758071796</v>
      </c>
      <c r="F23">
        <v>2.5631023279470799</v>
      </c>
      <c r="G23">
        <v>-133.99370147830192</v>
      </c>
      <c r="H23">
        <v>-116.12328517914</v>
      </c>
      <c r="I23">
        <v>17.415013691138601</v>
      </c>
      <c r="J23">
        <v>10.1178796201393</v>
      </c>
      <c r="K23">
        <v>3.2319343966427101</v>
      </c>
      <c r="L23">
        <v>3.1569510262713242E-5</v>
      </c>
      <c r="M23">
        <v>1.8238822595700116E-6</v>
      </c>
      <c r="N23" s="1">
        <v>-1.2856808012120601E-7</v>
      </c>
      <c r="O23" s="1">
        <v>2.8790008237164601E-11</v>
      </c>
      <c r="P23" s="1">
        <v>4.4276872456900299E-10</v>
      </c>
      <c r="Q23">
        <v>65.785643910143307</v>
      </c>
      <c r="S23">
        <v>20.863362527812001</v>
      </c>
      <c r="AA23">
        <v>1.8623070501221799</v>
      </c>
      <c r="AB23">
        <v>8.9607203139791096</v>
      </c>
      <c r="AC23">
        <v>2.5279661979432699</v>
      </c>
      <c r="AJ23">
        <v>0.76895938176358603</v>
      </c>
      <c r="AK23">
        <v>8.8312576524741004E-2</v>
      </c>
      <c r="AL23">
        <v>0.142728041711671</v>
      </c>
    </row>
    <row r="24" spans="1:38" x14ac:dyDescent="0.2">
      <c r="A24">
        <v>60</v>
      </c>
      <c r="B24">
        <v>752</v>
      </c>
      <c r="C24">
        <v>200</v>
      </c>
      <c r="D24">
        <v>0.37937911525142798</v>
      </c>
      <c r="E24">
        <v>10.4102158881409</v>
      </c>
      <c r="F24">
        <v>2.5637811190814399</v>
      </c>
      <c r="G24">
        <v>-168.39187724199476</v>
      </c>
      <c r="H24">
        <v>-145.96941430868668</v>
      </c>
      <c r="I24">
        <v>21.8723727584334</v>
      </c>
      <c r="J24">
        <v>12.7203001144319</v>
      </c>
      <c r="K24">
        <v>4.0604932342550102</v>
      </c>
      <c r="L24">
        <v>3.1603579094648498E-5</v>
      </c>
      <c r="M24">
        <v>1.8233212355109015E-6</v>
      </c>
      <c r="N24" s="1">
        <v>-1.66827019720948E-7</v>
      </c>
      <c r="O24" s="1">
        <v>3.60986396271892E-11</v>
      </c>
      <c r="P24" s="1">
        <v>5.7156273113325295E-10</v>
      </c>
      <c r="Q24">
        <v>65.744105360334402</v>
      </c>
      <c r="S24">
        <v>20.901188761880402</v>
      </c>
      <c r="AA24">
        <v>1.9032065332678001</v>
      </c>
      <c r="AB24">
        <v>8.9673202732942805</v>
      </c>
      <c r="AC24">
        <v>2.4841790712229601</v>
      </c>
      <c r="AJ24">
        <v>0.76949984944552496</v>
      </c>
      <c r="AK24">
        <v>9.02490352934745E-2</v>
      </c>
      <c r="AL24">
        <v>0.14025111526099901</v>
      </c>
    </row>
    <row r="25" spans="1:38" x14ac:dyDescent="0.2">
      <c r="A25">
        <v>61</v>
      </c>
      <c r="B25">
        <v>751</v>
      </c>
      <c r="C25">
        <v>200</v>
      </c>
      <c r="D25">
        <v>0.378704779573308</v>
      </c>
      <c r="E25">
        <v>16.138345349441298</v>
      </c>
      <c r="F25">
        <v>2.5649246104796499</v>
      </c>
      <c r="G25">
        <v>-261.07378712832929</v>
      </c>
      <c r="H25">
        <v>-226.3697604668113</v>
      </c>
      <c r="I25">
        <v>33.885687312911102</v>
      </c>
      <c r="J25">
        <v>19.727494364251001</v>
      </c>
      <c r="K25">
        <v>6.2919375031546796</v>
      </c>
      <c r="L25">
        <v>3.162480626657089E-5</v>
      </c>
      <c r="M25">
        <v>1.8219641739452833E-6</v>
      </c>
      <c r="N25" s="1">
        <v>-2.6692022588160902E-7</v>
      </c>
      <c r="O25" s="1">
        <v>5.5786527801854197E-11</v>
      </c>
      <c r="P25" s="1">
        <v>9.0996684350355595E-10</v>
      </c>
      <c r="Q25">
        <v>65.663237937606496</v>
      </c>
      <c r="S25">
        <v>20.9711640797426</v>
      </c>
      <c r="AA25">
        <v>1.9798061945590799</v>
      </c>
      <c r="AB25">
        <v>8.9705609508705901</v>
      </c>
      <c r="AC25">
        <v>2.4152308372211801</v>
      </c>
      <c r="AJ25">
        <v>0.76976428016126097</v>
      </c>
      <c r="AK25">
        <v>9.38796846545321E-2</v>
      </c>
      <c r="AL25">
        <v>0.136356035184205</v>
      </c>
    </row>
    <row r="26" spans="1:38" x14ac:dyDescent="0.2">
      <c r="A26">
        <v>62</v>
      </c>
      <c r="B26">
        <v>750</v>
      </c>
      <c r="C26">
        <v>200</v>
      </c>
      <c r="D26">
        <v>0.37802912573913899</v>
      </c>
      <c r="E26">
        <v>17.957324039858602</v>
      </c>
      <c r="F26">
        <v>2.5653950816992999</v>
      </c>
      <c r="G26">
        <v>-290.49037015539693</v>
      </c>
      <c r="H26">
        <v>-251.93519901347042</v>
      </c>
      <c r="I26">
        <v>37.682813997875598</v>
      </c>
      <c r="J26">
        <v>21.960370322228599</v>
      </c>
      <c r="K26">
        <v>6.99982788926369</v>
      </c>
      <c r="L26">
        <v>3.1665302663136167E-5</v>
      </c>
      <c r="M26">
        <v>1.8216970179966564E-6</v>
      </c>
      <c r="N26" s="1">
        <v>-3.0666438637918599E-7</v>
      </c>
      <c r="O26" s="1">
        <v>6.1951058158455797E-11</v>
      </c>
      <c r="P26" s="1">
        <v>1.0402835559437999E-9</v>
      </c>
      <c r="Q26">
        <v>65.636937726317598</v>
      </c>
      <c r="S26">
        <v>20.995637670574101</v>
      </c>
      <c r="AA26">
        <v>2.0061339523419899</v>
      </c>
      <c r="AB26">
        <v>8.9761130403233</v>
      </c>
      <c r="AC26">
        <v>2.3851776104428102</v>
      </c>
      <c r="AJ26">
        <v>0.77021902803586495</v>
      </c>
      <c r="AK26">
        <v>9.5125433460903103E-2</v>
      </c>
      <c r="AL26">
        <v>0.134655538503231</v>
      </c>
    </row>
    <row r="27" spans="1:38" x14ac:dyDescent="0.2">
      <c r="A27">
        <v>63</v>
      </c>
      <c r="B27">
        <v>749</v>
      </c>
      <c r="C27">
        <v>200</v>
      </c>
      <c r="D27">
        <v>0.37735214988015597</v>
      </c>
      <c r="E27">
        <v>18.675978868045799</v>
      </c>
      <c r="F27">
        <v>2.5656467235532698</v>
      </c>
      <c r="G27">
        <v>-302.09344366301303</v>
      </c>
      <c r="H27">
        <v>-262.0573183288472</v>
      </c>
      <c r="I27">
        <v>39.168542126073199</v>
      </c>
      <c r="J27">
        <v>22.849428853075501</v>
      </c>
      <c r="K27">
        <v>7.2792480338761099</v>
      </c>
      <c r="L27">
        <v>3.1713529770354463E-5</v>
      </c>
      <c r="M27">
        <v>1.8217999954928401E-6</v>
      </c>
      <c r="N27" s="1">
        <v>-3.2938408046892298E-7</v>
      </c>
      <c r="O27" s="1">
        <v>6.4324523517520701E-11</v>
      </c>
      <c r="P27" s="1">
        <v>1.1118922229741301E-9</v>
      </c>
      <c r="Q27">
        <v>65.628801929652099</v>
      </c>
      <c r="S27">
        <v>21.0051185808077</v>
      </c>
      <c r="AA27">
        <v>2.0158541772898602</v>
      </c>
      <c r="AB27">
        <v>8.9828382924578793</v>
      </c>
      <c r="AC27">
        <v>2.3673870197923002</v>
      </c>
      <c r="AJ27">
        <v>0.77077019704480898</v>
      </c>
      <c r="AK27">
        <v>9.5583127208359195E-2</v>
      </c>
      <c r="AL27">
        <v>0.13364667574683101</v>
      </c>
    </row>
    <row r="28" spans="1:38" x14ac:dyDescent="0.2">
      <c r="A28">
        <v>65</v>
      </c>
      <c r="B28">
        <v>766</v>
      </c>
      <c r="C28">
        <v>175</v>
      </c>
      <c r="D28">
        <v>0.41514747630275201</v>
      </c>
      <c r="E28">
        <v>6.8627879627855701E-2</v>
      </c>
      <c r="F28">
        <v>2.56613681553495</v>
      </c>
      <c r="G28">
        <v>-1.1145811129251089</v>
      </c>
      <c r="H28">
        <v>-0.96354057031833695</v>
      </c>
      <c r="I28">
        <v>0.14535008671199701</v>
      </c>
      <c r="J28">
        <v>8.3601090719147994E-2</v>
      </c>
      <c r="K28">
        <v>2.6743655760049199E-2</v>
      </c>
      <c r="L28">
        <v>3.116995202906558E-5</v>
      </c>
      <c r="M28">
        <v>1.8200247433037321E-6</v>
      </c>
      <c r="N28" s="1">
        <v>-7.1800557622000602E-10</v>
      </c>
      <c r="O28" s="1">
        <v>2.3943856958551999E-13</v>
      </c>
      <c r="P28" s="1">
        <v>2.6677807847602601E-12</v>
      </c>
      <c r="Q28">
        <v>65.544676775100896</v>
      </c>
      <c r="S28">
        <v>21.152186221942401</v>
      </c>
      <c r="AA28">
        <v>2.15681594182819</v>
      </c>
      <c r="AB28">
        <v>9.1809268374833497</v>
      </c>
      <c r="AC28">
        <v>1.9653942236450499</v>
      </c>
      <c r="AJ28">
        <v>0.78699042205910996</v>
      </c>
      <c r="AK28">
        <v>0.10216609535718001</v>
      </c>
      <c r="AL28">
        <v>0.110843482583709</v>
      </c>
    </row>
    <row r="29" spans="1:38" x14ac:dyDescent="0.2">
      <c r="A29">
        <v>66</v>
      </c>
      <c r="B29">
        <v>765</v>
      </c>
      <c r="C29">
        <v>175</v>
      </c>
      <c r="D29">
        <v>0.41451668833983701</v>
      </c>
      <c r="E29">
        <v>0.50986374189198502</v>
      </c>
      <c r="F29">
        <v>2.5656055943371001</v>
      </c>
      <c r="G29">
        <v>-8.2784421126088201</v>
      </c>
      <c r="H29">
        <v>-7.1579453888261986</v>
      </c>
      <c r="I29">
        <v>1.0793206413163901</v>
      </c>
      <c r="J29">
        <v>0.621227110533074</v>
      </c>
      <c r="K29">
        <v>0.19873036721519999</v>
      </c>
      <c r="L29">
        <v>3.1209693440375229E-5</v>
      </c>
      <c r="M29">
        <v>1.821072537643401E-6</v>
      </c>
      <c r="N29" s="1">
        <v>-5.49802485157346E-9</v>
      </c>
      <c r="O29" s="1">
        <v>1.77941360818713E-12</v>
      </c>
      <c r="P29" s="1">
        <v>2.0293013583617601E-11</v>
      </c>
      <c r="Q29">
        <v>65.590888887732106</v>
      </c>
      <c r="S29">
        <v>21.111558285107801</v>
      </c>
      <c r="AA29">
        <v>2.1125145132203902</v>
      </c>
      <c r="AB29">
        <v>9.1773966342833493</v>
      </c>
      <c r="AC29">
        <v>2.0076416796562899</v>
      </c>
      <c r="AJ29">
        <v>0.78670234061911004</v>
      </c>
      <c r="AK29">
        <v>0.100069431421207</v>
      </c>
      <c r="AL29">
        <v>0.113228227959682</v>
      </c>
    </row>
    <row r="30" spans="1:38" x14ac:dyDescent="0.2">
      <c r="A30">
        <v>67</v>
      </c>
      <c r="B30">
        <v>764</v>
      </c>
      <c r="C30">
        <v>175</v>
      </c>
      <c r="D30">
        <v>0.41388468398978101</v>
      </c>
      <c r="E30">
        <v>0.95299566867432794</v>
      </c>
      <c r="F30">
        <v>2.5650784962522399</v>
      </c>
      <c r="G30">
        <v>-15.469196282770604</v>
      </c>
      <c r="H30">
        <v>-13.377935064903616</v>
      </c>
      <c r="I30">
        <v>2.01635367870316</v>
      </c>
      <c r="J30">
        <v>1.16137694052757</v>
      </c>
      <c r="K30">
        <v>0.37152690261398202</v>
      </c>
      <c r="L30">
        <v>3.1248956815318832E-5</v>
      </c>
      <c r="M30">
        <v>1.8220827282723202E-6</v>
      </c>
      <c r="N30" s="1">
        <v>-1.05901478706142E-8</v>
      </c>
      <c r="O30" s="1">
        <v>3.32681044910171E-12</v>
      </c>
      <c r="P30" s="1">
        <v>3.8835982905160802E-11</v>
      </c>
      <c r="Q30">
        <v>65.635657695302498</v>
      </c>
      <c r="S30">
        <v>21.0716974081502</v>
      </c>
      <c r="AA30">
        <v>2.06918269236987</v>
      </c>
      <c r="AB30">
        <v>9.1726610503347406</v>
      </c>
      <c r="AC30">
        <v>2.0508011538425399</v>
      </c>
      <c r="AJ30">
        <v>0.78631560631272401</v>
      </c>
      <c r="AK30">
        <v>9.8019205301787607E-2</v>
      </c>
      <c r="AL30">
        <v>0.11566518838548701</v>
      </c>
    </row>
    <row r="31" spans="1:38" x14ac:dyDescent="0.2">
      <c r="A31">
        <v>68</v>
      </c>
      <c r="B31">
        <v>763</v>
      </c>
      <c r="C31">
        <v>175</v>
      </c>
      <c r="D31">
        <v>0.41325145973073701</v>
      </c>
      <c r="E31">
        <v>1.39785586102833</v>
      </c>
      <c r="F31">
        <v>2.5645553089089699</v>
      </c>
      <c r="G31">
        <v>-22.684043429849009</v>
      </c>
      <c r="H31">
        <v>-19.621106692800815</v>
      </c>
      <c r="I31">
        <v>2.9560746388536301</v>
      </c>
      <c r="J31">
        <v>1.70385173305811</v>
      </c>
      <c r="K31">
        <v>0.54506754296635296</v>
      </c>
      <c r="L31">
        <v>3.1287755779631418E-5</v>
      </c>
      <c r="M31">
        <v>1.8230556791127399E-6</v>
      </c>
      <c r="N31" s="1">
        <v>-1.6005460513337701E-8</v>
      </c>
      <c r="O31" s="1">
        <v>4.8808894381571097E-12</v>
      </c>
      <c r="P31" s="1">
        <v>5.8326385404299201E-11</v>
      </c>
      <c r="Q31">
        <v>65.678999109936498</v>
      </c>
      <c r="S31">
        <v>21.032588071830801</v>
      </c>
      <c r="AA31">
        <v>2.02680396286903</v>
      </c>
      <c r="AB31">
        <v>9.1667148592506997</v>
      </c>
      <c r="AC31">
        <v>2.0948939961128898</v>
      </c>
      <c r="AJ31">
        <v>0.78582977761404404</v>
      </c>
      <c r="AK31">
        <v>9.6014603840546803E-2</v>
      </c>
      <c r="AL31">
        <v>0.118155618545409</v>
      </c>
    </row>
    <row r="32" spans="1:38" x14ac:dyDescent="0.2">
      <c r="A32">
        <v>69</v>
      </c>
      <c r="B32">
        <v>762</v>
      </c>
      <c r="C32">
        <v>175</v>
      </c>
      <c r="D32">
        <v>0.41261701202724399</v>
      </c>
      <c r="E32">
        <v>2.4087606376604498</v>
      </c>
      <c r="F32">
        <v>2.5632086757772998</v>
      </c>
      <c r="G32">
        <v>-39.067626328595658</v>
      </c>
      <c r="H32">
        <v>-33.797402098551672</v>
      </c>
      <c r="I32">
        <v>5.0912662223291196</v>
      </c>
      <c r="J32">
        <v>2.9361122416563599</v>
      </c>
      <c r="K32">
        <v>0.93974425899209602</v>
      </c>
      <c r="L32">
        <v>3.131638407821921E-5</v>
      </c>
      <c r="M32">
        <v>1.8245399730692624E-6</v>
      </c>
      <c r="N32" s="1">
        <v>-2.8297785759805502E-8</v>
      </c>
      <c r="O32" s="1">
        <v>8.4246904054878603E-12</v>
      </c>
      <c r="P32" s="1">
        <v>1.02559734752547E-10</v>
      </c>
      <c r="Q32">
        <v>65.761417336222294</v>
      </c>
      <c r="S32">
        <v>20.947854452736799</v>
      </c>
      <c r="AA32">
        <v>1.9376666931392099</v>
      </c>
      <c r="AB32">
        <v>9.1282392588631698</v>
      </c>
      <c r="AC32">
        <v>2.2248222590383402</v>
      </c>
      <c r="AJ32">
        <v>0.78268233942534504</v>
      </c>
      <c r="AK32">
        <v>9.1809661075096693E-2</v>
      </c>
      <c r="AL32">
        <v>0.12550799949955799</v>
      </c>
    </row>
    <row r="33" spans="1:38" x14ac:dyDescent="0.2">
      <c r="A33">
        <v>70</v>
      </c>
      <c r="B33">
        <v>761</v>
      </c>
      <c r="C33">
        <v>175</v>
      </c>
      <c r="D33">
        <v>0.411981337330175</v>
      </c>
      <c r="E33">
        <v>3.8904339269371002</v>
      </c>
      <c r="F33">
        <v>2.5610736930940501</v>
      </c>
      <c r="G33">
        <v>-63.046591544374664</v>
      </c>
      <c r="H33">
        <v>-54.547433790953832</v>
      </c>
      <c r="I33">
        <v>8.2184961112225796</v>
      </c>
      <c r="J33">
        <v>4.7411476256573399</v>
      </c>
      <c r="K33">
        <v>1.51906364015517</v>
      </c>
      <c r="L33">
        <v>3.1323405057972134E-5</v>
      </c>
      <c r="M33">
        <v>1.8261964682567648E-6</v>
      </c>
      <c r="N33" s="1">
        <v>-4.6629595779225301E-8</v>
      </c>
      <c r="O33" s="1">
        <v>1.3647980624895099E-11</v>
      </c>
      <c r="P33" s="1">
        <v>1.6825618764347E-10</v>
      </c>
      <c r="Q33">
        <v>65.870663545514702</v>
      </c>
      <c r="S33">
        <v>20.823988821229602</v>
      </c>
      <c r="AA33">
        <v>1.80998516941611</v>
      </c>
      <c r="AB33">
        <v>9.0469587220965906</v>
      </c>
      <c r="AC33">
        <v>2.4484037417428799</v>
      </c>
      <c r="AJ33">
        <v>0.77602830569429004</v>
      </c>
      <c r="AK33">
        <v>8.5794759346238703E-2</v>
      </c>
      <c r="AL33">
        <v>0.13817693495947</v>
      </c>
    </row>
    <row r="34" spans="1:38" x14ac:dyDescent="0.2">
      <c r="A34">
        <v>71</v>
      </c>
      <c r="B34">
        <v>760</v>
      </c>
      <c r="C34">
        <v>175</v>
      </c>
      <c r="D34">
        <v>0.41134443207665999</v>
      </c>
      <c r="E34">
        <v>5.6077260700017098</v>
      </c>
      <c r="F34">
        <v>2.5583532331739298</v>
      </c>
      <c r="G34">
        <v>-90.777439675926047</v>
      </c>
      <c r="H34">
        <v>-78.546346347467662</v>
      </c>
      <c r="I34">
        <v>11.8386423350514</v>
      </c>
      <c r="J34">
        <v>6.8306582694970697</v>
      </c>
      <c r="K34">
        <v>2.1919279938699701</v>
      </c>
      <c r="L34">
        <v>3.1298400610974519E-5</v>
      </c>
      <c r="M34">
        <v>1.8275569747769959E-6</v>
      </c>
      <c r="N34" s="1">
        <v>-6.8133093672282796E-8</v>
      </c>
      <c r="O34" s="1">
        <v>1.9750976884650302E-11</v>
      </c>
      <c r="P34" s="1">
        <v>2.45054301267228E-10</v>
      </c>
      <c r="Q34">
        <v>65.985670694597204</v>
      </c>
      <c r="S34">
        <v>20.677009545535501</v>
      </c>
      <c r="AA34">
        <v>1.6618904160311001</v>
      </c>
      <c r="AB34">
        <v>8.9179207075483102</v>
      </c>
      <c r="AC34">
        <v>2.7575086362878301</v>
      </c>
      <c r="AJ34">
        <v>0.76545259321222203</v>
      </c>
      <c r="AK34">
        <v>7.8825705379639802E-2</v>
      </c>
      <c r="AL34">
        <v>0.15572170140813699</v>
      </c>
    </row>
    <row r="35" spans="1:38" x14ac:dyDescent="0.2">
      <c r="A35">
        <v>72</v>
      </c>
      <c r="B35">
        <v>759</v>
      </c>
      <c r="C35">
        <v>175</v>
      </c>
      <c r="D35">
        <v>0.41070629269001901</v>
      </c>
      <c r="E35">
        <v>8.1301885389997697</v>
      </c>
      <c r="F35">
        <v>2.5591637921700698</v>
      </c>
      <c r="G35">
        <v>-131.60663180340927</v>
      </c>
      <c r="H35">
        <v>-113.90223826414176</v>
      </c>
      <c r="I35">
        <v>17.1529269382042</v>
      </c>
      <c r="J35">
        <v>9.9050741024473297</v>
      </c>
      <c r="K35">
        <v>3.17689260995119</v>
      </c>
      <c r="L35">
        <v>3.1299167241996957E-5</v>
      </c>
      <c r="M35">
        <v>1.8262591983529965E-6</v>
      </c>
      <c r="N35" s="1">
        <v>-1.0164448598565099E-7</v>
      </c>
      <c r="O35" s="1">
        <v>2.8573284324505E-11</v>
      </c>
      <c r="P35" s="1">
        <v>3.6357238537273698E-10</v>
      </c>
      <c r="Q35">
        <v>65.916616075644797</v>
      </c>
      <c r="S35">
        <v>20.7294891099964</v>
      </c>
      <c r="AA35">
        <v>1.7212995453545601</v>
      </c>
      <c r="AB35">
        <v>8.9016181928169296</v>
      </c>
      <c r="AC35">
        <v>2.7309770761871701</v>
      </c>
      <c r="AJ35">
        <v>0.76411421869065599</v>
      </c>
      <c r="AK35">
        <v>8.1650070277179507E-2</v>
      </c>
      <c r="AL35">
        <v>0.15423571103216399</v>
      </c>
    </row>
    <row r="36" spans="1:38" x14ac:dyDescent="0.2">
      <c r="A36">
        <v>73</v>
      </c>
      <c r="B36">
        <v>758</v>
      </c>
      <c r="C36">
        <v>175</v>
      </c>
      <c r="D36">
        <v>0.41006691557969399</v>
      </c>
      <c r="E36">
        <v>10.0613485023246</v>
      </c>
      <c r="F36">
        <v>2.5603384435243299</v>
      </c>
      <c r="G36">
        <v>-162.88796969590163</v>
      </c>
      <c r="H36">
        <v>-141.01272331952038</v>
      </c>
      <c r="I36">
        <v>21.214417278166302</v>
      </c>
      <c r="J36">
        <v>12.2622347367119</v>
      </c>
      <c r="K36">
        <v>3.9296947353862599</v>
      </c>
      <c r="L36">
        <v>3.1319158494126802E-5</v>
      </c>
      <c r="M36">
        <v>1.8250701200075739E-6</v>
      </c>
      <c r="N36" s="1">
        <v>-1.29937004770456E-7</v>
      </c>
      <c r="O36" s="1">
        <v>3.52594204798282E-11</v>
      </c>
      <c r="P36" s="1">
        <v>4.6196856581106101E-10</v>
      </c>
      <c r="Q36">
        <v>65.841434255135496</v>
      </c>
      <c r="S36">
        <v>20.7979982372755</v>
      </c>
      <c r="AA36">
        <v>1.79536292685167</v>
      </c>
      <c r="AB36">
        <v>8.9136851208565009</v>
      </c>
      <c r="AC36">
        <v>2.6515194598806699</v>
      </c>
      <c r="AJ36">
        <v>0.76510294960274505</v>
      </c>
      <c r="AK36">
        <v>8.5158034909893404E-2</v>
      </c>
      <c r="AL36">
        <v>0.14973901548735999</v>
      </c>
    </row>
    <row r="37" spans="1:38" x14ac:dyDescent="0.2">
      <c r="A37">
        <v>74</v>
      </c>
      <c r="B37">
        <v>757</v>
      </c>
      <c r="C37">
        <v>175</v>
      </c>
      <c r="D37">
        <v>0.40942629714119499</v>
      </c>
      <c r="E37">
        <v>14.1680277829416</v>
      </c>
      <c r="F37">
        <v>2.56212672074335</v>
      </c>
      <c r="G37">
        <v>-229.42869022192113</v>
      </c>
      <c r="H37">
        <v>-198.67502654091408</v>
      </c>
      <c r="I37">
        <v>29.853578295400698</v>
      </c>
      <c r="J37">
        <v>17.273367008425399</v>
      </c>
      <c r="K37">
        <v>5.5297919764214498</v>
      </c>
      <c r="L37">
        <v>3.132225865897031E-5</v>
      </c>
      <c r="M37">
        <v>1.8228438417478672E-6</v>
      </c>
      <c r="N37" s="1">
        <v>-1.88900513335202E-7</v>
      </c>
      <c r="O37" s="1">
        <v>4.9453827676524799E-11</v>
      </c>
      <c r="P37" s="1">
        <v>6.6774767523150798E-10</v>
      </c>
      <c r="Q37">
        <v>65.714880740139904</v>
      </c>
      <c r="S37">
        <v>20.9087084496824</v>
      </c>
      <c r="AA37">
        <v>1.91622951829614</v>
      </c>
      <c r="AB37">
        <v>8.9219086133513592</v>
      </c>
      <c r="AC37">
        <v>2.5382726785300598</v>
      </c>
      <c r="AJ37">
        <v>0.76577553319276803</v>
      </c>
      <c r="AK37">
        <v>9.0887055180797496E-2</v>
      </c>
      <c r="AL37">
        <v>0.14333741162643401</v>
      </c>
    </row>
    <row r="38" spans="1:38" x14ac:dyDescent="0.2">
      <c r="A38">
        <v>75</v>
      </c>
      <c r="B38">
        <v>756</v>
      </c>
      <c r="C38">
        <v>175</v>
      </c>
      <c r="D38">
        <v>0.40878443375601398</v>
      </c>
      <c r="E38">
        <v>16.4653661470347</v>
      </c>
      <c r="F38">
        <v>2.56312392182826</v>
      </c>
      <c r="G38">
        <v>-266.65019074070887</v>
      </c>
      <c r="H38">
        <v>-230.96664256095093</v>
      </c>
      <c r="I38">
        <v>34.672835038388797</v>
      </c>
      <c r="J38">
        <v>20.081099636000801</v>
      </c>
      <c r="K38">
        <v>6.4239446274177903</v>
      </c>
      <c r="L38">
        <v>3.1341736128589959E-5</v>
      </c>
      <c r="M38">
        <v>1.8217403513149641E-6</v>
      </c>
      <c r="N38" s="1">
        <v>-2.26585893202929E-7</v>
      </c>
      <c r="O38" s="1">
        <v>5.7320823388794203E-11</v>
      </c>
      <c r="P38" s="1">
        <v>7.9643504290427696E-10</v>
      </c>
      <c r="Q38">
        <v>65.647221678379793</v>
      </c>
      <c r="S38">
        <v>20.9682641024548</v>
      </c>
      <c r="AA38">
        <v>1.9811508587375199</v>
      </c>
      <c r="AB38">
        <v>8.9272669084587193</v>
      </c>
      <c r="AC38">
        <v>2.4760964519690898</v>
      </c>
      <c r="AJ38">
        <v>0.76621397386615897</v>
      </c>
      <c r="AK38">
        <v>9.3963651616364399E-2</v>
      </c>
      <c r="AL38">
        <v>0.13982237451747601</v>
      </c>
    </row>
    <row r="39" spans="1:38" x14ac:dyDescent="0.2">
      <c r="A39">
        <v>76</v>
      </c>
      <c r="B39">
        <v>755</v>
      </c>
      <c r="C39">
        <v>175</v>
      </c>
      <c r="D39">
        <v>0.40814132179156798</v>
      </c>
      <c r="E39">
        <v>17.584036320435398</v>
      </c>
      <c r="F39">
        <v>2.5636649327065402</v>
      </c>
      <c r="G39">
        <v>-284.76165386696954</v>
      </c>
      <c r="H39">
        <v>-246.71309521668562</v>
      </c>
      <c r="I39">
        <v>37.006816758531201</v>
      </c>
      <c r="J39">
        <v>21.452980345482398</v>
      </c>
      <c r="K39">
        <v>6.8589448239132302</v>
      </c>
      <c r="L39">
        <v>3.1373423326385101E-5</v>
      </c>
      <c r="M39">
        <v>1.82134909864647E-6</v>
      </c>
      <c r="N39" s="1">
        <v>-2.4979821672352402E-7</v>
      </c>
      <c r="O39" s="1">
        <v>6.1100099185027404E-11</v>
      </c>
      <c r="P39" s="1">
        <v>8.7310874859965499E-10</v>
      </c>
      <c r="Q39">
        <v>65.615612104978595</v>
      </c>
      <c r="S39">
        <v>20.997378747707</v>
      </c>
      <c r="AA39">
        <v>2.0125464010033198</v>
      </c>
      <c r="AB39">
        <v>8.9331544966625192</v>
      </c>
      <c r="AC39">
        <v>2.4413082496484799</v>
      </c>
      <c r="AJ39">
        <v>0.76669635266207903</v>
      </c>
      <c r="AK39">
        <v>9.5449848779825305E-2</v>
      </c>
      <c r="AL39">
        <v>0.13785379855809399</v>
      </c>
    </row>
    <row r="40" spans="1:38" x14ac:dyDescent="0.2">
      <c r="A40">
        <v>77</v>
      </c>
      <c r="B40">
        <v>754</v>
      </c>
      <c r="C40">
        <v>175</v>
      </c>
      <c r="D40">
        <v>0.40749695760112897</v>
      </c>
      <c r="E40">
        <v>18.1264686556623</v>
      </c>
      <c r="F40">
        <v>2.5639729490902798</v>
      </c>
      <c r="G40">
        <v>-293.52755903013696</v>
      </c>
      <c r="H40">
        <v>-254.36569738212472</v>
      </c>
      <c r="I40">
        <v>38.126721168293102</v>
      </c>
      <c r="J40">
        <v>22.122878078848</v>
      </c>
      <c r="K40">
        <v>7.0696801470131501</v>
      </c>
      <c r="L40">
        <v>3.1412519295946003E-5</v>
      </c>
      <c r="M40">
        <v>1.8213392062665096E-6</v>
      </c>
      <c r="N40" s="1">
        <v>-2.65869643211281E-7</v>
      </c>
      <c r="O40" s="1">
        <v>6.2889999198534199E-11</v>
      </c>
      <c r="P40" s="1">
        <v>9.2414931750903795E-10</v>
      </c>
      <c r="Q40">
        <v>65.602935507334394</v>
      </c>
      <c r="S40">
        <v>21.0107069667499</v>
      </c>
      <c r="AA40">
        <v>2.0265002289438701</v>
      </c>
      <c r="AB40">
        <v>8.9398470375121999</v>
      </c>
      <c r="AC40">
        <v>2.4200102594595099</v>
      </c>
      <c r="AJ40">
        <v>0.76724500525181405</v>
      </c>
      <c r="AK40">
        <v>9.6108418169529197E-2</v>
      </c>
      <c r="AL40">
        <v>0.136646576578655</v>
      </c>
    </row>
    <row r="41" spans="1:38" x14ac:dyDescent="0.2">
      <c r="A41">
        <v>79</v>
      </c>
      <c r="B41">
        <v>776</v>
      </c>
      <c r="C41">
        <v>150</v>
      </c>
      <c r="D41">
        <v>0.447600915026452</v>
      </c>
      <c r="E41">
        <v>0.41130603285818201</v>
      </c>
      <c r="F41">
        <v>2.5639139130493098</v>
      </c>
      <c r="G41">
        <v>-6.6927013478885318</v>
      </c>
      <c r="H41">
        <v>-5.7735524425108489</v>
      </c>
      <c r="I41">
        <v>0.87608912488937096</v>
      </c>
      <c r="J41">
        <v>0.50010382754064497</v>
      </c>
      <c r="K41">
        <v>0.16042115562647999</v>
      </c>
      <c r="L41">
        <v>3.091593670631585E-5</v>
      </c>
      <c r="M41">
        <v>1.8207882931230637E-6</v>
      </c>
      <c r="N41" s="1">
        <v>-3.1038903665751301E-9</v>
      </c>
      <c r="O41" s="1">
        <v>1.4462821621323499E-12</v>
      </c>
      <c r="P41" s="1">
        <v>1.2491034420318501E-11</v>
      </c>
      <c r="Q41">
        <v>65.578328557806003</v>
      </c>
      <c r="S41">
        <v>21.129735309945001</v>
      </c>
      <c r="AA41">
        <v>2.13044152610648</v>
      </c>
      <c r="AB41">
        <v>9.1970600462861594</v>
      </c>
      <c r="AC41">
        <v>1.96443455985631</v>
      </c>
      <c r="AJ41">
        <v>0.78831070022594596</v>
      </c>
      <c r="AK41">
        <v>0.100908745866477</v>
      </c>
      <c r="AL41">
        <v>0.110780553907576</v>
      </c>
    </row>
    <row r="42" spans="1:38" x14ac:dyDescent="0.2">
      <c r="A42">
        <v>80</v>
      </c>
      <c r="B42">
        <v>775</v>
      </c>
      <c r="C42">
        <v>150</v>
      </c>
      <c r="D42">
        <v>0.44700710776129698</v>
      </c>
      <c r="E42">
        <v>0.83298174689550297</v>
      </c>
      <c r="F42">
        <v>2.5634327394906999</v>
      </c>
      <c r="G42">
        <v>-13.550657260619927</v>
      </c>
      <c r="H42">
        <v>-11.69188661382252</v>
      </c>
      <c r="I42">
        <v>1.77338228955531</v>
      </c>
      <c r="J42">
        <v>1.01293575983878</v>
      </c>
      <c r="K42">
        <v>0.32494776791412699</v>
      </c>
      <c r="L42">
        <v>3.0947246086962691E-5</v>
      </c>
      <c r="M42">
        <v>1.8217398832323886E-6</v>
      </c>
      <c r="N42" s="1">
        <v>-6.4806320835209099E-9</v>
      </c>
      <c r="O42" s="1">
        <v>2.9302226164601E-12</v>
      </c>
      <c r="P42" s="1">
        <v>2.58628276366788E-11</v>
      </c>
      <c r="Q42">
        <v>65.620677884327904</v>
      </c>
      <c r="S42">
        <v>21.092528928961102</v>
      </c>
      <c r="AA42">
        <v>2.0898642444404301</v>
      </c>
      <c r="AB42">
        <v>9.1938918848514408</v>
      </c>
      <c r="AC42">
        <v>2.0030370574189802</v>
      </c>
      <c r="AJ42">
        <v>0.78805221988049401</v>
      </c>
      <c r="AK42">
        <v>9.8988437788150696E-2</v>
      </c>
      <c r="AL42">
        <v>0.112959342331354</v>
      </c>
    </row>
    <row r="43" spans="1:38" x14ac:dyDescent="0.2">
      <c r="A43">
        <v>81</v>
      </c>
      <c r="B43">
        <v>774</v>
      </c>
      <c r="C43">
        <v>150</v>
      </c>
      <c r="D43">
        <v>0.44641216635630598</v>
      </c>
      <c r="E43">
        <v>1.2559001342029501</v>
      </c>
      <c r="F43">
        <v>2.5629563269185298</v>
      </c>
      <c r="G43">
        <v>-20.425266829354428</v>
      </c>
      <c r="H43">
        <v>-17.62684856048217</v>
      </c>
      <c r="I43">
        <v>2.6724139510788798</v>
      </c>
      <c r="J43">
        <v>1.5274026225792401</v>
      </c>
      <c r="K43">
        <v>0.490020107253614</v>
      </c>
      <c r="L43">
        <v>3.0978081461007421E-5</v>
      </c>
      <c r="M43">
        <v>1.8226580423179736E-6</v>
      </c>
      <c r="N43" s="1">
        <v>-1.00714328070291E-8</v>
      </c>
      <c r="O43" s="1">
        <v>4.4196216207122397E-12</v>
      </c>
      <c r="P43" s="1">
        <v>3.9867009902740601E-11</v>
      </c>
      <c r="Q43">
        <v>65.661722969831004</v>
      </c>
      <c r="S43">
        <v>21.056049374402299</v>
      </c>
      <c r="AA43">
        <v>2.0501909288286999</v>
      </c>
      <c r="AB43">
        <v>9.1897227622038908</v>
      </c>
      <c r="AC43">
        <v>2.0423139647339998</v>
      </c>
      <c r="AJ43">
        <v>0.78771182944796703</v>
      </c>
      <c r="AK43">
        <v>9.7111364370187706E-2</v>
      </c>
      <c r="AL43">
        <v>0.115176806181844</v>
      </c>
    </row>
    <row r="44" spans="1:38" x14ac:dyDescent="0.2">
      <c r="A44">
        <v>82</v>
      </c>
      <c r="B44">
        <v>773</v>
      </c>
      <c r="C44">
        <v>150</v>
      </c>
      <c r="D44">
        <v>0.44581608755914398</v>
      </c>
      <c r="E44">
        <v>1.67990710023128</v>
      </c>
      <c r="F44">
        <v>2.5624845326664798</v>
      </c>
      <c r="G44">
        <v>-27.313973807393353</v>
      </c>
      <c r="H44">
        <v>-23.576246064910887</v>
      </c>
      <c r="I44">
        <v>3.5728411245829501</v>
      </c>
      <c r="J44">
        <v>2.0433202170513298</v>
      </c>
      <c r="K44">
        <v>0.65557745961619196</v>
      </c>
      <c r="L44">
        <v>3.1008459268769159E-5</v>
      </c>
      <c r="M44">
        <v>1.8235432094517694E-6</v>
      </c>
      <c r="N44" s="1">
        <v>-1.3883339892833499E-8</v>
      </c>
      <c r="O44" s="1">
        <v>5.91381558217301E-12</v>
      </c>
      <c r="P44" s="1">
        <v>5.4522213519325399E-11</v>
      </c>
      <c r="Q44">
        <v>65.701480818809898</v>
      </c>
      <c r="S44">
        <v>21.0202833486609</v>
      </c>
      <c r="AA44">
        <v>2.0114066408426501</v>
      </c>
      <c r="AB44">
        <v>9.1845557105410904</v>
      </c>
      <c r="AC44">
        <v>2.0822734811453301</v>
      </c>
      <c r="AJ44">
        <v>0.78728976690671704</v>
      </c>
      <c r="AK44">
        <v>9.5276791535733499E-2</v>
      </c>
      <c r="AL44">
        <v>0.11743344155754799</v>
      </c>
    </row>
    <row r="45" spans="1:38" x14ac:dyDescent="0.2">
      <c r="A45">
        <v>83</v>
      </c>
      <c r="B45">
        <v>772</v>
      </c>
      <c r="C45">
        <v>150</v>
      </c>
      <c r="D45">
        <v>0.44521886810505501</v>
      </c>
      <c r="E45">
        <v>2.10485291628425</v>
      </c>
      <c r="F45">
        <v>2.5620172002955202</v>
      </c>
      <c r="G45">
        <v>-34.214294589076303</v>
      </c>
      <c r="H45">
        <v>-29.537947776695098</v>
      </c>
      <c r="I45">
        <v>4.4743307777650996</v>
      </c>
      <c r="J45">
        <v>2.5605098175262802</v>
      </c>
      <c r="K45">
        <v>0.821560806087272</v>
      </c>
      <c r="L45">
        <v>3.1038396847236947E-5</v>
      </c>
      <c r="M45">
        <v>1.8243958562919967E-6</v>
      </c>
      <c r="N45" s="1">
        <v>-1.7923616108279301E-8</v>
      </c>
      <c r="O45" s="1">
        <v>7.4121548719925402E-12</v>
      </c>
      <c r="P45" s="1">
        <v>6.9847685353128106E-11</v>
      </c>
      <c r="Q45">
        <v>65.7399699195647</v>
      </c>
      <c r="S45">
        <v>20.985216420836299</v>
      </c>
      <c r="AA45">
        <v>1.9734951608492799</v>
      </c>
      <c r="AB45">
        <v>9.1783940975661604</v>
      </c>
      <c r="AC45">
        <v>2.1229244011834401</v>
      </c>
      <c r="AJ45">
        <v>0.78678629533489297</v>
      </c>
      <c r="AK45">
        <v>9.3483925661325296E-2</v>
      </c>
      <c r="AL45">
        <v>0.11972977900378</v>
      </c>
    </row>
    <row r="46" spans="1:38" x14ac:dyDescent="0.2">
      <c r="A46">
        <v>84</v>
      </c>
      <c r="B46">
        <v>771</v>
      </c>
      <c r="C46">
        <v>150</v>
      </c>
      <c r="D46">
        <v>0.44462050471675502</v>
      </c>
      <c r="E46">
        <v>2.5305929676466898</v>
      </c>
      <c r="F46">
        <v>2.56155416113875</v>
      </c>
      <c r="G46">
        <v>-41.123830239291365</v>
      </c>
      <c r="H46">
        <v>-35.509893643542135</v>
      </c>
      <c r="I46">
        <v>5.3765614095189598</v>
      </c>
      <c r="J46">
        <v>3.0787990932356002</v>
      </c>
      <c r="K46">
        <v>0.987913121665835</v>
      </c>
      <c r="L46">
        <v>3.1067912334476927E-5</v>
      </c>
      <c r="M46">
        <v>1.8252164825657282E-6</v>
      </c>
      <c r="N46" s="1">
        <v>-2.2199756533245398E-8</v>
      </c>
      <c r="O46" s="1">
        <v>8.9140067308761198E-12</v>
      </c>
      <c r="P46" s="1">
        <v>8.5863339985331002E-11</v>
      </c>
      <c r="Q46">
        <v>65.777210050372204</v>
      </c>
      <c r="S46">
        <v>20.950833165116801</v>
      </c>
      <c r="AA46">
        <v>1.93643914740559</v>
      </c>
      <c r="AB46">
        <v>9.1712415573377299</v>
      </c>
      <c r="AC46">
        <v>2.16427607976757</v>
      </c>
      <c r="AJ46">
        <v>0.78620169728275302</v>
      </c>
      <c r="AK46">
        <v>9.1731921119969098E-2</v>
      </c>
      <c r="AL46">
        <v>0.12206638159727699</v>
      </c>
    </row>
    <row r="47" spans="1:38" x14ac:dyDescent="0.2">
      <c r="A47">
        <v>85</v>
      </c>
      <c r="B47">
        <v>770</v>
      </c>
      <c r="C47">
        <v>150</v>
      </c>
      <c r="D47">
        <v>0.44402099410439499</v>
      </c>
      <c r="E47">
        <v>2.9569883907407801</v>
      </c>
      <c r="F47">
        <v>2.56109523604903</v>
      </c>
      <c r="G47">
        <v>-48.04027670992884</v>
      </c>
      <c r="H47">
        <v>-41.490103792499951</v>
      </c>
      <c r="I47">
        <v>6.2792243852071996</v>
      </c>
      <c r="J47">
        <v>3.5980228954742</v>
      </c>
      <c r="K47">
        <v>1.15457963027665</v>
      </c>
      <c r="L47">
        <v>3.1097024583530873E-5</v>
      </c>
      <c r="M47">
        <v>1.8260056116747493E-6</v>
      </c>
      <c r="N47" s="1">
        <v>-2.6719505863656E-8</v>
      </c>
      <c r="O47" s="1">
        <v>1.04187577480436E-11</v>
      </c>
      <c r="P47" s="1">
        <v>1.0258981297963099E-10</v>
      </c>
      <c r="Q47">
        <v>65.813222084201598</v>
      </c>
      <c r="S47">
        <v>20.917117306322702</v>
      </c>
      <c r="AA47">
        <v>1.9002203028996301</v>
      </c>
      <c r="AB47">
        <v>9.1631019366489994</v>
      </c>
      <c r="AC47">
        <v>2.2063383699269701</v>
      </c>
      <c r="AJ47">
        <v>0.785536270416615</v>
      </c>
      <c r="AK47">
        <v>9.0019888106440807E-2</v>
      </c>
      <c r="AL47">
        <v>0.124443841476943</v>
      </c>
    </row>
    <row r="48" spans="1:38" x14ac:dyDescent="0.2">
      <c r="A48">
        <v>86</v>
      </c>
      <c r="B48">
        <v>769</v>
      </c>
      <c r="C48">
        <v>150</v>
      </c>
      <c r="D48">
        <v>0.44342033296550898</v>
      </c>
      <c r="E48">
        <v>4.0566637140947899</v>
      </c>
      <c r="F48">
        <v>2.5596851144474</v>
      </c>
      <c r="G48">
        <v>-65.867313041858367</v>
      </c>
      <c r="H48">
        <v>-56.894592113256614</v>
      </c>
      <c r="I48">
        <v>8.60981713630642</v>
      </c>
      <c r="J48">
        <v>4.9355961013671399</v>
      </c>
      <c r="K48">
        <v>1.5848292007474301</v>
      </c>
      <c r="L48">
        <v>3.1110405043992309E-5</v>
      </c>
      <c r="M48">
        <v>1.8272534712801076E-6</v>
      </c>
      <c r="N48" s="1">
        <v>-3.7536665927272699E-8</v>
      </c>
      <c r="O48" s="1">
        <v>1.43202924997721E-11</v>
      </c>
      <c r="P48" s="1">
        <v>1.4326183950524501E-10</v>
      </c>
      <c r="Q48">
        <v>65.889809523235897</v>
      </c>
      <c r="S48">
        <v>20.832678298325401</v>
      </c>
      <c r="AA48">
        <v>1.8126866248343001</v>
      </c>
      <c r="AB48">
        <v>9.1124051007975897</v>
      </c>
      <c r="AC48">
        <v>2.3524204528067298</v>
      </c>
      <c r="AJ48">
        <v>0.78138817694639295</v>
      </c>
      <c r="AK48">
        <v>8.5894891968999798E-2</v>
      </c>
      <c r="AL48">
        <v>0.132716931084606</v>
      </c>
    </row>
    <row r="49" spans="1:38" x14ac:dyDescent="0.2">
      <c r="A49">
        <v>87</v>
      </c>
      <c r="B49">
        <v>768</v>
      </c>
      <c r="C49">
        <v>150</v>
      </c>
      <c r="D49">
        <v>0.442818517984921</v>
      </c>
      <c r="E49">
        <v>5.5889165944330497</v>
      </c>
      <c r="F49">
        <v>2.5575613895479301</v>
      </c>
      <c r="G49">
        <v>-90.667949723639069</v>
      </c>
      <c r="H49">
        <v>-78.32527064477415</v>
      </c>
      <c r="I49">
        <v>11.8548519222637</v>
      </c>
      <c r="J49">
        <v>6.7975401161255702</v>
      </c>
      <c r="K49">
        <v>2.1852521770439002</v>
      </c>
      <c r="L49">
        <v>3.1100018155508859E-5</v>
      </c>
      <c r="M49">
        <v>1.8285163389019272E-6</v>
      </c>
      <c r="N49" s="1">
        <v>-5.2631525249637598E-8</v>
      </c>
      <c r="O49" s="1">
        <v>1.9789607904288699E-11</v>
      </c>
      <c r="P49" s="1">
        <v>1.9994809988475899E-10</v>
      </c>
      <c r="Q49">
        <v>65.985796744351504</v>
      </c>
      <c r="S49">
        <v>20.714856778444101</v>
      </c>
      <c r="AA49">
        <v>1.6930853587184</v>
      </c>
      <c r="AB49">
        <v>9.0174230442130305</v>
      </c>
      <c r="AC49">
        <v>2.5888380742729402</v>
      </c>
      <c r="AJ49">
        <v>0.77361019692482802</v>
      </c>
      <c r="AK49">
        <v>8.0265586838482006E-2</v>
      </c>
      <c r="AL49">
        <v>0.146124216236688</v>
      </c>
    </row>
    <row r="50" spans="1:38" x14ac:dyDescent="0.2">
      <c r="A50">
        <v>88</v>
      </c>
      <c r="B50">
        <v>767</v>
      </c>
      <c r="C50">
        <v>150</v>
      </c>
      <c r="D50">
        <v>0.44221554583473799</v>
      </c>
      <c r="E50">
        <v>7.4015655574834103</v>
      </c>
      <c r="F50">
        <v>2.5548145660335702</v>
      </c>
      <c r="G50">
        <v>-119.93679743015848</v>
      </c>
      <c r="H50">
        <v>-103.61820973073881</v>
      </c>
      <c r="I50">
        <v>15.688686919597799</v>
      </c>
      <c r="J50">
        <v>8.99658524502075</v>
      </c>
      <c r="K50">
        <v>2.8971048059173099</v>
      </c>
      <c r="L50">
        <v>3.1055188937332806E-5</v>
      </c>
      <c r="M50">
        <v>1.8294263651724282E-6</v>
      </c>
      <c r="N50" s="1">
        <v>-7.0403583659453698E-8</v>
      </c>
      <c r="O50" s="1">
        <v>2.6314338981319801E-11</v>
      </c>
      <c r="P50" s="1">
        <v>2.6667058993514698E-10</v>
      </c>
      <c r="Q50">
        <v>66.086447108244897</v>
      </c>
      <c r="S50">
        <v>20.572904840050999</v>
      </c>
      <c r="AA50">
        <v>1.55248816963661</v>
      </c>
      <c r="AB50">
        <v>8.8695715219840903</v>
      </c>
      <c r="AC50">
        <v>2.91858836008335</v>
      </c>
      <c r="AJ50">
        <v>0.76148735577839399</v>
      </c>
      <c r="AK50">
        <v>7.3654476324465604E-2</v>
      </c>
      <c r="AL50">
        <v>0.164858167897139</v>
      </c>
    </row>
    <row r="51" spans="1:38" x14ac:dyDescent="0.2">
      <c r="A51">
        <v>89</v>
      </c>
      <c r="B51">
        <v>766</v>
      </c>
      <c r="C51">
        <v>150</v>
      </c>
      <c r="D51">
        <v>0.44161141317423203</v>
      </c>
      <c r="E51">
        <v>9.0506355770112794</v>
      </c>
      <c r="F51">
        <v>2.5548390398426202</v>
      </c>
      <c r="G51">
        <v>-146.61187702439332</v>
      </c>
      <c r="H51">
        <v>-126.69024122007056</v>
      </c>
      <c r="I51">
        <v>19.171087720081498</v>
      </c>
      <c r="J51">
        <v>10.999795595051699</v>
      </c>
      <c r="K51">
        <v>3.5425462958201699</v>
      </c>
      <c r="L51">
        <v>3.1029199801177018E-5</v>
      </c>
      <c r="M51">
        <v>1.8283122199606022E-6</v>
      </c>
      <c r="N51" s="1">
        <v>-8.8040905085924994E-8</v>
      </c>
      <c r="O51" s="1">
        <v>3.2156902487638497E-11</v>
      </c>
      <c r="P51" s="1">
        <v>3.3171439997031098E-10</v>
      </c>
      <c r="Q51">
        <v>66.045067742583797</v>
      </c>
      <c r="S51">
        <v>20.585781908879099</v>
      </c>
      <c r="AA51">
        <v>1.57276719255528</v>
      </c>
      <c r="AB51">
        <v>8.8111187343473496</v>
      </c>
      <c r="AC51">
        <v>2.9852644216344002</v>
      </c>
      <c r="AJ51">
        <v>0.75668844754832498</v>
      </c>
      <c r="AK51">
        <v>7.4638221372308106E-2</v>
      </c>
      <c r="AL51">
        <v>0.168673331079366</v>
      </c>
    </row>
    <row r="52" spans="1:38" x14ac:dyDescent="0.2">
      <c r="A52">
        <v>90</v>
      </c>
      <c r="B52">
        <v>765</v>
      </c>
      <c r="C52">
        <v>150</v>
      </c>
      <c r="D52">
        <v>0.44100611664981298</v>
      </c>
      <c r="E52">
        <v>10.311135077595001</v>
      </c>
      <c r="F52">
        <v>2.5565099269400502</v>
      </c>
      <c r="G52">
        <v>-167.0752471694212</v>
      </c>
      <c r="H52">
        <v>-144.41413660116152</v>
      </c>
      <c r="I52">
        <v>21.828358684447899</v>
      </c>
      <c r="J52">
        <v>12.536313647680799</v>
      </c>
      <c r="K52">
        <v>4.0332857576409502</v>
      </c>
      <c r="L52">
        <v>3.1043263924284012E-5</v>
      </c>
      <c r="M52">
        <v>1.8267110096764965E-6</v>
      </c>
      <c r="N52" s="1">
        <v>-1.03806998240374E-7</v>
      </c>
      <c r="O52" s="1">
        <v>3.6509757815137697E-11</v>
      </c>
      <c r="P52" s="1">
        <v>3.8817529841928701E-10</v>
      </c>
      <c r="Q52">
        <v>65.943496519528495</v>
      </c>
      <c r="S52">
        <v>20.6819362870235</v>
      </c>
      <c r="AA52">
        <v>1.67579579539891</v>
      </c>
      <c r="AB52">
        <v>8.8368539130278396</v>
      </c>
      <c r="AC52">
        <v>2.86191748502107</v>
      </c>
      <c r="AJ52">
        <v>0.75879979566614697</v>
      </c>
      <c r="AK52">
        <v>7.9517261791118704E-2</v>
      </c>
      <c r="AL52">
        <v>0.16168294254273299</v>
      </c>
    </row>
    <row r="53" spans="1:38" x14ac:dyDescent="0.2">
      <c r="A53">
        <v>91</v>
      </c>
      <c r="B53">
        <v>764</v>
      </c>
      <c r="C53">
        <v>150</v>
      </c>
      <c r="D53">
        <v>0.44039965289495597</v>
      </c>
      <c r="E53">
        <v>12.8297527147107</v>
      </c>
      <c r="F53">
        <v>2.5587192354047299</v>
      </c>
      <c r="G53">
        <v>-207.96077873735078</v>
      </c>
      <c r="H53">
        <v>-179.8095846699463</v>
      </c>
      <c r="I53">
        <v>27.142837648753201</v>
      </c>
      <c r="J53">
        <v>15.603976093934801</v>
      </c>
      <c r="K53">
        <v>5.0141307171129803</v>
      </c>
      <c r="L53">
        <v>3.1041352872534717E-5</v>
      </c>
      <c r="M53">
        <v>1.824165553434019E-6</v>
      </c>
      <c r="N53" s="1">
        <v>-1.3356996029468399E-7</v>
      </c>
      <c r="O53" s="1">
        <v>4.5227315703082398E-11</v>
      </c>
      <c r="P53" s="1">
        <v>4.9591579668463496E-10</v>
      </c>
      <c r="Q53">
        <v>65.795738645843301</v>
      </c>
      <c r="S53">
        <v>20.8155674158211</v>
      </c>
      <c r="AA53">
        <v>1.8205201247751199</v>
      </c>
      <c r="AB53">
        <v>8.8579147913557605</v>
      </c>
      <c r="AC53">
        <v>2.7102590222046001</v>
      </c>
      <c r="AJ53">
        <v>0.76052626272659696</v>
      </c>
      <c r="AK53">
        <v>8.6375185296937093E-2</v>
      </c>
      <c r="AL53">
        <v>0.15309855197646499</v>
      </c>
    </row>
    <row r="54" spans="1:38" x14ac:dyDescent="0.2">
      <c r="A54">
        <v>92</v>
      </c>
      <c r="B54">
        <v>763</v>
      </c>
      <c r="C54">
        <v>150</v>
      </c>
      <c r="D54">
        <v>0.43979201853014099</v>
      </c>
      <c r="E54">
        <v>14.939934096387899</v>
      </c>
      <c r="F54">
        <v>2.5603186965915801</v>
      </c>
      <c r="G54">
        <v>-242.21619570519584</v>
      </c>
      <c r="H54">
        <v>-209.48724729857599</v>
      </c>
      <c r="I54">
        <v>31.5870756228536</v>
      </c>
      <c r="J54">
        <v>18.175880976377901</v>
      </c>
      <c r="K54">
        <v>5.8351853291844904</v>
      </c>
      <c r="L54">
        <v>3.104416712220992E-5</v>
      </c>
      <c r="M54">
        <v>1.8222603692372197E-6</v>
      </c>
      <c r="N54" s="1">
        <v>-1.60620628330307E-7</v>
      </c>
      <c r="O54" s="1">
        <v>5.2485423743746703E-11</v>
      </c>
      <c r="P54" s="1">
        <v>5.9232301637454698E-10</v>
      </c>
      <c r="Q54">
        <v>65.685828974959705</v>
      </c>
      <c r="S54">
        <v>20.9130442711492</v>
      </c>
      <c r="AA54">
        <v>1.9265854476431901</v>
      </c>
      <c r="AB54">
        <v>8.8685352320111495</v>
      </c>
      <c r="AC54">
        <v>2.6060060742366402</v>
      </c>
      <c r="AJ54">
        <v>0.76139619214214804</v>
      </c>
      <c r="AK54">
        <v>9.1402457102633103E-2</v>
      </c>
      <c r="AL54">
        <v>0.14720135075521801</v>
      </c>
    </row>
    <row r="55" spans="1:38" x14ac:dyDescent="0.2">
      <c r="A55">
        <v>93</v>
      </c>
      <c r="B55">
        <v>762</v>
      </c>
      <c r="C55">
        <v>150</v>
      </c>
      <c r="D55">
        <v>0.439183210162781</v>
      </c>
      <c r="E55">
        <v>16.344697818590799</v>
      </c>
      <c r="F55">
        <v>2.5613469234478501</v>
      </c>
      <c r="G55">
        <v>-265.0134559680148</v>
      </c>
      <c r="H55">
        <v>-229.2634752068906</v>
      </c>
      <c r="I55">
        <v>34.536038990604297</v>
      </c>
      <c r="J55">
        <v>19.890496288426</v>
      </c>
      <c r="K55">
        <v>6.38129012082012</v>
      </c>
      <c r="L55">
        <v>3.1057398266009945E-5</v>
      </c>
      <c r="M55">
        <v>1.8211240707162101E-6</v>
      </c>
      <c r="N55" s="1">
        <v>-1.8138568372598299E-7</v>
      </c>
      <c r="O55" s="1">
        <v>5.7277811266956501E-11</v>
      </c>
      <c r="P55" s="1">
        <v>6.6449220668137203E-10</v>
      </c>
      <c r="Q55">
        <v>65.616983623920106</v>
      </c>
      <c r="S55">
        <v>20.9741917031097</v>
      </c>
      <c r="AA55">
        <v>1.99309682659911</v>
      </c>
      <c r="AB55">
        <v>8.8754230011525603</v>
      </c>
      <c r="AC55">
        <v>2.5403048452184298</v>
      </c>
      <c r="AJ55">
        <v>0.76196036125467903</v>
      </c>
      <c r="AK55">
        <v>9.4554566179120697E-2</v>
      </c>
      <c r="AL55">
        <v>0.14348507256619999</v>
      </c>
    </row>
    <row r="56" spans="1:38" x14ac:dyDescent="0.2">
      <c r="A56">
        <v>94</v>
      </c>
      <c r="B56">
        <v>761</v>
      </c>
      <c r="C56">
        <v>150</v>
      </c>
      <c r="D56">
        <v>0.43857322438717999</v>
      </c>
      <c r="E56">
        <v>17.030782025841599</v>
      </c>
      <c r="F56">
        <v>2.5618820014855399</v>
      </c>
      <c r="G56">
        <v>-276.13302976220621</v>
      </c>
      <c r="H56">
        <v>-238.93986907509046</v>
      </c>
      <c r="I56">
        <v>35.964957392172998</v>
      </c>
      <c r="J56">
        <v>20.731290916008099</v>
      </c>
      <c r="K56">
        <v>6.6477620811442701</v>
      </c>
      <c r="L56">
        <v>3.1082774478375303E-5</v>
      </c>
      <c r="M56">
        <v>1.8207378491565575E-6</v>
      </c>
      <c r="N56" s="1">
        <v>-1.9510009833518201E-7</v>
      </c>
      <c r="O56" s="1">
        <v>5.9583254842306199E-11</v>
      </c>
      <c r="P56" s="1">
        <v>7.1007930003495404E-10</v>
      </c>
      <c r="Q56">
        <v>65.5864312476116</v>
      </c>
      <c r="S56">
        <v>21.0027102643323</v>
      </c>
      <c r="AA56">
        <v>2.0237539109482601</v>
      </c>
      <c r="AB56">
        <v>8.8821037846129993</v>
      </c>
      <c r="AC56">
        <v>2.5050007924947302</v>
      </c>
      <c r="AJ56">
        <v>0.76250809218903903</v>
      </c>
      <c r="AK56">
        <v>9.6005719107876197E-2</v>
      </c>
      <c r="AL56">
        <v>0.14148618870308299</v>
      </c>
    </row>
    <row r="57" spans="1:38" x14ac:dyDescent="0.2">
      <c r="A57">
        <v>96</v>
      </c>
      <c r="B57">
        <v>790</v>
      </c>
      <c r="C57">
        <v>125</v>
      </c>
      <c r="D57">
        <v>0.48166345294643498</v>
      </c>
      <c r="E57">
        <v>4.0866761049156403E-2</v>
      </c>
      <c r="F57">
        <v>2.5621324564847701</v>
      </c>
      <c r="G57">
        <v>-0.66670251126475888</v>
      </c>
      <c r="H57">
        <v>-0.5734470708086904</v>
      </c>
      <c r="I57">
        <v>8.77161646579208E-2</v>
      </c>
      <c r="J57">
        <v>4.9618124118405202E-2</v>
      </c>
      <c r="K57">
        <v>1.59502920880309E-2</v>
      </c>
      <c r="L57">
        <v>3.0658479476251587E-5</v>
      </c>
      <c r="M57">
        <v>1.8201434623664151E-6</v>
      </c>
      <c r="N57" s="1">
        <v>-1.9421660317161401E-10</v>
      </c>
      <c r="O57" s="1">
        <v>1.44604016253142E-13</v>
      </c>
      <c r="P57" s="1">
        <v>9.0557505339235396E-13</v>
      </c>
      <c r="Q57">
        <v>65.553387565010894</v>
      </c>
      <c r="S57">
        <v>21.157830420957598</v>
      </c>
      <c r="AA57">
        <v>2.1594399200663599</v>
      </c>
      <c r="AB57">
        <v>9.21513536725835</v>
      </c>
      <c r="AC57">
        <v>1.9142067267066101</v>
      </c>
      <c r="AJ57">
        <v>0.78978867283927501</v>
      </c>
      <c r="AK57">
        <v>0.102273024038671</v>
      </c>
      <c r="AL57">
        <v>0.10793830312205201</v>
      </c>
    </row>
    <row r="58" spans="1:38" x14ac:dyDescent="0.2">
      <c r="A58">
        <v>97</v>
      </c>
      <c r="B58">
        <v>789</v>
      </c>
      <c r="C58">
        <v>125</v>
      </c>
      <c r="D58">
        <v>0.48110954196676597</v>
      </c>
      <c r="E58">
        <v>0.44213108880638202</v>
      </c>
      <c r="F58">
        <v>2.5616912467584898</v>
      </c>
      <c r="G58">
        <v>-7.2111910697851682</v>
      </c>
      <c r="H58">
        <v>-6.2037138417166684</v>
      </c>
      <c r="I58">
        <v>0.94852631743962701</v>
      </c>
      <c r="J58">
        <v>0.53683736855997999</v>
      </c>
      <c r="K58">
        <v>0.17259343387531301</v>
      </c>
      <c r="L58">
        <v>3.0683017166424394E-5</v>
      </c>
      <c r="M58">
        <v>1.821049310936293E-6</v>
      </c>
      <c r="N58" s="1">
        <v>-2.1704910656651001E-9</v>
      </c>
      <c r="O58" s="1">
        <v>1.5652648883540201E-12</v>
      </c>
      <c r="P58" s="1">
        <v>1.00003840445556E-11</v>
      </c>
      <c r="Q58">
        <v>65.593820093645505</v>
      </c>
      <c r="S58">
        <v>21.122855248530701</v>
      </c>
      <c r="AA58">
        <v>2.1211506668882301</v>
      </c>
      <c r="AB58">
        <v>9.21354512781501</v>
      </c>
      <c r="AC58">
        <v>1.94862886312048</v>
      </c>
      <c r="AJ58">
        <v>0.78965925861375696</v>
      </c>
      <c r="AK58">
        <v>0.100460485486908</v>
      </c>
      <c r="AL58">
        <v>0.10988025589933299</v>
      </c>
    </row>
    <row r="59" spans="1:38" x14ac:dyDescent="0.2">
      <c r="A59">
        <v>98</v>
      </c>
      <c r="B59">
        <v>788</v>
      </c>
      <c r="C59">
        <v>125</v>
      </c>
      <c r="D59">
        <v>0.48055458700466802</v>
      </c>
      <c r="E59">
        <v>0.84429152742691804</v>
      </c>
      <c r="F59">
        <v>2.5612552664030002</v>
      </c>
      <c r="G59">
        <v>-13.767083305375447</v>
      </c>
      <c r="H59">
        <v>-11.84596211764582</v>
      </c>
      <c r="I59">
        <v>1.81041435021403</v>
      </c>
      <c r="J59">
        <v>1.02519374935119</v>
      </c>
      <c r="K59">
        <v>0.32963974286429898</v>
      </c>
      <c r="L59">
        <v>3.0707065647468468E-5</v>
      </c>
      <c r="M59">
        <v>1.821925011260411E-6</v>
      </c>
      <c r="N59" s="1">
        <v>-4.2800214418973502E-9</v>
      </c>
      <c r="O59" s="1">
        <v>2.9905133628183602E-12</v>
      </c>
      <c r="P59" s="1">
        <v>1.94929718931641E-11</v>
      </c>
      <c r="Q59">
        <v>65.633061759191193</v>
      </c>
      <c r="S59">
        <v>21.088573434816102</v>
      </c>
      <c r="AA59">
        <v>2.0837113133688598</v>
      </c>
      <c r="AB59">
        <v>9.2111188438369709</v>
      </c>
      <c r="AC59">
        <v>1.98353464878677</v>
      </c>
      <c r="AJ59">
        <v>0.78946144745629698</v>
      </c>
      <c r="AK59">
        <v>9.8688575632917094E-2</v>
      </c>
      <c r="AL59">
        <v>0.11184997691078501</v>
      </c>
    </row>
    <row r="60" spans="1:38" x14ac:dyDescent="0.2">
      <c r="A60">
        <v>99</v>
      </c>
      <c r="B60">
        <v>787</v>
      </c>
      <c r="C60">
        <v>125</v>
      </c>
      <c r="D60">
        <v>0.479998585105882</v>
      </c>
      <c r="E60">
        <v>1.24720636204413</v>
      </c>
      <c r="F60">
        <v>2.5608244252724601</v>
      </c>
      <c r="G60">
        <v>-20.332035972127603</v>
      </c>
      <c r="H60">
        <v>-17.498186851176865</v>
      </c>
      <c r="I60">
        <v>2.6730643031181698</v>
      </c>
      <c r="J60">
        <v>1.51451640015866</v>
      </c>
      <c r="K60">
        <v>0.48703314047445401</v>
      </c>
      <c r="L60">
        <v>3.0730640017197062E-5</v>
      </c>
      <c r="M60">
        <v>1.8227709899750817E-6</v>
      </c>
      <c r="N60" s="1">
        <v>-6.5268252203754603E-9</v>
      </c>
      <c r="O60" s="1">
        <v>4.4197536503317399E-12</v>
      </c>
      <c r="P60" s="1">
        <v>2.9393649537614602E-11</v>
      </c>
      <c r="Q60">
        <v>65.671128154470594</v>
      </c>
      <c r="S60">
        <v>21.054974358197899</v>
      </c>
      <c r="AA60">
        <v>2.04710945819423</v>
      </c>
      <c r="AB60">
        <v>9.2078634171459406</v>
      </c>
      <c r="AC60">
        <v>2.0189246119912001</v>
      </c>
      <c r="AJ60">
        <v>0.78919579901391601</v>
      </c>
      <c r="AK60">
        <v>9.6956683434350294E-2</v>
      </c>
      <c r="AL60">
        <v>0.113847517551733</v>
      </c>
    </row>
    <row r="61" spans="1:38" x14ac:dyDescent="0.2">
      <c r="A61">
        <v>100</v>
      </c>
      <c r="B61">
        <v>786</v>
      </c>
      <c r="C61">
        <v>125</v>
      </c>
      <c r="D61">
        <v>0.47944153330501299</v>
      </c>
      <c r="E61">
        <v>1.6507369095422599</v>
      </c>
      <c r="F61">
        <v>2.5603986232445601</v>
      </c>
      <c r="G61">
        <v>-26.903757358484079</v>
      </c>
      <c r="H61">
        <v>-23.158425679011245</v>
      </c>
      <c r="I61">
        <v>3.5361673790046901</v>
      </c>
      <c r="J61">
        <v>2.0046382947440602</v>
      </c>
      <c r="K61">
        <v>0.644718714717333</v>
      </c>
      <c r="L61">
        <v>3.0753756215201158E-5</v>
      </c>
      <c r="M61">
        <v>1.8235877024786747E-6</v>
      </c>
      <c r="N61" s="1">
        <v>-8.9150279213407301E-9</v>
      </c>
      <c r="O61" s="1">
        <v>5.8523996211160503E-12</v>
      </c>
      <c r="P61" s="1">
        <v>3.9713043392227498E-11</v>
      </c>
      <c r="Q61">
        <v>65.708036125193502</v>
      </c>
      <c r="S61">
        <v>21.022046507793299</v>
      </c>
      <c r="AA61">
        <v>2.0113316740523501</v>
      </c>
      <c r="AB61">
        <v>9.2037862102272996</v>
      </c>
      <c r="AC61">
        <v>2.0547994827334501</v>
      </c>
      <c r="AJ61">
        <v>0.78886290902938005</v>
      </c>
      <c r="AK61">
        <v>9.5264150223349706E-2</v>
      </c>
      <c r="AL61">
        <v>0.115872940747269</v>
      </c>
    </row>
    <row r="62" spans="1:38" x14ac:dyDescent="0.2">
      <c r="A62">
        <v>101</v>
      </c>
      <c r="B62">
        <v>785</v>
      </c>
      <c r="C62">
        <v>125</v>
      </c>
      <c r="D62">
        <v>0.47888342862543298</v>
      </c>
      <c r="E62">
        <v>2.0547481035395099</v>
      </c>
      <c r="F62">
        <v>2.5599777509575299</v>
      </c>
      <c r="G62">
        <v>-33.480016749273268</v>
      </c>
      <c r="H62">
        <v>-28.82476709630507</v>
      </c>
      <c r="I62">
        <v>4.3994231942240596</v>
      </c>
      <c r="J62">
        <v>2.4953969673954601</v>
      </c>
      <c r="K62">
        <v>0.80264295374088801</v>
      </c>
      <c r="L62">
        <v>3.0776430956603335E-5</v>
      </c>
      <c r="M62">
        <v>1.8243756299112474E-6</v>
      </c>
      <c r="N62" s="1">
        <v>-1.1448872444228999E-8</v>
      </c>
      <c r="O62" s="1">
        <v>7.2878770972602895E-12</v>
      </c>
      <c r="P62" s="1">
        <v>5.0462126464457803E-11</v>
      </c>
      <c r="Q62">
        <v>65.743803647535401</v>
      </c>
      <c r="S62">
        <v>20.989777563659299</v>
      </c>
      <c r="AA62">
        <v>1.97636360236913</v>
      </c>
      <c r="AB62">
        <v>9.1988949836921492</v>
      </c>
      <c r="AC62">
        <v>2.09116020274389</v>
      </c>
      <c r="AJ62">
        <v>0.78846340427878003</v>
      </c>
      <c r="AK62">
        <v>9.3610274196901905E-2</v>
      </c>
      <c r="AL62">
        <v>0.11792632152431699</v>
      </c>
    </row>
    <row r="63" spans="1:38" x14ac:dyDescent="0.2">
      <c r="A63">
        <v>102</v>
      </c>
      <c r="B63">
        <v>784</v>
      </c>
      <c r="C63">
        <v>125</v>
      </c>
      <c r="D63">
        <v>0.47832426807926898</v>
      </c>
      <c r="E63">
        <v>2.45910900288917</v>
      </c>
      <c r="F63">
        <v>2.55956169098534</v>
      </c>
      <c r="G63">
        <v>-40.058652631643362</v>
      </c>
      <c r="H63">
        <v>-34.495357561491232</v>
      </c>
      <c r="I63">
        <v>5.2625408600029502</v>
      </c>
      <c r="J63">
        <v>2.98663514022354</v>
      </c>
      <c r="K63">
        <v>0.96075394922108803</v>
      </c>
      <c r="L63">
        <v>3.0798681666587426E-5</v>
      </c>
      <c r="M63">
        <v>1.8251352757777243E-6</v>
      </c>
      <c r="N63" s="1">
        <v>-1.4132728802879999E-8</v>
      </c>
      <c r="O63" s="1">
        <v>8.7256258507598901E-12</v>
      </c>
      <c r="P63" s="1">
        <v>6.1652249939000802E-11</v>
      </c>
      <c r="Q63">
        <v>65.778449681979495</v>
      </c>
      <c r="S63">
        <v>20.958154502025199</v>
      </c>
      <c r="AA63">
        <v>1.94219007423081</v>
      </c>
      <c r="AB63">
        <v>9.1931978464523691</v>
      </c>
      <c r="AC63">
        <v>2.1280078953119901</v>
      </c>
      <c r="AJ63">
        <v>0.78799793855092803</v>
      </c>
      <c r="AK63">
        <v>9.1994316135763504E-2</v>
      </c>
      <c r="AL63">
        <v>0.120007745313308</v>
      </c>
    </row>
    <row r="64" spans="1:38" x14ac:dyDescent="0.2">
      <c r="A64">
        <v>103</v>
      </c>
      <c r="B64">
        <v>783</v>
      </c>
      <c r="C64">
        <v>125</v>
      </c>
      <c r="D64">
        <v>0.47776404866733202</v>
      </c>
      <c r="E64">
        <v>2.8636932286311501</v>
      </c>
      <c r="F64">
        <v>2.5591503190695399</v>
      </c>
      <c r="G64">
        <v>-46.63757972831268</v>
      </c>
      <c r="H64">
        <v>-40.168407602044979</v>
      </c>
      <c r="I64">
        <v>6.1252399055699298</v>
      </c>
      <c r="J64">
        <v>3.4782012633556998</v>
      </c>
      <c r="K64">
        <v>1.1190015714560799</v>
      </c>
      <c r="L64">
        <v>3.082052641843706E-5</v>
      </c>
      <c r="M64">
        <v>1.8258671626460721E-6</v>
      </c>
      <c r="N64" s="1">
        <v>-1.6971104242683499E-8</v>
      </c>
      <c r="O64" s="1">
        <v>1.01651013222783E-11</v>
      </c>
      <c r="P64" s="1">
        <v>7.3295175245909896E-11</v>
      </c>
      <c r="Q64">
        <v>65.811994027977704</v>
      </c>
      <c r="S64">
        <v>20.9271637016951</v>
      </c>
      <c r="AA64">
        <v>1.9087952320800201</v>
      </c>
      <c r="AB64">
        <v>9.1867032107892399</v>
      </c>
      <c r="AC64">
        <v>2.1653438274577699</v>
      </c>
      <c r="AJ64">
        <v>0.78746718902884305</v>
      </c>
      <c r="AK64">
        <v>9.0415505153478695E-2</v>
      </c>
      <c r="AL64">
        <v>0.122117305817677</v>
      </c>
    </row>
    <row r="65" spans="1:38" x14ac:dyDescent="0.2">
      <c r="A65">
        <v>104</v>
      </c>
      <c r="B65">
        <v>782</v>
      </c>
      <c r="C65">
        <v>125</v>
      </c>
      <c r="D65">
        <v>0.47720276737904699</v>
      </c>
      <c r="E65">
        <v>3.26837932233492</v>
      </c>
      <c r="F65">
        <v>2.5587435054816998</v>
      </c>
      <c r="G65">
        <v>-53.214794748445833</v>
      </c>
      <c r="H65">
        <v>-45.842196825611339</v>
      </c>
      <c r="I65">
        <v>6.9872510286068099</v>
      </c>
      <c r="J65">
        <v>3.9699499596825101</v>
      </c>
      <c r="K65">
        <v>1.27733761329845</v>
      </c>
      <c r="L65">
        <v>3.0841983881139333E-5</v>
      </c>
      <c r="M65">
        <v>1.8265718290169811E-6</v>
      </c>
      <c r="N65" s="1">
        <v>-1.9968653692097301E-8</v>
      </c>
      <c r="O65" s="1">
        <v>1.1605776031947301E-11</v>
      </c>
      <c r="P65" s="1">
        <v>8.5403106410882602E-11</v>
      </c>
      <c r="Q65">
        <v>65.844457180808305</v>
      </c>
      <c r="S65">
        <v>20.896791053853701</v>
      </c>
      <c r="AA65">
        <v>1.8761626537065299</v>
      </c>
      <c r="AB65">
        <v>9.1794197612375701</v>
      </c>
      <c r="AC65">
        <v>2.2031693503937801</v>
      </c>
      <c r="AJ65">
        <v>0.78687185380271296</v>
      </c>
      <c r="AK65">
        <v>8.8873044544645299E-2</v>
      </c>
      <c r="AL65">
        <v>0.12425510165264</v>
      </c>
    </row>
    <row r="66" spans="1:38" x14ac:dyDescent="0.2">
      <c r="A66">
        <v>105</v>
      </c>
      <c r="B66">
        <v>781</v>
      </c>
      <c r="C66">
        <v>125</v>
      </c>
      <c r="D66">
        <v>0.476640421192431</v>
      </c>
      <c r="E66">
        <v>3.6730510279525399</v>
      </c>
      <c r="F66">
        <v>2.5583411163899101</v>
      </c>
      <c r="G66">
        <v>-59.788380892823611</v>
      </c>
      <c r="H66">
        <v>-51.515077866433742</v>
      </c>
      <c r="I66">
        <v>7.8483166782619804</v>
      </c>
      <c r="J66">
        <v>4.4617423767585196</v>
      </c>
      <c r="K66">
        <v>1.4357159037242</v>
      </c>
      <c r="L66">
        <v>3.086307327293517E-5</v>
      </c>
      <c r="M66">
        <v>1.8272498263804745E-6</v>
      </c>
      <c r="N66" s="1">
        <v>-2.31301905183386E-8</v>
      </c>
      <c r="O66" s="1">
        <v>1.3047140689191599E-11</v>
      </c>
      <c r="P66" s="1">
        <v>9.7988722608457904E-11</v>
      </c>
      <c r="Q66">
        <v>65.875860194443405</v>
      </c>
      <c r="S66">
        <v>20.867022069011998</v>
      </c>
      <c r="AA66">
        <v>1.8442754724770001</v>
      </c>
      <c r="AB66">
        <v>9.1713564293664191</v>
      </c>
      <c r="AC66">
        <v>2.2414858347010802</v>
      </c>
      <c r="AJ66">
        <v>0.78621264986644801</v>
      </c>
      <c r="AK66">
        <v>8.7366117450477995E-2</v>
      </c>
      <c r="AL66">
        <v>0.12642123268307301</v>
      </c>
    </row>
    <row r="67" spans="1:38" x14ac:dyDescent="0.2">
      <c r="A67">
        <v>106</v>
      </c>
      <c r="B67">
        <v>780</v>
      </c>
      <c r="C67">
        <v>125</v>
      </c>
      <c r="D67">
        <v>0.47607700707401701</v>
      </c>
      <c r="E67">
        <v>4.0775974862564803</v>
      </c>
      <c r="F67">
        <v>2.5579430153591298</v>
      </c>
      <c r="G67">
        <v>-66.356510942109168</v>
      </c>
      <c r="H67">
        <v>-57.185479118434252</v>
      </c>
      <c r="I67">
        <v>8.7081914482029106</v>
      </c>
      <c r="J67">
        <v>4.95344643292015</v>
      </c>
      <c r="K67">
        <v>1.5940923866452801</v>
      </c>
      <c r="L67">
        <v>3.0883814326737249E-5</v>
      </c>
      <c r="M67">
        <v>1.8279017164978055E-6</v>
      </c>
      <c r="N67" s="1">
        <v>-2.6460697518270099E-8</v>
      </c>
      <c r="O67" s="1">
        <v>1.4488704958779199E-11</v>
      </c>
      <c r="P67" s="1">
        <v>1.11065210622706E-10</v>
      </c>
      <c r="Q67">
        <v>65.906224548361195</v>
      </c>
      <c r="S67">
        <v>20.8378419867487</v>
      </c>
      <c r="AA67">
        <v>1.8131164989502899</v>
      </c>
      <c r="AB67">
        <v>9.1625223846780699</v>
      </c>
      <c r="AC67">
        <v>2.28029458126155</v>
      </c>
      <c r="AJ67">
        <v>0.78549031243401302</v>
      </c>
      <c r="AK67">
        <v>8.5893892582035905E-2</v>
      </c>
      <c r="AL67">
        <v>0.12861579498395001</v>
      </c>
    </row>
    <row r="68" spans="1:38" x14ac:dyDescent="0.2">
      <c r="A68">
        <v>107</v>
      </c>
      <c r="B68">
        <v>779</v>
      </c>
      <c r="C68">
        <v>125</v>
      </c>
      <c r="D68">
        <v>0.475512521978807</v>
      </c>
      <c r="E68">
        <v>4.4819133504544304</v>
      </c>
      <c r="F68">
        <v>2.55754906489453</v>
      </c>
      <c r="G68">
        <v>-72.917449071444963</v>
      </c>
      <c r="H68">
        <v>-62.851906376611559</v>
      </c>
      <c r="I68">
        <v>9.5666422989434903</v>
      </c>
      <c r="J68">
        <v>5.4449369681947104</v>
      </c>
      <c r="K68">
        <v>1.75242516828871</v>
      </c>
      <c r="L68">
        <v>3.0904227266052414E-5</v>
      </c>
      <c r="M68">
        <v>1.8285280689498853E-6</v>
      </c>
      <c r="N68" s="1">
        <v>-2.9965338160319798E-8</v>
      </c>
      <c r="O68" s="1">
        <v>1.5929997913133898E-11</v>
      </c>
      <c r="P68" s="1">
        <v>1.2464629732502101E-10</v>
      </c>
      <c r="Q68">
        <v>65.935572022067205</v>
      </c>
      <c r="S68">
        <v>20.809235883382101</v>
      </c>
      <c r="AA68">
        <v>1.78266833898614</v>
      </c>
      <c r="AB68">
        <v>9.1529270372604508</v>
      </c>
      <c r="AC68">
        <v>2.3195967183039601</v>
      </c>
      <c r="AJ68">
        <v>0.78470559521891403</v>
      </c>
      <c r="AK68">
        <v>8.4455529772614293E-2</v>
      </c>
      <c r="AL68">
        <v>0.130838875008471</v>
      </c>
    </row>
    <row r="69" spans="1:38" x14ac:dyDescent="0.2">
      <c r="A69">
        <v>108</v>
      </c>
      <c r="B69">
        <v>778</v>
      </c>
      <c r="C69">
        <v>125</v>
      </c>
      <c r="D69">
        <v>0.47494696285021398</v>
      </c>
      <c r="E69">
        <v>5.8456372157225998</v>
      </c>
      <c r="F69">
        <v>2.55584656909235</v>
      </c>
      <c r="G69">
        <v>-95.03607284840885</v>
      </c>
      <c r="H69">
        <v>-81.927788328822132</v>
      </c>
      <c r="I69">
        <v>12.4704224131538</v>
      </c>
      <c r="J69">
        <v>7.0996861314242201</v>
      </c>
      <c r="K69">
        <v>2.2871628079765798</v>
      </c>
      <c r="L69">
        <v>3.0897742474655168E-5</v>
      </c>
      <c r="M69">
        <v>1.829600541971508E-6</v>
      </c>
      <c r="N69" s="1">
        <v>-3.9873949513577997E-8</v>
      </c>
      <c r="O69" s="1">
        <v>2.0827859414112302E-11</v>
      </c>
      <c r="P69" s="1">
        <v>1.6482046069748E-10</v>
      </c>
      <c r="Q69">
        <v>66.014290029948796</v>
      </c>
      <c r="S69">
        <v>20.7135917187139</v>
      </c>
      <c r="AA69">
        <v>1.6853931528218999</v>
      </c>
      <c r="AB69">
        <v>9.0776022848663107</v>
      </c>
      <c r="AC69">
        <v>2.5091228136489101</v>
      </c>
      <c r="AJ69">
        <v>0.77854046112003294</v>
      </c>
      <c r="AK69">
        <v>7.9877056456784806E-2</v>
      </c>
      <c r="AL69">
        <v>0.141582482423181</v>
      </c>
    </row>
    <row r="70" spans="1:38" x14ac:dyDescent="0.2">
      <c r="A70">
        <v>109</v>
      </c>
      <c r="B70">
        <v>777</v>
      </c>
      <c r="C70">
        <v>125</v>
      </c>
      <c r="D70">
        <v>0.47438032662001101</v>
      </c>
      <c r="E70">
        <v>7.4378915677099</v>
      </c>
      <c r="F70">
        <v>2.5537290718248702</v>
      </c>
      <c r="G70">
        <v>-120.81312045786913</v>
      </c>
      <c r="H70">
        <v>-104.16087511406899</v>
      </c>
      <c r="I70">
        <v>15.857015991810799</v>
      </c>
      <c r="J70">
        <v>9.02938255349512</v>
      </c>
      <c r="K70">
        <v>2.9125609485249</v>
      </c>
      <c r="L70">
        <v>3.0869867274888745E-5</v>
      </c>
      <c r="M70">
        <v>1.8304497751886473E-6</v>
      </c>
      <c r="N70" s="1">
        <v>-5.1486688051684703E-8</v>
      </c>
      <c r="O70" s="1">
        <v>2.6582614323969601E-11</v>
      </c>
      <c r="P70" s="1">
        <v>2.11802613836563E-10</v>
      </c>
      <c r="Q70">
        <v>66.096355103940596</v>
      </c>
      <c r="S70">
        <v>20.601790994215499</v>
      </c>
      <c r="AA70">
        <v>1.57400764724828</v>
      </c>
      <c r="AB70">
        <v>8.9673797677452196</v>
      </c>
      <c r="AC70">
        <v>2.76046648685021</v>
      </c>
      <c r="AJ70">
        <v>0.76951016352016999</v>
      </c>
      <c r="AK70">
        <v>7.4639105518540305E-2</v>
      </c>
      <c r="AL70">
        <v>0.15585073096128901</v>
      </c>
    </row>
    <row r="71" spans="1:38" x14ac:dyDescent="0.2">
      <c r="A71">
        <v>110</v>
      </c>
      <c r="B71">
        <v>776</v>
      </c>
      <c r="C71">
        <v>125</v>
      </c>
      <c r="D71">
        <v>0.47381261020826598</v>
      </c>
      <c r="E71">
        <v>9.3654851832652604</v>
      </c>
      <c r="F71">
        <v>2.55096027757719</v>
      </c>
      <c r="G71">
        <v>-151.93938228983092</v>
      </c>
      <c r="H71">
        <v>-131.00772998014082</v>
      </c>
      <c r="I71">
        <v>19.951057817938398</v>
      </c>
      <c r="J71">
        <v>11.360814368401799</v>
      </c>
      <c r="K71">
        <v>3.6713567300860701</v>
      </c>
      <c r="L71">
        <v>3.0805344574192781E-5</v>
      </c>
      <c r="M71">
        <v>1.8308798413936064E-6</v>
      </c>
      <c r="N71" s="1">
        <v>-6.5198305957949894E-8</v>
      </c>
      <c r="O71" s="1">
        <v>3.3608417083201198E-11</v>
      </c>
      <c r="P71" s="1">
        <v>2.6757805308951201E-10</v>
      </c>
      <c r="Q71">
        <v>66.181372080950396</v>
      </c>
      <c r="S71">
        <v>20.465350546922298</v>
      </c>
      <c r="AA71">
        <v>1.4416053318642099</v>
      </c>
      <c r="AB71">
        <v>8.7991391715356908</v>
      </c>
      <c r="AC71">
        <v>3.1125328687273299</v>
      </c>
      <c r="AJ71">
        <v>0.75570679134069196</v>
      </c>
      <c r="AK71">
        <v>6.8417989583694994E-2</v>
      </c>
      <c r="AL71">
        <v>0.17587521907561199</v>
      </c>
    </row>
    <row r="72" spans="1:38" x14ac:dyDescent="0.2">
      <c r="A72">
        <v>111</v>
      </c>
      <c r="B72">
        <v>775</v>
      </c>
      <c r="C72">
        <v>125</v>
      </c>
      <c r="D72">
        <v>0.473243810523307</v>
      </c>
      <c r="E72">
        <v>10.7612114058822</v>
      </c>
      <c r="F72">
        <v>2.54947634635929</v>
      </c>
      <c r="G72">
        <v>-174.42903325062127</v>
      </c>
      <c r="H72">
        <v>-150.42054551956039</v>
      </c>
      <c r="I72">
        <v>22.905583867825101</v>
      </c>
      <c r="J72">
        <v>13.0458267693131</v>
      </c>
      <c r="K72">
        <v>4.2209496947282998</v>
      </c>
      <c r="L72">
        <v>3.0733157542529036E-5</v>
      </c>
      <c r="M72">
        <v>1.8299872844528184E-6</v>
      </c>
      <c r="N72" s="1">
        <v>-7.5582455166357804E-8</v>
      </c>
      <c r="O72" s="1">
        <v>3.8692667200690702E-11</v>
      </c>
      <c r="P72" s="1">
        <v>3.09260470712601E-10</v>
      </c>
      <c r="Q72">
        <v>66.1876600305484</v>
      </c>
      <c r="S72">
        <v>20.404987072202299</v>
      </c>
      <c r="AA72">
        <v>1.3903376400707701</v>
      </c>
      <c r="AB72">
        <v>8.6549008333029498</v>
      </c>
      <c r="AC72">
        <v>3.3621144238754899</v>
      </c>
      <c r="AJ72">
        <v>0.74385323910787704</v>
      </c>
      <c r="AK72">
        <v>6.6032270873039894E-2</v>
      </c>
      <c r="AL72">
        <v>0.19011449001908201</v>
      </c>
    </row>
    <row r="73" spans="1:38" x14ac:dyDescent="0.2">
      <c r="A73">
        <v>112</v>
      </c>
      <c r="B73">
        <v>774</v>
      </c>
      <c r="C73">
        <v>125</v>
      </c>
      <c r="D73">
        <v>0.47267392446163797</v>
      </c>
      <c r="E73">
        <v>10.8391639276867</v>
      </c>
      <c r="F73">
        <v>2.5517613532648502</v>
      </c>
      <c r="G73">
        <v>-175.7763251796564</v>
      </c>
      <c r="H73">
        <v>-151.62914767638861</v>
      </c>
      <c r="I73">
        <v>23.0599030733588</v>
      </c>
      <c r="J73">
        <v>13.146287714762201</v>
      </c>
      <c r="K73">
        <v>4.2477185077744704</v>
      </c>
      <c r="L73">
        <v>3.0753369372103665E-5</v>
      </c>
      <c r="M73">
        <v>1.828221559089649E-6</v>
      </c>
      <c r="N73" s="1">
        <v>-7.9222607290782901E-8</v>
      </c>
      <c r="O73" s="1">
        <v>3.8811220773973001E-11</v>
      </c>
      <c r="P73" s="1">
        <v>3.2067357665764998E-10</v>
      </c>
      <c r="Q73">
        <v>66.065040969476399</v>
      </c>
      <c r="S73">
        <v>20.5307628883433</v>
      </c>
      <c r="AA73">
        <v>1.52271545781965</v>
      </c>
      <c r="AB73">
        <v>8.7113884842607003</v>
      </c>
      <c r="AC73">
        <v>3.1700922000998499</v>
      </c>
      <c r="AJ73">
        <v>0.74849563521552798</v>
      </c>
      <c r="AK73">
        <v>7.22988579999648E-2</v>
      </c>
      <c r="AL73">
        <v>0.179205506784507</v>
      </c>
    </row>
    <row r="74" spans="1:38" x14ac:dyDescent="0.2">
      <c r="A74">
        <v>113</v>
      </c>
      <c r="B74">
        <v>773</v>
      </c>
      <c r="C74">
        <v>125</v>
      </c>
      <c r="D74">
        <v>0.472102948907902</v>
      </c>
      <c r="E74">
        <v>11.3146582943619</v>
      </c>
      <c r="F74">
        <v>2.5534226793583499</v>
      </c>
      <c r="G74">
        <v>-183.54002173848784</v>
      </c>
      <c r="H74">
        <v>-158.37130745821565</v>
      </c>
      <c r="I74">
        <v>24.058418276797902</v>
      </c>
      <c r="J74">
        <v>13.7276340730521</v>
      </c>
      <c r="K74">
        <v>4.4311732584771999</v>
      </c>
      <c r="L74">
        <v>3.0768129409737044E-5</v>
      </c>
      <c r="M74">
        <v>1.826819459985558E-6</v>
      </c>
      <c r="N74" s="1">
        <v>-8.5750014318777205E-8</v>
      </c>
      <c r="O74" s="1">
        <v>4.0384628517558401E-11</v>
      </c>
      <c r="P74" s="1">
        <v>3.4375118781288003E-10</v>
      </c>
      <c r="Q74">
        <v>65.971240707364203</v>
      </c>
      <c r="S74">
        <v>20.6235132008199</v>
      </c>
      <c r="AA74">
        <v>1.62112242413223</v>
      </c>
      <c r="AB74">
        <v>8.7455166320334197</v>
      </c>
      <c r="AC74">
        <v>3.03860703565016</v>
      </c>
      <c r="AJ74">
        <v>0.75129885781765304</v>
      </c>
      <c r="AK74">
        <v>7.6958015844827005E-2</v>
      </c>
      <c r="AL74">
        <v>0.17174312633751901</v>
      </c>
    </row>
    <row r="75" spans="1:38" x14ac:dyDescent="0.2">
      <c r="A75">
        <v>114</v>
      </c>
      <c r="B75">
        <v>772</v>
      </c>
      <c r="C75">
        <v>125</v>
      </c>
      <c r="D75">
        <v>0.47153088073482102</v>
      </c>
      <c r="E75">
        <v>13.4204265024722</v>
      </c>
      <c r="F75">
        <v>2.5566577928657401</v>
      </c>
      <c r="G75">
        <v>-217.83338137407651</v>
      </c>
      <c r="H75">
        <v>-188.0281568743797</v>
      </c>
      <c r="I75">
        <v>28.517652489783</v>
      </c>
      <c r="J75">
        <v>16.288862779210401</v>
      </c>
      <c r="K75">
        <v>5.2492072032171802</v>
      </c>
      <c r="L75">
        <v>3.0751750807472154E-5</v>
      </c>
      <c r="M75">
        <v>1.8231459913016592E-6</v>
      </c>
      <c r="N75" s="1">
        <v>-1.05487145021398E-7</v>
      </c>
      <c r="O75" s="1">
        <v>4.76180436574138E-11</v>
      </c>
      <c r="P75" s="1">
        <v>4.189737270145E-10</v>
      </c>
      <c r="Q75">
        <v>65.759058515668301</v>
      </c>
      <c r="S75">
        <v>20.818663542914202</v>
      </c>
      <c r="AA75">
        <v>1.83163326825559</v>
      </c>
      <c r="AB75">
        <v>8.7842919876694694</v>
      </c>
      <c r="AC75">
        <v>2.8063526854922598</v>
      </c>
      <c r="AJ75">
        <v>0.75448102503316705</v>
      </c>
      <c r="AK75">
        <v>8.6934242069669695E-2</v>
      </c>
      <c r="AL75">
        <v>0.15858473289716299</v>
      </c>
    </row>
    <row r="76" spans="1:38" x14ac:dyDescent="0.2">
      <c r="A76">
        <v>115</v>
      </c>
      <c r="B76">
        <v>771</v>
      </c>
      <c r="C76">
        <v>125</v>
      </c>
      <c r="D76">
        <v>0.47095771680314102</v>
      </c>
      <c r="E76">
        <v>14.5724996553019</v>
      </c>
      <c r="F76">
        <v>2.55810633900315</v>
      </c>
      <c r="G76">
        <v>-236.57765403699273</v>
      </c>
      <c r="H76">
        <v>-204.26438015413675</v>
      </c>
      <c r="I76">
        <v>30.946965362118402</v>
      </c>
      <c r="J76">
        <v>17.691514319052899</v>
      </c>
      <c r="K76">
        <v>5.69659651481905</v>
      </c>
      <c r="L76">
        <v>3.0753904081290085E-5</v>
      </c>
      <c r="M76">
        <v>1.821525114920507E-6</v>
      </c>
      <c r="N76" s="1">
        <v>-1.1837791791488E-7</v>
      </c>
      <c r="O76" s="1">
        <v>5.15529508900603E-11</v>
      </c>
      <c r="P76" s="1">
        <v>4.6622309990475101E-10</v>
      </c>
      <c r="Q76">
        <v>65.663538152978703</v>
      </c>
      <c r="S76">
        <v>20.9051319092674</v>
      </c>
      <c r="AA76">
        <v>1.92525892664885</v>
      </c>
      <c r="AB76">
        <v>8.7981180450623899</v>
      </c>
      <c r="AC76">
        <v>2.7079529660424901</v>
      </c>
      <c r="AJ76">
        <v>0.75561507959260299</v>
      </c>
      <c r="AK76">
        <v>9.1371502790254799E-2</v>
      </c>
      <c r="AL76">
        <v>0.15301341761714099</v>
      </c>
    </row>
    <row r="77" spans="1:38" x14ac:dyDescent="0.2">
      <c r="A77">
        <v>116</v>
      </c>
      <c r="B77">
        <v>770</v>
      </c>
      <c r="C77">
        <v>125</v>
      </c>
      <c r="D77">
        <v>0.47038345396155901</v>
      </c>
      <c r="E77">
        <v>15.5502115066522</v>
      </c>
      <c r="F77">
        <v>2.5592315321272698</v>
      </c>
      <c r="G77">
        <v>-252.47814021422178</v>
      </c>
      <c r="H77">
        <v>-218.05059123437047</v>
      </c>
      <c r="I77">
        <v>33.003450107703799</v>
      </c>
      <c r="J77">
        <v>18.882728572758101</v>
      </c>
      <c r="K77">
        <v>6.07612531787096</v>
      </c>
      <c r="L77">
        <v>3.0760043501223033E-5</v>
      </c>
      <c r="M77">
        <v>1.8202789474521861E-6</v>
      </c>
      <c r="N77" s="1">
        <v>-1.3046348425410801E-7</v>
      </c>
      <c r="O77" s="1">
        <v>5.4877585060811602E-11</v>
      </c>
      <c r="P77" s="1">
        <v>5.09654607817855E-10</v>
      </c>
      <c r="Q77">
        <v>65.589188405885395</v>
      </c>
      <c r="S77">
        <v>20.971911873225299</v>
      </c>
      <c r="AA77">
        <v>1.9977015777442799</v>
      </c>
      <c r="AB77">
        <v>8.8075059776422506</v>
      </c>
      <c r="AC77">
        <v>2.6336921655026599</v>
      </c>
      <c r="AJ77">
        <v>0.75638487032392898</v>
      </c>
      <c r="AK77">
        <v>9.4805010260501393E-2</v>
      </c>
      <c r="AL77">
        <v>0.14881011941556899</v>
      </c>
    </row>
    <row r="78" spans="1:38" x14ac:dyDescent="0.2">
      <c r="A78">
        <v>117</v>
      </c>
      <c r="B78">
        <v>769</v>
      </c>
      <c r="C78">
        <v>125</v>
      </c>
      <c r="D78">
        <v>0.46980808904668597</v>
      </c>
      <c r="E78">
        <v>16.056669476403499</v>
      </c>
      <c r="F78">
        <v>2.5598036155827799</v>
      </c>
      <c r="G78">
        <v>-260.69943172191387</v>
      </c>
      <c r="H78">
        <v>-225.20485372310037</v>
      </c>
      <c r="I78">
        <v>34.058991506801803</v>
      </c>
      <c r="J78">
        <v>19.501921751589698</v>
      </c>
      <c r="K78">
        <v>6.2726177034279598</v>
      </c>
      <c r="L78">
        <v>3.0778194768679648E-5</v>
      </c>
      <c r="M78">
        <v>1.819837878490666E-6</v>
      </c>
      <c r="N78" s="1">
        <v>-1.3910581134769901E-7</v>
      </c>
      <c r="O78" s="1">
        <v>5.6579366478195299E-11</v>
      </c>
      <c r="P78" s="1">
        <v>5.3908221508687703E-10</v>
      </c>
      <c r="Q78">
        <v>65.556557052423301</v>
      </c>
      <c r="S78">
        <v>21.002604977050801</v>
      </c>
      <c r="AA78">
        <v>2.0306377829038</v>
      </c>
      <c r="AB78">
        <v>8.8152547181295091</v>
      </c>
      <c r="AC78">
        <v>2.5949454694924898</v>
      </c>
      <c r="AJ78">
        <v>0.75702063145589404</v>
      </c>
      <c r="AK78">
        <v>9.6364284868846198E-2</v>
      </c>
      <c r="AL78">
        <v>0.146615083675258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A3A81-2F9C-40CA-B484-AB122C913C78}">
  <sheetPr codeName="Sheet10"/>
  <dimension ref="A1:AL42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18</v>
      </c>
      <c r="B2">
        <v>740</v>
      </c>
      <c r="C2">
        <v>275</v>
      </c>
      <c r="D2">
        <v>0.28977002418201098</v>
      </c>
      <c r="E2">
        <v>5.3085946061643101</v>
      </c>
      <c r="F2">
        <v>2.5724490391194998</v>
      </c>
      <c r="G2">
        <v>-85.674206877370295</v>
      </c>
      <c r="H2">
        <v>-74.458930806083885</v>
      </c>
      <c r="I2">
        <v>11.069709392771401</v>
      </c>
      <c r="J2">
        <v>6.53562961276109</v>
      </c>
      <c r="K2">
        <v>2.0636345075979898</v>
      </c>
      <c r="L2">
        <v>3.2387454792733807E-5</v>
      </c>
      <c r="M2">
        <v>1.8171448535542826E-6</v>
      </c>
      <c r="N2" s="1">
        <v>-1.34184625851616E-7</v>
      </c>
      <c r="O2" s="1">
        <v>1.78629639290246E-11</v>
      </c>
      <c r="P2" s="1">
        <v>4.3229903173103401E-10</v>
      </c>
      <c r="Q2">
        <v>65.468501670245104</v>
      </c>
      <c r="S2">
        <v>21.162115965227201</v>
      </c>
      <c r="AA2">
        <v>2.1827825010482398</v>
      </c>
      <c r="AB2">
        <v>9.0372068136340005</v>
      </c>
      <c r="AC2">
        <v>2.1493930498453402</v>
      </c>
      <c r="AJ2">
        <v>0.77522314760215805</v>
      </c>
      <c r="AK2">
        <v>0.103469836937817</v>
      </c>
      <c r="AL2">
        <v>0.121307015460024</v>
      </c>
    </row>
    <row r="3" spans="1:38" x14ac:dyDescent="0.2">
      <c r="A3">
        <v>19</v>
      </c>
      <c r="B3">
        <v>739</v>
      </c>
      <c r="C3">
        <v>275</v>
      </c>
      <c r="D3">
        <v>0.28899916020352701</v>
      </c>
      <c r="E3">
        <v>8.6970169864784506</v>
      </c>
      <c r="F3">
        <v>2.5721053390216801</v>
      </c>
      <c r="G3">
        <v>-140.3341326471166</v>
      </c>
      <c r="H3">
        <v>-121.98792183310698</v>
      </c>
      <c r="I3">
        <v>18.1259801551249</v>
      </c>
      <c r="J3">
        <v>10.7149610652626</v>
      </c>
      <c r="K3">
        <v>3.38128336135191</v>
      </c>
      <c r="L3">
        <v>3.247953715626133E-5</v>
      </c>
      <c r="M3">
        <v>1.8184196742476538E-6</v>
      </c>
      <c r="N3" s="1">
        <v>-2.2736478884110599E-7</v>
      </c>
      <c r="O3" s="1">
        <v>2.92277188069982E-11</v>
      </c>
      <c r="P3" s="1">
        <v>7.2963039590293505E-10</v>
      </c>
      <c r="Q3">
        <v>65.513545137716207</v>
      </c>
      <c r="S3">
        <v>21.1290022723406</v>
      </c>
      <c r="AA3">
        <v>2.14495308800901</v>
      </c>
      <c r="AB3">
        <v>9.0507719147829704</v>
      </c>
      <c r="AC3">
        <v>2.1617275871511499</v>
      </c>
      <c r="AJ3">
        <v>0.77633511527520604</v>
      </c>
      <c r="AK3">
        <v>0.101669853714788</v>
      </c>
      <c r="AL3">
        <v>0.121995031010004</v>
      </c>
    </row>
    <row r="4" spans="1:38" x14ac:dyDescent="0.2">
      <c r="A4">
        <v>20</v>
      </c>
      <c r="B4">
        <v>738</v>
      </c>
      <c r="C4">
        <v>275</v>
      </c>
      <c r="D4">
        <v>0.28822677149780002</v>
      </c>
      <c r="E4">
        <v>17.361435686362899</v>
      </c>
      <c r="F4">
        <v>2.5707768884008502</v>
      </c>
      <c r="G4">
        <v>-280.04437380458097</v>
      </c>
      <c r="H4">
        <v>-243.47200372257572</v>
      </c>
      <c r="I4">
        <v>36.169084786634201</v>
      </c>
      <c r="J4">
        <v>21.407411861989601</v>
      </c>
      <c r="K4">
        <v>6.7533809583773703</v>
      </c>
      <c r="L4">
        <v>3.2610371916644178E-5</v>
      </c>
      <c r="M4">
        <v>1.8215351601963019E-6</v>
      </c>
      <c r="N4" s="1">
        <v>-4.7014928680596102E-7</v>
      </c>
      <c r="O4" s="1">
        <v>5.8371844476479096E-11</v>
      </c>
      <c r="P4" s="1">
        <v>1.50268818491395E-9</v>
      </c>
      <c r="Q4">
        <v>65.646651100814694</v>
      </c>
      <c r="S4">
        <v>21.025612858525299</v>
      </c>
      <c r="AA4">
        <v>2.0285973061745199</v>
      </c>
      <c r="AB4">
        <v>9.0763426268339504</v>
      </c>
      <c r="AC4">
        <v>2.22279610765138</v>
      </c>
      <c r="AJ4">
        <v>0.77843156473909203</v>
      </c>
      <c r="AK4">
        <v>9.6142672636957402E-2</v>
      </c>
      <c r="AL4">
        <v>0.12542576262395</v>
      </c>
    </row>
    <row r="5" spans="1:38" x14ac:dyDescent="0.2">
      <c r="A5">
        <v>21</v>
      </c>
      <c r="B5">
        <v>737</v>
      </c>
      <c r="C5">
        <v>275</v>
      </c>
      <c r="D5">
        <v>0.28745285353660599</v>
      </c>
      <c r="E5">
        <v>19.525526407280701</v>
      </c>
      <c r="F5">
        <v>2.5705642656075098</v>
      </c>
      <c r="G5">
        <v>-314.90194905883021</v>
      </c>
      <c r="H5">
        <v>-273.83371587377803</v>
      </c>
      <c r="I5">
        <v>40.655579057617302</v>
      </c>
      <c r="J5">
        <v>24.093988390488501</v>
      </c>
      <c r="K5">
        <v>7.5958133661622798</v>
      </c>
      <c r="L5">
        <v>3.2701467711968965E-5</v>
      </c>
      <c r="M5">
        <v>1.8225537226240265E-6</v>
      </c>
      <c r="N5" s="1">
        <v>-5.4672200811846401E-7</v>
      </c>
      <c r="O5" s="1">
        <v>6.5539786965075802E-11</v>
      </c>
      <c r="P5" s="1">
        <v>1.7409634847121301E-9</v>
      </c>
      <c r="Q5">
        <v>65.679151569805796</v>
      </c>
      <c r="S5">
        <v>21.0022372099296</v>
      </c>
      <c r="AA5">
        <v>2.0017286166063801</v>
      </c>
      <c r="AB5">
        <v>9.0874858775398994</v>
      </c>
      <c r="AC5">
        <v>2.22939672611815</v>
      </c>
      <c r="AJ5">
        <v>0.77934459757677599</v>
      </c>
      <c r="AK5">
        <v>9.4864073276699601E-2</v>
      </c>
      <c r="AL5">
        <v>0.125791329146523</v>
      </c>
    </row>
    <row r="6" spans="1:38" x14ac:dyDescent="0.2">
      <c r="A6">
        <v>22</v>
      </c>
      <c r="B6">
        <v>736</v>
      </c>
      <c r="C6">
        <v>275</v>
      </c>
      <c r="D6">
        <v>0.28667740177377199</v>
      </c>
      <c r="E6">
        <v>20.339415715037699</v>
      </c>
      <c r="F6">
        <v>2.57056457195036</v>
      </c>
      <c r="G6">
        <v>-327.98857126008681</v>
      </c>
      <c r="H6">
        <v>-285.27492090134331</v>
      </c>
      <c r="I6">
        <v>42.326364126981602</v>
      </c>
      <c r="J6">
        <v>25.117464690211801</v>
      </c>
      <c r="K6">
        <v>7.9124313533993904</v>
      </c>
      <c r="L6">
        <v>3.2787398885455282E-5</v>
      </c>
      <c r="M6">
        <v>1.8231894074650888E-6</v>
      </c>
      <c r="N6" s="1">
        <v>-5.8869676147930903E-7</v>
      </c>
      <c r="O6" s="1">
        <v>6.8127990808851303E-11</v>
      </c>
      <c r="P6" s="1">
        <v>1.8679068270286202E-9</v>
      </c>
      <c r="Q6">
        <v>65.692829491375093</v>
      </c>
      <c r="S6">
        <v>20.993944070315798</v>
      </c>
      <c r="AA6">
        <v>1.99169513550096</v>
      </c>
      <c r="AB6">
        <v>9.0962248486968509</v>
      </c>
      <c r="AC6">
        <v>2.2253064541111298</v>
      </c>
      <c r="AJ6">
        <v>0.78006037889268398</v>
      </c>
      <c r="AK6">
        <v>9.4384501305402504E-2</v>
      </c>
      <c r="AL6">
        <v>0.125555119801913</v>
      </c>
    </row>
    <row r="7" spans="1:38" x14ac:dyDescent="0.2">
      <c r="A7">
        <v>35</v>
      </c>
      <c r="B7">
        <v>745</v>
      </c>
      <c r="C7">
        <v>250</v>
      </c>
      <c r="D7">
        <v>0.32061140303491598</v>
      </c>
      <c r="E7">
        <v>1.44757925554331</v>
      </c>
      <c r="F7">
        <v>2.5693567893717302</v>
      </c>
      <c r="G7">
        <v>-23.382277475000688</v>
      </c>
      <c r="H7">
        <v>-20.299286412702088</v>
      </c>
      <c r="I7">
        <v>3.0280322764804701</v>
      </c>
      <c r="J7">
        <v>1.77607619940263</v>
      </c>
      <c r="K7">
        <v>0.56340141685704903</v>
      </c>
      <c r="L7">
        <v>3.2033719299613412E-5</v>
      </c>
      <c r="M7">
        <v>1.8190511058648423E-6</v>
      </c>
      <c r="N7" s="1">
        <v>-3.0418281829017902E-8</v>
      </c>
      <c r="O7" s="1">
        <v>4.9355941074612401E-12</v>
      </c>
      <c r="P7" s="1">
        <v>1.00247221744171E-10</v>
      </c>
      <c r="Q7">
        <v>65.570348927008197</v>
      </c>
      <c r="S7">
        <v>21.0665647958524</v>
      </c>
      <c r="AA7">
        <v>2.0801871429238799</v>
      </c>
      <c r="AB7">
        <v>9.0136681514832198</v>
      </c>
      <c r="AC7">
        <v>2.2692309827322199</v>
      </c>
      <c r="AJ7">
        <v>0.77329606034160203</v>
      </c>
      <c r="AK7">
        <v>9.8618281593024396E-2</v>
      </c>
      <c r="AL7">
        <v>0.128085658065373</v>
      </c>
    </row>
    <row r="8" spans="1:38" x14ac:dyDescent="0.2">
      <c r="A8">
        <v>36</v>
      </c>
      <c r="B8">
        <v>744</v>
      </c>
      <c r="C8">
        <v>250</v>
      </c>
      <c r="D8">
        <v>0.31987464975667701</v>
      </c>
      <c r="E8">
        <v>6.3717793891492001</v>
      </c>
      <c r="F8">
        <v>2.56932428712719</v>
      </c>
      <c r="G8">
        <v>-102.90826489489048</v>
      </c>
      <c r="H8">
        <v>-89.358704135502819</v>
      </c>
      <c r="I8">
        <v>13.321103828725001</v>
      </c>
      <c r="J8">
        <v>7.8221693432161201</v>
      </c>
      <c r="K8">
        <v>2.4799436260627101</v>
      </c>
      <c r="L8">
        <v>3.2101667045096089E-5</v>
      </c>
      <c r="M8">
        <v>1.8196839251623658E-6</v>
      </c>
      <c r="N8" s="1">
        <v>-1.38363811466597E-7</v>
      </c>
      <c r="O8" s="1">
        <v>2.16930670481225E-11</v>
      </c>
      <c r="P8" s="1">
        <v>4.5402402931447501E-10</v>
      </c>
      <c r="Q8">
        <v>65.586605947333894</v>
      </c>
      <c r="S8">
        <v>21.0561656084265</v>
      </c>
      <c r="AA8">
        <v>2.06781435337304</v>
      </c>
      <c r="AB8">
        <v>9.0226332277888606</v>
      </c>
      <c r="AC8">
        <v>2.2667808630775999</v>
      </c>
      <c r="AJ8">
        <v>0.77403093082432595</v>
      </c>
      <c r="AK8">
        <v>9.8027369345344104E-2</v>
      </c>
      <c r="AL8">
        <v>0.12794169983032899</v>
      </c>
    </row>
    <row r="9" spans="1:38" x14ac:dyDescent="0.2">
      <c r="A9">
        <v>37</v>
      </c>
      <c r="B9">
        <v>743</v>
      </c>
      <c r="C9">
        <v>250</v>
      </c>
      <c r="D9">
        <v>0.31913644639078897</v>
      </c>
      <c r="E9">
        <v>9.3687639520884591</v>
      </c>
      <c r="F9">
        <v>2.5693465413742098</v>
      </c>
      <c r="G9">
        <v>-151.29379222919803</v>
      </c>
      <c r="H9">
        <v>-131.4018182479017</v>
      </c>
      <c r="I9">
        <v>19.575824416962401</v>
      </c>
      <c r="J9">
        <v>11.508084321883899</v>
      </c>
      <c r="K9">
        <v>3.64636058282646</v>
      </c>
      <c r="L9">
        <v>3.2169627110437211E-5</v>
      </c>
      <c r="M9">
        <v>1.8202233916858074E-6</v>
      </c>
      <c r="N9" s="1">
        <v>-2.1023388614832199E-7</v>
      </c>
      <c r="O9" s="1">
        <v>3.1844719402855001E-11</v>
      </c>
      <c r="P9" s="1">
        <v>6.8694659075960699E-10</v>
      </c>
      <c r="Q9">
        <v>65.598076002628005</v>
      </c>
      <c r="S9">
        <v>21.049617412991001</v>
      </c>
      <c r="AA9">
        <v>2.0597356444934101</v>
      </c>
      <c r="AB9">
        <v>9.0310266853542505</v>
      </c>
      <c r="AC9">
        <v>2.2615442545332698</v>
      </c>
      <c r="AJ9">
        <v>0.77471882830744299</v>
      </c>
      <c r="AK9">
        <v>9.7640334909272097E-2</v>
      </c>
      <c r="AL9">
        <v>0.127640836783284</v>
      </c>
    </row>
    <row r="10" spans="1:38" x14ac:dyDescent="0.2">
      <c r="A10">
        <v>38</v>
      </c>
      <c r="B10">
        <v>742</v>
      </c>
      <c r="C10">
        <v>250</v>
      </c>
      <c r="D10">
        <v>0.318396788651924</v>
      </c>
      <c r="E10">
        <v>17.1814734101361</v>
      </c>
      <c r="F10">
        <v>2.5688792673664702</v>
      </c>
      <c r="G10">
        <v>-277.40263374863656</v>
      </c>
      <c r="H10">
        <v>-240.97691777832023</v>
      </c>
      <c r="I10">
        <v>35.882102123150503</v>
      </c>
      <c r="J10">
        <v>21.118231540777298</v>
      </c>
      <c r="K10">
        <v>6.6883148727148898</v>
      </c>
      <c r="L10">
        <v>3.2256321910785203E-5</v>
      </c>
      <c r="M10">
        <v>1.8216518536528759E-6</v>
      </c>
      <c r="N10" s="1">
        <v>-3.9869601179454001E-7</v>
      </c>
      <c r="O10" s="1">
        <v>5.8353503799293598E-11</v>
      </c>
      <c r="P10" s="1">
        <v>1.29724710643853E-9</v>
      </c>
      <c r="Q10">
        <v>65.652373512794</v>
      </c>
      <c r="S10">
        <v>21.008560815487101</v>
      </c>
      <c r="AA10">
        <v>2.0131939494640401</v>
      </c>
      <c r="AB10">
        <v>9.0443905673646992</v>
      </c>
      <c r="AC10">
        <v>2.28148115489009</v>
      </c>
      <c r="AJ10">
        <v>0.77581452649256699</v>
      </c>
      <c r="AK10">
        <v>9.5427820631102805E-2</v>
      </c>
      <c r="AL10">
        <v>0.12875765287632901</v>
      </c>
    </row>
    <row r="11" spans="1:38" x14ac:dyDescent="0.2">
      <c r="A11">
        <v>39</v>
      </c>
      <c r="B11">
        <v>741</v>
      </c>
      <c r="C11">
        <v>250</v>
      </c>
      <c r="D11">
        <v>0.31765567223783697</v>
      </c>
      <c r="E11">
        <v>19.130328062889099</v>
      </c>
      <c r="F11">
        <v>2.5688823930732498</v>
      </c>
      <c r="G11">
        <v>-308.83066185945546</v>
      </c>
      <c r="H11">
        <v>-268.33578385894009</v>
      </c>
      <c r="I11">
        <v>39.929870335271197</v>
      </c>
      <c r="J11">
        <v>23.528404401460399</v>
      </c>
      <c r="K11">
        <v>7.4469458448047998</v>
      </c>
      <c r="L11">
        <v>3.2328983228749482E-5</v>
      </c>
      <c r="M11">
        <v>1.822238750752412E-6</v>
      </c>
      <c r="N11" s="1">
        <v>-4.5879061269381701E-7</v>
      </c>
      <c r="O11" s="1">
        <v>6.4861259511667101E-11</v>
      </c>
      <c r="P11" s="1">
        <v>1.4867438089440299E-9</v>
      </c>
      <c r="Q11">
        <v>65.665570037786097</v>
      </c>
      <c r="S11">
        <v>21.000627218336</v>
      </c>
      <c r="AA11">
        <v>2.0035694218820401</v>
      </c>
      <c r="AB11">
        <v>9.0529993593708191</v>
      </c>
      <c r="AC11">
        <v>2.2772339626248699</v>
      </c>
      <c r="AJ11">
        <v>0.77651994223522802</v>
      </c>
      <c r="AK11">
        <v>9.4967566422597793E-2</v>
      </c>
      <c r="AL11">
        <v>0.12851249134217399</v>
      </c>
    </row>
    <row r="12" spans="1:38" x14ac:dyDescent="0.2">
      <c r="A12">
        <v>40</v>
      </c>
      <c r="B12">
        <v>740</v>
      </c>
      <c r="C12">
        <v>250</v>
      </c>
      <c r="D12">
        <v>0.31691309282929903</v>
      </c>
      <c r="E12">
        <v>19.873735453095001</v>
      </c>
      <c r="F12">
        <v>2.5689576704819799</v>
      </c>
      <c r="G12">
        <v>-320.79747560858397</v>
      </c>
      <c r="H12">
        <v>-278.79421663349581</v>
      </c>
      <c r="I12">
        <v>41.458085155295997</v>
      </c>
      <c r="J12">
        <v>24.4585067471209</v>
      </c>
      <c r="K12">
        <v>7.7361085709778603</v>
      </c>
      <c r="L12">
        <v>3.2401310799497524E-5</v>
      </c>
      <c r="M12">
        <v>1.8227031239253881E-6</v>
      </c>
      <c r="N12" s="1">
        <v>-4.9256310360264895E-7</v>
      </c>
      <c r="O12" s="1">
        <v>6.7253403270028594E-11</v>
      </c>
      <c r="P12" s="1">
        <v>1.5898907083661599E-9</v>
      </c>
      <c r="Q12">
        <v>65.672511464213699</v>
      </c>
      <c r="S12">
        <v>20.9977434023886</v>
      </c>
      <c r="AA12">
        <v>1.9995705572359901</v>
      </c>
      <c r="AB12">
        <v>9.0609076575524607</v>
      </c>
      <c r="AC12">
        <v>2.2692669186091101</v>
      </c>
      <c r="AJ12">
        <v>0.77716782498116799</v>
      </c>
      <c r="AK12">
        <v>9.4774310081858895E-2</v>
      </c>
      <c r="AL12">
        <v>0.12805786493697199</v>
      </c>
    </row>
    <row r="13" spans="1:38" x14ac:dyDescent="0.2">
      <c r="A13">
        <v>49</v>
      </c>
      <c r="B13">
        <v>749</v>
      </c>
      <c r="C13">
        <v>225</v>
      </c>
      <c r="D13">
        <v>0.350448075135744</v>
      </c>
      <c r="E13">
        <v>6.2992037085241597</v>
      </c>
      <c r="F13">
        <v>2.5244399893660598</v>
      </c>
      <c r="G13">
        <v>-99.653094260621913</v>
      </c>
      <c r="H13">
        <v>-86.336987182852283</v>
      </c>
      <c r="I13">
        <v>13.0275469136326</v>
      </c>
      <c r="J13">
        <v>7.5204355892988701</v>
      </c>
      <c r="K13">
        <v>2.4952875628095299</v>
      </c>
      <c r="L13">
        <v>2.8993287778891356E-5</v>
      </c>
      <c r="M13">
        <v>1.8012802502597862E-6</v>
      </c>
      <c r="N13" s="1">
        <v>-5.6928591274379897E-8</v>
      </c>
      <c r="O13" s="1">
        <v>2.3641839034199699E-11</v>
      </c>
      <c r="P13" s="1">
        <v>2.1538365741391301E-10</v>
      </c>
      <c r="Q13">
        <v>66.160318031694601</v>
      </c>
      <c r="S13">
        <v>19.056674832502001</v>
      </c>
      <c r="AA13">
        <v>0.28434611834849999</v>
      </c>
      <c r="AB13">
        <v>5.0591948259532797</v>
      </c>
      <c r="AC13">
        <v>9.4394661915014595</v>
      </c>
      <c r="AJ13">
        <v>0.442748092181591</v>
      </c>
      <c r="AK13">
        <v>1.37509717138087E-2</v>
      </c>
      <c r="AL13">
        <v>0.54350093610459904</v>
      </c>
    </row>
    <row r="14" spans="1:38" x14ac:dyDescent="0.2">
      <c r="A14">
        <v>50</v>
      </c>
      <c r="B14">
        <v>748</v>
      </c>
      <c r="C14">
        <v>225</v>
      </c>
      <c r="D14">
        <v>0.34974342652891699</v>
      </c>
      <c r="E14">
        <v>14.932791358349499</v>
      </c>
      <c r="F14">
        <v>2.5244042428204101</v>
      </c>
      <c r="G14">
        <v>-236.16978132883571</v>
      </c>
      <c r="H14">
        <v>-204.65702554988266</v>
      </c>
      <c r="I14">
        <v>30.8600653958311</v>
      </c>
      <c r="J14">
        <v>17.8278749794652</v>
      </c>
      <c r="K14">
        <v>5.9153724688981297</v>
      </c>
      <c r="L14">
        <v>2.8991267785330982E-5</v>
      </c>
      <c r="M14">
        <v>1.801074020978038E-6</v>
      </c>
      <c r="N14" s="1">
        <v>-1.3862425785730001E-7</v>
      </c>
      <c r="O14" s="1">
        <v>5.60289653838772E-11</v>
      </c>
      <c r="P14" s="1">
        <v>5.2104677414343605E-10</v>
      </c>
      <c r="Q14">
        <v>66.152016895427394</v>
      </c>
      <c r="S14">
        <v>19.051129723924301</v>
      </c>
      <c r="AA14">
        <v>0.28170830365863198</v>
      </c>
      <c r="AB14">
        <v>5.0261589658211303</v>
      </c>
      <c r="AC14">
        <v>9.4889861111684208</v>
      </c>
      <c r="AJ14">
        <v>0.439930658463838</v>
      </c>
      <c r="AK14">
        <v>1.3625688220817601E-2</v>
      </c>
      <c r="AL14">
        <v>0.54644365331534395</v>
      </c>
    </row>
    <row r="15" spans="1:38" x14ac:dyDescent="0.2">
      <c r="A15">
        <v>51</v>
      </c>
      <c r="B15">
        <v>747</v>
      </c>
      <c r="C15">
        <v>225</v>
      </c>
      <c r="D15">
        <v>0.34903739646130499</v>
      </c>
      <c r="E15">
        <v>27.104881625283198</v>
      </c>
      <c r="F15">
        <v>2.5243786888686701</v>
      </c>
      <c r="G15">
        <v>-428.56572186231597</v>
      </c>
      <c r="H15">
        <v>-371.4631636219591</v>
      </c>
      <c r="I15">
        <v>55.974668666722401</v>
      </c>
      <c r="J15">
        <v>32.361018774541897</v>
      </c>
      <c r="K15">
        <v>10.7372486326251</v>
      </c>
      <c r="L15">
        <v>2.8993389138947494E-5</v>
      </c>
      <c r="M15">
        <v>1.8009244895903104E-6</v>
      </c>
      <c r="N15" s="1">
        <v>-2.5875944299295101E-7</v>
      </c>
      <c r="O15" s="1">
        <v>1.01663886131941E-10</v>
      </c>
      <c r="P15" s="1">
        <v>9.6612175216141706E-10</v>
      </c>
      <c r="Q15">
        <v>66.145258624877897</v>
      </c>
      <c r="S15">
        <v>19.0459892512593</v>
      </c>
      <c r="AA15">
        <v>0.27904431111698003</v>
      </c>
      <c r="AB15">
        <v>4.9976221048671299</v>
      </c>
      <c r="AC15">
        <v>9.5320857078786005</v>
      </c>
      <c r="AJ15">
        <v>0.43749616190434898</v>
      </c>
      <c r="AK15">
        <v>1.34987886233713E-2</v>
      </c>
      <c r="AL15">
        <v>0.54900504947227902</v>
      </c>
    </row>
    <row r="16" spans="1:38" x14ac:dyDescent="0.2">
      <c r="A16">
        <v>52</v>
      </c>
      <c r="B16">
        <v>746</v>
      </c>
      <c r="C16">
        <v>225</v>
      </c>
      <c r="D16">
        <v>0.34832998086640898</v>
      </c>
      <c r="E16">
        <v>35.582581271366898</v>
      </c>
      <c r="F16">
        <v>2.5243652595956201</v>
      </c>
      <c r="G16">
        <v>-562.47760303135203</v>
      </c>
      <c r="H16">
        <v>-487.63985623998553</v>
      </c>
      <c r="I16">
        <v>73.431532935648804</v>
      </c>
      <c r="J16">
        <v>42.486206830038903</v>
      </c>
      <c r="K16">
        <v>14.095654793263501</v>
      </c>
      <c r="L16">
        <v>2.9001053612812299E-5</v>
      </c>
      <c r="M16">
        <v>1.8008513188486436E-6</v>
      </c>
      <c r="N16" s="1">
        <v>-3.4987047701644502E-7</v>
      </c>
      <c r="O16" s="1">
        <v>1.3340347213424401E-10</v>
      </c>
      <c r="P16" s="1">
        <v>1.29733922588154E-9</v>
      </c>
      <c r="Q16">
        <v>66.140622659213406</v>
      </c>
      <c r="S16">
        <v>19.041361058966299</v>
      </c>
      <c r="AA16">
        <v>0.276307744296513</v>
      </c>
      <c r="AB16">
        <v>4.9751576961521904</v>
      </c>
      <c r="AC16">
        <v>9.5665508413715195</v>
      </c>
      <c r="AJ16">
        <v>0.435579220384535</v>
      </c>
      <c r="AK16">
        <v>1.33679296069192E-2</v>
      </c>
      <c r="AL16">
        <v>0.55105285000854498</v>
      </c>
    </row>
    <row r="17" spans="1:38" x14ac:dyDescent="0.2">
      <c r="A17">
        <v>53</v>
      </c>
      <c r="B17">
        <v>745</v>
      </c>
      <c r="C17">
        <v>225</v>
      </c>
      <c r="D17">
        <v>0.347621175661739</v>
      </c>
      <c r="E17">
        <v>38.416373233301897</v>
      </c>
      <c r="F17">
        <v>2.52436260651394</v>
      </c>
      <c r="G17">
        <v>-607.1453013711681</v>
      </c>
      <c r="H17">
        <v>-526.48001343373994</v>
      </c>
      <c r="I17">
        <v>79.227312220623801</v>
      </c>
      <c r="J17">
        <v>45.875629764806902</v>
      </c>
      <c r="K17">
        <v>15.218246829584199</v>
      </c>
      <c r="L17">
        <v>2.901409898584667E-5</v>
      </c>
      <c r="M17">
        <v>1.8008504863880046E-6</v>
      </c>
      <c r="N17" s="1">
        <v>-3.8961578044369E-7</v>
      </c>
      <c r="O17" s="1">
        <v>1.4395271799750699E-10</v>
      </c>
      <c r="P17" s="1">
        <v>1.43457411372963E-9</v>
      </c>
      <c r="Q17">
        <v>66.138000442080894</v>
      </c>
      <c r="S17">
        <v>19.037204617832501</v>
      </c>
      <c r="AA17">
        <v>0.27349049632245398</v>
      </c>
      <c r="AB17">
        <v>4.9584175750636597</v>
      </c>
      <c r="AC17">
        <v>9.5928868687003899</v>
      </c>
      <c r="AJ17">
        <v>0.43415046936034302</v>
      </c>
      <c r="AK17">
        <v>1.32327530067159E-2</v>
      </c>
      <c r="AL17">
        <v>0.55261677763294004</v>
      </c>
    </row>
    <row r="18" spans="1:38" x14ac:dyDescent="0.2">
      <c r="A18">
        <v>58</v>
      </c>
      <c r="B18">
        <v>754</v>
      </c>
      <c r="C18">
        <v>200</v>
      </c>
      <c r="D18">
        <v>0.38072384753930699</v>
      </c>
      <c r="E18">
        <v>3.49553404519349</v>
      </c>
      <c r="F18">
        <v>2.5237476713293798</v>
      </c>
      <c r="G18">
        <v>-55.42815776674032</v>
      </c>
      <c r="H18">
        <v>-47.971805375685555</v>
      </c>
      <c r="I18">
        <v>7.2592633900158301</v>
      </c>
      <c r="J18">
        <v>4.1744334007769899</v>
      </c>
      <c r="K18">
        <v>1.3850568679681901</v>
      </c>
      <c r="L18">
        <v>2.9027420830055799E-5</v>
      </c>
      <c r="M18">
        <v>1.8045958529851127E-6</v>
      </c>
      <c r="N18" s="1">
        <v>-2.7386506225683499E-8</v>
      </c>
      <c r="O18" s="1">
        <v>1.3130737430838099E-11</v>
      </c>
      <c r="P18" s="1">
        <v>1.07492468880644E-10</v>
      </c>
      <c r="Q18">
        <v>66.218046857990103</v>
      </c>
      <c r="S18">
        <v>19.095966476505801</v>
      </c>
      <c r="AA18">
        <v>0.30329189455338201</v>
      </c>
      <c r="AB18">
        <v>5.2908485730747401</v>
      </c>
      <c r="AC18">
        <v>9.0918461978759009</v>
      </c>
      <c r="AJ18">
        <v>0.462478000215163</v>
      </c>
      <c r="AK18">
        <v>1.4649990423611901E-2</v>
      </c>
      <c r="AL18">
        <v>0.52287200936122402</v>
      </c>
    </row>
    <row r="19" spans="1:38" x14ac:dyDescent="0.2">
      <c r="A19">
        <v>59</v>
      </c>
      <c r="B19">
        <v>753</v>
      </c>
      <c r="C19">
        <v>200</v>
      </c>
      <c r="D19">
        <v>0.380052136627202</v>
      </c>
      <c r="E19">
        <v>13.048610846072499</v>
      </c>
      <c r="F19">
        <v>2.5236190409726</v>
      </c>
      <c r="G19">
        <v>-206.82104449913106</v>
      </c>
      <c r="H19">
        <v>-179.03911992207213</v>
      </c>
      <c r="I19">
        <v>27.073941019401499</v>
      </c>
      <c r="J19">
        <v>15.579273738814701</v>
      </c>
      <c r="K19">
        <v>5.1705945446677299</v>
      </c>
      <c r="L19">
        <v>2.8996111289482073E-5</v>
      </c>
      <c r="M19">
        <v>1.8039610211272747E-6</v>
      </c>
      <c r="N19" s="1">
        <v>-1.04101953544013E-7</v>
      </c>
      <c r="O19" s="1">
        <v>4.9023783203818397E-11</v>
      </c>
      <c r="P19" s="1">
        <v>4.0654261595508899E-10</v>
      </c>
      <c r="Q19">
        <v>66.198209869459106</v>
      </c>
      <c r="S19">
        <v>19.087022576048799</v>
      </c>
      <c r="AA19">
        <v>0.30054177518289898</v>
      </c>
      <c r="AB19">
        <v>5.223195309916</v>
      </c>
      <c r="AC19">
        <v>9.1910304693930591</v>
      </c>
      <c r="AJ19">
        <v>0.45672074107369898</v>
      </c>
      <c r="AK19">
        <v>1.4522122860654799E-2</v>
      </c>
      <c r="AL19">
        <v>0.52875713606564501</v>
      </c>
    </row>
    <row r="20" spans="1:38" x14ac:dyDescent="0.2">
      <c r="A20">
        <v>60</v>
      </c>
      <c r="B20">
        <v>752</v>
      </c>
      <c r="C20">
        <v>200</v>
      </c>
      <c r="D20">
        <v>0.37937911525142798</v>
      </c>
      <c r="E20">
        <v>19.0617506778501</v>
      </c>
      <c r="F20">
        <v>2.5235422014148998</v>
      </c>
      <c r="G20">
        <v>-302.02704372378923</v>
      </c>
      <c r="H20">
        <v>-261.51447218340894</v>
      </c>
      <c r="I20">
        <v>39.518676818397601</v>
      </c>
      <c r="J20">
        <v>22.756274632102201</v>
      </c>
      <c r="K20">
        <v>7.5535692120237199</v>
      </c>
      <c r="L20">
        <v>2.8981490408079061E-5</v>
      </c>
      <c r="M20">
        <v>1.8035850988698064E-6</v>
      </c>
      <c r="N20" s="1">
        <v>-1.5567740882025699E-7</v>
      </c>
      <c r="O20" s="1">
        <v>7.1609864228521799E-11</v>
      </c>
      <c r="P20" s="1">
        <v>6.0415009918493702E-10</v>
      </c>
      <c r="Q20">
        <v>66.185545397882194</v>
      </c>
      <c r="S20">
        <v>19.079995948629001</v>
      </c>
      <c r="AA20">
        <v>0.29769981692268099</v>
      </c>
      <c r="AB20">
        <v>5.1765519967437399</v>
      </c>
      <c r="AC20">
        <v>9.2602068398222599</v>
      </c>
      <c r="AJ20">
        <v>0.45274913025575803</v>
      </c>
      <c r="AK20">
        <v>1.43881978755316E-2</v>
      </c>
      <c r="AL20">
        <v>0.53286267186870895</v>
      </c>
    </row>
    <row r="21" spans="1:38" x14ac:dyDescent="0.2">
      <c r="A21">
        <v>61</v>
      </c>
      <c r="B21">
        <v>751</v>
      </c>
      <c r="C21">
        <v>200</v>
      </c>
      <c r="D21">
        <v>0.378704779573308</v>
      </c>
      <c r="E21">
        <v>33.658975504352597</v>
      </c>
      <c r="F21">
        <v>2.5234163774132399</v>
      </c>
      <c r="G21">
        <v>-533.07263424434177</v>
      </c>
      <c r="H21">
        <v>-461.67307358507003</v>
      </c>
      <c r="I21">
        <v>69.715921163180795</v>
      </c>
      <c r="J21">
        <v>40.171929251870303</v>
      </c>
      <c r="K21">
        <v>13.3386530283426</v>
      </c>
      <c r="L21">
        <v>2.8945431678245445E-5</v>
      </c>
      <c r="M21">
        <v>1.8028764047527223E-6</v>
      </c>
      <c r="N21" s="1">
        <v>-2.7944214305849399E-7</v>
      </c>
      <c r="O21" s="1">
        <v>1.2647348356302899E-10</v>
      </c>
      <c r="P21" s="1">
        <v>1.0795681275619201E-9</v>
      </c>
      <c r="Q21">
        <v>66.163210048031601</v>
      </c>
      <c r="S21">
        <v>19.0708209512545</v>
      </c>
      <c r="AA21">
        <v>0.29534199868810601</v>
      </c>
      <c r="AB21">
        <v>5.1027254187269397</v>
      </c>
      <c r="AC21">
        <v>9.3679015832987798</v>
      </c>
      <c r="AJ21">
        <v>0.44645904611980503</v>
      </c>
      <c r="AK21">
        <v>1.4279579795923101E-2</v>
      </c>
      <c r="AL21">
        <v>0.53926137408427099</v>
      </c>
    </row>
    <row r="22" spans="1:38" x14ac:dyDescent="0.2">
      <c r="A22">
        <v>62</v>
      </c>
      <c r="B22">
        <v>750</v>
      </c>
      <c r="C22">
        <v>200</v>
      </c>
      <c r="D22">
        <v>0.37802912573913899</v>
      </c>
      <c r="E22">
        <v>38.098271916159398</v>
      </c>
      <c r="F22">
        <v>2.5233758856167601</v>
      </c>
      <c r="G22">
        <v>-603.20996449358972</v>
      </c>
      <c r="H22">
        <v>-522.53190500452263</v>
      </c>
      <c r="I22">
        <v>78.852621305836905</v>
      </c>
      <c r="J22">
        <v>45.469595439448803</v>
      </c>
      <c r="K22">
        <v>15.0981358478217</v>
      </c>
      <c r="L22">
        <v>2.8941946548111653E-5</v>
      </c>
      <c r="M22">
        <v>1.8026669030899183E-6</v>
      </c>
      <c r="N22" s="1">
        <v>-3.2489567366063999E-7</v>
      </c>
      <c r="O22" s="1">
        <v>1.43119977125609E-10</v>
      </c>
      <c r="P22" s="1">
        <v>1.24650688135685E-9</v>
      </c>
      <c r="Q22">
        <v>66.155034150332995</v>
      </c>
      <c r="S22">
        <v>19.0651081019146</v>
      </c>
      <c r="AA22">
        <v>0.292536573444107</v>
      </c>
      <c r="AB22">
        <v>5.06952889181429</v>
      </c>
      <c r="AC22">
        <v>9.4177922824938491</v>
      </c>
      <c r="AJ22">
        <v>0.44362915852486501</v>
      </c>
      <c r="AK22">
        <v>1.41463188080023E-2</v>
      </c>
      <c r="AL22">
        <v>0.54222452266713195</v>
      </c>
    </row>
    <row r="23" spans="1:38" x14ac:dyDescent="0.2">
      <c r="A23">
        <v>63</v>
      </c>
      <c r="B23">
        <v>749</v>
      </c>
      <c r="C23">
        <v>200</v>
      </c>
      <c r="D23">
        <v>0.37735214988015597</v>
      </c>
      <c r="E23">
        <v>39.6812826706972</v>
      </c>
      <c r="F23">
        <v>2.5233617955128702</v>
      </c>
      <c r="G23">
        <v>-628.13179610175462</v>
      </c>
      <c r="H23">
        <v>-544.24006566228104</v>
      </c>
      <c r="I23">
        <v>82.073795861149094</v>
      </c>
      <c r="J23">
        <v>47.362345629498101</v>
      </c>
      <c r="K23">
        <v>15.725562121634599</v>
      </c>
      <c r="L23">
        <v>2.8949351391794162E-5</v>
      </c>
      <c r="M23">
        <v>1.8026177070962203E-6</v>
      </c>
      <c r="N23" s="1">
        <v>-3.4875643928330601E-7</v>
      </c>
      <c r="O23" s="1">
        <v>1.4900800554525899E-10</v>
      </c>
      <c r="P23" s="1">
        <v>1.3279599877583701E-9</v>
      </c>
      <c r="Q23">
        <v>66.151383595942505</v>
      </c>
      <c r="S23">
        <v>19.060505543965199</v>
      </c>
      <c r="AA23">
        <v>0.28959122297010598</v>
      </c>
      <c r="AB23">
        <v>5.0493276230520303</v>
      </c>
      <c r="AC23">
        <v>9.4491920140701104</v>
      </c>
      <c r="AJ23">
        <v>0.44190661708729101</v>
      </c>
      <c r="AK23">
        <v>1.40053233281267E-2</v>
      </c>
      <c r="AL23">
        <v>0.54408805958458095</v>
      </c>
    </row>
    <row r="24" spans="1:38" x14ac:dyDescent="0.2">
      <c r="A24">
        <v>72</v>
      </c>
      <c r="B24">
        <v>759</v>
      </c>
      <c r="C24">
        <v>175</v>
      </c>
      <c r="D24">
        <v>0.41070629269001901</v>
      </c>
      <c r="E24">
        <v>9.0599672303817709</v>
      </c>
      <c r="F24">
        <v>2.5230501992837699</v>
      </c>
      <c r="G24">
        <v>-143.96931230086753</v>
      </c>
      <c r="H24">
        <v>-124.47424453062634</v>
      </c>
      <c r="I24">
        <v>18.887824221519299</v>
      </c>
      <c r="J24">
        <v>10.821020950153301</v>
      </c>
      <c r="K24">
        <v>3.5908787042579</v>
      </c>
      <c r="L24">
        <v>2.9034731759960599E-5</v>
      </c>
      <c r="M24">
        <v>1.8073252100569983E-6</v>
      </c>
      <c r="N24" s="1">
        <v>-6.0764149849335896E-8</v>
      </c>
      <c r="O24" s="1">
        <v>3.4065516547695801E-11</v>
      </c>
      <c r="P24" s="1">
        <v>2.49183517658131E-10</v>
      </c>
      <c r="Q24">
        <v>66.255904425385296</v>
      </c>
      <c r="S24">
        <v>19.133968467962902</v>
      </c>
      <c r="AA24">
        <v>0.32581038080918301</v>
      </c>
      <c r="AB24">
        <v>5.4748392933739298</v>
      </c>
      <c r="AC24">
        <v>8.8094774324686096</v>
      </c>
      <c r="AJ24">
        <v>0.47811544014266899</v>
      </c>
      <c r="AK24">
        <v>1.5723061065891601E-2</v>
      </c>
      <c r="AL24">
        <v>0.50616149879143801</v>
      </c>
    </row>
    <row r="25" spans="1:38" x14ac:dyDescent="0.2">
      <c r="A25">
        <v>73</v>
      </c>
      <c r="B25">
        <v>758</v>
      </c>
      <c r="C25">
        <v>175</v>
      </c>
      <c r="D25">
        <v>0.41006691557969399</v>
      </c>
      <c r="E25">
        <v>16.312133141725401</v>
      </c>
      <c r="F25">
        <v>2.5228613925631902</v>
      </c>
      <c r="G25">
        <v>-259.08566249498421</v>
      </c>
      <c r="H25">
        <v>-224.05285044198976</v>
      </c>
      <c r="I25">
        <v>33.974506185321601</v>
      </c>
      <c r="J25">
        <v>19.476612897184999</v>
      </c>
      <c r="K25">
        <v>6.4657270469990404</v>
      </c>
      <c r="L25">
        <v>2.8992908461473013E-5</v>
      </c>
      <c r="M25">
        <v>1.8065407380845429E-6</v>
      </c>
      <c r="N25" s="1">
        <v>-1.11054495222396E-7</v>
      </c>
      <c r="O25" s="1">
        <v>6.1354472681227899E-11</v>
      </c>
      <c r="P25" s="1">
        <v>4.5328541724223501E-10</v>
      </c>
      <c r="Q25">
        <v>66.232716960977001</v>
      </c>
      <c r="S25">
        <v>19.123084961275499</v>
      </c>
      <c r="AA25">
        <v>0.32224185418069101</v>
      </c>
      <c r="AB25">
        <v>5.39463474446889</v>
      </c>
      <c r="AC25">
        <v>8.9273214790978095</v>
      </c>
      <c r="AJ25">
        <v>0.47130234112478198</v>
      </c>
      <c r="AK25">
        <v>1.5557158987666899E-2</v>
      </c>
      <c r="AL25">
        <v>0.51314049988754995</v>
      </c>
    </row>
    <row r="26" spans="1:38" x14ac:dyDescent="0.2">
      <c r="A26">
        <v>74</v>
      </c>
      <c r="B26">
        <v>757</v>
      </c>
      <c r="C26">
        <v>175</v>
      </c>
      <c r="D26">
        <v>0.40942629714119499</v>
      </c>
      <c r="E26">
        <v>29.4100275376701</v>
      </c>
      <c r="F26">
        <v>2.5225998221313799</v>
      </c>
      <c r="G26">
        <v>-466.82057546161832</v>
      </c>
      <c r="H26">
        <v>-403.79095819283418</v>
      </c>
      <c r="I26">
        <v>61.184892752302098</v>
      </c>
      <c r="J26">
        <v>35.096680545781503</v>
      </c>
      <c r="K26">
        <v>11.6586179383859</v>
      </c>
      <c r="L26">
        <v>2.8923199479407155E-5</v>
      </c>
      <c r="M26">
        <v>1.8053149495538581E-6</v>
      </c>
      <c r="N26" s="1">
        <v>-2.0130112734326499E-7</v>
      </c>
      <c r="O26" s="1">
        <v>1.10696609793771E-10</v>
      </c>
      <c r="P26" s="1">
        <v>8.1999489193609196E-10</v>
      </c>
      <c r="Q26">
        <v>66.196808415989494</v>
      </c>
      <c r="S26">
        <v>19.1091238303365</v>
      </c>
      <c r="AA26">
        <v>0.31910254627699097</v>
      </c>
      <c r="AB26">
        <v>5.2780135574761804</v>
      </c>
      <c r="AC26">
        <v>9.0969516499206708</v>
      </c>
      <c r="AJ26">
        <v>0.46138588506369799</v>
      </c>
      <c r="AK26">
        <v>1.54146923992494E-2</v>
      </c>
      <c r="AL26">
        <v>0.52319942253705098</v>
      </c>
    </row>
    <row r="27" spans="1:38" x14ac:dyDescent="0.2">
      <c r="A27">
        <v>75</v>
      </c>
      <c r="B27">
        <v>756</v>
      </c>
      <c r="C27">
        <v>175</v>
      </c>
      <c r="D27">
        <v>0.40878443375601398</v>
      </c>
      <c r="E27">
        <v>36.167695349576903</v>
      </c>
      <c r="F27">
        <v>2.52247170696476</v>
      </c>
      <c r="G27">
        <v>-573.84123893926517</v>
      </c>
      <c r="H27">
        <v>-496.4732968636917</v>
      </c>
      <c r="I27">
        <v>75.176545766480501</v>
      </c>
      <c r="J27">
        <v>43.150726196174503</v>
      </c>
      <c r="K27">
        <v>14.338196638525099</v>
      </c>
      <c r="L27">
        <v>2.8892027175880812E-5</v>
      </c>
      <c r="M27">
        <v>1.8047055733750294E-6</v>
      </c>
      <c r="N27" s="1">
        <v>-2.5213796191627699E-7</v>
      </c>
      <c r="O27" s="1">
        <v>1.3615694222483201E-10</v>
      </c>
      <c r="P27" s="1">
        <v>1.0213903040452801E-9</v>
      </c>
      <c r="Q27">
        <v>66.177896382365503</v>
      </c>
      <c r="S27">
        <v>19.100046797296699</v>
      </c>
      <c r="AA27">
        <v>0.31602676557985898</v>
      </c>
      <c r="AB27">
        <v>5.2120724823589502</v>
      </c>
      <c r="AC27">
        <v>9.1939575723989506</v>
      </c>
      <c r="AJ27">
        <v>0.455773657600613</v>
      </c>
      <c r="AK27">
        <v>1.5271209341323E-2</v>
      </c>
      <c r="AL27">
        <v>0.52895513305806396</v>
      </c>
    </row>
    <row r="28" spans="1:38" x14ac:dyDescent="0.2">
      <c r="A28">
        <v>76</v>
      </c>
      <c r="B28">
        <v>755</v>
      </c>
      <c r="C28">
        <v>175</v>
      </c>
      <c r="D28">
        <v>0.40814132179156798</v>
      </c>
      <c r="E28">
        <v>39.23428643482</v>
      </c>
      <c r="F28">
        <v>2.5224113180174998</v>
      </c>
      <c r="G28">
        <v>-622.30819545450981</v>
      </c>
      <c r="H28">
        <v>-538.5250419689504</v>
      </c>
      <c r="I28">
        <v>81.489231615580806</v>
      </c>
      <c r="J28">
        <v>46.806171211402102</v>
      </c>
      <c r="K28">
        <v>15.5542778271611</v>
      </c>
      <c r="L28">
        <v>2.8882643778989989E-5</v>
      </c>
      <c r="M28">
        <v>1.804438081159408E-6</v>
      </c>
      <c r="N28" s="1">
        <v>-2.8064268387358499E-7</v>
      </c>
      <c r="O28" s="1">
        <v>1.4768520065560201E-10</v>
      </c>
      <c r="P28" s="1">
        <v>1.1284024059339701E-9</v>
      </c>
      <c r="Q28">
        <v>66.168530636014395</v>
      </c>
      <c r="S28">
        <v>19.0936076898214</v>
      </c>
      <c r="AA28">
        <v>0.31289980485461799</v>
      </c>
      <c r="AB28">
        <v>5.1743204613994402</v>
      </c>
      <c r="AC28">
        <v>9.2506414079100008</v>
      </c>
      <c r="AJ28">
        <v>0.45255891940531001</v>
      </c>
      <c r="AK28">
        <v>1.5122997799956401E-2</v>
      </c>
      <c r="AL28">
        <v>0.53231808279473203</v>
      </c>
    </row>
    <row r="29" spans="1:38" x14ac:dyDescent="0.2">
      <c r="A29">
        <v>77</v>
      </c>
      <c r="B29">
        <v>754</v>
      </c>
      <c r="C29">
        <v>175</v>
      </c>
      <c r="D29">
        <v>0.40749695760112897</v>
      </c>
      <c r="E29">
        <v>40.541229714079797</v>
      </c>
      <c r="F29">
        <v>2.5223833760746102</v>
      </c>
      <c r="G29">
        <v>-642.88284468335735</v>
      </c>
      <c r="H29">
        <v>-556.45206344692144</v>
      </c>
      <c r="I29">
        <v>84.146211591720899</v>
      </c>
      <c r="J29">
        <v>48.3662901447331</v>
      </c>
      <c r="K29">
        <v>16.0725883696438</v>
      </c>
      <c r="L29">
        <v>2.8884514747269203E-5</v>
      </c>
      <c r="M29">
        <v>1.8043422850302251E-6</v>
      </c>
      <c r="N29" s="1">
        <v>-2.9865013742739103E-7</v>
      </c>
      <c r="O29" s="1">
        <v>1.5256410401326201E-10</v>
      </c>
      <c r="P29" s="1">
        <v>1.19086315053031E-9</v>
      </c>
      <c r="Q29">
        <v>66.163964929806895</v>
      </c>
      <c r="S29">
        <v>19.0884780347725</v>
      </c>
      <c r="AA29">
        <v>0.30973313204216901</v>
      </c>
      <c r="AB29">
        <v>5.1506979723081603</v>
      </c>
      <c r="AC29">
        <v>9.2871259310701006</v>
      </c>
      <c r="AJ29">
        <v>0.45054675489859303</v>
      </c>
      <c r="AK29">
        <v>1.49717386067126E-2</v>
      </c>
      <c r="AL29">
        <v>0.53448150649469395</v>
      </c>
    </row>
    <row r="30" spans="1:38" x14ac:dyDescent="0.2">
      <c r="A30">
        <v>89</v>
      </c>
      <c r="B30">
        <v>766</v>
      </c>
      <c r="C30">
        <v>150</v>
      </c>
      <c r="D30">
        <v>0.44161141317423203</v>
      </c>
      <c r="E30">
        <v>6.8192372065354201</v>
      </c>
      <c r="F30">
        <v>2.5227540191356002</v>
      </c>
      <c r="G30">
        <v>-108.67599938463385</v>
      </c>
      <c r="H30">
        <v>-93.822608690117633</v>
      </c>
      <c r="I30">
        <v>14.293788860622801</v>
      </c>
      <c r="J30">
        <v>8.1498345039842608</v>
      </c>
      <c r="K30">
        <v>2.70309239617105</v>
      </c>
      <c r="L30">
        <v>2.909800624410212E-5</v>
      </c>
      <c r="M30">
        <v>1.8109566781000588E-6</v>
      </c>
      <c r="N30" s="1">
        <v>-3.74243260979365E-8</v>
      </c>
      <c r="O30" s="1">
        <v>2.56470428243528E-11</v>
      </c>
      <c r="P30" s="1">
        <v>1.6355919459178801E-10</v>
      </c>
      <c r="Q30">
        <v>66.316471532754093</v>
      </c>
      <c r="S30">
        <v>19.193598304167299</v>
      </c>
      <c r="AA30">
        <v>0.36087309973943799</v>
      </c>
      <c r="AB30">
        <v>5.7661372126841304</v>
      </c>
      <c r="AC30">
        <v>8.3629198506549507</v>
      </c>
      <c r="AJ30">
        <v>0.50281353568498099</v>
      </c>
      <c r="AK30">
        <v>1.7389507727189502E-2</v>
      </c>
      <c r="AL30">
        <v>0.47979695658782801</v>
      </c>
    </row>
    <row r="31" spans="1:38" x14ac:dyDescent="0.2">
      <c r="A31">
        <v>90</v>
      </c>
      <c r="B31">
        <v>765</v>
      </c>
      <c r="C31">
        <v>150</v>
      </c>
      <c r="D31">
        <v>0.44100611664981298</v>
      </c>
      <c r="E31">
        <v>14.629003097158501</v>
      </c>
      <c r="F31">
        <v>2.5223952746217999</v>
      </c>
      <c r="G31">
        <v>-232.98599785720705</v>
      </c>
      <c r="H31">
        <v>-201.18754359187096</v>
      </c>
      <c r="I31">
        <v>30.629922713804401</v>
      </c>
      <c r="J31">
        <v>17.4740620296004</v>
      </c>
      <c r="K31">
        <v>5.7996473607222203</v>
      </c>
      <c r="L31">
        <v>2.9028375452260685E-5</v>
      </c>
      <c r="M31">
        <v>1.8097322753522686E-6</v>
      </c>
      <c r="N31" s="1">
        <v>-8.07279095543066E-8</v>
      </c>
      <c r="O31" s="1">
        <v>5.5061861323585E-11</v>
      </c>
      <c r="P31" s="1">
        <v>3.5201828504560702E-10</v>
      </c>
      <c r="Q31">
        <v>66.282968834410994</v>
      </c>
      <c r="S31">
        <v>19.1771729116168</v>
      </c>
      <c r="AA31">
        <v>0.35513937934982098</v>
      </c>
      <c r="AB31">
        <v>5.6484169437517204</v>
      </c>
      <c r="AC31">
        <v>8.5363019308705397</v>
      </c>
      <c r="AJ31">
        <v>0.49284112489933102</v>
      </c>
      <c r="AK31">
        <v>1.7123392622893901E-2</v>
      </c>
      <c r="AL31">
        <v>0.49003548247777401</v>
      </c>
    </row>
    <row r="32" spans="1:38" x14ac:dyDescent="0.2">
      <c r="A32">
        <v>91</v>
      </c>
      <c r="B32">
        <v>764</v>
      </c>
      <c r="C32">
        <v>150</v>
      </c>
      <c r="D32">
        <v>0.44039965289495597</v>
      </c>
      <c r="E32">
        <v>25.850856959219399</v>
      </c>
      <c r="F32">
        <v>2.5219752540407199</v>
      </c>
      <c r="G32">
        <v>-411.38540502589848</v>
      </c>
      <c r="H32">
        <v>-355.3197648853556</v>
      </c>
      <c r="I32">
        <v>54.057407453640003</v>
      </c>
      <c r="J32">
        <v>30.856214434012301</v>
      </c>
      <c r="K32">
        <v>10.250242113914901</v>
      </c>
      <c r="L32">
        <v>2.8935334070136869E-5</v>
      </c>
      <c r="M32">
        <v>1.8081290991316684E-6</v>
      </c>
      <c r="N32" s="1">
        <v>-1.42178751068655E-7</v>
      </c>
      <c r="O32" s="1">
        <v>9.7403270389901697E-11</v>
      </c>
      <c r="P32" s="1">
        <v>6.2033489170112002E-10</v>
      </c>
      <c r="Q32">
        <v>66.238428602643594</v>
      </c>
      <c r="S32">
        <v>19.158084569969699</v>
      </c>
      <c r="AA32">
        <v>0.34978415622088399</v>
      </c>
      <c r="AB32">
        <v>5.4991188561283</v>
      </c>
      <c r="AC32">
        <v>8.7545838150373996</v>
      </c>
      <c r="AJ32">
        <v>0.48017657550189002</v>
      </c>
      <c r="AK32">
        <v>1.6877914701685801E-2</v>
      </c>
      <c r="AL32">
        <v>0.50294550979642405</v>
      </c>
    </row>
    <row r="33" spans="1:38" x14ac:dyDescent="0.2">
      <c r="A33">
        <v>92</v>
      </c>
      <c r="B33">
        <v>763</v>
      </c>
      <c r="C33">
        <v>150</v>
      </c>
      <c r="D33">
        <v>0.43979201853014099</v>
      </c>
      <c r="E33">
        <v>33.767117223216999</v>
      </c>
      <c r="F33">
        <v>2.52170666088118</v>
      </c>
      <c r="G33">
        <v>-537.04153275232704</v>
      </c>
      <c r="H33">
        <v>-463.95606959873055</v>
      </c>
      <c r="I33">
        <v>70.535601171255607</v>
      </c>
      <c r="J33">
        <v>40.285865216664398</v>
      </c>
      <c r="K33">
        <v>13.3905809692462</v>
      </c>
      <c r="L33">
        <v>2.8873386937547622E-5</v>
      </c>
      <c r="M33">
        <v>1.8070427737213949E-6</v>
      </c>
      <c r="N33" s="1">
        <v>-1.87131947835362E-7</v>
      </c>
      <c r="O33" s="1">
        <v>1.2731280716948801E-10</v>
      </c>
      <c r="P33" s="1">
        <v>8.1409047326645699E-10</v>
      </c>
      <c r="Q33">
        <v>66.207305620651894</v>
      </c>
      <c r="S33">
        <v>19.144015379104601</v>
      </c>
      <c r="AA33">
        <v>0.34543905206960501</v>
      </c>
      <c r="AB33">
        <v>5.3928787465350201</v>
      </c>
      <c r="AC33">
        <v>8.9103612016387608</v>
      </c>
      <c r="AJ33">
        <v>0.471152873738375</v>
      </c>
      <c r="AK33">
        <v>1.6677210567575901E-2</v>
      </c>
      <c r="AL33">
        <v>0.51216991569404802</v>
      </c>
    </row>
    <row r="34" spans="1:38" x14ac:dyDescent="0.2">
      <c r="A34">
        <v>93</v>
      </c>
      <c r="B34">
        <v>762</v>
      </c>
      <c r="C34">
        <v>150</v>
      </c>
      <c r="D34">
        <v>0.439183210162781</v>
      </c>
      <c r="E34">
        <v>38.503047368832299</v>
      </c>
      <c r="F34">
        <v>2.5215508759676402</v>
      </c>
      <c r="G34">
        <v>-612.09572094784357</v>
      </c>
      <c r="H34">
        <v>-528.914732563602</v>
      </c>
      <c r="I34">
        <v>80.3564588554718</v>
      </c>
      <c r="J34">
        <v>45.923584828577802</v>
      </c>
      <c r="K34">
        <v>15.269589733761199</v>
      </c>
      <c r="L34">
        <v>2.8838856898220729E-5</v>
      </c>
      <c r="M34">
        <v>1.806405204009044E-6</v>
      </c>
      <c r="N34" s="1">
        <v>-2.1716053668555801E-7</v>
      </c>
      <c r="O34" s="1">
        <v>1.45208941836054E-10</v>
      </c>
      <c r="P34" s="1">
        <v>9.3901217431742391E-10</v>
      </c>
      <c r="Q34">
        <v>66.188271162712397</v>
      </c>
      <c r="S34">
        <v>19.133987965343401</v>
      </c>
      <c r="AA34">
        <v>0.34160776358658301</v>
      </c>
      <c r="AB34">
        <v>5.3241733087760998</v>
      </c>
      <c r="AC34">
        <v>9.0119597995813496</v>
      </c>
      <c r="AJ34">
        <v>0.465312093779914</v>
      </c>
      <c r="AK34">
        <v>1.6497976433696399E-2</v>
      </c>
      <c r="AL34">
        <v>0.518189929786389</v>
      </c>
    </row>
    <row r="35" spans="1:38" x14ac:dyDescent="0.2">
      <c r="A35">
        <v>94</v>
      </c>
      <c r="B35">
        <v>761</v>
      </c>
      <c r="C35">
        <v>150</v>
      </c>
      <c r="D35">
        <v>0.43857322438717999</v>
      </c>
      <c r="E35">
        <v>40.554784249902902</v>
      </c>
      <c r="F35">
        <v>2.5214780495544198</v>
      </c>
      <c r="G35">
        <v>-644.51741699914169</v>
      </c>
      <c r="H35">
        <v>-557.05369803657595</v>
      </c>
      <c r="I35">
        <v>84.575466772291904</v>
      </c>
      <c r="J35">
        <v>48.366134189839002</v>
      </c>
      <c r="K35">
        <v>16.083734798750001</v>
      </c>
      <c r="L35">
        <v>2.8827278653716567E-5</v>
      </c>
      <c r="M35">
        <v>1.8061373954647928E-6</v>
      </c>
      <c r="N35" s="1">
        <v>-2.3475589721653001E-7</v>
      </c>
      <c r="O35" s="1">
        <v>1.52942162349808E-10</v>
      </c>
      <c r="P35" s="1">
        <v>1.00638245863889E-9</v>
      </c>
      <c r="Q35">
        <v>66.179416171507</v>
      </c>
      <c r="S35">
        <v>19.127127586065399</v>
      </c>
      <c r="AA35">
        <v>0.33801407157980401</v>
      </c>
      <c r="AB35">
        <v>5.2864550594729902</v>
      </c>
      <c r="AC35">
        <v>9.0689871113746801</v>
      </c>
      <c r="AJ35">
        <v>0.46210388153607601</v>
      </c>
      <c r="AK35">
        <v>1.63275357227665E-2</v>
      </c>
      <c r="AL35">
        <v>0.52156858274115703</v>
      </c>
    </row>
    <row r="36" spans="1:38" x14ac:dyDescent="0.2">
      <c r="A36">
        <v>111</v>
      </c>
      <c r="B36">
        <v>775</v>
      </c>
      <c r="C36">
        <v>125</v>
      </c>
      <c r="D36">
        <v>0.473243810523307</v>
      </c>
      <c r="E36">
        <v>4.0920235982434097</v>
      </c>
      <c r="F36">
        <v>2.52306799251462</v>
      </c>
      <c r="G36">
        <v>-65.449466540343238</v>
      </c>
      <c r="H36">
        <v>-56.39749205928274</v>
      </c>
      <c r="I36">
        <v>8.6361441406864508</v>
      </c>
      <c r="J36">
        <v>4.8960365549657201</v>
      </c>
      <c r="K36">
        <v>1.6218443618576699</v>
      </c>
      <c r="L36">
        <v>2.921298840767238E-5</v>
      </c>
      <c r="M36">
        <v>1.8152479029360734E-6</v>
      </c>
      <c r="N36" s="1">
        <v>-1.7441178607145502E-8</v>
      </c>
      <c r="O36" s="1">
        <v>1.5378800824338001E-11</v>
      </c>
      <c r="P36" s="1">
        <v>8.3594427978215904E-11</v>
      </c>
      <c r="Q36">
        <v>66.385708133051097</v>
      </c>
      <c r="S36">
        <v>19.282047257265098</v>
      </c>
      <c r="AA36">
        <v>0.41768897753561401</v>
      </c>
      <c r="AB36">
        <v>6.1523076938221202</v>
      </c>
      <c r="AC36">
        <v>7.76224793832594</v>
      </c>
      <c r="AJ36">
        <v>0.53544360104600697</v>
      </c>
      <c r="AK36">
        <v>2.00881290759292E-2</v>
      </c>
      <c r="AL36">
        <v>0.44446826987806298</v>
      </c>
    </row>
    <row r="37" spans="1:38" x14ac:dyDescent="0.2">
      <c r="A37">
        <v>112</v>
      </c>
      <c r="B37">
        <v>774</v>
      </c>
      <c r="C37">
        <v>125</v>
      </c>
      <c r="D37">
        <v>0.47267392446163797</v>
      </c>
      <c r="E37">
        <v>12.634189088946201</v>
      </c>
      <c r="F37">
        <v>2.52239130165295</v>
      </c>
      <c r="G37">
        <v>-201.89655530983541</v>
      </c>
      <c r="H37">
        <v>-174.01148896310625</v>
      </c>
      <c r="I37">
        <v>26.629486078144598</v>
      </c>
      <c r="J37">
        <v>15.104298916452199</v>
      </c>
      <c r="K37">
        <v>5.0088140887049999</v>
      </c>
      <c r="L37">
        <v>2.9108135363328114E-5</v>
      </c>
      <c r="M37">
        <v>1.8134512663153856E-6</v>
      </c>
      <c r="N37" s="1">
        <v>-5.3415122538909603E-8</v>
      </c>
      <c r="O37" s="1">
        <v>4.7547104621974701E-11</v>
      </c>
      <c r="P37" s="1">
        <v>2.5668107935027702E-10</v>
      </c>
      <c r="Q37">
        <v>66.341001490603603</v>
      </c>
      <c r="S37">
        <v>19.255191849636802</v>
      </c>
      <c r="AA37">
        <v>0.40596467510107198</v>
      </c>
      <c r="AB37">
        <v>5.9822763956634999</v>
      </c>
      <c r="AC37">
        <v>8.0155655889949102</v>
      </c>
      <c r="AJ37">
        <v>0.52109206357966897</v>
      </c>
      <c r="AK37">
        <v>1.9541010571350399E-2</v>
      </c>
      <c r="AL37">
        <v>0.45936692584897898</v>
      </c>
    </row>
    <row r="38" spans="1:38" x14ac:dyDescent="0.2">
      <c r="A38">
        <v>113</v>
      </c>
      <c r="B38">
        <v>773</v>
      </c>
      <c r="C38">
        <v>125</v>
      </c>
      <c r="D38">
        <v>0.472102948907902</v>
      </c>
      <c r="E38">
        <v>18.510956571442801</v>
      </c>
      <c r="F38">
        <v>2.52195177256699</v>
      </c>
      <c r="G38">
        <v>-295.60988429554857</v>
      </c>
      <c r="H38">
        <v>-254.83790602984479</v>
      </c>
      <c r="I38">
        <v>38.973357803091098</v>
      </c>
      <c r="J38">
        <v>22.117662167733702</v>
      </c>
      <c r="K38">
        <v>7.3399328142588702</v>
      </c>
      <c r="L38">
        <v>2.9036923096816719E-5</v>
      </c>
      <c r="M38">
        <v>1.8122213216788037E-6</v>
      </c>
      <c r="N38" s="1">
        <v>-7.8603191056367499E-8</v>
      </c>
      <c r="O38" s="1">
        <v>6.9724185910451901E-11</v>
      </c>
      <c r="P38" s="1">
        <v>3.7692345974796901E-10</v>
      </c>
      <c r="Q38">
        <v>66.309333912596799</v>
      </c>
      <c r="S38">
        <v>19.236031780465499</v>
      </c>
      <c r="AA38">
        <v>0.39754661825565901</v>
      </c>
      <c r="AB38">
        <v>5.8614762837116201</v>
      </c>
      <c r="AC38">
        <v>8.1956114049702808</v>
      </c>
      <c r="AJ38">
        <v>0.51088093254776601</v>
      </c>
      <c r="AK38">
        <v>1.9147476078859499E-2</v>
      </c>
      <c r="AL38">
        <v>0.46997159137337302</v>
      </c>
    </row>
    <row r="39" spans="1:38" x14ac:dyDescent="0.2">
      <c r="A39">
        <v>114</v>
      </c>
      <c r="B39">
        <v>772</v>
      </c>
      <c r="C39">
        <v>125</v>
      </c>
      <c r="D39">
        <v>0.47153088073482102</v>
      </c>
      <c r="E39">
        <v>31.148687276665001</v>
      </c>
      <c r="F39">
        <v>2.5212147366723099</v>
      </c>
      <c r="G39">
        <v>-496.87652089695217</v>
      </c>
      <c r="H39">
        <v>-428.44295056568768</v>
      </c>
      <c r="I39">
        <v>65.477271522044205</v>
      </c>
      <c r="J39">
        <v>37.176931106325597</v>
      </c>
      <c r="K39">
        <v>12.3546347812393</v>
      </c>
      <c r="L39">
        <v>2.889455083448888E-5</v>
      </c>
      <c r="M39">
        <v>1.8097991100164284E-6</v>
      </c>
      <c r="N39" s="1">
        <v>-1.2902219472934901E-7</v>
      </c>
      <c r="O39" s="1">
        <v>1.1753690708000999E-10</v>
      </c>
      <c r="P39" s="1">
        <v>6.2429338195241496E-10</v>
      </c>
      <c r="Q39">
        <v>66.245193588439093</v>
      </c>
      <c r="S39">
        <v>19.205855062597099</v>
      </c>
      <c r="AA39">
        <v>0.38761678481712902</v>
      </c>
      <c r="AB39">
        <v>5.6394308212599498</v>
      </c>
      <c r="AC39">
        <v>8.5219037428866091</v>
      </c>
      <c r="AJ39">
        <v>0.49207904478292303</v>
      </c>
      <c r="AK39">
        <v>1.86901575633544E-2</v>
      </c>
      <c r="AL39">
        <v>0.48923079765372202</v>
      </c>
    </row>
    <row r="40" spans="1:38" x14ac:dyDescent="0.2">
      <c r="A40">
        <v>115</v>
      </c>
      <c r="B40">
        <v>771</v>
      </c>
      <c r="C40">
        <v>125</v>
      </c>
      <c r="D40">
        <v>0.47095771680314102</v>
      </c>
      <c r="E40">
        <v>36.274900642296799</v>
      </c>
      <c r="F40">
        <v>2.52092687198444</v>
      </c>
      <c r="G40">
        <v>-578.31970044105992</v>
      </c>
      <c r="H40">
        <v>-498.78112849137284</v>
      </c>
      <c r="I40">
        <v>76.175426854079404</v>
      </c>
      <c r="J40">
        <v>43.275873386545697</v>
      </c>
      <c r="K40">
        <v>14.3895092893915</v>
      </c>
      <c r="L40">
        <v>2.8838180516767049E-5</v>
      </c>
      <c r="M40">
        <v>1.8088254139791118E-6</v>
      </c>
      <c r="N40" s="1">
        <v>-1.51672596923996E-7</v>
      </c>
      <c r="O40" s="1">
        <v>1.3696632372909201E-10</v>
      </c>
      <c r="P40" s="1">
        <v>7.3092707598593402E-10</v>
      </c>
      <c r="Q40">
        <v>66.218334766215705</v>
      </c>
      <c r="S40">
        <v>19.191187327249001</v>
      </c>
      <c r="AA40">
        <v>0.38178289195161502</v>
      </c>
      <c r="AB40">
        <v>5.5411240008970699</v>
      </c>
      <c r="AC40">
        <v>8.6675710136864499</v>
      </c>
      <c r="AJ40">
        <v>0.48374136761356601</v>
      </c>
      <c r="AK40">
        <v>1.8418006111157501E-2</v>
      </c>
      <c r="AL40">
        <v>0.49784062627527598</v>
      </c>
    </row>
    <row r="41" spans="1:38" x14ac:dyDescent="0.2">
      <c r="A41">
        <v>116</v>
      </c>
      <c r="B41">
        <v>770</v>
      </c>
      <c r="C41">
        <v>125</v>
      </c>
      <c r="D41">
        <v>0.47038345396155901</v>
      </c>
      <c r="E41">
        <v>40.078208282480297</v>
      </c>
      <c r="F41">
        <v>2.5207214874234398</v>
      </c>
      <c r="G41">
        <v>-638.65386031048479</v>
      </c>
      <c r="H41">
        <v>-550.94051813796841</v>
      </c>
      <c r="I41">
        <v>84.085071344021699</v>
      </c>
      <c r="J41">
        <v>47.797493841050198</v>
      </c>
      <c r="K41">
        <v>15.8994988071634</v>
      </c>
      <c r="L41">
        <v>2.8797367755180237E-5</v>
      </c>
      <c r="M41">
        <v>1.8081124560712926E-6</v>
      </c>
      <c r="N41" s="1">
        <v>-1.7022255498485701E-7</v>
      </c>
      <c r="O41" s="1">
        <v>1.51389527896242E-10</v>
      </c>
      <c r="P41" s="1">
        <v>8.1507851067176105E-10</v>
      </c>
      <c r="Q41">
        <v>66.198141787326307</v>
      </c>
      <c r="S41">
        <v>19.1793834321387</v>
      </c>
      <c r="AA41">
        <v>0.37675631319151798</v>
      </c>
      <c r="AB41">
        <v>5.4651795845035496</v>
      </c>
      <c r="AC41">
        <v>8.7805388828397906</v>
      </c>
      <c r="AJ41">
        <v>0.47729463843620801</v>
      </c>
      <c r="AK41">
        <v>1.81824937619001E-2</v>
      </c>
      <c r="AL41">
        <v>0.50452286780189104</v>
      </c>
    </row>
    <row r="42" spans="1:38" x14ac:dyDescent="0.2">
      <c r="A42">
        <v>117</v>
      </c>
      <c r="B42">
        <v>769</v>
      </c>
      <c r="C42">
        <v>125</v>
      </c>
      <c r="D42">
        <v>0.46980808904668597</v>
      </c>
      <c r="E42">
        <v>41.708989819177901</v>
      </c>
      <c r="F42">
        <v>2.52062472663405</v>
      </c>
      <c r="G42">
        <v>-664.43021385619522</v>
      </c>
      <c r="H42">
        <v>-573.30343084371464</v>
      </c>
      <c r="I42">
        <v>87.441139003483798</v>
      </c>
      <c r="J42">
        <v>49.735531318379898</v>
      </c>
      <c r="K42">
        <v>16.547084291628899</v>
      </c>
      <c r="L42">
        <v>2.8781632025670075E-5</v>
      </c>
      <c r="M42">
        <v>1.8078148611760851E-6</v>
      </c>
      <c r="N42" s="1">
        <v>-1.8181525930594301E-7</v>
      </c>
      <c r="O42" s="1">
        <v>1.5756202985076299E-10</v>
      </c>
      <c r="P42" s="1">
        <v>8.6174021672096197E-10</v>
      </c>
      <c r="Q42">
        <v>66.189114949095995</v>
      </c>
      <c r="S42">
        <v>19.1716458243334</v>
      </c>
      <c r="AA42">
        <v>0.37247899682165297</v>
      </c>
      <c r="AB42">
        <v>5.4247786146879298</v>
      </c>
      <c r="AC42">
        <v>8.8419816150608295</v>
      </c>
      <c r="AJ42">
        <v>0.47386310080764898</v>
      </c>
      <c r="AK42">
        <v>1.79797418522805E-2</v>
      </c>
      <c r="AL42">
        <v>0.50815715734006905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75979-AEFB-4E0E-B893-2F581A6C0632}">
  <sheetPr codeName="Sheet11"/>
  <dimension ref="A1:AL119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17</v>
      </c>
      <c r="B2">
        <v>741</v>
      </c>
      <c r="C2">
        <v>275</v>
      </c>
      <c r="D2">
        <v>0.29053936794360102</v>
      </c>
      <c r="E2">
        <v>3.0790317243724901</v>
      </c>
      <c r="F2">
        <v>2.5261136156472399</v>
      </c>
      <c r="G2">
        <v>-48.506380469634749</v>
      </c>
      <c r="H2">
        <v>-42.094129832419036</v>
      </c>
      <c r="I2">
        <v>6.3227832541692104</v>
      </c>
      <c r="J2">
        <v>3.6743415473034702</v>
      </c>
      <c r="K2">
        <v>1.21888093445218</v>
      </c>
      <c r="L2">
        <v>2.8934863455451451E-5</v>
      </c>
      <c r="M2">
        <v>1.7948490639157055E-6</v>
      </c>
      <c r="N2" s="1">
        <v>-3.4813580159792403E-8</v>
      </c>
      <c r="O2" s="1">
        <v>1.15346720123645E-11</v>
      </c>
      <c r="P2" s="1">
        <v>1.25124731374236E-10</v>
      </c>
      <c r="Q2">
        <v>66.047934694530795</v>
      </c>
      <c r="S2">
        <v>18.991755023342002</v>
      </c>
      <c r="AA2">
        <v>0.257009726414344</v>
      </c>
      <c r="AB2">
        <v>4.6385588649736196</v>
      </c>
      <c r="AC2">
        <v>10.064741690739099</v>
      </c>
      <c r="AJ2">
        <v>0.40680386043411099</v>
      </c>
      <c r="AK2">
        <v>1.2455533751610799E-2</v>
      </c>
      <c r="AL2">
        <v>0.580740605814277</v>
      </c>
    </row>
    <row r="3" spans="1:38" x14ac:dyDescent="0.2">
      <c r="A3">
        <v>18</v>
      </c>
      <c r="B3">
        <v>740</v>
      </c>
      <c r="C3">
        <v>275</v>
      </c>
      <c r="D3">
        <v>0.28977002418201098</v>
      </c>
      <c r="E3">
        <v>13.0050069723597</v>
      </c>
      <c r="F3">
        <v>2.52622993828858</v>
      </c>
      <c r="G3">
        <v>-204.88648196588116</v>
      </c>
      <c r="H3">
        <v>-177.83916878296441</v>
      </c>
      <c r="I3">
        <v>26.696257398131301</v>
      </c>
      <c r="J3">
        <v>15.5282974000281</v>
      </c>
      <c r="K3">
        <v>5.1479902028118998</v>
      </c>
      <c r="L3">
        <v>2.9000712081669661E-5</v>
      </c>
      <c r="M3">
        <v>1.7955147379422471E-6</v>
      </c>
      <c r="N3" s="1">
        <v>-1.53973951123503E-7</v>
      </c>
      <c r="O3" s="1">
        <v>4.8651205458653599E-11</v>
      </c>
      <c r="P3" s="1">
        <v>5.4834664580884597E-10</v>
      </c>
      <c r="Q3">
        <v>66.063117242140805</v>
      </c>
      <c r="S3">
        <v>18.9943620734288</v>
      </c>
      <c r="AA3">
        <v>0.25561792950388801</v>
      </c>
      <c r="AB3">
        <v>4.6792270790089097</v>
      </c>
      <c r="AC3">
        <v>10.007675675917501</v>
      </c>
      <c r="AJ3">
        <v>0.41028578575170499</v>
      </c>
      <c r="AK3">
        <v>1.2385525922973E-2</v>
      </c>
      <c r="AL3">
        <v>0.57732868832532003</v>
      </c>
    </row>
    <row r="4" spans="1:38" x14ac:dyDescent="0.2">
      <c r="A4">
        <v>18</v>
      </c>
      <c r="B4">
        <v>740</v>
      </c>
      <c r="C4">
        <v>275</v>
      </c>
      <c r="D4">
        <v>0.28977002418201098</v>
      </c>
      <c r="E4">
        <v>5.3085946061643101</v>
      </c>
      <c r="F4">
        <v>2.5724490391194998</v>
      </c>
      <c r="G4">
        <v>-85.674206877370295</v>
      </c>
      <c r="H4">
        <v>-74.458930806083885</v>
      </c>
      <c r="I4">
        <v>11.069709392771401</v>
      </c>
      <c r="J4">
        <v>6.53562961276109</v>
      </c>
      <c r="K4">
        <v>2.0636345075979898</v>
      </c>
      <c r="L4">
        <v>3.2387454792733807E-5</v>
      </c>
      <c r="M4">
        <v>1.8171448535542826E-6</v>
      </c>
      <c r="N4" s="1">
        <v>-1.34184625851616E-7</v>
      </c>
      <c r="O4" s="1">
        <v>1.78629639290246E-11</v>
      </c>
      <c r="P4" s="1">
        <v>4.3229903173103401E-10</v>
      </c>
      <c r="Q4">
        <v>65.468501670245104</v>
      </c>
      <c r="S4">
        <v>21.162115965227201</v>
      </c>
      <c r="AA4">
        <v>2.1827825010482398</v>
      </c>
      <c r="AB4">
        <v>9.0372068136340005</v>
      </c>
      <c r="AC4">
        <v>2.1493930498453402</v>
      </c>
      <c r="AJ4">
        <v>0.77522314760215805</v>
      </c>
      <c r="AK4">
        <v>0.103469836937817</v>
      </c>
      <c r="AL4">
        <v>0.121307015460024</v>
      </c>
    </row>
    <row r="5" spans="1:38" x14ac:dyDescent="0.2">
      <c r="A5">
        <v>19</v>
      </c>
      <c r="B5">
        <v>739</v>
      </c>
      <c r="C5">
        <v>275</v>
      </c>
      <c r="D5">
        <v>0.28899916020352701</v>
      </c>
      <c r="E5">
        <v>19.125864476742699</v>
      </c>
      <c r="F5">
        <v>2.5262732454233601</v>
      </c>
      <c r="G5">
        <v>-301.29168761163351</v>
      </c>
      <c r="H5">
        <v>-261.57401132037859</v>
      </c>
      <c r="I5">
        <v>39.2408993639825</v>
      </c>
      <c r="J5">
        <v>22.845631071071299</v>
      </c>
      <c r="K5">
        <v>7.5707821833570197</v>
      </c>
      <c r="L5">
        <v>2.9044387575785978E-5</v>
      </c>
      <c r="M5">
        <v>1.7958938767568079E-6</v>
      </c>
      <c r="N5" s="1">
        <v>-2.3535006985343399E-7</v>
      </c>
      <c r="O5" s="1">
        <v>7.1475353929912303E-11</v>
      </c>
      <c r="P5" s="1">
        <v>8.3183274245596502E-10</v>
      </c>
      <c r="Q5">
        <v>66.0710740824168</v>
      </c>
      <c r="S5">
        <v>18.992511725606899</v>
      </c>
      <c r="AA5">
        <v>0.25223475370339199</v>
      </c>
      <c r="AB5">
        <v>4.6921075435588104</v>
      </c>
      <c r="AC5">
        <v>9.9920718947138703</v>
      </c>
      <c r="AJ5">
        <v>0.41138831038302298</v>
      </c>
      <c r="AK5">
        <v>1.22208019099021E-2</v>
      </c>
      <c r="AL5">
        <v>0.57639088770707303</v>
      </c>
    </row>
    <row r="6" spans="1:38" x14ac:dyDescent="0.2">
      <c r="A6">
        <v>19</v>
      </c>
      <c r="B6">
        <v>739</v>
      </c>
      <c r="C6">
        <v>275</v>
      </c>
      <c r="D6">
        <v>0.28899916020352701</v>
      </c>
      <c r="E6">
        <v>8.6970169864784506</v>
      </c>
      <c r="F6">
        <v>2.5721053390216801</v>
      </c>
      <c r="G6">
        <v>-140.3341326471166</v>
      </c>
      <c r="H6">
        <v>-121.98792183310698</v>
      </c>
      <c r="I6">
        <v>18.1259801551249</v>
      </c>
      <c r="J6">
        <v>10.7149610652626</v>
      </c>
      <c r="K6">
        <v>3.38128336135191</v>
      </c>
      <c r="L6">
        <v>3.247953715626133E-5</v>
      </c>
      <c r="M6">
        <v>1.8184196742476538E-6</v>
      </c>
      <c r="N6" s="1">
        <v>-2.2736478884110599E-7</v>
      </c>
      <c r="O6" s="1">
        <v>2.92277188069982E-11</v>
      </c>
      <c r="P6" s="1">
        <v>7.2963039590293505E-10</v>
      </c>
      <c r="Q6">
        <v>65.513545137716207</v>
      </c>
      <c r="S6">
        <v>21.1290022723406</v>
      </c>
      <c r="AA6">
        <v>2.14495308800901</v>
      </c>
      <c r="AB6">
        <v>9.0507719147829704</v>
      </c>
      <c r="AC6">
        <v>2.1617275871511499</v>
      </c>
      <c r="AJ6">
        <v>0.77633511527520604</v>
      </c>
      <c r="AK6">
        <v>0.101669853714788</v>
      </c>
      <c r="AL6">
        <v>0.121995031010004</v>
      </c>
    </row>
    <row r="7" spans="1:38" x14ac:dyDescent="0.2">
      <c r="A7">
        <v>20</v>
      </c>
      <c r="B7">
        <v>738</v>
      </c>
      <c r="C7">
        <v>275</v>
      </c>
      <c r="D7">
        <v>0.28822677149780002</v>
      </c>
      <c r="E7">
        <v>33.725308974201802</v>
      </c>
      <c r="F7">
        <v>2.52638179291089</v>
      </c>
      <c r="G7">
        <v>-531.35489576636508</v>
      </c>
      <c r="H7">
        <v>-461.40424960014929</v>
      </c>
      <c r="I7">
        <v>69.179297004614298</v>
      </c>
      <c r="J7">
        <v>40.316571882523398</v>
      </c>
      <c r="K7">
        <v>13.349252701565501</v>
      </c>
      <c r="L7">
        <v>2.913806632154512E-5</v>
      </c>
      <c r="M7">
        <v>1.7969589360717037E-6</v>
      </c>
      <c r="N7" s="1">
        <v>-4.3725460250709601E-7</v>
      </c>
      <c r="O7" s="1">
        <v>1.2581302964958399E-10</v>
      </c>
      <c r="P7" s="1">
        <v>1.5305611765786801E-9</v>
      </c>
      <c r="Q7">
        <v>66.099091547114398</v>
      </c>
      <c r="S7">
        <v>18.994239820871002</v>
      </c>
      <c r="AA7">
        <v>0.24712295762661801</v>
      </c>
      <c r="AB7">
        <v>4.7590733878031299</v>
      </c>
      <c r="AC7">
        <v>9.9004722865847796</v>
      </c>
      <c r="AJ7">
        <v>0.41711792881029802</v>
      </c>
      <c r="AK7">
        <v>1.19690681229158E-2</v>
      </c>
      <c r="AL7">
        <v>0.57091300306678505</v>
      </c>
    </row>
    <row r="8" spans="1:38" x14ac:dyDescent="0.2">
      <c r="A8">
        <v>20</v>
      </c>
      <c r="B8">
        <v>738</v>
      </c>
      <c r="C8">
        <v>275</v>
      </c>
      <c r="D8">
        <v>0.28822677149780002</v>
      </c>
      <c r="E8">
        <v>17.361435686362899</v>
      </c>
      <c r="F8">
        <v>2.5707768884008502</v>
      </c>
      <c r="G8">
        <v>-280.04437380458097</v>
      </c>
      <c r="H8">
        <v>-243.47200372257572</v>
      </c>
      <c r="I8">
        <v>36.169084786634201</v>
      </c>
      <c r="J8">
        <v>21.407411861989601</v>
      </c>
      <c r="K8">
        <v>6.7533809583773703</v>
      </c>
      <c r="L8">
        <v>3.2610371916644178E-5</v>
      </c>
      <c r="M8">
        <v>1.8215351601963019E-6</v>
      </c>
      <c r="N8" s="1">
        <v>-4.7014928680596102E-7</v>
      </c>
      <c r="O8" s="1">
        <v>5.8371844476479096E-11</v>
      </c>
      <c r="P8" s="1">
        <v>1.50268818491395E-9</v>
      </c>
      <c r="Q8">
        <v>65.646651100814694</v>
      </c>
      <c r="S8">
        <v>21.025612858525299</v>
      </c>
      <c r="AA8">
        <v>2.0285973061745199</v>
      </c>
      <c r="AB8">
        <v>9.0763426268339504</v>
      </c>
      <c r="AC8">
        <v>2.22279610765138</v>
      </c>
      <c r="AJ8">
        <v>0.77843156473909203</v>
      </c>
      <c r="AK8">
        <v>9.6142672636957402E-2</v>
      </c>
      <c r="AL8">
        <v>0.12542576262395</v>
      </c>
    </row>
    <row r="9" spans="1:38" x14ac:dyDescent="0.2">
      <c r="A9">
        <v>21</v>
      </c>
      <c r="B9">
        <v>737</v>
      </c>
      <c r="C9">
        <v>275</v>
      </c>
      <c r="D9">
        <v>0.28745285353660599</v>
      </c>
      <c r="E9">
        <v>37.218069773087997</v>
      </c>
      <c r="F9">
        <v>2.5264175025140601</v>
      </c>
      <c r="G9">
        <v>-586.31779883403397</v>
      </c>
      <c r="H9">
        <v>-509.24154914291171</v>
      </c>
      <c r="I9">
        <v>76.301786557563005</v>
      </c>
      <c r="J9">
        <v>44.508434262125398</v>
      </c>
      <c r="K9">
        <v>14.731559505130001</v>
      </c>
      <c r="L9">
        <v>2.9178513381144397E-5</v>
      </c>
      <c r="M9">
        <v>1.7972601811000615E-6</v>
      </c>
      <c r="N9" s="1">
        <v>-5.0045860743367197E-7</v>
      </c>
      <c r="O9" s="1">
        <v>1.38700741795765E-10</v>
      </c>
      <c r="P9" s="1">
        <v>1.7400251717581E-9</v>
      </c>
      <c r="Q9">
        <v>66.104489441314101</v>
      </c>
      <c r="S9">
        <v>18.991893806692101</v>
      </c>
      <c r="AA9">
        <v>0.24392794709024901</v>
      </c>
      <c r="AB9">
        <v>4.7649519244310898</v>
      </c>
      <c r="AC9">
        <v>9.8947368804723705</v>
      </c>
      <c r="AJ9">
        <v>0.41762073754169199</v>
      </c>
      <c r="AK9">
        <v>1.1813970549586999E-2</v>
      </c>
      <c r="AL9">
        <v>0.57056529190871996</v>
      </c>
    </row>
    <row r="10" spans="1:38" x14ac:dyDescent="0.2">
      <c r="A10">
        <v>21</v>
      </c>
      <c r="B10">
        <v>737</v>
      </c>
      <c r="C10">
        <v>275</v>
      </c>
      <c r="D10">
        <v>0.28745285353660599</v>
      </c>
      <c r="E10">
        <v>19.525526407280701</v>
      </c>
      <c r="F10">
        <v>2.5705642656075098</v>
      </c>
      <c r="G10">
        <v>-314.90194905883021</v>
      </c>
      <c r="H10">
        <v>-273.83371587377803</v>
      </c>
      <c r="I10">
        <v>40.655579057617302</v>
      </c>
      <c r="J10">
        <v>24.093988390488501</v>
      </c>
      <c r="K10">
        <v>7.5958133661622798</v>
      </c>
      <c r="L10">
        <v>3.2701467711968965E-5</v>
      </c>
      <c r="M10">
        <v>1.8225537226240265E-6</v>
      </c>
      <c r="N10" s="1">
        <v>-5.4672200811846401E-7</v>
      </c>
      <c r="O10" s="1">
        <v>6.5539786965075802E-11</v>
      </c>
      <c r="P10" s="1">
        <v>1.7409634847121301E-9</v>
      </c>
      <c r="Q10">
        <v>65.679151569805796</v>
      </c>
      <c r="S10">
        <v>21.0022372099296</v>
      </c>
      <c r="AA10">
        <v>2.0017286166063801</v>
      </c>
      <c r="AB10">
        <v>9.0874858775398994</v>
      </c>
      <c r="AC10">
        <v>2.22939672611815</v>
      </c>
      <c r="AJ10">
        <v>0.77934459757677599</v>
      </c>
      <c r="AK10">
        <v>9.4864073276699601E-2</v>
      </c>
      <c r="AL10">
        <v>0.125791329146523</v>
      </c>
    </row>
    <row r="11" spans="1:38" x14ac:dyDescent="0.2">
      <c r="A11">
        <v>22</v>
      </c>
      <c r="B11">
        <v>736</v>
      </c>
      <c r="C11">
        <v>275</v>
      </c>
      <c r="D11">
        <v>0.28667740177377199</v>
      </c>
      <c r="E11">
        <v>38.410344579679297</v>
      </c>
      <c r="F11">
        <v>2.5264388662072501</v>
      </c>
      <c r="G11">
        <v>-605.00125204014944</v>
      </c>
      <c r="H11">
        <v>-525.58345867524804</v>
      </c>
      <c r="I11">
        <v>78.697709324581297</v>
      </c>
      <c r="J11">
        <v>45.947865557054101</v>
      </c>
      <c r="K11">
        <v>15.203354054373699</v>
      </c>
      <c r="L11">
        <v>2.920939571939931E-5</v>
      </c>
      <c r="M11">
        <v>1.7974148596724863E-6</v>
      </c>
      <c r="N11" s="1">
        <v>-5.3404455191212502E-7</v>
      </c>
      <c r="O11" s="1">
        <v>1.4301489432949401E-10</v>
      </c>
      <c r="P11" s="1">
        <v>1.8455276239193799E-9</v>
      </c>
      <c r="Q11">
        <v>66.105485717086594</v>
      </c>
      <c r="S11">
        <v>18.988781201877501</v>
      </c>
      <c r="AA11">
        <v>0.241127548916092</v>
      </c>
      <c r="AB11">
        <v>4.75901197338416</v>
      </c>
      <c r="AC11">
        <v>9.9055935587355695</v>
      </c>
      <c r="AJ11">
        <v>0.41711273081257599</v>
      </c>
      <c r="AK11">
        <v>1.1678693738376201E-2</v>
      </c>
      <c r="AL11">
        <v>0.57120857544904702</v>
      </c>
    </row>
    <row r="12" spans="1:38" x14ac:dyDescent="0.2">
      <c r="A12">
        <v>22</v>
      </c>
      <c r="B12">
        <v>736</v>
      </c>
      <c r="C12">
        <v>275</v>
      </c>
      <c r="D12">
        <v>0.28667740177377199</v>
      </c>
      <c r="E12">
        <v>20.339415715037699</v>
      </c>
      <c r="F12">
        <v>2.57056457195036</v>
      </c>
      <c r="G12">
        <v>-327.98857126008681</v>
      </c>
      <c r="H12">
        <v>-285.27492090134331</v>
      </c>
      <c r="I12">
        <v>42.326364126981602</v>
      </c>
      <c r="J12">
        <v>25.117464690211801</v>
      </c>
      <c r="K12">
        <v>7.9124313533993904</v>
      </c>
      <c r="L12">
        <v>3.2787398885455282E-5</v>
      </c>
      <c r="M12">
        <v>1.8231894074650888E-6</v>
      </c>
      <c r="N12" s="1">
        <v>-5.8869676147930903E-7</v>
      </c>
      <c r="O12" s="1">
        <v>6.8127990808851303E-11</v>
      </c>
      <c r="P12" s="1">
        <v>1.8679068270286202E-9</v>
      </c>
      <c r="Q12">
        <v>65.692829491375093</v>
      </c>
      <c r="S12">
        <v>20.993944070315798</v>
      </c>
      <c r="AA12">
        <v>1.99169513550096</v>
      </c>
      <c r="AB12">
        <v>9.0962248486968509</v>
      </c>
      <c r="AC12">
        <v>2.2253064541111298</v>
      </c>
      <c r="AJ12">
        <v>0.78006037889268398</v>
      </c>
      <c r="AK12">
        <v>9.4384501305402504E-2</v>
      </c>
      <c r="AL12">
        <v>0.125555119801913</v>
      </c>
    </row>
    <row r="13" spans="1:38" x14ac:dyDescent="0.2">
      <c r="A13">
        <v>35</v>
      </c>
      <c r="B13">
        <v>745</v>
      </c>
      <c r="C13">
        <v>250</v>
      </c>
      <c r="D13">
        <v>0.32061140303491598</v>
      </c>
      <c r="E13">
        <v>2.8047523186783399</v>
      </c>
      <c r="F13">
        <v>2.5252670637765098</v>
      </c>
      <c r="G13">
        <v>-44.280049645926169</v>
      </c>
      <c r="H13">
        <v>-38.394665730141007</v>
      </c>
      <c r="I13">
        <v>5.78046841406979</v>
      </c>
      <c r="J13">
        <v>3.3478448605442499</v>
      </c>
      <c r="K13">
        <v>1.1106755237538499</v>
      </c>
      <c r="L13">
        <v>2.8968264006234139E-5</v>
      </c>
      <c r="M13">
        <v>1.7981507574243548E-6</v>
      </c>
      <c r="N13" s="1">
        <v>-2.8434387035791899E-8</v>
      </c>
      <c r="O13" s="1">
        <v>1.05168830636553E-11</v>
      </c>
      <c r="P13" s="1">
        <v>1.04693818861687E-10</v>
      </c>
      <c r="Q13">
        <v>66.107208091298006</v>
      </c>
      <c r="S13">
        <v>19.025248522072499</v>
      </c>
      <c r="AA13">
        <v>0.27081156899658498</v>
      </c>
      <c r="AB13">
        <v>4.8584540129306397</v>
      </c>
      <c r="AC13">
        <v>9.7382778047021397</v>
      </c>
      <c r="AJ13">
        <v>0.42561350384448998</v>
      </c>
      <c r="AK13">
        <v>1.3109777054892901E-2</v>
      </c>
      <c r="AL13">
        <v>0.56127671910061605</v>
      </c>
    </row>
    <row r="14" spans="1:38" x14ac:dyDescent="0.2">
      <c r="A14">
        <v>35</v>
      </c>
      <c r="B14">
        <v>745</v>
      </c>
      <c r="C14">
        <v>250</v>
      </c>
      <c r="D14">
        <v>0.32061140303491598</v>
      </c>
      <c r="E14">
        <v>1.44757925554331</v>
      </c>
      <c r="F14">
        <v>2.5693567893717302</v>
      </c>
      <c r="G14">
        <v>-23.382277475000688</v>
      </c>
      <c r="H14">
        <v>-20.299286412702088</v>
      </c>
      <c r="I14">
        <v>3.0280322764804701</v>
      </c>
      <c r="J14">
        <v>1.77607619940263</v>
      </c>
      <c r="K14">
        <v>0.56340141685704903</v>
      </c>
      <c r="L14">
        <v>3.2033719299613412E-5</v>
      </c>
      <c r="M14">
        <v>1.8190511058648423E-6</v>
      </c>
      <c r="N14" s="1">
        <v>-3.0418281829017902E-8</v>
      </c>
      <c r="O14" s="1">
        <v>4.9355941074612401E-12</v>
      </c>
      <c r="P14" s="1">
        <v>1.00247221744171E-10</v>
      </c>
      <c r="Q14">
        <v>65.570348927008197</v>
      </c>
      <c r="S14">
        <v>21.0665647958524</v>
      </c>
      <c r="AA14">
        <v>2.0801871429238799</v>
      </c>
      <c r="AB14">
        <v>9.0136681514832198</v>
      </c>
      <c r="AC14">
        <v>2.2692309827322199</v>
      </c>
      <c r="AJ14">
        <v>0.77329606034160203</v>
      </c>
      <c r="AK14">
        <v>9.8618281593024396E-2</v>
      </c>
      <c r="AL14">
        <v>0.128085658065373</v>
      </c>
    </row>
    <row r="15" spans="1:38" x14ac:dyDescent="0.2">
      <c r="A15">
        <v>36</v>
      </c>
      <c r="B15">
        <v>744</v>
      </c>
      <c r="C15">
        <v>250</v>
      </c>
      <c r="D15">
        <v>0.31987464975667701</v>
      </c>
      <c r="E15">
        <v>13.033039167385301</v>
      </c>
      <c r="F15">
        <v>2.5252876275177498</v>
      </c>
      <c r="G15">
        <v>-205.72717775731334</v>
      </c>
      <c r="H15">
        <v>-178.42225177248173</v>
      </c>
      <c r="I15">
        <v>26.844542088021999</v>
      </c>
      <c r="J15">
        <v>15.5601130817672</v>
      </c>
      <c r="K15">
        <v>5.1610117696557998</v>
      </c>
      <c r="L15">
        <v>2.8992869264303096E-5</v>
      </c>
      <c r="M15">
        <v>1.7983112238388127E-6</v>
      </c>
      <c r="N15" s="1">
        <v>-1.3674174663478499E-7</v>
      </c>
      <c r="O15" s="1">
        <v>4.8835627869563498E-11</v>
      </c>
      <c r="P15" s="1">
        <v>4.9967428478668496E-10</v>
      </c>
      <c r="Q15">
        <v>66.109155270266001</v>
      </c>
      <c r="S15">
        <v>19.022136267939999</v>
      </c>
      <c r="AA15">
        <v>0.26778957987779101</v>
      </c>
      <c r="AB15">
        <v>4.8546340180280501</v>
      </c>
      <c r="AC15">
        <v>9.7462848638881194</v>
      </c>
      <c r="AJ15">
        <v>0.42528712880971897</v>
      </c>
      <c r="AK15">
        <v>1.29637369039706E-2</v>
      </c>
      <c r="AL15">
        <v>0.56174913428631001</v>
      </c>
    </row>
    <row r="16" spans="1:38" x14ac:dyDescent="0.2">
      <c r="A16">
        <v>36</v>
      </c>
      <c r="B16">
        <v>744</v>
      </c>
      <c r="C16">
        <v>250</v>
      </c>
      <c r="D16">
        <v>0.31987464975667701</v>
      </c>
      <c r="E16">
        <v>6.3717793891492001</v>
      </c>
      <c r="F16">
        <v>2.56932428712719</v>
      </c>
      <c r="G16">
        <v>-102.90826489489048</v>
      </c>
      <c r="H16">
        <v>-89.358704135502819</v>
      </c>
      <c r="I16">
        <v>13.321103828725001</v>
      </c>
      <c r="J16">
        <v>7.8221693432161201</v>
      </c>
      <c r="K16">
        <v>2.4799436260627101</v>
      </c>
      <c r="L16">
        <v>3.2101667045096089E-5</v>
      </c>
      <c r="M16">
        <v>1.8196839251623658E-6</v>
      </c>
      <c r="N16" s="1">
        <v>-1.38363811466597E-7</v>
      </c>
      <c r="O16" s="1">
        <v>2.16930670481225E-11</v>
      </c>
      <c r="P16" s="1">
        <v>4.5402402931447501E-10</v>
      </c>
      <c r="Q16">
        <v>65.586605947333894</v>
      </c>
      <c r="S16">
        <v>21.0561656084265</v>
      </c>
      <c r="AA16">
        <v>2.06781435337304</v>
      </c>
      <c r="AB16">
        <v>9.0226332277888606</v>
      </c>
      <c r="AC16">
        <v>2.2667808630775999</v>
      </c>
      <c r="AJ16">
        <v>0.77403093082432595</v>
      </c>
      <c r="AK16">
        <v>9.8027369345344104E-2</v>
      </c>
      <c r="AL16">
        <v>0.12794169983032899</v>
      </c>
    </row>
    <row r="17" spans="1:38" x14ac:dyDescent="0.2">
      <c r="A17">
        <v>37</v>
      </c>
      <c r="B17">
        <v>743</v>
      </c>
      <c r="C17">
        <v>250</v>
      </c>
      <c r="D17">
        <v>0.31913644639078897</v>
      </c>
      <c r="E17">
        <v>19.1545450520311</v>
      </c>
      <c r="F17">
        <v>2.5253040359980998</v>
      </c>
      <c r="G17">
        <v>-302.30442975390196</v>
      </c>
      <c r="H17">
        <v>-262.23859361367715</v>
      </c>
      <c r="I17">
        <v>39.429056871746099</v>
      </c>
      <c r="J17">
        <v>22.8733668148714</v>
      </c>
      <c r="K17">
        <v>7.58504511891792</v>
      </c>
      <c r="L17">
        <v>2.9015690163148198E-5</v>
      </c>
      <c r="M17">
        <v>1.7984351973387718E-6</v>
      </c>
      <c r="N17" s="1">
        <v>-2.07810816919001E-7</v>
      </c>
      <c r="O17" s="1">
        <v>7.1724303540933503E-11</v>
      </c>
      <c r="P17" s="1">
        <v>7.5389590023313402E-10</v>
      </c>
      <c r="Q17">
        <v>66.109950833419305</v>
      </c>
      <c r="S17">
        <v>19.018816178452099</v>
      </c>
      <c r="AA17">
        <v>0.26486483826949397</v>
      </c>
      <c r="AB17">
        <v>4.84770284162538</v>
      </c>
      <c r="AC17">
        <v>9.7586653082335992</v>
      </c>
      <c r="AJ17">
        <v>0.42469488256413501</v>
      </c>
      <c r="AK17">
        <v>1.2822601220008899E-2</v>
      </c>
      <c r="AL17">
        <v>0.56248251621585499</v>
      </c>
    </row>
    <row r="18" spans="1:38" x14ac:dyDescent="0.2">
      <c r="A18">
        <v>37</v>
      </c>
      <c r="B18">
        <v>743</v>
      </c>
      <c r="C18">
        <v>250</v>
      </c>
      <c r="D18">
        <v>0.31913644639078897</v>
      </c>
      <c r="E18">
        <v>9.3687639520884591</v>
      </c>
      <c r="F18">
        <v>2.5693465413742098</v>
      </c>
      <c r="G18">
        <v>-151.29379222919803</v>
      </c>
      <c r="H18">
        <v>-131.4018182479017</v>
      </c>
      <c r="I18">
        <v>19.575824416962401</v>
      </c>
      <c r="J18">
        <v>11.508084321883899</v>
      </c>
      <c r="K18">
        <v>3.64636058282646</v>
      </c>
      <c r="L18">
        <v>3.2169627110437211E-5</v>
      </c>
      <c r="M18">
        <v>1.8202233916858074E-6</v>
      </c>
      <c r="N18" s="1">
        <v>-2.1023388614832199E-7</v>
      </c>
      <c r="O18" s="1">
        <v>3.1844719402855001E-11</v>
      </c>
      <c r="P18" s="1">
        <v>6.8694659075960699E-10</v>
      </c>
      <c r="Q18">
        <v>65.598076002628005</v>
      </c>
      <c r="S18">
        <v>21.049617412991001</v>
      </c>
      <c r="AA18">
        <v>2.0597356444934101</v>
      </c>
      <c r="AB18">
        <v>9.0310266853542505</v>
      </c>
      <c r="AC18">
        <v>2.2615442545332698</v>
      </c>
      <c r="AJ18">
        <v>0.77471882830744299</v>
      </c>
      <c r="AK18">
        <v>9.7640334909272097E-2</v>
      </c>
      <c r="AL18">
        <v>0.127640836783284</v>
      </c>
    </row>
    <row r="19" spans="1:38" x14ac:dyDescent="0.2">
      <c r="A19">
        <v>38</v>
      </c>
      <c r="B19">
        <v>742</v>
      </c>
      <c r="C19">
        <v>250</v>
      </c>
      <c r="D19">
        <v>0.318396788651924</v>
      </c>
      <c r="E19">
        <v>34.0435496495856</v>
      </c>
      <c r="F19">
        <v>2.52536052151954</v>
      </c>
      <c r="G19">
        <v>-537.26057279587087</v>
      </c>
      <c r="H19">
        <v>-466.15459974519143</v>
      </c>
      <c r="I19">
        <v>70.044794415287697</v>
      </c>
      <c r="J19">
        <v>40.669688161927297</v>
      </c>
      <c r="K19">
        <v>13.480669139906</v>
      </c>
      <c r="L19">
        <v>2.9063183675159107E-5</v>
      </c>
      <c r="M19">
        <v>1.7989059042043095E-6</v>
      </c>
      <c r="N19" s="1">
        <v>-3.8459131112320001E-7</v>
      </c>
      <c r="O19" s="1">
        <v>1.2734379070545E-10</v>
      </c>
      <c r="P19" s="1">
        <v>1.3835622277466799E-9</v>
      </c>
      <c r="Q19">
        <v>66.1207957083775</v>
      </c>
      <c r="S19">
        <v>19.0174694965642</v>
      </c>
      <c r="AA19">
        <v>0.26122330861055298</v>
      </c>
      <c r="AB19">
        <v>4.8683395623411299</v>
      </c>
      <c r="AC19">
        <v>9.7321719241064493</v>
      </c>
      <c r="AJ19">
        <v>0.42645821512837701</v>
      </c>
      <c r="AK19">
        <v>1.26449855917355E-2</v>
      </c>
      <c r="AL19">
        <v>0.560896799279886</v>
      </c>
    </row>
    <row r="20" spans="1:38" x14ac:dyDescent="0.2">
      <c r="A20">
        <v>38</v>
      </c>
      <c r="B20">
        <v>742</v>
      </c>
      <c r="C20">
        <v>250</v>
      </c>
      <c r="D20">
        <v>0.318396788651924</v>
      </c>
      <c r="E20">
        <v>17.1814734101361</v>
      </c>
      <c r="F20">
        <v>2.5688792673664702</v>
      </c>
      <c r="G20">
        <v>-277.40263374863656</v>
      </c>
      <c r="H20">
        <v>-240.97691777832023</v>
      </c>
      <c r="I20">
        <v>35.882102123150503</v>
      </c>
      <c r="J20">
        <v>21.118231540777298</v>
      </c>
      <c r="K20">
        <v>6.6883148727148898</v>
      </c>
      <c r="L20">
        <v>3.2256321910785203E-5</v>
      </c>
      <c r="M20">
        <v>1.8216518536528759E-6</v>
      </c>
      <c r="N20" s="1">
        <v>-3.9869601179454001E-7</v>
      </c>
      <c r="O20" s="1">
        <v>5.8353503799293598E-11</v>
      </c>
      <c r="P20" s="1">
        <v>1.29724710643853E-9</v>
      </c>
      <c r="Q20">
        <v>65.652373512794</v>
      </c>
      <c r="S20">
        <v>21.008560815487101</v>
      </c>
      <c r="AA20">
        <v>2.0131939494640401</v>
      </c>
      <c r="AB20">
        <v>9.0443905673646992</v>
      </c>
      <c r="AC20">
        <v>2.28148115489009</v>
      </c>
      <c r="AJ20">
        <v>0.77581452649256699</v>
      </c>
      <c r="AK20">
        <v>9.5427820631102805E-2</v>
      </c>
      <c r="AL20">
        <v>0.12875765287632901</v>
      </c>
    </row>
    <row r="21" spans="1:38" x14ac:dyDescent="0.2">
      <c r="A21">
        <v>39</v>
      </c>
      <c r="B21">
        <v>741</v>
      </c>
      <c r="C21">
        <v>250</v>
      </c>
      <c r="D21">
        <v>0.31765567223783697</v>
      </c>
      <c r="E21">
        <v>37.6331678283969</v>
      </c>
      <c r="F21">
        <v>2.52537870730563</v>
      </c>
      <c r="G21">
        <v>-593.81274768357343</v>
      </c>
      <c r="H21">
        <v>-515.334441829762</v>
      </c>
      <c r="I21">
        <v>77.383331710113296</v>
      </c>
      <c r="J21">
        <v>44.968691680768799</v>
      </c>
      <c r="K21">
        <v>14.901989836030699</v>
      </c>
      <c r="L21">
        <v>2.9088833101303276E-5</v>
      </c>
      <c r="M21">
        <v>1.799047551688086E-6</v>
      </c>
      <c r="N21" s="1">
        <v>-4.3968403113703102E-7</v>
      </c>
      <c r="O21" s="1">
        <v>1.4066542710113001E-10</v>
      </c>
      <c r="P21" s="1">
        <v>1.5708796837693E-9</v>
      </c>
      <c r="Q21">
        <v>66.121931531780703</v>
      </c>
      <c r="S21">
        <v>19.014239410738298</v>
      </c>
      <c r="AA21">
        <v>0.25829342586727999</v>
      </c>
      <c r="AB21">
        <v>4.8624025939621101</v>
      </c>
      <c r="AC21">
        <v>9.7431330376515302</v>
      </c>
      <c r="AJ21">
        <v>0.42595099772234901</v>
      </c>
      <c r="AK21">
        <v>1.25035365604563E-2</v>
      </c>
      <c r="AL21">
        <v>0.56154546571719399</v>
      </c>
    </row>
    <row r="22" spans="1:38" x14ac:dyDescent="0.2">
      <c r="A22">
        <v>39</v>
      </c>
      <c r="B22">
        <v>741</v>
      </c>
      <c r="C22">
        <v>250</v>
      </c>
      <c r="D22">
        <v>0.31765567223783697</v>
      </c>
      <c r="E22">
        <v>19.130328062889099</v>
      </c>
      <c r="F22">
        <v>2.5688823930732498</v>
      </c>
      <c r="G22">
        <v>-308.83066185945546</v>
      </c>
      <c r="H22">
        <v>-268.33578385894009</v>
      </c>
      <c r="I22">
        <v>39.929870335271197</v>
      </c>
      <c r="J22">
        <v>23.528404401460399</v>
      </c>
      <c r="K22">
        <v>7.4469458448047998</v>
      </c>
      <c r="L22">
        <v>3.2328983228749482E-5</v>
      </c>
      <c r="M22">
        <v>1.822238750752412E-6</v>
      </c>
      <c r="N22" s="1">
        <v>-4.5879061269381701E-7</v>
      </c>
      <c r="O22" s="1">
        <v>6.4861259511667101E-11</v>
      </c>
      <c r="P22" s="1">
        <v>1.4867438089440299E-9</v>
      </c>
      <c r="Q22">
        <v>65.665570037786097</v>
      </c>
      <c r="S22">
        <v>21.000627218336</v>
      </c>
      <c r="AA22">
        <v>2.0035694218820401</v>
      </c>
      <c r="AB22">
        <v>9.0529993593708191</v>
      </c>
      <c r="AC22">
        <v>2.2772339626248699</v>
      </c>
      <c r="AJ22">
        <v>0.77651994223522802</v>
      </c>
      <c r="AK22">
        <v>9.4967566422597793E-2</v>
      </c>
      <c r="AL22">
        <v>0.12851249134217399</v>
      </c>
    </row>
    <row r="23" spans="1:38" x14ac:dyDescent="0.2">
      <c r="A23">
        <v>40</v>
      </c>
      <c r="B23">
        <v>740</v>
      </c>
      <c r="C23">
        <v>250</v>
      </c>
      <c r="D23">
        <v>0.31691309282929903</v>
      </c>
      <c r="E23">
        <v>38.867191084921302</v>
      </c>
      <c r="F23">
        <v>2.5253914608021</v>
      </c>
      <c r="G23">
        <v>-613.17298846171116</v>
      </c>
      <c r="H23">
        <v>-532.25233378270377</v>
      </c>
      <c r="I23">
        <v>79.870359452210806</v>
      </c>
      <c r="J23">
        <v>46.453460154945802</v>
      </c>
      <c r="K23">
        <v>15.390560904397899</v>
      </c>
      <c r="L23">
        <v>2.9111824025165414E-5</v>
      </c>
      <c r="M23">
        <v>1.7991401114963257E-6</v>
      </c>
      <c r="N23" s="1">
        <v>-4.6913265598750501E-7</v>
      </c>
      <c r="O23" s="1">
        <v>1.4517222848928299E-10</v>
      </c>
      <c r="P23" s="1">
        <v>1.66514813983623E-9</v>
      </c>
      <c r="Q23">
        <v>66.121544860641393</v>
      </c>
      <c r="S23">
        <v>19.0107401697671</v>
      </c>
      <c r="AA23">
        <v>0.25549674066086497</v>
      </c>
      <c r="AB23">
        <v>4.8523672029223501</v>
      </c>
      <c r="AC23">
        <v>9.7598510260081799</v>
      </c>
      <c r="AJ23">
        <v>0.425093547073713</v>
      </c>
      <c r="AK23">
        <v>1.2368784084736999E-2</v>
      </c>
      <c r="AL23">
        <v>0.56253766884154899</v>
      </c>
    </row>
    <row r="24" spans="1:38" x14ac:dyDescent="0.2">
      <c r="A24">
        <v>40</v>
      </c>
      <c r="B24">
        <v>740</v>
      </c>
      <c r="C24">
        <v>250</v>
      </c>
      <c r="D24">
        <v>0.31691309282929903</v>
      </c>
      <c r="E24">
        <v>19.873735453095001</v>
      </c>
      <c r="F24">
        <v>2.5689576704819799</v>
      </c>
      <c r="G24">
        <v>-320.79747560858397</v>
      </c>
      <c r="H24">
        <v>-278.79421663349581</v>
      </c>
      <c r="I24">
        <v>41.458085155295997</v>
      </c>
      <c r="J24">
        <v>24.4585067471209</v>
      </c>
      <c r="K24">
        <v>7.7361085709778603</v>
      </c>
      <c r="L24">
        <v>3.2401310799497524E-5</v>
      </c>
      <c r="M24">
        <v>1.8227031239253881E-6</v>
      </c>
      <c r="N24" s="1">
        <v>-4.9256310360264895E-7</v>
      </c>
      <c r="O24" s="1">
        <v>6.7253403270028594E-11</v>
      </c>
      <c r="P24" s="1">
        <v>1.5898907083661599E-9</v>
      </c>
      <c r="Q24">
        <v>65.672511464213699</v>
      </c>
      <c r="S24">
        <v>20.9977434023886</v>
      </c>
      <c r="AA24">
        <v>1.9995705572359901</v>
      </c>
      <c r="AB24">
        <v>9.0609076575524607</v>
      </c>
      <c r="AC24">
        <v>2.2692669186091101</v>
      </c>
      <c r="AJ24">
        <v>0.77716782498116799</v>
      </c>
      <c r="AK24">
        <v>9.4774310081858895E-2</v>
      </c>
      <c r="AL24">
        <v>0.12805786493697199</v>
      </c>
    </row>
    <row r="25" spans="1:38" x14ac:dyDescent="0.2">
      <c r="A25">
        <v>48</v>
      </c>
      <c r="B25">
        <v>750</v>
      </c>
      <c r="C25">
        <v>225</v>
      </c>
      <c r="D25">
        <v>0.35115134633240402</v>
      </c>
      <c r="E25">
        <v>1.17608811160212</v>
      </c>
      <c r="F25">
        <v>2.5669466256576898</v>
      </c>
      <c r="G25">
        <v>-19.018990589969668</v>
      </c>
      <c r="H25">
        <v>-16.494003765753881</v>
      </c>
      <c r="I25">
        <v>2.46785595877025</v>
      </c>
      <c r="J25">
        <v>1.43935415964653</v>
      </c>
      <c r="K25">
        <v>0.45816617293348799</v>
      </c>
      <c r="L25">
        <v>3.1772727387220985E-5</v>
      </c>
      <c r="M25">
        <v>1.8212505939125053E-6</v>
      </c>
      <c r="N25" s="1">
        <v>-2.07114497537563E-8</v>
      </c>
      <c r="O25" s="1">
        <v>4.0500719771407703E-12</v>
      </c>
      <c r="P25" s="1">
        <v>6.9968600622815003E-11</v>
      </c>
      <c r="Q25">
        <v>65.657838644848596</v>
      </c>
      <c r="S25">
        <v>21.002516668258099</v>
      </c>
      <c r="AA25">
        <v>2.0069322522612101</v>
      </c>
      <c r="AB25">
        <v>9.0407238033661894</v>
      </c>
      <c r="AC25">
        <v>2.2919886312658102</v>
      </c>
      <c r="AJ25">
        <v>0.77551422116847302</v>
      </c>
      <c r="AK25">
        <v>9.5132753536384798E-2</v>
      </c>
      <c r="AL25">
        <v>0.12935302529514101</v>
      </c>
    </row>
    <row r="26" spans="1:38" x14ac:dyDescent="0.2">
      <c r="A26">
        <v>49</v>
      </c>
      <c r="B26">
        <v>749</v>
      </c>
      <c r="C26">
        <v>225</v>
      </c>
      <c r="D26">
        <v>0.350448075135744</v>
      </c>
      <c r="E26">
        <v>4.5569075617273498</v>
      </c>
      <c r="F26">
        <v>2.5658779368548501</v>
      </c>
      <c r="G26">
        <v>-73.653986618267496</v>
      </c>
      <c r="H26">
        <v>-63.88574938660291</v>
      </c>
      <c r="I26">
        <v>9.5565594400670903</v>
      </c>
      <c r="J26">
        <v>5.5776310230515804</v>
      </c>
      <c r="K26">
        <v>1.7759642796231401</v>
      </c>
      <c r="L26">
        <v>3.1799187687401677E-5</v>
      </c>
      <c r="M26">
        <v>1.8221221988000903E-6</v>
      </c>
      <c r="N26" s="1">
        <v>-8.2317846130157697E-8</v>
      </c>
      <c r="O26" s="1">
        <v>1.5704991669926799E-11</v>
      </c>
      <c r="P26" s="1">
        <v>2.7697858702670398E-10</v>
      </c>
      <c r="Q26">
        <v>65.711142904685701</v>
      </c>
      <c r="S26">
        <v>20.9392058867654</v>
      </c>
      <c r="AA26">
        <v>1.94226238896212</v>
      </c>
      <c r="AB26">
        <v>8.9935320437067503</v>
      </c>
      <c r="AC26">
        <v>2.4138567758799199</v>
      </c>
      <c r="AJ26">
        <v>0.77164800304192105</v>
      </c>
      <c r="AK26">
        <v>9.2088975387196403E-2</v>
      </c>
      <c r="AL26">
        <v>0.13626302157088199</v>
      </c>
    </row>
    <row r="27" spans="1:38" x14ac:dyDescent="0.2">
      <c r="A27">
        <v>49</v>
      </c>
      <c r="B27">
        <v>749</v>
      </c>
      <c r="C27">
        <v>225</v>
      </c>
      <c r="D27">
        <v>0.350448075135744</v>
      </c>
      <c r="E27">
        <v>6.2992037085241597</v>
      </c>
      <c r="F27">
        <v>2.5244399893660598</v>
      </c>
      <c r="G27">
        <v>-99.653094260621913</v>
      </c>
      <c r="H27">
        <v>-86.336987182852283</v>
      </c>
      <c r="I27">
        <v>13.0275469136326</v>
      </c>
      <c r="J27">
        <v>7.5204355892988701</v>
      </c>
      <c r="K27">
        <v>2.4952875628095299</v>
      </c>
      <c r="L27">
        <v>2.8993287778891356E-5</v>
      </c>
      <c r="M27">
        <v>1.8012802502597862E-6</v>
      </c>
      <c r="N27" s="1">
        <v>-5.6928591274379897E-8</v>
      </c>
      <c r="O27" s="1">
        <v>2.3641839034199699E-11</v>
      </c>
      <c r="P27" s="1">
        <v>2.1538365741391301E-10</v>
      </c>
      <c r="Q27">
        <v>66.160318031694601</v>
      </c>
      <c r="S27">
        <v>19.056674832502001</v>
      </c>
      <c r="AA27">
        <v>0.28434611834849999</v>
      </c>
      <c r="AB27">
        <v>5.0591948259532797</v>
      </c>
      <c r="AC27">
        <v>9.4394661915014595</v>
      </c>
      <c r="AJ27">
        <v>0.442748092181591</v>
      </c>
      <c r="AK27">
        <v>1.37509717138087E-2</v>
      </c>
      <c r="AL27">
        <v>0.54350093610459904</v>
      </c>
    </row>
    <row r="28" spans="1:38" x14ac:dyDescent="0.2">
      <c r="A28">
        <v>50</v>
      </c>
      <c r="B28">
        <v>748</v>
      </c>
      <c r="C28">
        <v>225</v>
      </c>
      <c r="D28">
        <v>0.34974342652891699</v>
      </c>
      <c r="E28">
        <v>8.1491412985972893</v>
      </c>
      <c r="F28">
        <v>2.5663455631066898</v>
      </c>
      <c r="G28">
        <v>-131.71147479057225</v>
      </c>
      <c r="H28">
        <v>-114.27027524430041</v>
      </c>
      <c r="I28">
        <v>17.079958425570901</v>
      </c>
      <c r="J28">
        <v>9.9791879345814092</v>
      </c>
      <c r="K28">
        <v>3.1753873740729999</v>
      </c>
      <c r="L28">
        <v>3.1843987689333945E-5</v>
      </c>
      <c r="M28">
        <v>1.8218770021183638E-6</v>
      </c>
      <c r="N28" s="1">
        <v>-1.52018189517881E-7</v>
      </c>
      <c r="O28" s="1">
        <v>2.8026183429460699E-11</v>
      </c>
      <c r="P28" s="1">
        <v>5.0911269825393096E-10</v>
      </c>
      <c r="Q28">
        <v>65.685226410157</v>
      </c>
      <c r="S28">
        <v>20.963387098697801</v>
      </c>
      <c r="AA28">
        <v>1.96825939609927</v>
      </c>
      <c r="AB28">
        <v>8.9991727160894506</v>
      </c>
      <c r="AC28">
        <v>2.3839543789562998</v>
      </c>
      <c r="AJ28">
        <v>0.77210991240420301</v>
      </c>
      <c r="AK28">
        <v>9.3318911544373495E-2</v>
      </c>
      <c r="AL28">
        <v>0.13457117605142199</v>
      </c>
    </row>
    <row r="29" spans="1:38" x14ac:dyDescent="0.2">
      <c r="A29">
        <v>50</v>
      </c>
      <c r="B29">
        <v>748</v>
      </c>
      <c r="C29">
        <v>225</v>
      </c>
      <c r="D29">
        <v>0.34974342652891699</v>
      </c>
      <c r="E29">
        <v>14.932791358349499</v>
      </c>
      <c r="F29">
        <v>2.5244042428204101</v>
      </c>
      <c r="G29">
        <v>-236.16978132883571</v>
      </c>
      <c r="H29">
        <v>-204.65702554988266</v>
      </c>
      <c r="I29">
        <v>30.8600653958311</v>
      </c>
      <c r="J29">
        <v>17.8278749794652</v>
      </c>
      <c r="K29">
        <v>5.9153724688981297</v>
      </c>
      <c r="L29">
        <v>2.8991267785330982E-5</v>
      </c>
      <c r="M29">
        <v>1.801074020978038E-6</v>
      </c>
      <c r="N29" s="1">
        <v>-1.3862425785730001E-7</v>
      </c>
      <c r="O29" s="1">
        <v>5.60289653838772E-11</v>
      </c>
      <c r="P29" s="1">
        <v>5.2104677414343605E-10</v>
      </c>
      <c r="Q29">
        <v>66.152016895427394</v>
      </c>
      <c r="S29">
        <v>19.051129723924301</v>
      </c>
      <c r="AA29">
        <v>0.28170830365863198</v>
      </c>
      <c r="AB29">
        <v>5.0261589658211303</v>
      </c>
      <c r="AC29">
        <v>9.4889861111684208</v>
      </c>
      <c r="AJ29">
        <v>0.439930658463838</v>
      </c>
      <c r="AK29">
        <v>1.3625688220817601E-2</v>
      </c>
      <c r="AL29">
        <v>0.54644365331534395</v>
      </c>
    </row>
    <row r="30" spans="1:38" x14ac:dyDescent="0.2">
      <c r="A30">
        <v>51</v>
      </c>
      <c r="B30">
        <v>747</v>
      </c>
      <c r="C30">
        <v>225</v>
      </c>
      <c r="D30">
        <v>0.34903739646130499</v>
      </c>
      <c r="E30">
        <v>13.5783169902538</v>
      </c>
      <c r="F30">
        <v>2.5667393412457198</v>
      </c>
      <c r="G30">
        <v>-219.45073244697377</v>
      </c>
      <c r="H30">
        <v>-190.43520741374783</v>
      </c>
      <c r="I30">
        <v>28.4424104624084</v>
      </c>
      <c r="J30">
        <v>16.635667644344601</v>
      </c>
      <c r="K30">
        <v>5.2901035847542603</v>
      </c>
      <c r="L30">
        <v>3.1892215107741561E-5</v>
      </c>
      <c r="M30">
        <v>1.8217522298372261E-6</v>
      </c>
      <c r="N30" s="1">
        <v>-2.6159228029068197E-7</v>
      </c>
      <c r="O30" s="1">
        <v>4.6603394104787202E-11</v>
      </c>
      <c r="P30" s="1">
        <v>8.7206313553059696E-10</v>
      </c>
      <c r="Q30">
        <v>65.665195230882802</v>
      </c>
      <c r="S30">
        <v>20.982615769101098</v>
      </c>
      <c r="AA30">
        <v>1.9887972479076801</v>
      </c>
      <c r="AB30">
        <v>9.0049447664655293</v>
      </c>
      <c r="AC30">
        <v>2.3584469856428099</v>
      </c>
      <c r="AJ30">
        <v>0.77258265339078502</v>
      </c>
      <c r="AK30">
        <v>9.4289905424040102E-2</v>
      </c>
      <c r="AL30">
        <v>0.133127441185174</v>
      </c>
    </row>
    <row r="31" spans="1:38" x14ac:dyDescent="0.2">
      <c r="A31">
        <v>51</v>
      </c>
      <c r="B31">
        <v>747</v>
      </c>
      <c r="C31">
        <v>225</v>
      </c>
      <c r="D31">
        <v>0.34903739646130499</v>
      </c>
      <c r="E31">
        <v>27.104881625283198</v>
      </c>
      <c r="F31">
        <v>2.5243786888686701</v>
      </c>
      <c r="G31">
        <v>-428.56572186231597</v>
      </c>
      <c r="H31">
        <v>-371.4631636219591</v>
      </c>
      <c r="I31">
        <v>55.974668666722401</v>
      </c>
      <c r="J31">
        <v>32.361018774541897</v>
      </c>
      <c r="K31">
        <v>10.7372486326251</v>
      </c>
      <c r="L31">
        <v>2.8993389138947494E-5</v>
      </c>
      <c r="M31">
        <v>1.8009244895903104E-6</v>
      </c>
      <c r="N31" s="1">
        <v>-2.5875944299295101E-7</v>
      </c>
      <c r="O31" s="1">
        <v>1.01663886131941E-10</v>
      </c>
      <c r="P31" s="1">
        <v>9.6612175216141706E-10</v>
      </c>
      <c r="Q31">
        <v>66.145258624877897</v>
      </c>
      <c r="S31">
        <v>19.0459892512593</v>
      </c>
      <c r="AA31">
        <v>0.27904431111698003</v>
      </c>
      <c r="AB31">
        <v>4.9976221048671299</v>
      </c>
      <c r="AC31">
        <v>9.5320857078786005</v>
      </c>
      <c r="AJ31">
        <v>0.43749616190434898</v>
      </c>
      <c r="AK31">
        <v>1.34987886233713E-2</v>
      </c>
      <c r="AL31">
        <v>0.54900504947227902</v>
      </c>
    </row>
    <row r="32" spans="1:38" x14ac:dyDescent="0.2">
      <c r="A32">
        <v>52</v>
      </c>
      <c r="B32">
        <v>746</v>
      </c>
      <c r="C32">
        <v>225</v>
      </c>
      <c r="D32">
        <v>0.34832998086640898</v>
      </c>
      <c r="E32">
        <v>17.483054655498002</v>
      </c>
      <c r="F32">
        <v>2.56703049430498</v>
      </c>
      <c r="G32">
        <v>-282.53954107585599</v>
      </c>
      <c r="H32">
        <v>-245.23817563654876</v>
      </c>
      <c r="I32">
        <v>36.6004665057227</v>
      </c>
      <c r="J32">
        <v>21.4304359927424</v>
      </c>
      <c r="K32">
        <v>6.8106143243271102</v>
      </c>
      <c r="L32">
        <v>3.194502411561076E-5</v>
      </c>
      <c r="M32">
        <v>1.821803206241032E-6</v>
      </c>
      <c r="N32" s="1">
        <v>-3.4789621449727998E-7</v>
      </c>
      <c r="O32" s="1">
        <v>5.9891508153393902E-11</v>
      </c>
      <c r="P32" s="1">
        <v>1.15454691518532E-9</v>
      </c>
      <c r="Q32">
        <v>65.653671491649504</v>
      </c>
      <c r="S32">
        <v>20.994816161514901</v>
      </c>
      <c r="AA32">
        <v>2.0015516035815799</v>
      </c>
      <c r="AB32">
        <v>9.0112496463344307</v>
      </c>
      <c r="AC32">
        <v>2.3387110969194702</v>
      </c>
      <c r="AJ32">
        <v>0.77309916314313099</v>
      </c>
      <c r="AK32">
        <v>9.48915986868131E-2</v>
      </c>
      <c r="AL32">
        <v>0.132009238170055</v>
      </c>
    </row>
    <row r="33" spans="1:38" x14ac:dyDescent="0.2">
      <c r="A33">
        <v>52</v>
      </c>
      <c r="B33">
        <v>746</v>
      </c>
      <c r="C33">
        <v>225</v>
      </c>
      <c r="D33">
        <v>0.34832998086640898</v>
      </c>
      <c r="E33">
        <v>35.582581271366898</v>
      </c>
      <c r="F33">
        <v>2.5243652595956201</v>
      </c>
      <c r="G33">
        <v>-562.47760303135203</v>
      </c>
      <c r="H33">
        <v>-487.63985623998553</v>
      </c>
      <c r="I33">
        <v>73.431532935648804</v>
      </c>
      <c r="J33">
        <v>42.486206830038903</v>
      </c>
      <c r="K33">
        <v>14.095654793263501</v>
      </c>
      <c r="L33">
        <v>2.9001053612812299E-5</v>
      </c>
      <c r="M33">
        <v>1.8008513188486436E-6</v>
      </c>
      <c r="N33" s="1">
        <v>-3.4987047701644502E-7</v>
      </c>
      <c r="O33" s="1">
        <v>1.3340347213424401E-10</v>
      </c>
      <c r="P33" s="1">
        <v>1.29733922588154E-9</v>
      </c>
      <c r="Q33">
        <v>66.140622659213406</v>
      </c>
      <c r="S33">
        <v>19.041361058966299</v>
      </c>
      <c r="AA33">
        <v>0.276307744296513</v>
      </c>
      <c r="AB33">
        <v>4.9751576961521904</v>
      </c>
      <c r="AC33">
        <v>9.5665508413715195</v>
      </c>
      <c r="AJ33">
        <v>0.435579220384535</v>
      </c>
      <c r="AK33">
        <v>1.33679296069192E-2</v>
      </c>
      <c r="AL33">
        <v>0.55105285000854498</v>
      </c>
    </row>
    <row r="34" spans="1:38" x14ac:dyDescent="0.2">
      <c r="A34">
        <v>53</v>
      </c>
      <c r="B34">
        <v>745</v>
      </c>
      <c r="C34">
        <v>225</v>
      </c>
      <c r="D34">
        <v>0.347621175661739</v>
      </c>
      <c r="E34">
        <v>18.8525909680186</v>
      </c>
      <c r="F34">
        <v>2.5672234310417399</v>
      </c>
      <c r="G34">
        <v>-304.6462511341482</v>
      </c>
      <c r="H34">
        <v>-264.48526276904045</v>
      </c>
      <c r="I34">
        <v>39.4450605167291</v>
      </c>
      <c r="J34">
        <v>23.1213571716305</v>
      </c>
      <c r="K34">
        <v>7.3435723358011504</v>
      </c>
      <c r="L34">
        <v>3.2002528881655975E-5</v>
      </c>
      <c r="M34">
        <v>1.8220274508991089E-6</v>
      </c>
      <c r="N34" s="1">
        <v>-3.8754442232291902E-7</v>
      </c>
      <c r="O34" s="1">
        <v>6.44686074584833E-11</v>
      </c>
      <c r="P34" s="1">
        <v>1.28042919700098E-9</v>
      </c>
      <c r="Q34">
        <v>65.650443656126896</v>
      </c>
      <c r="S34">
        <v>21.0002200156224</v>
      </c>
      <c r="AA34">
        <v>2.0067630098431599</v>
      </c>
      <c r="AB34">
        <v>9.0182234940337604</v>
      </c>
      <c r="AC34">
        <v>2.3243498243736398</v>
      </c>
      <c r="AJ34">
        <v>0.77367058588384297</v>
      </c>
      <c r="AK34">
        <v>9.5135360735420393E-2</v>
      </c>
      <c r="AL34">
        <v>0.131194053380736</v>
      </c>
    </row>
    <row r="35" spans="1:38" x14ac:dyDescent="0.2">
      <c r="A35">
        <v>53</v>
      </c>
      <c r="B35">
        <v>745</v>
      </c>
      <c r="C35">
        <v>225</v>
      </c>
      <c r="D35">
        <v>0.347621175661739</v>
      </c>
      <c r="E35">
        <v>38.416373233301897</v>
      </c>
      <c r="F35">
        <v>2.52436260651394</v>
      </c>
      <c r="G35">
        <v>-607.1453013711681</v>
      </c>
      <c r="H35">
        <v>-526.48001343373994</v>
      </c>
      <c r="I35">
        <v>79.227312220623801</v>
      </c>
      <c r="J35">
        <v>45.875629764806902</v>
      </c>
      <c r="K35">
        <v>15.218246829584199</v>
      </c>
      <c r="L35">
        <v>2.901409898584667E-5</v>
      </c>
      <c r="M35">
        <v>1.8008504863880046E-6</v>
      </c>
      <c r="N35" s="1">
        <v>-3.8961578044369E-7</v>
      </c>
      <c r="O35" s="1">
        <v>1.4395271799750699E-10</v>
      </c>
      <c r="P35" s="1">
        <v>1.43457411372963E-9</v>
      </c>
      <c r="Q35">
        <v>66.138000442080894</v>
      </c>
      <c r="S35">
        <v>19.037204617832501</v>
      </c>
      <c r="AA35">
        <v>0.27349049632245398</v>
      </c>
      <c r="AB35">
        <v>4.9584175750636597</v>
      </c>
      <c r="AC35">
        <v>9.5928868687003899</v>
      </c>
      <c r="AJ35">
        <v>0.43415046936034302</v>
      </c>
      <c r="AK35">
        <v>1.32327530067159E-2</v>
      </c>
      <c r="AL35">
        <v>0.55261677763294004</v>
      </c>
    </row>
    <row r="36" spans="1:38" x14ac:dyDescent="0.2">
      <c r="A36">
        <v>56</v>
      </c>
      <c r="B36">
        <v>756</v>
      </c>
      <c r="C36">
        <v>200</v>
      </c>
      <c r="D36">
        <v>0.38206335325268598</v>
      </c>
      <c r="E36">
        <v>1.20786862444014</v>
      </c>
      <c r="F36">
        <v>2.5660396044165701</v>
      </c>
      <c r="G36">
        <v>-19.567335386180837</v>
      </c>
      <c r="H36">
        <v>-16.949431825975037</v>
      </c>
      <c r="I36">
        <v>2.5437531557166499</v>
      </c>
      <c r="J36">
        <v>1.4751689171014</v>
      </c>
      <c r="K36">
        <v>0.47071316528443202</v>
      </c>
      <c r="L36">
        <v>3.1526708159014369E-5</v>
      </c>
      <c r="M36">
        <v>1.8220470493450554E-6</v>
      </c>
      <c r="N36" s="1">
        <v>-1.7421367019381602E-8</v>
      </c>
      <c r="O36" s="1">
        <v>4.1877199137720598E-12</v>
      </c>
      <c r="P36" s="1">
        <v>6.0785267969328905E-11</v>
      </c>
      <c r="Q36">
        <v>65.657644945291096</v>
      </c>
      <c r="S36">
        <v>21.031068642456599</v>
      </c>
      <c r="AA36">
        <v>2.0305331204675299</v>
      </c>
      <c r="AB36">
        <v>9.1151448666593708</v>
      </c>
      <c r="AC36">
        <v>2.1656084251252801</v>
      </c>
      <c r="AJ36">
        <v>0.781608830609552</v>
      </c>
      <c r="AK36">
        <v>9.6215878647142802E-2</v>
      </c>
      <c r="AL36">
        <v>0.12217529074330501</v>
      </c>
    </row>
    <row r="37" spans="1:38" x14ac:dyDescent="0.2">
      <c r="A37">
        <v>57</v>
      </c>
      <c r="B37">
        <v>755</v>
      </c>
      <c r="C37">
        <v>200</v>
      </c>
      <c r="D37">
        <v>0.38139425181150599</v>
      </c>
      <c r="E37">
        <v>2.6801926331256598</v>
      </c>
      <c r="F37">
        <v>2.56378672666838</v>
      </c>
      <c r="G37">
        <v>-43.382202031818686</v>
      </c>
      <c r="H37">
        <v>-37.581909187036665</v>
      </c>
      <c r="I37">
        <v>5.6414850408812098</v>
      </c>
      <c r="J37">
        <v>3.2728640695680702</v>
      </c>
      <c r="K37">
        <v>1.04540389621587</v>
      </c>
      <c r="L37">
        <v>3.1545541105926969E-5</v>
      </c>
      <c r="M37">
        <v>1.8240303416997304E-6</v>
      </c>
      <c r="N37" s="1">
        <v>-3.94842168174085E-8</v>
      </c>
      <c r="O37" s="1">
        <v>9.3214603595018297E-12</v>
      </c>
      <c r="P37" s="1">
        <v>1.3721037494293801E-10</v>
      </c>
      <c r="Q37">
        <v>65.780678414227594</v>
      </c>
      <c r="S37">
        <v>20.897110472577101</v>
      </c>
      <c r="AA37">
        <v>1.89130808069395</v>
      </c>
      <c r="AB37">
        <v>9.0381295973040796</v>
      </c>
      <c r="AC37">
        <v>2.3927734351971099</v>
      </c>
      <c r="AJ37">
        <v>0.77530360026828204</v>
      </c>
      <c r="AK37">
        <v>8.9653305132583294E-2</v>
      </c>
      <c r="AL37">
        <v>0.13504309459913399</v>
      </c>
    </row>
    <row r="38" spans="1:38" x14ac:dyDescent="0.2">
      <c r="A38">
        <v>58</v>
      </c>
      <c r="B38">
        <v>754</v>
      </c>
      <c r="C38">
        <v>200</v>
      </c>
      <c r="D38">
        <v>0.38072384753930699</v>
      </c>
      <c r="E38">
        <v>5.0522103634196496</v>
      </c>
      <c r="F38">
        <v>2.5620918603473899</v>
      </c>
      <c r="G38">
        <v>-81.714927964369735</v>
      </c>
      <c r="H38">
        <v>-70.798569321372312</v>
      </c>
      <c r="I38">
        <v>10.627813506301299</v>
      </c>
      <c r="J38">
        <v>6.1683370133716497</v>
      </c>
      <c r="K38">
        <v>1.97190836191744</v>
      </c>
      <c r="L38">
        <v>3.1543432640944811E-5</v>
      </c>
      <c r="M38">
        <v>1.8249237725109277E-6</v>
      </c>
      <c r="N38" s="1">
        <v>-7.5939867836106405E-8</v>
      </c>
      <c r="O38" s="1">
        <v>1.7607982985926601E-11</v>
      </c>
      <c r="P38" s="1">
        <v>2.6290588534034801E-10</v>
      </c>
      <c r="Q38">
        <v>65.852148071835998</v>
      </c>
      <c r="S38">
        <v>20.803975105534199</v>
      </c>
      <c r="AA38">
        <v>1.79779398170353</v>
      </c>
      <c r="AB38">
        <v>8.9532294241075903</v>
      </c>
      <c r="AC38">
        <v>2.5928534168185799</v>
      </c>
      <c r="AJ38">
        <v>0.76834621043017004</v>
      </c>
      <c r="AK38">
        <v>8.5256588952743503E-2</v>
      </c>
      <c r="AL38">
        <v>0.146397200617085</v>
      </c>
    </row>
    <row r="39" spans="1:38" x14ac:dyDescent="0.2">
      <c r="A39">
        <v>58</v>
      </c>
      <c r="B39">
        <v>754</v>
      </c>
      <c r="C39">
        <v>200</v>
      </c>
      <c r="D39">
        <v>0.38072384753930699</v>
      </c>
      <c r="E39">
        <v>3.49553404519349</v>
      </c>
      <c r="F39">
        <v>2.5237476713293798</v>
      </c>
      <c r="G39">
        <v>-55.42815776674032</v>
      </c>
      <c r="H39">
        <v>-47.971805375685555</v>
      </c>
      <c r="I39">
        <v>7.2592633900158301</v>
      </c>
      <c r="J39">
        <v>4.1744334007769899</v>
      </c>
      <c r="K39">
        <v>1.3850568679681901</v>
      </c>
      <c r="L39">
        <v>2.9027420830055799E-5</v>
      </c>
      <c r="M39">
        <v>1.8045958529851127E-6</v>
      </c>
      <c r="N39" s="1">
        <v>-2.7386506225683499E-8</v>
      </c>
      <c r="O39" s="1">
        <v>1.3130737430838099E-11</v>
      </c>
      <c r="P39" s="1">
        <v>1.07492468880644E-10</v>
      </c>
      <c r="Q39">
        <v>66.218046857990103</v>
      </c>
      <c r="S39">
        <v>19.095966476505801</v>
      </c>
      <c r="AA39">
        <v>0.30329189455338201</v>
      </c>
      <c r="AB39">
        <v>5.2908485730747401</v>
      </c>
      <c r="AC39">
        <v>9.0918461978759009</v>
      </c>
      <c r="AJ39">
        <v>0.462478000215163</v>
      </c>
      <c r="AK39">
        <v>1.4649990423611901E-2</v>
      </c>
      <c r="AL39">
        <v>0.52287200936122402</v>
      </c>
    </row>
    <row r="40" spans="1:38" x14ac:dyDescent="0.2">
      <c r="A40">
        <v>59</v>
      </c>
      <c r="B40">
        <v>753</v>
      </c>
      <c r="C40">
        <v>200</v>
      </c>
      <c r="D40">
        <v>0.380052136627202</v>
      </c>
      <c r="E40">
        <v>8.2837785758071796</v>
      </c>
      <c r="F40">
        <v>2.5631023279470799</v>
      </c>
      <c r="G40">
        <v>-133.99370147830192</v>
      </c>
      <c r="H40">
        <v>-116.12328517914</v>
      </c>
      <c r="I40">
        <v>17.415013691138601</v>
      </c>
      <c r="J40">
        <v>10.1178796201393</v>
      </c>
      <c r="K40">
        <v>3.2319343966427101</v>
      </c>
      <c r="L40">
        <v>3.1569510262713242E-5</v>
      </c>
      <c r="M40">
        <v>1.8238822595700116E-6</v>
      </c>
      <c r="N40" s="1">
        <v>-1.2856808012120601E-7</v>
      </c>
      <c r="O40" s="1">
        <v>2.8790008237164601E-11</v>
      </c>
      <c r="P40" s="1">
        <v>4.4276872456900299E-10</v>
      </c>
      <c r="Q40">
        <v>65.785643910143307</v>
      </c>
      <c r="S40">
        <v>20.863362527812001</v>
      </c>
      <c r="AA40">
        <v>1.8623070501221799</v>
      </c>
      <c r="AB40">
        <v>8.9607203139791096</v>
      </c>
      <c r="AC40">
        <v>2.5279661979432699</v>
      </c>
      <c r="AJ40">
        <v>0.76895938176358603</v>
      </c>
      <c r="AK40">
        <v>8.8312576524741004E-2</v>
      </c>
      <c r="AL40">
        <v>0.142728041711671</v>
      </c>
    </row>
    <row r="41" spans="1:38" x14ac:dyDescent="0.2">
      <c r="A41">
        <v>59</v>
      </c>
      <c r="B41">
        <v>753</v>
      </c>
      <c r="C41">
        <v>200</v>
      </c>
      <c r="D41">
        <v>0.380052136627202</v>
      </c>
      <c r="E41">
        <v>13.048610846072499</v>
      </c>
      <c r="F41">
        <v>2.5236190409726</v>
      </c>
      <c r="G41">
        <v>-206.82104449913106</v>
      </c>
      <c r="H41">
        <v>-179.03911992207213</v>
      </c>
      <c r="I41">
        <v>27.073941019401499</v>
      </c>
      <c r="J41">
        <v>15.579273738814701</v>
      </c>
      <c r="K41">
        <v>5.1705945446677299</v>
      </c>
      <c r="L41">
        <v>2.8996111289482073E-5</v>
      </c>
      <c r="M41">
        <v>1.8039610211272747E-6</v>
      </c>
      <c r="N41" s="1">
        <v>-1.04101953544013E-7</v>
      </c>
      <c r="O41" s="1">
        <v>4.9023783203818397E-11</v>
      </c>
      <c r="P41" s="1">
        <v>4.0654261595508899E-10</v>
      </c>
      <c r="Q41">
        <v>66.198209869459106</v>
      </c>
      <c r="S41">
        <v>19.087022576048799</v>
      </c>
      <c r="AA41">
        <v>0.30054177518289898</v>
      </c>
      <c r="AB41">
        <v>5.223195309916</v>
      </c>
      <c r="AC41">
        <v>9.1910304693930591</v>
      </c>
      <c r="AJ41">
        <v>0.45672074107369898</v>
      </c>
      <c r="AK41">
        <v>1.4522122860654799E-2</v>
      </c>
      <c r="AL41">
        <v>0.52875713606564501</v>
      </c>
    </row>
    <row r="42" spans="1:38" x14ac:dyDescent="0.2">
      <c r="A42">
        <v>60</v>
      </c>
      <c r="B42">
        <v>752</v>
      </c>
      <c r="C42">
        <v>200</v>
      </c>
      <c r="D42">
        <v>0.37937911525142798</v>
      </c>
      <c r="E42">
        <v>10.4102158881409</v>
      </c>
      <c r="F42">
        <v>2.5637811190814399</v>
      </c>
      <c r="G42">
        <v>-168.39187724199476</v>
      </c>
      <c r="H42">
        <v>-145.96941430868668</v>
      </c>
      <c r="I42">
        <v>21.8723727584334</v>
      </c>
      <c r="J42">
        <v>12.7203001144319</v>
      </c>
      <c r="K42">
        <v>4.0604932342550102</v>
      </c>
      <c r="L42">
        <v>3.1603579094648498E-5</v>
      </c>
      <c r="M42">
        <v>1.8233212355109015E-6</v>
      </c>
      <c r="N42" s="1">
        <v>-1.66827019720948E-7</v>
      </c>
      <c r="O42" s="1">
        <v>3.60986396271892E-11</v>
      </c>
      <c r="P42" s="1">
        <v>5.7156273113325295E-10</v>
      </c>
      <c r="Q42">
        <v>65.744105360334402</v>
      </c>
      <c r="S42">
        <v>20.901188761880402</v>
      </c>
      <c r="AA42">
        <v>1.9032065332678001</v>
      </c>
      <c r="AB42">
        <v>8.9673202732942805</v>
      </c>
      <c r="AC42">
        <v>2.4841790712229601</v>
      </c>
      <c r="AJ42">
        <v>0.76949984944552496</v>
      </c>
      <c r="AK42">
        <v>9.02490352934745E-2</v>
      </c>
      <c r="AL42">
        <v>0.14025111526099901</v>
      </c>
    </row>
    <row r="43" spans="1:38" x14ac:dyDescent="0.2">
      <c r="A43">
        <v>60</v>
      </c>
      <c r="B43">
        <v>752</v>
      </c>
      <c r="C43">
        <v>200</v>
      </c>
      <c r="D43">
        <v>0.37937911525142798</v>
      </c>
      <c r="E43">
        <v>19.0617506778501</v>
      </c>
      <c r="F43">
        <v>2.5235422014148998</v>
      </c>
      <c r="G43">
        <v>-302.02704372378923</v>
      </c>
      <c r="H43">
        <v>-261.51447218340894</v>
      </c>
      <c r="I43">
        <v>39.518676818397601</v>
      </c>
      <c r="J43">
        <v>22.756274632102201</v>
      </c>
      <c r="K43">
        <v>7.5535692120237199</v>
      </c>
      <c r="L43">
        <v>2.8981490408079061E-5</v>
      </c>
      <c r="M43">
        <v>1.8035850988698064E-6</v>
      </c>
      <c r="N43" s="1">
        <v>-1.5567740882025699E-7</v>
      </c>
      <c r="O43" s="1">
        <v>7.1609864228521799E-11</v>
      </c>
      <c r="P43" s="1">
        <v>6.0415009918493702E-10</v>
      </c>
      <c r="Q43">
        <v>66.185545397882194</v>
      </c>
      <c r="S43">
        <v>19.079995948629001</v>
      </c>
      <c r="AA43">
        <v>0.29769981692268099</v>
      </c>
      <c r="AB43">
        <v>5.1765519967437399</v>
      </c>
      <c r="AC43">
        <v>9.2602068398222599</v>
      </c>
      <c r="AJ43">
        <v>0.45274913025575803</v>
      </c>
      <c r="AK43">
        <v>1.43881978755316E-2</v>
      </c>
      <c r="AL43">
        <v>0.53286267186870895</v>
      </c>
    </row>
    <row r="44" spans="1:38" x14ac:dyDescent="0.2">
      <c r="A44">
        <v>61</v>
      </c>
      <c r="B44">
        <v>751</v>
      </c>
      <c r="C44">
        <v>200</v>
      </c>
      <c r="D44">
        <v>0.378704779573308</v>
      </c>
      <c r="E44">
        <v>16.138345349441298</v>
      </c>
      <c r="F44">
        <v>2.5649246104796499</v>
      </c>
      <c r="G44">
        <v>-261.07378712832929</v>
      </c>
      <c r="H44">
        <v>-226.3697604668113</v>
      </c>
      <c r="I44">
        <v>33.885687312911102</v>
      </c>
      <c r="J44">
        <v>19.727494364251001</v>
      </c>
      <c r="K44">
        <v>6.2919375031546796</v>
      </c>
      <c r="L44">
        <v>3.162480626657089E-5</v>
      </c>
      <c r="M44">
        <v>1.8219641739452833E-6</v>
      </c>
      <c r="N44" s="1">
        <v>-2.6692022588160902E-7</v>
      </c>
      <c r="O44" s="1">
        <v>5.5786527801854197E-11</v>
      </c>
      <c r="P44" s="1">
        <v>9.0996684350355595E-10</v>
      </c>
      <c r="Q44">
        <v>65.663237937606496</v>
      </c>
      <c r="S44">
        <v>20.9711640797426</v>
      </c>
      <c r="AA44">
        <v>1.9798061945590799</v>
      </c>
      <c r="AB44">
        <v>8.9705609508705901</v>
      </c>
      <c r="AC44">
        <v>2.4152308372211801</v>
      </c>
      <c r="AJ44">
        <v>0.76976428016126097</v>
      </c>
      <c r="AK44">
        <v>9.38796846545321E-2</v>
      </c>
      <c r="AL44">
        <v>0.136356035184205</v>
      </c>
    </row>
    <row r="45" spans="1:38" x14ac:dyDescent="0.2">
      <c r="A45">
        <v>61</v>
      </c>
      <c r="B45">
        <v>751</v>
      </c>
      <c r="C45">
        <v>200</v>
      </c>
      <c r="D45">
        <v>0.378704779573308</v>
      </c>
      <c r="E45">
        <v>33.658975504352597</v>
      </c>
      <c r="F45">
        <v>2.5234163774132399</v>
      </c>
      <c r="G45">
        <v>-533.07263424434177</v>
      </c>
      <c r="H45">
        <v>-461.67307358507003</v>
      </c>
      <c r="I45">
        <v>69.715921163180795</v>
      </c>
      <c r="J45">
        <v>40.171929251870303</v>
      </c>
      <c r="K45">
        <v>13.3386530283426</v>
      </c>
      <c r="L45">
        <v>2.8945431678245445E-5</v>
      </c>
      <c r="M45">
        <v>1.8028764047527223E-6</v>
      </c>
      <c r="N45" s="1">
        <v>-2.7944214305849399E-7</v>
      </c>
      <c r="O45" s="1">
        <v>1.2647348356302899E-10</v>
      </c>
      <c r="P45" s="1">
        <v>1.0795681275619201E-9</v>
      </c>
      <c r="Q45">
        <v>66.163210048031601</v>
      </c>
      <c r="S45">
        <v>19.0708209512545</v>
      </c>
      <c r="AA45">
        <v>0.29534199868810601</v>
      </c>
      <c r="AB45">
        <v>5.1027254187269397</v>
      </c>
      <c r="AC45">
        <v>9.3679015832987798</v>
      </c>
      <c r="AJ45">
        <v>0.44645904611980503</v>
      </c>
      <c r="AK45">
        <v>1.4279579795923101E-2</v>
      </c>
      <c r="AL45">
        <v>0.53926137408427099</v>
      </c>
    </row>
    <row r="46" spans="1:38" x14ac:dyDescent="0.2">
      <c r="A46">
        <v>62</v>
      </c>
      <c r="B46">
        <v>750</v>
      </c>
      <c r="C46">
        <v>200</v>
      </c>
      <c r="D46">
        <v>0.37802912573913899</v>
      </c>
      <c r="E46">
        <v>17.957324039858602</v>
      </c>
      <c r="F46">
        <v>2.5653950816992999</v>
      </c>
      <c r="G46">
        <v>-290.49037015539693</v>
      </c>
      <c r="H46">
        <v>-251.93519901347042</v>
      </c>
      <c r="I46">
        <v>37.682813997875598</v>
      </c>
      <c r="J46">
        <v>21.960370322228599</v>
      </c>
      <c r="K46">
        <v>6.99982788926369</v>
      </c>
      <c r="L46">
        <v>3.1665302663136167E-5</v>
      </c>
      <c r="M46">
        <v>1.8216970179966564E-6</v>
      </c>
      <c r="N46" s="1">
        <v>-3.0666438637918599E-7</v>
      </c>
      <c r="O46" s="1">
        <v>6.1951058158455797E-11</v>
      </c>
      <c r="P46" s="1">
        <v>1.0402835559437999E-9</v>
      </c>
      <c r="Q46">
        <v>65.636937726317598</v>
      </c>
      <c r="S46">
        <v>20.995637670574101</v>
      </c>
      <c r="AA46">
        <v>2.0061339523419899</v>
      </c>
      <c r="AB46">
        <v>8.9761130403233</v>
      </c>
      <c r="AC46">
        <v>2.3851776104428102</v>
      </c>
      <c r="AJ46">
        <v>0.77021902803586495</v>
      </c>
      <c r="AK46">
        <v>9.5125433460903103E-2</v>
      </c>
      <c r="AL46">
        <v>0.134655538503231</v>
      </c>
    </row>
    <row r="47" spans="1:38" x14ac:dyDescent="0.2">
      <c r="A47">
        <v>62</v>
      </c>
      <c r="B47">
        <v>750</v>
      </c>
      <c r="C47">
        <v>200</v>
      </c>
      <c r="D47">
        <v>0.37802912573913899</v>
      </c>
      <c r="E47">
        <v>38.098271916159398</v>
      </c>
      <c r="F47">
        <v>2.5233758856167601</v>
      </c>
      <c r="G47">
        <v>-603.20996449358972</v>
      </c>
      <c r="H47">
        <v>-522.53190500452263</v>
      </c>
      <c r="I47">
        <v>78.852621305836905</v>
      </c>
      <c r="J47">
        <v>45.469595439448803</v>
      </c>
      <c r="K47">
        <v>15.0981358478217</v>
      </c>
      <c r="L47">
        <v>2.8941946548111653E-5</v>
      </c>
      <c r="M47">
        <v>1.8026669030899183E-6</v>
      </c>
      <c r="N47" s="1">
        <v>-3.2489567366063999E-7</v>
      </c>
      <c r="O47" s="1">
        <v>1.43119977125609E-10</v>
      </c>
      <c r="P47" s="1">
        <v>1.24650688135685E-9</v>
      </c>
      <c r="Q47">
        <v>66.155034150332995</v>
      </c>
      <c r="S47">
        <v>19.0651081019146</v>
      </c>
      <c r="AA47">
        <v>0.292536573444107</v>
      </c>
      <c r="AB47">
        <v>5.06952889181429</v>
      </c>
      <c r="AC47">
        <v>9.4177922824938491</v>
      </c>
      <c r="AJ47">
        <v>0.44362915852486501</v>
      </c>
      <c r="AK47">
        <v>1.41463188080023E-2</v>
      </c>
      <c r="AL47">
        <v>0.54222452266713195</v>
      </c>
    </row>
    <row r="48" spans="1:38" x14ac:dyDescent="0.2">
      <c r="A48">
        <v>63</v>
      </c>
      <c r="B48">
        <v>749</v>
      </c>
      <c r="C48">
        <v>200</v>
      </c>
      <c r="D48">
        <v>0.37735214988015597</v>
      </c>
      <c r="E48">
        <v>18.675978868045799</v>
      </c>
      <c r="F48">
        <v>2.5656467235532698</v>
      </c>
      <c r="G48">
        <v>-302.09344366301303</v>
      </c>
      <c r="H48">
        <v>-262.0573183288472</v>
      </c>
      <c r="I48">
        <v>39.168542126073199</v>
      </c>
      <c r="J48">
        <v>22.849428853075501</v>
      </c>
      <c r="K48">
        <v>7.2792480338761099</v>
      </c>
      <c r="L48">
        <v>3.1713529770354463E-5</v>
      </c>
      <c r="M48">
        <v>1.8217999954928401E-6</v>
      </c>
      <c r="N48" s="1">
        <v>-3.2938408046892298E-7</v>
      </c>
      <c r="O48" s="1">
        <v>6.4324523517520701E-11</v>
      </c>
      <c r="P48" s="1">
        <v>1.1118922229741301E-9</v>
      </c>
      <c r="Q48">
        <v>65.628801929652099</v>
      </c>
      <c r="S48">
        <v>21.0051185808077</v>
      </c>
      <c r="AA48">
        <v>2.0158541772898602</v>
      </c>
      <c r="AB48">
        <v>8.9828382924578793</v>
      </c>
      <c r="AC48">
        <v>2.3673870197923002</v>
      </c>
      <c r="AJ48">
        <v>0.77077019704480898</v>
      </c>
      <c r="AK48">
        <v>9.5583127208359195E-2</v>
      </c>
      <c r="AL48">
        <v>0.13364667574683101</v>
      </c>
    </row>
    <row r="49" spans="1:38" x14ac:dyDescent="0.2">
      <c r="A49">
        <v>63</v>
      </c>
      <c r="B49">
        <v>749</v>
      </c>
      <c r="C49">
        <v>200</v>
      </c>
      <c r="D49">
        <v>0.37735214988015597</v>
      </c>
      <c r="E49">
        <v>39.6812826706972</v>
      </c>
      <c r="F49">
        <v>2.5233617955128702</v>
      </c>
      <c r="G49">
        <v>-628.13179610175462</v>
      </c>
      <c r="H49">
        <v>-544.24006566228104</v>
      </c>
      <c r="I49">
        <v>82.073795861149094</v>
      </c>
      <c r="J49">
        <v>47.362345629498101</v>
      </c>
      <c r="K49">
        <v>15.725562121634599</v>
      </c>
      <c r="L49">
        <v>2.8949351391794162E-5</v>
      </c>
      <c r="M49">
        <v>1.8026177070962203E-6</v>
      </c>
      <c r="N49" s="1">
        <v>-3.4875643928330601E-7</v>
      </c>
      <c r="O49" s="1">
        <v>1.4900800554525899E-10</v>
      </c>
      <c r="P49" s="1">
        <v>1.3279599877583701E-9</v>
      </c>
      <c r="Q49">
        <v>66.151383595942505</v>
      </c>
      <c r="S49">
        <v>19.060505543965199</v>
      </c>
      <c r="AA49">
        <v>0.28959122297010598</v>
      </c>
      <c r="AB49">
        <v>5.0493276230520303</v>
      </c>
      <c r="AC49">
        <v>9.4491920140701104</v>
      </c>
      <c r="AJ49">
        <v>0.44190661708729101</v>
      </c>
      <c r="AK49">
        <v>1.40053233281267E-2</v>
      </c>
      <c r="AL49">
        <v>0.54408805958458095</v>
      </c>
    </row>
    <row r="50" spans="1:38" x14ac:dyDescent="0.2">
      <c r="A50">
        <v>65</v>
      </c>
      <c r="B50">
        <v>766</v>
      </c>
      <c r="C50">
        <v>175</v>
      </c>
      <c r="D50">
        <v>0.41514747630275201</v>
      </c>
      <c r="E50">
        <v>6.8627879627855701E-2</v>
      </c>
      <c r="F50">
        <v>2.56613681553495</v>
      </c>
      <c r="G50">
        <v>-1.1145811129251089</v>
      </c>
      <c r="H50">
        <v>-0.96354057031833695</v>
      </c>
      <c r="I50">
        <v>0.14535008671199701</v>
      </c>
      <c r="J50">
        <v>8.3601090719147994E-2</v>
      </c>
      <c r="K50">
        <v>2.6743655760049199E-2</v>
      </c>
      <c r="L50">
        <v>3.116995202906558E-5</v>
      </c>
      <c r="M50">
        <v>1.8200247433037321E-6</v>
      </c>
      <c r="N50" s="1">
        <v>-7.1800557622000602E-10</v>
      </c>
      <c r="O50" s="1">
        <v>2.3943856958551999E-13</v>
      </c>
      <c r="P50" s="1">
        <v>2.6677807847602601E-12</v>
      </c>
      <c r="Q50">
        <v>65.544676775100896</v>
      </c>
      <c r="S50">
        <v>21.152186221942401</v>
      </c>
      <c r="AA50">
        <v>2.15681594182819</v>
      </c>
      <c r="AB50">
        <v>9.1809268374833497</v>
      </c>
      <c r="AC50">
        <v>1.9653942236450499</v>
      </c>
      <c r="AJ50">
        <v>0.78699042205910996</v>
      </c>
      <c r="AK50">
        <v>0.10216609535718001</v>
      </c>
      <c r="AL50">
        <v>0.110843482583709</v>
      </c>
    </row>
    <row r="51" spans="1:38" x14ac:dyDescent="0.2">
      <c r="A51">
        <v>66</v>
      </c>
      <c r="B51">
        <v>765</v>
      </c>
      <c r="C51">
        <v>175</v>
      </c>
      <c r="D51">
        <v>0.41451668833983701</v>
      </c>
      <c r="E51">
        <v>0.50986374189198502</v>
      </c>
      <c r="F51">
        <v>2.5656055943371001</v>
      </c>
      <c r="G51">
        <v>-8.2784421126088201</v>
      </c>
      <c r="H51">
        <v>-7.1579453888261986</v>
      </c>
      <c r="I51">
        <v>1.0793206413163901</v>
      </c>
      <c r="J51">
        <v>0.621227110533074</v>
      </c>
      <c r="K51">
        <v>0.19873036721519999</v>
      </c>
      <c r="L51">
        <v>3.1209693440375229E-5</v>
      </c>
      <c r="M51">
        <v>1.821072537643401E-6</v>
      </c>
      <c r="N51" s="1">
        <v>-5.49802485157346E-9</v>
      </c>
      <c r="O51" s="1">
        <v>1.77941360818713E-12</v>
      </c>
      <c r="P51" s="1">
        <v>2.0293013583617601E-11</v>
      </c>
      <c r="Q51">
        <v>65.590888887732106</v>
      </c>
      <c r="S51">
        <v>21.111558285107801</v>
      </c>
      <c r="AA51">
        <v>2.1125145132203902</v>
      </c>
      <c r="AB51">
        <v>9.1773966342833493</v>
      </c>
      <c r="AC51">
        <v>2.0076416796562899</v>
      </c>
      <c r="AJ51">
        <v>0.78670234061911004</v>
      </c>
      <c r="AK51">
        <v>0.100069431421207</v>
      </c>
      <c r="AL51">
        <v>0.113228227959682</v>
      </c>
    </row>
    <row r="52" spans="1:38" x14ac:dyDescent="0.2">
      <c r="A52">
        <v>67</v>
      </c>
      <c r="B52">
        <v>764</v>
      </c>
      <c r="C52">
        <v>175</v>
      </c>
      <c r="D52">
        <v>0.41388468398978101</v>
      </c>
      <c r="E52">
        <v>0.95299566867432794</v>
      </c>
      <c r="F52">
        <v>2.5650784962522399</v>
      </c>
      <c r="G52">
        <v>-15.469196282770604</v>
      </c>
      <c r="H52">
        <v>-13.377935064903616</v>
      </c>
      <c r="I52">
        <v>2.01635367870316</v>
      </c>
      <c r="J52">
        <v>1.16137694052757</v>
      </c>
      <c r="K52">
        <v>0.37152690261398202</v>
      </c>
      <c r="L52">
        <v>3.1248956815318832E-5</v>
      </c>
      <c r="M52">
        <v>1.8220827282723202E-6</v>
      </c>
      <c r="N52" s="1">
        <v>-1.05901478706142E-8</v>
      </c>
      <c r="O52" s="1">
        <v>3.32681044910171E-12</v>
      </c>
      <c r="P52" s="1">
        <v>3.8835982905160802E-11</v>
      </c>
      <c r="Q52">
        <v>65.635657695302498</v>
      </c>
      <c r="S52">
        <v>21.0716974081502</v>
      </c>
      <c r="AA52">
        <v>2.06918269236987</v>
      </c>
      <c r="AB52">
        <v>9.1726610503347406</v>
      </c>
      <c r="AC52">
        <v>2.0508011538425399</v>
      </c>
      <c r="AJ52">
        <v>0.78631560631272401</v>
      </c>
      <c r="AK52">
        <v>9.8019205301787607E-2</v>
      </c>
      <c r="AL52">
        <v>0.11566518838548701</v>
      </c>
    </row>
    <row r="53" spans="1:38" x14ac:dyDescent="0.2">
      <c r="A53">
        <v>68</v>
      </c>
      <c r="B53">
        <v>763</v>
      </c>
      <c r="C53">
        <v>175</v>
      </c>
      <c r="D53">
        <v>0.41325145973073701</v>
      </c>
      <c r="E53">
        <v>1.39785586102833</v>
      </c>
      <c r="F53">
        <v>2.5645553089089699</v>
      </c>
      <c r="G53">
        <v>-22.684043429849009</v>
      </c>
      <c r="H53">
        <v>-19.621106692800815</v>
      </c>
      <c r="I53">
        <v>2.9560746388536301</v>
      </c>
      <c r="J53">
        <v>1.70385173305811</v>
      </c>
      <c r="K53">
        <v>0.54506754296635296</v>
      </c>
      <c r="L53">
        <v>3.1287755779631418E-5</v>
      </c>
      <c r="M53">
        <v>1.8230556791127399E-6</v>
      </c>
      <c r="N53" s="1">
        <v>-1.6005460513337701E-8</v>
      </c>
      <c r="O53" s="1">
        <v>4.8808894381571097E-12</v>
      </c>
      <c r="P53" s="1">
        <v>5.8326385404299201E-11</v>
      </c>
      <c r="Q53">
        <v>65.678999109936498</v>
      </c>
      <c r="S53">
        <v>21.032588071830801</v>
      </c>
      <c r="AA53">
        <v>2.02680396286903</v>
      </c>
      <c r="AB53">
        <v>9.1667148592506997</v>
      </c>
      <c r="AC53">
        <v>2.0948939961128898</v>
      </c>
      <c r="AJ53">
        <v>0.78582977761404404</v>
      </c>
      <c r="AK53">
        <v>9.6014603840546803E-2</v>
      </c>
      <c r="AL53">
        <v>0.118155618545409</v>
      </c>
    </row>
    <row r="54" spans="1:38" x14ac:dyDescent="0.2">
      <c r="A54">
        <v>69</v>
      </c>
      <c r="B54">
        <v>762</v>
      </c>
      <c r="C54">
        <v>175</v>
      </c>
      <c r="D54">
        <v>0.41261701202724399</v>
      </c>
      <c r="E54">
        <v>2.4087606376604498</v>
      </c>
      <c r="F54">
        <v>2.5632086757772998</v>
      </c>
      <c r="G54">
        <v>-39.067626328595658</v>
      </c>
      <c r="H54">
        <v>-33.797402098551672</v>
      </c>
      <c r="I54">
        <v>5.0912662223291196</v>
      </c>
      <c r="J54">
        <v>2.9361122416563599</v>
      </c>
      <c r="K54">
        <v>0.93974425899209602</v>
      </c>
      <c r="L54">
        <v>3.131638407821921E-5</v>
      </c>
      <c r="M54">
        <v>1.8245399730692624E-6</v>
      </c>
      <c r="N54" s="1">
        <v>-2.8297785759805502E-8</v>
      </c>
      <c r="O54" s="1">
        <v>8.4246904054878603E-12</v>
      </c>
      <c r="P54" s="1">
        <v>1.02559734752547E-10</v>
      </c>
      <c r="Q54">
        <v>65.761417336222294</v>
      </c>
      <c r="S54">
        <v>20.947854452736799</v>
      </c>
      <c r="AA54">
        <v>1.9376666931392099</v>
      </c>
      <c r="AB54">
        <v>9.1282392588631698</v>
      </c>
      <c r="AC54">
        <v>2.2248222590383402</v>
      </c>
      <c r="AJ54">
        <v>0.78268233942534504</v>
      </c>
      <c r="AK54">
        <v>9.1809661075096693E-2</v>
      </c>
      <c r="AL54">
        <v>0.12550799949955799</v>
      </c>
    </row>
    <row r="55" spans="1:38" x14ac:dyDescent="0.2">
      <c r="A55">
        <v>70</v>
      </c>
      <c r="B55">
        <v>761</v>
      </c>
      <c r="C55">
        <v>175</v>
      </c>
      <c r="D55">
        <v>0.411981337330175</v>
      </c>
      <c r="E55">
        <v>3.8904339269371002</v>
      </c>
      <c r="F55">
        <v>2.5610736930940501</v>
      </c>
      <c r="G55">
        <v>-63.046591544374664</v>
      </c>
      <c r="H55">
        <v>-54.547433790953832</v>
      </c>
      <c r="I55">
        <v>8.2184961112225796</v>
      </c>
      <c r="J55">
        <v>4.7411476256573399</v>
      </c>
      <c r="K55">
        <v>1.51906364015517</v>
      </c>
      <c r="L55">
        <v>3.1323405057972134E-5</v>
      </c>
      <c r="M55">
        <v>1.8261964682567648E-6</v>
      </c>
      <c r="N55" s="1">
        <v>-4.6629595779225301E-8</v>
      </c>
      <c r="O55" s="1">
        <v>1.3647980624895099E-11</v>
      </c>
      <c r="P55" s="1">
        <v>1.6825618764347E-10</v>
      </c>
      <c r="Q55">
        <v>65.870663545514702</v>
      </c>
      <c r="S55">
        <v>20.823988821229602</v>
      </c>
      <c r="AA55">
        <v>1.80998516941611</v>
      </c>
      <c r="AB55">
        <v>9.0469587220965906</v>
      </c>
      <c r="AC55">
        <v>2.4484037417428799</v>
      </c>
      <c r="AJ55">
        <v>0.77602830569429004</v>
      </c>
      <c r="AK55">
        <v>8.5794759346238703E-2</v>
      </c>
      <c r="AL55">
        <v>0.13817693495947</v>
      </c>
    </row>
    <row r="56" spans="1:38" x14ac:dyDescent="0.2">
      <c r="A56">
        <v>71</v>
      </c>
      <c r="B56">
        <v>760</v>
      </c>
      <c r="C56">
        <v>175</v>
      </c>
      <c r="D56">
        <v>0.41134443207665999</v>
      </c>
      <c r="E56">
        <v>5.6077260700017098</v>
      </c>
      <c r="F56">
        <v>2.5583532331739298</v>
      </c>
      <c r="G56">
        <v>-90.777439675926047</v>
      </c>
      <c r="H56">
        <v>-78.546346347467662</v>
      </c>
      <c r="I56">
        <v>11.8386423350514</v>
      </c>
      <c r="J56">
        <v>6.8306582694970697</v>
      </c>
      <c r="K56">
        <v>2.1919279938699701</v>
      </c>
      <c r="L56">
        <v>3.1298400610974519E-5</v>
      </c>
      <c r="M56">
        <v>1.8275569747769959E-6</v>
      </c>
      <c r="N56" s="1">
        <v>-6.8133093672282796E-8</v>
      </c>
      <c r="O56" s="1">
        <v>1.9750976884650302E-11</v>
      </c>
      <c r="P56" s="1">
        <v>2.45054301267228E-10</v>
      </c>
      <c r="Q56">
        <v>65.985670694597204</v>
      </c>
      <c r="S56">
        <v>20.677009545535501</v>
      </c>
      <c r="AA56">
        <v>1.6618904160311001</v>
      </c>
      <c r="AB56">
        <v>8.9179207075483102</v>
      </c>
      <c r="AC56">
        <v>2.7575086362878301</v>
      </c>
      <c r="AJ56">
        <v>0.76545259321222203</v>
      </c>
      <c r="AK56">
        <v>7.8825705379639802E-2</v>
      </c>
      <c r="AL56">
        <v>0.15572170140813699</v>
      </c>
    </row>
    <row r="57" spans="1:38" x14ac:dyDescent="0.2">
      <c r="A57">
        <v>72</v>
      </c>
      <c r="B57">
        <v>759</v>
      </c>
      <c r="C57">
        <v>175</v>
      </c>
      <c r="D57">
        <v>0.41070629269001901</v>
      </c>
      <c r="E57">
        <v>8.1301885389997697</v>
      </c>
      <c r="F57">
        <v>2.5591637921700698</v>
      </c>
      <c r="G57">
        <v>-131.60663180340927</v>
      </c>
      <c r="H57">
        <v>-113.90223826414176</v>
      </c>
      <c r="I57">
        <v>17.1529269382042</v>
      </c>
      <c r="J57">
        <v>9.9050741024473297</v>
      </c>
      <c r="K57">
        <v>3.17689260995119</v>
      </c>
      <c r="L57">
        <v>3.1299167241996957E-5</v>
      </c>
      <c r="M57">
        <v>1.8262591983529965E-6</v>
      </c>
      <c r="N57" s="1">
        <v>-1.0164448598565099E-7</v>
      </c>
      <c r="O57" s="1">
        <v>2.8573284324505E-11</v>
      </c>
      <c r="P57" s="1">
        <v>3.6357238537273698E-10</v>
      </c>
      <c r="Q57">
        <v>65.916616075644797</v>
      </c>
      <c r="S57">
        <v>20.7294891099964</v>
      </c>
      <c r="AA57">
        <v>1.7212995453545601</v>
      </c>
      <c r="AB57">
        <v>8.9016181928169296</v>
      </c>
      <c r="AC57">
        <v>2.7309770761871701</v>
      </c>
      <c r="AJ57">
        <v>0.76411421869065599</v>
      </c>
      <c r="AK57">
        <v>8.1650070277179507E-2</v>
      </c>
      <c r="AL57">
        <v>0.15423571103216399</v>
      </c>
    </row>
    <row r="58" spans="1:38" x14ac:dyDescent="0.2">
      <c r="A58">
        <v>72</v>
      </c>
      <c r="B58">
        <v>759</v>
      </c>
      <c r="C58">
        <v>175</v>
      </c>
      <c r="D58">
        <v>0.41070629269001901</v>
      </c>
      <c r="E58">
        <v>9.0599672303817709</v>
      </c>
      <c r="F58">
        <v>2.5230501992837699</v>
      </c>
      <c r="G58">
        <v>-143.96931230086753</v>
      </c>
      <c r="H58">
        <v>-124.47424453062634</v>
      </c>
      <c r="I58">
        <v>18.887824221519299</v>
      </c>
      <c r="J58">
        <v>10.821020950153301</v>
      </c>
      <c r="K58">
        <v>3.5908787042579</v>
      </c>
      <c r="L58">
        <v>2.9034731759960599E-5</v>
      </c>
      <c r="M58">
        <v>1.8073252100569983E-6</v>
      </c>
      <c r="N58" s="1">
        <v>-6.0764149849335896E-8</v>
      </c>
      <c r="O58" s="1">
        <v>3.4065516547695801E-11</v>
      </c>
      <c r="P58" s="1">
        <v>2.49183517658131E-10</v>
      </c>
      <c r="Q58">
        <v>66.255904425385296</v>
      </c>
      <c r="S58">
        <v>19.133968467962902</v>
      </c>
      <c r="AA58">
        <v>0.32581038080918301</v>
      </c>
      <c r="AB58">
        <v>5.4748392933739298</v>
      </c>
      <c r="AC58">
        <v>8.8094774324686096</v>
      </c>
      <c r="AJ58">
        <v>0.47811544014266899</v>
      </c>
      <c r="AK58">
        <v>1.5723061065891601E-2</v>
      </c>
      <c r="AL58">
        <v>0.50616149879143801</v>
      </c>
    </row>
    <row r="59" spans="1:38" x14ac:dyDescent="0.2">
      <c r="A59">
        <v>73</v>
      </c>
      <c r="B59">
        <v>758</v>
      </c>
      <c r="C59">
        <v>175</v>
      </c>
      <c r="D59">
        <v>0.41006691557969399</v>
      </c>
      <c r="E59">
        <v>10.0613485023246</v>
      </c>
      <c r="F59">
        <v>2.5603384435243299</v>
      </c>
      <c r="G59">
        <v>-162.88796969590163</v>
      </c>
      <c r="H59">
        <v>-141.01272331952038</v>
      </c>
      <c r="I59">
        <v>21.214417278166302</v>
      </c>
      <c r="J59">
        <v>12.2622347367119</v>
      </c>
      <c r="K59">
        <v>3.9296947353862599</v>
      </c>
      <c r="L59">
        <v>3.1319158494126802E-5</v>
      </c>
      <c r="M59">
        <v>1.8250701200075739E-6</v>
      </c>
      <c r="N59" s="1">
        <v>-1.29937004770456E-7</v>
      </c>
      <c r="O59" s="1">
        <v>3.52594204798282E-11</v>
      </c>
      <c r="P59" s="1">
        <v>4.6196856581106101E-10</v>
      </c>
      <c r="Q59">
        <v>65.841434255135496</v>
      </c>
      <c r="S59">
        <v>20.7979982372755</v>
      </c>
      <c r="AA59">
        <v>1.79536292685167</v>
      </c>
      <c r="AB59">
        <v>8.9136851208565009</v>
      </c>
      <c r="AC59">
        <v>2.6515194598806699</v>
      </c>
      <c r="AJ59">
        <v>0.76510294960274505</v>
      </c>
      <c r="AK59">
        <v>8.5158034909893404E-2</v>
      </c>
      <c r="AL59">
        <v>0.14973901548735999</v>
      </c>
    </row>
    <row r="60" spans="1:38" x14ac:dyDescent="0.2">
      <c r="A60">
        <v>73</v>
      </c>
      <c r="B60">
        <v>758</v>
      </c>
      <c r="C60">
        <v>175</v>
      </c>
      <c r="D60">
        <v>0.41006691557969399</v>
      </c>
      <c r="E60">
        <v>16.312133141725401</v>
      </c>
      <c r="F60">
        <v>2.5228613925631902</v>
      </c>
      <c r="G60">
        <v>-259.08566249498421</v>
      </c>
      <c r="H60">
        <v>-224.05285044198976</v>
      </c>
      <c r="I60">
        <v>33.974506185321601</v>
      </c>
      <c r="J60">
        <v>19.476612897184999</v>
      </c>
      <c r="K60">
        <v>6.4657270469990404</v>
      </c>
      <c r="L60">
        <v>2.8992908461473013E-5</v>
      </c>
      <c r="M60">
        <v>1.8065407380845429E-6</v>
      </c>
      <c r="N60" s="1">
        <v>-1.11054495222396E-7</v>
      </c>
      <c r="O60" s="1">
        <v>6.1354472681227899E-11</v>
      </c>
      <c r="P60" s="1">
        <v>4.5328541724223501E-10</v>
      </c>
      <c r="Q60">
        <v>66.232716960977001</v>
      </c>
      <c r="S60">
        <v>19.123084961275499</v>
      </c>
      <c r="AA60">
        <v>0.32224185418069101</v>
      </c>
      <c r="AB60">
        <v>5.39463474446889</v>
      </c>
      <c r="AC60">
        <v>8.9273214790978095</v>
      </c>
      <c r="AJ60">
        <v>0.47130234112478198</v>
      </c>
      <c r="AK60">
        <v>1.5557158987666899E-2</v>
      </c>
      <c r="AL60">
        <v>0.51314049988754995</v>
      </c>
    </row>
    <row r="61" spans="1:38" x14ac:dyDescent="0.2">
      <c r="A61">
        <v>74</v>
      </c>
      <c r="B61">
        <v>757</v>
      </c>
      <c r="C61">
        <v>175</v>
      </c>
      <c r="D61">
        <v>0.40942629714119499</v>
      </c>
      <c r="E61">
        <v>14.1680277829416</v>
      </c>
      <c r="F61">
        <v>2.56212672074335</v>
      </c>
      <c r="G61">
        <v>-229.42869022192113</v>
      </c>
      <c r="H61">
        <v>-198.67502654091408</v>
      </c>
      <c r="I61">
        <v>29.853578295400698</v>
      </c>
      <c r="J61">
        <v>17.273367008425399</v>
      </c>
      <c r="K61">
        <v>5.5297919764214498</v>
      </c>
      <c r="L61">
        <v>3.132225865897031E-5</v>
      </c>
      <c r="M61">
        <v>1.8228438417478672E-6</v>
      </c>
      <c r="N61" s="1">
        <v>-1.88900513335202E-7</v>
      </c>
      <c r="O61" s="1">
        <v>4.9453827676524799E-11</v>
      </c>
      <c r="P61" s="1">
        <v>6.6774767523150798E-10</v>
      </c>
      <c r="Q61">
        <v>65.714880740139904</v>
      </c>
      <c r="S61">
        <v>20.9087084496824</v>
      </c>
      <c r="AA61">
        <v>1.91622951829614</v>
      </c>
      <c r="AB61">
        <v>8.9219086133513592</v>
      </c>
      <c r="AC61">
        <v>2.5382726785300598</v>
      </c>
      <c r="AJ61">
        <v>0.76577553319276803</v>
      </c>
      <c r="AK61">
        <v>9.0887055180797496E-2</v>
      </c>
      <c r="AL61">
        <v>0.14333741162643401</v>
      </c>
    </row>
    <row r="62" spans="1:38" x14ac:dyDescent="0.2">
      <c r="A62">
        <v>74</v>
      </c>
      <c r="B62">
        <v>757</v>
      </c>
      <c r="C62">
        <v>175</v>
      </c>
      <c r="D62">
        <v>0.40942629714119499</v>
      </c>
      <c r="E62">
        <v>29.4100275376701</v>
      </c>
      <c r="F62">
        <v>2.5225998221313799</v>
      </c>
      <c r="G62">
        <v>-466.82057546161832</v>
      </c>
      <c r="H62">
        <v>-403.79095819283418</v>
      </c>
      <c r="I62">
        <v>61.184892752302098</v>
      </c>
      <c r="J62">
        <v>35.096680545781503</v>
      </c>
      <c r="K62">
        <v>11.6586179383859</v>
      </c>
      <c r="L62">
        <v>2.8923199479407155E-5</v>
      </c>
      <c r="M62">
        <v>1.8053149495538581E-6</v>
      </c>
      <c r="N62" s="1">
        <v>-2.0130112734326499E-7</v>
      </c>
      <c r="O62" s="1">
        <v>1.10696609793771E-10</v>
      </c>
      <c r="P62" s="1">
        <v>8.1999489193609196E-10</v>
      </c>
      <c r="Q62">
        <v>66.196808415989494</v>
      </c>
      <c r="S62">
        <v>19.1091238303365</v>
      </c>
      <c r="AA62">
        <v>0.31910254627699097</v>
      </c>
      <c r="AB62">
        <v>5.2780135574761804</v>
      </c>
      <c r="AC62">
        <v>9.0969516499206708</v>
      </c>
      <c r="AJ62">
        <v>0.46138588506369799</v>
      </c>
      <c r="AK62">
        <v>1.54146923992494E-2</v>
      </c>
      <c r="AL62">
        <v>0.52319942253705098</v>
      </c>
    </row>
    <row r="63" spans="1:38" x14ac:dyDescent="0.2">
      <c r="A63">
        <v>75</v>
      </c>
      <c r="B63">
        <v>756</v>
      </c>
      <c r="C63">
        <v>175</v>
      </c>
      <c r="D63">
        <v>0.40878443375601398</v>
      </c>
      <c r="E63">
        <v>16.4653661470347</v>
      </c>
      <c r="F63">
        <v>2.56312392182826</v>
      </c>
      <c r="G63">
        <v>-266.65019074070887</v>
      </c>
      <c r="H63">
        <v>-230.96664256095093</v>
      </c>
      <c r="I63">
        <v>34.672835038388797</v>
      </c>
      <c r="J63">
        <v>20.081099636000801</v>
      </c>
      <c r="K63">
        <v>6.4239446274177903</v>
      </c>
      <c r="L63">
        <v>3.1341736128589959E-5</v>
      </c>
      <c r="M63">
        <v>1.8217403513149641E-6</v>
      </c>
      <c r="N63" s="1">
        <v>-2.26585893202929E-7</v>
      </c>
      <c r="O63" s="1">
        <v>5.7320823388794203E-11</v>
      </c>
      <c r="P63" s="1">
        <v>7.9643504290427696E-10</v>
      </c>
      <c r="Q63">
        <v>65.647221678379793</v>
      </c>
      <c r="S63">
        <v>20.9682641024548</v>
      </c>
      <c r="AA63">
        <v>1.9811508587375199</v>
      </c>
      <c r="AB63">
        <v>8.9272669084587193</v>
      </c>
      <c r="AC63">
        <v>2.4760964519690898</v>
      </c>
      <c r="AJ63">
        <v>0.76621397386615897</v>
      </c>
      <c r="AK63">
        <v>9.3963651616364399E-2</v>
      </c>
      <c r="AL63">
        <v>0.13982237451747601</v>
      </c>
    </row>
    <row r="64" spans="1:38" x14ac:dyDescent="0.2">
      <c r="A64">
        <v>75</v>
      </c>
      <c r="B64">
        <v>756</v>
      </c>
      <c r="C64">
        <v>175</v>
      </c>
      <c r="D64">
        <v>0.40878443375601398</v>
      </c>
      <c r="E64">
        <v>36.167695349576903</v>
      </c>
      <c r="F64">
        <v>2.52247170696476</v>
      </c>
      <c r="G64">
        <v>-573.84123893926517</v>
      </c>
      <c r="H64">
        <v>-496.4732968636917</v>
      </c>
      <c r="I64">
        <v>75.176545766480501</v>
      </c>
      <c r="J64">
        <v>43.150726196174503</v>
      </c>
      <c r="K64">
        <v>14.338196638525099</v>
      </c>
      <c r="L64">
        <v>2.8892027175880812E-5</v>
      </c>
      <c r="M64">
        <v>1.8047055733750294E-6</v>
      </c>
      <c r="N64" s="1">
        <v>-2.5213796191627699E-7</v>
      </c>
      <c r="O64" s="1">
        <v>1.3615694222483201E-10</v>
      </c>
      <c r="P64" s="1">
        <v>1.0213903040452801E-9</v>
      </c>
      <c r="Q64">
        <v>66.177896382365503</v>
      </c>
      <c r="S64">
        <v>19.100046797296699</v>
      </c>
      <c r="AA64">
        <v>0.31602676557985898</v>
      </c>
      <c r="AB64">
        <v>5.2120724823589502</v>
      </c>
      <c r="AC64">
        <v>9.1939575723989506</v>
      </c>
      <c r="AJ64">
        <v>0.455773657600613</v>
      </c>
      <c r="AK64">
        <v>1.5271209341323E-2</v>
      </c>
      <c r="AL64">
        <v>0.52895513305806396</v>
      </c>
    </row>
    <row r="65" spans="1:38" x14ac:dyDescent="0.2">
      <c r="A65">
        <v>76</v>
      </c>
      <c r="B65">
        <v>755</v>
      </c>
      <c r="C65">
        <v>175</v>
      </c>
      <c r="D65">
        <v>0.40814132179156798</v>
      </c>
      <c r="E65">
        <v>17.584036320435398</v>
      </c>
      <c r="F65">
        <v>2.5636649327065402</v>
      </c>
      <c r="G65">
        <v>-284.76165386696954</v>
      </c>
      <c r="H65">
        <v>-246.71309521668562</v>
      </c>
      <c r="I65">
        <v>37.006816758531201</v>
      </c>
      <c r="J65">
        <v>21.452980345482398</v>
      </c>
      <c r="K65">
        <v>6.8589448239132302</v>
      </c>
      <c r="L65">
        <v>3.1373423326385101E-5</v>
      </c>
      <c r="M65">
        <v>1.82134909864647E-6</v>
      </c>
      <c r="N65" s="1">
        <v>-2.4979821672352402E-7</v>
      </c>
      <c r="O65" s="1">
        <v>6.1100099185027404E-11</v>
      </c>
      <c r="P65" s="1">
        <v>8.7310874859965499E-10</v>
      </c>
      <c r="Q65">
        <v>65.615612104978595</v>
      </c>
      <c r="S65">
        <v>20.997378747707</v>
      </c>
      <c r="AA65">
        <v>2.0125464010033198</v>
      </c>
      <c r="AB65">
        <v>8.9331544966625192</v>
      </c>
      <c r="AC65">
        <v>2.4413082496484799</v>
      </c>
      <c r="AJ65">
        <v>0.76669635266207903</v>
      </c>
      <c r="AK65">
        <v>9.5449848779825305E-2</v>
      </c>
      <c r="AL65">
        <v>0.13785379855809399</v>
      </c>
    </row>
    <row r="66" spans="1:38" x14ac:dyDescent="0.2">
      <c r="A66">
        <v>76</v>
      </c>
      <c r="B66">
        <v>755</v>
      </c>
      <c r="C66">
        <v>175</v>
      </c>
      <c r="D66">
        <v>0.40814132179156798</v>
      </c>
      <c r="E66">
        <v>39.23428643482</v>
      </c>
      <c r="F66">
        <v>2.5224113180174998</v>
      </c>
      <c r="G66">
        <v>-622.30819545450981</v>
      </c>
      <c r="H66">
        <v>-538.5250419689504</v>
      </c>
      <c r="I66">
        <v>81.489231615580806</v>
      </c>
      <c r="J66">
        <v>46.806171211402102</v>
      </c>
      <c r="K66">
        <v>15.5542778271611</v>
      </c>
      <c r="L66">
        <v>2.8882643778989989E-5</v>
      </c>
      <c r="M66">
        <v>1.804438081159408E-6</v>
      </c>
      <c r="N66" s="1">
        <v>-2.8064268387358499E-7</v>
      </c>
      <c r="O66" s="1">
        <v>1.4768520065560201E-10</v>
      </c>
      <c r="P66" s="1">
        <v>1.1284024059339701E-9</v>
      </c>
      <c r="Q66">
        <v>66.168530636014395</v>
      </c>
      <c r="S66">
        <v>19.0936076898214</v>
      </c>
      <c r="AA66">
        <v>0.31289980485461799</v>
      </c>
      <c r="AB66">
        <v>5.1743204613994402</v>
      </c>
      <c r="AC66">
        <v>9.2506414079100008</v>
      </c>
      <c r="AJ66">
        <v>0.45255891940531001</v>
      </c>
      <c r="AK66">
        <v>1.5122997799956401E-2</v>
      </c>
      <c r="AL66">
        <v>0.53231808279473203</v>
      </c>
    </row>
    <row r="67" spans="1:38" x14ac:dyDescent="0.2">
      <c r="A67">
        <v>77</v>
      </c>
      <c r="B67">
        <v>754</v>
      </c>
      <c r="C67">
        <v>175</v>
      </c>
      <c r="D67">
        <v>0.40749695760112897</v>
      </c>
      <c r="E67">
        <v>18.1264686556623</v>
      </c>
      <c r="F67">
        <v>2.5639729490902798</v>
      </c>
      <c r="G67">
        <v>-293.52755903013696</v>
      </c>
      <c r="H67">
        <v>-254.36569738212472</v>
      </c>
      <c r="I67">
        <v>38.126721168293102</v>
      </c>
      <c r="J67">
        <v>22.122878078848</v>
      </c>
      <c r="K67">
        <v>7.0696801470131501</v>
      </c>
      <c r="L67">
        <v>3.1412519295946003E-5</v>
      </c>
      <c r="M67">
        <v>1.8213392062665096E-6</v>
      </c>
      <c r="N67" s="1">
        <v>-2.65869643211281E-7</v>
      </c>
      <c r="O67" s="1">
        <v>6.2889999198534199E-11</v>
      </c>
      <c r="P67" s="1">
        <v>9.2414931750903795E-10</v>
      </c>
      <c r="Q67">
        <v>65.602935507334394</v>
      </c>
      <c r="S67">
        <v>21.0107069667499</v>
      </c>
      <c r="AA67">
        <v>2.0265002289438701</v>
      </c>
      <c r="AB67">
        <v>8.9398470375121999</v>
      </c>
      <c r="AC67">
        <v>2.4200102594595099</v>
      </c>
      <c r="AJ67">
        <v>0.76724500525181405</v>
      </c>
      <c r="AK67">
        <v>9.6108418169529197E-2</v>
      </c>
      <c r="AL67">
        <v>0.136646576578655</v>
      </c>
    </row>
    <row r="68" spans="1:38" x14ac:dyDescent="0.2">
      <c r="A68">
        <v>77</v>
      </c>
      <c r="B68">
        <v>754</v>
      </c>
      <c r="C68">
        <v>175</v>
      </c>
      <c r="D68">
        <v>0.40749695760112897</v>
      </c>
      <c r="E68">
        <v>40.541229714079797</v>
      </c>
      <c r="F68">
        <v>2.5223833760746102</v>
      </c>
      <c r="G68">
        <v>-642.88284468335735</v>
      </c>
      <c r="H68">
        <v>-556.45206344692144</v>
      </c>
      <c r="I68">
        <v>84.146211591720899</v>
      </c>
      <c r="J68">
        <v>48.3662901447331</v>
      </c>
      <c r="K68">
        <v>16.0725883696438</v>
      </c>
      <c r="L68">
        <v>2.8884514747269203E-5</v>
      </c>
      <c r="M68">
        <v>1.8043422850302251E-6</v>
      </c>
      <c r="N68" s="1">
        <v>-2.9865013742739103E-7</v>
      </c>
      <c r="O68" s="1">
        <v>1.5256410401326201E-10</v>
      </c>
      <c r="P68" s="1">
        <v>1.19086315053031E-9</v>
      </c>
      <c r="Q68">
        <v>66.163964929806895</v>
      </c>
      <c r="S68">
        <v>19.0884780347725</v>
      </c>
      <c r="AA68">
        <v>0.30973313204216901</v>
      </c>
      <c r="AB68">
        <v>5.1506979723081603</v>
      </c>
      <c r="AC68">
        <v>9.2871259310701006</v>
      </c>
      <c r="AJ68">
        <v>0.45054675489859303</v>
      </c>
      <c r="AK68">
        <v>1.49717386067126E-2</v>
      </c>
      <c r="AL68">
        <v>0.53448150649469395</v>
      </c>
    </row>
    <row r="69" spans="1:38" x14ac:dyDescent="0.2">
      <c r="A69">
        <v>79</v>
      </c>
      <c r="B69">
        <v>776</v>
      </c>
      <c r="C69">
        <v>150</v>
      </c>
      <c r="D69">
        <v>0.447600915026452</v>
      </c>
      <c r="E69">
        <v>0.41130603285818201</v>
      </c>
      <c r="F69">
        <v>2.5639139130493098</v>
      </c>
      <c r="G69">
        <v>-6.6927013478885318</v>
      </c>
      <c r="H69">
        <v>-5.7735524425108489</v>
      </c>
      <c r="I69">
        <v>0.87608912488937096</v>
      </c>
      <c r="J69">
        <v>0.50010382754064497</v>
      </c>
      <c r="K69">
        <v>0.16042115562647999</v>
      </c>
      <c r="L69">
        <v>3.091593670631585E-5</v>
      </c>
      <c r="M69">
        <v>1.8207882931230637E-6</v>
      </c>
      <c r="N69" s="1">
        <v>-3.1038903665751301E-9</v>
      </c>
      <c r="O69" s="1">
        <v>1.4462821621323499E-12</v>
      </c>
      <c r="P69" s="1">
        <v>1.2491034420318501E-11</v>
      </c>
      <c r="Q69">
        <v>65.578328557806003</v>
      </c>
      <c r="S69">
        <v>21.129735309945001</v>
      </c>
      <c r="AA69">
        <v>2.13044152610648</v>
      </c>
      <c r="AB69">
        <v>9.1970600462861594</v>
      </c>
      <c r="AC69">
        <v>1.96443455985631</v>
      </c>
      <c r="AJ69">
        <v>0.78831070022594596</v>
      </c>
      <c r="AK69">
        <v>0.100908745866477</v>
      </c>
      <c r="AL69">
        <v>0.110780553907576</v>
      </c>
    </row>
    <row r="70" spans="1:38" x14ac:dyDescent="0.2">
      <c r="A70">
        <v>80</v>
      </c>
      <c r="B70">
        <v>775</v>
      </c>
      <c r="C70">
        <v>150</v>
      </c>
      <c r="D70">
        <v>0.44700710776129698</v>
      </c>
      <c r="E70">
        <v>0.83298174689550297</v>
      </c>
      <c r="F70">
        <v>2.5634327394906999</v>
      </c>
      <c r="G70">
        <v>-13.550657260619927</v>
      </c>
      <c r="H70">
        <v>-11.69188661382252</v>
      </c>
      <c r="I70">
        <v>1.77338228955531</v>
      </c>
      <c r="J70">
        <v>1.01293575983878</v>
      </c>
      <c r="K70">
        <v>0.32494776791412699</v>
      </c>
      <c r="L70">
        <v>3.0947246086962691E-5</v>
      </c>
      <c r="M70">
        <v>1.8217398832323886E-6</v>
      </c>
      <c r="N70" s="1">
        <v>-6.4806320835209099E-9</v>
      </c>
      <c r="O70" s="1">
        <v>2.9302226164601E-12</v>
      </c>
      <c r="P70" s="1">
        <v>2.58628276366788E-11</v>
      </c>
      <c r="Q70">
        <v>65.620677884327904</v>
      </c>
      <c r="S70">
        <v>21.092528928961102</v>
      </c>
      <c r="AA70">
        <v>2.0898642444404301</v>
      </c>
      <c r="AB70">
        <v>9.1938918848514408</v>
      </c>
      <c r="AC70">
        <v>2.0030370574189802</v>
      </c>
      <c r="AJ70">
        <v>0.78805221988049401</v>
      </c>
      <c r="AK70">
        <v>9.8988437788150696E-2</v>
      </c>
      <c r="AL70">
        <v>0.112959342331354</v>
      </c>
    </row>
    <row r="71" spans="1:38" x14ac:dyDescent="0.2">
      <c r="A71">
        <v>81</v>
      </c>
      <c r="B71">
        <v>774</v>
      </c>
      <c r="C71">
        <v>150</v>
      </c>
      <c r="D71">
        <v>0.44641216635630598</v>
      </c>
      <c r="E71">
        <v>1.2559001342029501</v>
      </c>
      <c r="F71">
        <v>2.5629563269185298</v>
      </c>
      <c r="G71">
        <v>-20.425266829354428</v>
      </c>
      <c r="H71">
        <v>-17.62684856048217</v>
      </c>
      <c r="I71">
        <v>2.6724139510788798</v>
      </c>
      <c r="J71">
        <v>1.5274026225792401</v>
      </c>
      <c r="K71">
        <v>0.490020107253614</v>
      </c>
      <c r="L71">
        <v>3.0978081461007421E-5</v>
      </c>
      <c r="M71">
        <v>1.8226580423179736E-6</v>
      </c>
      <c r="N71" s="1">
        <v>-1.00714328070291E-8</v>
      </c>
      <c r="O71" s="1">
        <v>4.4196216207122397E-12</v>
      </c>
      <c r="P71" s="1">
        <v>3.9867009902740601E-11</v>
      </c>
      <c r="Q71">
        <v>65.661722969831004</v>
      </c>
      <c r="S71">
        <v>21.056049374402299</v>
      </c>
      <c r="AA71">
        <v>2.0501909288286999</v>
      </c>
      <c r="AB71">
        <v>9.1897227622038908</v>
      </c>
      <c r="AC71">
        <v>2.0423139647339998</v>
      </c>
      <c r="AJ71">
        <v>0.78771182944796703</v>
      </c>
      <c r="AK71">
        <v>9.7111364370187706E-2</v>
      </c>
      <c r="AL71">
        <v>0.115176806181844</v>
      </c>
    </row>
    <row r="72" spans="1:38" x14ac:dyDescent="0.2">
      <c r="A72">
        <v>82</v>
      </c>
      <c r="B72">
        <v>773</v>
      </c>
      <c r="C72">
        <v>150</v>
      </c>
      <c r="D72">
        <v>0.44581608755914398</v>
      </c>
      <c r="E72">
        <v>1.67990710023128</v>
      </c>
      <c r="F72">
        <v>2.5624845326664798</v>
      </c>
      <c r="G72">
        <v>-27.313973807393353</v>
      </c>
      <c r="H72">
        <v>-23.576246064910887</v>
      </c>
      <c r="I72">
        <v>3.5728411245829501</v>
      </c>
      <c r="J72">
        <v>2.0433202170513298</v>
      </c>
      <c r="K72">
        <v>0.65557745961619196</v>
      </c>
      <c r="L72">
        <v>3.1008459268769159E-5</v>
      </c>
      <c r="M72">
        <v>1.8235432094517694E-6</v>
      </c>
      <c r="N72" s="1">
        <v>-1.3883339892833499E-8</v>
      </c>
      <c r="O72" s="1">
        <v>5.91381558217301E-12</v>
      </c>
      <c r="P72" s="1">
        <v>5.4522213519325399E-11</v>
      </c>
      <c r="Q72">
        <v>65.701480818809898</v>
      </c>
      <c r="S72">
        <v>21.0202833486609</v>
      </c>
      <c r="AA72">
        <v>2.0114066408426501</v>
      </c>
      <c r="AB72">
        <v>9.1845557105410904</v>
      </c>
      <c r="AC72">
        <v>2.0822734811453301</v>
      </c>
      <c r="AJ72">
        <v>0.78728976690671704</v>
      </c>
      <c r="AK72">
        <v>9.5276791535733499E-2</v>
      </c>
      <c r="AL72">
        <v>0.11743344155754799</v>
      </c>
    </row>
    <row r="73" spans="1:38" x14ac:dyDescent="0.2">
      <c r="A73">
        <v>83</v>
      </c>
      <c r="B73">
        <v>772</v>
      </c>
      <c r="C73">
        <v>150</v>
      </c>
      <c r="D73">
        <v>0.44521886810505501</v>
      </c>
      <c r="E73">
        <v>2.10485291628425</v>
      </c>
      <c r="F73">
        <v>2.5620172002955202</v>
      </c>
      <c r="G73">
        <v>-34.214294589076303</v>
      </c>
      <c r="H73">
        <v>-29.537947776695098</v>
      </c>
      <c r="I73">
        <v>4.4743307777650996</v>
      </c>
      <c r="J73">
        <v>2.5605098175262802</v>
      </c>
      <c r="K73">
        <v>0.821560806087272</v>
      </c>
      <c r="L73">
        <v>3.1038396847236947E-5</v>
      </c>
      <c r="M73">
        <v>1.8243958562919967E-6</v>
      </c>
      <c r="N73" s="1">
        <v>-1.7923616108279301E-8</v>
      </c>
      <c r="O73" s="1">
        <v>7.4121548719925402E-12</v>
      </c>
      <c r="P73" s="1">
        <v>6.9847685353128106E-11</v>
      </c>
      <c r="Q73">
        <v>65.7399699195647</v>
      </c>
      <c r="S73">
        <v>20.985216420836299</v>
      </c>
      <c r="AA73">
        <v>1.9734951608492799</v>
      </c>
      <c r="AB73">
        <v>9.1783940975661604</v>
      </c>
      <c r="AC73">
        <v>2.1229244011834401</v>
      </c>
      <c r="AJ73">
        <v>0.78678629533489297</v>
      </c>
      <c r="AK73">
        <v>9.3483925661325296E-2</v>
      </c>
      <c r="AL73">
        <v>0.11972977900378</v>
      </c>
    </row>
    <row r="74" spans="1:38" x14ac:dyDescent="0.2">
      <c r="A74">
        <v>84</v>
      </c>
      <c r="B74">
        <v>771</v>
      </c>
      <c r="C74">
        <v>150</v>
      </c>
      <c r="D74">
        <v>0.44462050471675502</v>
      </c>
      <c r="E74">
        <v>2.5305929676466898</v>
      </c>
      <c r="F74">
        <v>2.56155416113875</v>
      </c>
      <c r="G74">
        <v>-41.123830239291365</v>
      </c>
      <c r="H74">
        <v>-35.509893643542135</v>
      </c>
      <c r="I74">
        <v>5.3765614095189598</v>
      </c>
      <c r="J74">
        <v>3.0787990932356002</v>
      </c>
      <c r="K74">
        <v>0.987913121665835</v>
      </c>
      <c r="L74">
        <v>3.1067912334476927E-5</v>
      </c>
      <c r="M74">
        <v>1.8252164825657282E-6</v>
      </c>
      <c r="N74" s="1">
        <v>-2.2199756533245398E-8</v>
      </c>
      <c r="O74" s="1">
        <v>8.9140067308761198E-12</v>
      </c>
      <c r="P74" s="1">
        <v>8.5863339985331002E-11</v>
      </c>
      <c r="Q74">
        <v>65.777210050372204</v>
      </c>
      <c r="S74">
        <v>20.950833165116801</v>
      </c>
      <c r="AA74">
        <v>1.93643914740559</v>
      </c>
      <c r="AB74">
        <v>9.1712415573377299</v>
      </c>
      <c r="AC74">
        <v>2.16427607976757</v>
      </c>
      <c r="AJ74">
        <v>0.78620169728275302</v>
      </c>
      <c r="AK74">
        <v>9.1731921119969098E-2</v>
      </c>
      <c r="AL74">
        <v>0.12206638159727699</v>
      </c>
    </row>
    <row r="75" spans="1:38" x14ac:dyDescent="0.2">
      <c r="A75">
        <v>85</v>
      </c>
      <c r="B75">
        <v>770</v>
      </c>
      <c r="C75">
        <v>150</v>
      </c>
      <c r="D75">
        <v>0.44402099410439499</v>
      </c>
      <c r="E75">
        <v>2.9569883907407801</v>
      </c>
      <c r="F75">
        <v>2.56109523604903</v>
      </c>
      <c r="G75">
        <v>-48.04027670992884</v>
      </c>
      <c r="H75">
        <v>-41.490103792499951</v>
      </c>
      <c r="I75">
        <v>6.2792243852071996</v>
      </c>
      <c r="J75">
        <v>3.5980228954742</v>
      </c>
      <c r="K75">
        <v>1.15457963027665</v>
      </c>
      <c r="L75">
        <v>3.1097024583530873E-5</v>
      </c>
      <c r="M75">
        <v>1.8260056116747493E-6</v>
      </c>
      <c r="N75" s="1">
        <v>-2.6719505863656E-8</v>
      </c>
      <c r="O75" s="1">
        <v>1.04187577480436E-11</v>
      </c>
      <c r="P75" s="1">
        <v>1.0258981297963099E-10</v>
      </c>
      <c r="Q75">
        <v>65.813222084201598</v>
      </c>
      <c r="S75">
        <v>20.917117306322702</v>
      </c>
      <c r="AA75">
        <v>1.9002203028996301</v>
      </c>
      <c r="AB75">
        <v>9.1631019366489994</v>
      </c>
      <c r="AC75">
        <v>2.2063383699269701</v>
      </c>
      <c r="AJ75">
        <v>0.785536270416615</v>
      </c>
      <c r="AK75">
        <v>9.0019888106440807E-2</v>
      </c>
      <c r="AL75">
        <v>0.124443841476943</v>
      </c>
    </row>
    <row r="76" spans="1:38" x14ac:dyDescent="0.2">
      <c r="A76">
        <v>86</v>
      </c>
      <c r="B76">
        <v>769</v>
      </c>
      <c r="C76">
        <v>150</v>
      </c>
      <c r="D76">
        <v>0.44342033296550898</v>
      </c>
      <c r="E76">
        <v>4.0566637140947899</v>
      </c>
      <c r="F76">
        <v>2.5596851144474</v>
      </c>
      <c r="G76">
        <v>-65.867313041858367</v>
      </c>
      <c r="H76">
        <v>-56.894592113256614</v>
      </c>
      <c r="I76">
        <v>8.60981713630642</v>
      </c>
      <c r="J76">
        <v>4.9355961013671399</v>
      </c>
      <c r="K76">
        <v>1.5848292007474301</v>
      </c>
      <c r="L76">
        <v>3.1110405043992309E-5</v>
      </c>
      <c r="M76">
        <v>1.8272534712801076E-6</v>
      </c>
      <c r="N76" s="1">
        <v>-3.7536665927272699E-8</v>
      </c>
      <c r="O76" s="1">
        <v>1.43202924997721E-11</v>
      </c>
      <c r="P76" s="1">
        <v>1.4326183950524501E-10</v>
      </c>
      <c r="Q76">
        <v>65.889809523235897</v>
      </c>
      <c r="S76">
        <v>20.832678298325401</v>
      </c>
      <c r="AA76">
        <v>1.8126866248343001</v>
      </c>
      <c r="AB76">
        <v>9.1124051007975897</v>
      </c>
      <c r="AC76">
        <v>2.3524204528067298</v>
      </c>
      <c r="AJ76">
        <v>0.78138817694639295</v>
      </c>
      <c r="AK76">
        <v>8.5894891968999798E-2</v>
      </c>
      <c r="AL76">
        <v>0.132716931084606</v>
      </c>
    </row>
    <row r="77" spans="1:38" x14ac:dyDescent="0.2">
      <c r="A77">
        <v>87</v>
      </c>
      <c r="B77">
        <v>768</v>
      </c>
      <c r="C77">
        <v>150</v>
      </c>
      <c r="D77">
        <v>0.442818517984921</v>
      </c>
      <c r="E77">
        <v>5.5889165944330497</v>
      </c>
      <c r="F77">
        <v>2.5575613895479301</v>
      </c>
      <c r="G77">
        <v>-90.667949723639069</v>
      </c>
      <c r="H77">
        <v>-78.32527064477415</v>
      </c>
      <c r="I77">
        <v>11.8548519222637</v>
      </c>
      <c r="J77">
        <v>6.7975401161255702</v>
      </c>
      <c r="K77">
        <v>2.1852521770439002</v>
      </c>
      <c r="L77">
        <v>3.1100018155508859E-5</v>
      </c>
      <c r="M77">
        <v>1.8285163389019272E-6</v>
      </c>
      <c r="N77" s="1">
        <v>-5.2631525249637598E-8</v>
      </c>
      <c r="O77" s="1">
        <v>1.9789607904288699E-11</v>
      </c>
      <c r="P77" s="1">
        <v>1.9994809988475899E-10</v>
      </c>
      <c r="Q77">
        <v>65.985796744351504</v>
      </c>
      <c r="S77">
        <v>20.714856778444101</v>
      </c>
      <c r="AA77">
        <v>1.6930853587184</v>
      </c>
      <c r="AB77">
        <v>9.0174230442130305</v>
      </c>
      <c r="AC77">
        <v>2.5888380742729402</v>
      </c>
      <c r="AJ77">
        <v>0.77361019692482802</v>
      </c>
      <c r="AK77">
        <v>8.0265586838482006E-2</v>
      </c>
      <c r="AL77">
        <v>0.146124216236688</v>
      </c>
    </row>
    <row r="78" spans="1:38" x14ac:dyDescent="0.2">
      <c r="A78">
        <v>88</v>
      </c>
      <c r="B78">
        <v>767</v>
      </c>
      <c r="C78">
        <v>150</v>
      </c>
      <c r="D78">
        <v>0.44221554583473799</v>
      </c>
      <c r="E78">
        <v>7.4015655574834103</v>
      </c>
      <c r="F78">
        <v>2.5548145660335702</v>
      </c>
      <c r="G78">
        <v>-119.93679743015848</v>
      </c>
      <c r="H78">
        <v>-103.61820973073881</v>
      </c>
      <c r="I78">
        <v>15.688686919597799</v>
      </c>
      <c r="J78">
        <v>8.99658524502075</v>
      </c>
      <c r="K78">
        <v>2.8971048059173099</v>
      </c>
      <c r="L78">
        <v>3.1055188937332806E-5</v>
      </c>
      <c r="M78">
        <v>1.8294263651724282E-6</v>
      </c>
      <c r="N78" s="1">
        <v>-7.0403583659453698E-8</v>
      </c>
      <c r="O78" s="1">
        <v>2.6314338981319801E-11</v>
      </c>
      <c r="P78" s="1">
        <v>2.6667058993514698E-10</v>
      </c>
      <c r="Q78">
        <v>66.086447108244897</v>
      </c>
      <c r="S78">
        <v>20.572904840050999</v>
      </c>
      <c r="AA78">
        <v>1.55248816963661</v>
      </c>
      <c r="AB78">
        <v>8.8695715219840903</v>
      </c>
      <c r="AC78">
        <v>2.91858836008335</v>
      </c>
      <c r="AJ78">
        <v>0.76148735577839399</v>
      </c>
      <c r="AK78">
        <v>7.3654476324465604E-2</v>
      </c>
      <c r="AL78">
        <v>0.164858167897139</v>
      </c>
    </row>
    <row r="79" spans="1:38" x14ac:dyDescent="0.2">
      <c r="A79">
        <v>89</v>
      </c>
      <c r="B79">
        <v>766</v>
      </c>
      <c r="C79">
        <v>150</v>
      </c>
      <c r="D79">
        <v>0.44161141317423203</v>
      </c>
      <c r="E79">
        <v>9.0506355770112794</v>
      </c>
      <c r="F79">
        <v>2.5548390398426202</v>
      </c>
      <c r="G79">
        <v>-146.61187702439332</v>
      </c>
      <c r="H79">
        <v>-126.69024122007056</v>
      </c>
      <c r="I79">
        <v>19.171087720081498</v>
      </c>
      <c r="J79">
        <v>10.999795595051699</v>
      </c>
      <c r="K79">
        <v>3.5425462958201699</v>
      </c>
      <c r="L79">
        <v>3.1029199801177018E-5</v>
      </c>
      <c r="M79">
        <v>1.8283122199606022E-6</v>
      </c>
      <c r="N79" s="1">
        <v>-8.8040905085924994E-8</v>
      </c>
      <c r="O79" s="1">
        <v>3.2156902487638497E-11</v>
      </c>
      <c r="P79" s="1">
        <v>3.3171439997031098E-10</v>
      </c>
      <c r="Q79">
        <v>66.045067742583797</v>
      </c>
      <c r="S79">
        <v>20.585781908879099</v>
      </c>
      <c r="AA79">
        <v>1.57276719255528</v>
      </c>
      <c r="AB79">
        <v>8.8111187343473496</v>
      </c>
      <c r="AC79">
        <v>2.9852644216344002</v>
      </c>
      <c r="AJ79">
        <v>0.75668844754832498</v>
      </c>
      <c r="AK79">
        <v>7.4638221372308106E-2</v>
      </c>
      <c r="AL79">
        <v>0.168673331079366</v>
      </c>
    </row>
    <row r="80" spans="1:38" x14ac:dyDescent="0.2">
      <c r="A80">
        <v>89</v>
      </c>
      <c r="B80">
        <v>766</v>
      </c>
      <c r="C80">
        <v>150</v>
      </c>
      <c r="D80">
        <v>0.44161141317423203</v>
      </c>
      <c r="E80">
        <v>6.8192372065354201</v>
      </c>
      <c r="F80">
        <v>2.5227540191356002</v>
      </c>
      <c r="G80">
        <v>-108.67599938463385</v>
      </c>
      <c r="H80">
        <v>-93.822608690117633</v>
      </c>
      <c r="I80">
        <v>14.293788860622801</v>
      </c>
      <c r="J80">
        <v>8.1498345039842608</v>
      </c>
      <c r="K80">
        <v>2.70309239617105</v>
      </c>
      <c r="L80">
        <v>2.909800624410212E-5</v>
      </c>
      <c r="M80">
        <v>1.8109566781000588E-6</v>
      </c>
      <c r="N80" s="1">
        <v>-3.74243260979365E-8</v>
      </c>
      <c r="O80" s="1">
        <v>2.56470428243528E-11</v>
      </c>
      <c r="P80" s="1">
        <v>1.6355919459178801E-10</v>
      </c>
      <c r="Q80">
        <v>66.316471532754093</v>
      </c>
      <c r="S80">
        <v>19.193598304167299</v>
      </c>
      <c r="AA80">
        <v>0.36087309973943799</v>
      </c>
      <c r="AB80">
        <v>5.7661372126841304</v>
      </c>
      <c r="AC80">
        <v>8.3629198506549507</v>
      </c>
      <c r="AJ80">
        <v>0.50281353568498099</v>
      </c>
      <c r="AK80">
        <v>1.7389507727189502E-2</v>
      </c>
      <c r="AL80">
        <v>0.47979695658782801</v>
      </c>
    </row>
    <row r="81" spans="1:38" x14ac:dyDescent="0.2">
      <c r="A81">
        <v>90</v>
      </c>
      <c r="B81">
        <v>765</v>
      </c>
      <c r="C81">
        <v>150</v>
      </c>
      <c r="D81">
        <v>0.44100611664981298</v>
      </c>
      <c r="E81">
        <v>10.311135077595001</v>
      </c>
      <c r="F81">
        <v>2.5565099269400502</v>
      </c>
      <c r="G81">
        <v>-167.0752471694212</v>
      </c>
      <c r="H81">
        <v>-144.41413660116152</v>
      </c>
      <c r="I81">
        <v>21.828358684447899</v>
      </c>
      <c r="J81">
        <v>12.536313647680799</v>
      </c>
      <c r="K81">
        <v>4.0332857576409502</v>
      </c>
      <c r="L81">
        <v>3.1043263924284012E-5</v>
      </c>
      <c r="M81">
        <v>1.8267110096764965E-6</v>
      </c>
      <c r="N81" s="1">
        <v>-1.03806998240374E-7</v>
      </c>
      <c r="O81" s="1">
        <v>3.6509757815137697E-11</v>
      </c>
      <c r="P81" s="1">
        <v>3.8817529841928701E-10</v>
      </c>
      <c r="Q81">
        <v>65.943496519528495</v>
      </c>
      <c r="S81">
        <v>20.6819362870235</v>
      </c>
      <c r="AA81">
        <v>1.67579579539891</v>
      </c>
      <c r="AB81">
        <v>8.8368539130278396</v>
      </c>
      <c r="AC81">
        <v>2.86191748502107</v>
      </c>
      <c r="AJ81">
        <v>0.75879979566614697</v>
      </c>
      <c r="AK81">
        <v>7.9517261791118704E-2</v>
      </c>
      <c r="AL81">
        <v>0.16168294254273299</v>
      </c>
    </row>
    <row r="82" spans="1:38" x14ac:dyDescent="0.2">
      <c r="A82">
        <v>90</v>
      </c>
      <c r="B82">
        <v>765</v>
      </c>
      <c r="C82">
        <v>150</v>
      </c>
      <c r="D82">
        <v>0.44100611664981298</v>
      </c>
      <c r="E82">
        <v>14.629003097158501</v>
      </c>
      <c r="F82">
        <v>2.5223952746217999</v>
      </c>
      <c r="G82">
        <v>-232.98599785720705</v>
      </c>
      <c r="H82">
        <v>-201.18754359187096</v>
      </c>
      <c r="I82">
        <v>30.629922713804401</v>
      </c>
      <c r="J82">
        <v>17.4740620296004</v>
      </c>
      <c r="K82">
        <v>5.7996473607222203</v>
      </c>
      <c r="L82">
        <v>2.9028375452260685E-5</v>
      </c>
      <c r="M82">
        <v>1.8097322753522686E-6</v>
      </c>
      <c r="N82" s="1">
        <v>-8.07279095543066E-8</v>
      </c>
      <c r="O82" s="1">
        <v>5.5061861323585E-11</v>
      </c>
      <c r="P82" s="1">
        <v>3.5201828504560702E-10</v>
      </c>
      <c r="Q82">
        <v>66.282968834410994</v>
      </c>
      <c r="S82">
        <v>19.1771729116168</v>
      </c>
      <c r="AA82">
        <v>0.35513937934982098</v>
      </c>
      <c r="AB82">
        <v>5.6484169437517204</v>
      </c>
      <c r="AC82">
        <v>8.5363019308705397</v>
      </c>
      <c r="AJ82">
        <v>0.49284112489933102</v>
      </c>
      <c r="AK82">
        <v>1.7123392622893901E-2</v>
      </c>
      <c r="AL82">
        <v>0.49003548247777401</v>
      </c>
    </row>
    <row r="83" spans="1:38" x14ac:dyDescent="0.2">
      <c r="A83">
        <v>91</v>
      </c>
      <c r="B83">
        <v>764</v>
      </c>
      <c r="C83">
        <v>150</v>
      </c>
      <c r="D83">
        <v>0.44039965289495597</v>
      </c>
      <c r="E83">
        <v>12.8297527147107</v>
      </c>
      <c r="F83">
        <v>2.5587192354047299</v>
      </c>
      <c r="G83">
        <v>-207.96077873735078</v>
      </c>
      <c r="H83">
        <v>-179.8095846699463</v>
      </c>
      <c r="I83">
        <v>27.142837648753201</v>
      </c>
      <c r="J83">
        <v>15.603976093934801</v>
      </c>
      <c r="K83">
        <v>5.0141307171129803</v>
      </c>
      <c r="L83">
        <v>3.1041352872534717E-5</v>
      </c>
      <c r="M83">
        <v>1.824165553434019E-6</v>
      </c>
      <c r="N83" s="1">
        <v>-1.3356996029468399E-7</v>
      </c>
      <c r="O83" s="1">
        <v>4.5227315703082398E-11</v>
      </c>
      <c r="P83" s="1">
        <v>4.9591579668463496E-10</v>
      </c>
      <c r="Q83">
        <v>65.795738645843301</v>
      </c>
      <c r="S83">
        <v>20.8155674158211</v>
      </c>
      <c r="AA83">
        <v>1.8205201247751199</v>
      </c>
      <c r="AB83">
        <v>8.8579147913557605</v>
      </c>
      <c r="AC83">
        <v>2.7102590222046001</v>
      </c>
      <c r="AJ83">
        <v>0.76052626272659696</v>
      </c>
      <c r="AK83">
        <v>8.6375185296937093E-2</v>
      </c>
      <c r="AL83">
        <v>0.15309855197646499</v>
      </c>
    </row>
    <row r="84" spans="1:38" x14ac:dyDescent="0.2">
      <c r="A84">
        <v>91</v>
      </c>
      <c r="B84">
        <v>764</v>
      </c>
      <c r="C84">
        <v>150</v>
      </c>
      <c r="D84">
        <v>0.44039965289495597</v>
      </c>
      <c r="E84">
        <v>25.850856959219399</v>
      </c>
      <c r="F84">
        <v>2.5219752540407199</v>
      </c>
      <c r="G84">
        <v>-411.38540502589848</v>
      </c>
      <c r="H84">
        <v>-355.3197648853556</v>
      </c>
      <c r="I84">
        <v>54.057407453640003</v>
      </c>
      <c r="J84">
        <v>30.856214434012301</v>
      </c>
      <c r="K84">
        <v>10.250242113914901</v>
      </c>
      <c r="L84">
        <v>2.8935334070136869E-5</v>
      </c>
      <c r="M84">
        <v>1.8081290991316684E-6</v>
      </c>
      <c r="N84" s="1">
        <v>-1.42178751068655E-7</v>
      </c>
      <c r="O84" s="1">
        <v>9.7403270389901697E-11</v>
      </c>
      <c r="P84" s="1">
        <v>6.2033489170112002E-10</v>
      </c>
      <c r="Q84">
        <v>66.238428602643594</v>
      </c>
      <c r="S84">
        <v>19.158084569969699</v>
      </c>
      <c r="AA84">
        <v>0.34978415622088399</v>
      </c>
      <c r="AB84">
        <v>5.4991188561283</v>
      </c>
      <c r="AC84">
        <v>8.7545838150373996</v>
      </c>
      <c r="AJ84">
        <v>0.48017657550189002</v>
      </c>
      <c r="AK84">
        <v>1.6877914701685801E-2</v>
      </c>
      <c r="AL84">
        <v>0.50294550979642405</v>
      </c>
    </row>
    <row r="85" spans="1:38" x14ac:dyDescent="0.2">
      <c r="A85">
        <v>92</v>
      </c>
      <c r="B85">
        <v>763</v>
      </c>
      <c r="C85">
        <v>150</v>
      </c>
      <c r="D85">
        <v>0.43979201853014099</v>
      </c>
      <c r="E85">
        <v>14.939934096387899</v>
      </c>
      <c r="F85">
        <v>2.5603186965915801</v>
      </c>
      <c r="G85">
        <v>-242.21619570519584</v>
      </c>
      <c r="H85">
        <v>-209.48724729857599</v>
      </c>
      <c r="I85">
        <v>31.5870756228536</v>
      </c>
      <c r="J85">
        <v>18.175880976377901</v>
      </c>
      <c r="K85">
        <v>5.8351853291844904</v>
      </c>
      <c r="L85">
        <v>3.104416712220992E-5</v>
      </c>
      <c r="M85">
        <v>1.8222603692372197E-6</v>
      </c>
      <c r="N85" s="1">
        <v>-1.60620628330307E-7</v>
      </c>
      <c r="O85" s="1">
        <v>5.2485423743746703E-11</v>
      </c>
      <c r="P85" s="1">
        <v>5.9232301637454698E-10</v>
      </c>
      <c r="Q85">
        <v>65.685828974959705</v>
      </c>
      <c r="S85">
        <v>20.9130442711492</v>
      </c>
      <c r="AA85">
        <v>1.9265854476431901</v>
      </c>
      <c r="AB85">
        <v>8.8685352320111495</v>
      </c>
      <c r="AC85">
        <v>2.6060060742366402</v>
      </c>
      <c r="AJ85">
        <v>0.76139619214214804</v>
      </c>
      <c r="AK85">
        <v>9.1402457102633103E-2</v>
      </c>
      <c r="AL85">
        <v>0.14720135075521801</v>
      </c>
    </row>
    <row r="86" spans="1:38" x14ac:dyDescent="0.2">
      <c r="A86">
        <v>92</v>
      </c>
      <c r="B86">
        <v>763</v>
      </c>
      <c r="C86">
        <v>150</v>
      </c>
      <c r="D86">
        <v>0.43979201853014099</v>
      </c>
      <c r="E86">
        <v>33.767117223216999</v>
      </c>
      <c r="F86">
        <v>2.52170666088118</v>
      </c>
      <c r="G86">
        <v>-537.04153275232704</v>
      </c>
      <c r="H86">
        <v>-463.95606959873055</v>
      </c>
      <c r="I86">
        <v>70.535601171255607</v>
      </c>
      <c r="J86">
        <v>40.285865216664398</v>
      </c>
      <c r="K86">
        <v>13.3905809692462</v>
      </c>
      <c r="L86">
        <v>2.8873386937547622E-5</v>
      </c>
      <c r="M86">
        <v>1.8070427737213949E-6</v>
      </c>
      <c r="N86" s="1">
        <v>-1.87131947835362E-7</v>
      </c>
      <c r="O86" s="1">
        <v>1.2731280716948801E-10</v>
      </c>
      <c r="P86" s="1">
        <v>8.1409047326645699E-10</v>
      </c>
      <c r="Q86">
        <v>66.207305620651894</v>
      </c>
      <c r="S86">
        <v>19.144015379104601</v>
      </c>
      <c r="AA86">
        <v>0.34543905206960501</v>
      </c>
      <c r="AB86">
        <v>5.3928787465350201</v>
      </c>
      <c r="AC86">
        <v>8.9103612016387608</v>
      </c>
      <c r="AJ86">
        <v>0.471152873738375</v>
      </c>
      <c r="AK86">
        <v>1.6677210567575901E-2</v>
      </c>
      <c r="AL86">
        <v>0.51216991569404802</v>
      </c>
    </row>
    <row r="87" spans="1:38" x14ac:dyDescent="0.2">
      <c r="A87">
        <v>93</v>
      </c>
      <c r="B87">
        <v>762</v>
      </c>
      <c r="C87">
        <v>150</v>
      </c>
      <c r="D87">
        <v>0.439183210162781</v>
      </c>
      <c r="E87">
        <v>16.344697818590799</v>
      </c>
      <c r="F87">
        <v>2.5613469234478501</v>
      </c>
      <c r="G87">
        <v>-265.0134559680148</v>
      </c>
      <c r="H87">
        <v>-229.2634752068906</v>
      </c>
      <c r="I87">
        <v>34.536038990604297</v>
      </c>
      <c r="J87">
        <v>19.890496288426</v>
      </c>
      <c r="K87">
        <v>6.38129012082012</v>
      </c>
      <c r="L87">
        <v>3.1057398266009945E-5</v>
      </c>
      <c r="M87">
        <v>1.8211240707162101E-6</v>
      </c>
      <c r="N87" s="1">
        <v>-1.8138568372598299E-7</v>
      </c>
      <c r="O87" s="1">
        <v>5.7277811266956501E-11</v>
      </c>
      <c r="P87" s="1">
        <v>6.6449220668137203E-10</v>
      </c>
      <c r="Q87">
        <v>65.616983623920106</v>
      </c>
      <c r="S87">
        <v>20.9741917031097</v>
      </c>
      <c r="AA87">
        <v>1.99309682659911</v>
      </c>
      <c r="AB87">
        <v>8.8754230011525603</v>
      </c>
      <c r="AC87">
        <v>2.5403048452184298</v>
      </c>
      <c r="AJ87">
        <v>0.76196036125467903</v>
      </c>
      <c r="AK87">
        <v>9.4554566179120697E-2</v>
      </c>
      <c r="AL87">
        <v>0.14348507256619999</v>
      </c>
    </row>
    <row r="88" spans="1:38" x14ac:dyDescent="0.2">
      <c r="A88">
        <v>93</v>
      </c>
      <c r="B88">
        <v>762</v>
      </c>
      <c r="C88">
        <v>150</v>
      </c>
      <c r="D88">
        <v>0.439183210162781</v>
      </c>
      <c r="E88">
        <v>38.503047368832299</v>
      </c>
      <c r="F88">
        <v>2.5215508759676402</v>
      </c>
      <c r="G88">
        <v>-612.09572094784357</v>
      </c>
      <c r="H88">
        <v>-528.914732563602</v>
      </c>
      <c r="I88">
        <v>80.3564588554718</v>
      </c>
      <c r="J88">
        <v>45.923584828577802</v>
      </c>
      <c r="K88">
        <v>15.269589733761199</v>
      </c>
      <c r="L88">
        <v>2.8838856898220729E-5</v>
      </c>
      <c r="M88">
        <v>1.806405204009044E-6</v>
      </c>
      <c r="N88" s="1">
        <v>-2.1716053668555801E-7</v>
      </c>
      <c r="O88" s="1">
        <v>1.45208941836054E-10</v>
      </c>
      <c r="P88" s="1">
        <v>9.3901217431742391E-10</v>
      </c>
      <c r="Q88">
        <v>66.188271162712397</v>
      </c>
      <c r="S88">
        <v>19.133987965343401</v>
      </c>
      <c r="AA88">
        <v>0.34160776358658301</v>
      </c>
      <c r="AB88">
        <v>5.3241733087760998</v>
      </c>
      <c r="AC88">
        <v>9.0119597995813496</v>
      </c>
      <c r="AJ88">
        <v>0.465312093779914</v>
      </c>
      <c r="AK88">
        <v>1.6497976433696399E-2</v>
      </c>
      <c r="AL88">
        <v>0.518189929786389</v>
      </c>
    </row>
    <row r="89" spans="1:38" x14ac:dyDescent="0.2">
      <c r="A89">
        <v>94</v>
      </c>
      <c r="B89">
        <v>761</v>
      </c>
      <c r="C89">
        <v>150</v>
      </c>
      <c r="D89">
        <v>0.43857322438717999</v>
      </c>
      <c r="E89">
        <v>17.030782025841599</v>
      </c>
      <c r="F89">
        <v>2.5618820014855399</v>
      </c>
      <c r="G89">
        <v>-276.13302976220621</v>
      </c>
      <c r="H89">
        <v>-238.93986907509046</v>
      </c>
      <c r="I89">
        <v>35.964957392172998</v>
      </c>
      <c r="J89">
        <v>20.731290916008099</v>
      </c>
      <c r="K89">
        <v>6.6477620811442701</v>
      </c>
      <c r="L89">
        <v>3.1082774478375303E-5</v>
      </c>
      <c r="M89">
        <v>1.8207378491565575E-6</v>
      </c>
      <c r="N89" s="1">
        <v>-1.9510009833518201E-7</v>
      </c>
      <c r="O89" s="1">
        <v>5.9583254842306199E-11</v>
      </c>
      <c r="P89" s="1">
        <v>7.1007930003495404E-10</v>
      </c>
      <c r="Q89">
        <v>65.5864312476116</v>
      </c>
      <c r="S89">
        <v>21.0027102643323</v>
      </c>
      <c r="AA89">
        <v>2.0237539109482601</v>
      </c>
      <c r="AB89">
        <v>8.8821037846129993</v>
      </c>
      <c r="AC89">
        <v>2.5050007924947302</v>
      </c>
      <c r="AJ89">
        <v>0.76250809218903903</v>
      </c>
      <c r="AK89">
        <v>9.6005719107876197E-2</v>
      </c>
      <c r="AL89">
        <v>0.14148618870308299</v>
      </c>
    </row>
    <row r="90" spans="1:38" x14ac:dyDescent="0.2">
      <c r="A90">
        <v>94</v>
      </c>
      <c r="B90">
        <v>761</v>
      </c>
      <c r="C90">
        <v>150</v>
      </c>
      <c r="D90">
        <v>0.43857322438717999</v>
      </c>
      <c r="E90">
        <v>40.554784249902902</v>
      </c>
      <c r="F90">
        <v>2.5214780495544198</v>
      </c>
      <c r="G90">
        <v>-644.51741699914169</v>
      </c>
      <c r="H90">
        <v>-557.05369803657595</v>
      </c>
      <c r="I90">
        <v>84.575466772291904</v>
      </c>
      <c r="J90">
        <v>48.366134189839002</v>
      </c>
      <c r="K90">
        <v>16.083734798750001</v>
      </c>
      <c r="L90">
        <v>2.8827278653716567E-5</v>
      </c>
      <c r="M90">
        <v>1.8061373954647928E-6</v>
      </c>
      <c r="N90" s="1">
        <v>-2.3475589721653001E-7</v>
      </c>
      <c r="O90" s="1">
        <v>1.52942162349808E-10</v>
      </c>
      <c r="P90" s="1">
        <v>1.00638245863889E-9</v>
      </c>
      <c r="Q90">
        <v>66.179416171507</v>
      </c>
      <c r="S90">
        <v>19.127127586065399</v>
      </c>
      <c r="AA90">
        <v>0.33801407157980401</v>
      </c>
      <c r="AB90">
        <v>5.2864550594729902</v>
      </c>
      <c r="AC90">
        <v>9.0689871113746801</v>
      </c>
      <c r="AJ90">
        <v>0.46210388153607601</v>
      </c>
      <c r="AK90">
        <v>1.63275357227665E-2</v>
      </c>
      <c r="AL90">
        <v>0.52156858274115703</v>
      </c>
    </row>
    <row r="91" spans="1:38" x14ac:dyDescent="0.2">
      <c r="A91">
        <v>96</v>
      </c>
      <c r="B91">
        <v>790</v>
      </c>
      <c r="C91">
        <v>125</v>
      </c>
      <c r="D91">
        <v>0.48166345294643498</v>
      </c>
      <c r="E91">
        <v>4.0866761049156403E-2</v>
      </c>
      <c r="F91">
        <v>2.5621324564847701</v>
      </c>
      <c r="G91">
        <v>-0.66670251126475888</v>
      </c>
      <c r="H91">
        <v>-0.5734470708086904</v>
      </c>
      <c r="I91">
        <v>8.77161646579208E-2</v>
      </c>
      <c r="J91">
        <v>4.9618124118405202E-2</v>
      </c>
      <c r="K91">
        <v>1.59502920880309E-2</v>
      </c>
      <c r="L91">
        <v>3.0658479476251587E-5</v>
      </c>
      <c r="M91">
        <v>1.8201434623664151E-6</v>
      </c>
      <c r="N91" s="1">
        <v>-1.9421660317161401E-10</v>
      </c>
      <c r="O91" s="1">
        <v>1.44604016253142E-13</v>
      </c>
      <c r="P91" s="1">
        <v>9.0557505339235396E-13</v>
      </c>
      <c r="Q91">
        <v>65.553387565010894</v>
      </c>
      <c r="S91">
        <v>21.157830420957598</v>
      </c>
      <c r="AA91">
        <v>2.1594399200663599</v>
      </c>
      <c r="AB91">
        <v>9.21513536725835</v>
      </c>
      <c r="AC91">
        <v>1.9142067267066101</v>
      </c>
      <c r="AJ91">
        <v>0.78978867283927501</v>
      </c>
      <c r="AK91">
        <v>0.102273024038671</v>
      </c>
      <c r="AL91">
        <v>0.10793830312205201</v>
      </c>
    </row>
    <row r="92" spans="1:38" x14ac:dyDescent="0.2">
      <c r="A92">
        <v>97</v>
      </c>
      <c r="B92">
        <v>789</v>
      </c>
      <c r="C92">
        <v>125</v>
      </c>
      <c r="D92">
        <v>0.48110954196676597</v>
      </c>
      <c r="E92">
        <v>0.44213108880638202</v>
      </c>
      <c r="F92">
        <v>2.5616912467584898</v>
      </c>
      <c r="G92">
        <v>-7.2111910697851682</v>
      </c>
      <c r="H92">
        <v>-6.2037138417166684</v>
      </c>
      <c r="I92">
        <v>0.94852631743962701</v>
      </c>
      <c r="J92">
        <v>0.53683736855997999</v>
      </c>
      <c r="K92">
        <v>0.17259343387531301</v>
      </c>
      <c r="L92">
        <v>3.0683017166424394E-5</v>
      </c>
      <c r="M92">
        <v>1.821049310936293E-6</v>
      </c>
      <c r="N92" s="1">
        <v>-2.1704910656651001E-9</v>
      </c>
      <c r="O92" s="1">
        <v>1.5652648883540201E-12</v>
      </c>
      <c r="P92" s="1">
        <v>1.00003840445556E-11</v>
      </c>
      <c r="Q92">
        <v>65.593820093645505</v>
      </c>
      <c r="S92">
        <v>21.122855248530701</v>
      </c>
      <c r="AA92">
        <v>2.1211506668882301</v>
      </c>
      <c r="AB92">
        <v>9.21354512781501</v>
      </c>
      <c r="AC92">
        <v>1.94862886312048</v>
      </c>
      <c r="AJ92">
        <v>0.78965925861375696</v>
      </c>
      <c r="AK92">
        <v>0.100460485486908</v>
      </c>
      <c r="AL92">
        <v>0.10988025589933299</v>
      </c>
    </row>
    <row r="93" spans="1:38" x14ac:dyDescent="0.2">
      <c r="A93">
        <v>98</v>
      </c>
      <c r="B93">
        <v>788</v>
      </c>
      <c r="C93">
        <v>125</v>
      </c>
      <c r="D93">
        <v>0.48055458700466802</v>
      </c>
      <c r="E93">
        <v>0.84429152742691804</v>
      </c>
      <c r="F93">
        <v>2.5612552664030002</v>
      </c>
      <c r="G93">
        <v>-13.767083305375447</v>
      </c>
      <c r="H93">
        <v>-11.84596211764582</v>
      </c>
      <c r="I93">
        <v>1.81041435021403</v>
      </c>
      <c r="J93">
        <v>1.02519374935119</v>
      </c>
      <c r="K93">
        <v>0.32963974286429898</v>
      </c>
      <c r="L93">
        <v>3.0707065647468468E-5</v>
      </c>
      <c r="M93">
        <v>1.821925011260411E-6</v>
      </c>
      <c r="N93" s="1">
        <v>-4.2800214418973502E-9</v>
      </c>
      <c r="O93" s="1">
        <v>2.9905133628183602E-12</v>
      </c>
      <c r="P93" s="1">
        <v>1.94929718931641E-11</v>
      </c>
      <c r="Q93">
        <v>65.633061759191193</v>
      </c>
      <c r="S93">
        <v>21.088573434816102</v>
      </c>
      <c r="AA93">
        <v>2.0837113133688598</v>
      </c>
      <c r="AB93">
        <v>9.2111188438369709</v>
      </c>
      <c r="AC93">
        <v>1.98353464878677</v>
      </c>
      <c r="AJ93">
        <v>0.78946144745629698</v>
      </c>
      <c r="AK93">
        <v>9.8688575632917094E-2</v>
      </c>
      <c r="AL93">
        <v>0.11184997691078501</v>
      </c>
    </row>
    <row r="94" spans="1:38" x14ac:dyDescent="0.2">
      <c r="A94">
        <v>99</v>
      </c>
      <c r="B94">
        <v>787</v>
      </c>
      <c r="C94">
        <v>125</v>
      </c>
      <c r="D94">
        <v>0.479998585105882</v>
      </c>
      <c r="E94">
        <v>1.24720636204413</v>
      </c>
      <c r="F94">
        <v>2.5608244252724601</v>
      </c>
      <c r="G94">
        <v>-20.332035972127603</v>
      </c>
      <c r="H94">
        <v>-17.498186851176865</v>
      </c>
      <c r="I94">
        <v>2.6730643031181698</v>
      </c>
      <c r="J94">
        <v>1.51451640015866</v>
      </c>
      <c r="K94">
        <v>0.48703314047445401</v>
      </c>
      <c r="L94">
        <v>3.0730640017197062E-5</v>
      </c>
      <c r="M94">
        <v>1.8227709899750817E-6</v>
      </c>
      <c r="N94" s="1">
        <v>-6.5268252203754603E-9</v>
      </c>
      <c r="O94" s="1">
        <v>4.4197536503317399E-12</v>
      </c>
      <c r="P94" s="1">
        <v>2.9393649537614602E-11</v>
      </c>
      <c r="Q94">
        <v>65.671128154470594</v>
      </c>
      <c r="S94">
        <v>21.054974358197899</v>
      </c>
      <c r="AA94">
        <v>2.04710945819423</v>
      </c>
      <c r="AB94">
        <v>9.2078634171459406</v>
      </c>
      <c r="AC94">
        <v>2.0189246119912001</v>
      </c>
      <c r="AJ94">
        <v>0.78919579901391601</v>
      </c>
      <c r="AK94">
        <v>9.6956683434350294E-2</v>
      </c>
      <c r="AL94">
        <v>0.113847517551733</v>
      </c>
    </row>
    <row r="95" spans="1:38" x14ac:dyDescent="0.2">
      <c r="A95">
        <v>100</v>
      </c>
      <c r="B95">
        <v>786</v>
      </c>
      <c r="C95">
        <v>125</v>
      </c>
      <c r="D95">
        <v>0.47944153330501299</v>
      </c>
      <c r="E95">
        <v>1.6507369095422599</v>
      </c>
      <c r="F95">
        <v>2.5603986232445601</v>
      </c>
      <c r="G95">
        <v>-26.903757358484079</v>
      </c>
      <c r="H95">
        <v>-23.158425679011245</v>
      </c>
      <c r="I95">
        <v>3.5361673790046901</v>
      </c>
      <c r="J95">
        <v>2.0046382947440602</v>
      </c>
      <c r="K95">
        <v>0.644718714717333</v>
      </c>
      <c r="L95">
        <v>3.0753756215201158E-5</v>
      </c>
      <c r="M95">
        <v>1.8235877024786747E-6</v>
      </c>
      <c r="N95" s="1">
        <v>-8.9150279213407301E-9</v>
      </c>
      <c r="O95" s="1">
        <v>5.8523996211160503E-12</v>
      </c>
      <c r="P95" s="1">
        <v>3.9713043392227498E-11</v>
      </c>
      <c r="Q95">
        <v>65.708036125193502</v>
      </c>
      <c r="S95">
        <v>21.022046507793299</v>
      </c>
      <c r="AA95">
        <v>2.0113316740523501</v>
      </c>
      <c r="AB95">
        <v>9.2037862102272996</v>
      </c>
      <c r="AC95">
        <v>2.0547994827334501</v>
      </c>
      <c r="AJ95">
        <v>0.78886290902938005</v>
      </c>
      <c r="AK95">
        <v>9.5264150223349706E-2</v>
      </c>
      <c r="AL95">
        <v>0.115872940747269</v>
      </c>
    </row>
    <row r="96" spans="1:38" x14ac:dyDescent="0.2">
      <c r="A96">
        <v>101</v>
      </c>
      <c r="B96">
        <v>785</v>
      </c>
      <c r="C96">
        <v>125</v>
      </c>
      <c r="D96">
        <v>0.47888342862543298</v>
      </c>
      <c r="E96">
        <v>2.0547481035395099</v>
      </c>
      <c r="F96">
        <v>2.5599777509575299</v>
      </c>
      <c r="G96">
        <v>-33.480016749273268</v>
      </c>
      <c r="H96">
        <v>-28.82476709630507</v>
      </c>
      <c r="I96">
        <v>4.3994231942240596</v>
      </c>
      <c r="J96">
        <v>2.4953969673954601</v>
      </c>
      <c r="K96">
        <v>0.80264295374088801</v>
      </c>
      <c r="L96">
        <v>3.0776430956603335E-5</v>
      </c>
      <c r="M96">
        <v>1.8243756299112474E-6</v>
      </c>
      <c r="N96" s="1">
        <v>-1.1448872444228999E-8</v>
      </c>
      <c r="O96" s="1">
        <v>7.2878770972602895E-12</v>
      </c>
      <c r="P96" s="1">
        <v>5.0462126464457803E-11</v>
      </c>
      <c r="Q96">
        <v>65.743803647535401</v>
      </c>
      <c r="S96">
        <v>20.989777563659299</v>
      </c>
      <c r="AA96">
        <v>1.97636360236913</v>
      </c>
      <c r="AB96">
        <v>9.1988949836921492</v>
      </c>
      <c r="AC96">
        <v>2.09116020274389</v>
      </c>
      <c r="AJ96">
        <v>0.78846340427878003</v>
      </c>
      <c r="AK96">
        <v>9.3610274196901905E-2</v>
      </c>
      <c r="AL96">
        <v>0.11792632152431699</v>
      </c>
    </row>
    <row r="97" spans="1:38" x14ac:dyDescent="0.2">
      <c r="A97">
        <v>102</v>
      </c>
      <c r="B97">
        <v>784</v>
      </c>
      <c r="C97">
        <v>125</v>
      </c>
      <c r="D97">
        <v>0.47832426807926898</v>
      </c>
      <c r="E97">
        <v>2.45910900288917</v>
      </c>
      <c r="F97">
        <v>2.55956169098534</v>
      </c>
      <c r="G97">
        <v>-40.058652631643362</v>
      </c>
      <c r="H97">
        <v>-34.495357561491232</v>
      </c>
      <c r="I97">
        <v>5.2625408600029502</v>
      </c>
      <c r="J97">
        <v>2.98663514022354</v>
      </c>
      <c r="K97">
        <v>0.96075394922108803</v>
      </c>
      <c r="L97">
        <v>3.0798681666587426E-5</v>
      </c>
      <c r="M97">
        <v>1.8251352757777243E-6</v>
      </c>
      <c r="N97" s="1">
        <v>-1.4132728802879999E-8</v>
      </c>
      <c r="O97" s="1">
        <v>8.7256258507598901E-12</v>
      </c>
      <c r="P97" s="1">
        <v>6.1652249939000802E-11</v>
      </c>
      <c r="Q97">
        <v>65.778449681979495</v>
      </c>
      <c r="S97">
        <v>20.958154502025199</v>
      </c>
      <c r="AA97">
        <v>1.94219007423081</v>
      </c>
      <c r="AB97">
        <v>9.1931978464523691</v>
      </c>
      <c r="AC97">
        <v>2.1280078953119901</v>
      </c>
      <c r="AJ97">
        <v>0.78799793855092803</v>
      </c>
      <c r="AK97">
        <v>9.1994316135763504E-2</v>
      </c>
      <c r="AL97">
        <v>0.120007745313308</v>
      </c>
    </row>
    <row r="98" spans="1:38" x14ac:dyDescent="0.2">
      <c r="A98">
        <v>103</v>
      </c>
      <c r="B98">
        <v>783</v>
      </c>
      <c r="C98">
        <v>125</v>
      </c>
      <c r="D98">
        <v>0.47776404866733202</v>
      </c>
      <c r="E98">
        <v>2.8636932286311501</v>
      </c>
      <c r="F98">
        <v>2.5591503190695399</v>
      </c>
      <c r="G98">
        <v>-46.63757972831268</v>
      </c>
      <c r="H98">
        <v>-40.168407602044979</v>
      </c>
      <c r="I98">
        <v>6.1252399055699298</v>
      </c>
      <c r="J98">
        <v>3.4782012633556998</v>
      </c>
      <c r="K98">
        <v>1.1190015714560799</v>
      </c>
      <c r="L98">
        <v>3.082052641843706E-5</v>
      </c>
      <c r="M98">
        <v>1.8258671626460721E-6</v>
      </c>
      <c r="N98" s="1">
        <v>-1.6971104242683499E-8</v>
      </c>
      <c r="O98" s="1">
        <v>1.01651013222783E-11</v>
      </c>
      <c r="P98" s="1">
        <v>7.3295175245909896E-11</v>
      </c>
      <c r="Q98">
        <v>65.811994027977704</v>
      </c>
      <c r="S98">
        <v>20.9271637016951</v>
      </c>
      <c r="AA98">
        <v>1.9087952320800201</v>
      </c>
      <c r="AB98">
        <v>9.1867032107892399</v>
      </c>
      <c r="AC98">
        <v>2.1653438274577699</v>
      </c>
      <c r="AJ98">
        <v>0.78746718902884305</v>
      </c>
      <c r="AK98">
        <v>9.0415505153478695E-2</v>
      </c>
      <c r="AL98">
        <v>0.122117305817677</v>
      </c>
    </row>
    <row r="99" spans="1:38" x14ac:dyDescent="0.2">
      <c r="A99">
        <v>104</v>
      </c>
      <c r="B99">
        <v>782</v>
      </c>
      <c r="C99">
        <v>125</v>
      </c>
      <c r="D99">
        <v>0.47720276737904699</v>
      </c>
      <c r="E99">
        <v>3.26837932233492</v>
      </c>
      <c r="F99">
        <v>2.5587435054816998</v>
      </c>
      <c r="G99">
        <v>-53.214794748445833</v>
      </c>
      <c r="H99">
        <v>-45.842196825611339</v>
      </c>
      <c r="I99">
        <v>6.9872510286068099</v>
      </c>
      <c r="J99">
        <v>3.9699499596825101</v>
      </c>
      <c r="K99">
        <v>1.27733761329845</v>
      </c>
      <c r="L99">
        <v>3.0841983881139333E-5</v>
      </c>
      <c r="M99">
        <v>1.8265718290169811E-6</v>
      </c>
      <c r="N99" s="1">
        <v>-1.9968653692097301E-8</v>
      </c>
      <c r="O99" s="1">
        <v>1.1605776031947301E-11</v>
      </c>
      <c r="P99" s="1">
        <v>8.5403106410882602E-11</v>
      </c>
      <c r="Q99">
        <v>65.844457180808305</v>
      </c>
      <c r="S99">
        <v>20.896791053853701</v>
      </c>
      <c r="AA99">
        <v>1.8761626537065299</v>
      </c>
      <c r="AB99">
        <v>9.1794197612375701</v>
      </c>
      <c r="AC99">
        <v>2.2031693503937801</v>
      </c>
      <c r="AJ99">
        <v>0.78687185380271296</v>
      </c>
      <c r="AK99">
        <v>8.8873044544645299E-2</v>
      </c>
      <c r="AL99">
        <v>0.12425510165264</v>
      </c>
    </row>
    <row r="100" spans="1:38" x14ac:dyDescent="0.2">
      <c r="A100">
        <v>105</v>
      </c>
      <c r="B100">
        <v>781</v>
      </c>
      <c r="C100">
        <v>125</v>
      </c>
      <c r="D100">
        <v>0.476640421192431</v>
      </c>
      <c r="E100">
        <v>3.6730510279525399</v>
      </c>
      <c r="F100">
        <v>2.5583411163899101</v>
      </c>
      <c r="G100">
        <v>-59.788380892823611</v>
      </c>
      <c r="H100">
        <v>-51.515077866433742</v>
      </c>
      <c r="I100">
        <v>7.8483166782619804</v>
      </c>
      <c r="J100">
        <v>4.4617423767585196</v>
      </c>
      <c r="K100">
        <v>1.4357159037242</v>
      </c>
      <c r="L100">
        <v>3.086307327293517E-5</v>
      </c>
      <c r="M100">
        <v>1.8272498263804745E-6</v>
      </c>
      <c r="N100" s="1">
        <v>-2.31301905183386E-8</v>
      </c>
      <c r="O100" s="1">
        <v>1.3047140689191599E-11</v>
      </c>
      <c r="P100" s="1">
        <v>9.7988722608457904E-11</v>
      </c>
      <c r="Q100">
        <v>65.875860194443405</v>
      </c>
      <c r="S100">
        <v>20.867022069011998</v>
      </c>
      <c r="AA100">
        <v>1.8442754724770001</v>
      </c>
      <c r="AB100">
        <v>9.1713564293664191</v>
      </c>
      <c r="AC100">
        <v>2.2414858347010802</v>
      </c>
      <c r="AJ100">
        <v>0.78621264986644801</v>
      </c>
      <c r="AK100">
        <v>8.7366117450477995E-2</v>
      </c>
      <c r="AL100">
        <v>0.12642123268307301</v>
      </c>
    </row>
    <row r="101" spans="1:38" x14ac:dyDescent="0.2">
      <c r="A101">
        <v>106</v>
      </c>
      <c r="B101">
        <v>780</v>
      </c>
      <c r="C101">
        <v>125</v>
      </c>
      <c r="D101">
        <v>0.47607700707401701</v>
      </c>
      <c r="E101">
        <v>4.0775974862564803</v>
      </c>
      <c r="F101">
        <v>2.5579430153591298</v>
      </c>
      <c r="G101">
        <v>-66.356510942109168</v>
      </c>
      <c r="H101">
        <v>-57.185479118434252</v>
      </c>
      <c r="I101">
        <v>8.7081914482029106</v>
      </c>
      <c r="J101">
        <v>4.95344643292015</v>
      </c>
      <c r="K101">
        <v>1.5940923866452801</v>
      </c>
      <c r="L101">
        <v>3.0883814326737249E-5</v>
      </c>
      <c r="M101">
        <v>1.8279017164978055E-6</v>
      </c>
      <c r="N101" s="1">
        <v>-2.6460697518270099E-8</v>
      </c>
      <c r="O101" s="1">
        <v>1.4488704958779199E-11</v>
      </c>
      <c r="P101" s="1">
        <v>1.11065210622706E-10</v>
      </c>
      <c r="Q101">
        <v>65.906224548361195</v>
      </c>
      <c r="S101">
        <v>20.8378419867487</v>
      </c>
      <c r="AA101">
        <v>1.8131164989502899</v>
      </c>
      <c r="AB101">
        <v>9.1625223846780699</v>
      </c>
      <c r="AC101">
        <v>2.28029458126155</v>
      </c>
      <c r="AJ101">
        <v>0.78549031243401302</v>
      </c>
      <c r="AK101">
        <v>8.5893892582035905E-2</v>
      </c>
      <c r="AL101">
        <v>0.12861579498395001</v>
      </c>
    </row>
    <row r="102" spans="1:38" x14ac:dyDescent="0.2">
      <c r="A102">
        <v>107</v>
      </c>
      <c r="B102">
        <v>779</v>
      </c>
      <c r="C102">
        <v>125</v>
      </c>
      <c r="D102">
        <v>0.475512521978807</v>
      </c>
      <c r="E102">
        <v>4.4819133504544304</v>
      </c>
      <c r="F102">
        <v>2.55754906489453</v>
      </c>
      <c r="G102">
        <v>-72.917449071444963</v>
      </c>
      <c r="H102">
        <v>-62.851906376611559</v>
      </c>
      <c r="I102">
        <v>9.5666422989434903</v>
      </c>
      <c r="J102">
        <v>5.4449369681947104</v>
      </c>
      <c r="K102">
        <v>1.75242516828871</v>
      </c>
      <c r="L102">
        <v>3.0904227266052414E-5</v>
      </c>
      <c r="M102">
        <v>1.8285280689498853E-6</v>
      </c>
      <c r="N102" s="1">
        <v>-2.9965338160319798E-8</v>
      </c>
      <c r="O102" s="1">
        <v>1.5929997913133898E-11</v>
      </c>
      <c r="P102" s="1">
        <v>1.2464629732502101E-10</v>
      </c>
      <c r="Q102">
        <v>65.935572022067205</v>
      </c>
      <c r="S102">
        <v>20.809235883382101</v>
      </c>
      <c r="AA102">
        <v>1.78266833898614</v>
      </c>
      <c r="AB102">
        <v>9.1529270372604508</v>
      </c>
      <c r="AC102">
        <v>2.3195967183039601</v>
      </c>
      <c r="AJ102">
        <v>0.78470559521891403</v>
      </c>
      <c r="AK102">
        <v>8.4455529772614293E-2</v>
      </c>
      <c r="AL102">
        <v>0.130838875008471</v>
      </c>
    </row>
    <row r="103" spans="1:38" x14ac:dyDescent="0.2">
      <c r="A103">
        <v>108</v>
      </c>
      <c r="B103">
        <v>778</v>
      </c>
      <c r="C103">
        <v>125</v>
      </c>
      <c r="D103">
        <v>0.47494696285021398</v>
      </c>
      <c r="E103">
        <v>5.8456372157225998</v>
      </c>
      <c r="F103">
        <v>2.55584656909235</v>
      </c>
      <c r="G103">
        <v>-95.03607284840885</v>
      </c>
      <c r="H103">
        <v>-81.927788328822132</v>
      </c>
      <c r="I103">
        <v>12.4704224131538</v>
      </c>
      <c r="J103">
        <v>7.0996861314242201</v>
      </c>
      <c r="K103">
        <v>2.2871628079765798</v>
      </c>
      <c r="L103">
        <v>3.0897742474655168E-5</v>
      </c>
      <c r="M103">
        <v>1.829600541971508E-6</v>
      </c>
      <c r="N103" s="1">
        <v>-3.9873949513577997E-8</v>
      </c>
      <c r="O103" s="1">
        <v>2.0827859414112302E-11</v>
      </c>
      <c r="P103" s="1">
        <v>1.6482046069748E-10</v>
      </c>
      <c r="Q103">
        <v>66.014290029948796</v>
      </c>
      <c r="S103">
        <v>20.7135917187139</v>
      </c>
      <c r="AA103">
        <v>1.6853931528218999</v>
      </c>
      <c r="AB103">
        <v>9.0776022848663107</v>
      </c>
      <c r="AC103">
        <v>2.5091228136489101</v>
      </c>
      <c r="AJ103">
        <v>0.77854046112003294</v>
      </c>
      <c r="AK103">
        <v>7.9877056456784806E-2</v>
      </c>
      <c r="AL103">
        <v>0.141582482423181</v>
      </c>
    </row>
    <row r="104" spans="1:38" x14ac:dyDescent="0.2">
      <c r="A104">
        <v>109</v>
      </c>
      <c r="B104">
        <v>777</v>
      </c>
      <c r="C104">
        <v>125</v>
      </c>
      <c r="D104">
        <v>0.47438032662001101</v>
      </c>
      <c r="E104">
        <v>7.4378915677099</v>
      </c>
      <c r="F104">
        <v>2.5537290718248702</v>
      </c>
      <c r="G104">
        <v>-120.81312045786913</v>
      </c>
      <c r="H104">
        <v>-104.16087511406899</v>
      </c>
      <c r="I104">
        <v>15.857015991810799</v>
      </c>
      <c r="J104">
        <v>9.02938255349512</v>
      </c>
      <c r="K104">
        <v>2.9125609485249</v>
      </c>
      <c r="L104">
        <v>3.0869867274888745E-5</v>
      </c>
      <c r="M104">
        <v>1.8304497751886473E-6</v>
      </c>
      <c r="N104" s="1">
        <v>-5.1486688051684703E-8</v>
      </c>
      <c r="O104" s="1">
        <v>2.6582614323969601E-11</v>
      </c>
      <c r="P104" s="1">
        <v>2.11802613836563E-10</v>
      </c>
      <c r="Q104">
        <v>66.096355103940596</v>
      </c>
      <c r="S104">
        <v>20.601790994215499</v>
      </c>
      <c r="AA104">
        <v>1.57400764724828</v>
      </c>
      <c r="AB104">
        <v>8.9673797677452196</v>
      </c>
      <c r="AC104">
        <v>2.76046648685021</v>
      </c>
      <c r="AJ104">
        <v>0.76951016352016999</v>
      </c>
      <c r="AK104">
        <v>7.4639105518540305E-2</v>
      </c>
      <c r="AL104">
        <v>0.15585073096128901</v>
      </c>
    </row>
    <row r="105" spans="1:38" x14ac:dyDescent="0.2">
      <c r="A105">
        <v>110</v>
      </c>
      <c r="B105">
        <v>776</v>
      </c>
      <c r="C105">
        <v>125</v>
      </c>
      <c r="D105">
        <v>0.47381261020826598</v>
      </c>
      <c r="E105">
        <v>9.3654851832652604</v>
      </c>
      <c r="F105">
        <v>2.55096027757719</v>
      </c>
      <c r="G105">
        <v>-151.93938228983092</v>
      </c>
      <c r="H105">
        <v>-131.00772998014082</v>
      </c>
      <c r="I105">
        <v>19.951057817938398</v>
      </c>
      <c r="J105">
        <v>11.360814368401799</v>
      </c>
      <c r="K105">
        <v>3.6713567300860701</v>
      </c>
      <c r="L105">
        <v>3.0805344574192781E-5</v>
      </c>
      <c r="M105">
        <v>1.8308798413936064E-6</v>
      </c>
      <c r="N105" s="1">
        <v>-6.5198305957949894E-8</v>
      </c>
      <c r="O105" s="1">
        <v>3.3608417083201198E-11</v>
      </c>
      <c r="P105" s="1">
        <v>2.6757805308951201E-10</v>
      </c>
      <c r="Q105">
        <v>66.181372080950396</v>
      </c>
      <c r="S105">
        <v>20.465350546922298</v>
      </c>
      <c r="AA105">
        <v>1.4416053318642099</v>
      </c>
      <c r="AB105">
        <v>8.7991391715356908</v>
      </c>
      <c r="AC105">
        <v>3.1125328687273299</v>
      </c>
      <c r="AJ105">
        <v>0.75570679134069196</v>
      </c>
      <c r="AK105">
        <v>6.8417989583694994E-2</v>
      </c>
      <c r="AL105">
        <v>0.17587521907561199</v>
      </c>
    </row>
    <row r="106" spans="1:38" x14ac:dyDescent="0.2">
      <c r="A106">
        <v>111</v>
      </c>
      <c r="B106">
        <v>775</v>
      </c>
      <c r="C106">
        <v>125</v>
      </c>
      <c r="D106">
        <v>0.473243810523307</v>
      </c>
      <c r="E106">
        <v>10.7612114058822</v>
      </c>
      <c r="F106">
        <v>2.54947634635929</v>
      </c>
      <c r="G106">
        <v>-174.42903325062127</v>
      </c>
      <c r="H106">
        <v>-150.42054551956039</v>
      </c>
      <c r="I106">
        <v>22.905583867825101</v>
      </c>
      <c r="J106">
        <v>13.0458267693131</v>
      </c>
      <c r="K106">
        <v>4.2209496947282998</v>
      </c>
      <c r="L106">
        <v>3.0733157542529036E-5</v>
      </c>
      <c r="M106">
        <v>1.8299872844528184E-6</v>
      </c>
      <c r="N106" s="1">
        <v>-7.5582455166357804E-8</v>
      </c>
      <c r="O106" s="1">
        <v>3.8692667200690702E-11</v>
      </c>
      <c r="P106" s="1">
        <v>3.09260470712601E-10</v>
      </c>
      <c r="Q106">
        <v>66.1876600305484</v>
      </c>
      <c r="S106">
        <v>20.404987072202299</v>
      </c>
      <c r="AA106">
        <v>1.3903376400707701</v>
      </c>
      <c r="AB106">
        <v>8.6549008333029498</v>
      </c>
      <c r="AC106">
        <v>3.3621144238754899</v>
      </c>
      <c r="AJ106">
        <v>0.74385323910787704</v>
      </c>
      <c r="AK106">
        <v>6.6032270873039894E-2</v>
      </c>
      <c r="AL106">
        <v>0.19011449001908201</v>
      </c>
    </row>
    <row r="107" spans="1:38" x14ac:dyDescent="0.2">
      <c r="A107">
        <v>111</v>
      </c>
      <c r="B107">
        <v>775</v>
      </c>
      <c r="C107">
        <v>125</v>
      </c>
      <c r="D107">
        <v>0.473243810523307</v>
      </c>
      <c r="E107">
        <v>4.0920235982434097</v>
      </c>
      <c r="F107">
        <v>2.52306799251462</v>
      </c>
      <c r="G107">
        <v>-65.449466540343238</v>
      </c>
      <c r="H107">
        <v>-56.39749205928274</v>
      </c>
      <c r="I107">
        <v>8.6361441406864508</v>
      </c>
      <c r="J107">
        <v>4.8960365549657201</v>
      </c>
      <c r="K107">
        <v>1.6218443618576699</v>
      </c>
      <c r="L107">
        <v>2.921298840767238E-5</v>
      </c>
      <c r="M107">
        <v>1.8152479029360734E-6</v>
      </c>
      <c r="N107" s="1">
        <v>-1.7441178607145502E-8</v>
      </c>
      <c r="O107" s="1">
        <v>1.5378800824338001E-11</v>
      </c>
      <c r="P107" s="1">
        <v>8.3594427978215904E-11</v>
      </c>
      <c r="Q107">
        <v>66.385708133051097</v>
      </c>
      <c r="S107">
        <v>19.282047257265098</v>
      </c>
      <c r="AA107">
        <v>0.41768897753561401</v>
      </c>
      <c r="AB107">
        <v>6.1523076938221202</v>
      </c>
      <c r="AC107">
        <v>7.76224793832594</v>
      </c>
      <c r="AJ107">
        <v>0.53544360104600697</v>
      </c>
      <c r="AK107">
        <v>2.00881290759292E-2</v>
      </c>
      <c r="AL107">
        <v>0.44446826987806298</v>
      </c>
    </row>
    <row r="108" spans="1:38" x14ac:dyDescent="0.2">
      <c r="A108">
        <v>112</v>
      </c>
      <c r="B108">
        <v>774</v>
      </c>
      <c r="C108">
        <v>125</v>
      </c>
      <c r="D108">
        <v>0.47267392446163797</v>
      </c>
      <c r="E108">
        <v>10.8391639276867</v>
      </c>
      <c r="F108">
        <v>2.5517613532648502</v>
      </c>
      <c r="G108">
        <v>-175.7763251796564</v>
      </c>
      <c r="H108">
        <v>-151.62914767638861</v>
      </c>
      <c r="I108">
        <v>23.0599030733588</v>
      </c>
      <c r="J108">
        <v>13.146287714762201</v>
      </c>
      <c r="K108">
        <v>4.2477185077744704</v>
      </c>
      <c r="L108">
        <v>3.0753369372103665E-5</v>
      </c>
      <c r="M108">
        <v>1.828221559089649E-6</v>
      </c>
      <c r="N108" s="1">
        <v>-7.9222607290782901E-8</v>
      </c>
      <c r="O108" s="1">
        <v>3.8811220773973001E-11</v>
      </c>
      <c r="P108" s="1">
        <v>3.2067357665764998E-10</v>
      </c>
      <c r="Q108">
        <v>66.065040969476399</v>
      </c>
      <c r="S108">
        <v>20.5307628883433</v>
      </c>
      <c r="AA108">
        <v>1.52271545781965</v>
      </c>
      <c r="AB108">
        <v>8.7113884842607003</v>
      </c>
      <c r="AC108">
        <v>3.1700922000998499</v>
      </c>
      <c r="AJ108">
        <v>0.74849563521552798</v>
      </c>
      <c r="AK108">
        <v>7.22988579999648E-2</v>
      </c>
      <c r="AL108">
        <v>0.179205506784507</v>
      </c>
    </row>
    <row r="109" spans="1:38" x14ac:dyDescent="0.2">
      <c r="A109">
        <v>112</v>
      </c>
      <c r="B109">
        <v>774</v>
      </c>
      <c r="C109">
        <v>125</v>
      </c>
      <c r="D109">
        <v>0.47267392446163797</v>
      </c>
      <c r="E109">
        <v>12.634189088946201</v>
      </c>
      <c r="F109">
        <v>2.52239130165295</v>
      </c>
      <c r="G109">
        <v>-201.89655530983541</v>
      </c>
      <c r="H109">
        <v>-174.01148896310625</v>
      </c>
      <c r="I109">
        <v>26.629486078144598</v>
      </c>
      <c r="J109">
        <v>15.104298916452199</v>
      </c>
      <c r="K109">
        <v>5.0088140887049999</v>
      </c>
      <c r="L109">
        <v>2.9108135363328114E-5</v>
      </c>
      <c r="M109">
        <v>1.8134512663153856E-6</v>
      </c>
      <c r="N109" s="1">
        <v>-5.3415122538909603E-8</v>
      </c>
      <c r="O109" s="1">
        <v>4.7547104621974701E-11</v>
      </c>
      <c r="P109" s="1">
        <v>2.5668107935027702E-10</v>
      </c>
      <c r="Q109">
        <v>66.341001490603603</v>
      </c>
      <c r="S109">
        <v>19.255191849636802</v>
      </c>
      <c r="AA109">
        <v>0.40596467510107198</v>
      </c>
      <c r="AB109">
        <v>5.9822763956634999</v>
      </c>
      <c r="AC109">
        <v>8.0155655889949102</v>
      </c>
      <c r="AJ109">
        <v>0.52109206357966897</v>
      </c>
      <c r="AK109">
        <v>1.9541010571350399E-2</v>
      </c>
      <c r="AL109">
        <v>0.45936692584897898</v>
      </c>
    </row>
    <row r="110" spans="1:38" x14ac:dyDescent="0.2">
      <c r="A110">
        <v>113</v>
      </c>
      <c r="B110">
        <v>773</v>
      </c>
      <c r="C110">
        <v>125</v>
      </c>
      <c r="D110">
        <v>0.472102948907902</v>
      </c>
      <c r="E110">
        <v>11.3146582943619</v>
      </c>
      <c r="F110">
        <v>2.5534226793583499</v>
      </c>
      <c r="G110">
        <v>-183.54002173848784</v>
      </c>
      <c r="H110">
        <v>-158.37130745821565</v>
      </c>
      <c r="I110">
        <v>24.058418276797902</v>
      </c>
      <c r="J110">
        <v>13.7276340730521</v>
      </c>
      <c r="K110">
        <v>4.4311732584771999</v>
      </c>
      <c r="L110">
        <v>3.0768129409737044E-5</v>
      </c>
      <c r="M110">
        <v>1.826819459985558E-6</v>
      </c>
      <c r="N110" s="1">
        <v>-8.5750014318777205E-8</v>
      </c>
      <c r="O110" s="1">
        <v>4.0384628517558401E-11</v>
      </c>
      <c r="P110" s="1">
        <v>3.4375118781288003E-10</v>
      </c>
      <c r="Q110">
        <v>65.971240707364203</v>
      </c>
      <c r="S110">
        <v>20.6235132008199</v>
      </c>
      <c r="AA110">
        <v>1.62112242413223</v>
      </c>
      <c r="AB110">
        <v>8.7455166320334197</v>
      </c>
      <c r="AC110">
        <v>3.03860703565016</v>
      </c>
      <c r="AJ110">
        <v>0.75129885781765304</v>
      </c>
      <c r="AK110">
        <v>7.6958015844827005E-2</v>
      </c>
      <c r="AL110">
        <v>0.17174312633751901</v>
      </c>
    </row>
    <row r="111" spans="1:38" x14ac:dyDescent="0.2">
      <c r="A111">
        <v>113</v>
      </c>
      <c r="B111">
        <v>773</v>
      </c>
      <c r="C111">
        <v>125</v>
      </c>
      <c r="D111">
        <v>0.472102948907902</v>
      </c>
      <c r="E111">
        <v>18.510956571442801</v>
      </c>
      <c r="F111">
        <v>2.52195177256699</v>
      </c>
      <c r="G111">
        <v>-295.60988429554857</v>
      </c>
      <c r="H111">
        <v>-254.83790602984479</v>
      </c>
      <c r="I111">
        <v>38.973357803091098</v>
      </c>
      <c r="J111">
        <v>22.117662167733702</v>
      </c>
      <c r="K111">
        <v>7.3399328142588702</v>
      </c>
      <c r="L111">
        <v>2.9036923096816719E-5</v>
      </c>
      <c r="M111">
        <v>1.8122213216788037E-6</v>
      </c>
      <c r="N111" s="1">
        <v>-7.8603191056367499E-8</v>
      </c>
      <c r="O111" s="1">
        <v>6.9724185910451901E-11</v>
      </c>
      <c r="P111" s="1">
        <v>3.7692345974796901E-10</v>
      </c>
      <c r="Q111">
        <v>66.309333912596799</v>
      </c>
      <c r="S111">
        <v>19.236031780465499</v>
      </c>
      <c r="AA111">
        <v>0.39754661825565901</v>
      </c>
      <c r="AB111">
        <v>5.8614762837116201</v>
      </c>
      <c r="AC111">
        <v>8.1956114049702808</v>
      </c>
      <c r="AJ111">
        <v>0.51088093254776601</v>
      </c>
      <c r="AK111">
        <v>1.9147476078859499E-2</v>
      </c>
      <c r="AL111">
        <v>0.46997159137337302</v>
      </c>
    </row>
    <row r="112" spans="1:38" x14ac:dyDescent="0.2">
      <c r="A112">
        <v>114</v>
      </c>
      <c r="B112">
        <v>772</v>
      </c>
      <c r="C112">
        <v>125</v>
      </c>
      <c r="D112">
        <v>0.47153088073482102</v>
      </c>
      <c r="E112">
        <v>13.4204265024722</v>
      </c>
      <c r="F112">
        <v>2.5566577928657401</v>
      </c>
      <c r="G112">
        <v>-217.83338137407651</v>
      </c>
      <c r="H112">
        <v>-188.0281568743797</v>
      </c>
      <c r="I112">
        <v>28.517652489783</v>
      </c>
      <c r="J112">
        <v>16.288862779210401</v>
      </c>
      <c r="K112">
        <v>5.2492072032171802</v>
      </c>
      <c r="L112">
        <v>3.0751750807472154E-5</v>
      </c>
      <c r="M112">
        <v>1.8231459913016592E-6</v>
      </c>
      <c r="N112" s="1">
        <v>-1.05487145021398E-7</v>
      </c>
      <c r="O112" s="1">
        <v>4.76180436574138E-11</v>
      </c>
      <c r="P112" s="1">
        <v>4.189737270145E-10</v>
      </c>
      <c r="Q112">
        <v>65.759058515668301</v>
      </c>
      <c r="S112">
        <v>20.818663542914202</v>
      </c>
      <c r="AA112">
        <v>1.83163326825559</v>
      </c>
      <c r="AB112">
        <v>8.7842919876694694</v>
      </c>
      <c r="AC112">
        <v>2.8063526854922598</v>
      </c>
      <c r="AJ112">
        <v>0.75448102503316705</v>
      </c>
      <c r="AK112">
        <v>8.6934242069669695E-2</v>
      </c>
      <c r="AL112">
        <v>0.15858473289716299</v>
      </c>
    </row>
    <row r="113" spans="1:38" x14ac:dyDescent="0.2">
      <c r="A113">
        <v>114</v>
      </c>
      <c r="B113">
        <v>772</v>
      </c>
      <c r="C113">
        <v>125</v>
      </c>
      <c r="D113">
        <v>0.47153088073482102</v>
      </c>
      <c r="E113">
        <v>31.148687276665001</v>
      </c>
      <c r="F113">
        <v>2.5212147366723099</v>
      </c>
      <c r="G113">
        <v>-496.87652089695217</v>
      </c>
      <c r="H113">
        <v>-428.44295056568768</v>
      </c>
      <c r="I113">
        <v>65.477271522044205</v>
      </c>
      <c r="J113">
        <v>37.176931106325597</v>
      </c>
      <c r="K113">
        <v>12.3546347812393</v>
      </c>
      <c r="L113">
        <v>2.889455083448888E-5</v>
      </c>
      <c r="M113">
        <v>1.8097991100164284E-6</v>
      </c>
      <c r="N113" s="1">
        <v>-1.2902219472934901E-7</v>
      </c>
      <c r="O113" s="1">
        <v>1.1753690708000999E-10</v>
      </c>
      <c r="P113" s="1">
        <v>6.2429338195241496E-10</v>
      </c>
      <c r="Q113">
        <v>66.245193588439093</v>
      </c>
      <c r="S113">
        <v>19.205855062597099</v>
      </c>
      <c r="AA113">
        <v>0.38761678481712902</v>
      </c>
      <c r="AB113">
        <v>5.6394308212599498</v>
      </c>
      <c r="AC113">
        <v>8.5219037428866091</v>
      </c>
      <c r="AJ113">
        <v>0.49207904478292303</v>
      </c>
      <c r="AK113">
        <v>1.86901575633544E-2</v>
      </c>
      <c r="AL113">
        <v>0.48923079765372202</v>
      </c>
    </row>
    <row r="114" spans="1:38" x14ac:dyDescent="0.2">
      <c r="A114">
        <v>115</v>
      </c>
      <c r="B114">
        <v>771</v>
      </c>
      <c r="C114">
        <v>125</v>
      </c>
      <c r="D114">
        <v>0.47095771680314102</v>
      </c>
      <c r="E114">
        <v>14.5724996553019</v>
      </c>
      <c r="F114">
        <v>2.55810633900315</v>
      </c>
      <c r="G114">
        <v>-236.57765403699273</v>
      </c>
      <c r="H114">
        <v>-204.26438015413675</v>
      </c>
      <c r="I114">
        <v>30.946965362118402</v>
      </c>
      <c r="J114">
        <v>17.691514319052899</v>
      </c>
      <c r="K114">
        <v>5.69659651481905</v>
      </c>
      <c r="L114">
        <v>3.0753904081290085E-5</v>
      </c>
      <c r="M114">
        <v>1.821525114920507E-6</v>
      </c>
      <c r="N114" s="1">
        <v>-1.1837791791488E-7</v>
      </c>
      <c r="O114" s="1">
        <v>5.15529508900603E-11</v>
      </c>
      <c r="P114" s="1">
        <v>4.6622309990475101E-10</v>
      </c>
      <c r="Q114">
        <v>65.663538152978703</v>
      </c>
      <c r="S114">
        <v>20.9051319092674</v>
      </c>
      <c r="AA114">
        <v>1.92525892664885</v>
      </c>
      <c r="AB114">
        <v>8.7981180450623899</v>
      </c>
      <c r="AC114">
        <v>2.7079529660424901</v>
      </c>
      <c r="AJ114">
        <v>0.75561507959260299</v>
      </c>
      <c r="AK114">
        <v>9.1371502790254799E-2</v>
      </c>
      <c r="AL114">
        <v>0.15301341761714099</v>
      </c>
    </row>
    <row r="115" spans="1:38" x14ac:dyDescent="0.2">
      <c r="A115">
        <v>115</v>
      </c>
      <c r="B115">
        <v>771</v>
      </c>
      <c r="C115">
        <v>125</v>
      </c>
      <c r="D115">
        <v>0.47095771680314102</v>
      </c>
      <c r="E115">
        <v>36.274900642296799</v>
      </c>
      <c r="F115">
        <v>2.52092687198444</v>
      </c>
      <c r="G115">
        <v>-578.31970044105992</v>
      </c>
      <c r="H115">
        <v>-498.78112849137284</v>
      </c>
      <c r="I115">
        <v>76.175426854079404</v>
      </c>
      <c r="J115">
        <v>43.275873386545697</v>
      </c>
      <c r="K115">
        <v>14.3895092893915</v>
      </c>
      <c r="L115">
        <v>2.8838180516767049E-5</v>
      </c>
      <c r="M115">
        <v>1.8088254139791118E-6</v>
      </c>
      <c r="N115" s="1">
        <v>-1.51672596923996E-7</v>
      </c>
      <c r="O115" s="1">
        <v>1.3696632372909201E-10</v>
      </c>
      <c r="P115" s="1">
        <v>7.3092707598593402E-10</v>
      </c>
      <c r="Q115">
        <v>66.218334766215705</v>
      </c>
      <c r="S115">
        <v>19.191187327249001</v>
      </c>
      <c r="AA115">
        <v>0.38178289195161502</v>
      </c>
      <c r="AB115">
        <v>5.5411240008970699</v>
      </c>
      <c r="AC115">
        <v>8.6675710136864499</v>
      </c>
      <c r="AJ115">
        <v>0.48374136761356601</v>
      </c>
      <c r="AK115">
        <v>1.8418006111157501E-2</v>
      </c>
      <c r="AL115">
        <v>0.49784062627527598</v>
      </c>
    </row>
    <row r="116" spans="1:38" x14ac:dyDescent="0.2">
      <c r="A116">
        <v>116</v>
      </c>
      <c r="B116">
        <v>770</v>
      </c>
      <c r="C116">
        <v>125</v>
      </c>
      <c r="D116">
        <v>0.47038345396155901</v>
      </c>
      <c r="E116">
        <v>15.5502115066522</v>
      </c>
      <c r="F116">
        <v>2.5592315321272698</v>
      </c>
      <c r="G116">
        <v>-252.47814021422178</v>
      </c>
      <c r="H116">
        <v>-218.05059123437047</v>
      </c>
      <c r="I116">
        <v>33.003450107703799</v>
      </c>
      <c r="J116">
        <v>18.882728572758101</v>
      </c>
      <c r="K116">
        <v>6.07612531787096</v>
      </c>
      <c r="L116">
        <v>3.0760043501223033E-5</v>
      </c>
      <c r="M116">
        <v>1.8202789474521861E-6</v>
      </c>
      <c r="N116" s="1">
        <v>-1.3046348425410801E-7</v>
      </c>
      <c r="O116" s="1">
        <v>5.4877585060811602E-11</v>
      </c>
      <c r="P116" s="1">
        <v>5.09654607817855E-10</v>
      </c>
      <c r="Q116">
        <v>65.589188405885395</v>
      </c>
      <c r="S116">
        <v>20.971911873225299</v>
      </c>
      <c r="AA116">
        <v>1.9977015777442799</v>
      </c>
      <c r="AB116">
        <v>8.8075059776422506</v>
      </c>
      <c r="AC116">
        <v>2.6336921655026599</v>
      </c>
      <c r="AJ116">
        <v>0.75638487032392898</v>
      </c>
      <c r="AK116">
        <v>9.4805010260501393E-2</v>
      </c>
      <c r="AL116">
        <v>0.14881011941556899</v>
      </c>
    </row>
    <row r="117" spans="1:38" x14ac:dyDescent="0.2">
      <c r="A117">
        <v>116</v>
      </c>
      <c r="B117">
        <v>770</v>
      </c>
      <c r="C117">
        <v>125</v>
      </c>
      <c r="D117">
        <v>0.47038345396155901</v>
      </c>
      <c r="E117">
        <v>40.078208282480297</v>
      </c>
      <c r="F117">
        <v>2.5207214874234398</v>
      </c>
      <c r="G117">
        <v>-638.65386031048479</v>
      </c>
      <c r="H117">
        <v>-550.94051813796841</v>
      </c>
      <c r="I117">
        <v>84.085071344021699</v>
      </c>
      <c r="J117">
        <v>47.797493841050198</v>
      </c>
      <c r="K117">
        <v>15.8994988071634</v>
      </c>
      <c r="L117">
        <v>2.8797367755180237E-5</v>
      </c>
      <c r="M117">
        <v>1.8081124560712926E-6</v>
      </c>
      <c r="N117" s="1">
        <v>-1.7022255498485701E-7</v>
      </c>
      <c r="O117" s="1">
        <v>1.51389527896242E-10</v>
      </c>
      <c r="P117" s="1">
        <v>8.1507851067176105E-10</v>
      </c>
      <c r="Q117">
        <v>66.198141787326307</v>
      </c>
      <c r="S117">
        <v>19.1793834321387</v>
      </c>
      <c r="AA117">
        <v>0.37675631319151798</v>
      </c>
      <c r="AB117">
        <v>5.4651795845035496</v>
      </c>
      <c r="AC117">
        <v>8.7805388828397906</v>
      </c>
      <c r="AJ117">
        <v>0.47729463843620801</v>
      </c>
      <c r="AK117">
        <v>1.81824937619001E-2</v>
      </c>
      <c r="AL117">
        <v>0.50452286780189104</v>
      </c>
    </row>
    <row r="118" spans="1:38" x14ac:dyDescent="0.2">
      <c r="A118">
        <v>117</v>
      </c>
      <c r="B118">
        <v>769</v>
      </c>
      <c r="C118">
        <v>125</v>
      </c>
      <c r="D118">
        <v>0.46980808904668597</v>
      </c>
      <c r="E118">
        <v>16.056669476403499</v>
      </c>
      <c r="F118">
        <v>2.5598036155827799</v>
      </c>
      <c r="G118">
        <v>-260.69943172191387</v>
      </c>
      <c r="H118">
        <v>-225.20485372310037</v>
      </c>
      <c r="I118">
        <v>34.058991506801803</v>
      </c>
      <c r="J118">
        <v>19.501921751589698</v>
      </c>
      <c r="K118">
        <v>6.2726177034279598</v>
      </c>
      <c r="L118">
        <v>3.0778194768679648E-5</v>
      </c>
      <c r="M118">
        <v>1.819837878490666E-6</v>
      </c>
      <c r="N118" s="1">
        <v>-1.3910581134769901E-7</v>
      </c>
      <c r="O118" s="1">
        <v>5.6579366478195299E-11</v>
      </c>
      <c r="P118" s="1">
        <v>5.3908221508687703E-10</v>
      </c>
      <c r="Q118">
        <v>65.556557052423301</v>
      </c>
      <c r="S118">
        <v>21.002604977050801</v>
      </c>
      <c r="AA118">
        <v>2.0306377829038</v>
      </c>
      <c r="AB118">
        <v>8.8152547181295091</v>
      </c>
      <c r="AC118">
        <v>2.5949454694924898</v>
      </c>
      <c r="AJ118">
        <v>0.75702063145589404</v>
      </c>
      <c r="AK118">
        <v>9.6364284868846198E-2</v>
      </c>
      <c r="AL118">
        <v>0.146615083675258</v>
      </c>
    </row>
    <row r="119" spans="1:38" x14ac:dyDescent="0.2">
      <c r="A119">
        <v>117</v>
      </c>
      <c r="B119">
        <v>769</v>
      </c>
      <c r="C119">
        <v>125</v>
      </c>
      <c r="D119">
        <v>0.46980808904668597</v>
      </c>
      <c r="E119">
        <v>41.708989819177901</v>
      </c>
      <c r="F119">
        <v>2.52062472663405</v>
      </c>
      <c r="G119">
        <v>-664.43021385619522</v>
      </c>
      <c r="H119">
        <v>-573.30343084371464</v>
      </c>
      <c r="I119">
        <v>87.441139003483798</v>
      </c>
      <c r="J119">
        <v>49.735531318379898</v>
      </c>
      <c r="K119">
        <v>16.547084291628899</v>
      </c>
      <c r="L119">
        <v>2.8781632025670075E-5</v>
      </c>
      <c r="M119">
        <v>1.8078148611760851E-6</v>
      </c>
      <c r="N119" s="1">
        <v>-1.8181525930594301E-7</v>
      </c>
      <c r="O119" s="1">
        <v>1.5756202985076299E-10</v>
      </c>
      <c r="P119" s="1">
        <v>8.6174021672096197E-10</v>
      </c>
      <c r="Q119">
        <v>66.189114949095995</v>
      </c>
      <c r="S119">
        <v>19.1716458243334</v>
      </c>
      <c r="AA119">
        <v>0.37247899682165297</v>
      </c>
      <c r="AB119">
        <v>5.4247786146879298</v>
      </c>
      <c r="AC119">
        <v>8.8419816150608295</v>
      </c>
      <c r="AJ119">
        <v>0.47386310080764898</v>
      </c>
      <c r="AK119">
        <v>1.79797418522805E-2</v>
      </c>
      <c r="AL119">
        <v>0.50815715734006905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1EA98-77E4-4EE8-8712-09C9E80A28D4}">
  <sheetPr codeName="Sheet12"/>
  <dimension ref="A1:AJ88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756</v>
      </c>
      <c r="C2">
        <v>275</v>
      </c>
      <c r="D2">
        <v>0.30190011174270298</v>
      </c>
      <c r="E2">
        <v>0.109762342479661</v>
      </c>
      <c r="F2">
        <v>2.54384628309294</v>
      </c>
      <c r="G2">
        <v>-1.7896206703858879</v>
      </c>
      <c r="H2">
        <v>-1.567330788922801</v>
      </c>
      <c r="I2">
        <v>0.21599366609637699</v>
      </c>
      <c r="J2">
        <v>0.12718546499064701</v>
      </c>
      <c r="K2">
        <v>4.3148182030168299E-2</v>
      </c>
      <c r="L2">
        <v>0</v>
      </c>
      <c r="M2">
        <v>1.2383112330061072E-6</v>
      </c>
      <c r="N2">
        <v>0</v>
      </c>
      <c r="O2" s="1">
        <v>6.1366751684998096E-14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755</v>
      </c>
      <c r="C3">
        <v>275</v>
      </c>
      <c r="D3">
        <v>0.30115304187132302</v>
      </c>
      <c r="E3">
        <v>0.32069488138325503</v>
      </c>
      <c r="F3">
        <v>2.54384628309294</v>
      </c>
      <c r="G3">
        <v>-5.2281404296326075</v>
      </c>
      <c r="H3">
        <v>-4.579674004986277</v>
      </c>
      <c r="I3">
        <v>0.63071188508129095</v>
      </c>
      <c r="J3">
        <v>0.371553182693655</v>
      </c>
      <c r="K3">
        <v>0.12606692610110701</v>
      </c>
      <c r="L3">
        <v>0</v>
      </c>
      <c r="M3">
        <v>1.2383112330061067E-6</v>
      </c>
      <c r="N3">
        <v>0</v>
      </c>
      <c r="O3" s="1">
        <v>1.79296493750967E-13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754</v>
      </c>
      <c r="C4">
        <v>275</v>
      </c>
      <c r="D4">
        <v>0.30040451735384299</v>
      </c>
      <c r="E4">
        <v>0.53060242919028799</v>
      </c>
      <c r="F4">
        <v>2.54384628309294</v>
      </c>
      <c r="G4">
        <v>-8.6491229257866635</v>
      </c>
      <c r="H4">
        <v>-7.5778673982625122</v>
      </c>
      <c r="I4">
        <v>1.0429397142814101</v>
      </c>
      <c r="J4">
        <v>0.614671259305415</v>
      </c>
      <c r="K4">
        <v>0.20858274052045001</v>
      </c>
      <c r="L4">
        <v>0</v>
      </c>
      <c r="M4">
        <v>1.238311233006107E-6</v>
      </c>
      <c r="N4">
        <v>0</v>
      </c>
      <c r="O4" s="1">
        <v>2.9665317612559699E-13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753</v>
      </c>
      <c r="C5">
        <v>275</v>
      </c>
      <c r="D5">
        <v>0.29965453393753799</v>
      </c>
      <c r="E5">
        <v>0.73949343281110103</v>
      </c>
      <c r="F5">
        <v>2.54384628309294</v>
      </c>
      <c r="G5">
        <v>-12.052712587864754</v>
      </c>
      <c r="H5">
        <v>-10.562027958776445</v>
      </c>
      <c r="I5">
        <v>1.45269661266706</v>
      </c>
      <c r="J5">
        <v>0.85654973003311696</v>
      </c>
      <c r="K5">
        <v>0.29069894581522598</v>
      </c>
      <c r="L5">
        <v>0</v>
      </c>
      <c r="M5">
        <v>1.238311233006107E-6</v>
      </c>
      <c r="N5">
        <v>0</v>
      </c>
      <c r="O5" s="1">
        <v>4.1344152137072302E-13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752</v>
      </c>
      <c r="C6">
        <v>275</v>
      </c>
      <c r="D6">
        <v>0.29890308735307097</v>
      </c>
      <c r="E6">
        <v>0.94737624829042</v>
      </c>
      <c r="F6">
        <v>2.54384628309294</v>
      </c>
      <c r="G6">
        <v>-15.439052291588194</v>
      </c>
      <c r="H6">
        <v>-13.532271418405466</v>
      </c>
      <c r="I6">
        <v>1.8600018272279399</v>
      </c>
      <c r="J6">
        <v>1.0971985209472701</v>
      </c>
      <c r="K6">
        <v>0.37241882679269001</v>
      </c>
      <c r="L6">
        <v>0</v>
      </c>
      <c r="M6">
        <v>1.238311233006107E-6</v>
      </c>
      <c r="N6">
        <v>0</v>
      </c>
      <c r="O6" s="1">
        <v>5.2966620124635099E-13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751</v>
      </c>
      <c r="C7">
        <v>275</v>
      </c>
      <c r="D7">
        <v>0.29815017331445698</v>
      </c>
      <c r="E7">
        <v>1.15425914385253</v>
      </c>
      <c r="F7">
        <v>2.54384628309294</v>
      </c>
      <c r="G7">
        <v>-18.808283409982142</v>
      </c>
      <c r="H7">
        <v>-16.488712293843669</v>
      </c>
      <c r="I7">
        <v>2.2648743993931202</v>
      </c>
      <c r="J7">
        <v>1.3366274525542801</v>
      </c>
      <c r="K7">
        <v>0.45374563373740001</v>
      </c>
      <c r="L7">
        <v>0</v>
      </c>
      <c r="M7">
        <v>1.238311233006107E-6</v>
      </c>
      <c r="N7">
        <v>0</v>
      </c>
      <c r="O7" s="1">
        <v>6.4533183841318103E-13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750</v>
      </c>
      <c r="C8">
        <v>275</v>
      </c>
      <c r="D8">
        <v>0.29739578751893703</v>
      </c>
      <c r="E8">
        <v>1.3601502995492301</v>
      </c>
      <c r="F8">
        <v>2.54384628309294</v>
      </c>
      <c r="G8">
        <v>-22.160545808586949</v>
      </c>
      <c r="H8">
        <v>-19.431463881053244</v>
      </c>
      <c r="I8">
        <v>2.6673331647692899</v>
      </c>
      <c r="J8">
        <v>1.57484623943307</v>
      </c>
      <c r="K8">
        <v>0.53468258227281196</v>
      </c>
      <c r="L8">
        <v>0</v>
      </c>
      <c r="M8">
        <v>1.2383112330061065E-6</v>
      </c>
      <c r="N8">
        <v>0</v>
      </c>
      <c r="O8" s="1">
        <v>7.6044300623576502E-13</v>
      </c>
      <c r="P8">
        <v>0</v>
      </c>
      <c r="Q8">
        <v>100</v>
      </c>
      <c r="AJ8">
        <v>1</v>
      </c>
    </row>
    <row r="9" spans="1:36" x14ac:dyDescent="0.2">
      <c r="A9">
        <v>9</v>
      </c>
      <c r="B9">
        <v>749</v>
      </c>
      <c r="C9">
        <v>275</v>
      </c>
      <c r="D9">
        <v>0.29663992564692099</v>
      </c>
      <c r="E9">
        <v>1.5650578094710199</v>
      </c>
      <c r="F9">
        <v>2.54384628309294</v>
      </c>
      <c r="G9">
        <v>-25.495977882431152</v>
      </c>
      <c r="H9">
        <v>-22.360638286337164</v>
      </c>
      <c r="I9">
        <v>3.0673967579063599</v>
      </c>
      <c r="J9">
        <v>1.8118644928399099</v>
      </c>
      <c r="K9">
        <v>0.61523285423053997</v>
      </c>
      <c r="L9">
        <v>0</v>
      </c>
      <c r="M9">
        <v>1.2383112330061072E-6</v>
      </c>
      <c r="N9">
        <v>0</v>
      </c>
      <c r="O9" s="1">
        <v>8.7500423001879298E-13</v>
      </c>
      <c r="P9">
        <v>0</v>
      </c>
      <c r="Q9">
        <v>100</v>
      </c>
      <c r="AJ9">
        <v>1</v>
      </c>
    </row>
    <row r="10" spans="1:36" x14ac:dyDescent="0.2">
      <c r="A10">
        <v>10</v>
      </c>
      <c r="B10">
        <v>748</v>
      </c>
      <c r="C10">
        <v>275</v>
      </c>
      <c r="D10">
        <v>0.29588258336189799</v>
      </c>
      <c r="E10">
        <v>1.7689896828354601</v>
      </c>
      <c r="F10">
        <v>2.54384628309294</v>
      </c>
      <c r="G10">
        <v>-28.814716574685033</v>
      </c>
      <c r="H10">
        <v>-25.276346441381559</v>
      </c>
      <c r="I10">
        <v>3.46508361484941</v>
      </c>
      <c r="J10">
        <v>2.04769172201165</v>
      </c>
      <c r="K10">
        <v>0.69539959807816498</v>
      </c>
      <c r="L10">
        <v>0</v>
      </c>
      <c r="M10">
        <v>1.238311233006107E-6</v>
      </c>
      <c r="N10">
        <v>0</v>
      </c>
      <c r="O10" s="1">
        <v>9.8901998761554109E-13</v>
      </c>
      <c r="P10">
        <v>0</v>
      </c>
      <c r="Q10">
        <v>100</v>
      </c>
      <c r="AJ10">
        <v>1</v>
      </c>
    </row>
    <row r="11" spans="1:36" x14ac:dyDescent="0.2">
      <c r="A11">
        <v>11</v>
      </c>
      <c r="B11">
        <v>747</v>
      </c>
      <c r="C11">
        <v>275</v>
      </c>
      <c r="D11">
        <v>0.29512375631034898</v>
      </c>
      <c r="E11">
        <v>1.97195384401187</v>
      </c>
      <c r="F11">
        <v>2.54384628309294</v>
      </c>
      <c r="G11">
        <v>-32.116897377978205</v>
      </c>
      <c r="H11">
        <v>-28.178698103107909</v>
      </c>
      <c r="I11">
        <v>3.86041197360221</v>
      </c>
      <c r="J11">
        <v>2.2823373342373001</v>
      </c>
      <c r="K11">
        <v>0.77518592892895399</v>
      </c>
      <c r="L11">
        <v>0</v>
      </c>
      <c r="M11">
        <v>1.2383112330061072E-6</v>
      </c>
      <c r="N11">
        <v>0</v>
      </c>
      <c r="O11" s="1">
        <v>1.1024947094416901E-12</v>
      </c>
      <c r="P11">
        <v>0</v>
      </c>
      <c r="Q11">
        <v>100</v>
      </c>
      <c r="AJ11">
        <v>1</v>
      </c>
    </row>
    <row r="12" spans="1:36" x14ac:dyDescent="0.2">
      <c r="A12">
        <v>12</v>
      </c>
      <c r="B12">
        <v>746</v>
      </c>
      <c r="C12">
        <v>275</v>
      </c>
      <c r="D12">
        <v>0.29436344012167098</v>
      </c>
      <c r="E12">
        <v>2.1739581356645301</v>
      </c>
      <c r="F12">
        <v>2.54384628309294</v>
      </c>
      <c r="G12">
        <v>-35.402654386500075</v>
      </c>
      <c r="H12">
        <v>-31.067801898091794</v>
      </c>
      <c r="I12">
        <v>4.2533998806930002</v>
      </c>
      <c r="J12">
        <v>2.5158106385388002</v>
      </c>
      <c r="K12">
        <v>0.85459492977748497</v>
      </c>
      <c r="L12">
        <v>0</v>
      </c>
      <c r="M12">
        <v>1.2383112330061072E-6</v>
      </c>
      <c r="N12">
        <v>0</v>
      </c>
      <c r="O12" s="1">
        <v>1.2154327802326799E-12</v>
      </c>
      <c r="P12">
        <v>0</v>
      </c>
      <c r="Q12">
        <v>100</v>
      </c>
      <c r="AJ12">
        <v>1</v>
      </c>
    </row>
    <row r="13" spans="1:36" x14ac:dyDescent="0.2">
      <c r="A13">
        <v>13</v>
      </c>
      <c r="B13">
        <v>745</v>
      </c>
      <c r="C13">
        <v>275</v>
      </c>
      <c r="D13">
        <v>0.29360163040809401</v>
      </c>
      <c r="E13">
        <v>2.37501031807084</v>
      </c>
      <c r="F13">
        <v>2.54384628309294</v>
      </c>
      <c r="G13">
        <v>-38.672120285777851</v>
      </c>
      <c r="H13">
        <v>-33.94376531233474</v>
      </c>
      <c r="I13">
        <v>4.6440651902402497</v>
      </c>
      <c r="J13">
        <v>2.7481208449230898</v>
      </c>
      <c r="K13">
        <v>0.93362965123159003</v>
      </c>
      <c r="L13">
        <v>0</v>
      </c>
      <c r="M13">
        <v>1.2383112330061067E-6</v>
      </c>
      <c r="N13">
        <v>0</v>
      </c>
      <c r="O13" s="1">
        <v>1.32783853866245E-12</v>
      </c>
      <c r="P13">
        <v>0</v>
      </c>
      <c r="Q13">
        <v>100</v>
      </c>
      <c r="AJ13">
        <v>1</v>
      </c>
    </row>
    <row r="14" spans="1:36" x14ac:dyDescent="0.2">
      <c r="A14">
        <v>14</v>
      </c>
      <c r="B14">
        <v>744</v>
      </c>
      <c r="C14">
        <v>275</v>
      </c>
      <c r="D14">
        <v>0.29283832276459099</v>
      </c>
      <c r="E14">
        <v>2.5751180714914201</v>
      </c>
      <c r="F14">
        <v>2.54384628309294</v>
      </c>
      <c r="G14">
        <v>-41.925426392151294</v>
      </c>
      <c r="H14">
        <v>-36.806694724654655</v>
      </c>
      <c r="I14">
        <v>5.0324255689884803</v>
      </c>
      <c r="J14">
        <v>2.9792770671662399</v>
      </c>
      <c r="K14">
        <v>1.01229311244406</v>
      </c>
      <c r="L14">
        <v>0</v>
      </c>
      <c r="M14">
        <v>1.238311233006107E-6</v>
      </c>
      <c r="N14">
        <v>0</v>
      </c>
      <c r="O14" s="1">
        <v>1.43971627866859E-12</v>
      </c>
      <c r="P14">
        <v>0</v>
      </c>
      <c r="Q14">
        <v>100</v>
      </c>
      <c r="AJ14">
        <v>1</v>
      </c>
    </row>
    <row r="15" spans="1:36" x14ac:dyDescent="0.2">
      <c r="A15">
        <v>15</v>
      </c>
      <c r="B15">
        <v>743</v>
      </c>
      <c r="C15">
        <v>275</v>
      </c>
      <c r="D15">
        <v>0.29207351276878402</v>
      </c>
      <c r="E15">
        <v>2.7742889961386501</v>
      </c>
      <c r="F15">
        <v>2.54384628309294</v>
      </c>
      <c r="G15">
        <v>-45.162702653122345</v>
      </c>
      <c r="H15">
        <v>-39.65669540576333</v>
      </c>
      <c r="I15">
        <v>5.4184984966382999</v>
      </c>
      <c r="J15">
        <v>3.2092883228173998</v>
      </c>
      <c r="K15">
        <v>1.0905883011002999</v>
      </c>
      <c r="L15">
        <v>0</v>
      </c>
      <c r="M15">
        <v>1.2383112330061072E-6</v>
      </c>
      <c r="N15">
        <v>0</v>
      </c>
      <c r="O15" s="1">
        <v>1.5510702494346799E-12</v>
      </c>
      <c r="P15">
        <v>0</v>
      </c>
      <c r="Q15">
        <v>100</v>
      </c>
      <c r="AJ15">
        <v>1</v>
      </c>
    </row>
    <row r="16" spans="1:36" x14ac:dyDescent="0.2">
      <c r="A16">
        <v>16</v>
      </c>
      <c r="B16">
        <v>742</v>
      </c>
      <c r="C16">
        <v>275</v>
      </c>
      <c r="D16">
        <v>0.291307195980888</v>
      </c>
      <c r="E16">
        <v>2.9725306146420798</v>
      </c>
      <c r="F16">
        <v>2.54384628309294</v>
      </c>
      <c r="G16">
        <v>-48.384077688346466</v>
      </c>
      <c r="H16">
        <v>-42.493871553038566</v>
      </c>
      <c r="I16">
        <v>5.8023012710514701</v>
      </c>
      <c r="J16">
        <v>3.43816353609119</v>
      </c>
      <c r="K16">
        <v>1.16851817438745</v>
      </c>
      <c r="L16">
        <v>0</v>
      </c>
      <c r="M16">
        <v>1.238311233006107E-6</v>
      </c>
      <c r="N16">
        <v>0</v>
      </c>
      <c r="O16" s="1">
        <v>1.6619046567687401E-12</v>
      </c>
      <c r="P16">
        <v>0</v>
      </c>
      <c r="Q16">
        <v>100</v>
      </c>
      <c r="AJ16">
        <v>1</v>
      </c>
    </row>
    <row r="17" spans="1:36" x14ac:dyDescent="0.2">
      <c r="A17">
        <v>17</v>
      </c>
      <c r="B17">
        <v>741</v>
      </c>
      <c r="C17">
        <v>275</v>
      </c>
      <c r="D17">
        <v>0.29053936794360102</v>
      </c>
      <c r="E17">
        <v>4.6947137793670004</v>
      </c>
      <c r="F17">
        <v>2.54384628309294</v>
      </c>
      <c r="G17">
        <v>-76.407005840536499</v>
      </c>
      <c r="H17">
        <v>-67.118805596598321</v>
      </c>
      <c r="I17">
        <v>9.15860596947015</v>
      </c>
      <c r="J17">
        <v>5.4294062466518902</v>
      </c>
      <c r="K17">
        <v>1.8455178721172201</v>
      </c>
      <c r="L17">
        <v>0</v>
      </c>
      <c r="M17">
        <v>1.2383112330061072E-6</v>
      </c>
      <c r="N17">
        <v>0</v>
      </c>
      <c r="O17" s="1">
        <v>2.62475570602857E-12</v>
      </c>
      <c r="P17">
        <v>0</v>
      </c>
      <c r="Q17">
        <v>100</v>
      </c>
      <c r="AJ17">
        <v>1</v>
      </c>
    </row>
    <row r="18" spans="1:36" x14ac:dyDescent="0.2">
      <c r="A18">
        <v>18</v>
      </c>
      <c r="B18">
        <v>740</v>
      </c>
      <c r="C18">
        <v>275</v>
      </c>
      <c r="D18">
        <v>0.28977002418201098</v>
      </c>
      <c r="E18">
        <v>12.1444425829631</v>
      </c>
      <c r="F18">
        <v>2.54384628309294</v>
      </c>
      <c r="G18">
        <v>-197.62851268967279</v>
      </c>
      <c r="H18">
        <v>-173.63921463469327</v>
      </c>
      <c r="I18">
        <v>23.677933232965898</v>
      </c>
      <c r="J18">
        <v>14.043122861476601</v>
      </c>
      <c r="K18">
        <v>4.7740473407053798</v>
      </c>
      <c r="L18">
        <v>0</v>
      </c>
      <c r="M18">
        <v>1.2383112330061072E-6</v>
      </c>
      <c r="N18">
        <v>0</v>
      </c>
      <c r="O18" s="1">
        <v>6.7898058250671003E-12</v>
      </c>
      <c r="P18">
        <v>0</v>
      </c>
      <c r="Q18">
        <v>100</v>
      </c>
      <c r="AJ18">
        <v>1</v>
      </c>
    </row>
    <row r="19" spans="1:36" x14ac:dyDescent="0.2">
      <c r="A19">
        <v>19</v>
      </c>
      <c r="B19">
        <v>739</v>
      </c>
      <c r="C19">
        <v>275</v>
      </c>
      <c r="D19">
        <v>0.28899916020352701</v>
      </c>
      <c r="E19">
        <v>16.773418946068201</v>
      </c>
      <c r="F19">
        <v>2.54384628309294</v>
      </c>
      <c r="G19">
        <v>-272.92391336826103</v>
      </c>
      <c r="H19">
        <v>-239.84294118912021</v>
      </c>
      <c r="I19">
        <v>32.683863240765398</v>
      </c>
      <c r="J19">
        <v>19.393243988381201</v>
      </c>
      <c r="K19">
        <v>6.5937234720308</v>
      </c>
      <c r="L19">
        <v>0</v>
      </c>
      <c r="M19">
        <v>1.238311233006107E-6</v>
      </c>
      <c r="N19">
        <v>0</v>
      </c>
      <c r="O19" s="1">
        <v>9.3778085645588497E-12</v>
      </c>
      <c r="P19">
        <v>0</v>
      </c>
      <c r="Q19">
        <v>100</v>
      </c>
      <c r="AJ19">
        <v>1</v>
      </c>
    </row>
    <row r="20" spans="1:36" x14ac:dyDescent="0.2">
      <c r="A20">
        <v>20</v>
      </c>
      <c r="B20">
        <v>738</v>
      </c>
      <c r="C20">
        <v>275</v>
      </c>
      <c r="D20">
        <v>0.28822677149780002</v>
      </c>
      <c r="E20">
        <v>28.089562680754199</v>
      </c>
      <c r="F20">
        <v>2.54384628309294</v>
      </c>
      <c r="G20">
        <v>-456.99660814751479</v>
      </c>
      <c r="H20">
        <v>-401.68483619859899</v>
      </c>
      <c r="I20">
        <v>54.701846361979797</v>
      </c>
      <c r="J20">
        <v>32.472555530627702</v>
      </c>
      <c r="K20">
        <v>11.0421619684509</v>
      </c>
      <c r="L20">
        <v>0</v>
      </c>
      <c r="M20">
        <v>1.238311233006107E-6</v>
      </c>
      <c r="N20">
        <v>0</v>
      </c>
      <c r="O20" s="1">
        <v>1.57045228721266E-11</v>
      </c>
      <c r="P20">
        <v>0</v>
      </c>
      <c r="Q20">
        <v>100</v>
      </c>
      <c r="AJ20">
        <v>1</v>
      </c>
    </row>
    <row r="21" spans="1:36" x14ac:dyDescent="0.2">
      <c r="A21">
        <v>21</v>
      </c>
      <c r="B21">
        <v>737</v>
      </c>
      <c r="C21">
        <v>275</v>
      </c>
      <c r="D21">
        <v>0.28745285353660599</v>
      </c>
      <c r="E21">
        <v>30.8180591795909</v>
      </c>
      <c r="F21">
        <v>2.54384628309294</v>
      </c>
      <c r="G21">
        <v>-501.32724973560278</v>
      </c>
      <c r="H21">
        <v>-440.7383578420924</v>
      </c>
      <c r="I21">
        <v>59.980093940019103</v>
      </c>
      <c r="J21">
        <v>35.6220791089901</v>
      </c>
      <c r="K21">
        <v>12.114748986373799</v>
      </c>
      <c r="L21">
        <v>0</v>
      </c>
      <c r="M21">
        <v>1.2383112330061072E-6</v>
      </c>
      <c r="N21">
        <v>0</v>
      </c>
      <c r="O21" s="1">
        <v>1.72299911095462E-11</v>
      </c>
      <c r="P21">
        <v>0</v>
      </c>
      <c r="Q21">
        <v>100</v>
      </c>
      <c r="AJ21">
        <v>1</v>
      </c>
    </row>
    <row r="22" spans="1:36" x14ac:dyDescent="0.2">
      <c r="A22">
        <v>22</v>
      </c>
      <c r="B22">
        <v>736</v>
      </c>
      <c r="C22">
        <v>275</v>
      </c>
      <c r="D22">
        <v>0.28667740177377199</v>
      </c>
      <c r="E22">
        <v>31.786450660501899</v>
      </c>
      <c r="F22">
        <v>2.54384628309294</v>
      </c>
      <c r="G22">
        <v>-517.01853779820021</v>
      </c>
      <c r="H22">
        <v>-454.62435542862318</v>
      </c>
      <c r="I22">
        <v>61.828452033470803</v>
      </c>
      <c r="J22">
        <v>36.736550042502998</v>
      </c>
      <c r="K22">
        <v>12.4954290169822</v>
      </c>
      <c r="L22">
        <v>0</v>
      </c>
      <c r="M22">
        <v>1.238311233006107E-6</v>
      </c>
      <c r="N22">
        <v>0</v>
      </c>
      <c r="O22" s="1">
        <v>1.77714066642838E-11</v>
      </c>
      <c r="P22">
        <v>0</v>
      </c>
      <c r="Q22">
        <v>100</v>
      </c>
      <c r="AJ22">
        <v>1</v>
      </c>
    </row>
    <row r="23" spans="1:36" x14ac:dyDescent="0.2">
      <c r="A23">
        <v>24</v>
      </c>
      <c r="B23">
        <v>756</v>
      </c>
      <c r="C23">
        <v>250</v>
      </c>
      <c r="D23">
        <v>0.32862119224602798</v>
      </c>
      <c r="E23">
        <v>7.9203153946517099E-2</v>
      </c>
      <c r="F23">
        <v>2.5430588954681599</v>
      </c>
      <c r="G23">
        <v>-1.2921467261620623</v>
      </c>
      <c r="H23">
        <v>-1.1317450865420238</v>
      </c>
      <c r="I23">
        <v>0.155858368187376</v>
      </c>
      <c r="J23">
        <v>9.1775464479360594E-2</v>
      </c>
      <c r="K23">
        <v>3.1144836671954501E-2</v>
      </c>
      <c r="L23">
        <v>0</v>
      </c>
      <c r="M23">
        <v>1.2382833910659958E-6</v>
      </c>
      <c r="N23">
        <v>0</v>
      </c>
      <c r="O23" s="1">
        <v>4.4281491913360099E-14</v>
      </c>
      <c r="P23">
        <v>0</v>
      </c>
      <c r="Q23">
        <v>100</v>
      </c>
      <c r="AJ23">
        <v>1</v>
      </c>
    </row>
    <row r="24" spans="1:36" x14ac:dyDescent="0.2">
      <c r="A24">
        <v>25</v>
      </c>
      <c r="B24">
        <v>755</v>
      </c>
      <c r="C24">
        <v>250</v>
      </c>
      <c r="D24">
        <v>0.32790011185138401</v>
      </c>
      <c r="E24">
        <v>0.28399889750715801</v>
      </c>
      <c r="F24">
        <v>2.5430588954681599</v>
      </c>
      <c r="G24">
        <v>-4.6326942353464213</v>
      </c>
      <c r="H24">
        <v>-4.0584295359049705</v>
      </c>
      <c r="I24">
        <v>0.55854174920142896</v>
      </c>
      <c r="J24">
        <v>0.329037662824959</v>
      </c>
      <c r="K24">
        <v>0.111676099209993</v>
      </c>
      <c r="L24">
        <v>0</v>
      </c>
      <c r="M24">
        <v>1.2382833910659952E-6</v>
      </c>
      <c r="N24">
        <v>0</v>
      </c>
      <c r="O24" s="1">
        <v>1.5878022852295E-13</v>
      </c>
      <c r="P24">
        <v>0</v>
      </c>
      <c r="Q24">
        <v>100</v>
      </c>
      <c r="AJ24">
        <v>1</v>
      </c>
    </row>
    <row r="25" spans="1:36" x14ac:dyDescent="0.2">
      <c r="A25">
        <v>26</v>
      </c>
      <c r="B25">
        <v>754</v>
      </c>
      <c r="C25">
        <v>250</v>
      </c>
      <c r="D25">
        <v>0.32717762741566497</v>
      </c>
      <c r="E25">
        <v>0.48781768176833601</v>
      </c>
      <c r="F25">
        <v>2.5430588954681599</v>
      </c>
      <c r="G25">
        <v>-7.9565019216663737</v>
      </c>
      <c r="H25">
        <v>-6.9716263175048674</v>
      </c>
      <c r="I25">
        <v>0.95884301626978097</v>
      </c>
      <c r="J25">
        <v>0.56510768188823801</v>
      </c>
      <c r="K25">
        <v>0.191823194750875</v>
      </c>
      <c r="L25">
        <v>0</v>
      </c>
      <c r="M25">
        <v>1.2382833910659952E-6</v>
      </c>
      <c r="N25">
        <v>0</v>
      </c>
      <c r="O25" s="1">
        <v>2.7273275941770201E-13</v>
      </c>
      <c r="P25">
        <v>0</v>
      </c>
      <c r="Q25">
        <v>100</v>
      </c>
      <c r="AJ25">
        <v>1</v>
      </c>
    </row>
    <row r="26" spans="1:36" x14ac:dyDescent="0.2">
      <c r="A26">
        <v>27</v>
      </c>
      <c r="B26">
        <v>753</v>
      </c>
      <c r="C26">
        <v>250</v>
      </c>
      <c r="D26">
        <v>0.32645373483409301</v>
      </c>
      <c r="E26">
        <v>0.69066727981958698</v>
      </c>
      <c r="F26">
        <v>2.5430588954681599</v>
      </c>
      <c r="G26">
        <v>-11.263703004259295</v>
      </c>
      <c r="H26">
        <v>-9.871443043372949</v>
      </c>
      <c r="I26">
        <v>1.35678015970993</v>
      </c>
      <c r="J26">
        <v>0.79999476103974099</v>
      </c>
      <c r="K26">
        <v>0.27158917988505299</v>
      </c>
      <c r="L26">
        <v>0</v>
      </c>
      <c r="M26">
        <v>1.2382833910659952E-6</v>
      </c>
      <c r="N26">
        <v>0</v>
      </c>
      <c r="O26" s="1">
        <v>3.86143430434671E-13</v>
      </c>
      <c r="P26">
        <v>0</v>
      </c>
      <c r="Q26">
        <v>100</v>
      </c>
      <c r="AJ26">
        <v>1</v>
      </c>
    </row>
    <row r="27" spans="1:36" x14ac:dyDescent="0.2">
      <c r="A27">
        <v>28</v>
      </c>
      <c r="B27">
        <v>752</v>
      </c>
      <c r="C27">
        <v>250</v>
      </c>
      <c r="D27">
        <v>0.32572842998585799</v>
      </c>
      <c r="E27">
        <v>0.89255538250699695</v>
      </c>
      <c r="F27">
        <v>2.5430588954681599</v>
      </c>
      <c r="G27">
        <v>-14.554429294266193</v>
      </c>
      <c r="H27">
        <v>-12.757986186586642</v>
      </c>
      <c r="I27">
        <v>1.75237097759308</v>
      </c>
      <c r="J27">
        <v>1.0337080408310899</v>
      </c>
      <c r="K27">
        <v>0.35097707886261198</v>
      </c>
      <c r="L27">
        <v>0</v>
      </c>
      <c r="M27">
        <v>1.2382833910659954E-6</v>
      </c>
      <c r="N27">
        <v>0</v>
      </c>
      <c r="O27" s="1">
        <v>4.9901654142963101E-13</v>
      </c>
      <c r="P27">
        <v>0</v>
      </c>
      <c r="Q27">
        <v>100</v>
      </c>
      <c r="AJ27">
        <v>1</v>
      </c>
    </row>
    <row r="28" spans="1:36" x14ac:dyDescent="0.2">
      <c r="A28">
        <v>29</v>
      </c>
      <c r="B28">
        <v>751</v>
      </c>
      <c r="C28">
        <v>250</v>
      </c>
      <c r="D28">
        <v>0.32500170873407402</v>
      </c>
      <c r="E28">
        <v>1.0934896001593499</v>
      </c>
      <c r="F28">
        <v>2.5430588954681599</v>
      </c>
      <c r="G28">
        <v>-17.828811223862893</v>
      </c>
      <c r="H28">
        <v>-15.631361105459076</v>
      </c>
      <c r="I28">
        <v>2.14563307953309</v>
      </c>
      <c r="J28">
        <v>1.2662565650355599</v>
      </c>
      <c r="K28">
        <v>0.42998988427204599</v>
      </c>
      <c r="L28">
        <v>0</v>
      </c>
      <c r="M28">
        <v>1.2382833910659952E-6</v>
      </c>
      <c r="N28">
        <v>0</v>
      </c>
      <c r="O28" s="1">
        <v>6.1135634724214303E-13</v>
      </c>
      <c r="P28">
        <v>0</v>
      </c>
      <c r="Q28">
        <v>100</v>
      </c>
      <c r="AJ28">
        <v>1</v>
      </c>
    </row>
    <row r="29" spans="1:36" x14ac:dyDescent="0.2">
      <c r="A29">
        <v>30</v>
      </c>
      <c r="B29">
        <v>750</v>
      </c>
      <c r="C29">
        <v>250</v>
      </c>
      <c r="D29">
        <v>0.324273566925672</v>
      </c>
      <c r="E29">
        <v>1.29347746145695</v>
      </c>
      <c r="F29">
        <v>2.5430588954681599</v>
      </c>
      <c r="G29">
        <v>-21.086977828687672</v>
      </c>
      <c r="H29">
        <v>-18.491672026891916</v>
      </c>
      <c r="I29">
        <v>2.5365838848612099</v>
      </c>
      <c r="J29">
        <v>1.49764927937892</v>
      </c>
      <c r="K29">
        <v>0.50863055659543899</v>
      </c>
      <c r="L29">
        <v>0</v>
      </c>
      <c r="M29">
        <v>1.2382833910659956E-6</v>
      </c>
      <c r="N29">
        <v>0</v>
      </c>
      <c r="O29" s="1">
        <v>7.2316705706311597E-13</v>
      </c>
      <c r="P29">
        <v>0</v>
      </c>
      <c r="Q29">
        <v>100</v>
      </c>
      <c r="AJ29">
        <v>1</v>
      </c>
    </row>
    <row r="30" spans="1:36" x14ac:dyDescent="0.2">
      <c r="A30">
        <v>31</v>
      </c>
      <c r="B30">
        <v>749</v>
      </c>
      <c r="C30">
        <v>250</v>
      </c>
      <c r="D30">
        <v>0.32354400039133302</v>
      </c>
      <c r="E30">
        <v>1.49252641851199</v>
      </c>
      <c r="F30">
        <v>2.5430588954681599</v>
      </c>
      <c r="G30">
        <v>-24.32905683153346</v>
      </c>
      <c r="H30">
        <v>-21.339022118529048</v>
      </c>
      <c r="I30">
        <v>2.9252406329838201</v>
      </c>
      <c r="J30">
        <v>1.7278950374628099</v>
      </c>
      <c r="K30">
        <v>0.58690202620621201</v>
      </c>
      <c r="L30">
        <v>0</v>
      </c>
      <c r="M30">
        <v>1.2382833910659954E-6</v>
      </c>
      <c r="N30">
        <v>0</v>
      </c>
      <c r="O30" s="1">
        <v>8.3445283727519495E-13</v>
      </c>
      <c r="P30">
        <v>0</v>
      </c>
      <c r="Q30">
        <v>100</v>
      </c>
      <c r="AJ30">
        <v>1</v>
      </c>
    </row>
    <row r="31" spans="1:36" x14ac:dyDescent="0.2">
      <c r="A31">
        <v>32</v>
      </c>
      <c r="B31">
        <v>748</v>
      </c>
      <c r="C31">
        <v>250</v>
      </c>
      <c r="D31">
        <v>0.32281300494540499</v>
      </c>
      <c r="E31">
        <v>1.69064384396496</v>
      </c>
      <c r="F31">
        <v>2.5430588954681599</v>
      </c>
      <c r="G31">
        <v>-27.555174595850904</v>
      </c>
      <c r="H31">
        <v>-24.173513446787318</v>
      </c>
      <c r="I31">
        <v>3.31162037806746</v>
      </c>
      <c r="J31">
        <v>1.9570025974419401</v>
      </c>
      <c r="K31">
        <v>0.66480719222734597</v>
      </c>
      <c r="L31">
        <v>0</v>
      </c>
      <c r="M31">
        <v>1.2382833910659952E-6</v>
      </c>
      <c r="N31">
        <v>0</v>
      </c>
      <c r="O31" s="1">
        <v>9.4521780982938704E-13</v>
      </c>
      <c r="P31">
        <v>0</v>
      </c>
      <c r="Q31">
        <v>100</v>
      </c>
      <c r="AJ31">
        <v>1</v>
      </c>
    </row>
    <row r="32" spans="1:36" x14ac:dyDescent="0.2">
      <c r="A32">
        <v>33</v>
      </c>
      <c r="B32">
        <v>747</v>
      </c>
      <c r="C32">
        <v>250</v>
      </c>
      <c r="D32">
        <v>0.32208057638582899</v>
      </c>
      <c r="E32">
        <v>1.8878370332190699</v>
      </c>
      <c r="F32">
        <v>2.5430588954681599</v>
      </c>
      <c r="G32">
        <v>-30.765456163017014</v>
      </c>
      <c r="H32">
        <v>-26.995247008338698</v>
      </c>
      <c r="I32">
        <v>3.6957399938031799</v>
      </c>
      <c r="J32">
        <v>2.1849806246508399</v>
      </c>
      <c r="K32">
        <v>0.74234892341002401</v>
      </c>
      <c r="L32">
        <v>0</v>
      </c>
      <c r="M32">
        <v>1.2382833910659954E-6</v>
      </c>
      <c r="N32">
        <v>0</v>
      </c>
      <c r="O32" s="1">
        <v>1.0554660534943E-12</v>
      </c>
      <c r="P32">
        <v>0</v>
      </c>
      <c r="Q32">
        <v>100</v>
      </c>
      <c r="AJ32">
        <v>1</v>
      </c>
    </row>
    <row r="33" spans="1:36" x14ac:dyDescent="0.2">
      <c r="A33">
        <v>34</v>
      </c>
      <c r="B33">
        <v>746</v>
      </c>
      <c r="C33">
        <v>250</v>
      </c>
      <c r="D33">
        <v>0.32134671049404001</v>
      </c>
      <c r="E33">
        <v>2.08411320767244</v>
      </c>
      <c r="F33">
        <v>2.5430588954681599</v>
      </c>
      <c r="G33">
        <v>-33.960025305834797</v>
      </c>
      <c r="H33">
        <v>-29.804322775877001</v>
      </c>
      <c r="I33">
        <v>4.0776161801087101</v>
      </c>
      <c r="J33">
        <v>2.4118376953835901</v>
      </c>
      <c r="K33">
        <v>0.81953005940460699</v>
      </c>
      <c r="L33">
        <v>0</v>
      </c>
      <c r="M33">
        <v>1.2382833910659954E-6</v>
      </c>
      <c r="N33">
        <v>0</v>
      </c>
      <c r="O33" s="1">
        <v>1.1652016056632299E-12</v>
      </c>
      <c r="P33">
        <v>0</v>
      </c>
      <c r="Q33">
        <v>100</v>
      </c>
      <c r="AJ33">
        <v>1</v>
      </c>
    </row>
    <row r="34" spans="1:36" x14ac:dyDescent="0.2">
      <c r="A34">
        <v>35</v>
      </c>
      <c r="B34">
        <v>745</v>
      </c>
      <c r="C34">
        <v>250</v>
      </c>
      <c r="D34">
        <v>0.32061140303491598</v>
      </c>
      <c r="E34">
        <v>4.36807480209393</v>
      </c>
      <c r="F34">
        <v>2.5430588954681599</v>
      </c>
      <c r="G34">
        <v>-71.167978835507313</v>
      </c>
      <c r="H34">
        <v>-62.471676315175984</v>
      </c>
      <c r="I34">
        <v>8.5412783188443093</v>
      </c>
      <c r="J34">
        <v>5.0542927432703602</v>
      </c>
      <c r="K34">
        <v>1.71764594594251</v>
      </c>
      <c r="L34">
        <v>0</v>
      </c>
      <c r="M34">
        <v>1.2382833910659954E-6</v>
      </c>
      <c r="N34">
        <v>0</v>
      </c>
      <c r="O34" s="1">
        <v>2.4421359426732801E-12</v>
      </c>
      <c r="P34">
        <v>0</v>
      </c>
      <c r="Q34">
        <v>100</v>
      </c>
      <c r="AJ34">
        <v>1</v>
      </c>
    </row>
    <row r="35" spans="1:36" x14ac:dyDescent="0.2">
      <c r="A35">
        <v>36</v>
      </c>
      <c r="B35">
        <v>744</v>
      </c>
      <c r="C35">
        <v>250</v>
      </c>
      <c r="D35">
        <v>0.31987464975667701</v>
      </c>
      <c r="E35">
        <v>11.9529892354984</v>
      </c>
      <c r="F35">
        <v>2.5430588954681599</v>
      </c>
      <c r="G35">
        <v>-194.72377634063449</v>
      </c>
      <c r="H35">
        <v>-170.96403297261227</v>
      </c>
      <c r="I35">
        <v>23.359134216214098</v>
      </c>
      <c r="J35">
        <v>13.8289840406349</v>
      </c>
      <c r="K35">
        <v>4.70024082289215</v>
      </c>
      <c r="L35">
        <v>0</v>
      </c>
      <c r="M35">
        <v>1.2382833910659954E-6</v>
      </c>
      <c r="N35">
        <v>0</v>
      </c>
      <c r="O35" s="1">
        <v>6.6827666550958299E-12</v>
      </c>
      <c r="P35">
        <v>0</v>
      </c>
      <c r="Q35">
        <v>100</v>
      </c>
      <c r="AJ35">
        <v>1</v>
      </c>
    </row>
    <row r="36" spans="1:36" x14ac:dyDescent="0.2">
      <c r="A36">
        <v>37</v>
      </c>
      <c r="B36">
        <v>743</v>
      </c>
      <c r="C36">
        <v>250</v>
      </c>
      <c r="D36">
        <v>0.31913644639078897</v>
      </c>
      <c r="E36">
        <v>16.515364453526001</v>
      </c>
      <c r="F36">
        <v>2.5430588954681599</v>
      </c>
      <c r="G36">
        <v>-269.01626014769289</v>
      </c>
      <c r="H36">
        <v>-236.23895522363676</v>
      </c>
      <c r="I36">
        <v>32.256364635197599</v>
      </c>
      <c r="J36">
        <v>19.104918904103201</v>
      </c>
      <c r="K36">
        <v>6.4942909827834301</v>
      </c>
      <c r="L36">
        <v>0</v>
      </c>
      <c r="M36">
        <v>1.2382833910659954E-6</v>
      </c>
      <c r="N36">
        <v>0</v>
      </c>
      <c r="O36" s="1">
        <v>9.2335335280820606E-12</v>
      </c>
      <c r="P36">
        <v>0</v>
      </c>
      <c r="Q36">
        <v>100</v>
      </c>
      <c r="AJ36">
        <v>1</v>
      </c>
    </row>
    <row r="37" spans="1:36" x14ac:dyDescent="0.2">
      <c r="A37">
        <v>38</v>
      </c>
      <c r="B37">
        <v>742</v>
      </c>
      <c r="C37">
        <v>250</v>
      </c>
      <c r="D37">
        <v>0.318396788651924</v>
      </c>
      <c r="E37">
        <v>27.930656848262199</v>
      </c>
      <c r="F37">
        <v>2.5430588954681599</v>
      </c>
      <c r="G37">
        <v>-454.90368626851409</v>
      </c>
      <c r="H37">
        <v>-399.55780504514331</v>
      </c>
      <c r="I37">
        <v>54.519904667655801</v>
      </c>
      <c r="J37">
        <v>32.3058627022194</v>
      </c>
      <c r="K37">
        <v>10.983094767500599</v>
      </c>
      <c r="L37">
        <v>0</v>
      </c>
      <c r="M37">
        <v>1.2382833910659952E-6</v>
      </c>
      <c r="N37">
        <v>0</v>
      </c>
      <c r="O37" s="1">
        <v>1.5615680610349501E-11</v>
      </c>
      <c r="P37">
        <v>0</v>
      </c>
      <c r="Q37">
        <v>100</v>
      </c>
      <c r="AJ37">
        <v>1</v>
      </c>
    </row>
    <row r="38" spans="1:36" x14ac:dyDescent="0.2">
      <c r="A38">
        <v>39</v>
      </c>
      <c r="B38">
        <v>741</v>
      </c>
      <c r="C38">
        <v>250</v>
      </c>
      <c r="D38">
        <v>0.31765567223783697</v>
      </c>
      <c r="E38">
        <v>30.701403276408399</v>
      </c>
      <c r="F38">
        <v>2.5430588954681599</v>
      </c>
      <c r="G38">
        <v>-499.97063266341422</v>
      </c>
      <c r="H38">
        <v>-439.22980908979281</v>
      </c>
      <c r="I38">
        <v>59.893332912903801</v>
      </c>
      <c r="J38">
        <v>35.505975137931799</v>
      </c>
      <c r="K38">
        <v>12.072627704816201</v>
      </c>
      <c r="L38">
        <v>0</v>
      </c>
      <c r="M38">
        <v>1.2382833910659954E-6</v>
      </c>
      <c r="N38">
        <v>0</v>
      </c>
      <c r="O38" s="1">
        <v>1.7164770254365201E-11</v>
      </c>
      <c r="P38">
        <v>0</v>
      </c>
      <c r="Q38">
        <v>100</v>
      </c>
      <c r="AJ38">
        <v>1</v>
      </c>
    </row>
    <row r="39" spans="1:36" x14ac:dyDescent="0.2">
      <c r="A39">
        <v>40</v>
      </c>
      <c r="B39">
        <v>740</v>
      </c>
      <c r="C39">
        <v>250</v>
      </c>
      <c r="D39">
        <v>0.31691309282929903</v>
      </c>
      <c r="E39">
        <v>31.692327900696501</v>
      </c>
      <c r="F39">
        <v>2.5430588954681599</v>
      </c>
      <c r="G39">
        <v>-516.04597627814758</v>
      </c>
      <c r="H39">
        <v>-453.44312770175372</v>
      </c>
      <c r="I39">
        <v>61.7903060518125</v>
      </c>
      <c r="J39">
        <v>36.647153744218599</v>
      </c>
      <c r="K39">
        <v>12.462286247940799</v>
      </c>
      <c r="L39">
        <v>0</v>
      </c>
      <c r="M39">
        <v>1.2382833910659954E-6</v>
      </c>
      <c r="N39">
        <v>0</v>
      </c>
      <c r="O39" s="1">
        <v>1.77187838074971E-11</v>
      </c>
      <c r="P39">
        <v>0</v>
      </c>
      <c r="Q39">
        <v>100</v>
      </c>
      <c r="AJ39">
        <v>1</v>
      </c>
    </row>
    <row r="40" spans="1:36" x14ac:dyDescent="0.2">
      <c r="A40">
        <v>42</v>
      </c>
      <c r="B40">
        <v>756</v>
      </c>
      <c r="C40">
        <v>225</v>
      </c>
      <c r="D40">
        <v>0.35534227274935698</v>
      </c>
      <c r="E40">
        <v>9.8613153012780605E-2</v>
      </c>
      <c r="F40">
        <v>2.5422717692855801</v>
      </c>
      <c r="G40">
        <v>-1.6097775229708429</v>
      </c>
      <c r="H40">
        <v>-1.4100668972799408</v>
      </c>
      <c r="I40">
        <v>0.19405395296205699</v>
      </c>
      <c r="J40">
        <v>0.114266509230598</v>
      </c>
      <c r="K40">
        <v>3.8789382867785299E-2</v>
      </c>
      <c r="L40">
        <v>0</v>
      </c>
      <c r="M40">
        <v>1.2382554563563432E-6</v>
      </c>
      <c r="N40">
        <v>0</v>
      </c>
      <c r="O40" s="1">
        <v>5.5133379418641299E-14</v>
      </c>
      <c r="P40">
        <v>0</v>
      </c>
      <c r="Q40">
        <v>100</v>
      </c>
      <c r="AJ40">
        <v>1</v>
      </c>
    </row>
    <row r="41" spans="1:36" x14ac:dyDescent="0.2">
      <c r="A41">
        <v>43</v>
      </c>
      <c r="B41">
        <v>755</v>
      </c>
      <c r="C41">
        <v>225</v>
      </c>
      <c r="D41">
        <v>0.354647181831445</v>
      </c>
      <c r="E41">
        <v>0.29677371448212497</v>
      </c>
      <c r="F41">
        <v>2.5422717692855801</v>
      </c>
      <c r="G41">
        <v>-4.8439996770773908</v>
      </c>
      <c r="H41">
        <v>-4.2439034462640128</v>
      </c>
      <c r="I41">
        <v>0.58366603201223199</v>
      </c>
      <c r="J41">
        <v>0.34383841014248701</v>
      </c>
      <c r="K41">
        <v>0.116735637026533</v>
      </c>
      <c r="L41">
        <v>0</v>
      </c>
      <c r="M41">
        <v>1.2382554563563434E-6</v>
      </c>
      <c r="N41">
        <v>0</v>
      </c>
      <c r="O41" s="1">
        <v>1.65922468779615E-13</v>
      </c>
      <c r="P41">
        <v>0</v>
      </c>
      <c r="Q41">
        <v>100</v>
      </c>
      <c r="AJ41">
        <v>1</v>
      </c>
    </row>
    <row r="42" spans="1:36" x14ac:dyDescent="0.2">
      <c r="A42">
        <v>44</v>
      </c>
      <c r="B42">
        <v>754</v>
      </c>
      <c r="C42">
        <v>225</v>
      </c>
      <c r="D42">
        <v>0.35395073747748601</v>
      </c>
      <c r="E42">
        <v>0.494012654539636</v>
      </c>
      <c r="F42">
        <v>2.5422717692855801</v>
      </c>
      <c r="G42">
        <v>-8.0624016431503769</v>
      </c>
      <c r="H42">
        <v>-7.0650187482962075</v>
      </c>
      <c r="I42">
        <v>0.97101970973486695</v>
      </c>
      <c r="J42">
        <v>0.57228418826139604</v>
      </c>
      <c r="K42">
        <v>0.194319372345648</v>
      </c>
      <c r="L42">
        <v>0</v>
      </c>
      <c r="M42">
        <v>1.2382554563563434E-6</v>
      </c>
      <c r="N42">
        <v>0</v>
      </c>
      <c r="O42" s="1">
        <v>2.7619629114600898E-13</v>
      </c>
      <c r="P42">
        <v>0</v>
      </c>
      <c r="Q42">
        <v>100</v>
      </c>
      <c r="AJ42">
        <v>1</v>
      </c>
    </row>
    <row r="43" spans="1:36" x14ac:dyDescent="0.2">
      <c r="A43">
        <v>45</v>
      </c>
      <c r="B43">
        <v>753</v>
      </c>
      <c r="C43">
        <v>225</v>
      </c>
      <c r="D43">
        <v>0.35325293573064698</v>
      </c>
      <c r="E43">
        <v>0.69033705295401004</v>
      </c>
      <c r="F43">
        <v>2.5422717692855801</v>
      </c>
      <c r="G43">
        <v>-11.26510505430822</v>
      </c>
      <c r="H43">
        <v>-9.8735107708853747</v>
      </c>
      <c r="I43">
        <v>1.3561314461071401</v>
      </c>
      <c r="J43">
        <v>0.79961226172330502</v>
      </c>
      <c r="K43">
        <v>0.271543373644905</v>
      </c>
      <c r="L43">
        <v>0</v>
      </c>
      <c r="M43">
        <v>1.2382554563563432E-6</v>
      </c>
      <c r="N43">
        <v>0</v>
      </c>
      <c r="O43" s="1">
        <v>3.8595880472787799E-13</v>
      </c>
      <c r="P43">
        <v>0</v>
      </c>
      <c r="Q43">
        <v>100</v>
      </c>
      <c r="AJ43">
        <v>1</v>
      </c>
    </row>
    <row r="44" spans="1:36" x14ac:dyDescent="0.2">
      <c r="A44">
        <v>46</v>
      </c>
      <c r="B44">
        <v>752</v>
      </c>
      <c r="C44">
        <v>225</v>
      </c>
      <c r="D44">
        <v>0.35255377261864101</v>
      </c>
      <c r="E44">
        <v>0.88575391659244296</v>
      </c>
      <c r="F44">
        <v>2.5422717692855801</v>
      </c>
      <c r="G44">
        <v>-14.45223029308622</v>
      </c>
      <c r="H44">
        <v>-12.669476472148743</v>
      </c>
      <c r="I44">
        <v>1.73901753005655</v>
      </c>
      <c r="J44">
        <v>1.02583096099593</v>
      </c>
      <c r="K44">
        <v>0.34841039706834798</v>
      </c>
      <c r="L44">
        <v>0</v>
      </c>
      <c r="M44">
        <v>1.2382554563563436E-6</v>
      </c>
      <c r="N44">
        <v>0</v>
      </c>
      <c r="O44" s="1">
        <v>4.9521392697695804E-13</v>
      </c>
      <c r="P44">
        <v>0</v>
      </c>
      <c r="Q44">
        <v>100</v>
      </c>
      <c r="AJ44">
        <v>1</v>
      </c>
    </row>
    <row r="45" spans="1:36" x14ac:dyDescent="0.2">
      <c r="A45">
        <v>47</v>
      </c>
      <c r="B45">
        <v>751</v>
      </c>
      <c r="C45">
        <v>225</v>
      </c>
      <c r="D45">
        <v>0.35185324415369101</v>
      </c>
      <c r="E45">
        <v>1.0802701792634899</v>
      </c>
      <c r="F45">
        <v>2.5422717692855801</v>
      </c>
      <c r="G45">
        <v>-17.623896489661309</v>
      </c>
      <c r="H45">
        <v>-15.453011798133609</v>
      </c>
      <c r="I45">
        <v>2.1196940795075898</v>
      </c>
      <c r="J45">
        <v>1.25094852873333</v>
      </c>
      <c r="K45">
        <v>0.42492317002248398</v>
      </c>
      <c r="L45">
        <v>0</v>
      </c>
      <c r="M45">
        <v>1.2382554563563432E-6</v>
      </c>
      <c r="N45">
        <v>0</v>
      </c>
      <c r="O45" s="1">
        <v>6.0396553449882198E-13</v>
      </c>
      <c r="P45">
        <v>0</v>
      </c>
      <c r="Q45">
        <v>100</v>
      </c>
      <c r="AJ45">
        <v>1</v>
      </c>
    </row>
    <row r="46" spans="1:36" x14ac:dyDescent="0.2">
      <c r="A46">
        <v>48</v>
      </c>
      <c r="B46">
        <v>750</v>
      </c>
      <c r="C46">
        <v>225</v>
      </c>
      <c r="D46">
        <v>0.35115134633240402</v>
      </c>
      <c r="E46">
        <v>1.8457004629963001</v>
      </c>
      <c r="F46">
        <v>2.5422717692855801</v>
      </c>
      <c r="G46">
        <v>-30.107766873775855</v>
      </c>
      <c r="H46">
        <v>-26.404449836774031</v>
      </c>
      <c r="I46">
        <v>3.6195250324994599</v>
      </c>
      <c r="J46">
        <v>2.13703914503634</v>
      </c>
      <c r="K46">
        <v>0.72600438918258203</v>
      </c>
      <c r="L46">
        <v>0</v>
      </c>
      <c r="M46">
        <v>1.2382554563563432E-6</v>
      </c>
      <c r="N46">
        <v>0</v>
      </c>
      <c r="O46" s="1">
        <v>1.03190802454464E-12</v>
      </c>
      <c r="P46">
        <v>0</v>
      </c>
      <c r="Q46">
        <v>100</v>
      </c>
      <c r="AJ46">
        <v>1</v>
      </c>
    </row>
    <row r="47" spans="1:36" x14ac:dyDescent="0.2">
      <c r="A47">
        <v>49</v>
      </c>
      <c r="B47">
        <v>749</v>
      </c>
      <c r="C47">
        <v>225</v>
      </c>
      <c r="D47">
        <v>0.350448075135744</v>
      </c>
      <c r="E47">
        <v>6.8784011663896498</v>
      </c>
      <c r="F47">
        <v>2.5422717692855801</v>
      </c>
      <c r="G47">
        <v>-112.18960691273371</v>
      </c>
      <c r="H47">
        <v>-98.409845293519325</v>
      </c>
      <c r="I47">
        <v>13.481154056855001</v>
      </c>
      <c r="J47">
        <v>7.96311213903489</v>
      </c>
      <c r="K47">
        <v>2.7056120629945801</v>
      </c>
      <c r="L47">
        <v>0</v>
      </c>
      <c r="M47">
        <v>1.2382554563563434E-6</v>
      </c>
      <c r="N47">
        <v>0</v>
      </c>
      <c r="O47" s="1">
        <v>3.8456279889056603E-12</v>
      </c>
      <c r="P47">
        <v>0</v>
      </c>
      <c r="Q47">
        <v>100</v>
      </c>
      <c r="AJ47">
        <v>1</v>
      </c>
    </row>
    <row r="48" spans="1:36" x14ac:dyDescent="0.2">
      <c r="A48">
        <v>50</v>
      </c>
      <c r="B48">
        <v>748</v>
      </c>
      <c r="C48">
        <v>225</v>
      </c>
      <c r="D48">
        <v>0.34974342652891699</v>
      </c>
      <c r="E48">
        <v>13.151827087170499</v>
      </c>
      <c r="F48">
        <v>2.5422717692855801</v>
      </c>
      <c r="G48">
        <v>-214.48604477160671</v>
      </c>
      <c r="H48">
        <v>-188.17948537493197</v>
      </c>
      <c r="I48">
        <v>25.761699453238698</v>
      </c>
      <c r="J48">
        <v>15.2238804539328</v>
      </c>
      <c r="K48">
        <v>5.1732577319483202</v>
      </c>
      <c r="L48">
        <v>0</v>
      </c>
      <c r="M48">
        <v>1.2382554563563432E-6</v>
      </c>
      <c r="N48">
        <v>0</v>
      </c>
      <c r="O48" s="1">
        <v>7.3530218910185702E-12</v>
      </c>
      <c r="P48">
        <v>0</v>
      </c>
      <c r="Q48">
        <v>100</v>
      </c>
      <c r="AJ48">
        <v>1</v>
      </c>
    </row>
    <row r="49" spans="1:36" x14ac:dyDescent="0.2">
      <c r="A49">
        <v>51</v>
      </c>
      <c r="B49">
        <v>747</v>
      </c>
      <c r="C49">
        <v>225</v>
      </c>
      <c r="D49">
        <v>0.34903739646130499</v>
      </c>
      <c r="E49">
        <v>22.2614150787958</v>
      </c>
      <c r="F49">
        <v>2.5422717692855801</v>
      </c>
      <c r="G49">
        <v>-363.00580244339801</v>
      </c>
      <c r="H49">
        <v>-318.54741464333705</v>
      </c>
      <c r="I49">
        <v>43.580245846258698</v>
      </c>
      <c r="J49">
        <v>25.765338728173202</v>
      </c>
      <c r="K49">
        <v>8.7565048504045802</v>
      </c>
      <c r="L49">
        <v>0</v>
      </c>
      <c r="M49">
        <v>1.2382554563563432E-6</v>
      </c>
      <c r="N49">
        <v>0</v>
      </c>
      <c r="O49" s="1">
        <v>1.24460785041123E-11</v>
      </c>
      <c r="P49">
        <v>0</v>
      </c>
      <c r="Q49">
        <v>100</v>
      </c>
      <c r="AJ49">
        <v>1</v>
      </c>
    </row>
    <row r="50" spans="1:36" x14ac:dyDescent="0.2">
      <c r="A50">
        <v>52</v>
      </c>
      <c r="B50">
        <v>746</v>
      </c>
      <c r="C50">
        <v>225</v>
      </c>
      <c r="D50">
        <v>0.34832998086640898</v>
      </c>
      <c r="E50">
        <v>28.670269393687899</v>
      </c>
      <c r="F50">
        <v>2.5422717692855801</v>
      </c>
      <c r="G50">
        <v>-467.45568578901123</v>
      </c>
      <c r="H50">
        <v>-410.28743282880703</v>
      </c>
      <c r="I50">
        <v>56.094051866952</v>
      </c>
      <c r="J50">
        <v>33.1786374204328</v>
      </c>
      <c r="K50">
        <v>11.2774211396544</v>
      </c>
      <c r="L50">
        <v>0</v>
      </c>
      <c r="M50">
        <v>1.2382554563563434E-6</v>
      </c>
      <c r="N50">
        <v>0</v>
      </c>
      <c r="O50" s="1">
        <v>1.6029188726092099E-11</v>
      </c>
      <c r="P50">
        <v>0</v>
      </c>
      <c r="Q50">
        <v>100</v>
      </c>
      <c r="AJ50">
        <v>1</v>
      </c>
    </row>
    <row r="51" spans="1:36" x14ac:dyDescent="0.2">
      <c r="A51">
        <v>53</v>
      </c>
      <c r="B51">
        <v>745</v>
      </c>
      <c r="C51">
        <v>225</v>
      </c>
      <c r="D51">
        <v>0.347621175661739</v>
      </c>
      <c r="E51">
        <v>30.845107662750699</v>
      </c>
      <c r="F51">
        <v>2.5422717692855801</v>
      </c>
      <c r="G51">
        <v>-502.85510167054565</v>
      </c>
      <c r="H51">
        <v>-441.44626604829756</v>
      </c>
      <c r="I51">
        <v>60.314134088541003</v>
      </c>
      <c r="J51">
        <v>35.690827398491301</v>
      </c>
      <c r="K51">
        <v>12.132891548183499</v>
      </c>
      <c r="L51">
        <v>0</v>
      </c>
      <c r="M51">
        <v>1.2382554563563432E-6</v>
      </c>
      <c r="N51">
        <v>0</v>
      </c>
      <c r="O51" s="1">
        <v>1.7245113577890201E-11</v>
      </c>
      <c r="P51">
        <v>0</v>
      </c>
      <c r="Q51">
        <v>100</v>
      </c>
      <c r="AJ51">
        <v>1</v>
      </c>
    </row>
    <row r="52" spans="1:36" x14ac:dyDescent="0.2">
      <c r="A52">
        <v>55</v>
      </c>
      <c r="B52">
        <v>757</v>
      </c>
      <c r="C52">
        <v>200</v>
      </c>
      <c r="D52">
        <v>0.38273115565694399</v>
      </c>
      <c r="E52">
        <v>2.4102858027433799E-3</v>
      </c>
      <c r="F52">
        <v>2.5414849045122199</v>
      </c>
      <c r="G52">
        <v>-3.9374356757751534E-2</v>
      </c>
      <c r="H52">
        <v>-3.4485526386855758E-2</v>
      </c>
      <c r="I52">
        <v>4.74574612522037E-3</v>
      </c>
      <c r="J52">
        <v>2.79323637448229E-3</v>
      </c>
      <c r="K52">
        <v>9.4837698955602698E-4</v>
      </c>
      <c r="L52">
        <v>0</v>
      </c>
      <c r="M52">
        <v>1.2382274289707085E-6</v>
      </c>
      <c r="N52">
        <v>0</v>
      </c>
      <c r="O52" s="1">
        <v>1.34756062056745E-15</v>
      </c>
      <c r="P52">
        <v>0</v>
      </c>
      <c r="Q52">
        <v>100</v>
      </c>
      <c r="AJ52">
        <v>1</v>
      </c>
    </row>
    <row r="53" spans="1:36" x14ac:dyDescent="0.2">
      <c r="A53">
        <v>56</v>
      </c>
      <c r="B53">
        <v>756</v>
      </c>
      <c r="C53">
        <v>200</v>
      </c>
      <c r="D53">
        <v>0.38206335325268598</v>
      </c>
      <c r="E53">
        <v>0.805040125107499</v>
      </c>
      <c r="F53">
        <v>2.5414849045122199</v>
      </c>
      <c r="G53">
        <v>-13.149526761470925</v>
      </c>
      <c r="H53">
        <v>-11.519165474162085</v>
      </c>
      <c r="I53">
        <v>1.58418237118868</v>
      </c>
      <c r="J53">
        <v>0.93282814793150304</v>
      </c>
      <c r="K53">
        <v>0.31675975083629598</v>
      </c>
      <c r="L53">
        <v>0</v>
      </c>
      <c r="M53">
        <v>1.2382274289707083E-6</v>
      </c>
      <c r="N53">
        <v>0</v>
      </c>
      <c r="O53" s="1">
        <v>4.5008785652589198E-13</v>
      </c>
      <c r="P53">
        <v>0</v>
      </c>
      <c r="Q53">
        <v>100</v>
      </c>
      <c r="AJ53">
        <v>1</v>
      </c>
    </row>
    <row r="54" spans="1:36" x14ac:dyDescent="0.2">
      <c r="A54">
        <v>57</v>
      </c>
      <c r="B54">
        <v>755</v>
      </c>
      <c r="C54">
        <v>200</v>
      </c>
      <c r="D54">
        <v>0.38139425181150599</v>
      </c>
      <c r="E54">
        <v>1.7274013137529201</v>
      </c>
      <c r="F54">
        <v>2.5414849045122199</v>
      </c>
      <c r="G54">
        <v>-28.211977712709015</v>
      </c>
      <c r="H54">
        <v>-24.719057124057478</v>
      </c>
      <c r="I54">
        <v>3.3972869607076102</v>
      </c>
      <c r="J54">
        <v>2.0013461179852001</v>
      </c>
      <c r="K54">
        <v>0.67968190984965005</v>
      </c>
      <c r="L54">
        <v>0</v>
      </c>
      <c r="M54">
        <v>1.2382274289707083E-6</v>
      </c>
      <c r="N54">
        <v>0</v>
      </c>
      <c r="O54" s="1">
        <v>9.6576845106104992E-13</v>
      </c>
      <c r="P54">
        <v>0</v>
      </c>
      <c r="Q54">
        <v>100</v>
      </c>
      <c r="AJ54">
        <v>1</v>
      </c>
    </row>
    <row r="55" spans="1:36" x14ac:dyDescent="0.2">
      <c r="A55">
        <v>58</v>
      </c>
      <c r="B55">
        <v>754</v>
      </c>
      <c r="C55">
        <v>200</v>
      </c>
      <c r="D55">
        <v>0.38072384753930699</v>
      </c>
      <c r="E55">
        <v>4.9002019332315703</v>
      </c>
      <c r="F55">
        <v>2.5414849045122199</v>
      </c>
      <c r="G55">
        <v>-80.020632151916743</v>
      </c>
      <c r="H55">
        <v>-70.127408679552474</v>
      </c>
      <c r="I55">
        <v>9.6317222142474304</v>
      </c>
      <c r="J55">
        <v>5.67659160126101</v>
      </c>
      <c r="K55">
        <v>1.92808618478575</v>
      </c>
      <c r="L55">
        <v>0</v>
      </c>
      <c r="M55">
        <v>1.238227428970708E-6</v>
      </c>
      <c r="N55">
        <v>0</v>
      </c>
      <c r="O55" s="1">
        <v>2.7396415605715499E-12</v>
      </c>
      <c r="P55">
        <v>0</v>
      </c>
      <c r="Q55">
        <v>100</v>
      </c>
      <c r="AJ55">
        <v>1</v>
      </c>
    </row>
    <row r="56" spans="1:36" x14ac:dyDescent="0.2">
      <c r="A56">
        <v>59</v>
      </c>
      <c r="B56">
        <v>753</v>
      </c>
      <c r="C56">
        <v>200</v>
      </c>
      <c r="D56">
        <v>0.380052136627202</v>
      </c>
      <c r="E56">
        <v>11.6160902050771</v>
      </c>
      <c r="F56">
        <v>2.5414849045122199</v>
      </c>
      <c r="G56">
        <v>-189.6687204244345</v>
      </c>
      <c r="H56">
        <v>-166.25278953105635</v>
      </c>
      <c r="I56">
        <v>22.8192085887814</v>
      </c>
      <c r="J56">
        <v>13.4548306823716</v>
      </c>
      <c r="K56">
        <v>4.5705918553572999</v>
      </c>
      <c r="L56">
        <v>0</v>
      </c>
      <c r="M56">
        <v>1.2382274289707085E-6</v>
      </c>
      <c r="N56">
        <v>0</v>
      </c>
      <c r="O56" s="1">
        <v>6.4944106244597702E-12</v>
      </c>
      <c r="P56">
        <v>0</v>
      </c>
      <c r="Q56">
        <v>100</v>
      </c>
      <c r="AJ56">
        <v>1</v>
      </c>
    </row>
    <row r="57" spans="1:36" x14ac:dyDescent="0.2">
      <c r="A57">
        <v>60</v>
      </c>
      <c r="B57">
        <v>752</v>
      </c>
      <c r="C57">
        <v>200</v>
      </c>
      <c r="D57">
        <v>0.37937911525142798</v>
      </c>
      <c r="E57">
        <v>15.905251483833601</v>
      </c>
      <c r="F57">
        <v>2.5414849045122199</v>
      </c>
      <c r="G57">
        <v>-259.67135264684993</v>
      </c>
      <c r="H57">
        <v>-227.65890841757673</v>
      </c>
      <c r="I57">
        <v>31.227083089570499</v>
      </c>
      <c r="J57">
        <v>18.420578344504801</v>
      </c>
      <c r="K57">
        <v>6.2582514086922201</v>
      </c>
      <c r="L57">
        <v>0</v>
      </c>
      <c r="M57">
        <v>1.2382274289707085E-6</v>
      </c>
      <c r="N57">
        <v>0</v>
      </c>
      <c r="O57" s="1">
        <v>8.8924270040676701E-12</v>
      </c>
      <c r="P57">
        <v>0</v>
      </c>
      <c r="Q57">
        <v>100</v>
      </c>
      <c r="AJ57">
        <v>1</v>
      </c>
    </row>
    <row r="58" spans="1:36" x14ac:dyDescent="0.2">
      <c r="A58">
        <v>61</v>
      </c>
      <c r="B58">
        <v>751</v>
      </c>
      <c r="C58">
        <v>200</v>
      </c>
      <c r="D58">
        <v>0.378704779573308</v>
      </c>
      <c r="E58">
        <v>26.758085783855901</v>
      </c>
      <c r="F58">
        <v>2.5414849045122199</v>
      </c>
      <c r="G58">
        <v>-436.80371858937639</v>
      </c>
      <c r="H58">
        <v>-383.0313198711583</v>
      </c>
      <c r="I58">
        <v>52.504417046543999</v>
      </c>
      <c r="J58">
        <v>30.985755865126301</v>
      </c>
      <c r="K58">
        <v>10.5285243820842</v>
      </c>
      <c r="L58">
        <v>0</v>
      </c>
      <c r="M58">
        <v>1.2382274289707085E-6</v>
      </c>
      <c r="N58">
        <v>0</v>
      </c>
      <c r="O58" s="1">
        <v>1.49601108063818E-11</v>
      </c>
      <c r="P58">
        <v>0</v>
      </c>
      <c r="Q58">
        <v>100</v>
      </c>
      <c r="AJ58">
        <v>1</v>
      </c>
    </row>
    <row r="59" spans="1:36" x14ac:dyDescent="0.2">
      <c r="A59">
        <v>62</v>
      </c>
      <c r="B59">
        <v>750</v>
      </c>
      <c r="C59">
        <v>200</v>
      </c>
      <c r="D59">
        <v>0.37802912573913899</v>
      </c>
      <c r="E59">
        <v>30.093506958907099</v>
      </c>
      <c r="F59">
        <v>2.5414849045122199</v>
      </c>
      <c r="G59">
        <v>-491.192690857792</v>
      </c>
      <c r="H59">
        <v>-430.8113888760322</v>
      </c>
      <c r="I59">
        <v>59.015102362077698</v>
      </c>
      <c r="J59">
        <v>34.843683290952796</v>
      </c>
      <c r="K59">
        <v>11.840915090810901</v>
      </c>
      <c r="L59">
        <v>0</v>
      </c>
      <c r="M59">
        <v>1.2382274289707085E-6</v>
      </c>
      <c r="N59">
        <v>0</v>
      </c>
      <c r="O59" s="1">
        <v>1.6824903032842999E-11</v>
      </c>
      <c r="P59">
        <v>0</v>
      </c>
      <c r="Q59">
        <v>100</v>
      </c>
      <c r="AJ59">
        <v>1</v>
      </c>
    </row>
    <row r="60" spans="1:36" x14ac:dyDescent="0.2">
      <c r="A60">
        <v>63</v>
      </c>
      <c r="B60">
        <v>749</v>
      </c>
      <c r="C60">
        <v>200</v>
      </c>
      <c r="D60">
        <v>0.37735214988015597</v>
      </c>
      <c r="E60">
        <v>31.323698075751999</v>
      </c>
      <c r="F60">
        <v>2.5414849045122199</v>
      </c>
      <c r="G60">
        <v>-511.21072491565963</v>
      </c>
      <c r="H60">
        <v>-448.45877397897658</v>
      </c>
      <c r="I60">
        <v>61.392115576659997</v>
      </c>
      <c r="J60">
        <v>36.263386556356899</v>
      </c>
      <c r="K60">
        <v>12.3249593259983</v>
      </c>
      <c r="L60">
        <v>0</v>
      </c>
      <c r="M60">
        <v>1.2382274289707083E-6</v>
      </c>
      <c r="N60">
        <v>0</v>
      </c>
      <c r="O60" s="1">
        <v>1.75126874868464E-11</v>
      </c>
      <c r="P60">
        <v>0</v>
      </c>
      <c r="Q60">
        <v>100</v>
      </c>
      <c r="AJ60">
        <v>1</v>
      </c>
    </row>
    <row r="61" spans="1:36" x14ac:dyDescent="0.2">
      <c r="A61">
        <v>69</v>
      </c>
      <c r="B61">
        <v>762</v>
      </c>
      <c r="C61">
        <v>175</v>
      </c>
      <c r="D61">
        <v>0.41261701202724399</v>
      </c>
      <c r="E61">
        <v>0.54608564132075699</v>
      </c>
      <c r="F61">
        <v>2.5406983011149902</v>
      </c>
      <c r="G61">
        <v>-8.9315950081970517</v>
      </c>
      <c r="H61">
        <v>-7.8154096980657304</v>
      </c>
      <c r="I61">
        <v>1.0782836401790199</v>
      </c>
      <c r="J61">
        <v>0.63324705119864</v>
      </c>
      <c r="K61">
        <v>0.21493525661079199</v>
      </c>
      <c r="L61">
        <v>0</v>
      </c>
      <c r="M61">
        <v>1.2381993090025822E-6</v>
      </c>
      <c r="N61">
        <v>0</v>
      </c>
      <c r="O61" s="1">
        <v>3.0530964621025101E-13</v>
      </c>
      <c r="P61">
        <v>0</v>
      </c>
      <c r="Q61">
        <v>100</v>
      </c>
      <c r="AJ61">
        <v>1</v>
      </c>
    </row>
    <row r="62" spans="1:36" x14ac:dyDescent="0.2">
      <c r="A62">
        <v>70</v>
      </c>
      <c r="B62">
        <v>761</v>
      </c>
      <c r="C62">
        <v>175</v>
      </c>
      <c r="D62">
        <v>0.411981337330175</v>
      </c>
      <c r="E62">
        <v>1.4869327834255299</v>
      </c>
      <c r="F62">
        <v>2.5406983011149902</v>
      </c>
      <c r="G62">
        <v>-24.31684252582771</v>
      </c>
      <c r="H62">
        <v>-21.282248704973778</v>
      </c>
      <c r="I62">
        <v>2.9343845872010101</v>
      </c>
      <c r="J62">
        <v>1.72404799029202</v>
      </c>
      <c r="K62">
        <v>0.58524571090278199</v>
      </c>
      <c r="L62">
        <v>0</v>
      </c>
      <c r="M62">
        <v>1.238199309002582E-6</v>
      </c>
      <c r="N62">
        <v>0</v>
      </c>
      <c r="O62" s="1">
        <v>8.3132550591899001E-13</v>
      </c>
      <c r="P62">
        <v>0</v>
      </c>
      <c r="Q62">
        <v>100</v>
      </c>
      <c r="AJ62">
        <v>1</v>
      </c>
    </row>
    <row r="63" spans="1:36" x14ac:dyDescent="0.2">
      <c r="A63">
        <v>71</v>
      </c>
      <c r="B63">
        <v>760</v>
      </c>
      <c r="C63">
        <v>175</v>
      </c>
      <c r="D63">
        <v>0.41134443207665999</v>
      </c>
      <c r="E63">
        <v>2.53489587075383</v>
      </c>
      <c r="F63">
        <v>2.5406983011149902</v>
      </c>
      <c r="G63">
        <v>-41.449908260618251</v>
      </c>
      <c r="H63">
        <v>-36.284528105019852</v>
      </c>
      <c r="I63">
        <v>4.9996420225508196</v>
      </c>
      <c r="J63">
        <v>2.9387565395984998</v>
      </c>
      <c r="K63">
        <v>0.99771620646236603</v>
      </c>
      <c r="L63">
        <v>0</v>
      </c>
      <c r="M63">
        <v>1.238199309002582E-6</v>
      </c>
      <c r="N63">
        <v>0</v>
      </c>
      <c r="O63" s="1">
        <v>1.41722854973418E-12</v>
      </c>
      <c r="P63">
        <v>0</v>
      </c>
      <c r="Q63">
        <v>100</v>
      </c>
      <c r="AJ63">
        <v>1</v>
      </c>
    </row>
    <row r="64" spans="1:36" x14ac:dyDescent="0.2">
      <c r="A64">
        <v>72</v>
      </c>
      <c r="B64">
        <v>759</v>
      </c>
      <c r="C64">
        <v>175</v>
      </c>
      <c r="D64">
        <v>0.41070629269001901</v>
      </c>
      <c r="E64">
        <v>8.7719053112653995</v>
      </c>
      <c r="F64">
        <v>2.5406983011149902</v>
      </c>
      <c r="G64">
        <v>-143.41844598430657</v>
      </c>
      <c r="H64">
        <v>-125.5713204421496</v>
      </c>
      <c r="I64">
        <v>17.291213042829899</v>
      </c>
      <c r="J64">
        <v>10.168169229072401</v>
      </c>
      <c r="K64">
        <v>3.4525568452640698</v>
      </c>
      <c r="L64">
        <v>0</v>
      </c>
      <c r="M64">
        <v>1.238199309002582E-6</v>
      </c>
      <c r="N64">
        <v>0</v>
      </c>
      <c r="O64" s="1">
        <v>4.9042624535868003E-12</v>
      </c>
      <c r="P64">
        <v>0</v>
      </c>
      <c r="Q64">
        <v>100</v>
      </c>
      <c r="AJ64">
        <v>1</v>
      </c>
    </row>
    <row r="65" spans="1:36" x14ac:dyDescent="0.2">
      <c r="A65">
        <v>73</v>
      </c>
      <c r="B65">
        <v>758</v>
      </c>
      <c r="C65">
        <v>175</v>
      </c>
      <c r="D65">
        <v>0.41006691557969399</v>
      </c>
      <c r="E65">
        <v>13.721537685079999</v>
      </c>
      <c r="F65">
        <v>2.5406983011149902</v>
      </c>
      <c r="G65">
        <v>-224.31665038134477</v>
      </c>
      <c r="H65">
        <v>-196.44205661008738</v>
      </c>
      <c r="I65">
        <v>27.032530447808099</v>
      </c>
      <c r="J65">
        <v>15.903650899126299</v>
      </c>
      <c r="K65">
        <v>5.4006954226160202</v>
      </c>
      <c r="L65">
        <v>0</v>
      </c>
      <c r="M65">
        <v>1.2381993090025822E-6</v>
      </c>
      <c r="N65">
        <v>0</v>
      </c>
      <c r="O65" s="1">
        <v>7.6715399547224499E-12</v>
      </c>
      <c r="P65">
        <v>0</v>
      </c>
      <c r="Q65">
        <v>100</v>
      </c>
      <c r="AJ65">
        <v>1</v>
      </c>
    </row>
    <row r="66" spans="1:36" x14ac:dyDescent="0.2">
      <c r="A66">
        <v>74</v>
      </c>
      <c r="B66">
        <v>757</v>
      </c>
      <c r="C66">
        <v>175</v>
      </c>
      <c r="D66">
        <v>0.40942629714119499</v>
      </c>
      <c r="E66">
        <v>23.130299150148701</v>
      </c>
      <c r="F66">
        <v>2.5406983011149902</v>
      </c>
      <c r="G66">
        <v>-378.08343748724059</v>
      </c>
      <c r="H66">
        <v>-331.16779418699622</v>
      </c>
      <c r="I66">
        <v>45.542535844531699</v>
      </c>
      <c r="J66">
        <v>26.805282952467699</v>
      </c>
      <c r="K66">
        <v>9.1039141247104904</v>
      </c>
      <c r="L66">
        <v>0</v>
      </c>
      <c r="M66">
        <v>1.238199309002582E-6</v>
      </c>
      <c r="N66">
        <v>0</v>
      </c>
      <c r="O66" s="1">
        <v>1.29318607117911E-11</v>
      </c>
      <c r="P66">
        <v>0</v>
      </c>
      <c r="Q66">
        <v>100</v>
      </c>
      <c r="AJ66">
        <v>1</v>
      </c>
    </row>
    <row r="67" spans="1:36" x14ac:dyDescent="0.2">
      <c r="A67">
        <v>75</v>
      </c>
      <c r="B67">
        <v>756</v>
      </c>
      <c r="C67">
        <v>175</v>
      </c>
      <c r="D67">
        <v>0.40878443375601398</v>
      </c>
      <c r="E67">
        <v>28.097857462778499</v>
      </c>
      <c r="F67">
        <v>2.5406983011149902</v>
      </c>
      <c r="G67">
        <v>-459.22688611104797</v>
      </c>
      <c r="H67">
        <v>-402.32331368660658</v>
      </c>
      <c r="I67">
        <v>55.291815988380002</v>
      </c>
      <c r="J67">
        <v>32.557970119001297</v>
      </c>
      <c r="K67">
        <v>11.059108218574201</v>
      </c>
      <c r="L67">
        <v>0</v>
      </c>
      <c r="M67">
        <v>1.238199309002582E-6</v>
      </c>
      <c r="N67">
        <v>0</v>
      </c>
      <c r="O67" s="1">
        <v>1.5709160380922998E-11</v>
      </c>
      <c r="P67">
        <v>0</v>
      </c>
      <c r="Q67">
        <v>100</v>
      </c>
      <c r="AJ67">
        <v>1</v>
      </c>
    </row>
    <row r="68" spans="1:36" x14ac:dyDescent="0.2">
      <c r="A68">
        <v>76</v>
      </c>
      <c r="B68">
        <v>755</v>
      </c>
      <c r="C68">
        <v>175</v>
      </c>
      <c r="D68">
        <v>0.40814132179156798</v>
      </c>
      <c r="E68">
        <v>30.395281359952399</v>
      </c>
      <c r="F68">
        <v>2.5406983011149902</v>
      </c>
      <c r="G68">
        <v>-496.71581900895961</v>
      </c>
      <c r="H68">
        <v>-435.25453423699508</v>
      </c>
      <c r="I68">
        <v>59.778519449462102</v>
      </c>
      <c r="J68">
        <v>35.215602692027197</v>
      </c>
      <c r="K68">
        <v>11.9633572182156</v>
      </c>
      <c r="L68">
        <v>0</v>
      </c>
      <c r="M68">
        <v>1.238199309002582E-6</v>
      </c>
      <c r="N68">
        <v>0</v>
      </c>
      <c r="O68" s="1">
        <v>1.6993621322882001E-11</v>
      </c>
      <c r="P68">
        <v>0</v>
      </c>
      <c r="Q68">
        <v>100</v>
      </c>
      <c r="AJ68">
        <v>1</v>
      </c>
    </row>
    <row r="69" spans="1:36" x14ac:dyDescent="0.2">
      <c r="A69">
        <v>77</v>
      </c>
      <c r="B69">
        <v>754</v>
      </c>
      <c r="C69">
        <v>175</v>
      </c>
      <c r="D69">
        <v>0.40749695760112897</v>
      </c>
      <c r="E69">
        <v>31.413402389597302</v>
      </c>
      <c r="F69">
        <v>2.5406983011149902</v>
      </c>
      <c r="G69">
        <v>-513.29206012239138</v>
      </c>
      <c r="H69">
        <v>-449.87022279769235</v>
      </c>
      <c r="I69">
        <v>61.745448400622102</v>
      </c>
      <c r="J69">
        <v>36.390552593864697</v>
      </c>
      <c r="K69">
        <v>12.3640821012913</v>
      </c>
      <c r="L69">
        <v>0</v>
      </c>
      <c r="M69">
        <v>1.238199309002582E-6</v>
      </c>
      <c r="N69">
        <v>0</v>
      </c>
      <c r="O69" s="1">
        <v>1.75628400458067E-11</v>
      </c>
      <c r="P69">
        <v>0</v>
      </c>
      <c r="Q69">
        <v>100</v>
      </c>
      <c r="AJ69">
        <v>1</v>
      </c>
    </row>
    <row r="70" spans="1:36" x14ac:dyDescent="0.2">
      <c r="A70">
        <v>86</v>
      </c>
      <c r="B70">
        <v>769</v>
      </c>
      <c r="C70">
        <v>150</v>
      </c>
      <c r="D70">
        <v>0.44342033296550898</v>
      </c>
      <c r="E70">
        <v>0.63358440641259095</v>
      </c>
      <c r="F70">
        <v>2.53991195906073</v>
      </c>
      <c r="G70">
        <v>-10.377705754814388</v>
      </c>
      <c r="H70">
        <v>-9.0687552012212862</v>
      </c>
      <c r="I70">
        <v>1.2560097429286601</v>
      </c>
      <c r="J70">
        <v>0.73535031825874297</v>
      </c>
      <c r="K70">
        <v>0.24945132611875701</v>
      </c>
      <c r="L70">
        <v>0</v>
      </c>
      <c r="M70">
        <v>1.2381710965453893E-6</v>
      </c>
      <c r="N70">
        <v>0</v>
      </c>
      <c r="O70" s="1">
        <v>3.5422911047122402E-13</v>
      </c>
      <c r="P70">
        <v>0</v>
      </c>
      <c r="Q70">
        <v>100</v>
      </c>
      <c r="AJ70">
        <v>1</v>
      </c>
    </row>
    <row r="71" spans="1:36" x14ac:dyDescent="0.2">
      <c r="A71">
        <v>87</v>
      </c>
      <c r="B71">
        <v>768</v>
      </c>
      <c r="C71">
        <v>150</v>
      </c>
      <c r="D71">
        <v>0.442818517984921</v>
      </c>
      <c r="E71">
        <v>1.61003742493386</v>
      </c>
      <c r="F71">
        <v>2.53991195906073</v>
      </c>
      <c r="G71">
        <v>-26.368188400170347</v>
      </c>
      <c r="H71">
        <v>-23.046998935447292</v>
      </c>
      <c r="I71">
        <v>3.1899240884820101</v>
      </c>
      <c r="J71">
        <v>1.86841020276642</v>
      </c>
      <c r="K71">
        <v>0.63389497387510196</v>
      </c>
      <c r="L71">
        <v>0</v>
      </c>
      <c r="M71">
        <v>1.2381710965453891E-6</v>
      </c>
      <c r="N71">
        <v>0</v>
      </c>
      <c r="O71" s="1">
        <v>9.0015176997318401E-13</v>
      </c>
      <c r="P71">
        <v>0</v>
      </c>
      <c r="Q71">
        <v>100</v>
      </c>
      <c r="AJ71">
        <v>1</v>
      </c>
    </row>
    <row r="72" spans="1:36" x14ac:dyDescent="0.2">
      <c r="A72">
        <v>88</v>
      </c>
      <c r="B72">
        <v>767</v>
      </c>
      <c r="C72">
        <v>150</v>
      </c>
      <c r="D72">
        <v>0.44221554583473799</v>
      </c>
      <c r="E72">
        <v>2.7212576835789402</v>
      </c>
      <c r="F72">
        <v>2.53991195906073</v>
      </c>
      <c r="G72">
        <v>-44.561670438157151</v>
      </c>
      <c r="H72">
        <v>-38.956800678530975</v>
      </c>
      <c r="I72">
        <v>5.3885206553152596</v>
      </c>
      <c r="J72">
        <v>3.1575647127304398</v>
      </c>
      <c r="K72">
        <v>1.0713984293318799</v>
      </c>
      <c r="L72">
        <v>0</v>
      </c>
      <c r="M72">
        <v>1.2381710965453893E-6</v>
      </c>
      <c r="N72">
        <v>0</v>
      </c>
      <c r="O72" s="1">
        <v>1.5214211064238699E-12</v>
      </c>
      <c r="P72">
        <v>0</v>
      </c>
      <c r="Q72">
        <v>100</v>
      </c>
      <c r="AJ72">
        <v>1</v>
      </c>
    </row>
    <row r="73" spans="1:36" x14ac:dyDescent="0.2">
      <c r="A73">
        <v>89</v>
      </c>
      <c r="B73">
        <v>766</v>
      </c>
      <c r="C73">
        <v>150</v>
      </c>
      <c r="D73">
        <v>0.44161141317423203</v>
      </c>
      <c r="E73">
        <v>7.4052768996116596</v>
      </c>
      <c r="F73">
        <v>2.53991195906073</v>
      </c>
      <c r="G73">
        <v>-121.249677474677</v>
      </c>
      <c r="H73">
        <v>-106.020565079921</v>
      </c>
      <c r="I73">
        <v>14.655355237218799</v>
      </c>
      <c r="J73">
        <v>8.5915219680733994</v>
      </c>
      <c r="K73">
        <v>2.9155644049765201</v>
      </c>
      <c r="L73">
        <v>0</v>
      </c>
      <c r="M73">
        <v>1.2381710965453891E-6</v>
      </c>
      <c r="N73">
        <v>0</v>
      </c>
      <c r="O73" s="1">
        <v>4.1401976159658402E-12</v>
      </c>
      <c r="P73">
        <v>0</v>
      </c>
      <c r="Q73">
        <v>100</v>
      </c>
      <c r="AJ73">
        <v>1</v>
      </c>
    </row>
    <row r="74" spans="1:36" x14ac:dyDescent="0.2">
      <c r="A74">
        <v>90</v>
      </c>
      <c r="B74">
        <v>765</v>
      </c>
      <c r="C74">
        <v>150</v>
      </c>
      <c r="D74">
        <v>0.44100611664981298</v>
      </c>
      <c r="E74">
        <v>12.401997859236999</v>
      </c>
      <c r="F74">
        <v>2.53991195906073</v>
      </c>
      <c r="G74">
        <v>-203.03853001794894</v>
      </c>
      <c r="H74">
        <v>-177.57247762762512</v>
      </c>
      <c r="I74">
        <v>24.530224332055901</v>
      </c>
      <c r="J74">
        <v>14.3868774127242</v>
      </c>
      <c r="K74">
        <v>4.8828455706879499</v>
      </c>
      <c r="L74">
        <v>0</v>
      </c>
      <c r="M74">
        <v>1.2381710965453893E-6</v>
      </c>
      <c r="N74">
        <v>0</v>
      </c>
      <c r="O74" s="1">
        <v>6.9338017559774797E-12</v>
      </c>
      <c r="P74">
        <v>0</v>
      </c>
      <c r="Q74">
        <v>100</v>
      </c>
      <c r="AJ74">
        <v>1</v>
      </c>
    </row>
    <row r="75" spans="1:36" x14ac:dyDescent="0.2">
      <c r="A75">
        <v>91</v>
      </c>
      <c r="B75">
        <v>764</v>
      </c>
      <c r="C75">
        <v>150</v>
      </c>
      <c r="D75">
        <v>0.44039965289495597</v>
      </c>
      <c r="E75">
        <v>20.077409653343899</v>
      </c>
      <c r="F75">
        <v>2.53991195906073</v>
      </c>
      <c r="G75">
        <v>-328.65635235871969</v>
      </c>
      <c r="H75">
        <v>-287.4927290124719</v>
      </c>
      <c r="I75">
        <v>39.6891706563638</v>
      </c>
      <c r="J75">
        <v>23.287803996067201</v>
      </c>
      <c r="K75">
        <v>7.9047659828211598</v>
      </c>
      <c r="L75">
        <v>0</v>
      </c>
      <c r="M75">
        <v>1.2381710965453893E-6</v>
      </c>
      <c r="N75">
        <v>0</v>
      </c>
      <c r="O75" s="1">
        <v>1.1225028409930599E-11</v>
      </c>
      <c r="P75">
        <v>0</v>
      </c>
      <c r="Q75">
        <v>100</v>
      </c>
      <c r="AJ75">
        <v>1</v>
      </c>
    </row>
    <row r="76" spans="1:36" x14ac:dyDescent="0.2">
      <c r="A76">
        <v>92</v>
      </c>
      <c r="B76">
        <v>763</v>
      </c>
      <c r="C76">
        <v>150</v>
      </c>
      <c r="D76">
        <v>0.43979201853014099</v>
      </c>
      <c r="E76">
        <v>25.725999664146698</v>
      </c>
      <c r="F76">
        <v>2.53991195906073</v>
      </c>
      <c r="G76">
        <v>-421.06987911676475</v>
      </c>
      <c r="H76">
        <v>-368.40593694249276</v>
      </c>
      <c r="I76">
        <v>50.826561959438202</v>
      </c>
      <c r="J76">
        <v>29.8358873811984</v>
      </c>
      <c r="K76">
        <v>10.128697403220301</v>
      </c>
      <c r="L76">
        <v>0</v>
      </c>
      <c r="M76">
        <v>1.2381710965453891E-6</v>
      </c>
      <c r="N76">
        <v>0</v>
      </c>
      <c r="O76" s="1">
        <v>1.43830843764159E-11</v>
      </c>
      <c r="P76">
        <v>0</v>
      </c>
      <c r="Q76">
        <v>100</v>
      </c>
      <c r="AJ76">
        <v>1</v>
      </c>
    </row>
    <row r="77" spans="1:36" x14ac:dyDescent="0.2">
      <c r="A77">
        <v>93</v>
      </c>
      <c r="B77">
        <v>762</v>
      </c>
      <c r="C77">
        <v>150</v>
      </c>
      <c r="D77">
        <v>0.439183210162781</v>
      </c>
      <c r="E77">
        <v>29.182657115449501</v>
      </c>
      <c r="F77">
        <v>2.53991195906073</v>
      </c>
      <c r="G77">
        <v>-477.5890239622355</v>
      </c>
      <c r="H77">
        <v>-417.94040711876261</v>
      </c>
      <c r="I77">
        <v>57.623162675431402</v>
      </c>
      <c r="J77">
        <v>33.840537392274697</v>
      </c>
      <c r="K77">
        <v>11.4896333360473</v>
      </c>
      <c r="L77">
        <v>0</v>
      </c>
      <c r="M77">
        <v>1.2381710965453893E-6</v>
      </c>
      <c r="N77">
        <v>0</v>
      </c>
      <c r="O77" s="1">
        <v>1.6315658287304399E-11</v>
      </c>
      <c r="P77">
        <v>0</v>
      </c>
      <c r="Q77">
        <v>100</v>
      </c>
      <c r="AJ77">
        <v>1</v>
      </c>
    </row>
    <row r="78" spans="1:36" x14ac:dyDescent="0.2">
      <c r="A78">
        <v>94</v>
      </c>
      <c r="B78">
        <v>761</v>
      </c>
      <c r="C78">
        <v>150</v>
      </c>
      <c r="D78">
        <v>0.43857322438717999</v>
      </c>
      <c r="E78">
        <v>30.728317304627701</v>
      </c>
      <c r="F78">
        <v>2.53991195906073</v>
      </c>
      <c r="G78">
        <v>-502.82388101462755</v>
      </c>
      <c r="H78">
        <v>-440.11226226677729</v>
      </c>
      <c r="I78">
        <v>60.6407375601704</v>
      </c>
      <c r="J78">
        <v>35.628438813523502</v>
      </c>
      <c r="K78">
        <v>12.098182062968499</v>
      </c>
      <c r="L78">
        <v>0</v>
      </c>
      <c r="M78">
        <v>1.2381710965453889E-6</v>
      </c>
      <c r="N78">
        <v>0</v>
      </c>
      <c r="O78" s="1">
        <v>1.7179817550635199E-11</v>
      </c>
      <c r="P78">
        <v>0</v>
      </c>
      <c r="Q78">
        <v>100</v>
      </c>
      <c r="AJ78">
        <v>1</v>
      </c>
    </row>
    <row r="79" spans="1:36" x14ac:dyDescent="0.2">
      <c r="A79">
        <v>108</v>
      </c>
      <c r="B79">
        <v>778</v>
      </c>
      <c r="C79">
        <v>125</v>
      </c>
      <c r="D79">
        <v>0.47494696285021398</v>
      </c>
      <c r="E79">
        <v>0.88123058451166303</v>
      </c>
      <c r="F79">
        <v>2.5391258783161499</v>
      </c>
      <c r="G79">
        <v>-14.458428423246435</v>
      </c>
      <c r="H79">
        <v>-12.612882340128744</v>
      </c>
      <c r="I79">
        <v>1.7557399829878599</v>
      </c>
      <c r="J79">
        <v>1.0238960767109</v>
      </c>
      <c r="K79">
        <v>0.347060613275329</v>
      </c>
      <c r="L79">
        <v>0</v>
      </c>
      <c r="M79">
        <v>1.2381427916924881E-6</v>
      </c>
      <c r="N79">
        <v>0</v>
      </c>
      <c r="O79" s="1">
        <v>4.9268498863326796E-13</v>
      </c>
      <c r="P79">
        <v>0</v>
      </c>
      <c r="Q79">
        <v>100</v>
      </c>
      <c r="AJ79">
        <v>1</v>
      </c>
    </row>
    <row r="80" spans="1:36" x14ac:dyDescent="0.2">
      <c r="A80">
        <v>109</v>
      </c>
      <c r="B80">
        <v>777</v>
      </c>
      <c r="C80">
        <v>125</v>
      </c>
      <c r="D80">
        <v>0.47438032662001101</v>
      </c>
      <c r="E80">
        <v>1.89787795110735</v>
      </c>
      <c r="F80">
        <v>2.5391258783161499</v>
      </c>
      <c r="G80">
        <v>-31.134871779032917</v>
      </c>
      <c r="H80">
        <v>-27.166163801448075</v>
      </c>
      <c r="I80">
        <v>3.77918200027124</v>
      </c>
      <c r="J80">
        <v>2.20486562647443</v>
      </c>
      <c r="K80">
        <v>0.74745327410311402</v>
      </c>
      <c r="L80">
        <v>0</v>
      </c>
      <c r="M80">
        <v>1.2381427916924884E-6</v>
      </c>
      <c r="N80">
        <v>0</v>
      </c>
      <c r="O80" s="1">
        <v>1.06107980499431E-12</v>
      </c>
      <c r="P80">
        <v>0</v>
      </c>
      <c r="Q80">
        <v>100</v>
      </c>
      <c r="AJ80">
        <v>1</v>
      </c>
    </row>
    <row r="81" spans="1:36" x14ac:dyDescent="0.2">
      <c r="A81">
        <v>110</v>
      </c>
      <c r="B81">
        <v>776</v>
      </c>
      <c r="C81">
        <v>125</v>
      </c>
      <c r="D81">
        <v>0.47381261020826598</v>
      </c>
      <c r="E81">
        <v>3.0835470398066098</v>
      </c>
      <c r="F81">
        <v>2.5391258783161499</v>
      </c>
      <c r="G81">
        <v>-50.579749664870683</v>
      </c>
      <c r="H81">
        <v>-44.141375012755987</v>
      </c>
      <c r="I81">
        <v>6.1367532308198998</v>
      </c>
      <c r="J81">
        <v>3.5818866311331901</v>
      </c>
      <c r="K81">
        <v>1.2144128285012401</v>
      </c>
      <c r="L81">
        <v>0</v>
      </c>
      <c r="M81">
        <v>1.2381427916924884E-6</v>
      </c>
      <c r="N81">
        <v>0</v>
      </c>
      <c r="O81" s="1">
        <v>1.7239725503843599E-12</v>
      </c>
      <c r="P81">
        <v>0</v>
      </c>
      <c r="Q81">
        <v>100</v>
      </c>
      <c r="AJ81">
        <v>1</v>
      </c>
    </row>
    <row r="82" spans="1:36" x14ac:dyDescent="0.2">
      <c r="A82">
        <v>111</v>
      </c>
      <c r="B82">
        <v>775</v>
      </c>
      <c r="C82">
        <v>125</v>
      </c>
      <c r="D82">
        <v>0.473243810523307</v>
      </c>
      <c r="E82">
        <v>6.2105865502988298</v>
      </c>
      <c r="F82">
        <v>2.5391258783161499</v>
      </c>
      <c r="G82">
        <v>-101.86055432234392</v>
      </c>
      <c r="H82">
        <v>-88.912564230161621</v>
      </c>
      <c r="I82">
        <v>12.353184269601</v>
      </c>
      <c r="J82">
        <v>7.2134191702702601</v>
      </c>
      <c r="K82">
        <v>2.4459545717431901</v>
      </c>
      <c r="L82">
        <v>0</v>
      </c>
      <c r="M82">
        <v>1.2381427916924881E-6</v>
      </c>
      <c r="N82">
        <v>0</v>
      </c>
      <c r="O82" s="1">
        <v>3.4722611966940999E-12</v>
      </c>
      <c r="P82">
        <v>0</v>
      </c>
      <c r="Q82">
        <v>100</v>
      </c>
      <c r="AJ82">
        <v>1</v>
      </c>
    </row>
    <row r="83" spans="1:36" x14ac:dyDescent="0.2">
      <c r="A83">
        <v>112</v>
      </c>
      <c r="B83">
        <v>774</v>
      </c>
      <c r="C83">
        <v>125</v>
      </c>
      <c r="D83">
        <v>0.47267392446163797</v>
      </c>
      <c r="E83">
        <v>11.057183051561999</v>
      </c>
      <c r="F83">
        <v>2.5391258783161499</v>
      </c>
      <c r="G83">
        <v>-181.32816158248576</v>
      </c>
      <c r="H83">
        <v>-158.31069184226317</v>
      </c>
      <c r="I83">
        <v>21.981062636893</v>
      </c>
      <c r="J83">
        <v>12.841040779269701</v>
      </c>
      <c r="K83">
        <v>4.3547203177239702</v>
      </c>
      <c r="L83">
        <v>0</v>
      </c>
      <c r="M83">
        <v>1.2381427916924884E-6</v>
      </c>
      <c r="N83">
        <v>0</v>
      </c>
      <c r="O83" s="1">
        <v>6.1819326312802702E-12</v>
      </c>
      <c r="P83">
        <v>0</v>
      </c>
      <c r="Q83">
        <v>100</v>
      </c>
      <c r="AJ83">
        <v>1</v>
      </c>
    </row>
    <row r="84" spans="1:36" x14ac:dyDescent="0.2">
      <c r="A84">
        <v>113</v>
      </c>
      <c r="B84">
        <v>773</v>
      </c>
      <c r="C84">
        <v>125</v>
      </c>
      <c r="D84">
        <v>0.472102948907902</v>
      </c>
      <c r="E84">
        <v>14.6433753052476</v>
      </c>
      <c r="F84">
        <v>2.5391258783161499</v>
      </c>
      <c r="G84">
        <v>-240.10948574716295</v>
      </c>
      <c r="H84">
        <v>-209.67283343244296</v>
      </c>
      <c r="I84">
        <v>29.093965793356599</v>
      </c>
      <c r="J84">
        <v>17.003721166267098</v>
      </c>
      <c r="K84">
        <v>5.7670930891219099</v>
      </c>
      <c r="L84">
        <v>0</v>
      </c>
      <c r="M84">
        <v>1.2381427916924881E-6</v>
      </c>
      <c r="N84">
        <v>0</v>
      </c>
      <c r="O84" s="1">
        <v>8.1869278286756507E-12</v>
      </c>
      <c r="P84">
        <v>0</v>
      </c>
      <c r="Q84">
        <v>100</v>
      </c>
      <c r="AJ84">
        <v>1</v>
      </c>
    </row>
    <row r="85" spans="1:36" x14ac:dyDescent="0.2">
      <c r="A85">
        <v>114</v>
      </c>
      <c r="B85">
        <v>772</v>
      </c>
      <c r="C85">
        <v>125</v>
      </c>
      <c r="D85">
        <v>0.47153088073482102</v>
      </c>
      <c r="E85">
        <v>23.121838040477702</v>
      </c>
      <c r="F85">
        <v>2.5391258783161499</v>
      </c>
      <c r="G85">
        <v>-379.08610601771176</v>
      </c>
      <c r="H85">
        <v>-331.09951280519209</v>
      </c>
      <c r="I85">
        <v>45.913594424264097</v>
      </c>
      <c r="J85">
        <v>26.845535540623899</v>
      </c>
      <c r="K85">
        <v>9.1062196789594498</v>
      </c>
      <c r="L85">
        <v>0</v>
      </c>
      <c r="M85">
        <v>1.2381427916924881E-6</v>
      </c>
      <c r="N85">
        <v>0</v>
      </c>
      <c r="O85" s="1">
        <v>1.29271302112895E-11</v>
      </c>
      <c r="P85">
        <v>0</v>
      </c>
      <c r="Q85">
        <v>100</v>
      </c>
      <c r="AJ85">
        <v>1</v>
      </c>
    </row>
    <row r="86" spans="1:36" x14ac:dyDescent="0.2">
      <c r="A86">
        <v>115</v>
      </c>
      <c r="B86">
        <v>771</v>
      </c>
      <c r="C86">
        <v>125</v>
      </c>
      <c r="D86">
        <v>0.47095771680314102</v>
      </c>
      <c r="E86">
        <v>26.752997579454</v>
      </c>
      <c r="F86">
        <v>2.5391258783161499</v>
      </c>
      <c r="G86">
        <v>-438.56641830747998</v>
      </c>
      <c r="H86">
        <v>-383.12795910592649</v>
      </c>
      <c r="I86">
        <v>53.0943439175918</v>
      </c>
      <c r="J86">
        <v>31.057678057548198</v>
      </c>
      <c r="K86">
        <v>10.536302200659501</v>
      </c>
      <c r="L86">
        <v>0</v>
      </c>
      <c r="M86">
        <v>1.2381427916924881E-6</v>
      </c>
      <c r="N86">
        <v>0</v>
      </c>
      <c r="O86" s="1">
        <v>1.49572660549944E-11</v>
      </c>
      <c r="P86">
        <v>0</v>
      </c>
      <c r="Q86">
        <v>100</v>
      </c>
      <c r="AJ86">
        <v>1</v>
      </c>
    </row>
    <row r="87" spans="1:36" x14ac:dyDescent="0.2">
      <c r="A87">
        <v>116</v>
      </c>
      <c r="B87">
        <v>770</v>
      </c>
      <c r="C87">
        <v>125</v>
      </c>
      <c r="D87">
        <v>0.47038345396155901</v>
      </c>
      <c r="E87">
        <v>29.511065444543298</v>
      </c>
      <c r="F87">
        <v>2.5391258783161499</v>
      </c>
      <c r="G87">
        <v>-483.7213400994375</v>
      </c>
      <c r="H87">
        <v>-422.66032919015498</v>
      </c>
      <c r="I87">
        <v>58.535216324864599</v>
      </c>
      <c r="J87">
        <v>34.255327081276299</v>
      </c>
      <c r="K87">
        <v>11.6225295077193</v>
      </c>
      <c r="L87">
        <v>0</v>
      </c>
      <c r="M87">
        <v>1.2381427916924884E-6</v>
      </c>
      <c r="N87">
        <v>0</v>
      </c>
      <c r="O87" s="1">
        <v>1.6499267273114102E-11</v>
      </c>
      <c r="P87">
        <v>0</v>
      </c>
      <c r="Q87">
        <v>100</v>
      </c>
      <c r="AJ87">
        <v>1</v>
      </c>
    </row>
    <row r="88" spans="1:36" x14ac:dyDescent="0.2">
      <c r="A88">
        <v>117</v>
      </c>
      <c r="B88">
        <v>769</v>
      </c>
      <c r="C88">
        <v>125</v>
      </c>
      <c r="D88">
        <v>0.46980808904668597</v>
      </c>
      <c r="E88">
        <v>30.748937955100001</v>
      </c>
      <c r="F88">
        <v>2.5391258783161499</v>
      </c>
      <c r="G88">
        <v>-503.95056428920918</v>
      </c>
      <c r="H88">
        <v>-440.42494883629661</v>
      </c>
      <c r="I88">
        <v>60.9563071082978</v>
      </c>
      <c r="J88">
        <v>35.687812203946002</v>
      </c>
      <c r="K88">
        <v>12.110048665839001</v>
      </c>
      <c r="L88">
        <v>0</v>
      </c>
      <c r="M88">
        <v>1.2381427916924881E-6</v>
      </c>
      <c r="N88">
        <v>0</v>
      </c>
      <c r="O88" s="1">
        <v>1.71913462981867E-11</v>
      </c>
      <c r="P88">
        <v>0</v>
      </c>
      <c r="Q88">
        <v>100</v>
      </c>
      <c r="AJ88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F1C28-A097-47F3-AA0E-014F8599BCA1}">
  <sheetPr codeName="Sheet13"/>
  <dimension ref="A1:AJ118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757</v>
      </c>
      <c r="C2">
        <v>275</v>
      </c>
      <c r="D2">
        <v>0.30264573120419402</v>
      </c>
      <c r="E2">
        <v>4.1076402695702496</v>
      </c>
      <c r="F2">
        <v>0.553927036865275</v>
      </c>
      <c r="G2">
        <v>-89.010242457462667</v>
      </c>
      <c r="H2">
        <v>-52.290062129683577</v>
      </c>
      <c r="I2">
        <v>35.647751270959901</v>
      </c>
      <c r="J2">
        <v>15.858692931172101</v>
      </c>
      <c r="K2">
        <v>7.41548975983509</v>
      </c>
      <c r="L2">
        <v>1.1994105535029585E-3</v>
      </c>
      <c r="M2">
        <v>1.9425669200678956E-4</v>
      </c>
      <c r="N2" s="1">
        <v>5.7782790891415799E-6</v>
      </c>
      <c r="O2" s="1">
        <v>1.1719870032554699E-6</v>
      </c>
      <c r="P2" s="1">
        <v>-4.3493288618910901E-6</v>
      </c>
      <c r="AE2">
        <v>100</v>
      </c>
      <c r="AJ2">
        <v>1</v>
      </c>
    </row>
    <row r="3" spans="1:36" x14ac:dyDescent="0.2">
      <c r="A3">
        <v>2</v>
      </c>
      <c r="B3">
        <v>756</v>
      </c>
      <c r="C3">
        <v>275</v>
      </c>
      <c r="D3">
        <v>0.30190011174270298</v>
      </c>
      <c r="E3">
        <v>4.1142799627835496</v>
      </c>
      <c r="F3">
        <v>0.55459200373927897</v>
      </c>
      <c r="G3">
        <v>-89.1184231958688</v>
      </c>
      <c r="H3">
        <v>-52.390472807811811</v>
      </c>
      <c r="I3">
        <v>35.689942993438599</v>
      </c>
      <c r="J3">
        <v>15.891079690721501</v>
      </c>
      <c r="K3">
        <v>7.41857065201705</v>
      </c>
      <c r="L3">
        <v>1.2000672419984482E-3</v>
      </c>
      <c r="M3">
        <v>1.9390280436198251E-4</v>
      </c>
      <c r="N3" s="1">
        <v>5.8321720736349101E-6</v>
      </c>
      <c r="O3" s="1">
        <v>1.1698117736927599E-6</v>
      </c>
      <c r="P3" s="1">
        <v>-4.3542941746074499E-6</v>
      </c>
      <c r="AE3">
        <v>100</v>
      </c>
      <c r="AJ3">
        <v>1</v>
      </c>
    </row>
    <row r="4" spans="1:36" x14ac:dyDescent="0.2">
      <c r="A4">
        <v>3</v>
      </c>
      <c r="B4">
        <v>755</v>
      </c>
      <c r="C4">
        <v>275</v>
      </c>
      <c r="D4">
        <v>0.30115304187132302</v>
      </c>
      <c r="E4">
        <v>4.1261886931151404</v>
      </c>
      <c r="F4">
        <v>0.55525813201767704</v>
      </c>
      <c r="G4">
        <v>-89.340589822707116</v>
      </c>
      <c r="H4">
        <v>-52.558056813923734</v>
      </c>
      <c r="I4">
        <v>35.777750588270699</v>
      </c>
      <c r="J4">
        <v>15.943837434832799</v>
      </c>
      <c r="K4">
        <v>7.4311179885318301</v>
      </c>
      <c r="L4">
        <v>1.2007185476741171E-3</v>
      </c>
      <c r="M4">
        <v>1.9354819573302138E-4</v>
      </c>
      <c r="N4" s="1">
        <v>5.89378641697375E-6</v>
      </c>
      <c r="O4" s="1">
        <v>1.1691145619047999E-6</v>
      </c>
      <c r="P4" s="1">
        <v>-4.3647769571856301E-6</v>
      </c>
      <c r="AE4">
        <v>100</v>
      </c>
      <c r="AJ4">
        <v>1</v>
      </c>
    </row>
    <row r="5" spans="1:36" x14ac:dyDescent="0.2">
      <c r="A5">
        <v>4</v>
      </c>
      <c r="B5">
        <v>754</v>
      </c>
      <c r="C5">
        <v>275</v>
      </c>
      <c r="D5">
        <v>0.30040451735384299</v>
      </c>
      <c r="E5">
        <v>4.1380246435390804</v>
      </c>
      <c r="F5">
        <v>0.55592542096507103</v>
      </c>
      <c r="G5">
        <v>-89.560990232321728</v>
      </c>
      <c r="H5">
        <v>-52.72481227968504</v>
      </c>
      <c r="I5">
        <v>35.864816223961</v>
      </c>
      <c r="J5">
        <v>15.9963419345696</v>
      </c>
      <c r="K5">
        <v>7.4434887981117699</v>
      </c>
      <c r="L5">
        <v>1.2013644355344702E-3</v>
      </c>
      <c r="M5">
        <v>1.9319286989129213E-4</v>
      </c>
      <c r="N5" s="1">
        <v>5.9556038328503903E-6</v>
      </c>
      <c r="O5" s="1">
        <v>1.1683715214796401E-6</v>
      </c>
      <c r="P5" s="1">
        <v>-4.3751206073244701E-6</v>
      </c>
      <c r="AE5">
        <v>100</v>
      </c>
      <c r="AJ5">
        <v>1</v>
      </c>
    </row>
    <row r="6" spans="1:36" x14ac:dyDescent="0.2">
      <c r="A6">
        <v>5</v>
      </c>
      <c r="B6">
        <v>753</v>
      </c>
      <c r="C6">
        <v>275</v>
      </c>
      <c r="D6">
        <v>0.29965453393753799</v>
      </c>
      <c r="E6">
        <v>4.1497883548761401</v>
      </c>
      <c r="F6">
        <v>0.55659386981720904</v>
      </c>
      <c r="G6">
        <v>-89.779638173267642</v>
      </c>
      <c r="H6">
        <v>-52.890745301299049</v>
      </c>
      <c r="I6">
        <v>35.951145188999099</v>
      </c>
      <c r="J6">
        <v>16.048594628184802</v>
      </c>
      <c r="K6">
        <v>7.4556846201683298</v>
      </c>
      <c r="L6">
        <v>1.2020048706808954E-3</v>
      </c>
      <c r="M6">
        <v>1.9283683065854625E-4</v>
      </c>
      <c r="N6" s="1">
        <v>6.0176211935085703E-6</v>
      </c>
      <c r="O6" s="1">
        <v>1.16758308064522E-6</v>
      </c>
      <c r="P6" s="1">
        <v>-4.3853252242229401E-6</v>
      </c>
      <c r="AE6">
        <v>100</v>
      </c>
      <c r="AJ6">
        <v>1</v>
      </c>
    </row>
    <row r="7" spans="1:36" x14ac:dyDescent="0.2">
      <c r="A7">
        <v>6</v>
      </c>
      <c r="B7">
        <v>752</v>
      </c>
      <c r="C7">
        <v>275</v>
      </c>
      <c r="D7">
        <v>0.29890308735307097</v>
      </c>
      <c r="E7">
        <v>4.1614803613639797</v>
      </c>
      <c r="F7">
        <v>0.55726347778082896</v>
      </c>
      <c r="G7">
        <v>-89.996547231630601</v>
      </c>
      <c r="H7">
        <v>-53.055861898363844</v>
      </c>
      <c r="I7">
        <v>36.036742708748598</v>
      </c>
      <c r="J7">
        <v>16.100596930566599</v>
      </c>
      <c r="K7">
        <v>7.4677069775613196</v>
      </c>
      <c r="L7">
        <v>1.2026398183147555E-3</v>
      </c>
      <c r="M7">
        <v>1.924800819068232E-4</v>
      </c>
      <c r="N7" s="1">
        <v>6.0798353457858903E-6</v>
      </c>
      <c r="O7" s="1">
        <v>1.16674966526741E-6</v>
      </c>
      <c r="P7" s="1">
        <v>-4.3953909059502801E-6</v>
      </c>
      <c r="AE7">
        <v>100</v>
      </c>
      <c r="AJ7">
        <v>1</v>
      </c>
    </row>
    <row r="8" spans="1:36" x14ac:dyDescent="0.2">
      <c r="A8">
        <v>7</v>
      </c>
      <c r="B8">
        <v>751</v>
      </c>
      <c r="C8">
        <v>275</v>
      </c>
      <c r="D8">
        <v>0.29815017331445698</v>
      </c>
      <c r="E8">
        <v>4.17310119098466</v>
      </c>
      <c r="F8">
        <v>0.55793424403356595</v>
      </c>
      <c r="G8">
        <v>-90.211730838410688</v>
      </c>
      <c r="H8">
        <v>-53.2201680179299</v>
      </c>
      <c r="I8">
        <v>36.121613948386504</v>
      </c>
      <c r="J8">
        <v>16.1523502344794</v>
      </c>
      <c r="K8">
        <v>7.4795573772553698</v>
      </c>
      <c r="L8">
        <v>1.2032692437403823E-3</v>
      </c>
      <c r="M8">
        <v>1.9212262755833811E-4</v>
      </c>
      <c r="N8" s="1">
        <v>6.14224311169658E-6</v>
      </c>
      <c r="O8" s="1">
        <v>1.1658716989613999E-6</v>
      </c>
      <c r="P8" s="1">
        <v>-4.4053177498620202E-6</v>
      </c>
      <c r="AE8">
        <v>100</v>
      </c>
      <c r="AJ8">
        <v>1</v>
      </c>
    </row>
    <row r="9" spans="1:36" x14ac:dyDescent="0.2">
      <c r="A9">
        <v>8</v>
      </c>
      <c r="B9">
        <v>750</v>
      </c>
      <c r="C9">
        <v>275</v>
      </c>
      <c r="D9">
        <v>0.29739578751893703</v>
      </c>
      <c r="E9">
        <v>4.1846513653638198</v>
      </c>
      <c r="F9">
        <v>0.55860616772383997</v>
      </c>
      <c r="G9">
        <v>-90.425202267630638</v>
      </c>
      <c r="H9">
        <v>-53.383669533100985</v>
      </c>
      <c r="I9">
        <v>36.205764012127197</v>
      </c>
      <c r="J9">
        <v>16.203855910152701</v>
      </c>
      <c r="K9">
        <v>7.4912373102056398</v>
      </c>
      <c r="L9">
        <v>1.2038931123682386E-3</v>
      </c>
      <c r="M9">
        <v>1.917644715853801E-4</v>
      </c>
      <c r="N9" s="1">
        <v>6.2048412883987002E-6</v>
      </c>
      <c r="O9" s="1">
        <v>1.1649496030815899E-6</v>
      </c>
      <c r="P9" s="1">
        <v>-4.4151058525619402E-6</v>
      </c>
      <c r="AE9">
        <v>100</v>
      </c>
      <c r="AJ9">
        <v>1</v>
      </c>
    </row>
    <row r="10" spans="1:36" x14ac:dyDescent="0.2">
      <c r="A10">
        <v>9</v>
      </c>
      <c r="B10">
        <v>749</v>
      </c>
      <c r="C10">
        <v>275</v>
      </c>
      <c r="D10">
        <v>0.29663992564692099</v>
      </c>
      <c r="E10">
        <v>4.1961314000185901</v>
      </c>
      <c r="F10">
        <v>0.55927924797073003</v>
      </c>
      <c r="G10">
        <v>-90.636974641981752</v>
      </c>
      <c r="H10">
        <v>-53.546372246080693</v>
      </c>
      <c r="I10">
        <v>36.289197945467997</v>
      </c>
      <c r="J10">
        <v>16.2551153062183</v>
      </c>
      <c r="K10">
        <v>7.5027482518682502</v>
      </c>
      <c r="L10">
        <v>1.2045113897179512E-3</v>
      </c>
      <c r="M10">
        <v>1.914056180101959E-4</v>
      </c>
      <c r="N10" s="1">
        <v>6.2676266486920802E-6</v>
      </c>
      <c r="O10" s="1">
        <v>1.16398379680891E-6</v>
      </c>
      <c r="P10" s="1">
        <v>-4.4247553102343802E-6</v>
      </c>
      <c r="AE10">
        <v>100</v>
      </c>
      <c r="AJ10">
        <v>1</v>
      </c>
    </row>
    <row r="11" spans="1:36" x14ac:dyDescent="0.2">
      <c r="A11">
        <v>10</v>
      </c>
      <c r="B11">
        <v>748</v>
      </c>
      <c r="C11">
        <v>275</v>
      </c>
      <c r="D11">
        <v>0.29588258336189799</v>
      </c>
      <c r="E11">
        <v>4.2075418042572297</v>
      </c>
      <c r="F11">
        <v>0.55995348386390498</v>
      </c>
      <c r="G11">
        <v>-90.847060930938341</v>
      </c>
      <c r="H11">
        <v>-53.70828188678211</v>
      </c>
      <c r="I11">
        <v>36.3719207344163</v>
      </c>
      <c r="J11">
        <v>16.3061297493044</v>
      </c>
      <c r="K11">
        <v>7.51409166208503</v>
      </c>
      <c r="L11">
        <v>1.2051240414215599E-3</v>
      </c>
      <c r="M11">
        <v>1.9104607090488277E-4</v>
      </c>
      <c r="N11" s="1">
        <v>6.3305959409995396E-6</v>
      </c>
      <c r="O11" s="1">
        <v>1.1629746971400799E-6</v>
      </c>
      <c r="P11" s="1">
        <v>-4.4342662186067002E-6</v>
      </c>
      <c r="AE11">
        <v>100</v>
      </c>
      <c r="AJ11">
        <v>1</v>
      </c>
    </row>
    <row r="12" spans="1:36" x14ac:dyDescent="0.2">
      <c r="A12">
        <v>11</v>
      </c>
      <c r="B12">
        <v>747</v>
      </c>
      <c r="C12">
        <v>275</v>
      </c>
      <c r="D12">
        <v>0.29512375631034898</v>
      </c>
      <c r="E12">
        <v>4.2188830813474301</v>
      </c>
      <c r="F12">
        <v>0.56062887446346599</v>
      </c>
      <c r="G12">
        <v>-91.055473954673019</v>
      </c>
      <c r="H12">
        <v>-53.869404114862064</v>
      </c>
      <c r="I12">
        <v>36.453937307042203</v>
      </c>
      <c r="J12">
        <v>16.356900544661698</v>
      </c>
      <c r="K12">
        <v>7.5252689854495802</v>
      </c>
      <c r="L12">
        <v>1.2057310332263733E-3</v>
      </c>
      <c r="M12">
        <v>1.9068583439123634E-4</v>
      </c>
      <c r="N12" s="1">
        <v>6.3937458897557399E-6</v>
      </c>
      <c r="O12" s="1">
        <v>1.1619227189510599E-6</v>
      </c>
      <c r="P12" s="1">
        <v>-4.4436386731948897E-6</v>
      </c>
      <c r="AE12">
        <v>100</v>
      </c>
      <c r="AJ12">
        <v>1</v>
      </c>
    </row>
    <row r="13" spans="1:36" x14ac:dyDescent="0.2">
      <c r="A13">
        <v>12</v>
      </c>
      <c r="B13">
        <v>746</v>
      </c>
      <c r="C13">
        <v>275</v>
      </c>
      <c r="D13">
        <v>0.29436344012167098</v>
      </c>
      <c r="E13">
        <v>4.2301557285813098</v>
      </c>
      <c r="F13">
        <v>0.56130541879990004</v>
      </c>
      <c r="G13">
        <v>-91.262226385737776</v>
      </c>
      <c r="H13">
        <v>-54.029744520442925</v>
      </c>
      <c r="I13">
        <v>36.535252534135303</v>
      </c>
      <c r="J13">
        <v>16.407428976401501</v>
      </c>
      <c r="K13">
        <v>7.5362816514859201</v>
      </c>
      <c r="L13">
        <v>1.2063323309982942E-3</v>
      </c>
      <c r="M13">
        <v>1.9032491264064461E-4</v>
      </c>
      <c r="N13" s="1">
        <v>6.45707319566251E-6</v>
      </c>
      <c r="O13" s="1">
        <v>1.16082827503137E-6</v>
      </c>
      <c r="P13" s="1">
        <v>-4.4528727694418098E-6</v>
      </c>
      <c r="AE13">
        <v>100</v>
      </c>
      <c r="AJ13">
        <v>1</v>
      </c>
    </row>
    <row r="14" spans="1:36" x14ac:dyDescent="0.2">
      <c r="A14">
        <v>13</v>
      </c>
      <c r="B14">
        <v>745</v>
      </c>
      <c r="C14">
        <v>275</v>
      </c>
      <c r="D14">
        <v>0.29360163040809401</v>
      </c>
      <c r="E14">
        <v>4.2413602373290296</v>
      </c>
      <c r="F14">
        <v>0.56198311587393401</v>
      </c>
      <c r="G14">
        <v>-91.467330750492124</v>
      </c>
      <c r="H14">
        <v>-54.189308624688067</v>
      </c>
      <c r="I14">
        <v>36.615871229760998</v>
      </c>
      <c r="J14">
        <v>16.457716307681299</v>
      </c>
      <c r="K14">
        <v>7.547131074807</v>
      </c>
      <c r="L14">
        <v>1.2069279007246572E-3</v>
      </c>
      <c r="M14">
        <v>1.8996330987391317E-4</v>
      </c>
      <c r="N14" s="1">
        <v>6.5205745359187999E-6</v>
      </c>
      <c r="O14" s="1">
        <v>1.1596917761142401E-6</v>
      </c>
      <c r="P14" s="1">
        <v>-4.4619686028401E-6</v>
      </c>
      <c r="AE14">
        <v>100</v>
      </c>
      <c r="AJ14">
        <v>1</v>
      </c>
    </row>
    <row r="15" spans="1:36" x14ac:dyDescent="0.2">
      <c r="A15">
        <v>14</v>
      </c>
      <c r="B15">
        <v>744</v>
      </c>
      <c r="C15">
        <v>275</v>
      </c>
      <c r="D15">
        <v>0.29283832276459099</v>
      </c>
      <c r="E15">
        <v>4.2524970930705903</v>
      </c>
      <c r="F15">
        <v>0.56266196465644502</v>
      </c>
      <c r="G15">
        <v>-91.670799430061379</v>
      </c>
      <c r="H15">
        <v>-54.348101880100714</v>
      </c>
      <c r="I15">
        <v>36.6957981516301</v>
      </c>
      <c r="J15">
        <v>16.5077637808124</v>
      </c>
      <c r="K15">
        <v>7.5578186552331097</v>
      </c>
      <c r="L15">
        <v>1.2075177085175582E-3</v>
      </c>
      <c r="M15">
        <v>1.896010303611445E-4</v>
      </c>
      <c r="N15" s="1">
        <v>6.5842465644364603E-6</v>
      </c>
      <c r="O15" s="1">
        <v>1.1585136309008099E-6</v>
      </c>
      <c r="P15" s="1">
        <v>-4.4709262690346302E-6</v>
      </c>
      <c r="AE15">
        <v>100</v>
      </c>
      <c r="AJ15">
        <v>1</v>
      </c>
    </row>
    <row r="16" spans="1:36" x14ac:dyDescent="0.2">
      <c r="A16">
        <v>15</v>
      </c>
      <c r="B16">
        <v>743</v>
      </c>
      <c r="C16">
        <v>275</v>
      </c>
      <c r="D16">
        <v>0.29207351276878402</v>
      </c>
      <c r="E16">
        <v>4.2635667755601396</v>
      </c>
      <c r="F16">
        <v>0.563341964088373</v>
      </c>
      <c r="G16">
        <v>-91.872644664145227</v>
      </c>
      <c r="H16">
        <v>-54.506129672517005</v>
      </c>
      <c r="I16">
        <v>36.775038002607999</v>
      </c>
      <c r="J16">
        <v>16.557572617878002</v>
      </c>
      <c r="K16">
        <v>7.5683457781449697</v>
      </c>
      <c r="L16">
        <v>1.2081017206166231E-3</v>
      </c>
      <c r="M16">
        <v>1.8923807842155036E-4</v>
      </c>
      <c r="N16" s="1">
        <v>6.6480859122634201E-6</v>
      </c>
      <c r="O16" s="1">
        <v>1.1572942461192599E-6</v>
      </c>
      <c r="P16" s="1">
        <v>-4.4797458640611702E-6</v>
      </c>
      <c r="AE16">
        <v>100</v>
      </c>
      <c r="AJ16">
        <v>1</v>
      </c>
    </row>
    <row r="17" spans="1:36" x14ac:dyDescent="0.2">
      <c r="A17">
        <v>16</v>
      </c>
      <c r="B17">
        <v>742</v>
      </c>
      <c r="C17">
        <v>275</v>
      </c>
      <c r="D17">
        <v>0.291307195980888</v>
      </c>
      <c r="E17">
        <v>4.2745697588038398</v>
      </c>
      <c r="F17">
        <v>0.56402311308061603</v>
      </c>
      <c r="G17">
        <v>-92.072878550804163</v>
      </c>
      <c r="H17">
        <v>-54.663397320719206</v>
      </c>
      <c r="I17">
        <v>36.853595430615698</v>
      </c>
      <c r="J17">
        <v>16.607144020632099</v>
      </c>
      <c r="K17">
        <v>7.5787138145043897</v>
      </c>
      <c r="L17">
        <v>1.2086799033924219E-3</v>
      </c>
      <c r="M17">
        <v>1.8887445842331584E-4</v>
      </c>
      <c r="N17" s="1">
        <v>6.7120891877276703E-6</v>
      </c>
      <c r="O17" s="1">
        <v>1.1560340265331001E-6</v>
      </c>
      <c r="P17" s="1">
        <v>-4.4884274843912304E-6</v>
      </c>
      <c r="AE17">
        <v>100</v>
      </c>
      <c r="AJ17">
        <v>1</v>
      </c>
    </row>
    <row r="18" spans="1:36" x14ac:dyDescent="0.2">
      <c r="A18">
        <v>17</v>
      </c>
      <c r="B18">
        <v>741</v>
      </c>
      <c r="C18">
        <v>275</v>
      </c>
      <c r="D18">
        <v>0.29053936794360102</v>
      </c>
      <c r="E18">
        <v>4.5644510622545598</v>
      </c>
      <c r="F18">
        <v>0.56470541051391998</v>
      </c>
      <c r="G18">
        <v>-98.277485906277064</v>
      </c>
      <c r="H18">
        <v>-58.388149950266452</v>
      </c>
      <c r="I18">
        <v>39.335352773453501</v>
      </c>
      <c r="J18">
        <v>17.740653023608999</v>
      </c>
      <c r="K18">
        <v>8.0828888430528707</v>
      </c>
      <c r="L18">
        <v>1.2092522233491973E-3</v>
      </c>
      <c r="M18">
        <v>1.8851017478340308E-4</v>
      </c>
      <c r="N18" s="1">
        <v>7.2173207571661601E-6</v>
      </c>
      <c r="O18" s="1">
        <v>1.22989522156369E-6</v>
      </c>
      <c r="P18" s="1">
        <v>-4.7896800625603199E-6</v>
      </c>
      <c r="AE18">
        <v>100</v>
      </c>
      <c r="AJ18">
        <v>1</v>
      </c>
    </row>
    <row r="19" spans="1:36" x14ac:dyDescent="0.2">
      <c r="A19">
        <v>18</v>
      </c>
      <c r="B19">
        <v>740</v>
      </c>
      <c r="C19">
        <v>275</v>
      </c>
      <c r="D19">
        <v>0.28977002418201098</v>
      </c>
      <c r="E19">
        <v>6.1241543608832503</v>
      </c>
      <c r="F19">
        <v>0.56538885523881099</v>
      </c>
      <c r="G19">
        <v>-131.80679198922604</v>
      </c>
      <c r="H19">
        <v>-78.363576922080043</v>
      </c>
      <c r="I19">
        <v>52.753017504157697</v>
      </c>
      <c r="J19">
        <v>23.812513217485201</v>
      </c>
      <c r="K19">
        <v>10.8317564170883</v>
      </c>
      <c r="L19">
        <v>1.2098186471282174E-3</v>
      </c>
      <c r="M19">
        <v>1.881452319673947E-4</v>
      </c>
      <c r="N19" s="1">
        <v>9.7507097963605794E-6</v>
      </c>
      <c r="O19" s="1">
        <v>1.6440722200492199E-6</v>
      </c>
      <c r="P19" s="1">
        <v>-6.4220672869546104E-6</v>
      </c>
      <c r="AE19">
        <v>100</v>
      </c>
      <c r="AJ19">
        <v>1</v>
      </c>
    </row>
    <row r="20" spans="1:36" x14ac:dyDescent="0.2">
      <c r="A20">
        <v>19</v>
      </c>
      <c r="B20">
        <v>739</v>
      </c>
      <c r="C20">
        <v>275</v>
      </c>
      <c r="D20">
        <v>0.28899916020352701</v>
      </c>
      <c r="E20">
        <v>7.0997903390634098</v>
      </c>
      <c r="F20">
        <v>0.56607344607547905</v>
      </c>
      <c r="G20">
        <v>-152.74372286767681</v>
      </c>
      <c r="H20">
        <v>-90.875251016097934</v>
      </c>
      <c r="I20">
        <v>61.129807624944803</v>
      </c>
      <c r="J20">
        <v>27.617364880565599</v>
      </c>
      <c r="K20">
        <v>12.542171670982601</v>
      </c>
      <c r="L20">
        <v>1.2103791415105356E-3</v>
      </c>
      <c r="M20">
        <v>1.8777963448927701E-4</v>
      </c>
      <c r="N20" s="1">
        <v>1.13820084956051E-5</v>
      </c>
      <c r="O20" s="1">
        <v>1.89893162899915E-6</v>
      </c>
      <c r="P20" s="1">
        <v>-7.4401146315136496E-6</v>
      </c>
      <c r="AE20">
        <v>100</v>
      </c>
      <c r="AJ20">
        <v>1</v>
      </c>
    </row>
    <row r="21" spans="1:36" x14ac:dyDescent="0.2">
      <c r="A21">
        <v>20</v>
      </c>
      <c r="B21">
        <v>738</v>
      </c>
      <c r="C21">
        <v>275</v>
      </c>
      <c r="D21">
        <v>0.28822677149780002</v>
      </c>
      <c r="E21">
        <v>9.5358277580470503</v>
      </c>
      <c r="F21">
        <v>0.56675918181370799</v>
      </c>
      <c r="G21">
        <v>-205.07014569416592</v>
      </c>
      <c r="H21">
        <v>-122.0929221764561</v>
      </c>
      <c r="I21">
        <v>82.067626468792795</v>
      </c>
      <c r="J21">
        <v>37.108403076916602</v>
      </c>
      <c r="K21">
        <v>16.8251844240636</v>
      </c>
      <c r="L21">
        <v>1.2109336734201098E-3</v>
      </c>
      <c r="M21">
        <v>1.8741338691124579E-4</v>
      </c>
      <c r="N21" s="1">
        <v>1.53920266066288E-5</v>
      </c>
      <c r="O21" s="1">
        <v>2.54100236063287E-6</v>
      </c>
      <c r="P21" s="1">
        <v>-9.9860208069971594E-6</v>
      </c>
      <c r="AE21">
        <v>100</v>
      </c>
      <c r="AJ21">
        <v>1</v>
      </c>
    </row>
    <row r="22" spans="1:36" x14ac:dyDescent="0.2">
      <c r="A22">
        <v>21</v>
      </c>
      <c r="B22">
        <v>737</v>
      </c>
      <c r="C22">
        <v>275</v>
      </c>
      <c r="D22">
        <v>0.28745285353660599</v>
      </c>
      <c r="E22">
        <v>10.129095085404501</v>
      </c>
      <c r="F22">
        <v>0.56744606121277097</v>
      </c>
      <c r="G22">
        <v>-217.74134063204792</v>
      </c>
      <c r="H22">
        <v>-129.72830470703573</v>
      </c>
      <c r="I22">
        <v>87.134418071789</v>
      </c>
      <c r="J22">
        <v>39.433126201115499</v>
      </c>
      <c r="K22">
        <v>17.850322308619401</v>
      </c>
      <c r="L22">
        <v>1.2114822099271985E-3</v>
      </c>
      <c r="M22">
        <v>1.8704649384357149E-4</v>
      </c>
      <c r="N22" s="1">
        <v>1.64608760467653E-5</v>
      </c>
      <c r="O22" s="1">
        <v>2.6890197700109699E-6</v>
      </c>
      <c r="P22" s="1">
        <v>-1.05998384714546E-5</v>
      </c>
      <c r="AE22">
        <v>100</v>
      </c>
      <c r="AJ22">
        <v>1</v>
      </c>
    </row>
    <row r="23" spans="1:36" x14ac:dyDescent="0.2">
      <c r="A23">
        <v>22</v>
      </c>
      <c r="B23">
        <v>736</v>
      </c>
      <c r="C23">
        <v>275</v>
      </c>
      <c r="D23">
        <v>0.28667740177377199</v>
      </c>
      <c r="E23">
        <v>10.3396200904702</v>
      </c>
      <c r="F23">
        <v>0.56813408300133506</v>
      </c>
      <c r="G23">
        <v>-222.17799184208405</v>
      </c>
      <c r="H23">
        <v>-132.46486291748693</v>
      </c>
      <c r="I23">
        <v>88.905560015991995</v>
      </c>
      <c r="J23">
        <v>40.269048741603797</v>
      </c>
      <c r="K23">
        <v>18.199260350387998</v>
      </c>
      <c r="L23">
        <v>1.2120247182506813E-3</v>
      </c>
      <c r="M23">
        <v>1.8667895994427741E-4</v>
      </c>
      <c r="N23" s="1">
        <v>1.6916586946771499E-5</v>
      </c>
      <c r="O23" s="1">
        <v>2.7346289190877399E-6</v>
      </c>
      <c r="P23" s="1">
        <v>-1.08124037760475E-5</v>
      </c>
      <c r="AE23">
        <v>100</v>
      </c>
      <c r="AJ23">
        <v>1</v>
      </c>
    </row>
    <row r="24" spans="1:36" x14ac:dyDescent="0.2">
      <c r="A24">
        <v>23</v>
      </c>
      <c r="B24">
        <v>757</v>
      </c>
      <c r="C24">
        <v>250</v>
      </c>
      <c r="D24">
        <v>0.32934087268844398</v>
      </c>
      <c r="E24">
        <v>4.5176278982920897</v>
      </c>
      <c r="F24">
        <v>0.52549226320365605</v>
      </c>
      <c r="G24">
        <v>-98.103650336333061</v>
      </c>
      <c r="H24">
        <v>-57.44977000441979</v>
      </c>
      <c r="I24">
        <v>39.466549139456099</v>
      </c>
      <c r="J24">
        <v>17.611651266283701</v>
      </c>
      <c r="K24">
        <v>8.5969446452939895</v>
      </c>
      <c r="L24">
        <v>1.2950816462789501E-3</v>
      </c>
      <c r="M24">
        <v>2.2896420068120721E-4</v>
      </c>
      <c r="N24" s="1">
        <v>6.8115863827103397E-6</v>
      </c>
      <c r="O24" s="1">
        <v>1.82444814815493E-6</v>
      </c>
      <c r="P24" s="1">
        <v>-6.10253492595572E-6</v>
      </c>
      <c r="AE24">
        <v>100</v>
      </c>
      <c r="AJ24">
        <v>1</v>
      </c>
    </row>
    <row r="25" spans="1:36" x14ac:dyDescent="0.2">
      <c r="A25">
        <v>24</v>
      </c>
      <c r="B25">
        <v>756</v>
      </c>
      <c r="C25">
        <v>250</v>
      </c>
      <c r="D25">
        <v>0.32862119224602798</v>
      </c>
      <c r="E25">
        <v>4.5225881158471903</v>
      </c>
      <c r="F25">
        <v>0.52617349171939898</v>
      </c>
      <c r="G25">
        <v>-98.171863829757399</v>
      </c>
      <c r="H25">
        <v>-57.530483445502192</v>
      </c>
      <c r="I25">
        <v>39.492754687746</v>
      </c>
      <c r="J25">
        <v>17.639703601076601</v>
      </c>
      <c r="K25">
        <v>8.5952412788195307</v>
      </c>
      <c r="L25">
        <v>1.2959633878440583E-3</v>
      </c>
      <c r="M25">
        <v>2.2855032405439389E-4</v>
      </c>
      <c r="N25" s="1">
        <v>6.8844157873138904E-6</v>
      </c>
      <c r="O25" s="1">
        <v>1.8202495703179601E-6</v>
      </c>
      <c r="P25" s="1">
        <v>-6.1079804294649896E-6</v>
      </c>
      <c r="AE25">
        <v>100</v>
      </c>
      <c r="AJ25">
        <v>1</v>
      </c>
    </row>
    <row r="26" spans="1:36" x14ac:dyDescent="0.2">
      <c r="A26">
        <v>25</v>
      </c>
      <c r="B26">
        <v>755</v>
      </c>
      <c r="C26">
        <v>250</v>
      </c>
      <c r="D26">
        <v>0.32790011185138401</v>
      </c>
      <c r="E26">
        <v>4.53381975208573</v>
      </c>
      <c r="F26">
        <v>0.52685606622883996</v>
      </c>
      <c r="G26">
        <v>-98.376086828281885</v>
      </c>
      <c r="H26">
        <v>-57.691045586969146</v>
      </c>
      <c r="I26">
        <v>39.573637865470303</v>
      </c>
      <c r="J26">
        <v>17.692235565713901</v>
      </c>
      <c r="K26">
        <v>8.60542383907271</v>
      </c>
      <c r="L26">
        <v>1.2968387578846607E-3</v>
      </c>
      <c r="M26">
        <v>2.2813534073467379E-4</v>
      </c>
      <c r="N26" s="1">
        <v>6.9671554995549002E-6</v>
      </c>
      <c r="O26" s="1">
        <v>1.81854617844546E-6</v>
      </c>
      <c r="P26" s="1">
        <v>-6.1218130202588996E-6</v>
      </c>
      <c r="AE26">
        <v>100</v>
      </c>
      <c r="AJ26">
        <v>1</v>
      </c>
    </row>
    <row r="27" spans="1:36" x14ac:dyDescent="0.2">
      <c r="A27">
        <v>26</v>
      </c>
      <c r="B27">
        <v>754</v>
      </c>
      <c r="C27">
        <v>250</v>
      </c>
      <c r="D27">
        <v>0.32717762741566497</v>
      </c>
      <c r="E27">
        <v>4.5449881122019304</v>
      </c>
      <c r="F27">
        <v>0.52753998630330401</v>
      </c>
      <c r="G27">
        <v>-98.578758532258149</v>
      </c>
      <c r="H27">
        <v>-57.850898694337239</v>
      </c>
      <c r="I27">
        <v>39.653858500913103</v>
      </c>
      <c r="J27">
        <v>17.744551049041601</v>
      </c>
      <c r="K27">
        <v>8.6154381283029995</v>
      </c>
      <c r="L27">
        <v>1.2977077046387245E-3</v>
      </c>
      <c r="M27">
        <v>2.2771925480444125E-4</v>
      </c>
      <c r="N27" s="1">
        <v>7.0502491282224497E-6</v>
      </c>
      <c r="O27" s="1">
        <v>1.8167800206607899E-6</v>
      </c>
      <c r="P27" s="1">
        <v>-6.1354746514747099E-6</v>
      </c>
      <c r="AE27">
        <v>100</v>
      </c>
      <c r="AJ27">
        <v>1</v>
      </c>
    </row>
    <row r="28" spans="1:36" x14ac:dyDescent="0.2">
      <c r="A28">
        <v>27</v>
      </c>
      <c r="B28">
        <v>753</v>
      </c>
      <c r="C28">
        <v>250</v>
      </c>
      <c r="D28">
        <v>0.32645373483409301</v>
      </c>
      <c r="E28">
        <v>4.5560936941009498</v>
      </c>
      <c r="F28">
        <v>0.528225251476656</v>
      </c>
      <c r="G28">
        <v>-98.779891545772955</v>
      </c>
      <c r="H28">
        <v>-58.01004841777614</v>
      </c>
      <c r="I28">
        <v>39.733421434083503</v>
      </c>
      <c r="J28">
        <v>17.796651239753299</v>
      </c>
      <c r="K28">
        <v>8.6252856737998798</v>
      </c>
      <c r="L28">
        <v>1.2985701764441143E-3</v>
      </c>
      <c r="M28">
        <v>2.2730207043318774E-4</v>
      </c>
      <c r="N28" s="1">
        <v>7.1336923090340396E-6</v>
      </c>
      <c r="O28" s="1">
        <v>1.8149516189067001E-6</v>
      </c>
      <c r="P28" s="1">
        <v>-6.1489650342432796E-6</v>
      </c>
      <c r="AE28">
        <v>100</v>
      </c>
      <c r="AJ28">
        <v>1</v>
      </c>
    </row>
    <row r="29" spans="1:36" x14ac:dyDescent="0.2">
      <c r="A29">
        <v>28</v>
      </c>
      <c r="B29">
        <v>752</v>
      </c>
      <c r="C29">
        <v>250</v>
      </c>
      <c r="D29">
        <v>0.32572842998585799</v>
      </c>
      <c r="E29">
        <v>4.5671369903706003</v>
      </c>
      <c r="F29">
        <v>0.52891186124509804</v>
      </c>
      <c r="G29">
        <v>-98.979498339151505</v>
      </c>
      <c r="H29">
        <v>-58.168500346359956</v>
      </c>
      <c r="I29">
        <v>39.812331452989</v>
      </c>
      <c r="J29">
        <v>17.848537307156398</v>
      </c>
      <c r="K29">
        <v>8.6349679880863608</v>
      </c>
      <c r="L29">
        <v>1.2994261217443423E-3</v>
      </c>
      <c r="M29">
        <v>2.2688379187760327E-4</v>
      </c>
      <c r="N29" s="1">
        <v>7.2174806236023104E-6</v>
      </c>
      <c r="O29" s="1">
        <v>1.81306149347021E-6</v>
      </c>
      <c r="P29" s="1">
        <v>-6.1622838796432198E-6</v>
      </c>
      <c r="AE29">
        <v>100</v>
      </c>
      <c r="AJ29">
        <v>1</v>
      </c>
    </row>
    <row r="30" spans="1:36" x14ac:dyDescent="0.2">
      <c r="A30">
        <v>29</v>
      </c>
      <c r="B30">
        <v>751</v>
      </c>
      <c r="C30">
        <v>250</v>
      </c>
      <c r="D30">
        <v>0.32500170873407402</v>
      </c>
      <c r="E30">
        <v>4.5781184885207997</v>
      </c>
      <c r="F30">
        <v>0.52959981506698395</v>
      </c>
      <c r="G30">
        <v>-99.177591254392425</v>
      </c>
      <c r="H30">
        <v>-58.326260011020473</v>
      </c>
      <c r="I30">
        <v>39.890593295805999</v>
      </c>
      <c r="J30">
        <v>17.900210402098001</v>
      </c>
      <c r="K30">
        <v>8.6444865694331092</v>
      </c>
      <c r="L30">
        <v>1.3002754890942478E-3</v>
      </c>
      <c r="M30">
        <v>2.264644234816708E-4</v>
      </c>
      <c r="N30" s="1">
        <v>7.30160960002552E-6</v>
      </c>
      <c r="O30" s="1">
        <v>1.8111101631053301E-6</v>
      </c>
      <c r="P30" s="1">
        <v>-6.1754308991886204E-6</v>
      </c>
      <c r="AE30">
        <v>100</v>
      </c>
      <c r="AJ30">
        <v>1</v>
      </c>
    </row>
    <row r="31" spans="1:36" x14ac:dyDescent="0.2">
      <c r="A31">
        <v>30</v>
      </c>
      <c r="B31">
        <v>750</v>
      </c>
      <c r="C31">
        <v>250</v>
      </c>
      <c r="D31">
        <v>0.324273566925672</v>
      </c>
      <c r="E31">
        <v>4.5890386707709698</v>
      </c>
      <c r="F31">
        <v>0.53028911236263798</v>
      </c>
      <c r="G31">
        <v>-99.374182500800174</v>
      </c>
      <c r="H31">
        <v>-58.483332881746676</v>
      </c>
      <c r="I31">
        <v>39.968211649103402</v>
      </c>
      <c r="J31">
        <v>17.951671656131701</v>
      </c>
      <c r="K31">
        <v>8.6538429015166205</v>
      </c>
      <c r="L31">
        <v>1.3011182271658579E-3</v>
      </c>
      <c r="M31">
        <v>2.2604396967675723E-4</v>
      </c>
      <c r="N31" s="1">
        <v>7.3860747127843204E-6</v>
      </c>
      <c r="O31" s="1">
        <v>1.8090981449752901E-6</v>
      </c>
      <c r="P31" s="1">
        <v>-6.1884058047075497E-6</v>
      </c>
      <c r="AE31">
        <v>100</v>
      </c>
      <c r="AJ31">
        <v>1</v>
      </c>
    </row>
    <row r="32" spans="1:36" x14ac:dyDescent="0.2">
      <c r="A32">
        <v>31</v>
      </c>
      <c r="B32">
        <v>749</v>
      </c>
      <c r="C32">
        <v>250</v>
      </c>
      <c r="D32">
        <v>0.32354400039133302</v>
      </c>
      <c r="E32">
        <v>4.5998980145351602</v>
      </c>
      <c r="F32">
        <v>0.53097975251415996</v>
      </c>
      <c r="G32">
        <v>-99.569284165732824</v>
      </c>
      <c r="H32">
        <v>-58.639724373671676</v>
      </c>
      <c r="I32">
        <v>40.045191152150998</v>
      </c>
      <c r="J32">
        <v>18.002922183407801</v>
      </c>
      <c r="K32">
        <v>8.6630384543947194</v>
      </c>
      <c r="L32">
        <v>1.3019542847538938E-3</v>
      </c>
      <c r="M32">
        <v>2.2562243498164985E-4</v>
      </c>
      <c r="N32" s="1">
        <v>7.4708713837747302E-6</v>
      </c>
      <c r="O32" s="1">
        <v>1.8070259548697399E-6</v>
      </c>
      <c r="P32" s="1">
        <v>-6.20120830916145E-6</v>
      </c>
      <c r="AE32">
        <v>100</v>
      </c>
      <c r="AJ32">
        <v>1</v>
      </c>
    </row>
    <row r="33" spans="1:36" x14ac:dyDescent="0.2">
      <c r="A33">
        <v>32</v>
      </c>
      <c r="B33">
        <v>748</v>
      </c>
      <c r="C33">
        <v>250</v>
      </c>
      <c r="D33">
        <v>0.32281300494540499</v>
      </c>
      <c r="E33">
        <v>4.6106969920538496</v>
      </c>
      <c r="F33">
        <v>0.53167173486526598</v>
      </c>
      <c r="G33">
        <v>-99.762908206858881</v>
      </c>
      <c r="H33">
        <v>-58.795439842291152</v>
      </c>
      <c r="I33">
        <v>40.121536393787203</v>
      </c>
      <c r="J33">
        <v>18.053963079236102</v>
      </c>
      <c r="K33">
        <v>8.6720746838691305</v>
      </c>
      <c r="L33">
        <v>1.3027836107818854E-3</v>
      </c>
      <c r="M33">
        <v>2.2519982400264784E-4</v>
      </c>
      <c r="N33" s="1">
        <v>7.5559949819837903E-6</v>
      </c>
      <c r="O33" s="1">
        <v>1.8048941070839501E-6</v>
      </c>
      <c r="P33" s="1">
        <v>-6.21383812631434E-6</v>
      </c>
      <c r="AE33">
        <v>100</v>
      </c>
      <c r="AJ33">
        <v>1</v>
      </c>
    </row>
    <row r="34" spans="1:36" x14ac:dyDescent="0.2">
      <c r="A34">
        <v>33</v>
      </c>
      <c r="B34">
        <v>747</v>
      </c>
      <c r="C34">
        <v>250</v>
      </c>
      <c r="D34">
        <v>0.32208057638582899</v>
      </c>
      <c r="E34">
        <v>4.6214360707000699</v>
      </c>
      <c r="F34">
        <v>0.53236505872108797</v>
      </c>
      <c r="G34">
        <v>-99.955066459018155</v>
      </c>
      <c r="H34">
        <v>-58.950484587273145</v>
      </c>
      <c r="I34">
        <v>40.197251915162802</v>
      </c>
      <c r="J34">
        <v>18.104795421274599</v>
      </c>
      <c r="K34">
        <v>8.6809530321209305</v>
      </c>
      <c r="L34">
        <v>1.3036061543077362E-3</v>
      </c>
      <c r="M34">
        <v>2.2477614143356751E-4</v>
      </c>
      <c r="N34" s="1">
        <v>7.6414408242662895E-6</v>
      </c>
      <c r="O34" s="1">
        <v>1.80270311456307E-6</v>
      </c>
      <c r="P34" s="1">
        <v>-6.2262949713105304E-6</v>
      </c>
      <c r="AE34">
        <v>100</v>
      </c>
      <c r="AJ34">
        <v>1</v>
      </c>
    </row>
    <row r="35" spans="1:36" x14ac:dyDescent="0.2">
      <c r="A35">
        <v>34</v>
      </c>
      <c r="B35">
        <v>746</v>
      </c>
      <c r="C35">
        <v>250</v>
      </c>
      <c r="D35">
        <v>0.32134671049404001</v>
      </c>
      <c r="E35">
        <v>4.632115713098</v>
      </c>
      <c r="F35">
        <v>0.53305972334802598</v>
      </c>
      <c r="G35">
        <v>-100.14577063701317</v>
      </c>
      <c r="H35">
        <v>-59.104863853883209</v>
      </c>
      <c r="I35">
        <v>40.272342210847697</v>
      </c>
      <c r="J35">
        <v>18.155420269997801</v>
      </c>
      <c r="K35">
        <v>8.6896749279888308</v>
      </c>
      <c r="L35">
        <v>1.3044218645294639E-3</v>
      </c>
      <c r="M35">
        <v>2.2435139205577128E-4</v>
      </c>
      <c r="N35" s="1">
        <v>7.7272041758630308E-6</v>
      </c>
      <c r="O35" s="1">
        <v>1.8004534889707201E-6</v>
      </c>
      <c r="P35" s="1">
        <v>-6.2385785610004196E-6</v>
      </c>
      <c r="AE35">
        <v>100</v>
      </c>
      <c r="AJ35">
        <v>1</v>
      </c>
    </row>
    <row r="36" spans="1:36" x14ac:dyDescent="0.2">
      <c r="A36">
        <v>35</v>
      </c>
      <c r="B36">
        <v>745</v>
      </c>
      <c r="C36">
        <v>250</v>
      </c>
      <c r="D36">
        <v>0.32061140303491598</v>
      </c>
      <c r="E36">
        <v>5.05313854446241</v>
      </c>
      <c r="F36">
        <v>0.53375572797354398</v>
      </c>
      <c r="G36">
        <v>-109.20430928500144</v>
      </c>
      <c r="H36">
        <v>-64.496840802470359</v>
      </c>
      <c r="I36">
        <v>43.9133332011044</v>
      </c>
      <c r="J36">
        <v>19.815173130303499</v>
      </c>
      <c r="K36">
        <v>9.46713689358827</v>
      </c>
      <c r="L36">
        <v>1.3052306907911386E-3</v>
      </c>
      <c r="M36">
        <v>2.2392558073817517E-4</v>
      </c>
      <c r="N36" s="1">
        <v>8.5039477554976307E-6</v>
      </c>
      <c r="O36" s="1">
        <v>1.95709573253317E-6</v>
      </c>
      <c r="P36" s="1">
        <v>-6.8032283118655299E-6</v>
      </c>
      <c r="AE36">
        <v>100</v>
      </c>
      <c r="AJ36">
        <v>1</v>
      </c>
    </row>
    <row r="37" spans="1:36" x14ac:dyDescent="0.2">
      <c r="A37">
        <v>36</v>
      </c>
      <c r="B37">
        <v>744</v>
      </c>
      <c r="C37">
        <v>250</v>
      </c>
      <c r="D37">
        <v>0.31987464975667701</v>
      </c>
      <c r="E37">
        <v>6.5162475765570296</v>
      </c>
      <c r="F37">
        <v>0.53445307178602697</v>
      </c>
      <c r="G37">
        <v>-140.76721284375017</v>
      </c>
      <c r="H37">
        <v>-83.197112166332502</v>
      </c>
      <c r="I37">
        <v>56.603086736886802</v>
      </c>
      <c r="J37">
        <v>25.564865841462002</v>
      </c>
      <c r="K37">
        <v>12.192366216141499</v>
      </c>
      <c r="L37">
        <v>1.3060325825887274E-3</v>
      </c>
      <c r="M37">
        <v>2.2349871243725609E-4</v>
      </c>
      <c r="N37" s="1">
        <v>1.10622964763857E-5</v>
      </c>
      <c r="O37" s="1">
        <v>2.51472143950026E-6</v>
      </c>
      <c r="P37" s="1">
        <v>-8.7698680562362704E-6</v>
      </c>
      <c r="AE37">
        <v>100</v>
      </c>
      <c r="AJ37">
        <v>1</v>
      </c>
    </row>
    <row r="38" spans="1:36" x14ac:dyDescent="0.2">
      <c r="A38">
        <v>37</v>
      </c>
      <c r="B38">
        <v>743</v>
      </c>
      <c r="C38">
        <v>250</v>
      </c>
      <c r="D38">
        <v>0.31913644639078897</v>
      </c>
      <c r="E38">
        <v>7.3969907717491701</v>
      </c>
      <c r="F38">
        <v>0.53515175393459302</v>
      </c>
      <c r="G38">
        <v>-159.72922493108857</v>
      </c>
      <c r="H38">
        <v>-94.471152646601794</v>
      </c>
      <c r="I38">
        <v>64.225070409716693</v>
      </c>
      <c r="J38">
        <v>29.034196051701201</v>
      </c>
      <c r="K38">
        <v>13.8222302690112</v>
      </c>
      <c r="L38">
        <v>1.30682748957556E-3</v>
      </c>
      <c r="M38">
        <v>2.2307079219698701E-4</v>
      </c>
      <c r="N38" s="1">
        <v>1.2666695240848301E-5</v>
      </c>
      <c r="O38" s="1">
        <v>2.8443425083668898E-6</v>
      </c>
      <c r="P38" s="1">
        <v>-9.9514466858361604E-6</v>
      </c>
      <c r="AE38">
        <v>100</v>
      </c>
      <c r="AJ38">
        <v>1</v>
      </c>
    </row>
    <row r="39" spans="1:36" x14ac:dyDescent="0.2">
      <c r="A39">
        <v>38</v>
      </c>
      <c r="B39">
        <v>742</v>
      </c>
      <c r="C39">
        <v>250</v>
      </c>
      <c r="D39">
        <v>0.318396788651924</v>
      </c>
      <c r="E39">
        <v>9.6322987321051698</v>
      </c>
      <c r="F39">
        <v>0.53585177352894597</v>
      </c>
      <c r="G39">
        <v>-207.91442910421722</v>
      </c>
      <c r="H39">
        <v>-123.05735198251494</v>
      </c>
      <c r="I39">
        <v>83.596108274173901</v>
      </c>
      <c r="J39">
        <v>37.826221537198997</v>
      </c>
      <c r="K39">
        <v>17.975677618215101</v>
      </c>
      <c r="L39">
        <v>1.3076153615686316E-3</v>
      </c>
      <c r="M39">
        <v>2.2264182514884905E-4</v>
      </c>
      <c r="N39" s="1">
        <v>1.6636851366169801E-5</v>
      </c>
      <c r="O39" s="1">
        <v>3.6904923141122199E-6</v>
      </c>
      <c r="P39" s="1">
        <v>-1.29536074670153E-5</v>
      </c>
      <c r="AE39">
        <v>100</v>
      </c>
      <c r="AJ39">
        <v>1</v>
      </c>
    </row>
    <row r="40" spans="1:36" x14ac:dyDescent="0.2">
      <c r="A40">
        <v>39</v>
      </c>
      <c r="B40">
        <v>741</v>
      </c>
      <c r="C40">
        <v>250</v>
      </c>
      <c r="D40">
        <v>0.31765567223783697</v>
      </c>
      <c r="E40">
        <v>10.1772076798201</v>
      </c>
      <c r="F40">
        <v>0.53655312963919899</v>
      </c>
      <c r="G40">
        <v>-219.5880545442858</v>
      </c>
      <c r="H40">
        <v>-130.05880734748345</v>
      </c>
      <c r="I40">
        <v>88.285826771176701</v>
      </c>
      <c r="J40">
        <v>39.985215705776497</v>
      </c>
      <c r="K40">
        <v>18.967753830200799</v>
      </c>
      <c r="L40">
        <v>1.3083961485540507E-3</v>
      </c>
      <c r="M40">
        <v>2.2221181651174392E-4</v>
      </c>
      <c r="N40" s="1">
        <v>1.77286403170364E-5</v>
      </c>
      <c r="O40" s="1">
        <v>3.8851121817075397E-6</v>
      </c>
      <c r="P40" s="1">
        <v>-1.36808481904747E-5</v>
      </c>
      <c r="AE40">
        <v>100</v>
      </c>
      <c r="AJ40">
        <v>1</v>
      </c>
    </row>
    <row r="41" spans="1:36" x14ac:dyDescent="0.2">
      <c r="A41">
        <v>40</v>
      </c>
      <c r="B41">
        <v>740</v>
      </c>
      <c r="C41">
        <v>250</v>
      </c>
      <c r="D41">
        <v>0.31691309282929903</v>
      </c>
      <c r="E41">
        <v>10.3718214146955</v>
      </c>
      <c r="F41">
        <v>0.53725582129572502</v>
      </c>
      <c r="G41">
        <v>-223.69717489263437</v>
      </c>
      <c r="H41">
        <v>-132.5866174896662</v>
      </c>
      <c r="I41">
        <v>89.933862504154803</v>
      </c>
      <c r="J41">
        <v>40.769286849517897</v>
      </c>
      <c r="K41">
        <v>19.305182007486302</v>
      </c>
      <c r="L41">
        <v>1.309169800692835E-3</v>
      </c>
      <c r="M41">
        <v>2.2178077159190821E-4</v>
      </c>
      <c r="N41" s="1">
        <v>1.82213392736302E-5</v>
      </c>
      <c r="O41" s="1">
        <v>3.9449682834818802E-6</v>
      </c>
      <c r="P41" s="1">
        <v>-1.3936603154610501E-5</v>
      </c>
      <c r="AE41">
        <v>100</v>
      </c>
      <c r="AJ41">
        <v>1</v>
      </c>
    </row>
    <row r="42" spans="1:36" x14ac:dyDescent="0.2">
      <c r="A42">
        <v>41</v>
      </c>
      <c r="B42">
        <v>757</v>
      </c>
      <c r="C42">
        <v>225</v>
      </c>
      <c r="D42">
        <v>0.35603601417269398</v>
      </c>
      <c r="E42">
        <v>4.9198077249041603</v>
      </c>
      <c r="F42">
        <v>0.49351610243928701</v>
      </c>
      <c r="G42">
        <v>-107.07861021739478</v>
      </c>
      <c r="H42">
        <v>-62.469908374432634</v>
      </c>
      <c r="I42">
        <v>43.305846002090099</v>
      </c>
      <c r="J42">
        <v>19.3722374566103</v>
      </c>
      <c r="K42">
        <v>9.9688899725605093</v>
      </c>
      <c r="L42">
        <v>1.4066547857104819E-3</v>
      </c>
      <c r="M42">
        <v>2.7568331144484353E-4</v>
      </c>
      <c r="N42" s="1">
        <v>7.4211001086049399E-6</v>
      </c>
      <c r="O42" s="1">
        <v>2.9283389015500699E-6</v>
      </c>
      <c r="P42" s="1">
        <v>-8.6496851596196E-6</v>
      </c>
      <c r="AE42">
        <v>100</v>
      </c>
      <c r="AJ42">
        <v>1</v>
      </c>
    </row>
    <row r="43" spans="1:36" x14ac:dyDescent="0.2">
      <c r="A43">
        <v>42</v>
      </c>
      <c r="B43">
        <v>756</v>
      </c>
      <c r="C43">
        <v>225</v>
      </c>
      <c r="D43">
        <v>0.35534227274935698</v>
      </c>
      <c r="E43">
        <v>4.9254772558429503</v>
      </c>
      <c r="F43">
        <v>0.49421110210605401</v>
      </c>
      <c r="G43">
        <v>-107.15866006741874</v>
      </c>
      <c r="H43">
        <v>-62.561298275609005</v>
      </c>
      <c r="I43">
        <v>43.336909539284299</v>
      </c>
      <c r="J43">
        <v>19.406002809291302</v>
      </c>
      <c r="K43">
        <v>9.9663427932988196</v>
      </c>
      <c r="L43">
        <v>1.4078854248212131E-3</v>
      </c>
      <c r="M43">
        <v>2.7520256945572124E-4</v>
      </c>
      <c r="N43" s="1">
        <v>7.5258675660921797E-6</v>
      </c>
      <c r="O43" s="1">
        <v>2.9222440775243501E-6</v>
      </c>
      <c r="P43" s="1">
        <v>-8.6613561177594901E-6</v>
      </c>
      <c r="AE43">
        <v>100</v>
      </c>
      <c r="AJ43">
        <v>1</v>
      </c>
    </row>
    <row r="44" spans="1:36" x14ac:dyDescent="0.2">
      <c r="A44">
        <v>43</v>
      </c>
      <c r="B44">
        <v>755</v>
      </c>
      <c r="C44">
        <v>225</v>
      </c>
      <c r="D44">
        <v>0.354647181831445</v>
      </c>
      <c r="E44">
        <v>4.9358875057767904</v>
      </c>
      <c r="F44">
        <v>0.49490768776852501</v>
      </c>
      <c r="G44">
        <v>-107.34172636481851</v>
      </c>
      <c r="H44">
        <v>-62.712977548654827</v>
      </c>
      <c r="I44">
        <v>43.409593380433499</v>
      </c>
      <c r="J44">
        <v>19.458471733185</v>
      </c>
      <c r="K44">
        <v>9.9733498342530709</v>
      </c>
      <c r="L44">
        <v>1.4091087850398635E-3</v>
      </c>
      <c r="M44">
        <v>2.7472009849557628E-4</v>
      </c>
      <c r="N44" s="1">
        <v>7.6385247214245804E-6</v>
      </c>
      <c r="O44" s="1">
        <v>2.9189124674162101E-6</v>
      </c>
      <c r="P44" s="1">
        <v>-8.6812525530274993E-6</v>
      </c>
      <c r="AE44">
        <v>100</v>
      </c>
      <c r="AJ44">
        <v>1</v>
      </c>
    </row>
    <row r="45" spans="1:36" x14ac:dyDescent="0.2">
      <c r="A45">
        <v>44</v>
      </c>
      <c r="B45">
        <v>754</v>
      </c>
      <c r="C45">
        <v>225</v>
      </c>
      <c r="D45">
        <v>0.35395073747748601</v>
      </c>
      <c r="E45">
        <v>4.9462432503297</v>
      </c>
      <c r="F45">
        <v>0.49560585974538901</v>
      </c>
      <c r="G45">
        <v>-107.52344361804764</v>
      </c>
      <c r="H45">
        <v>-62.864057614699526</v>
      </c>
      <c r="I45">
        <v>43.481688699284497</v>
      </c>
      <c r="J45">
        <v>19.510761645632801</v>
      </c>
      <c r="K45">
        <v>9.9801952561068603</v>
      </c>
      <c r="L45">
        <v>1.4103247859760767E-3</v>
      </c>
      <c r="M45">
        <v>2.7423590143348011E-4</v>
      </c>
      <c r="N45" s="1">
        <v>7.7518322915628792E-6</v>
      </c>
      <c r="O45" s="1">
        <v>2.91549020866147E-6</v>
      </c>
      <c r="P45" s="1">
        <v>-8.7009419041967992E-6</v>
      </c>
      <c r="AE45">
        <v>100</v>
      </c>
      <c r="AJ45">
        <v>1</v>
      </c>
    </row>
    <row r="46" spans="1:36" x14ac:dyDescent="0.2">
      <c r="A46">
        <v>45</v>
      </c>
      <c r="B46">
        <v>753</v>
      </c>
      <c r="C46">
        <v>225</v>
      </c>
      <c r="D46">
        <v>0.35325293573064698</v>
      </c>
      <c r="E46">
        <v>4.9565449357481501</v>
      </c>
      <c r="F46">
        <v>0.49630561830638598</v>
      </c>
      <c r="G46">
        <v>-107.70382311043994</v>
      </c>
      <c r="H46">
        <v>-63.014543561718149</v>
      </c>
      <c r="I46">
        <v>43.553199812990997</v>
      </c>
      <c r="J46">
        <v>19.562873398595301</v>
      </c>
      <c r="K46">
        <v>9.9868805689971207</v>
      </c>
      <c r="L46">
        <v>1.4115333472314697E-3</v>
      </c>
      <c r="M46">
        <v>2.7374998128468052E-4</v>
      </c>
      <c r="N46" s="1">
        <v>7.8657847298724695E-6</v>
      </c>
      <c r="O46" s="1">
        <v>2.9119778918711901E-6</v>
      </c>
      <c r="P46" s="1">
        <v>-8.7204230493021693E-6</v>
      </c>
      <c r="AE46">
        <v>100</v>
      </c>
      <c r="AJ46">
        <v>1</v>
      </c>
    </row>
    <row r="47" spans="1:36" x14ac:dyDescent="0.2">
      <c r="A47">
        <v>46</v>
      </c>
      <c r="B47">
        <v>752</v>
      </c>
      <c r="C47">
        <v>225</v>
      </c>
      <c r="D47">
        <v>0.35255377261864101</v>
      </c>
      <c r="E47">
        <v>4.9667930041420796</v>
      </c>
      <c r="F47">
        <v>0.49700696367191499</v>
      </c>
      <c r="G47">
        <v>-107.88287601883616</v>
      </c>
      <c r="H47">
        <v>-63.164440430810366</v>
      </c>
      <c r="I47">
        <v>43.624130997394303</v>
      </c>
      <c r="J47">
        <v>19.614807827247201</v>
      </c>
      <c r="K47">
        <v>9.9934072702867898</v>
      </c>
      <c r="L47">
        <v>1.4127343884097433E-3</v>
      </c>
      <c r="M47">
        <v>2.7326234121145604E-4</v>
      </c>
      <c r="N47" s="1">
        <v>7.9803763696350494E-6</v>
      </c>
      <c r="O47" s="1">
        <v>2.9083761076850601E-6</v>
      </c>
      <c r="P47" s="1">
        <v>-8.7396948633213694E-6</v>
      </c>
      <c r="AE47">
        <v>100</v>
      </c>
      <c r="AJ47">
        <v>1</v>
      </c>
    </row>
    <row r="48" spans="1:36" x14ac:dyDescent="0.2">
      <c r="A48">
        <v>47</v>
      </c>
      <c r="B48">
        <v>751</v>
      </c>
      <c r="C48">
        <v>225</v>
      </c>
      <c r="D48">
        <v>0.35185324415369101</v>
      </c>
      <c r="E48">
        <v>4.9769878933718603</v>
      </c>
      <c r="F48">
        <v>0.497709896012688</v>
      </c>
      <c r="G48">
        <v>-108.06061341132572</v>
      </c>
      <c r="H48">
        <v>-63.313753214685583</v>
      </c>
      <c r="I48">
        <v>43.694486486095499</v>
      </c>
      <c r="J48">
        <v>19.666565749545001</v>
      </c>
      <c r="K48">
        <v>9.9997768443908601</v>
      </c>
      <c r="L48">
        <v>1.4139278291270152E-3</v>
      </c>
      <c r="M48">
        <v>2.7277298452397326E-4</v>
      </c>
      <c r="N48" s="1">
        <v>8.0956014237553203E-6</v>
      </c>
      <c r="O48" s="1">
        <v>2.9046854467685802E-6</v>
      </c>
      <c r="P48" s="1">
        <v>-8.7587562183314797E-6</v>
      </c>
      <c r="AE48">
        <v>100</v>
      </c>
      <c r="AJ48">
        <v>1</v>
      </c>
    </row>
    <row r="49" spans="1:36" x14ac:dyDescent="0.2">
      <c r="A49">
        <v>48</v>
      </c>
      <c r="B49">
        <v>750</v>
      </c>
      <c r="C49">
        <v>225</v>
      </c>
      <c r="D49">
        <v>0.35115134633240402</v>
      </c>
      <c r="E49">
        <v>5.1132671079513301</v>
      </c>
      <c r="F49">
        <v>0.49841441544936699</v>
      </c>
      <c r="G49">
        <v>-110.974633572306</v>
      </c>
      <c r="H49">
        <v>-65.067612880963708</v>
      </c>
      <c r="I49">
        <v>44.871179022403403</v>
      </c>
      <c r="J49">
        <v>20.2168695575469</v>
      </c>
      <c r="K49">
        <v>10.2590674536193</v>
      </c>
      <c r="L49">
        <v>1.4151135890225653E-3</v>
      </c>
      <c r="M49">
        <v>2.7228191468116428E-4</v>
      </c>
      <c r="N49" s="1">
        <v>8.4191423236417807E-6</v>
      </c>
      <c r="O49" s="1">
        <v>2.9742777266429699E-6</v>
      </c>
      <c r="P49" s="1">
        <v>-8.9996137318403407E-6</v>
      </c>
      <c r="AE49">
        <v>100</v>
      </c>
      <c r="AJ49">
        <v>1</v>
      </c>
    </row>
    <row r="50" spans="1:36" x14ac:dyDescent="0.2">
      <c r="A50">
        <v>49</v>
      </c>
      <c r="B50">
        <v>749</v>
      </c>
      <c r="C50">
        <v>225</v>
      </c>
      <c r="D50">
        <v>0.350448075135744</v>
      </c>
      <c r="E50">
        <v>6.0096484212502199</v>
      </c>
      <c r="F50">
        <v>0.49912052205220397</v>
      </c>
      <c r="G50">
        <v>-130.37631650502439</v>
      </c>
      <c r="H50">
        <v>-76.49805896183851</v>
      </c>
      <c r="I50">
        <v>52.714079766225296</v>
      </c>
      <c r="J50">
        <v>23.774834764805799</v>
      </c>
      <c r="K50">
        <v>12.0404755078807</v>
      </c>
      <c r="L50">
        <v>1.4162915877691446E-3</v>
      </c>
      <c r="M50">
        <v>2.7178913529151441E-4</v>
      </c>
      <c r="N50" s="1">
        <v>1.00151525970832E-5</v>
      </c>
      <c r="O50" s="1">
        <v>3.4839753863967501E-6</v>
      </c>
      <c r="P50" s="1">
        <v>-1.05783474521923E-5</v>
      </c>
      <c r="AE50">
        <v>100</v>
      </c>
      <c r="AJ50">
        <v>1</v>
      </c>
    </row>
    <row r="51" spans="1:36" x14ac:dyDescent="0.2">
      <c r="A51">
        <v>50</v>
      </c>
      <c r="B51">
        <v>748</v>
      </c>
      <c r="C51">
        <v>225</v>
      </c>
      <c r="D51">
        <v>0.34974342652891699</v>
      </c>
      <c r="E51">
        <v>7.1194696378710303</v>
      </c>
      <c r="F51">
        <v>0.49982821584070197</v>
      </c>
      <c r="G51">
        <v>-154.39089749825791</v>
      </c>
      <c r="H51">
        <v>-90.653376603454447</v>
      </c>
      <c r="I51">
        <v>62.421382845336801</v>
      </c>
      <c r="J51">
        <v>28.181792674257899</v>
      </c>
      <c r="K51">
        <v>14.243833005498001</v>
      </c>
      <c r="L51">
        <v>1.4174617450838846E-3</v>
      </c>
      <c r="M51">
        <v>2.7129465011387983E-4</v>
      </c>
      <c r="N51" s="1">
        <v>1.20073795522442E-5</v>
      </c>
      <c r="O51" s="1">
        <v>4.1134767877152603E-6</v>
      </c>
      <c r="P51" s="1">
        <v>-1.25329573540929E-5</v>
      </c>
      <c r="AE51">
        <v>100</v>
      </c>
      <c r="AJ51">
        <v>1</v>
      </c>
    </row>
    <row r="52" spans="1:36" x14ac:dyDescent="0.2">
      <c r="A52">
        <v>51</v>
      </c>
      <c r="B52">
        <v>747</v>
      </c>
      <c r="C52">
        <v>225</v>
      </c>
      <c r="D52">
        <v>0.34903739646130499</v>
      </c>
      <c r="E52">
        <v>8.7373534273444307</v>
      </c>
      <c r="F52">
        <v>0.50053749678325199</v>
      </c>
      <c r="G52">
        <v>-189.3992992372591</v>
      </c>
      <c r="H52">
        <v>-111.2887527917002</v>
      </c>
      <c r="I52">
        <v>76.572608435744698</v>
      </c>
      <c r="J52">
        <v>34.606120640422603</v>
      </c>
      <c r="K52">
        <v>17.4559418295248</v>
      </c>
      <c r="L52">
        <v>1.4186239807389418E-3</v>
      </c>
      <c r="M52">
        <v>2.7079846305825769E-4</v>
      </c>
      <c r="N52" s="1">
        <v>1.4911666741119001E-5</v>
      </c>
      <c r="O52" s="1">
        <v>5.0311711661874399E-6</v>
      </c>
      <c r="P52" s="1">
        <v>-1.5382138357121901E-5</v>
      </c>
      <c r="AE52">
        <v>100</v>
      </c>
      <c r="AJ52">
        <v>1</v>
      </c>
    </row>
    <row r="53" spans="1:36" x14ac:dyDescent="0.2">
      <c r="A53">
        <v>52</v>
      </c>
      <c r="B53">
        <v>746</v>
      </c>
      <c r="C53">
        <v>225</v>
      </c>
      <c r="D53">
        <v>0.34832998086640898</v>
      </c>
      <c r="E53">
        <v>9.8802124676060998</v>
      </c>
      <c r="F53">
        <v>0.50124836479679802</v>
      </c>
      <c r="G53">
        <v>-214.08644474121149</v>
      </c>
      <c r="H53">
        <v>-125.88463393150485</v>
      </c>
      <c r="I53">
        <v>86.550031765682306</v>
      </c>
      <c r="J53">
        <v>39.155325484219297</v>
      </c>
      <c r="K53">
        <v>19.7112113704579</v>
      </c>
      <c r="L53">
        <v>1.4197782145724304E-3</v>
      </c>
      <c r="M53">
        <v>2.7030057818655599E-4</v>
      </c>
      <c r="N53" s="1">
        <v>1.7061314129378699E-5</v>
      </c>
      <c r="O53" s="1">
        <v>5.6699026393117501E-6</v>
      </c>
      <c r="P53" s="1">
        <v>-1.7395129447582199E-5</v>
      </c>
      <c r="AE53">
        <v>100</v>
      </c>
      <c r="AJ53">
        <v>1</v>
      </c>
    </row>
    <row r="54" spans="1:36" x14ac:dyDescent="0.2">
      <c r="A54">
        <v>53</v>
      </c>
      <c r="B54">
        <v>745</v>
      </c>
      <c r="C54">
        <v>225</v>
      </c>
      <c r="D54">
        <v>0.347621175661739</v>
      </c>
      <c r="E54">
        <v>10.2676780122542</v>
      </c>
      <c r="F54">
        <v>0.50196081974649398</v>
      </c>
      <c r="G54">
        <v>-222.39220240249182</v>
      </c>
      <c r="H54">
        <v>-130.86206826692947</v>
      </c>
      <c r="I54">
        <v>89.904247833254999</v>
      </c>
      <c r="J54">
        <v>40.714380046806397</v>
      </c>
      <c r="K54">
        <v>20.455138346135701</v>
      </c>
      <c r="L54">
        <v>1.420924366499103E-3</v>
      </c>
      <c r="M54">
        <v>2.698009997132519E-4</v>
      </c>
      <c r="N54" s="1">
        <v>1.7937964935271901E-5</v>
      </c>
      <c r="O54" s="1">
        <v>5.8721074918182696E-6</v>
      </c>
      <c r="P54" s="1">
        <v>-1.8078059924443E-5</v>
      </c>
      <c r="AE54">
        <v>100</v>
      </c>
      <c r="AJ54">
        <v>1</v>
      </c>
    </row>
    <row r="55" spans="1:36" x14ac:dyDescent="0.2">
      <c r="A55">
        <v>54</v>
      </c>
      <c r="B55">
        <v>758</v>
      </c>
      <c r="C55">
        <v>200</v>
      </c>
      <c r="D55">
        <v>0.383397662803666</v>
      </c>
      <c r="E55">
        <v>5.3199170588405904</v>
      </c>
      <c r="F55">
        <v>0.45645257202433998</v>
      </c>
      <c r="G55">
        <v>-116.11385364861245</v>
      </c>
      <c r="H55">
        <v>-67.385302053390461</v>
      </c>
      <c r="I55">
        <v>47.259463684666002</v>
      </c>
      <c r="J55">
        <v>21.126298609486099</v>
      </c>
      <c r="K55">
        <v>11.6549174764139</v>
      </c>
      <c r="L55">
        <v>1.5329879985900398E-3</v>
      </c>
      <c r="M55">
        <v>3.4074884165332146E-4</v>
      </c>
      <c r="N55" s="1">
        <v>6.5775789199413998E-6</v>
      </c>
      <c r="O55" s="1">
        <v>4.9023998222455704E-6</v>
      </c>
      <c r="P55" s="1">
        <v>-1.23841967490542E-5</v>
      </c>
      <c r="AE55">
        <v>100</v>
      </c>
      <c r="AJ55">
        <v>1</v>
      </c>
    </row>
    <row r="56" spans="1:36" x14ac:dyDescent="0.2">
      <c r="A56">
        <v>55</v>
      </c>
      <c r="B56">
        <v>757</v>
      </c>
      <c r="C56">
        <v>200</v>
      </c>
      <c r="D56">
        <v>0.38273115565694399</v>
      </c>
      <c r="E56">
        <v>5.3208355911869702</v>
      </c>
      <c r="F56">
        <v>0.45715325257592998</v>
      </c>
      <c r="G56">
        <v>-116.0866443957827</v>
      </c>
      <c r="H56">
        <v>-67.418074329631679</v>
      </c>
      <c r="I56">
        <v>47.247114473632998</v>
      </c>
      <c r="J56">
        <v>21.145227967482299</v>
      </c>
      <c r="K56">
        <v>11.6390631833101</v>
      </c>
      <c r="L56">
        <v>1.5347700870519453E-3</v>
      </c>
      <c r="M56">
        <v>3.4020729273536896E-4</v>
      </c>
      <c r="N56" s="1">
        <v>6.7163728023689498E-6</v>
      </c>
      <c r="O56" s="1">
        <v>4.8889414340744704E-6</v>
      </c>
      <c r="P56" s="1">
        <v>-1.23959462116657E-5</v>
      </c>
      <c r="AE56">
        <v>100</v>
      </c>
      <c r="AJ56">
        <v>1</v>
      </c>
    </row>
    <row r="57" spans="1:36" x14ac:dyDescent="0.2">
      <c r="A57">
        <v>56</v>
      </c>
      <c r="B57">
        <v>756</v>
      </c>
      <c r="C57">
        <v>200</v>
      </c>
      <c r="D57">
        <v>0.38206335325268598</v>
      </c>
      <c r="E57">
        <v>5.4519646361584604</v>
      </c>
      <c r="F57">
        <v>0.45785582298683303</v>
      </c>
      <c r="G57">
        <v>-118.89913445414244</v>
      </c>
      <c r="H57">
        <v>-69.101229584355821</v>
      </c>
      <c r="I57">
        <v>48.390443393810799</v>
      </c>
      <c r="J57">
        <v>21.681994765111401</v>
      </c>
      <c r="K57">
        <v>11.907601394238901</v>
      </c>
      <c r="L57">
        <v>1.5365448866216137E-3</v>
      </c>
      <c r="M57">
        <v>3.3966306150425685E-4</v>
      </c>
      <c r="N57" s="1">
        <v>7.0237782702327796E-6</v>
      </c>
      <c r="O57" s="1">
        <v>4.9947249689340103E-6</v>
      </c>
      <c r="P57" s="1">
        <v>-1.2711137226333901E-5</v>
      </c>
      <c r="AE57">
        <v>100</v>
      </c>
      <c r="AJ57">
        <v>1</v>
      </c>
    </row>
    <row r="58" spans="1:36" x14ac:dyDescent="0.2">
      <c r="A58">
        <v>57</v>
      </c>
      <c r="B58">
        <v>755</v>
      </c>
      <c r="C58">
        <v>200</v>
      </c>
      <c r="D58">
        <v>0.38139425181150599</v>
      </c>
      <c r="E58">
        <v>5.60732305268409</v>
      </c>
      <c r="F58">
        <v>0.45856028529133602</v>
      </c>
      <c r="G58">
        <v>-122.23750891572787</v>
      </c>
      <c r="H58">
        <v>-71.092636381855129</v>
      </c>
      <c r="I58">
        <v>49.747684081556699</v>
      </c>
      <c r="J58">
        <v>22.315937527147899</v>
      </c>
      <c r="K58">
        <v>12.228104422784</v>
      </c>
      <c r="L58">
        <v>1.5383122723209872E-3</v>
      </c>
      <c r="M58">
        <v>3.3911614505275191E-4</v>
      </c>
      <c r="N58" s="1">
        <v>7.3707059317834699E-6</v>
      </c>
      <c r="O58" s="1">
        <v>5.1218876777971403E-6</v>
      </c>
      <c r="P58" s="1">
        <v>-1.30831730398324E-5</v>
      </c>
      <c r="AE58">
        <v>100</v>
      </c>
      <c r="AJ58">
        <v>1</v>
      </c>
    </row>
    <row r="59" spans="1:36" x14ac:dyDescent="0.2">
      <c r="A59">
        <v>58</v>
      </c>
      <c r="B59">
        <v>754</v>
      </c>
      <c r="C59">
        <v>200</v>
      </c>
      <c r="D59">
        <v>0.38072384753930699</v>
      </c>
      <c r="E59">
        <v>6.1284976235517501</v>
      </c>
      <c r="F59">
        <v>0.45926664146385499</v>
      </c>
      <c r="G59">
        <v>-133.5445566175685</v>
      </c>
      <c r="H59">
        <v>-77.724764830007373</v>
      </c>
      <c r="I59">
        <v>54.347757280080003</v>
      </c>
      <c r="J59">
        <v>24.407685753975102</v>
      </c>
      <c r="K59">
        <v>13.3440948465534</v>
      </c>
      <c r="L59">
        <v>1.5400721186903533E-3</v>
      </c>
      <c r="M59">
        <v>3.3856654068413543E-4</v>
      </c>
      <c r="N59" s="1">
        <v>8.2171249864731393E-6</v>
      </c>
      <c r="O59" s="1">
        <v>5.5813175395152303E-6</v>
      </c>
      <c r="P59" s="1">
        <v>-1.4309754447897E-5</v>
      </c>
      <c r="AE59">
        <v>100</v>
      </c>
      <c r="AJ59">
        <v>1</v>
      </c>
    </row>
    <row r="60" spans="1:36" x14ac:dyDescent="0.2">
      <c r="A60">
        <v>59</v>
      </c>
      <c r="B60">
        <v>753</v>
      </c>
      <c r="C60">
        <v>200</v>
      </c>
      <c r="D60">
        <v>0.380052136627202</v>
      </c>
      <c r="E60">
        <v>7.2155382557697898</v>
      </c>
      <c r="F60">
        <v>0.45997489341823899</v>
      </c>
      <c r="G60">
        <v>-157.16801306713253</v>
      </c>
      <c r="H60">
        <v>-91.539921613280995</v>
      </c>
      <c r="I60">
        <v>63.9596751234481</v>
      </c>
      <c r="J60">
        <v>28.757689549953302</v>
      </c>
      <c r="K60">
        <v>15.686808908522201</v>
      </c>
      <c r="L60">
        <v>1.5418242998035522E-3</v>
      </c>
      <c r="M60">
        <v>3.3801424591524664E-4</v>
      </c>
      <c r="N60" s="1">
        <v>9.8656815865829206E-6</v>
      </c>
      <c r="O60" s="1">
        <v>6.5516688409025703E-6</v>
      </c>
      <c r="P60" s="1">
        <v>-1.6860171559982401E-5</v>
      </c>
      <c r="AE60">
        <v>100</v>
      </c>
      <c r="AJ60">
        <v>1</v>
      </c>
    </row>
    <row r="61" spans="1:36" x14ac:dyDescent="0.2">
      <c r="A61">
        <v>60</v>
      </c>
      <c r="B61">
        <v>752</v>
      </c>
      <c r="C61">
        <v>200</v>
      </c>
      <c r="D61">
        <v>0.37937911525142798</v>
      </c>
      <c r="E61">
        <v>7.9068639404677699</v>
      </c>
      <c r="F61">
        <v>0.46068504300701602</v>
      </c>
      <c r="G61">
        <v>-172.15631620138456</v>
      </c>
      <c r="H61">
        <v>-100.34194880364748</v>
      </c>
      <c r="I61">
        <v>70.0569596554854</v>
      </c>
      <c r="J61">
        <v>31.535653881054898</v>
      </c>
      <c r="K61">
        <v>17.1632746938288</v>
      </c>
      <c r="L61">
        <v>1.5435686892833393E-3</v>
      </c>
      <c r="M61">
        <v>3.3745925847954796E-4</v>
      </c>
      <c r="N61" s="1">
        <v>1.10214461150946E-5</v>
      </c>
      <c r="O61" s="1">
        <v>7.1578099789879003E-6</v>
      </c>
      <c r="P61" s="1">
        <v>-1.84887260049379E-5</v>
      </c>
      <c r="AE61">
        <v>100</v>
      </c>
      <c r="AJ61">
        <v>1</v>
      </c>
    </row>
    <row r="62" spans="1:36" x14ac:dyDescent="0.2">
      <c r="A62">
        <v>61</v>
      </c>
      <c r="B62">
        <v>751</v>
      </c>
      <c r="C62">
        <v>200</v>
      </c>
      <c r="D62">
        <v>0.378704779573308</v>
      </c>
      <c r="E62">
        <v>9.6636008181352402</v>
      </c>
      <c r="F62">
        <v>0.46139709202066598</v>
      </c>
      <c r="G62">
        <v>-210.32018216562273</v>
      </c>
      <c r="H62">
        <v>-122.67435020021509</v>
      </c>
      <c r="I62">
        <v>85.584496481188097</v>
      </c>
      <c r="J62">
        <v>38.569898999934203</v>
      </c>
      <c r="K62">
        <v>20.944216999318201</v>
      </c>
      <c r="L62">
        <v>1.5453051603175104E-3</v>
      </c>
      <c r="M62">
        <v>3.3690157633022602E-4</v>
      </c>
      <c r="N62" s="1">
        <v>1.37289049960114E-5</v>
      </c>
      <c r="O62" s="1">
        <v>8.7216714162333308E-6</v>
      </c>
      <c r="P62" s="1">
        <v>-2.2612337536990599E-5</v>
      </c>
      <c r="AE62">
        <v>100</v>
      </c>
      <c r="AJ62">
        <v>1</v>
      </c>
    </row>
    <row r="63" spans="1:36" x14ac:dyDescent="0.2">
      <c r="A63">
        <v>62</v>
      </c>
      <c r="B63">
        <v>750</v>
      </c>
      <c r="C63">
        <v>200</v>
      </c>
      <c r="D63">
        <v>0.37802912573913899</v>
      </c>
      <c r="E63">
        <v>10.2031430674618</v>
      </c>
      <c r="F63">
        <v>0.46211104218689197</v>
      </c>
      <c r="G63">
        <v>-221.97252456442325</v>
      </c>
      <c r="H63">
        <v>-129.56429438507683</v>
      </c>
      <c r="I63">
        <v>90.323089521921801</v>
      </c>
      <c r="J63">
        <v>40.752574981145102</v>
      </c>
      <c r="K63">
        <v>22.079418442754498</v>
      </c>
      <c r="L63">
        <v>1.5470335856745735E-3</v>
      </c>
      <c r="M63">
        <v>3.3634119764314386E-4</v>
      </c>
      <c r="N63" s="1">
        <v>1.4770091188466801E-5</v>
      </c>
      <c r="O63" s="1">
        <v>9.1806122069661099E-6</v>
      </c>
      <c r="P63" s="1">
        <v>-2.38912254195105E-5</v>
      </c>
      <c r="AE63">
        <v>100</v>
      </c>
      <c r="AJ63">
        <v>1</v>
      </c>
    </row>
    <row r="64" spans="1:36" x14ac:dyDescent="0.2">
      <c r="A64">
        <v>63</v>
      </c>
      <c r="B64">
        <v>749</v>
      </c>
      <c r="C64">
        <v>200</v>
      </c>
      <c r="D64">
        <v>0.37735214988015597</v>
      </c>
      <c r="E64">
        <v>10.4012522943178</v>
      </c>
      <c r="F64">
        <v>0.46282689516988901</v>
      </c>
      <c r="G64">
        <v>-226.19039536743369</v>
      </c>
      <c r="H64">
        <v>-132.12153696688233</v>
      </c>
      <c r="I64">
        <v>92.036208615001897</v>
      </c>
      <c r="J64">
        <v>41.573622613643003</v>
      </c>
      <c r="K64">
        <v>22.4733100061089</v>
      </c>
      <c r="L64">
        <v>1.5487538377205383E-3</v>
      </c>
      <c r="M64">
        <v>3.3577812081994098E-4</v>
      </c>
      <c r="N64" s="1">
        <v>1.5338386940727101E-5</v>
      </c>
      <c r="O64" s="1">
        <v>9.3302279989917504E-6</v>
      </c>
      <c r="P64" s="1">
        <v>-2.4371496117664201E-5</v>
      </c>
      <c r="AE64">
        <v>100</v>
      </c>
      <c r="AJ64">
        <v>1</v>
      </c>
    </row>
    <row r="65" spans="1:36" x14ac:dyDescent="0.2">
      <c r="A65">
        <v>64</v>
      </c>
      <c r="B65">
        <v>767</v>
      </c>
      <c r="C65">
        <v>175</v>
      </c>
      <c r="D65">
        <v>0.41577705138682203</v>
      </c>
      <c r="E65">
        <v>5.7231346124181899</v>
      </c>
      <c r="F65">
        <v>0.40854861540745302</v>
      </c>
      <c r="G65">
        <v>-125.7061461590592</v>
      </c>
      <c r="H65">
        <v>-72.073225009530759</v>
      </c>
      <c r="I65">
        <v>51.565828273416699</v>
      </c>
      <c r="J65">
        <v>22.677277503225099</v>
      </c>
      <c r="K65">
        <v>14.0084543101691</v>
      </c>
      <c r="L65">
        <v>1.6493854536155936E-3</v>
      </c>
      <c r="M65">
        <v>4.3702689054680907E-4</v>
      </c>
      <c r="N65" s="1">
        <v>1.08053414054883E-6</v>
      </c>
      <c r="O65" s="1">
        <v>8.7617433602060095E-6</v>
      </c>
      <c r="P65" s="1">
        <v>-1.7616852569473599E-5</v>
      </c>
      <c r="AE65">
        <v>100</v>
      </c>
      <c r="AJ65">
        <v>1</v>
      </c>
    </row>
    <row r="66" spans="1:36" x14ac:dyDescent="0.2">
      <c r="A66">
        <v>65</v>
      </c>
      <c r="B66">
        <v>766</v>
      </c>
      <c r="C66">
        <v>175</v>
      </c>
      <c r="D66">
        <v>0.41514747630275201</v>
      </c>
      <c r="E66">
        <v>5.7284486928830898</v>
      </c>
      <c r="F66">
        <v>0.40922356621307199</v>
      </c>
      <c r="G66">
        <v>-125.77126481930874</v>
      </c>
      <c r="H66">
        <v>-72.16285541262701</v>
      </c>
      <c r="I66">
        <v>51.591866022028398</v>
      </c>
      <c r="J66">
        <v>22.718720711323499</v>
      </c>
      <c r="K66">
        <v>13.9983353009059</v>
      </c>
      <c r="L66">
        <v>1.652027144719714E-3</v>
      </c>
      <c r="M66">
        <v>4.3648824607725825E-4</v>
      </c>
      <c r="N66" s="1">
        <v>1.24831770985708E-6</v>
      </c>
      <c r="O66" s="1">
        <v>8.7493961620542896E-6</v>
      </c>
      <c r="P66" s="1">
        <v>-1.7660596585048198E-5</v>
      </c>
      <c r="AE66">
        <v>100</v>
      </c>
      <c r="AJ66">
        <v>1</v>
      </c>
    </row>
    <row r="67" spans="1:36" x14ac:dyDescent="0.2">
      <c r="A67">
        <v>66</v>
      </c>
      <c r="B67">
        <v>765</v>
      </c>
      <c r="C67">
        <v>175</v>
      </c>
      <c r="D67">
        <v>0.41451668833983701</v>
      </c>
      <c r="E67">
        <v>5.7603710561235602</v>
      </c>
      <c r="F67">
        <v>0.40990071422263102</v>
      </c>
      <c r="G67">
        <v>-126.42026962258134</v>
      </c>
      <c r="H67">
        <v>-72.587845852405906</v>
      </c>
      <c r="I67">
        <v>51.857361853509602</v>
      </c>
      <c r="J67">
        <v>22.865851629869699</v>
      </c>
      <c r="K67">
        <v>14.053088604756301</v>
      </c>
      <c r="L67">
        <v>1.6546654349248423E-3</v>
      </c>
      <c r="M67">
        <v>4.3594582259703311E-4</v>
      </c>
      <c r="N67" s="1">
        <v>1.42472809534704E-6</v>
      </c>
      <c r="O67" s="1">
        <v>8.7774743126598601E-6</v>
      </c>
      <c r="P67" s="1">
        <v>-1.7786486512868199E-5</v>
      </c>
      <c r="AE67">
        <v>100</v>
      </c>
      <c r="AJ67">
        <v>1</v>
      </c>
    </row>
    <row r="68" spans="1:36" x14ac:dyDescent="0.2">
      <c r="A68">
        <v>67</v>
      </c>
      <c r="B68">
        <v>764</v>
      </c>
      <c r="C68">
        <v>175</v>
      </c>
      <c r="D68">
        <v>0.41388468398978101</v>
      </c>
      <c r="E68">
        <v>5.7923583889359298</v>
      </c>
      <c r="F68">
        <v>0.41058006522061502</v>
      </c>
      <c r="G68">
        <v>-127.07014696673832</v>
      </c>
      <c r="H68">
        <v>-73.013929222317373</v>
      </c>
      <c r="I68">
        <v>52.123157197688499</v>
      </c>
      <c r="J68">
        <v>23.013495744934499</v>
      </c>
      <c r="K68">
        <v>14.1077438472896</v>
      </c>
      <c r="L68">
        <v>1.6573001620850665E-3</v>
      </c>
      <c r="M68">
        <v>4.3539960093590108E-4</v>
      </c>
      <c r="N68" s="1">
        <v>1.60479363049839E-6</v>
      </c>
      <c r="O68" s="1">
        <v>8.8053391234403597E-6</v>
      </c>
      <c r="P68" s="1">
        <v>-1.7912813119966999E-5</v>
      </c>
      <c r="AE68">
        <v>100</v>
      </c>
      <c r="AJ68">
        <v>1</v>
      </c>
    </row>
    <row r="69" spans="1:36" x14ac:dyDescent="0.2">
      <c r="A69">
        <v>68</v>
      </c>
      <c r="B69">
        <v>763</v>
      </c>
      <c r="C69">
        <v>175</v>
      </c>
      <c r="D69">
        <v>0.41325145973073701</v>
      </c>
      <c r="E69">
        <v>5.8243931436788001</v>
      </c>
      <c r="F69">
        <v>0.41126162494439</v>
      </c>
      <c r="G69">
        <v>-127.72051071156082</v>
      </c>
      <c r="H69">
        <v>-73.440885404347938</v>
      </c>
      <c r="I69">
        <v>52.389092682167998</v>
      </c>
      <c r="J69">
        <v>23.161583628667</v>
      </c>
      <c r="K69">
        <v>14.1622577707471</v>
      </c>
      <c r="L69">
        <v>1.6599311622991152E-3</v>
      </c>
      <c r="M69">
        <v>4.3484956205187592E-4</v>
      </c>
      <c r="N69" s="1">
        <v>1.7885486247078001E-6</v>
      </c>
      <c r="O69" s="1">
        <v>8.8329613492177707E-6</v>
      </c>
      <c r="P69" s="1">
        <v>-1.8039517832731899E-5</v>
      </c>
      <c r="AE69">
        <v>100</v>
      </c>
      <c r="AJ69">
        <v>1</v>
      </c>
    </row>
    <row r="70" spans="1:36" x14ac:dyDescent="0.2">
      <c r="A70">
        <v>69</v>
      </c>
      <c r="B70">
        <v>762</v>
      </c>
      <c r="C70">
        <v>175</v>
      </c>
      <c r="D70">
        <v>0.41261701202724399</v>
      </c>
      <c r="E70">
        <v>5.9195834824915501</v>
      </c>
      <c r="F70">
        <v>0.411945399082977</v>
      </c>
      <c r="G70">
        <v>-129.7546631100785</v>
      </c>
      <c r="H70">
        <v>-74.664709273716667</v>
      </c>
      <c r="I70">
        <v>53.222568116248397</v>
      </c>
      <c r="J70">
        <v>23.5613003817984</v>
      </c>
      <c r="K70">
        <v>14.3698254566479</v>
      </c>
      <c r="L70">
        <v>1.6625582699135511E-3</v>
      </c>
      <c r="M70">
        <v>4.3429568703726639E-4</v>
      </c>
      <c r="N70" s="1">
        <v>1.99732442384906E-6</v>
      </c>
      <c r="O70" s="1">
        <v>8.9558157019207798E-6</v>
      </c>
      <c r="P70" s="1">
        <v>-1.8362355489892099E-5</v>
      </c>
      <c r="AE70">
        <v>100</v>
      </c>
      <c r="AJ70">
        <v>1</v>
      </c>
    </row>
    <row r="71" spans="1:36" x14ac:dyDescent="0.2">
      <c r="A71">
        <v>70</v>
      </c>
      <c r="B71">
        <v>761</v>
      </c>
      <c r="C71">
        <v>175</v>
      </c>
      <c r="D71">
        <v>0.411981337330175</v>
      </c>
      <c r="E71">
        <v>6.0633541053209496</v>
      </c>
      <c r="F71">
        <v>0.412631393275806</v>
      </c>
      <c r="G71">
        <v>-132.85154831414121</v>
      </c>
      <c r="H71">
        <v>-76.50225689254998</v>
      </c>
      <c r="I71">
        <v>54.491864086585998</v>
      </c>
      <c r="J71">
        <v>24.155259014796702</v>
      </c>
      <c r="K71">
        <v>14.694359673375899</v>
      </c>
      <c r="L71">
        <v>1.665181317526713E-3</v>
      </c>
      <c r="M71">
        <v>4.3373795712486934E-4</v>
      </c>
      <c r="N71" s="1">
        <v>2.2315948522377599E-6</v>
      </c>
      <c r="O71" s="1">
        <v>9.1512111239541898E-6</v>
      </c>
      <c r="P71" s="1">
        <v>-1.88369336519137E-5</v>
      </c>
      <c r="AE71">
        <v>100</v>
      </c>
      <c r="AJ71">
        <v>1</v>
      </c>
    </row>
    <row r="72" spans="1:36" x14ac:dyDescent="0.2">
      <c r="A72">
        <v>71</v>
      </c>
      <c r="B72">
        <v>760</v>
      </c>
      <c r="C72">
        <v>175</v>
      </c>
      <c r="D72">
        <v>0.41134443207665999</v>
      </c>
      <c r="E72">
        <v>6.2251086681461603</v>
      </c>
      <c r="F72">
        <v>0.41331961311145299</v>
      </c>
      <c r="G72">
        <v>-136.33974951803131</v>
      </c>
      <c r="H72">
        <v>-78.567949524039847</v>
      </c>
      <c r="I72">
        <v>55.921562583784301</v>
      </c>
      <c r="J72">
        <v>24.821982750004</v>
      </c>
      <c r="K72">
        <v>15.0612467220797</v>
      </c>
      <c r="L72">
        <v>1.6678001359930626E-3</v>
      </c>
      <c r="M72">
        <v>4.3317635369420935E-4</v>
      </c>
      <c r="N72" s="1">
        <v>2.4837534719602899E-6</v>
      </c>
      <c r="O72" s="1">
        <v>9.3725431672117795E-6</v>
      </c>
      <c r="P72" s="1">
        <v>-1.9368732262659602E-5</v>
      </c>
      <c r="AE72">
        <v>100</v>
      </c>
      <c r="AJ72">
        <v>1</v>
      </c>
    </row>
    <row r="73" spans="1:36" x14ac:dyDescent="0.2">
      <c r="A73">
        <v>72</v>
      </c>
      <c r="B73">
        <v>759</v>
      </c>
      <c r="C73">
        <v>175</v>
      </c>
      <c r="D73">
        <v>0.41070629269001901</v>
      </c>
      <c r="E73">
        <v>7.14669873645978</v>
      </c>
      <c r="F73">
        <v>0.41401006412639402</v>
      </c>
      <c r="G73">
        <v>-156.4598465466257</v>
      </c>
      <c r="H73">
        <v>-90.227973616518696</v>
      </c>
      <c r="I73">
        <v>64.172806966023899</v>
      </c>
      <c r="J73">
        <v>28.5223866285586</v>
      </c>
      <c r="K73">
        <v>17.262137700782901</v>
      </c>
      <c r="L73">
        <v>1.6704145544284375E-3</v>
      </c>
      <c r="M73">
        <v>4.3261085827785297E-4</v>
      </c>
      <c r="N73" s="1">
        <v>3.0747968494248701E-6</v>
      </c>
      <c r="O73" s="1">
        <v>1.07338126720283E-5</v>
      </c>
      <c r="P73" s="1">
        <v>-2.22696594317111E-5</v>
      </c>
      <c r="AE73">
        <v>100</v>
      </c>
      <c r="AJ73">
        <v>1</v>
      </c>
    </row>
    <row r="74" spans="1:36" x14ac:dyDescent="0.2">
      <c r="A74">
        <v>73</v>
      </c>
      <c r="B74">
        <v>758</v>
      </c>
      <c r="C74">
        <v>175</v>
      </c>
      <c r="D74">
        <v>0.41006691557969399</v>
      </c>
      <c r="E74">
        <v>7.8726278899807998</v>
      </c>
      <c r="F74">
        <v>0.41470275180371802</v>
      </c>
      <c r="G74">
        <v>-172.28165019991124</v>
      </c>
      <c r="H74">
        <v>-99.424354513620031</v>
      </c>
      <c r="I74">
        <v>70.660719475735405</v>
      </c>
      <c r="J74">
        <v>31.447855803319602</v>
      </c>
      <c r="K74">
        <v>18.9837850261166</v>
      </c>
      <c r="L74">
        <v>1.6730244002158931E-3</v>
      </c>
      <c r="M74">
        <v>4.3204145256789731E-4</v>
      </c>
      <c r="N74" s="1">
        <v>3.63556855752845E-6</v>
      </c>
      <c r="O74" s="1">
        <v>1.1795038671554099E-5</v>
      </c>
      <c r="P74" s="1">
        <v>-2.4568488254990799E-5</v>
      </c>
      <c r="AE74">
        <v>100</v>
      </c>
      <c r="AJ74">
        <v>1</v>
      </c>
    </row>
    <row r="75" spans="1:36" x14ac:dyDescent="0.2">
      <c r="A75">
        <v>74</v>
      </c>
      <c r="B75">
        <v>757</v>
      </c>
      <c r="C75">
        <v>175</v>
      </c>
      <c r="D75">
        <v>0.40942629714119499</v>
      </c>
      <c r="E75">
        <v>9.2512285408145694</v>
      </c>
      <c r="F75">
        <v>0.41539768157183499</v>
      </c>
      <c r="G75">
        <v>-202.36741585489503</v>
      </c>
      <c r="H75">
        <v>-116.8718376231123</v>
      </c>
      <c r="I75">
        <v>82.998468526762295</v>
      </c>
      <c r="J75">
        <v>36.988073185760598</v>
      </c>
      <c r="K75">
        <v>22.270775575368098</v>
      </c>
      <c r="L75">
        <v>1.6756294990119026E-3</v>
      </c>
      <c r="M75">
        <v>4.3146811842239522E-4</v>
      </c>
      <c r="N75" s="1">
        <v>4.5670114311530598E-6</v>
      </c>
      <c r="O75" s="1">
        <v>1.3826210839750099E-5</v>
      </c>
      <c r="P75" s="1">
        <v>-2.89138155354548E-5</v>
      </c>
      <c r="AE75">
        <v>100</v>
      </c>
      <c r="AJ75">
        <v>1</v>
      </c>
    </row>
    <row r="76" spans="1:36" x14ac:dyDescent="0.2">
      <c r="A76">
        <v>75</v>
      </c>
      <c r="B76">
        <v>756</v>
      </c>
      <c r="C76">
        <v>175</v>
      </c>
      <c r="D76">
        <v>0.40878443375601398</v>
      </c>
      <c r="E76">
        <v>9.9769097065556895</v>
      </c>
      <c r="F76">
        <v>0.41609485880319902</v>
      </c>
      <c r="G76">
        <v>-218.15195004945505</v>
      </c>
      <c r="H76">
        <v>-126.07935896319762</v>
      </c>
      <c r="I76">
        <v>89.470242905935905</v>
      </c>
      <c r="J76">
        <v>39.925407958211601</v>
      </c>
      <c r="K76">
        <v>23.977488535311299</v>
      </c>
      <c r="L76">
        <v>1.678229674753767E-3</v>
      </c>
      <c r="M76">
        <v>4.3089083787200747E-4</v>
      </c>
      <c r="N76" s="1">
        <v>5.2462683116654003E-6</v>
      </c>
      <c r="O76" s="1">
        <v>1.48736264042493E-5</v>
      </c>
      <c r="P76" s="1">
        <v>-3.1228124946838601E-5</v>
      </c>
      <c r="AE76">
        <v>100</v>
      </c>
      <c r="AJ76">
        <v>1</v>
      </c>
    </row>
    <row r="77" spans="1:36" x14ac:dyDescent="0.2">
      <c r="A77">
        <v>76</v>
      </c>
      <c r="B77">
        <v>755</v>
      </c>
      <c r="C77">
        <v>175</v>
      </c>
      <c r="D77">
        <v>0.40814132179156798</v>
      </c>
      <c r="E77">
        <v>10.3118417695333</v>
      </c>
      <c r="F77">
        <v>0.41679428881299901</v>
      </c>
      <c r="G77">
        <v>-225.38301477321687</v>
      </c>
      <c r="H77">
        <v>-130.35321839928275</v>
      </c>
      <c r="I77">
        <v>92.4336890949902</v>
      </c>
      <c r="J77">
        <v>41.302905627388199</v>
      </c>
      <c r="K77">
        <v>24.740842296329699</v>
      </c>
      <c r="L77">
        <v>1.6808247496673269E-3</v>
      </c>
      <c r="M77">
        <v>4.3030959312664798E-4</v>
      </c>
      <c r="N77" s="1">
        <v>5.7573677817295402E-6</v>
      </c>
      <c r="O77" s="1">
        <v>1.53344073895242E-5</v>
      </c>
      <c r="P77" s="1">
        <v>-3.23241019756153E-5</v>
      </c>
      <c r="AE77">
        <v>100</v>
      </c>
      <c r="AJ77">
        <v>1</v>
      </c>
    </row>
    <row r="78" spans="1:36" x14ac:dyDescent="0.2">
      <c r="A78">
        <v>77</v>
      </c>
      <c r="B78">
        <v>754</v>
      </c>
      <c r="C78">
        <v>175</v>
      </c>
      <c r="D78">
        <v>0.40749695760112897</v>
      </c>
      <c r="E78">
        <v>10.4595913532841</v>
      </c>
      <c r="F78">
        <v>0.41749597685781797</v>
      </c>
      <c r="G78">
        <v>-228.5185980131084</v>
      </c>
      <c r="H78">
        <v>-132.26285202912987</v>
      </c>
      <c r="I78">
        <v>93.717306726810406</v>
      </c>
      <c r="J78">
        <v>41.932439632933303</v>
      </c>
      <c r="K78">
        <v>25.053154839971501</v>
      </c>
      <c r="L78">
        <v>1.6834145442753245E-3</v>
      </c>
      <c r="M78">
        <v>4.2972436658222473E-4</v>
      </c>
      <c r="N78" s="1">
        <v>6.1828761570942201E-6</v>
      </c>
      <c r="O78" s="1">
        <v>1.55148720734479E-5</v>
      </c>
      <c r="P78" s="1">
        <v>-3.2835354016840101E-5</v>
      </c>
      <c r="AE78">
        <v>100</v>
      </c>
      <c r="AJ78">
        <v>1</v>
      </c>
    </row>
    <row r="79" spans="1:36" x14ac:dyDescent="0.2">
      <c r="A79">
        <v>78</v>
      </c>
      <c r="B79">
        <v>777</v>
      </c>
      <c r="C79">
        <v>150</v>
      </c>
      <c r="D79">
        <v>0.44819359139171</v>
      </c>
      <c r="E79">
        <v>6.1488680678734298</v>
      </c>
      <c r="F79">
        <v>0.35438568187631497</v>
      </c>
      <c r="G79">
        <v>-136.01885588300269</v>
      </c>
      <c r="H79">
        <v>-76.879382774617895</v>
      </c>
      <c r="I79">
        <v>56.318613405967703</v>
      </c>
      <c r="J79">
        <v>24.0110088350952</v>
      </c>
      <c r="K79">
        <v>17.350780187613299</v>
      </c>
      <c r="L79">
        <v>1.7413067193394396E-3</v>
      </c>
      <c r="M79">
        <v>5.7244470538355817E-4</v>
      </c>
      <c r="N79" s="1">
        <v>-1.0845814237266201E-5</v>
      </c>
      <c r="O79" s="1">
        <v>1.6445699504446401E-5</v>
      </c>
      <c r="P79" s="1">
        <v>-2.4749129542101899E-5</v>
      </c>
      <c r="AE79">
        <v>100</v>
      </c>
      <c r="AJ79">
        <v>1</v>
      </c>
    </row>
    <row r="80" spans="1:36" x14ac:dyDescent="0.2">
      <c r="A80">
        <v>79</v>
      </c>
      <c r="B80">
        <v>776</v>
      </c>
      <c r="C80">
        <v>150</v>
      </c>
      <c r="D80">
        <v>0.447600915026452</v>
      </c>
      <c r="E80">
        <v>6.1753926367465004</v>
      </c>
      <c r="F80">
        <v>0.35500396313718702</v>
      </c>
      <c r="G80">
        <v>-136.54905470500455</v>
      </c>
      <c r="H80">
        <v>-77.235147343942856</v>
      </c>
      <c r="I80">
        <v>56.538570557061398</v>
      </c>
      <c r="J80">
        <v>24.1404621301179</v>
      </c>
      <c r="K80">
        <v>17.395278019361299</v>
      </c>
      <c r="L80">
        <v>1.7449668098908991E-3</v>
      </c>
      <c r="M80">
        <v>5.7201298255247113E-4</v>
      </c>
      <c r="N80" s="1">
        <v>-1.0750476450240699E-5</v>
      </c>
      <c r="O80" s="1">
        <v>1.6488332913411301E-5</v>
      </c>
      <c r="P80" s="1">
        <v>-2.4910023436185901E-5</v>
      </c>
      <c r="AE80">
        <v>100</v>
      </c>
      <c r="AJ80">
        <v>1</v>
      </c>
    </row>
    <row r="81" spans="1:36" x14ac:dyDescent="0.2">
      <c r="A81">
        <v>80</v>
      </c>
      <c r="B81">
        <v>775</v>
      </c>
      <c r="C81">
        <v>150</v>
      </c>
      <c r="D81">
        <v>0.44700710776129698</v>
      </c>
      <c r="E81">
        <v>6.2025405424571503</v>
      </c>
      <c r="F81">
        <v>0.35562462570499698</v>
      </c>
      <c r="G81">
        <v>-137.09256824178163</v>
      </c>
      <c r="H81">
        <v>-77.59894367269132</v>
      </c>
      <c r="I81">
        <v>56.763988020482103</v>
      </c>
      <c r="J81">
        <v>24.272665565669399</v>
      </c>
      <c r="K81">
        <v>17.441257140618699</v>
      </c>
      <c r="L81">
        <v>1.74863251799447E-3</v>
      </c>
      <c r="M81">
        <v>5.7157698103235167E-4</v>
      </c>
      <c r="N81" s="1">
        <v>-1.06524029652905E-5</v>
      </c>
      <c r="O81" s="1">
        <v>1.6532274792384601E-5</v>
      </c>
      <c r="P81" s="1">
        <v>-2.5074115661014201E-5</v>
      </c>
      <c r="AE81">
        <v>100</v>
      </c>
      <c r="AJ81">
        <v>1</v>
      </c>
    </row>
    <row r="82" spans="1:36" x14ac:dyDescent="0.2">
      <c r="A82">
        <v>81</v>
      </c>
      <c r="B82">
        <v>774</v>
      </c>
      <c r="C82">
        <v>150</v>
      </c>
      <c r="D82">
        <v>0.44641216635630598</v>
      </c>
      <c r="E82">
        <v>6.2297189532232604</v>
      </c>
      <c r="F82">
        <v>0.35624768027248299</v>
      </c>
      <c r="G82">
        <v>-137.63628199893529</v>
      </c>
      <c r="H82">
        <v>-77.963360365363854</v>
      </c>
      <c r="I82">
        <v>56.989434810012902</v>
      </c>
      <c r="J82">
        <v>24.405305294919302</v>
      </c>
      <c r="K82">
        <v>17.487044262178301</v>
      </c>
      <c r="L82">
        <v>1.7523037160198551E-3</v>
      </c>
      <c r="M82">
        <v>5.7113666056184315E-4</v>
      </c>
      <c r="N82" s="1">
        <v>-1.05504828582944E-5</v>
      </c>
      <c r="O82" s="1">
        <v>1.6575936348121499E-5</v>
      </c>
      <c r="P82" s="1">
        <v>-2.5239021627115599E-5</v>
      </c>
      <c r="AE82">
        <v>100</v>
      </c>
      <c r="AJ82">
        <v>1</v>
      </c>
    </row>
    <row r="83" spans="1:36" x14ac:dyDescent="0.2">
      <c r="A83">
        <v>82</v>
      </c>
      <c r="B83">
        <v>773</v>
      </c>
      <c r="C83">
        <v>150</v>
      </c>
      <c r="D83">
        <v>0.44581608755914398</v>
      </c>
      <c r="E83">
        <v>6.2569144257754097</v>
      </c>
      <c r="F83">
        <v>0.35687313754174299</v>
      </c>
      <c r="G83">
        <v>-138.17989860515843</v>
      </c>
      <c r="H83">
        <v>-78.328229920532692</v>
      </c>
      <c r="I83">
        <v>57.214786861615202</v>
      </c>
      <c r="J83">
        <v>24.538329704583099</v>
      </c>
      <c r="K83">
        <v>17.5326012735927</v>
      </c>
      <c r="L83">
        <v>1.7559802734019513E-3</v>
      </c>
      <c r="M83">
        <v>5.7069198063049403E-4</v>
      </c>
      <c r="N83" s="1">
        <v>-1.0444627778656499E-5</v>
      </c>
      <c r="O83" s="1">
        <v>1.6619278619909101E-5</v>
      </c>
      <c r="P83" s="1">
        <v>-2.5404688174215E-5</v>
      </c>
      <c r="AE83">
        <v>100</v>
      </c>
      <c r="AJ83">
        <v>1</v>
      </c>
    </row>
    <row r="84" spans="1:36" x14ac:dyDescent="0.2">
      <c r="A84">
        <v>83</v>
      </c>
      <c r="B84">
        <v>772</v>
      </c>
      <c r="C84">
        <v>150</v>
      </c>
      <c r="D84">
        <v>0.44521886810505501</v>
      </c>
      <c r="E84">
        <v>6.2841138087159498</v>
      </c>
      <c r="F84">
        <v>0.35750100822311298</v>
      </c>
      <c r="G84">
        <v>-138.72312762557527</v>
      </c>
      <c r="H84">
        <v>-78.693388282627978</v>
      </c>
      <c r="I84">
        <v>57.439922976374099</v>
      </c>
      <c r="J84">
        <v>24.671688076354201</v>
      </c>
      <c r="K84">
        <v>17.577891150433</v>
      </c>
      <c r="L84">
        <v>1.7596620566039767E-3</v>
      </c>
      <c r="M84">
        <v>5.7024290048188772E-4</v>
      </c>
      <c r="N84" s="1">
        <v>-1.0334750524684999E-5</v>
      </c>
      <c r="O84" s="1">
        <v>1.6662263628925901E-5</v>
      </c>
      <c r="P84" s="1">
        <v>-2.5571062717220699E-5</v>
      </c>
      <c r="AE84">
        <v>100</v>
      </c>
      <c r="AJ84">
        <v>1</v>
      </c>
    </row>
    <row r="85" spans="1:36" x14ac:dyDescent="0.2">
      <c r="A85">
        <v>84</v>
      </c>
      <c r="B85">
        <v>771</v>
      </c>
      <c r="C85">
        <v>150</v>
      </c>
      <c r="D85">
        <v>0.44462050471675502</v>
      </c>
      <c r="E85">
        <v>6.3113042906247196</v>
      </c>
      <c r="F85">
        <v>0.35813130303401502</v>
      </c>
      <c r="G85">
        <v>-139.26568660941015</v>
      </c>
      <c r="H85">
        <v>-79.058675449673927</v>
      </c>
      <c r="I85">
        <v>57.664725255576101</v>
      </c>
      <c r="J85">
        <v>24.805330779634801</v>
      </c>
      <c r="K85">
        <v>17.6228780817444</v>
      </c>
      <c r="L85">
        <v>1.7633489290803178E-3</v>
      </c>
      <c r="M85">
        <v>5.6978937911685359E-4</v>
      </c>
      <c r="N85" s="1">
        <v>-1.0220765148883499E-5</v>
      </c>
      <c r="O85" s="1">
        <v>1.6704854500853002E-5</v>
      </c>
      <c r="P85" s="1">
        <v>-2.5738093446468001E-5</v>
      </c>
      <c r="AE85">
        <v>100</v>
      </c>
      <c r="AJ85">
        <v>1</v>
      </c>
    </row>
    <row r="86" spans="1:36" x14ac:dyDescent="0.2">
      <c r="A86">
        <v>85</v>
      </c>
      <c r="B86">
        <v>770</v>
      </c>
      <c r="C86">
        <v>150</v>
      </c>
      <c r="D86">
        <v>0.44402099410439499</v>
      </c>
      <c r="E86">
        <v>6.33847344089898</v>
      </c>
      <c r="F86">
        <v>0.35876403269776902</v>
      </c>
      <c r="G86">
        <v>-139.80730197477251</v>
      </c>
      <c r="H86">
        <v>-79.423935991126797</v>
      </c>
      <c r="I86">
        <v>57.889079468317497</v>
      </c>
      <c r="J86">
        <v>24.939209436987198</v>
      </c>
      <c r="K86">
        <v>17.6675275758165</v>
      </c>
      <c r="L86">
        <v>1.767040751239434E-3</v>
      </c>
      <c r="M86">
        <v>5.6933137529686657E-4</v>
      </c>
      <c r="N86" s="1">
        <v>-1.01025870441811E-5</v>
      </c>
      <c r="O86" s="1">
        <v>1.6747015567916999E-5</v>
      </c>
      <c r="P86" s="1">
        <v>-2.5905729501010099E-5</v>
      </c>
      <c r="AE86">
        <v>100</v>
      </c>
      <c r="AJ86">
        <v>1</v>
      </c>
    </row>
    <row r="87" spans="1:36" x14ac:dyDescent="0.2">
      <c r="A87">
        <v>86</v>
      </c>
      <c r="B87">
        <v>769</v>
      </c>
      <c r="C87">
        <v>150</v>
      </c>
      <c r="D87">
        <v>0.44342033296550898</v>
      </c>
      <c r="E87">
        <v>6.4333609896131998</v>
      </c>
      <c r="F87">
        <v>0.359399207942393</v>
      </c>
      <c r="G87">
        <v>-141.84148700481154</v>
      </c>
      <c r="H87">
        <v>-80.638246187047173</v>
      </c>
      <c r="I87">
        <v>58.731394119825502</v>
      </c>
      <c r="J87">
        <v>25.340142061360101</v>
      </c>
      <c r="K87">
        <v>17.900320444346601</v>
      </c>
      <c r="L87">
        <v>1.7707373804070827E-3</v>
      </c>
      <c r="M87">
        <v>5.6886884754770936E-4</v>
      </c>
      <c r="N87" s="1">
        <v>-1.0086355592314E-5</v>
      </c>
      <c r="O87" s="1">
        <v>1.6967401487718399E-5</v>
      </c>
      <c r="P87" s="1">
        <v>-2.6351436372006301E-5</v>
      </c>
      <c r="AE87">
        <v>100</v>
      </c>
      <c r="AJ87">
        <v>1</v>
      </c>
    </row>
    <row r="88" spans="1:36" x14ac:dyDescent="0.2">
      <c r="A88">
        <v>87</v>
      </c>
      <c r="B88">
        <v>768</v>
      </c>
      <c r="C88">
        <v>150</v>
      </c>
      <c r="D88">
        <v>0.442818517984921</v>
      </c>
      <c r="E88">
        <v>6.5676553983267798</v>
      </c>
      <c r="F88">
        <v>0.36003683949936299</v>
      </c>
      <c r="G88">
        <v>-144.74243893376027</v>
      </c>
      <c r="H88">
        <v>-82.347427713446308</v>
      </c>
      <c r="I88">
        <v>59.9325453931067</v>
      </c>
      <c r="J88">
        <v>25.897366150191498</v>
      </c>
      <c r="K88">
        <v>18.241620517109201</v>
      </c>
      <c r="L88">
        <v>1.774438670789342E-3</v>
      </c>
      <c r="M88">
        <v>5.6840175416322618E-4</v>
      </c>
      <c r="N88" s="1">
        <v>-1.01229867927135E-5</v>
      </c>
      <c r="O88" s="1">
        <v>1.7290512782782601E-5</v>
      </c>
      <c r="P88" s="1">
        <v>-2.6960827171535602E-5</v>
      </c>
      <c r="AE88">
        <v>100</v>
      </c>
      <c r="AJ88">
        <v>1</v>
      </c>
    </row>
    <row r="89" spans="1:36" x14ac:dyDescent="0.2">
      <c r="A89">
        <v>88</v>
      </c>
      <c r="B89">
        <v>767</v>
      </c>
      <c r="C89">
        <v>150</v>
      </c>
      <c r="D89">
        <v>0.44221554583473799</v>
      </c>
      <c r="E89">
        <v>6.7216164158072802</v>
      </c>
      <c r="F89">
        <v>0.36067693810235402</v>
      </c>
      <c r="G89">
        <v>-148.07421137249693</v>
      </c>
      <c r="H89">
        <v>-84.304360645476351</v>
      </c>
      <c r="I89">
        <v>61.312019659364701</v>
      </c>
      <c r="J89">
        <v>26.533470964164302</v>
      </c>
      <c r="K89">
        <v>18.636113667738201</v>
      </c>
      <c r="L89">
        <v>1.7781444734358755E-3</v>
      </c>
      <c r="M89">
        <v>5.6793005320932509E-4</v>
      </c>
      <c r="N89" s="1">
        <v>-1.01792421514877E-5</v>
      </c>
      <c r="O89" s="1">
        <v>1.7663904797984501E-5</v>
      </c>
      <c r="P89" s="1">
        <v>-2.7653764888694101E-5</v>
      </c>
      <c r="AE89">
        <v>100</v>
      </c>
      <c r="AJ89">
        <v>1</v>
      </c>
    </row>
    <row r="90" spans="1:36" x14ac:dyDescent="0.2">
      <c r="A90">
        <v>89</v>
      </c>
      <c r="B90">
        <v>766</v>
      </c>
      <c r="C90">
        <v>150</v>
      </c>
      <c r="D90">
        <v>0.44161141317423203</v>
      </c>
      <c r="E90">
        <v>7.3474830999764196</v>
      </c>
      <c r="F90">
        <v>0.36131951448594002</v>
      </c>
      <c r="G90">
        <v>-161.79476826358695</v>
      </c>
      <c r="H90">
        <v>-92.183172596184747</v>
      </c>
      <c r="I90">
        <v>66.993023479208105</v>
      </c>
      <c r="J90">
        <v>29.035881141157901</v>
      </c>
      <c r="K90">
        <v>20.335140520793299</v>
      </c>
      <c r="L90">
        <v>1.7818546362032698E-3</v>
      </c>
      <c r="M90">
        <v>5.6745370252813732E-4</v>
      </c>
      <c r="N90" s="1">
        <v>-1.09257733610814E-5</v>
      </c>
      <c r="O90" s="1">
        <v>1.92735792294965E-5</v>
      </c>
      <c r="P90" s="1">
        <v>-3.0295488850494698E-5</v>
      </c>
      <c r="AE90">
        <v>100</v>
      </c>
      <c r="AJ90">
        <v>1</v>
      </c>
    </row>
    <row r="91" spans="1:36" x14ac:dyDescent="0.2">
      <c r="A91">
        <v>90</v>
      </c>
      <c r="B91">
        <v>765</v>
      </c>
      <c r="C91">
        <v>150</v>
      </c>
      <c r="D91">
        <v>0.44100611664981298</v>
      </c>
      <c r="E91">
        <v>8.0081172644100302</v>
      </c>
      <c r="F91">
        <v>0.36196457938427801</v>
      </c>
      <c r="G91">
        <v>-176.26921809417837</v>
      </c>
      <c r="H91">
        <v>-100.50330111074382</v>
      </c>
      <c r="I91">
        <v>72.986080739669504</v>
      </c>
      <c r="J91">
        <v>31.6813638531574</v>
      </c>
      <c r="K91">
        <v>22.124035666783399</v>
      </c>
      <c r="L91">
        <v>1.785569003718588E-3</v>
      </c>
      <c r="M91">
        <v>5.6697265974241619E-4</v>
      </c>
      <c r="N91" s="1">
        <v>-1.1685044319820501E-5</v>
      </c>
      <c r="O91" s="1">
        <v>2.0968155980237302E-5</v>
      </c>
      <c r="P91" s="1">
        <v>-3.3092509202515E-5</v>
      </c>
      <c r="AE91">
        <v>100</v>
      </c>
      <c r="AJ91">
        <v>1</v>
      </c>
    </row>
    <row r="92" spans="1:36" x14ac:dyDescent="0.2">
      <c r="A92">
        <v>91</v>
      </c>
      <c r="B92">
        <v>764</v>
      </c>
      <c r="C92">
        <v>150</v>
      </c>
      <c r="D92">
        <v>0.44039965289495597</v>
      </c>
      <c r="E92">
        <v>9.01976282908584</v>
      </c>
      <c r="F92">
        <v>0.36261214352975601</v>
      </c>
      <c r="G92">
        <v>-198.45468159241017</v>
      </c>
      <c r="H92">
        <v>-113.2353367542715</v>
      </c>
      <c r="I92">
        <v>82.171823265975306</v>
      </c>
      <c r="J92">
        <v>35.7228860508474</v>
      </c>
      <c r="K92">
        <v>24.874409172525802</v>
      </c>
      <c r="L92">
        <v>1.7892874173430719E-3</v>
      </c>
      <c r="M92">
        <v>5.6648688226013013E-4</v>
      </c>
      <c r="N92" s="1">
        <v>-1.29056771171407E-5</v>
      </c>
      <c r="O92" s="1">
        <v>2.3573613358688298E-5</v>
      </c>
      <c r="P92" s="1">
        <v>-3.7355565128097798E-5</v>
      </c>
      <c r="AE92">
        <v>100</v>
      </c>
      <c r="AJ92">
        <v>1</v>
      </c>
    </row>
    <row r="93" spans="1:36" x14ac:dyDescent="0.2">
      <c r="A93">
        <v>92</v>
      </c>
      <c r="B93">
        <v>763</v>
      </c>
      <c r="C93">
        <v>150</v>
      </c>
      <c r="D93">
        <v>0.43979201853014099</v>
      </c>
      <c r="E93">
        <v>9.7586891179938302</v>
      </c>
      <c r="F93">
        <v>0.36326221765161398</v>
      </c>
      <c r="G93">
        <v>-214.62380522106415</v>
      </c>
      <c r="H93">
        <v>-122.55058921820269</v>
      </c>
      <c r="I93">
        <v>88.866284344956696</v>
      </c>
      <c r="J93">
        <v>38.692055942365002</v>
      </c>
      <c r="K93">
        <v>26.864035519798701</v>
      </c>
      <c r="L93">
        <v>1.7930097151359569E-3</v>
      </c>
      <c r="M93">
        <v>5.6599632727922838E-4</v>
      </c>
      <c r="N93" s="1">
        <v>-1.3681886214298901E-5</v>
      </c>
      <c r="O93" s="1">
        <v>2.5457682542971398E-5</v>
      </c>
      <c r="P93" s="1">
        <v>-4.0505457432243999E-5</v>
      </c>
      <c r="AE93">
        <v>100</v>
      </c>
      <c r="AJ93">
        <v>1</v>
      </c>
    </row>
    <row r="94" spans="1:36" x14ac:dyDescent="0.2">
      <c r="A94">
        <v>93</v>
      </c>
      <c r="B94">
        <v>762</v>
      </c>
      <c r="C94">
        <v>150</v>
      </c>
      <c r="D94">
        <v>0.439183210162781</v>
      </c>
      <c r="E94">
        <v>10.2116805820768</v>
      </c>
      <c r="F94">
        <v>0.363914812474528</v>
      </c>
      <c r="G94">
        <v>-224.49351899859414</v>
      </c>
      <c r="H94">
        <v>-128.27981159118318</v>
      </c>
      <c r="I94">
        <v>92.952278566496702</v>
      </c>
      <c r="J94">
        <v>40.532870759192598</v>
      </c>
      <c r="K94">
        <v>28.060634610171402</v>
      </c>
      <c r="L94">
        <v>1.7967357318186272E-3</v>
      </c>
      <c r="M94">
        <v>5.6550095179265535E-4</v>
      </c>
      <c r="N94" s="1">
        <v>-1.40179959680124E-5</v>
      </c>
      <c r="O94" s="1">
        <v>2.6589857363007699E-5</v>
      </c>
      <c r="P94" s="1">
        <v>-4.2479757031216202E-5</v>
      </c>
      <c r="AE94">
        <v>100</v>
      </c>
      <c r="AJ94">
        <v>1</v>
      </c>
    </row>
    <row r="95" spans="1:36" x14ac:dyDescent="0.2">
      <c r="A95">
        <v>94</v>
      </c>
      <c r="B95">
        <v>761</v>
      </c>
      <c r="C95">
        <v>150</v>
      </c>
      <c r="D95">
        <v>0.43857322438717999</v>
      </c>
      <c r="E95">
        <v>10.413081680655299</v>
      </c>
      <c r="F95">
        <v>0.36456993871718202</v>
      </c>
      <c r="G95">
        <v>-228.82635386708458</v>
      </c>
      <c r="H95">
        <v>-130.85118076699266</v>
      </c>
      <c r="I95">
        <v>94.745570859997102</v>
      </c>
      <c r="J95">
        <v>41.378060879197797</v>
      </c>
      <c r="K95">
        <v>28.5626448447615</v>
      </c>
      <c r="L95">
        <v>1.8004652987390153E-3</v>
      </c>
      <c r="M95">
        <v>5.650007125935926E-4</v>
      </c>
      <c r="N95" s="1">
        <v>-1.3984547386843399E-5</v>
      </c>
      <c r="O95" s="1">
        <v>2.7063530686309701E-5</v>
      </c>
      <c r="P95" s="1">
        <v>-4.3413782984096497E-5</v>
      </c>
      <c r="AE95">
        <v>100</v>
      </c>
      <c r="AJ95">
        <v>1</v>
      </c>
    </row>
    <row r="96" spans="1:36" x14ac:dyDescent="0.2">
      <c r="A96">
        <v>95</v>
      </c>
      <c r="B96">
        <v>791</v>
      </c>
      <c r="C96">
        <v>125</v>
      </c>
      <c r="D96">
        <v>0.48221632288681698</v>
      </c>
      <c r="E96">
        <v>6.6123410879132196</v>
      </c>
      <c r="F96">
        <v>0.29300400180150099</v>
      </c>
      <c r="G96">
        <v>-147.63941310749752</v>
      </c>
      <c r="H96">
        <v>-81.879027111809279</v>
      </c>
      <c r="I96">
        <v>61.799718069165998</v>
      </c>
      <c r="J96">
        <v>24.874994086714501</v>
      </c>
      <c r="K96">
        <v>22.567408797347401</v>
      </c>
      <c r="L96">
        <v>1.7621087417196372E-3</v>
      </c>
      <c r="M96">
        <v>7.6247714969804314E-4</v>
      </c>
      <c r="N96" s="1">
        <v>-3.0193812978145199E-5</v>
      </c>
      <c r="O96" s="1">
        <v>3.2994148024249301E-5</v>
      </c>
      <c r="P96" s="1">
        <v>-3.42257644195634E-5</v>
      </c>
      <c r="AE96">
        <v>100</v>
      </c>
      <c r="AJ96">
        <v>1</v>
      </c>
    </row>
    <row r="97" spans="1:36" x14ac:dyDescent="0.2">
      <c r="A97">
        <v>96</v>
      </c>
      <c r="B97">
        <v>790</v>
      </c>
      <c r="C97">
        <v>125</v>
      </c>
      <c r="D97">
        <v>0.48166345294643498</v>
      </c>
      <c r="E97">
        <v>6.6142748523815804</v>
      </c>
      <c r="F97">
        <v>0.29352141477889798</v>
      </c>
      <c r="G97">
        <v>-147.62078383408647</v>
      </c>
      <c r="H97">
        <v>-81.92786911567957</v>
      </c>
      <c r="I97">
        <v>61.794384435536301</v>
      </c>
      <c r="J97">
        <v>24.9110854846104</v>
      </c>
      <c r="K97">
        <v>22.534215629084201</v>
      </c>
      <c r="L97">
        <v>1.7665604202865047E-3</v>
      </c>
      <c r="M97">
        <v>7.6230257397057058E-4</v>
      </c>
      <c r="N97" s="1">
        <v>-3.01881710950294E-5</v>
      </c>
      <c r="O97" s="1">
        <v>3.2964537840688E-5</v>
      </c>
      <c r="P97" s="1">
        <v>-3.4314616734031402E-5</v>
      </c>
      <c r="AE97">
        <v>100</v>
      </c>
      <c r="AJ97">
        <v>1</v>
      </c>
    </row>
    <row r="98" spans="1:36" x14ac:dyDescent="0.2">
      <c r="A98">
        <v>97</v>
      </c>
      <c r="B98">
        <v>789</v>
      </c>
      <c r="C98">
        <v>125</v>
      </c>
      <c r="D98">
        <v>0.48110954196676597</v>
      </c>
      <c r="E98">
        <v>6.6368234343388997</v>
      </c>
      <c r="F98">
        <v>0.29404105298782102</v>
      </c>
      <c r="G98">
        <v>-148.06204138669924</v>
      </c>
      <c r="H98">
        <v>-82.232178181563739</v>
      </c>
      <c r="I98">
        <v>61.981510335689102</v>
      </c>
      <c r="J98">
        <v>25.025079938336798</v>
      </c>
      <c r="K98">
        <v>22.5710776332098</v>
      </c>
      <c r="L98">
        <v>1.7710295393128859E-3</v>
      </c>
      <c r="M98">
        <v>7.6212488559126935E-4</v>
      </c>
      <c r="N98" s="1">
        <v>-3.0274610925328299E-5</v>
      </c>
      <c r="O98" s="1">
        <v>3.3037433590683698E-5</v>
      </c>
      <c r="P98" s="1">
        <v>-3.4511287514028003E-5</v>
      </c>
      <c r="AE98">
        <v>100</v>
      </c>
      <c r="AJ98">
        <v>1</v>
      </c>
    </row>
    <row r="99" spans="1:36" x14ac:dyDescent="0.2">
      <c r="A99">
        <v>98</v>
      </c>
      <c r="B99">
        <v>788</v>
      </c>
      <c r="C99">
        <v>125</v>
      </c>
      <c r="D99">
        <v>0.48055458700466802</v>
      </c>
      <c r="E99">
        <v>6.65939319025785</v>
      </c>
      <c r="F99">
        <v>0.29456293014801499</v>
      </c>
      <c r="G99">
        <v>-148.50337351214654</v>
      </c>
      <c r="H99">
        <v>-82.536948872950731</v>
      </c>
      <c r="I99">
        <v>62.168624184057698</v>
      </c>
      <c r="J99">
        <v>25.139508577420099</v>
      </c>
      <c r="K99">
        <v>22.607709622224199</v>
      </c>
      <c r="L99">
        <v>1.7755161207574585E-3</v>
      </c>
      <c r="M99">
        <v>7.6194404098586788E-4</v>
      </c>
      <c r="N99" s="1">
        <v>-3.0359035506142201E-5</v>
      </c>
      <c r="O99" s="1">
        <v>3.31100748555903E-5</v>
      </c>
      <c r="P99" s="1">
        <v>-3.4709194290210198E-5</v>
      </c>
      <c r="AE99">
        <v>100</v>
      </c>
      <c r="AJ99">
        <v>1</v>
      </c>
    </row>
    <row r="100" spans="1:36" x14ac:dyDescent="0.2">
      <c r="A100">
        <v>99</v>
      </c>
      <c r="B100">
        <v>787</v>
      </c>
      <c r="C100">
        <v>125</v>
      </c>
      <c r="D100">
        <v>0.479998585105882</v>
      </c>
      <c r="E100">
        <v>6.6819738617210502</v>
      </c>
      <c r="F100">
        <v>0.29508706006717</v>
      </c>
      <c r="G100">
        <v>-148.9445512424883</v>
      </c>
      <c r="H100">
        <v>-82.842054702177819</v>
      </c>
      <c r="I100">
        <v>62.355629275172703</v>
      </c>
      <c r="J100">
        <v>25.254335079435801</v>
      </c>
      <c r="K100">
        <v>22.644076159083401</v>
      </c>
      <c r="L100">
        <v>1.7800201848946903E-3</v>
      </c>
      <c r="M100">
        <v>7.6175999597960368E-4</v>
      </c>
      <c r="N100" s="1">
        <v>-3.0441336257019E-5</v>
      </c>
      <c r="O100" s="1">
        <v>3.3182408043859303E-5</v>
      </c>
      <c r="P100" s="1">
        <v>-3.4908294667892197E-5</v>
      </c>
      <c r="AE100">
        <v>100</v>
      </c>
      <c r="AJ100">
        <v>1</v>
      </c>
    </row>
    <row r="101" spans="1:36" x14ac:dyDescent="0.2">
      <c r="A101">
        <v>100</v>
      </c>
      <c r="B101">
        <v>786</v>
      </c>
      <c r="C101">
        <v>125</v>
      </c>
      <c r="D101">
        <v>0.47944153330501299</v>
      </c>
      <c r="E101">
        <v>6.7045553940124103</v>
      </c>
      <c r="F101">
        <v>0.295613456641098</v>
      </c>
      <c r="G101">
        <v>-149.38535053271139</v>
      </c>
      <c r="H101">
        <v>-83.147371555897038</v>
      </c>
      <c r="I101">
        <v>62.542430944736502</v>
      </c>
      <c r="J101">
        <v>25.369523713918198</v>
      </c>
      <c r="K101">
        <v>22.6801427451671</v>
      </c>
      <c r="L101">
        <v>1.7845417502645993E-3</v>
      </c>
      <c r="M101">
        <v>7.6157270578989535E-4</v>
      </c>
      <c r="N101" s="1">
        <v>-3.0521404380337099E-5</v>
      </c>
      <c r="O101" s="1">
        <v>3.3254380773993699E-5</v>
      </c>
      <c r="P101" s="1">
        <v>-3.5108546888766102E-5</v>
      </c>
      <c r="AE101">
        <v>100</v>
      </c>
      <c r="AJ101">
        <v>1</v>
      </c>
    </row>
    <row r="102" spans="1:36" x14ac:dyDescent="0.2">
      <c r="A102">
        <v>101</v>
      </c>
      <c r="B102">
        <v>785</v>
      </c>
      <c r="C102">
        <v>125</v>
      </c>
      <c r="D102">
        <v>0.47888342862543298</v>
      </c>
      <c r="E102">
        <v>6.7271279711539602</v>
      </c>
      <c r="F102">
        <v>0.29614213385389898</v>
      </c>
      <c r="G102">
        <v>-149.82555303120492</v>
      </c>
      <c r="H102">
        <v>-83.45277813312731</v>
      </c>
      <c r="I102">
        <v>62.728936893441997</v>
      </c>
      <c r="J102">
        <v>25.485039476807501</v>
      </c>
      <c r="K102">
        <v>22.715875932982701</v>
      </c>
      <c r="L102">
        <v>1.7890808336215281E-3</v>
      </c>
      <c r="M102">
        <v>7.613821250189776E-4</v>
      </c>
      <c r="N102" s="1">
        <v>-3.0599131028563999E-5</v>
      </c>
      <c r="O102" s="1">
        <v>3.3325942042448603E-5</v>
      </c>
      <c r="P102" s="1">
        <v>-3.5309910016759502E-5</v>
      </c>
      <c r="AE102">
        <v>100</v>
      </c>
      <c r="AJ102">
        <v>1</v>
      </c>
    </row>
    <row r="103" spans="1:36" x14ac:dyDescent="0.2">
      <c r="A103">
        <v>102</v>
      </c>
      <c r="B103">
        <v>784</v>
      </c>
      <c r="C103">
        <v>125</v>
      </c>
      <c r="D103">
        <v>0.47832426807926898</v>
      </c>
      <c r="E103">
        <v>6.7496820460600198</v>
      </c>
      <c r="F103">
        <v>0.29667310577810901</v>
      </c>
      <c r="G103">
        <v>-150.2649467395851</v>
      </c>
      <c r="H103">
        <v>-83.75815632352122</v>
      </c>
      <c r="I103">
        <v>62.915057464511698</v>
      </c>
      <c r="J103">
        <v>25.600848207370401</v>
      </c>
      <c r="K103">
        <v>22.751243421128599</v>
      </c>
      <c r="L103">
        <v>1.7936374498817901E-3</v>
      </c>
      <c r="M103">
        <v>7.611882076465267E-4</v>
      </c>
      <c r="N103" s="1">
        <v>-3.0674407448628302E-5</v>
      </c>
      <c r="O103" s="1">
        <v>3.3397042366087003E-5</v>
      </c>
      <c r="P103" s="1">
        <v>-3.5512344100867098E-5</v>
      </c>
      <c r="AE103">
        <v>100</v>
      </c>
      <c r="AJ103">
        <v>1</v>
      </c>
    </row>
    <row r="104" spans="1:36" x14ac:dyDescent="0.2">
      <c r="A104">
        <v>103</v>
      </c>
      <c r="B104">
        <v>783</v>
      </c>
      <c r="C104">
        <v>125</v>
      </c>
      <c r="D104">
        <v>0.47776404866733202</v>
      </c>
      <c r="E104">
        <v>6.7722083666204398</v>
      </c>
      <c r="F104">
        <v>0.297206386574835</v>
      </c>
      <c r="G104">
        <v>-150.70332658025598</v>
      </c>
      <c r="H104">
        <v>-84.063391535799767</v>
      </c>
      <c r="I104">
        <v>63.100705882634799</v>
      </c>
      <c r="J104">
        <v>25.716916690525899</v>
      </c>
      <c r="K104">
        <v>22.786214134450301</v>
      </c>
      <c r="L104">
        <v>1.7982116120702145E-3</v>
      </c>
      <c r="M104">
        <v>7.6099090702220942E-4</v>
      </c>
      <c r="N104" s="1">
        <v>-3.0747125107021099E-5</v>
      </c>
      <c r="O104" s="1">
        <v>3.3467633903390997E-5</v>
      </c>
      <c r="P104" s="1">
        <v>-3.5715810318866802E-5</v>
      </c>
      <c r="AE104">
        <v>100</v>
      </c>
      <c r="AJ104">
        <v>1</v>
      </c>
    </row>
    <row r="105" spans="1:36" x14ac:dyDescent="0.2">
      <c r="A105">
        <v>104</v>
      </c>
      <c r="B105">
        <v>782</v>
      </c>
      <c r="C105">
        <v>125</v>
      </c>
      <c r="D105">
        <v>0.47720276737904699</v>
      </c>
      <c r="E105">
        <v>6.7946979969733103</v>
      </c>
      <c r="F105">
        <v>0.29774199049387401</v>
      </c>
      <c r="G105">
        <v>-151.14049485551729</v>
      </c>
      <c r="H105">
        <v>-84.368372967058107</v>
      </c>
      <c r="I105">
        <v>63.2857984475148</v>
      </c>
      <c r="J105">
        <v>25.833212741673101</v>
      </c>
      <c r="K105">
        <v>22.820758287075002</v>
      </c>
      <c r="L105">
        <v>1.8028033312655956E-3</v>
      </c>
      <c r="M105">
        <v>7.6079017585822513E-4</v>
      </c>
      <c r="N105" s="1">
        <v>-3.0817175792167803E-5</v>
      </c>
      <c r="O105" s="1">
        <v>3.3537670550947499E-5</v>
      </c>
      <c r="P105" s="1">
        <v>-3.5920271097718698E-5</v>
      </c>
      <c r="AE105">
        <v>100</v>
      </c>
      <c r="AJ105">
        <v>1</v>
      </c>
    </row>
    <row r="106" spans="1:36" x14ac:dyDescent="0.2">
      <c r="A106">
        <v>105</v>
      </c>
      <c r="B106">
        <v>781</v>
      </c>
      <c r="C106">
        <v>125</v>
      </c>
      <c r="D106">
        <v>0.476640421192431</v>
      </c>
      <c r="E106">
        <v>6.8171423345411597</v>
      </c>
      <c r="F106">
        <v>0.29827993187381202</v>
      </c>
      <c r="G106">
        <v>-151.57626161130463</v>
      </c>
      <c r="H106">
        <v>-84.672993819957753</v>
      </c>
      <c r="I106">
        <v>63.470254687483902</v>
      </c>
      <c r="J106">
        <v>25.949705276040898</v>
      </c>
      <c r="K106">
        <v>22.854847430450501</v>
      </c>
      <c r="L106">
        <v>1.8074126165450435E-3</v>
      </c>
      <c r="M106">
        <v>7.6058596622182633E-4</v>
      </c>
      <c r="N106" s="1">
        <v>-3.0884451696640802E-5</v>
      </c>
      <c r="O106" s="1">
        <v>3.3607108018228502E-5</v>
      </c>
      <c r="P106" s="1">
        <v>-3.6125690213310799E-5</v>
      </c>
      <c r="AE106">
        <v>100</v>
      </c>
      <c r="AJ106">
        <v>1</v>
      </c>
    </row>
    <row r="107" spans="1:36" x14ac:dyDescent="0.2">
      <c r="A107">
        <v>106</v>
      </c>
      <c r="B107">
        <v>780</v>
      </c>
      <c r="C107">
        <v>125</v>
      </c>
      <c r="D107">
        <v>0.47607700707401701</v>
      </c>
      <c r="E107">
        <v>6.8395331222088496</v>
      </c>
      <c r="F107">
        <v>0.29882022514210899</v>
      </c>
      <c r="G107">
        <v>-152.0104448920136</v>
      </c>
      <c r="H107">
        <v>-84.977151459959856</v>
      </c>
      <c r="I107">
        <v>63.6539974675038</v>
      </c>
      <c r="J107">
        <v>26.0663643600851</v>
      </c>
      <c r="K107">
        <v>22.888454484485401</v>
      </c>
      <c r="L107">
        <v>1.8120394749271233E-3</v>
      </c>
      <c r="M107">
        <v>7.6037822952778461E-4</v>
      </c>
      <c r="N107" s="1">
        <v>-3.0948845476362297E-5</v>
      </c>
      <c r="O107" s="1">
        <v>3.36759038777787E-5</v>
      </c>
      <c r="P107" s="1">
        <v>-3.6332032865915498E-5</v>
      </c>
      <c r="AE107">
        <v>100</v>
      </c>
      <c r="AJ107">
        <v>1</v>
      </c>
    </row>
    <row r="108" spans="1:36" x14ac:dyDescent="0.2">
      <c r="A108">
        <v>107</v>
      </c>
      <c r="B108">
        <v>779</v>
      </c>
      <c r="C108">
        <v>125</v>
      </c>
      <c r="D108">
        <v>0.475512521978807</v>
      </c>
      <c r="E108">
        <v>6.86186245628714</v>
      </c>
      <c r="F108">
        <v>0.29936288481516998</v>
      </c>
      <c r="G108">
        <v>-152.44287090103762</v>
      </c>
      <c r="H108">
        <v>-85.280747520479636</v>
      </c>
      <c r="I108">
        <v>63.8369530576648</v>
      </c>
      <c r="J108">
        <v>26.183161247236601</v>
      </c>
      <c r="K108">
        <v>22.921553754146</v>
      </c>
      <c r="L108">
        <v>1.8166839113140034E-3</v>
      </c>
      <c r="M108">
        <v>7.601669165309006E-4</v>
      </c>
      <c r="N108" s="1">
        <v>-3.1010250289783802E-5</v>
      </c>
      <c r="O108" s="1">
        <v>3.3744017594176903E-5</v>
      </c>
      <c r="P108" s="1">
        <v>-3.6539265734378197E-5</v>
      </c>
      <c r="AE108">
        <v>100</v>
      </c>
      <c r="AJ108">
        <v>1</v>
      </c>
    </row>
    <row r="109" spans="1:36" x14ac:dyDescent="0.2">
      <c r="A109">
        <v>108</v>
      </c>
      <c r="B109">
        <v>778</v>
      </c>
      <c r="C109">
        <v>125</v>
      </c>
      <c r="D109">
        <v>0.47494696285021398</v>
      </c>
      <c r="E109">
        <v>6.9697457509533001</v>
      </c>
      <c r="F109">
        <v>0.29990792549838502</v>
      </c>
      <c r="G109">
        <v>-154.77477404188767</v>
      </c>
      <c r="H109">
        <v>-86.648156003983416</v>
      </c>
      <c r="I109">
        <v>64.815303766745302</v>
      </c>
      <c r="J109">
        <v>26.627181930147099</v>
      </c>
      <c r="K109">
        <v>23.2396184241247</v>
      </c>
      <c r="L109">
        <v>1.8213459284321186E-3</v>
      </c>
      <c r="M109">
        <v>7.599519773183735E-4</v>
      </c>
      <c r="N109" s="1">
        <v>-3.1454982627445497E-5</v>
      </c>
      <c r="O109" s="1">
        <v>3.4231948218895199E-5</v>
      </c>
      <c r="P109" s="1">
        <v>-3.7204411247925001E-5</v>
      </c>
      <c r="AE109">
        <v>100</v>
      </c>
      <c r="AJ109">
        <v>1</v>
      </c>
    </row>
    <row r="110" spans="1:36" x14ac:dyDescent="0.2">
      <c r="A110">
        <v>109</v>
      </c>
      <c r="B110">
        <v>777</v>
      </c>
      <c r="C110">
        <v>125</v>
      </c>
      <c r="D110">
        <v>0.47438032662001101</v>
      </c>
      <c r="E110">
        <v>7.0935178881204699</v>
      </c>
      <c r="F110">
        <v>0.30045536188616701</v>
      </c>
      <c r="G110">
        <v>-157.45738638153978</v>
      </c>
      <c r="H110">
        <v>-88.21401271162587</v>
      </c>
      <c r="I110">
        <v>65.940516132401399</v>
      </c>
      <c r="J110">
        <v>27.133153185681302</v>
      </c>
      <c r="K110">
        <v>23.6092238247622</v>
      </c>
      <c r="L110">
        <v>1.8260255267720867E-3</v>
      </c>
      <c r="M110">
        <v>7.5973336130231149E-4</v>
      </c>
      <c r="N110" s="1">
        <v>-3.1967345158457602E-5</v>
      </c>
      <c r="O110" s="1">
        <v>3.4796386432487297E-5</v>
      </c>
      <c r="P110" s="1">
        <v>-3.7958059237549597E-5</v>
      </c>
      <c r="AE110">
        <v>100</v>
      </c>
      <c r="AJ110">
        <v>1</v>
      </c>
    </row>
    <row r="111" spans="1:36" x14ac:dyDescent="0.2">
      <c r="A111">
        <v>110</v>
      </c>
      <c r="B111">
        <v>776</v>
      </c>
      <c r="C111">
        <v>125</v>
      </c>
      <c r="D111">
        <v>0.47381261020826598</v>
      </c>
      <c r="E111">
        <v>7.2385776037901302</v>
      </c>
      <c r="F111">
        <v>0.30100520876195502</v>
      </c>
      <c r="G111">
        <v>-160.61005366017338</v>
      </c>
      <c r="H111">
        <v>-90.045660366636213</v>
      </c>
      <c r="I111">
        <v>67.2625798523963</v>
      </c>
      <c r="J111">
        <v>27.721982949769401</v>
      </c>
      <c r="K111">
        <v>24.0480144299251</v>
      </c>
      <c r="L111">
        <v>1.8307227045269467E-3</v>
      </c>
      <c r="M111">
        <v>7.5951101721206851E-4</v>
      </c>
      <c r="N111" s="1">
        <v>-3.2571127389721903E-5</v>
      </c>
      <c r="O111" s="1">
        <v>3.5463482000809297E-5</v>
      </c>
      <c r="P111" s="1">
        <v>-3.88298347923873E-5</v>
      </c>
      <c r="AE111">
        <v>100</v>
      </c>
      <c r="AJ111">
        <v>1</v>
      </c>
    </row>
    <row r="112" spans="1:36" x14ac:dyDescent="0.2">
      <c r="A112">
        <v>111</v>
      </c>
      <c r="B112">
        <v>775</v>
      </c>
      <c r="C112">
        <v>125</v>
      </c>
      <c r="D112">
        <v>0.473243810523307</v>
      </c>
      <c r="E112">
        <v>7.6119967851810397</v>
      </c>
      <c r="F112">
        <v>0.301557480998209</v>
      </c>
      <c r="G112">
        <v>-168.82478535392158</v>
      </c>
      <c r="H112">
        <v>-94.72004919298395</v>
      </c>
      <c r="I112">
        <v>70.704662703742997</v>
      </c>
      <c r="J112">
        <v>29.187993569050398</v>
      </c>
      <c r="K112">
        <v>25.242274739740999</v>
      </c>
      <c r="L112">
        <v>1.8354374575295629E-3</v>
      </c>
      <c r="M112">
        <v>7.5928489308669839E-4</v>
      </c>
      <c r="N112" s="1">
        <v>-3.4195910875973803E-5</v>
      </c>
      <c r="O112" s="1">
        <v>3.7246051234505999E-5</v>
      </c>
      <c r="P112" s="1">
        <v>-4.0934174488471101E-5</v>
      </c>
      <c r="AE112">
        <v>100</v>
      </c>
      <c r="AJ112">
        <v>1</v>
      </c>
    </row>
    <row r="113" spans="1:36" x14ac:dyDescent="0.2">
      <c r="A113">
        <v>112</v>
      </c>
      <c r="B113">
        <v>774</v>
      </c>
      <c r="C113">
        <v>125</v>
      </c>
      <c r="D113">
        <v>0.47267392446163797</v>
      </c>
      <c r="E113">
        <v>8.1814330215011601</v>
      </c>
      <c r="F113">
        <v>0.30211219355637597</v>
      </c>
      <c r="G113">
        <v>-181.37820617134383</v>
      </c>
      <c r="H113">
        <v>-101.83723236866432</v>
      </c>
      <c r="I113">
        <v>75.963955231869306</v>
      </c>
      <c r="J113">
        <v>31.410275244997798</v>
      </c>
      <c r="K113">
        <v>27.080777260896799</v>
      </c>
      <c r="L113">
        <v>1.8401697791886687E-3</v>
      </c>
      <c r="M113">
        <v>7.5905493626736138E-4</v>
      </c>
      <c r="N113" s="1">
        <v>-3.6691158945016198E-5</v>
      </c>
      <c r="O113" s="1">
        <v>3.9981798533131297E-5</v>
      </c>
      <c r="P113" s="1">
        <v>-4.41059433211756E-5</v>
      </c>
      <c r="AE113">
        <v>100</v>
      </c>
      <c r="AJ113">
        <v>1</v>
      </c>
    </row>
    <row r="114" spans="1:36" x14ac:dyDescent="0.2">
      <c r="A114">
        <v>113</v>
      </c>
      <c r="B114">
        <v>773</v>
      </c>
      <c r="C114">
        <v>125</v>
      </c>
      <c r="D114">
        <v>0.472102948907902</v>
      </c>
      <c r="E114">
        <v>8.6002154374470408</v>
      </c>
      <c r="F114">
        <v>0.30266936148683299</v>
      </c>
      <c r="G114">
        <v>-190.58256265538304</v>
      </c>
      <c r="H114">
        <v>-107.08300591078299</v>
      </c>
      <c r="I114">
        <v>79.8207506724533</v>
      </c>
      <c r="J114">
        <v>33.059062837511398</v>
      </c>
      <c r="K114">
        <v>28.4145557224535</v>
      </c>
      <c r="L114">
        <v>1.8449196604234806E-3</v>
      </c>
      <c r="M114">
        <v>7.5882109338966256E-4</v>
      </c>
      <c r="N114" s="1">
        <v>-3.8499700078739302E-5</v>
      </c>
      <c r="O114" s="1">
        <v>4.1975063387490302E-5</v>
      </c>
      <c r="P114" s="1">
        <v>-4.6479616064859297E-5</v>
      </c>
      <c r="AE114">
        <v>100</v>
      </c>
      <c r="AJ114">
        <v>1</v>
      </c>
    </row>
    <row r="115" spans="1:36" x14ac:dyDescent="0.2">
      <c r="A115">
        <v>114</v>
      </c>
      <c r="B115">
        <v>772</v>
      </c>
      <c r="C115">
        <v>125</v>
      </c>
      <c r="D115">
        <v>0.47153088073482102</v>
      </c>
      <c r="E115">
        <v>9.5877124871633796</v>
      </c>
      <c r="F115">
        <v>0.30322899992881802</v>
      </c>
      <c r="G115">
        <v>-212.376734313669</v>
      </c>
      <c r="H115">
        <v>-119.41540750391343</v>
      </c>
      <c r="I115">
        <v>88.950689841260697</v>
      </c>
      <c r="J115">
        <v>36.900918844245602</v>
      </c>
      <c r="K115">
        <v>31.6187188211353</v>
      </c>
      <c r="L115">
        <v>1.84968708959735E-3</v>
      </c>
      <c r="M115">
        <v>7.5858331037610021E-4</v>
      </c>
      <c r="N115" s="1">
        <v>-4.2838819844606698E-5</v>
      </c>
      <c r="O115" s="1">
        <v>4.6735173537279597E-5</v>
      </c>
      <c r="P115" s="1">
        <v>-5.1946805544605799E-5</v>
      </c>
      <c r="AE115">
        <v>100</v>
      </c>
      <c r="AJ115">
        <v>1</v>
      </c>
    </row>
    <row r="116" spans="1:36" x14ac:dyDescent="0.2">
      <c r="A116">
        <v>115</v>
      </c>
      <c r="B116">
        <v>771</v>
      </c>
      <c r="C116">
        <v>125</v>
      </c>
      <c r="D116">
        <v>0.47095771680314102</v>
      </c>
      <c r="E116">
        <v>10.006250028025301</v>
      </c>
      <c r="F116">
        <v>0.30379112411033399</v>
      </c>
      <c r="G116">
        <v>-221.55491421481295</v>
      </c>
      <c r="H116">
        <v>-124.6668480015918</v>
      </c>
      <c r="I116">
        <v>92.796813105340505</v>
      </c>
      <c r="J116">
        <v>38.559964393227801</v>
      </c>
      <c r="K116">
        <v>32.9379275228304</v>
      </c>
      <c r="L116">
        <v>1.8544720524500771E-3</v>
      </c>
      <c r="M116">
        <v>7.5834153242848991E-4</v>
      </c>
      <c r="N116" s="1">
        <v>-4.4619616340569403E-5</v>
      </c>
      <c r="O116" s="1">
        <v>4.8712985571254298E-5</v>
      </c>
      <c r="P116" s="1">
        <v>-5.4351435484437901E-5</v>
      </c>
      <c r="AE116">
        <v>100</v>
      </c>
      <c r="AJ116">
        <v>1</v>
      </c>
    </row>
    <row r="117" spans="1:36" x14ac:dyDescent="0.2">
      <c r="A117">
        <v>116</v>
      </c>
      <c r="B117">
        <v>770</v>
      </c>
      <c r="C117">
        <v>125</v>
      </c>
      <c r="D117">
        <v>0.47038345396155901</v>
      </c>
      <c r="E117">
        <v>10.3257811900004</v>
      </c>
      <c r="F117">
        <v>0.30435574934801402</v>
      </c>
      <c r="G117">
        <v>-228.53412123055406</v>
      </c>
      <c r="H117">
        <v>-128.68767041906489</v>
      </c>
      <c r="I117">
        <v>95.721957395927404</v>
      </c>
      <c r="J117">
        <v>39.841291646801501</v>
      </c>
      <c r="K117">
        <v>33.926683534384097</v>
      </c>
      <c r="L117">
        <v>1.8592745320286446E-3</v>
      </c>
      <c r="M117">
        <v>7.5809570402031587E-4</v>
      </c>
      <c r="N117" s="1">
        <v>-4.59479191313058E-5</v>
      </c>
      <c r="O117" s="1">
        <v>5.0204024703725999E-5</v>
      </c>
      <c r="P117" s="1">
        <v>-5.6229419180330102E-5</v>
      </c>
      <c r="AE117">
        <v>100</v>
      </c>
      <c r="AJ117">
        <v>1</v>
      </c>
    </row>
    <row r="118" spans="1:36" x14ac:dyDescent="0.2">
      <c r="A118">
        <v>117</v>
      </c>
      <c r="B118">
        <v>769</v>
      </c>
      <c r="C118">
        <v>125</v>
      </c>
      <c r="D118">
        <v>0.46980808904668597</v>
      </c>
      <c r="E118">
        <v>10.468218905478</v>
      </c>
      <c r="F118">
        <v>0.304922891046987</v>
      </c>
      <c r="G118">
        <v>-231.58958398031447</v>
      </c>
      <c r="H118">
        <v>-130.50325294561574</v>
      </c>
      <c r="I118">
        <v>97.003619049444595</v>
      </c>
      <c r="J118">
        <v>40.441813906881599</v>
      </c>
      <c r="K118">
        <v>34.330708558921899</v>
      </c>
      <c r="L118">
        <v>1.8640945086170369E-3</v>
      </c>
      <c r="M118">
        <v>7.5784576888920767E-4</v>
      </c>
      <c r="N118" s="1">
        <v>-4.64792985174535E-5</v>
      </c>
      <c r="O118" s="1">
        <v>5.0830956033616699E-5</v>
      </c>
      <c r="P118" s="1">
        <v>-5.7150453041451799E-5</v>
      </c>
      <c r="AE118">
        <v>100</v>
      </c>
      <c r="AJ118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02F3A-A8DC-49BA-B938-C9C162D3DCDF}">
  <sheetPr codeName="Sheet14"/>
  <dimension ref="A1:AU118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757</v>
      </c>
      <c r="C2">
        <v>275</v>
      </c>
      <c r="D2">
        <v>0.30264573120419402</v>
      </c>
      <c r="E2">
        <v>202.06308853923881</v>
      </c>
      <c r="F2">
        <v>66.920400968720344</v>
      </c>
      <c r="G2">
        <v>72.670778444728214</v>
      </c>
      <c r="H2">
        <v>68.071001350590834</v>
      </c>
      <c r="J2">
        <v>70.525609786885042</v>
      </c>
      <c r="L2">
        <v>8.7089547432642842</v>
      </c>
      <c r="M2">
        <v>13.924765894343672</v>
      </c>
      <c r="N2">
        <v>2.581397939275011</v>
      </c>
      <c r="O2">
        <v>35.037861785845294</v>
      </c>
      <c r="P2">
        <v>13.60598677887598</v>
      </c>
      <c r="Q2">
        <v>1.0282478217467059</v>
      </c>
      <c r="R2">
        <v>18.567103050278714</v>
      </c>
      <c r="S2">
        <v>51.517165207783918</v>
      </c>
      <c r="U2">
        <v>1.7816018484895015</v>
      </c>
      <c r="V2">
        <v>49.204292143658961</v>
      </c>
      <c r="W2">
        <v>21.904270323045498</v>
      </c>
      <c r="X2">
        <v>48.32695583929096</v>
      </c>
      <c r="Y2">
        <v>10.530111041953509</v>
      </c>
      <c r="Z2">
        <v>33.965414577014563</v>
      </c>
      <c r="AA2">
        <v>7.800162197469886</v>
      </c>
      <c r="AB2">
        <v>37.873099228970084</v>
      </c>
      <c r="AC2">
        <v>4.4549599549422057E-3</v>
      </c>
      <c r="AD2">
        <v>9.6787511224269451</v>
      </c>
      <c r="AE2">
        <v>13.672283736738732</v>
      </c>
      <c r="AF2">
        <v>13.602886550285767</v>
      </c>
      <c r="AG2">
        <v>23.34293669596369</v>
      </c>
      <c r="AH2">
        <v>10.146561796826258</v>
      </c>
      <c r="AI2">
        <v>2.529364175326998</v>
      </c>
      <c r="AK2">
        <v>58.489795798547696</v>
      </c>
    </row>
    <row r="3" spans="1:47" x14ac:dyDescent="0.2">
      <c r="A3">
        <v>2</v>
      </c>
      <c r="B3">
        <v>756</v>
      </c>
      <c r="C3">
        <v>275</v>
      </c>
      <c r="D3">
        <v>0.30190011174270298</v>
      </c>
      <c r="E3">
        <v>201.94854048967878</v>
      </c>
      <c r="F3">
        <v>66.563468188508324</v>
      </c>
      <c r="G3">
        <v>72.611404740811679</v>
      </c>
      <c r="H3">
        <v>68.009233314001349</v>
      </c>
      <c r="J3">
        <v>70.44794085439861</v>
      </c>
      <c r="L3">
        <v>8.6259147738278124</v>
      </c>
      <c r="M3">
        <v>13.862877523612523</v>
      </c>
      <c r="N3">
        <v>2.5786669170862164</v>
      </c>
      <c r="O3">
        <v>34.654194585218114</v>
      </c>
      <c r="P3">
        <v>13.505997351406323</v>
      </c>
      <c r="Q3">
        <v>0.97057086121046454</v>
      </c>
      <c r="R3">
        <v>18.361486209736064</v>
      </c>
      <c r="S3">
        <v>51.094585159418372</v>
      </c>
      <c r="U3">
        <v>1.7069059255524326</v>
      </c>
      <c r="V3">
        <v>49.103439509146</v>
      </c>
      <c r="W3">
        <v>21.71208635578887</v>
      </c>
      <c r="X3">
        <v>48.13917770293537</v>
      </c>
      <c r="Y3">
        <v>10.442914199888236</v>
      </c>
      <c r="Z3">
        <v>33.769328307011591</v>
      </c>
      <c r="AA3">
        <v>7.7145259099538235</v>
      </c>
      <c r="AB3">
        <v>37.729836088663745</v>
      </c>
      <c r="AD3">
        <v>9.5682699902820154</v>
      </c>
      <c r="AE3">
        <v>13.583787976775792</v>
      </c>
      <c r="AF3">
        <v>13.535175383793799</v>
      </c>
      <c r="AG3">
        <v>23.179977404772384</v>
      </c>
      <c r="AH3">
        <v>10.021014178443519</v>
      </c>
      <c r="AI3">
        <v>2.5263460484428664</v>
      </c>
      <c r="AK3">
        <v>58.478394066608644</v>
      </c>
    </row>
    <row r="4" spans="1:47" x14ac:dyDescent="0.2">
      <c r="A4">
        <v>3</v>
      </c>
      <c r="B4">
        <v>755</v>
      </c>
      <c r="C4">
        <v>275</v>
      </c>
      <c r="D4">
        <v>0.30115304187132302</v>
      </c>
      <c r="E4">
        <v>201.8232812207338</v>
      </c>
      <c r="F4">
        <v>66.169537475824498</v>
      </c>
      <c r="G4">
        <v>72.546630346378663</v>
      </c>
      <c r="H4">
        <v>67.942077617916624</v>
      </c>
      <c r="J4">
        <v>70.350531172942794</v>
      </c>
      <c r="L4">
        <v>8.537227255912093</v>
      </c>
      <c r="M4">
        <v>13.785973227274429</v>
      </c>
      <c r="N4">
        <v>2.5806403149287034</v>
      </c>
      <c r="O4">
        <v>34.25631155967605</v>
      </c>
      <c r="P4">
        <v>13.399918711209398</v>
      </c>
      <c r="Q4">
        <v>0.90146016236384818</v>
      </c>
      <c r="R4">
        <v>18.132016337148897</v>
      </c>
      <c r="S4">
        <v>50.597542960991376</v>
      </c>
      <c r="U4">
        <v>1.6192808878575724</v>
      </c>
      <c r="V4">
        <v>48.978757713973629</v>
      </c>
      <c r="W4">
        <v>21.491481153338221</v>
      </c>
      <c r="X4">
        <v>47.907480202973275</v>
      </c>
      <c r="Y4">
        <v>10.347979951539456</v>
      </c>
      <c r="Z4">
        <v>33.551137057217623</v>
      </c>
      <c r="AA4">
        <v>7.6232618316842853</v>
      </c>
      <c r="AB4">
        <v>37.55929604503963</v>
      </c>
      <c r="AD4">
        <v>9.4436173260841425</v>
      </c>
      <c r="AE4">
        <v>13.486503106512485</v>
      </c>
      <c r="AF4">
        <v>13.45715300845206</v>
      </c>
      <c r="AG4">
        <v>22.994448151641144</v>
      </c>
      <c r="AH4">
        <v>9.8781523543001377</v>
      </c>
      <c r="AI4">
        <v>2.5280315106868327</v>
      </c>
      <c r="AK4">
        <v>58.459958804219163</v>
      </c>
    </row>
    <row r="5" spans="1:47" x14ac:dyDescent="0.2">
      <c r="A5">
        <v>4</v>
      </c>
      <c r="B5">
        <v>754</v>
      </c>
      <c r="C5">
        <v>275</v>
      </c>
      <c r="D5">
        <v>0.30040451735384299</v>
      </c>
      <c r="E5">
        <v>201.69818059228481</v>
      </c>
      <c r="F5">
        <v>65.776304438593016</v>
      </c>
      <c r="G5">
        <v>72.481939915737968</v>
      </c>
      <c r="H5">
        <v>67.875018937485194</v>
      </c>
      <c r="J5">
        <v>70.253731372037308</v>
      </c>
      <c r="L5">
        <v>8.4487078874442485</v>
      </c>
      <c r="M5">
        <v>13.70921620504401</v>
      </c>
      <c r="N5">
        <v>2.5826135818933604</v>
      </c>
      <c r="O5">
        <v>33.859043832848165</v>
      </c>
      <c r="P5">
        <v>13.294015638711372</v>
      </c>
      <c r="Q5">
        <v>0.83247768247094789</v>
      </c>
      <c r="R5">
        <v>17.902911816928594</v>
      </c>
      <c r="S5">
        <v>50.101432725375339</v>
      </c>
      <c r="U5">
        <v>1.5317307770887352</v>
      </c>
      <c r="V5">
        <v>48.854269075967323</v>
      </c>
      <c r="W5">
        <v>21.271157104700634</v>
      </c>
      <c r="X5">
        <v>47.676221799444768</v>
      </c>
      <c r="Y5">
        <v>10.253203353963466</v>
      </c>
      <c r="Z5">
        <v>33.33323123886754</v>
      </c>
      <c r="AA5">
        <v>7.5321679972541755</v>
      </c>
      <c r="AB5">
        <v>37.389027722184856</v>
      </c>
      <c r="AD5">
        <v>9.3190684860938831</v>
      </c>
      <c r="AE5">
        <v>13.38934012167692</v>
      </c>
      <c r="AF5">
        <v>13.379278078677972</v>
      </c>
      <c r="AG5">
        <v>22.809193015679799</v>
      </c>
      <c r="AH5">
        <v>9.73550874593694</v>
      </c>
      <c r="AI5">
        <v>2.5297160093115876</v>
      </c>
      <c r="AK5">
        <v>58.441844397444406</v>
      </c>
    </row>
    <row r="6" spans="1:47" x14ac:dyDescent="0.2">
      <c r="A6">
        <v>5</v>
      </c>
      <c r="B6">
        <v>753</v>
      </c>
      <c r="C6">
        <v>275</v>
      </c>
      <c r="D6">
        <v>0.29965453393753799</v>
      </c>
      <c r="E6">
        <v>201.57323818940904</v>
      </c>
      <c r="F6">
        <v>65.383767286088457</v>
      </c>
      <c r="G6">
        <v>72.417333285810329</v>
      </c>
      <c r="H6">
        <v>67.808057130506626</v>
      </c>
      <c r="J6">
        <v>70.157540993024725</v>
      </c>
      <c r="L6">
        <v>8.3603565786714356</v>
      </c>
      <c r="M6">
        <v>13.632605971951094</v>
      </c>
      <c r="N6">
        <v>2.5845867185261748</v>
      </c>
      <c r="O6">
        <v>33.46239004032936</v>
      </c>
      <c r="P6">
        <v>13.188287831073382</v>
      </c>
      <c r="Q6">
        <v>0.76362273903561984</v>
      </c>
      <c r="R6">
        <v>17.674171513439841</v>
      </c>
      <c r="S6">
        <v>49.606251624697919</v>
      </c>
      <c r="U6">
        <v>1.4442552236669259</v>
      </c>
      <c r="V6">
        <v>48.729972863845774</v>
      </c>
      <c r="W6">
        <v>21.051113222123067</v>
      </c>
      <c r="X6">
        <v>47.445400997392824</v>
      </c>
      <c r="Y6">
        <v>10.158584024649926</v>
      </c>
      <c r="Z6">
        <v>33.115609805394762</v>
      </c>
      <c r="AA6">
        <v>7.4412440187227116</v>
      </c>
      <c r="AB6">
        <v>37.219030137625602</v>
      </c>
      <c r="AD6">
        <v>9.1946233566377877</v>
      </c>
      <c r="AE6">
        <v>13.292298518093776</v>
      </c>
      <c r="AF6">
        <v>13.301550115669517</v>
      </c>
      <c r="AG6">
        <v>22.624211020912597</v>
      </c>
      <c r="AH6">
        <v>9.5930830202025437</v>
      </c>
      <c r="AI6">
        <v>2.5313995430232907</v>
      </c>
      <c r="AK6">
        <v>58.424050771142497</v>
      </c>
    </row>
    <row r="7" spans="1:47" x14ac:dyDescent="0.2">
      <c r="A7">
        <v>6</v>
      </c>
      <c r="B7">
        <v>752</v>
      </c>
      <c r="C7">
        <v>275</v>
      </c>
      <c r="D7">
        <v>0.29890308735307097</v>
      </c>
      <c r="E7">
        <v>201.44845360245944</v>
      </c>
      <c r="F7">
        <v>64.991924249661054</v>
      </c>
      <c r="G7">
        <v>72.352810296133995</v>
      </c>
      <c r="H7">
        <v>67.741192057438099</v>
      </c>
      <c r="J7">
        <v>70.061959588154906</v>
      </c>
      <c r="L7">
        <v>8.2721216747833548</v>
      </c>
      <c r="M7">
        <v>13.556142047584112</v>
      </c>
      <c r="N7">
        <v>2.58655972535544</v>
      </c>
      <c r="O7">
        <v>33.066348834859618</v>
      </c>
      <c r="P7">
        <v>13.082734990739729</v>
      </c>
      <c r="Q7">
        <v>0.69489465282601759</v>
      </c>
      <c r="R7">
        <v>17.445794303816541</v>
      </c>
      <c r="S7">
        <v>49.111996859129746</v>
      </c>
      <c r="U7">
        <v>1.3568538630173677</v>
      </c>
      <c r="V7">
        <v>48.605868346581524</v>
      </c>
      <c r="W7">
        <v>20.831348526689808</v>
      </c>
      <c r="X7">
        <v>47.215016317878295</v>
      </c>
      <c r="Y7">
        <v>10.06412158668614</v>
      </c>
      <c r="Z7">
        <v>32.898271718794945</v>
      </c>
      <c r="AA7">
        <v>7.3504895138303912</v>
      </c>
      <c r="AB7">
        <v>37.049302317045708</v>
      </c>
      <c r="AD7">
        <v>9.0702818265460738</v>
      </c>
      <c r="AE7">
        <v>13.195377795191373</v>
      </c>
      <c r="AF7">
        <v>13.22396864518141</v>
      </c>
      <c r="AG7">
        <v>22.439501199520979</v>
      </c>
      <c r="AH7">
        <v>9.4508748505376907</v>
      </c>
      <c r="AI7">
        <v>2.5330821105115713</v>
      </c>
      <c r="AK7">
        <v>58.406577855849775</v>
      </c>
    </row>
    <row r="8" spans="1:47" x14ac:dyDescent="0.2">
      <c r="A8">
        <v>7</v>
      </c>
      <c r="B8">
        <v>751</v>
      </c>
      <c r="C8">
        <v>275</v>
      </c>
      <c r="D8">
        <v>0.29815017331445698</v>
      </c>
      <c r="E8">
        <v>201.32382642666241</v>
      </c>
      <c r="F8">
        <v>64.600773581503091</v>
      </c>
      <c r="G8">
        <v>72.288370788720812</v>
      </c>
      <c r="H8">
        <v>67.674423581252725</v>
      </c>
      <c r="J8">
        <v>69.966986719868203</v>
      </c>
      <c r="L8">
        <v>8.1840990495134776</v>
      </c>
      <c r="M8">
        <v>13.479823955720809</v>
      </c>
      <c r="N8">
        <v>2.5885326029343614</v>
      </c>
      <c r="O8">
        <v>32.670918885704381</v>
      </c>
      <c r="P8">
        <v>12.977356825189212</v>
      </c>
      <c r="Q8">
        <v>0.62629274760306175</v>
      </c>
      <c r="R8">
        <v>17.217779077212573</v>
      </c>
      <c r="S8">
        <v>48.618665655027634</v>
      </c>
      <c r="U8">
        <v>1.2695263352642965</v>
      </c>
      <c r="V8">
        <v>48.481954792531354</v>
      </c>
      <c r="W8">
        <v>20.611862047760052</v>
      </c>
      <c r="X8">
        <v>46.985066295493311</v>
      </c>
      <c r="Y8">
        <v>9.9698156685035784</v>
      </c>
      <c r="Z8">
        <v>32.681215949305816</v>
      </c>
      <c r="AA8">
        <v>7.2599041057855649</v>
      </c>
      <c r="AB8">
        <v>36.879843293820585</v>
      </c>
      <c r="AD8">
        <v>8.9460437869565403</v>
      </c>
      <c r="AE8">
        <v>13.098577455915171</v>
      </c>
      <c r="AF8">
        <v>13.146533197193076</v>
      </c>
      <c r="AG8">
        <v>22.255062591421972</v>
      </c>
      <c r="AH8">
        <v>9.308883916562829</v>
      </c>
      <c r="AI8">
        <v>2.5347637104898078</v>
      </c>
      <c r="AK8">
        <v>58.38942558737206</v>
      </c>
    </row>
    <row r="9" spans="1:47" x14ac:dyDescent="0.2">
      <c r="A9">
        <v>8</v>
      </c>
      <c r="B9">
        <v>750</v>
      </c>
      <c r="C9">
        <v>275</v>
      </c>
      <c r="D9">
        <v>0.29739578751893703</v>
      </c>
      <c r="E9">
        <v>201.19935626235909</v>
      </c>
      <c r="F9">
        <v>64.210313555311075</v>
      </c>
      <c r="G9">
        <v>72.224014608142809</v>
      </c>
      <c r="H9">
        <v>67.607751567524772</v>
      </c>
      <c r="J9">
        <v>69.872621961220844</v>
      </c>
      <c r="L9">
        <v>8.0962432714824928</v>
      </c>
      <c r="M9">
        <v>13.403651224558061</v>
      </c>
      <c r="N9">
        <v>2.5905053517913479</v>
      </c>
      <c r="O9">
        <v>32.276098878889655</v>
      </c>
      <c r="P9">
        <v>12.87215304706225</v>
      </c>
      <c r="Q9">
        <v>0.55776116744932913</v>
      </c>
      <c r="R9">
        <v>16.990124735219798</v>
      </c>
      <c r="S9">
        <v>48.126255266064433</v>
      </c>
      <c r="U9">
        <v>1.1822722854280956</v>
      </c>
      <c r="V9">
        <v>48.3582314696514</v>
      </c>
      <c r="W9">
        <v>20.39265282332298</v>
      </c>
      <c r="X9">
        <v>46.755549478282852</v>
      </c>
      <c r="Y9">
        <v>9.8756659040203694</v>
      </c>
      <c r="Z9">
        <v>32.464441475549016</v>
      </c>
      <c r="AA9">
        <v>7.1694874234052186</v>
      </c>
      <c r="AB9">
        <v>36.710652109281007</v>
      </c>
      <c r="AD9">
        <v>8.821909131475671</v>
      </c>
      <c r="AE9">
        <v>13.001897006740686</v>
      </c>
      <c r="AF9">
        <v>13.069243306090025</v>
      </c>
      <c r="AG9">
        <v>22.070894244481899</v>
      </c>
      <c r="AH9">
        <v>9.1671099043429205</v>
      </c>
      <c r="AI9">
        <v>2.5364443416465807</v>
      </c>
      <c r="AK9">
        <v>58.372593907022988</v>
      </c>
    </row>
    <row r="10" spans="1:47" x14ac:dyDescent="0.2">
      <c r="A10">
        <v>9</v>
      </c>
      <c r="B10">
        <v>749</v>
      </c>
      <c r="C10">
        <v>275</v>
      </c>
      <c r="D10">
        <v>0.29663992564692099</v>
      </c>
      <c r="E10">
        <v>201.07504271469548</v>
      </c>
      <c r="F10">
        <v>63.820542465282969</v>
      </c>
      <c r="G10">
        <v>72.159741601414908</v>
      </c>
      <c r="H10">
        <v>67.541175884311016</v>
      </c>
      <c r="J10">
        <v>69.778864895363199</v>
      </c>
      <c r="L10">
        <v>8.00855445733092</v>
      </c>
      <c r="M10">
        <v>13.327623386433398</v>
      </c>
      <c r="N10">
        <v>2.5924779724666833</v>
      </c>
      <c r="O10">
        <v>31.881887516690377</v>
      </c>
      <c r="P10">
        <v>12.767123373958322</v>
      </c>
      <c r="Q10">
        <v>0.48940661490912951</v>
      </c>
      <c r="R10">
        <v>16.762830191285151</v>
      </c>
      <c r="S10">
        <v>47.634762971741779</v>
      </c>
      <c r="U10">
        <v>1.095091363181071</v>
      </c>
      <c r="V10">
        <v>48.234697644790387</v>
      </c>
      <c r="W10">
        <v>20.173719899528081</v>
      </c>
      <c r="X10">
        <v>46.526464428016588</v>
      </c>
      <c r="Y10">
        <v>9.7816719324306778</v>
      </c>
      <c r="Z10">
        <v>32.247947284217872</v>
      </c>
      <c r="AA10">
        <v>7.0792391009378264</v>
      </c>
      <c r="AB10">
        <v>36.541727812314953</v>
      </c>
      <c r="AD10">
        <v>8.6978777560034288</v>
      </c>
      <c r="AE10">
        <v>12.905335957576996</v>
      </c>
      <c r="AF10">
        <v>12.992098510426601</v>
      </c>
      <c r="AG10">
        <v>21.886995214157363</v>
      </c>
      <c r="AH10">
        <v>9.0255525060455568</v>
      </c>
      <c r="AI10">
        <v>2.538124002682812</v>
      </c>
      <c r="AK10">
        <v>58.356082761335323</v>
      </c>
    </row>
    <row r="11" spans="1:47" x14ac:dyDescent="0.2">
      <c r="A11">
        <v>10</v>
      </c>
      <c r="B11">
        <v>748</v>
      </c>
      <c r="C11">
        <v>275</v>
      </c>
      <c r="D11">
        <v>0.29588258336189799</v>
      </c>
      <c r="E11">
        <v>200.95088539383539</v>
      </c>
      <c r="F11">
        <v>63.431458626632946</v>
      </c>
      <c r="G11">
        <v>72.095551618051758</v>
      </c>
      <c r="H11">
        <v>67.474696402210782</v>
      </c>
      <c r="J11">
        <v>69.685715115854777</v>
      </c>
      <c r="L11">
        <v>7.9210329215064723</v>
      </c>
      <c r="M11">
        <v>13.251739977924203</v>
      </c>
      <c r="N11">
        <v>2.5944504655184621</v>
      </c>
      <c r="O11">
        <v>31.48828351785723</v>
      </c>
      <c r="P11">
        <v>12.662267528560065</v>
      </c>
      <c r="Q11">
        <v>0.421176052552235</v>
      </c>
      <c r="R11">
        <v>16.535894371011274</v>
      </c>
      <c r="S11">
        <v>47.144186077986717</v>
      </c>
      <c r="U11">
        <v>1.0079832229415155</v>
      </c>
      <c r="V11">
        <v>48.111352583727893</v>
      </c>
      <c r="W11">
        <v>19.955062330751453</v>
      </c>
      <c r="X11">
        <v>46.297809720106144</v>
      </c>
      <c r="Y11">
        <v>9.6878333983271947</v>
      </c>
      <c r="Z11">
        <v>32.03173237000658</v>
      </c>
      <c r="AA11">
        <v>6.9891587781930573</v>
      </c>
      <c r="AB11">
        <v>36.373069459374143</v>
      </c>
      <c r="AD11">
        <v>8.5739495587673353</v>
      </c>
      <c r="AE11">
        <v>12.808893821672894</v>
      </c>
      <c r="AF11">
        <v>12.915098353024469</v>
      </c>
      <c r="AG11">
        <v>21.703364563505257</v>
      </c>
      <c r="AH11">
        <v>8.8842114201069418</v>
      </c>
      <c r="AI11">
        <v>2.5398026923159538</v>
      </c>
      <c r="AK11">
        <v>58.339892102284502</v>
      </c>
    </row>
    <row r="12" spans="1:47" x14ac:dyDescent="0.2">
      <c r="A12">
        <v>11</v>
      </c>
      <c r="B12">
        <v>747</v>
      </c>
      <c r="C12">
        <v>275</v>
      </c>
      <c r="D12">
        <v>0.29512375631034898</v>
      </c>
      <c r="E12">
        <v>200.82688391483717</v>
      </c>
      <c r="F12">
        <v>63.043060375288029</v>
      </c>
      <c r="G12">
        <v>72.031444510057739</v>
      </c>
      <c r="H12">
        <v>67.408312994352258</v>
      </c>
      <c r="J12">
        <v>69.593172226505871</v>
      </c>
      <c r="L12">
        <v>7.8336209628853846</v>
      </c>
      <c r="M12">
        <v>13.176000539869584</v>
      </c>
      <c r="N12">
        <v>2.596422831450647</v>
      </c>
      <c r="O12">
        <v>31.09528561734351</v>
      </c>
      <c r="P12">
        <v>12.557585238539213</v>
      </c>
      <c r="Q12">
        <v>0.35306880418509534</v>
      </c>
      <c r="R12">
        <v>16.309316212005751</v>
      </c>
      <c r="S12">
        <v>46.65452191715201</v>
      </c>
      <c r="U12">
        <v>0.92094752389112555</v>
      </c>
      <c r="V12">
        <v>47.988195550893423</v>
      </c>
      <c r="W12">
        <v>19.73667917974975</v>
      </c>
      <c r="X12">
        <v>46.069583943295001</v>
      </c>
      <c r="Y12">
        <v>9.594149951633371</v>
      </c>
      <c r="Z12">
        <v>31.815795735784189</v>
      </c>
      <c r="AA12">
        <v>6.8992461004545911</v>
      </c>
      <c r="AB12">
        <v>36.204676114657744</v>
      </c>
      <c r="AD12">
        <v>8.4501244404467393</v>
      </c>
      <c r="AE12">
        <v>12.71257011572645</v>
      </c>
      <c r="AF12">
        <v>12.83824238092628</v>
      </c>
      <c r="AG12">
        <v>21.520001363292895</v>
      </c>
      <c r="AH12">
        <v>8.7430863512300991</v>
      </c>
      <c r="AI12">
        <v>2.5414804092102568</v>
      </c>
      <c r="AK12">
        <v>58.324021887119073</v>
      </c>
    </row>
    <row r="13" spans="1:47" x14ac:dyDescent="0.2">
      <c r="A13">
        <v>12</v>
      </c>
      <c r="B13">
        <v>746</v>
      </c>
      <c r="C13">
        <v>275</v>
      </c>
      <c r="D13">
        <v>0.29436344012167098</v>
      </c>
      <c r="E13">
        <v>200.70303789754425</v>
      </c>
      <c r="F13">
        <v>62.655346067323947</v>
      </c>
      <c r="G13">
        <v>71.967420131829513</v>
      </c>
      <c r="H13">
        <v>67.342025536300554</v>
      </c>
      <c r="J13">
        <v>69.501235841132754</v>
      </c>
      <c r="L13">
        <v>7.7464240179182724</v>
      </c>
      <c r="M13">
        <v>13.100404617087497</v>
      </c>
      <c r="N13">
        <v>2.5983950708320429</v>
      </c>
      <c r="O13">
        <v>30.702892566100427</v>
      </c>
      <c r="P13">
        <v>12.453076236482556</v>
      </c>
      <c r="Q13">
        <v>0.28508419593341844</v>
      </c>
      <c r="R13">
        <v>16.083094663524818</v>
      </c>
      <c r="S13">
        <v>46.165767846623538</v>
      </c>
      <c r="U13">
        <v>0.83398392973391722</v>
      </c>
      <c r="V13">
        <v>47.865225808759689</v>
      </c>
      <c r="W13">
        <v>19.518569517007919</v>
      </c>
      <c r="X13">
        <v>45.841785699689318</v>
      </c>
      <c r="Y13">
        <v>9.5006212474936635</v>
      </c>
      <c r="Z13">
        <v>31.600136391982687</v>
      </c>
      <c r="AA13">
        <v>6.8095007184335046</v>
      </c>
      <c r="AB13">
        <v>36.036546849442729</v>
      </c>
      <c r="AD13">
        <v>8.3264023038519959</v>
      </c>
      <c r="AE13">
        <v>12.616364359593144</v>
      </c>
      <c r="AF13">
        <v>12.761530145234786</v>
      </c>
      <c r="AG13">
        <v>21.336904691452954</v>
      </c>
      <c r="AH13">
        <v>8.6021770100757919</v>
      </c>
      <c r="AI13">
        <v>2.5431571520941167</v>
      </c>
      <c r="AK13">
        <v>58.308472078353311</v>
      </c>
    </row>
    <row r="14" spans="1:47" x14ac:dyDescent="0.2">
      <c r="A14">
        <v>13</v>
      </c>
      <c r="B14">
        <v>745</v>
      </c>
      <c r="C14">
        <v>275</v>
      </c>
      <c r="D14">
        <v>0.29360163040809401</v>
      </c>
      <c r="E14">
        <v>200.57934696664572</v>
      </c>
      <c r="F14">
        <v>62.26831407922333</v>
      </c>
      <c r="G14">
        <v>71.903478340221412</v>
      </c>
      <c r="H14">
        <v>67.275833906116276</v>
      </c>
      <c r="J14">
        <v>69.409905583710668</v>
      </c>
      <c r="L14">
        <v>7.6593938148075082</v>
      </c>
      <c r="M14">
        <v>13.024951758570316</v>
      </c>
      <c r="N14">
        <v>2.6003671841916414</v>
      </c>
      <c r="O14">
        <v>30.311103131055674</v>
      </c>
      <c r="P14">
        <v>12.348740259915216</v>
      </c>
      <c r="Q14">
        <v>0.21722155643830501</v>
      </c>
      <c r="R14">
        <v>15.857228686668602</v>
      </c>
      <c r="S14">
        <v>45.677921249740677</v>
      </c>
      <c r="U14">
        <v>0.74709210886355659</v>
      </c>
      <c r="V14">
        <v>47.742442617849221</v>
      </c>
      <c r="W14">
        <v>19.300732421175876</v>
      </c>
      <c r="X14">
        <v>45.614413604524806</v>
      </c>
      <c r="Y14">
        <v>9.4072469463316981</v>
      </c>
      <c r="Z14">
        <v>31.384753356954956</v>
      </c>
      <c r="AA14">
        <v>6.7199222882612375</v>
      </c>
      <c r="AB14">
        <v>35.868680742518826</v>
      </c>
      <c r="AD14">
        <v>8.2027830541767734</v>
      </c>
      <c r="AE14">
        <v>12.520276076443038</v>
      </c>
      <c r="AF14">
        <v>12.684961201194099</v>
      </c>
      <c r="AG14">
        <v>21.154073633408274</v>
      </c>
      <c r="AH14">
        <v>8.4614831134803659</v>
      </c>
      <c r="AI14">
        <v>2.5448329196562307</v>
      </c>
      <c r="AK14">
        <v>58.293242643750418</v>
      </c>
    </row>
    <row r="15" spans="1:47" x14ac:dyDescent="0.2">
      <c r="A15">
        <v>14</v>
      </c>
      <c r="B15">
        <v>744</v>
      </c>
      <c r="C15">
        <v>275</v>
      </c>
      <c r="D15">
        <v>0.29283832276459099</v>
      </c>
      <c r="E15">
        <v>200.45581075164958</v>
      </c>
      <c r="F15">
        <v>61.881962807604467</v>
      </c>
      <c r="G15">
        <v>71.83961899449416</v>
      </c>
      <c r="H15">
        <v>67.209737984311019</v>
      </c>
      <c r="J15">
        <v>69.319181088264358</v>
      </c>
      <c r="L15">
        <v>7.5724766991728334</v>
      </c>
      <c r="M15">
        <v>12.949641517312775</v>
      </c>
      <c r="N15">
        <v>2.6023391720912619</v>
      </c>
      <c r="O15">
        <v>29.919916095013679</v>
      </c>
      <c r="P15">
        <v>12.244577051275048</v>
      </c>
      <c r="Q15">
        <v>0.14948021686202445</v>
      </c>
      <c r="R15">
        <v>15.63171725419895</v>
      </c>
      <c r="S15">
        <v>45.190979535010953</v>
      </c>
      <c r="U15">
        <v>0.66027173422517071</v>
      </c>
      <c r="V15">
        <v>47.619845236305764</v>
      </c>
      <c r="W15">
        <v>19.083166978660337</v>
      </c>
      <c r="X15">
        <v>45.387466286271113</v>
      </c>
      <c r="Y15">
        <v>9.3140267138017112</v>
      </c>
      <c r="Z15">
        <v>31.169645656564885</v>
      </c>
      <c r="AA15">
        <v>6.6305104714897318</v>
      </c>
      <c r="AB15">
        <v>35.701076879764052</v>
      </c>
      <c r="AD15">
        <v>8.0792665988034287</v>
      </c>
      <c r="AE15">
        <v>12.424304792554825</v>
      </c>
      <c r="AF15">
        <v>12.608535108098883</v>
      </c>
      <c r="AG15">
        <v>20.971507281721436</v>
      </c>
      <c r="AH15">
        <v>8.3210043842933015</v>
      </c>
      <c r="AI15">
        <v>2.5465077106177771</v>
      </c>
      <c r="AK15">
        <v>58.278333556355129</v>
      </c>
    </row>
    <row r="16" spans="1:47" x14ac:dyDescent="0.2">
      <c r="A16">
        <v>15</v>
      </c>
      <c r="B16">
        <v>743</v>
      </c>
      <c r="C16">
        <v>275</v>
      </c>
      <c r="D16">
        <v>0.29207351276878402</v>
      </c>
      <c r="E16">
        <v>200.33242888676972</v>
      </c>
      <c r="F16">
        <v>61.496290668984997</v>
      </c>
      <c r="G16">
        <v>71.775841956312377</v>
      </c>
      <c r="H16">
        <v>67.143737653840404</v>
      </c>
      <c r="J16">
        <v>69.229061998730998</v>
      </c>
      <c r="L16">
        <v>7.4857695863618572</v>
      </c>
      <c r="M16">
        <v>12.874473450358535</v>
      </c>
      <c r="N16">
        <v>2.6043110350488372</v>
      </c>
      <c r="O16">
        <v>29.529330256428185</v>
      </c>
      <c r="P16">
        <v>12.140586357828811</v>
      </c>
      <c r="Q16">
        <v>8.1859510975371447E-2</v>
      </c>
      <c r="R16">
        <v>15.406559350432097</v>
      </c>
      <c r="S16">
        <v>44.704940136221637</v>
      </c>
      <c r="U16">
        <v>0.57352248335357947</v>
      </c>
      <c r="V16">
        <v>47.497432919568176</v>
      </c>
      <c r="W16">
        <v>18.865872283819371</v>
      </c>
      <c r="X16">
        <v>45.160942386120688</v>
      </c>
      <c r="Y16">
        <v>9.22096022073573</v>
      </c>
      <c r="Z16">
        <v>30.954812324414434</v>
      </c>
      <c r="AA16">
        <v>6.5412649349679484</v>
      </c>
      <c r="AB16">
        <v>35.533734354373379</v>
      </c>
      <c r="AD16">
        <v>7.9558528474488321</v>
      </c>
      <c r="AE16">
        <v>12.328450037445883</v>
      </c>
      <c r="AF16">
        <v>12.532251429266184</v>
      </c>
      <c r="AG16">
        <v>20.789204736252415</v>
      </c>
      <c r="AH16">
        <v>8.1807405514062559</v>
      </c>
      <c r="AI16">
        <v>2.5481815236568606</v>
      </c>
      <c r="AK16">
        <v>58.263744794321397</v>
      </c>
    </row>
    <row r="17" spans="1:37" x14ac:dyDescent="0.2">
      <c r="A17">
        <v>16</v>
      </c>
      <c r="B17">
        <v>742</v>
      </c>
      <c r="C17">
        <v>275</v>
      </c>
      <c r="D17">
        <v>0.291307195980888</v>
      </c>
      <c r="E17">
        <v>200.20920101092793</v>
      </c>
      <c r="F17">
        <v>61.111296099519016</v>
      </c>
      <c r="G17">
        <v>71.712147089688429</v>
      </c>
      <c r="H17">
        <v>67.077832800051056</v>
      </c>
      <c r="J17">
        <v>69.139547968915522</v>
      </c>
      <c r="L17">
        <v>7.3992294408163612</v>
      </c>
      <c r="M17">
        <v>12.799447118612514</v>
      </c>
      <c r="N17">
        <v>2.6062827736442316</v>
      </c>
      <c r="O17">
        <v>29.139344429324264</v>
      </c>
      <c r="P17">
        <v>12.036767931666587</v>
      </c>
      <c r="Q17">
        <v>1.4358775212216643E-2</v>
      </c>
      <c r="R17">
        <v>15.181753971065705</v>
      </c>
      <c r="S17">
        <v>44.219800511542921</v>
      </c>
      <c r="U17">
        <v>0.48684403820870592</v>
      </c>
      <c r="V17">
        <v>47.375204919936472</v>
      </c>
      <c r="W17">
        <v>18.648847438439269</v>
      </c>
      <c r="X17">
        <v>44.934840558352725</v>
      </c>
      <c r="Y17">
        <v>9.1280471431026662</v>
      </c>
      <c r="Z17">
        <v>30.740252401277139</v>
      </c>
      <c r="AA17">
        <v>6.4521853508557108</v>
      </c>
      <c r="AB17">
        <v>35.366652266289883</v>
      </c>
      <c r="AD17">
        <v>7.8325417118899781</v>
      </c>
      <c r="AE17">
        <v>12.232711343580752</v>
      </c>
      <c r="AF17">
        <v>12.456109731942533</v>
      </c>
      <c r="AG17">
        <v>20.607165103685912</v>
      </c>
      <c r="AH17">
        <v>8.0406913495488368</v>
      </c>
      <c r="AI17">
        <v>2.5498543575121193</v>
      </c>
      <c r="AK17">
        <v>58.249476341026053</v>
      </c>
    </row>
    <row r="18" spans="1:37" x14ac:dyDescent="0.2">
      <c r="A18">
        <v>17</v>
      </c>
      <c r="B18">
        <v>741</v>
      </c>
      <c r="C18">
        <v>275</v>
      </c>
      <c r="D18">
        <v>0.29053936794360102</v>
      </c>
      <c r="E18">
        <v>199.92550423451144</v>
      </c>
      <c r="F18">
        <v>59.450121428595047</v>
      </c>
      <c r="G18">
        <v>71.491069972310896</v>
      </c>
      <c r="H18">
        <v>66.854559022006327</v>
      </c>
      <c r="J18">
        <v>68.311977703116639</v>
      </c>
      <c r="L18">
        <v>6.9830561702263765</v>
      </c>
      <c r="M18">
        <v>12.605850283737334</v>
      </c>
      <c r="N18">
        <v>2.6082487455497319</v>
      </c>
      <c r="O18">
        <v>27.570943880004911</v>
      </c>
      <c r="P18">
        <v>11.618187309387059</v>
      </c>
      <c r="R18">
        <v>14.326917549928531</v>
      </c>
      <c r="S18">
        <v>42.418948563391218</v>
      </c>
      <c r="U18">
        <v>0.33885380821415423</v>
      </c>
      <c r="V18">
        <v>46.988415218185189</v>
      </c>
      <c r="W18">
        <v>18.453344028118888</v>
      </c>
      <c r="X18">
        <v>44.519156797010432</v>
      </c>
      <c r="Y18">
        <v>8.7103920272337056</v>
      </c>
      <c r="Z18">
        <v>29.486691260849572</v>
      </c>
      <c r="AA18">
        <v>6.0326748007037168</v>
      </c>
      <c r="AB18">
        <v>34.482427596132354</v>
      </c>
      <c r="AD18">
        <v>7.1329257596302629</v>
      </c>
      <c r="AE18">
        <v>11.653881338409741</v>
      </c>
      <c r="AF18">
        <v>12.261392141241464</v>
      </c>
      <c r="AG18">
        <v>19.707979728495573</v>
      </c>
      <c r="AH18">
        <v>7.3790152660030008</v>
      </c>
      <c r="AI18">
        <v>2.5515205680156647</v>
      </c>
      <c r="AK18">
        <v>57.82115449911651</v>
      </c>
    </row>
    <row r="19" spans="1:37" x14ac:dyDescent="0.2">
      <c r="A19">
        <v>18</v>
      </c>
      <c r="B19">
        <v>740</v>
      </c>
      <c r="C19">
        <v>275</v>
      </c>
      <c r="D19">
        <v>0.28977002418201098</v>
      </c>
      <c r="E19">
        <v>198.69911110495582</v>
      </c>
      <c r="F19">
        <v>51.01531317511958</v>
      </c>
      <c r="G19">
        <v>70.277945516118791</v>
      </c>
      <c r="H19">
        <v>65.639251253063335</v>
      </c>
      <c r="J19">
        <v>64.827678709796061</v>
      </c>
      <c r="L19">
        <v>4.7241562734002036</v>
      </c>
      <c r="M19">
        <v>12.507727379760743</v>
      </c>
      <c r="N19">
        <v>2.6101594233721497</v>
      </c>
      <c r="O19">
        <v>19.094447711504287</v>
      </c>
      <c r="P19">
        <v>9.2154648110931703</v>
      </c>
      <c r="R19">
        <v>11.085117349273427</v>
      </c>
      <c r="S19">
        <v>37.933252374295961</v>
      </c>
      <c r="U19">
        <v>0.28696256388210145</v>
      </c>
      <c r="V19">
        <v>46.761985684789927</v>
      </c>
      <c r="W19">
        <v>18.299560860715872</v>
      </c>
      <c r="X19">
        <v>44.403013828682617</v>
      </c>
      <c r="Y19">
        <v>6.3040965165162124</v>
      </c>
      <c r="Z19">
        <v>23.627688223336953</v>
      </c>
      <c r="AA19">
        <v>3.719442123849876</v>
      </c>
      <c r="AB19">
        <v>32.22368936515258</v>
      </c>
      <c r="AD19">
        <v>3.7595198866882771</v>
      </c>
      <c r="AE19">
        <v>9.1630557320538344</v>
      </c>
      <c r="AF19">
        <v>12.162093569586867</v>
      </c>
      <c r="AG19">
        <v>17.434228110744723</v>
      </c>
      <c r="AH19">
        <v>3.6601717414621562</v>
      </c>
      <c r="AI19">
        <v>2.5531306259336652</v>
      </c>
      <c r="AK19">
        <v>55.442503082944242</v>
      </c>
    </row>
    <row r="20" spans="1:37" x14ac:dyDescent="0.2">
      <c r="A20">
        <v>19</v>
      </c>
      <c r="B20">
        <v>739</v>
      </c>
      <c r="C20">
        <v>275</v>
      </c>
      <c r="D20">
        <v>0.28899916020352701</v>
      </c>
      <c r="E20">
        <v>197.71322777057162</v>
      </c>
      <c r="F20">
        <v>44.235011858440593</v>
      </c>
      <c r="G20">
        <v>69.295054341864358</v>
      </c>
      <c r="H20">
        <v>64.654190135433382</v>
      </c>
      <c r="J20">
        <v>62.024170908136149</v>
      </c>
      <c r="L20">
        <v>2.8833443889930277</v>
      </c>
      <c r="M20">
        <v>12.418751982241206</v>
      </c>
      <c r="N20">
        <v>2.6120778161309612</v>
      </c>
      <c r="O20">
        <v>12.243991297266104</v>
      </c>
      <c r="P20">
        <v>7.2732247109898056</v>
      </c>
      <c r="R20">
        <v>8.4085843293881624</v>
      </c>
      <c r="S20">
        <v>34.301897351725373</v>
      </c>
      <c r="U20">
        <v>0.24971798197320003</v>
      </c>
      <c r="V20">
        <v>46.582250569031011</v>
      </c>
      <c r="W20">
        <v>18.145398672661226</v>
      </c>
      <c r="X20">
        <v>44.330175809094307</v>
      </c>
      <c r="Y20">
        <v>4.3601215326695</v>
      </c>
      <c r="Z20">
        <v>18.875584243825415</v>
      </c>
      <c r="AA20">
        <v>1.8469103063441725</v>
      </c>
      <c r="AB20">
        <v>30.398855339690659</v>
      </c>
      <c r="AD20">
        <v>1.0026080803376574</v>
      </c>
      <c r="AE20">
        <v>7.1549948339612603</v>
      </c>
      <c r="AF20">
        <v>12.071950607361385</v>
      </c>
      <c r="AG20">
        <v>15.594391032016475</v>
      </c>
      <c r="AH20">
        <v>0.61237337528699132</v>
      </c>
      <c r="AI20">
        <v>2.5547475384448375</v>
      </c>
      <c r="AK20">
        <v>53.533961953168905</v>
      </c>
    </row>
    <row r="21" spans="1:37" x14ac:dyDescent="0.2">
      <c r="A21">
        <v>20</v>
      </c>
      <c r="B21">
        <v>738</v>
      </c>
      <c r="C21">
        <v>275</v>
      </c>
      <c r="D21">
        <v>0.28822677149780002</v>
      </c>
      <c r="E21">
        <v>198.02740026028573</v>
      </c>
      <c r="F21">
        <v>44.841743753907394</v>
      </c>
      <c r="G21">
        <v>69.484561587975648</v>
      </c>
      <c r="H21">
        <v>64.841540829047389</v>
      </c>
      <c r="J21">
        <v>49.389246325676531</v>
      </c>
      <c r="L21">
        <v>1.6711119053528418</v>
      </c>
      <c r="M21">
        <v>12.005058591589366</v>
      </c>
      <c r="N21">
        <v>2.6140848523986198</v>
      </c>
      <c r="O21">
        <v>5.1718522018702817</v>
      </c>
      <c r="P21">
        <v>7.6758782382559163</v>
      </c>
      <c r="R21">
        <v>7.1370421936123236</v>
      </c>
      <c r="S21">
        <v>31.866144887146636</v>
      </c>
      <c r="U21">
        <v>0.1780588006645536</v>
      </c>
      <c r="V21">
        <v>47.229778600028929</v>
      </c>
      <c r="W21">
        <v>17.685872378514329</v>
      </c>
      <c r="X21">
        <v>44.158114953424636</v>
      </c>
      <c r="Y21">
        <v>3.5820157740303453</v>
      </c>
      <c r="Z21">
        <v>17.756958425007877</v>
      </c>
      <c r="AB21">
        <v>30.417940370687596</v>
      </c>
      <c r="AE21">
        <v>6.4164755561036442</v>
      </c>
      <c r="AF21">
        <v>11.657178689366779</v>
      </c>
      <c r="AG21">
        <v>15.598564278066727</v>
      </c>
      <c r="AI21">
        <v>2.5564522322818073</v>
      </c>
      <c r="AK21">
        <v>44.879619575354461</v>
      </c>
    </row>
    <row r="22" spans="1:37" x14ac:dyDescent="0.2">
      <c r="A22">
        <v>21</v>
      </c>
      <c r="B22">
        <v>737</v>
      </c>
      <c r="C22">
        <v>275</v>
      </c>
      <c r="D22">
        <v>0.28745285353660599</v>
      </c>
      <c r="E22">
        <v>198.20770040381564</v>
      </c>
      <c r="F22">
        <v>45.382043002896836</v>
      </c>
      <c r="G22">
        <v>69.461494012722923</v>
      </c>
      <c r="H22">
        <v>64.816330113720781</v>
      </c>
      <c r="J22">
        <v>42.345108631579613</v>
      </c>
      <c r="L22">
        <v>1.6892109060724434</v>
      </c>
      <c r="M22">
        <v>11.512871060627777</v>
      </c>
      <c r="N22">
        <v>2.6160734691938936</v>
      </c>
      <c r="O22">
        <v>5.1777905179742989</v>
      </c>
      <c r="P22">
        <v>7.6533718702693712</v>
      </c>
      <c r="R22">
        <v>6.7665940070538149</v>
      </c>
      <c r="S22">
        <v>32.503273591478916</v>
      </c>
      <c r="U22">
        <v>0.14543552638418608</v>
      </c>
      <c r="V22">
        <v>47.933339134860461</v>
      </c>
      <c r="W22">
        <v>17.125533965787973</v>
      </c>
      <c r="X22">
        <v>44.098651933158024</v>
      </c>
      <c r="Y22">
        <v>3.3647460022067412</v>
      </c>
      <c r="Z22">
        <v>17.945149580405928</v>
      </c>
      <c r="AB22">
        <v>31.077100782199146</v>
      </c>
      <c r="AE22">
        <v>6.5170221983405217</v>
      </c>
      <c r="AF22">
        <v>11.163894611270969</v>
      </c>
      <c r="AG22">
        <v>16.2427971162336</v>
      </c>
      <c r="AI22">
        <v>2.5581376426224685</v>
      </c>
      <c r="AK22">
        <v>40.018770144874431</v>
      </c>
    </row>
    <row r="23" spans="1:37" x14ac:dyDescent="0.2">
      <c r="A23">
        <v>22</v>
      </c>
      <c r="B23">
        <v>736</v>
      </c>
      <c r="C23">
        <v>275</v>
      </c>
      <c r="D23">
        <v>0.28667740177377199</v>
      </c>
      <c r="E23">
        <v>198.3688529687069</v>
      </c>
      <c r="F23">
        <v>45.867490076112219</v>
      </c>
      <c r="G23">
        <v>69.440163169440751</v>
      </c>
      <c r="H23">
        <v>64.792869564375323</v>
      </c>
      <c r="J23">
        <v>38.447821554608204</v>
      </c>
      <c r="L23">
        <v>1.7045921049120116</v>
      </c>
      <c r="M23">
        <v>11.077220646508996</v>
      </c>
      <c r="N23">
        <v>2.6180601147103624</v>
      </c>
      <c r="O23">
        <v>5.1787426551856326</v>
      </c>
      <c r="P23">
        <v>7.634345185771898</v>
      </c>
      <c r="R23">
        <v>6.4264515112092742</v>
      </c>
      <c r="S23">
        <v>32.980904660555169</v>
      </c>
      <c r="U23">
        <v>0.12006212551931109</v>
      </c>
      <c r="V23">
        <v>48.520098502734662</v>
      </c>
      <c r="W23">
        <v>16.61747713748349</v>
      </c>
      <c r="X23">
        <v>44.060255080099665</v>
      </c>
      <c r="Y23">
        <v>3.1816543497749992</v>
      </c>
      <c r="Z23">
        <v>18.095509756519576</v>
      </c>
      <c r="AB23">
        <v>31.603956947362828</v>
      </c>
      <c r="AE23">
        <v>6.5957981065770301</v>
      </c>
      <c r="AF23">
        <v>10.727146084263554</v>
      </c>
      <c r="AG23">
        <v>16.754726374133355</v>
      </c>
      <c r="AI23">
        <v>2.5598202158198728</v>
      </c>
      <c r="AK23">
        <v>37.292631725122433</v>
      </c>
    </row>
    <row r="24" spans="1:37" x14ac:dyDescent="0.2">
      <c r="A24">
        <v>23</v>
      </c>
      <c r="B24">
        <v>757</v>
      </c>
      <c r="C24">
        <v>250</v>
      </c>
      <c r="D24">
        <v>0.32934087268844398</v>
      </c>
      <c r="E24">
        <v>187.47833709046026</v>
      </c>
      <c r="F24">
        <v>66.430557059717046</v>
      </c>
      <c r="G24">
        <v>72.674700398924386</v>
      </c>
      <c r="H24">
        <v>68.07375634346073</v>
      </c>
      <c r="J24">
        <v>70.056018773996058</v>
      </c>
      <c r="L24">
        <v>8.6101856860443959</v>
      </c>
      <c r="M24">
        <v>13.90418712584378</v>
      </c>
      <c r="N24">
        <v>2.4910224370245295</v>
      </c>
      <c r="O24">
        <v>35.145433728655306</v>
      </c>
      <c r="P24">
        <v>13.382273008674293</v>
      </c>
      <c r="Q24">
        <v>0.783928016332336</v>
      </c>
      <c r="R24">
        <v>18.610144114143832</v>
      </c>
      <c r="S24">
        <v>51.055948736202865</v>
      </c>
      <c r="U24">
        <v>1.6476334563522548</v>
      </c>
      <c r="V24">
        <v>48.681763803733212</v>
      </c>
      <c r="W24">
        <v>22.453178685690279</v>
      </c>
      <c r="X24">
        <v>46.842762245403648</v>
      </c>
      <c r="Y24">
        <v>10.328933408862641</v>
      </c>
      <c r="Z24">
        <v>33.946659672841207</v>
      </c>
      <c r="AA24">
        <v>7.7291813601147803</v>
      </c>
      <c r="AB24">
        <v>37.903550539963717</v>
      </c>
      <c r="AC24">
        <v>5.6505623151488138E-3</v>
      </c>
      <c r="AD24">
        <v>9.6572769051437728</v>
      </c>
      <c r="AE24">
        <v>13.855312582320074</v>
      </c>
      <c r="AF24">
        <v>13.56900815579217</v>
      </c>
      <c r="AG24">
        <v>23.391052082946832</v>
      </c>
      <c r="AH24">
        <v>9.6630066178225658</v>
      </c>
      <c r="AI24">
        <v>2.4357802608517405</v>
      </c>
      <c r="AK24">
        <v>58.122262942394364</v>
      </c>
    </row>
    <row r="25" spans="1:37" x14ac:dyDescent="0.2">
      <c r="A25">
        <v>24</v>
      </c>
      <c r="B25">
        <v>756</v>
      </c>
      <c r="C25">
        <v>250</v>
      </c>
      <c r="D25">
        <v>0.32862119224602798</v>
      </c>
      <c r="E25">
        <v>187.36702032225978</v>
      </c>
      <c r="F25">
        <v>66.085203547610575</v>
      </c>
      <c r="G25">
        <v>72.616867939031437</v>
      </c>
      <c r="H25">
        <v>68.013519385360865</v>
      </c>
      <c r="J25">
        <v>69.983543702364571</v>
      </c>
      <c r="L25">
        <v>8.5290438555800137</v>
      </c>
      <c r="M25">
        <v>13.846813596629369</v>
      </c>
      <c r="N25">
        <v>2.487109425245563</v>
      </c>
      <c r="O25">
        <v>34.766049905517434</v>
      </c>
      <c r="P25">
        <v>13.284174277065476</v>
      </c>
      <c r="Q25">
        <v>0.73018622701805458</v>
      </c>
      <c r="R25">
        <v>18.411933238580065</v>
      </c>
      <c r="S25">
        <v>50.654863043914709</v>
      </c>
      <c r="U25">
        <v>1.5763849665715122</v>
      </c>
      <c r="V25">
        <v>48.588075520487436</v>
      </c>
      <c r="W25">
        <v>22.269001257534899</v>
      </c>
      <c r="X25">
        <v>46.668440371941976</v>
      </c>
      <c r="Y25">
        <v>10.244014136118459</v>
      </c>
      <c r="Z25">
        <v>33.757969535291849</v>
      </c>
      <c r="AA25">
        <v>7.6454764643909146</v>
      </c>
      <c r="AB25">
        <v>37.768558425940647</v>
      </c>
      <c r="AD25">
        <v>9.5514960472049246</v>
      </c>
      <c r="AE25">
        <v>13.769760678264552</v>
      </c>
      <c r="AF25">
        <v>13.504626334086907</v>
      </c>
      <c r="AG25">
        <v>23.235214711455939</v>
      </c>
      <c r="AH25">
        <v>9.5423950191441662</v>
      </c>
      <c r="AI25">
        <v>2.4315812721281662</v>
      </c>
      <c r="AK25">
        <v>58.112890081823927</v>
      </c>
    </row>
    <row r="26" spans="1:37" x14ac:dyDescent="0.2">
      <c r="A26">
        <v>25</v>
      </c>
      <c r="B26">
        <v>755</v>
      </c>
      <c r="C26">
        <v>250</v>
      </c>
      <c r="D26">
        <v>0.32790011185138401</v>
      </c>
      <c r="E26">
        <v>187.24211459416119</v>
      </c>
      <c r="F26">
        <v>65.693449399423926</v>
      </c>
      <c r="G26">
        <v>72.552247327056236</v>
      </c>
      <c r="H26">
        <v>67.946507308568329</v>
      </c>
      <c r="J26">
        <v>69.885855885970358</v>
      </c>
      <c r="L26">
        <v>8.440837019759666</v>
      </c>
      <c r="M26">
        <v>13.770635386037469</v>
      </c>
      <c r="N26">
        <v>2.4890851607660367</v>
      </c>
      <c r="O26">
        <v>34.369013893591941</v>
      </c>
      <c r="P26">
        <v>13.17839573377667</v>
      </c>
      <c r="Q26">
        <v>0.66233051265134513</v>
      </c>
      <c r="R26">
        <v>18.183804735456377</v>
      </c>
      <c r="S26">
        <v>50.160465435316951</v>
      </c>
      <c r="U26">
        <v>1.4888147056249204</v>
      </c>
      <c r="V26">
        <v>48.464350709580039</v>
      </c>
      <c r="W26">
        <v>22.049329153586591</v>
      </c>
      <c r="X26">
        <v>46.438684958047787</v>
      </c>
      <c r="Y26">
        <v>10.149397449916506</v>
      </c>
      <c r="Z26">
        <v>33.542266932858318</v>
      </c>
      <c r="AA26">
        <v>7.5547398083353041</v>
      </c>
      <c r="AB26">
        <v>37.599771237989493</v>
      </c>
      <c r="AD26">
        <v>9.4282950150736653</v>
      </c>
      <c r="AE26">
        <v>13.673566162933719</v>
      </c>
      <c r="AF26">
        <v>13.427328881063879</v>
      </c>
      <c r="AG26">
        <v>23.05147353468308</v>
      </c>
      <c r="AH26">
        <v>9.4001437303664321</v>
      </c>
      <c r="AI26">
        <v>2.4332701998009649</v>
      </c>
      <c r="AK26">
        <v>58.094390407882763</v>
      </c>
    </row>
    <row r="27" spans="1:37" x14ac:dyDescent="0.2">
      <c r="A27">
        <v>26</v>
      </c>
      <c r="B27">
        <v>754</v>
      </c>
      <c r="C27">
        <v>250</v>
      </c>
      <c r="D27">
        <v>0.32717762741566497</v>
      </c>
      <c r="E27">
        <v>187.11736033773215</v>
      </c>
      <c r="F27">
        <v>65.302370468730246</v>
      </c>
      <c r="G27">
        <v>72.48770779048651</v>
      </c>
      <c r="H27">
        <v>67.879589361409657</v>
      </c>
      <c r="J27">
        <v>69.788761916098665</v>
      </c>
      <c r="L27">
        <v>8.3527929590805847</v>
      </c>
      <c r="M27">
        <v>13.694599826331311</v>
      </c>
      <c r="N27">
        <v>2.4910607664616564</v>
      </c>
      <c r="O27">
        <v>33.972576080137785</v>
      </c>
      <c r="P27">
        <v>13.072786979376984</v>
      </c>
      <c r="Q27">
        <v>0.59453216181688551</v>
      </c>
      <c r="R27">
        <v>17.956028507342435</v>
      </c>
      <c r="S27">
        <v>49.666968123350507</v>
      </c>
      <c r="U27">
        <v>1.4013115062821835</v>
      </c>
      <c r="V27">
        <v>48.340810404695077</v>
      </c>
      <c r="W27">
        <v>21.82993163368112</v>
      </c>
      <c r="X27">
        <v>46.209349132289887</v>
      </c>
      <c r="Y27">
        <v>10.054932408615709</v>
      </c>
      <c r="Z27">
        <v>33.326848266240845</v>
      </c>
      <c r="AA27">
        <v>7.4641681167263814</v>
      </c>
      <c r="AB27">
        <v>37.431251586436133</v>
      </c>
      <c r="AD27">
        <v>9.3051943228965897</v>
      </c>
      <c r="AE27">
        <v>13.577494067224798</v>
      </c>
      <c r="AF27">
        <v>13.350174257474398</v>
      </c>
      <c r="AG27">
        <v>22.868002291762117</v>
      </c>
      <c r="AH27">
        <v>9.2581034841855736</v>
      </c>
      <c r="AI27">
        <v>2.4349581649074117</v>
      </c>
      <c r="AK27">
        <v>58.076202249948068</v>
      </c>
    </row>
    <row r="28" spans="1:37" x14ac:dyDescent="0.2">
      <c r="A28">
        <v>27</v>
      </c>
      <c r="B28">
        <v>753</v>
      </c>
      <c r="C28">
        <v>250</v>
      </c>
      <c r="D28">
        <v>0.32645373483409301</v>
      </c>
      <c r="E28">
        <v>186.99275714164696</v>
      </c>
      <c r="F28">
        <v>64.911965066320633</v>
      </c>
      <c r="G28">
        <v>72.423249172122098</v>
      </c>
      <c r="H28">
        <v>67.812765407563077</v>
      </c>
      <c r="J28">
        <v>69.692261318118156</v>
      </c>
      <c r="L28">
        <v>8.2648548721281614</v>
      </c>
      <c r="M28">
        <v>13.618706461746772</v>
      </c>
      <c r="N28">
        <v>2.4930362428736377</v>
      </c>
      <c r="O28">
        <v>33.576735185848015</v>
      </c>
      <c r="P28">
        <v>12.967347722786672</v>
      </c>
      <c r="Q28">
        <v>0.5269267433348741</v>
      </c>
      <c r="R28">
        <v>17.728603474314106</v>
      </c>
      <c r="S28">
        <v>49.174368414565215</v>
      </c>
      <c r="U28">
        <v>1.3138750176081304</v>
      </c>
      <c r="V28">
        <v>48.217453893667852</v>
      </c>
      <c r="W28">
        <v>21.610807798010477</v>
      </c>
      <c r="X28">
        <v>45.98043143954748</v>
      </c>
      <c r="Y28">
        <v>9.9606186436934507</v>
      </c>
      <c r="Z28">
        <v>33.111712630705163</v>
      </c>
      <c r="AA28">
        <v>7.3737610240701255</v>
      </c>
      <c r="AB28">
        <v>37.262998593041289</v>
      </c>
      <c r="AD28">
        <v>9.1821939469359446</v>
      </c>
      <c r="AE28">
        <v>13.481543963660144</v>
      </c>
      <c r="AF28">
        <v>13.273162013716441</v>
      </c>
      <c r="AG28">
        <v>22.684800110945559</v>
      </c>
      <c r="AH28">
        <v>9.1162739762910618</v>
      </c>
      <c r="AI28">
        <v>2.4366451661490105</v>
      </c>
      <c r="AK28">
        <v>58.058325511173479</v>
      </c>
    </row>
    <row r="29" spans="1:37" x14ac:dyDescent="0.2">
      <c r="A29">
        <v>28</v>
      </c>
      <c r="B29">
        <v>752</v>
      </c>
      <c r="C29">
        <v>250</v>
      </c>
      <c r="D29">
        <v>0.32572842998585799</v>
      </c>
      <c r="E29">
        <v>186.86830459901984</v>
      </c>
      <c r="F29">
        <v>64.522231522639416</v>
      </c>
      <c r="G29">
        <v>72.358871317034485</v>
      </c>
      <c r="H29">
        <v>67.746035313021295</v>
      </c>
      <c r="J29">
        <v>69.596353626340616</v>
      </c>
      <c r="L29">
        <v>8.1771288903517547</v>
      </c>
      <c r="M29">
        <v>13.542954840577499</v>
      </c>
      <c r="N29">
        <v>2.4950115905484336</v>
      </c>
      <c r="O29">
        <v>33.181489946812093</v>
      </c>
      <c r="P29">
        <v>12.862077677538824</v>
      </c>
      <c r="Q29">
        <v>0.45944978842942785</v>
      </c>
      <c r="R29">
        <v>17.501528567791688</v>
      </c>
      <c r="S29">
        <v>48.682663640117269</v>
      </c>
      <c r="U29">
        <v>1.2265048929781706</v>
      </c>
      <c r="V29">
        <v>48.09428046377834</v>
      </c>
      <c r="W29">
        <v>21.391956754978342</v>
      </c>
      <c r="X29">
        <v>45.751930437061986</v>
      </c>
      <c r="Y29">
        <v>9.8664557915676845</v>
      </c>
      <c r="Z29">
        <v>32.896859130257972</v>
      </c>
      <c r="AA29">
        <v>7.2835181699404856</v>
      </c>
      <c r="AB29">
        <v>37.095011387424393</v>
      </c>
      <c r="AD29">
        <v>9.0592938655712629</v>
      </c>
      <c r="AE29">
        <v>13.385715428598465</v>
      </c>
      <c r="AF29">
        <v>13.196291704269035</v>
      </c>
      <c r="AG29">
        <v>22.501866128369784</v>
      </c>
      <c r="AH29">
        <v>8.9746549081787172</v>
      </c>
      <c r="AI29">
        <v>2.4383312022335515</v>
      </c>
      <c r="AK29">
        <v>58.040760099241638</v>
      </c>
    </row>
    <row r="30" spans="1:37" x14ac:dyDescent="0.2">
      <c r="A30">
        <v>29</v>
      </c>
      <c r="B30">
        <v>751</v>
      </c>
      <c r="C30">
        <v>250</v>
      </c>
      <c r="D30">
        <v>0.32500170873407402</v>
      </c>
      <c r="E30">
        <v>186.74400230710887</v>
      </c>
      <c r="F30">
        <v>64.133168186886607</v>
      </c>
      <c r="G30">
        <v>72.294574072467881</v>
      </c>
      <c r="H30">
        <v>67.67939894598841</v>
      </c>
      <c r="J30">
        <v>69.501038383520637</v>
      </c>
      <c r="L30">
        <v>8.0895644731900571</v>
      </c>
      <c r="M30">
        <v>13.467344514956288</v>
      </c>
      <c r="N30">
        <v>2.4969868100518231</v>
      </c>
      <c r="O30">
        <v>32.786839114054899</v>
      </c>
      <c r="P30">
        <v>12.756976561592179</v>
      </c>
      <c r="Q30">
        <v>0.39203078964234644</v>
      </c>
      <c r="R30">
        <v>17.274802730044168</v>
      </c>
      <c r="S30">
        <v>48.191851154604912</v>
      </c>
      <c r="U30">
        <v>1.1392007898955372</v>
      </c>
      <c r="V30">
        <v>47.971289401099824</v>
      </c>
      <c r="W30">
        <v>21.173377620881428</v>
      </c>
      <c r="X30">
        <v>45.523844693871723</v>
      </c>
      <c r="Y30">
        <v>9.7724434934131654</v>
      </c>
      <c r="Z30">
        <v>32.682286877482447</v>
      </c>
      <c r="AA30">
        <v>7.193439198823631</v>
      </c>
      <c r="AB30">
        <v>36.927289106812644</v>
      </c>
      <c r="AD30">
        <v>8.9364940592212907</v>
      </c>
      <c r="AE30">
        <v>13.290008042208276</v>
      </c>
      <c r="AF30">
        <v>13.119562887478759</v>
      </c>
      <c r="AG30">
        <v>22.31919948781616</v>
      </c>
      <c r="AH30">
        <v>8.8332459868736528</v>
      </c>
      <c r="AI30">
        <v>2.4400162718869849</v>
      </c>
      <c r="AK30">
        <v>58.023505926055968</v>
      </c>
    </row>
    <row r="31" spans="1:37" x14ac:dyDescent="0.2">
      <c r="A31">
        <v>30</v>
      </c>
      <c r="B31">
        <v>750</v>
      </c>
      <c r="C31">
        <v>250</v>
      </c>
      <c r="D31">
        <v>0.324273566925672</v>
      </c>
      <c r="E31">
        <v>186.61984986775511</v>
      </c>
      <c r="F31">
        <v>63.744773428307752</v>
      </c>
      <c r="G31">
        <v>72.23035728800636</v>
      </c>
      <c r="H31">
        <v>67.612856177050745</v>
      </c>
      <c r="J31">
        <v>69.406315141598299</v>
      </c>
      <c r="L31">
        <v>8.0021616924024546</v>
      </c>
      <c r="M31">
        <v>13.391875041256712</v>
      </c>
      <c r="N31">
        <v>2.4989619018819469</v>
      </c>
      <c r="O31">
        <v>32.392781454024444</v>
      </c>
      <c r="P31">
        <v>12.652044097582575</v>
      </c>
      <c r="Q31">
        <v>0.3248008234662948</v>
      </c>
      <c r="R31">
        <v>17.048424914957756</v>
      </c>
      <c r="S31">
        <v>47.701928338120752</v>
      </c>
      <c r="U31">
        <v>1.0519623703313696</v>
      </c>
      <c r="V31">
        <v>47.848479991083742</v>
      </c>
      <c r="W31">
        <v>20.955069520540306</v>
      </c>
      <c r="X31">
        <v>45.296172791995865</v>
      </c>
      <c r="Y31">
        <v>9.6785813954334508</v>
      </c>
      <c r="Z31">
        <v>32.467994993892582</v>
      </c>
      <c r="AA31">
        <v>7.103523760343152</v>
      </c>
      <c r="AB31">
        <v>36.759830896578578</v>
      </c>
      <c r="AD31">
        <v>8.8137945106659767</v>
      </c>
      <c r="AE31">
        <v>13.194421388541588</v>
      </c>
      <c r="AF31">
        <v>13.042975125878723</v>
      </c>
      <c r="AG31">
        <v>22.136799341162288</v>
      </c>
      <c r="AH31">
        <v>8.6920469254347807</v>
      </c>
      <c r="AI31">
        <v>2.4417003737677407</v>
      </c>
      <c r="AK31">
        <v>58.006562908143877</v>
      </c>
    </row>
    <row r="32" spans="1:37" x14ac:dyDescent="0.2">
      <c r="A32">
        <v>31</v>
      </c>
      <c r="B32">
        <v>749</v>
      </c>
      <c r="C32">
        <v>250</v>
      </c>
      <c r="D32">
        <v>0.32354400039133302</v>
      </c>
      <c r="E32">
        <v>186.49584688661287</v>
      </c>
      <c r="F32">
        <v>63.357045633753202</v>
      </c>
      <c r="G32">
        <v>72.166220815257901</v>
      </c>
      <c r="H32">
        <v>67.546406878857667</v>
      </c>
      <c r="J32">
        <v>69.312183460345764</v>
      </c>
      <c r="L32">
        <v>7.9149207841118185</v>
      </c>
      <c r="M32">
        <v>13.316545979308717</v>
      </c>
      <c r="N32">
        <v>2.5009368666331051</v>
      </c>
      <c r="O32">
        <v>31.999315747527145</v>
      </c>
      <c r="P32">
        <v>12.5472800123545</v>
      </c>
      <c r="Q32">
        <v>0.25769808662930882</v>
      </c>
      <c r="R32">
        <v>16.822394086553015</v>
      </c>
      <c r="S32">
        <v>47.21289259223942</v>
      </c>
      <c r="U32">
        <v>0.9647893000613077</v>
      </c>
      <c r="V32">
        <v>47.725851516937588</v>
      </c>
      <c r="W32">
        <v>20.737031585994412</v>
      </c>
      <c r="X32">
        <v>45.068913323793815</v>
      </c>
      <c r="Y32">
        <v>9.5848691483506343</v>
      </c>
      <c r="Z32">
        <v>32.253982609061403</v>
      </c>
      <c r="AA32">
        <v>7.0137715088386905</v>
      </c>
      <c r="AB32">
        <v>36.592635909061258</v>
      </c>
      <c r="AD32">
        <v>8.6911952044899756</v>
      </c>
      <c r="AE32">
        <v>13.098955055255217</v>
      </c>
      <c r="AF32">
        <v>12.966527985567829</v>
      </c>
      <c r="AG32">
        <v>21.954664847369859</v>
      </c>
      <c r="AH32">
        <v>8.5510574420182568</v>
      </c>
      <c r="AI32">
        <v>2.4433835066304077</v>
      </c>
      <c r="AK32">
        <v>57.989930965978793</v>
      </c>
    </row>
    <row r="33" spans="1:37" x14ac:dyDescent="0.2">
      <c r="A33">
        <v>32</v>
      </c>
      <c r="B33">
        <v>748</v>
      </c>
      <c r="C33">
        <v>250</v>
      </c>
      <c r="D33">
        <v>0.32281300494540499</v>
      </c>
      <c r="E33">
        <v>186.37199297386317</v>
      </c>
      <c r="F33">
        <v>62.969983209826879</v>
      </c>
      <c r="G33">
        <v>72.102164508138344</v>
      </c>
      <c r="H33">
        <v>67.480050926409689</v>
      </c>
      <c r="J33">
        <v>69.218642908600984</v>
      </c>
      <c r="L33">
        <v>7.827781159047472</v>
      </c>
      <c r="M33">
        <v>13.241356893110142</v>
      </c>
      <c r="N33">
        <v>2.5029117048388296</v>
      </c>
      <c r="O33">
        <v>31.606440790587314</v>
      </c>
      <c r="P33">
        <v>12.442684037370167</v>
      </c>
      <c r="Q33">
        <v>0.19065126698337373</v>
      </c>
      <c r="R33">
        <v>16.596709220327654</v>
      </c>
      <c r="S33">
        <v>46.72474134361304</v>
      </c>
      <c r="U33">
        <v>0.87768124925868196</v>
      </c>
      <c r="V33">
        <v>47.603403260722317</v>
      </c>
      <c r="W33">
        <v>20.519262957624569</v>
      </c>
      <c r="X33">
        <v>44.842064894561247</v>
      </c>
      <c r="Y33">
        <v>9.4913064078628739</v>
      </c>
      <c r="Z33">
        <v>32.040248861319952</v>
      </c>
      <c r="AA33">
        <v>6.9241821037475386</v>
      </c>
      <c r="AB33">
        <v>36.425703304579329</v>
      </c>
      <c r="AD33">
        <v>8.5686961276430829</v>
      </c>
      <c r="AE33">
        <v>13.003608633798672</v>
      </c>
      <c r="AF33">
        <v>12.89022103676516</v>
      </c>
      <c r="AG33">
        <v>21.772795173337769</v>
      </c>
      <c r="AH33">
        <v>8.4102772607377858</v>
      </c>
      <c r="AI33">
        <v>2.4450656691683408</v>
      </c>
      <c r="AK33">
        <v>57.973610024597633</v>
      </c>
    </row>
    <row r="34" spans="1:37" x14ac:dyDescent="0.2">
      <c r="A34">
        <v>33</v>
      </c>
      <c r="B34">
        <v>747</v>
      </c>
      <c r="C34">
        <v>250</v>
      </c>
      <c r="D34">
        <v>0.32208057638582899</v>
      </c>
      <c r="E34">
        <v>186.24828774378173</v>
      </c>
      <c r="F34">
        <v>62.583584581548948</v>
      </c>
      <c r="G34">
        <v>72.038188222707177</v>
      </c>
      <c r="H34">
        <v>67.413788196891943</v>
      </c>
      <c r="J34">
        <v>69.125693063524025</v>
      </c>
      <c r="L34">
        <v>7.7408543513163348</v>
      </c>
      <c r="M34">
        <v>13.166307350463285</v>
      </c>
      <c r="N34">
        <v>2.5048864170220582</v>
      </c>
      <c r="O34">
        <v>31.214155393772177</v>
      </c>
      <c r="P34">
        <v>12.338255908436645</v>
      </c>
      <c r="Q34">
        <v>0.12379247255455447</v>
      </c>
      <c r="R34">
        <v>16.37136930245774</v>
      </c>
      <c r="S34">
        <v>46.237472042018446</v>
      </c>
      <c r="U34">
        <v>0.79063789218597258</v>
      </c>
      <c r="V34">
        <v>47.481134502401844</v>
      </c>
      <c r="W34">
        <v>20.301762783604676</v>
      </c>
      <c r="X34">
        <v>44.615626121054333</v>
      </c>
      <c r="Y34">
        <v>9.3978928343570107</v>
      </c>
      <c r="Z34">
        <v>31.82679289739756</v>
      </c>
      <c r="AA34">
        <v>6.8347552093417834</v>
      </c>
      <c r="AB34">
        <v>36.259032250921557</v>
      </c>
      <c r="AD34">
        <v>8.4462972692208922</v>
      </c>
      <c r="AE34">
        <v>12.908381719322186</v>
      </c>
      <c r="AF34">
        <v>12.814053853494714</v>
      </c>
      <c r="AG34">
        <v>21.591189493442975</v>
      </c>
      <c r="AH34">
        <v>8.2697061111920238</v>
      </c>
      <c r="AI34">
        <v>2.4467468600644167</v>
      </c>
      <c r="AK34">
        <v>57.95760001320685</v>
      </c>
    </row>
    <row r="35" spans="1:37" x14ac:dyDescent="0.2">
      <c r="A35">
        <v>34</v>
      </c>
      <c r="B35">
        <v>746</v>
      </c>
      <c r="C35">
        <v>250</v>
      </c>
      <c r="D35">
        <v>0.32134671049404001</v>
      </c>
      <c r="E35">
        <v>186.1247308145791</v>
      </c>
      <c r="F35">
        <v>62.197848191760848</v>
      </c>
      <c r="G35">
        <v>71.974291817083767</v>
      </c>
      <c r="H35">
        <v>67.3476185695895</v>
      </c>
      <c r="J35">
        <v>69.033333510279945</v>
      </c>
      <c r="L35">
        <v>7.6540887437632934</v>
      </c>
      <c r="M35">
        <v>13.091396922684092</v>
      </c>
      <c r="N35">
        <v>2.5068610037784875</v>
      </c>
      <c r="O35">
        <v>30.822458381980219</v>
      </c>
      <c r="P35">
        <v>12.233995365612959</v>
      </c>
      <c r="Q35">
        <v>5.7060224294140427E-2</v>
      </c>
      <c r="R35">
        <v>16.146373329398546</v>
      </c>
      <c r="S35">
        <v>45.751082159035043</v>
      </c>
      <c r="U35">
        <v>0.70365890696017441</v>
      </c>
      <c r="V35">
        <v>47.359044519228128</v>
      </c>
      <c r="W35">
        <v>20.084530219348849</v>
      </c>
      <c r="X35">
        <v>44.389595630910016</v>
      </c>
      <c r="Y35">
        <v>9.3046280927966318</v>
      </c>
      <c r="Z35">
        <v>31.613613872014525</v>
      </c>
      <c r="AA35">
        <v>6.7455705038936067</v>
      </c>
      <c r="AB35">
        <v>36.092621922849759</v>
      </c>
      <c r="AD35">
        <v>8.3239986202574237</v>
      </c>
      <c r="AE35">
        <v>12.813273910494647</v>
      </c>
      <c r="AF35">
        <v>12.738026013384006</v>
      </c>
      <c r="AG35">
        <v>21.409846989128596</v>
      </c>
      <c r="AH35">
        <v>8.1293437282001335</v>
      </c>
      <c r="AI35">
        <v>2.4484270780740389</v>
      </c>
      <c r="AK35">
        <v>57.941900865069726</v>
      </c>
    </row>
    <row r="36" spans="1:37" x14ac:dyDescent="0.2">
      <c r="A36">
        <v>35</v>
      </c>
      <c r="B36">
        <v>745</v>
      </c>
      <c r="C36">
        <v>250</v>
      </c>
      <c r="D36">
        <v>0.32061140303491598</v>
      </c>
      <c r="E36">
        <v>185.7325153393208</v>
      </c>
      <c r="F36">
        <v>59.864080040780024</v>
      </c>
      <c r="G36">
        <v>71.628545415548203</v>
      </c>
      <c r="H36">
        <v>66.999612189990998</v>
      </c>
      <c r="J36">
        <v>68.117542922378433</v>
      </c>
      <c r="L36">
        <v>7.0391644510940825</v>
      </c>
      <c r="M36">
        <v>13.022123985236792</v>
      </c>
      <c r="N36">
        <v>2.5088219341202209</v>
      </c>
      <c r="O36">
        <v>28.459464972702143</v>
      </c>
      <c r="P36">
        <v>11.566029149764995</v>
      </c>
      <c r="R36">
        <v>15.19367613536669</v>
      </c>
      <c r="S36">
        <v>44.270018777188341</v>
      </c>
      <c r="U36">
        <v>0.63254659477309261</v>
      </c>
      <c r="V36">
        <v>47.200781060602594</v>
      </c>
      <c r="W36">
        <v>19.878934779199774</v>
      </c>
      <c r="X36">
        <v>44.212444436479807</v>
      </c>
      <c r="Y36">
        <v>8.6454265368615708</v>
      </c>
      <c r="Z36">
        <v>30.06778560473699</v>
      </c>
      <c r="AA36">
        <v>6.1149405419772886</v>
      </c>
      <c r="AB36">
        <v>35.416434338219076</v>
      </c>
      <c r="AD36">
        <v>7.4351535123555514</v>
      </c>
      <c r="AE36">
        <v>12.153021558323301</v>
      </c>
      <c r="AF36">
        <v>12.667622366633628</v>
      </c>
      <c r="AG36">
        <v>20.718716153366351</v>
      </c>
      <c r="AH36">
        <v>7.1286990143914588</v>
      </c>
      <c r="AI36">
        <v>2.4500927903691339</v>
      </c>
      <c r="AK36">
        <v>57.358761052508981</v>
      </c>
    </row>
    <row r="37" spans="1:37" x14ac:dyDescent="0.2">
      <c r="A37">
        <v>36</v>
      </c>
      <c r="B37">
        <v>744</v>
      </c>
      <c r="C37">
        <v>250</v>
      </c>
      <c r="D37">
        <v>0.31987464975667701</v>
      </c>
      <c r="E37">
        <v>184.49647467426587</v>
      </c>
      <c r="F37">
        <v>51.314463502120354</v>
      </c>
      <c r="G37">
        <v>70.387267434451829</v>
      </c>
      <c r="H37">
        <v>65.756087495697301</v>
      </c>
      <c r="J37">
        <v>64.508195030117349</v>
      </c>
      <c r="L37">
        <v>4.7206720251841432</v>
      </c>
      <c r="M37">
        <v>12.938654643164064</v>
      </c>
      <c r="N37">
        <v>2.5107353979742144</v>
      </c>
      <c r="O37">
        <v>19.815305085195099</v>
      </c>
      <c r="P37">
        <v>9.1069603068790599</v>
      </c>
      <c r="R37">
        <v>11.83682223169626</v>
      </c>
      <c r="S37">
        <v>39.465413956649641</v>
      </c>
      <c r="U37">
        <v>0.60603964918155928</v>
      </c>
      <c r="V37">
        <v>46.879543142407762</v>
      </c>
      <c r="W37">
        <v>19.722890510255532</v>
      </c>
      <c r="X37">
        <v>44.17117280761569</v>
      </c>
      <c r="Y37">
        <v>6.1845783811375394</v>
      </c>
      <c r="Z37">
        <v>24.178061334091815</v>
      </c>
      <c r="AA37">
        <v>3.7517022860956204</v>
      </c>
      <c r="AB37">
        <v>33.016581650325641</v>
      </c>
      <c r="AD37">
        <v>4.0345985276758087</v>
      </c>
      <c r="AE37">
        <v>9.6512536624735326</v>
      </c>
      <c r="AF37">
        <v>12.582975213949696</v>
      </c>
      <c r="AG37">
        <v>18.303875335503697</v>
      </c>
      <c r="AH37">
        <v>3.342570688586942</v>
      </c>
      <c r="AI37">
        <v>2.4517101850356662</v>
      </c>
      <c r="AK37">
        <v>54.940613349695845</v>
      </c>
    </row>
    <row r="38" spans="1:37" x14ac:dyDescent="0.2">
      <c r="A38">
        <v>37</v>
      </c>
      <c r="B38">
        <v>743</v>
      </c>
      <c r="C38">
        <v>250</v>
      </c>
      <c r="D38">
        <v>0.31913644639078897</v>
      </c>
      <c r="E38">
        <v>183.53400982341918</v>
      </c>
      <c r="F38">
        <v>44.674283136043364</v>
      </c>
      <c r="G38">
        <v>69.41787239759347</v>
      </c>
      <c r="H38">
        <v>64.784459031799116</v>
      </c>
      <c r="J38">
        <v>61.709382489792624</v>
      </c>
      <c r="L38">
        <v>2.9022730271189139</v>
      </c>
      <c r="M38">
        <v>12.855555349033837</v>
      </c>
      <c r="N38">
        <v>2.5126593029238919</v>
      </c>
      <c r="O38">
        <v>13.076290999442971</v>
      </c>
      <c r="P38">
        <v>7.1916758155582849</v>
      </c>
      <c r="R38">
        <v>9.1710847427530577</v>
      </c>
      <c r="S38">
        <v>35.724742945348218</v>
      </c>
      <c r="U38">
        <v>0.58132807310786383</v>
      </c>
      <c r="V38">
        <v>46.635995322435498</v>
      </c>
      <c r="W38">
        <v>19.566086018965471</v>
      </c>
      <c r="X38">
        <v>44.135225634684929</v>
      </c>
      <c r="Y38">
        <v>4.2686561619422232</v>
      </c>
      <c r="Z38">
        <v>19.552930717985671</v>
      </c>
      <c r="AA38">
        <v>1.9075174746567354</v>
      </c>
      <c r="AB38">
        <v>31.149810110325539</v>
      </c>
      <c r="AD38">
        <v>1.3463326605939843</v>
      </c>
      <c r="AE38">
        <v>7.6960933560975961</v>
      </c>
      <c r="AF38">
        <v>12.498708921239604</v>
      </c>
      <c r="AG38">
        <v>16.422128700425013</v>
      </c>
      <c r="AH38">
        <v>0.35277226308357595</v>
      </c>
      <c r="AI38">
        <v>2.453337167817581</v>
      </c>
      <c r="AK38">
        <v>53.067292587332588</v>
      </c>
    </row>
    <row r="39" spans="1:37" x14ac:dyDescent="0.2">
      <c r="A39">
        <v>38</v>
      </c>
      <c r="B39">
        <v>742</v>
      </c>
      <c r="C39">
        <v>250</v>
      </c>
      <c r="D39">
        <v>0.318396788651924</v>
      </c>
      <c r="E39">
        <v>184.01455997629537</v>
      </c>
      <c r="F39">
        <v>45.501283447491836</v>
      </c>
      <c r="G39">
        <v>69.749609684420179</v>
      </c>
      <c r="H39">
        <v>65.113976199076873</v>
      </c>
      <c r="J39">
        <v>49.04737446111502</v>
      </c>
      <c r="L39">
        <v>1.6435376775973345</v>
      </c>
      <c r="M39">
        <v>12.454519777287773</v>
      </c>
      <c r="N39">
        <v>2.5146760488699078</v>
      </c>
      <c r="O39">
        <v>5.4484517389126239</v>
      </c>
      <c r="P39">
        <v>7.8787568580864269</v>
      </c>
      <c r="R39">
        <v>7.9272359874912386</v>
      </c>
      <c r="S39">
        <v>32.616811507702039</v>
      </c>
      <c r="U39">
        <v>0.53968692581390165</v>
      </c>
      <c r="V39">
        <v>47.12497949382275</v>
      </c>
      <c r="W39">
        <v>19.100899352704591</v>
      </c>
      <c r="X39">
        <v>44.050385617694417</v>
      </c>
      <c r="Y39">
        <v>3.5527515725550676</v>
      </c>
      <c r="Z39">
        <v>17.631802137932244</v>
      </c>
      <c r="AB39">
        <v>30.399564239638007</v>
      </c>
      <c r="AE39">
        <v>6.4184937943199332</v>
      </c>
      <c r="AF39">
        <v>12.096599568606708</v>
      </c>
      <c r="AG39">
        <v>15.657003175611933</v>
      </c>
      <c r="AI39">
        <v>2.4550561367743069</v>
      </c>
      <c r="AK39">
        <v>44.472120351448837</v>
      </c>
    </row>
    <row r="40" spans="1:37" x14ac:dyDescent="0.2">
      <c r="A40">
        <v>39</v>
      </c>
      <c r="B40">
        <v>741</v>
      </c>
      <c r="C40">
        <v>250</v>
      </c>
      <c r="D40">
        <v>0.31765567223783697</v>
      </c>
      <c r="E40">
        <v>184.20342998221054</v>
      </c>
      <c r="F40">
        <v>46.063498130813137</v>
      </c>
      <c r="G40">
        <v>69.726489016721615</v>
      </c>
      <c r="H40">
        <v>65.088648740694993</v>
      </c>
      <c r="J40">
        <v>42.051149833553822</v>
      </c>
      <c r="L40">
        <v>1.6608004558969187</v>
      </c>
      <c r="M40">
        <v>11.959600500227225</v>
      </c>
      <c r="N40">
        <v>2.5166661230306446</v>
      </c>
      <c r="O40">
        <v>5.4502875722708222</v>
      </c>
      <c r="P40">
        <v>7.8561033888140148</v>
      </c>
      <c r="R40">
        <v>7.5427554431760457</v>
      </c>
      <c r="S40">
        <v>33.151298102205281</v>
      </c>
      <c r="U40">
        <v>0.51403961029407153</v>
      </c>
      <c r="V40">
        <v>47.796834104459499</v>
      </c>
      <c r="W40">
        <v>18.532455427151529</v>
      </c>
      <c r="X40">
        <v>44.011873445518496</v>
      </c>
      <c r="Y40">
        <v>3.3255780322962174</v>
      </c>
      <c r="Z40">
        <v>17.829034356708991</v>
      </c>
      <c r="AB40">
        <v>31.010936137934063</v>
      </c>
      <c r="AE40">
        <v>6.5240888002915449</v>
      </c>
      <c r="AF40">
        <v>11.60058022135112</v>
      </c>
      <c r="AG40">
        <v>16.253471354137965</v>
      </c>
      <c r="AI40">
        <v>2.4567475772838181</v>
      </c>
      <c r="AK40">
        <v>39.661303048568975</v>
      </c>
    </row>
    <row r="41" spans="1:37" x14ac:dyDescent="0.2">
      <c r="A41">
        <v>40</v>
      </c>
      <c r="B41">
        <v>740</v>
      </c>
      <c r="C41">
        <v>250</v>
      </c>
      <c r="D41">
        <v>0.31691309282929903</v>
      </c>
      <c r="E41">
        <v>184.36772418310437</v>
      </c>
      <c r="F41">
        <v>46.557595941554418</v>
      </c>
      <c r="G41">
        <v>69.704839214369215</v>
      </c>
      <c r="H41">
        <v>65.064805497943908</v>
      </c>
      <c r="J41">
        <v>38.18342536308797</v>
      </c>
      <c r="L41">
        <v>1.6756866764000879</v>
      </c>
      <c r="M41">
        <v>11.521714738173447</v>
      </c>
      <c r="N41">
        <v>2.5186545592607485</v>
      </c>
      <c r="O41">
        <v>5.4449109489857701</v>
      </c>
      <c r="P41">
        <v>7.8363981049605673</v>
      </c>
      <c r="R41">
        <v>7.1961161455337237</v>
      </c>
      <c r="S41">
        <v>33.591709498835421</v>
      </c>
      <c r="U41">
        <v>0.49076596722841631</v>
      </c>
      <c r="V41">
        <v>48.375812974333662</v>
      </c>
      <c r="W41">
        <v>18.019585602350539</v>
      </c>
      <c r="X41">
        <v>43.980396701067122</v>
      </c>
      <c r="Y41">
        <v>3.1345727623280668</v>
      </c>
      <c r="Z41">
        <v>17.985183643738338</v>
      </c>
      <c r="AB41">
        <v>31.523997349823208</v>
      </c>
      <c r="AE41">
        <v>6.6063018854750695</v>
      </c>
      <c r="AF41">
        <v>11.161593139436439</v>
      </c>
      <c r="AG41">
        <v>16.751629820671489</v>
      </c>
      <c r="AI41">
        <v>2.4584365213602335</v>
      </c>
      <c r="AK41">
        <v>36.96109422825856</v>
      </c>
    </row>
    <row r="42" spans="1:37" x14ac:dyDescent="0.2">
      <c r="A42">
        <v>41</v>
      </c>
      <c r="B42">
        <v>757</v>
      </c>
      <c r="C42">
        <v>225</v>
      </c>
      <c r="D42">
        <v>0.35603601417269398</v>
      </c>
      <c r="E42">
        <v>172.88557634242733</v>
      </c>
      <c r="F42">
        <v>65.916391736975555</v>
      </c>
      <c r="G42">
        <v>72.6773943912291</v>
      </c>
      <c r="H42">
        <v>68.075293919317147</v>
      </c>
      <c r="J42">
        <v>69.598116139062853</v>
      </c>
      <c r="L42">
        <v>8.503604170502971</v>
      </c>
      <c r="M42">
        <v>13.88095140474832</v>
      </c>
      <c r="N42">
        <v>2.3983017535143722</v>
      </c>
      <c r="O42">
        <v>35.273503854886584</v>
      </c>
      <c r="P42">
        <v>13.153756453558684</v>
      </c>
      <c r="Q42">
        <v>0.43364849007962636</v>
      </c>
      <c r="R42">
        <v>18.639335334544054</v>
      </c>
      <c r="S42">
        <v>50.611517471147948</v>
      </c>
      <c r="U42">
        <v>1.5426940075621998</v>
      </c>
      <c r="V42">
        <v>48.146859359481091</v>
      </c>
      <c r="W42">
        <v>23.041123270388518</v>
      </c>
      <c r="X42">
        <v>45.333337303759734</v>
      </c>
      <c r="Y42">
        <v>10.122431730155721</v>
      </c>
      <c r="Z42">
        <v>33.917936341594284</v>
      </c>
      <c r="AA42">
        <v>7.6507158355122371</v>
      </c>
      <c r="AB42">
        <v>37.930948426040892</v>
      </c>
      <c r="AC42">
        <v>4.5010966785907743E-3</v>
      </c>
      <c r="AD42">
        <v>9.6305936534103136</v>
      </c>
      <c r="AE42">
        <v>14.037886036206508</v>
      </c>
      <c r="AF42">
        <v>13.530137334576963</v>
      </c>
      <c r="AG42">
        <v>23.433746621720331</v>
      </c>
      <c r="AH42">
        <v>9.1727094845317563</v>
      </c>
      <c r="AI42">
        <v>2.3399107395231682</v>
      </c>
      <c r="AK42">
        <v>57.746935761464876</v>
      </c>
    </row>
    <row r="43" spans="1:37" x14ac:dyDescent="0.2">
      <c r="A43">
        <v>42</v>
      </c>
      <c r="B43">
        <v>756</v>
      </c>
      <c r="C43">
        <v>225</v>
      </c>
      <c r="D43">
        <v>0.35534227274935698</v>
      </c>
      <c r="E43">
        <v>172.77224649377206</v>
      </c>
      <c r="F43">
        <v>65.564479542207579</v>
      </c>
      <c r="G43">
        <v>72.618438432116733</v>
      </c>
      <c r="H43">
        <v>68.013923296463886</v>
      </c>
      <c r="J43">
        <v>69.520935839966555</v>
      </c>
      <c r="L43">
        <v>8.4216167965897899</v>
      </c>
      <c r="M43">
        <v>13.820687802519018</v>
      </c>
      <c r="N43">
        <v>2.3955525824277801</v>
      </c>
      <c r="O43">
        <v>34.891380482897631</v>
      </c>
      <c r="P43">
        <v>13.054564813615183</v>
      </c>
      <c r="Q43">
        <v>0.37232717509139385</v>
      </c>
      <c r="R43">
        <v>18.436832325493899</v>
      </c>
      <c r="S43">
        <v>50.195128032225298</v>
      </c>
      <c r="U43">
        <v>1.4685221523527012</v>
      </c>
      <c r="V43">
        <v>48.04862463941906</v>
      </c>
      <c r="W43">
        <v>22.850803507267731</v>
      </c>
      <c r="X43">
        <v>45.150910326456817</v>
      </c>
      <c r="Y43">
        <v>10.036002309035588</v>
      </c>
      <c r="Z43">
        <v>33.725757967656243</v>
      </c>
      <c r="AA43">
        <v>7.5662039786609601</v>
      </c>
      <c r="AB43">
        <v>37.790737524165145</v>
      </c>
      <c r="AD43">
        <v>9.5225918775480629</v>
      </c>
      <c r="AE43">
        <v>13.95093133008597</v>
      </c>
      <c r="AF43">
        <v>13.464025773409906</v>
      </c>
      <c r="AG43">
        <v>23.273887186077264</v>
      </c>
      <c r="AH43">
        <v>9.0485108767032525</v>
      </c>
      <c r="AI43">
        <v>2.3368767192426976</v>
      </c>
      <c r="AK43">
        <v>57.736091258888258</v>
      </c>
    </row>
    <row r="44" spans="1:37" x14ac:dyDescent="0.2">
      <c r="A44">
        <v>43</v>
      </c>
      <c r="B44">
        <v>755</v>
      </c>
      <c r="C44">
        <v>225</v>
      </c>
      <c r="D44">
        <v>0.354647181831445</v>
      </c>
      <c r="E44">
        <v>172.64793656411851</v>
      </c>
      <c r="F44">
        <v>65.175549546515711</v>
      </c>
      <c r="G44">
        <v>72.554047709577105</v>
      </c>
      <c r="H44">
        <v>67.947130945940827</v>
      </c>
      <c r="J44">
        <v>69.423379695422597</v>
      </c>
      <c r="L44">
        <v>8.333974110297941</v>
      </c>
      <c r="M44">
        <v>13.745384835256097</v>
      </c>
      <c r="N44">
        <v>2.3975306637091882</v>
      </c>
      <c r="O44">
        <v>34.495457518584708</v>
      </c>
      <c r="P44">
        <v>12.949238641259866</v>
      </c>
      <c r="Q44">
        <v>0.30049031294734824</v>
      </c>
      <c r="R44">
        <v>18.210421314245924</v>
      </c>
      <c r="S44">
        <v>49.704148504402092</v>
      </c>
      <c r="U44">
        <v>1.3811755019299046</v>
      </c>
      <c r="V44">
        <v>47.926201386847495</v>
      </c>
      <c r="W44">
        <v>22.632173136738832</v>
      </c>
      <c r="X44">
        <v>44.923819261157185</v>
      </c>
      <c r="Y44">
        <v>9.9418456640710371</v>
      </c>
      <c r="Z44">
        <v>33.512521517326782</v>
      </c>
      <c r="AA44">
        <v>7.4761291940197552</v>
      </c>
      <c r="AB44">
        <v>37.623781857142532</v>
      </c>
      <c r="AD44">
        <v>9.4008977812284993</v>
      </c>
      <c r="AE44">
        <v>13.855761905387981</v>
      </c>
      <c r="AF44">
        <v>13.387602408371318</v>
      </c>
      <c r="AG44">
        <v>23.092012759000603</v>
      </c>
      <c r="AH44">
        <v>8.9070578880417237</v>
      </c>
      <c r="AI44">
        <v>2.3385691204271599</v>
      </c>
      <c r="AK44">
        <v>57.717803441943722</v>
      </c>
    </row>
    <row r="45" spans="1:37" x14ac:dyDescent="0.2">
      <c r="A45">
        <v>44</v>
      </c>
      <c r="B45">
        <v>754</v>
      </c>
      <c r="C45">
        <v>225</v>
      </c>
      <c r="D45">
        <v>0.35395073747748601</v>
      </c>
      <c r="E45">
        <v>172.52377129767024</v>
      </c>
      <c r="F45">
        <v>64.787271436464422</v>
      </c>
      <c r="G45">
        <v>72.489735236640769</v>
      </c>
      <c r="H45">
        <v>67.880429901617333</v>
      </c>
      <c r="J45">
        <v>69.326402805770854</v>
      </c>
      <c r="L45">
        <v>8.2465399224411371</v>
      </c>
      <c r="M45">
        <v>13.670219499203441</v>
      </c>
      <c r="N45">
        <v>2.3995086161589985</v>
      </c>
      <c r="O45">
        <v>34.100114577254416</v>
      </c>
      <c r="P45">
        <v>12.844076604073322</v>
      </c>
      <c r="Q45">
        <v>0.32285654894728011</v>
      </c>
      <c r="R45">
        <v>17.984349117286484</v>
      </c>
      <c r="S45">
        <v>49.214036223274746</v>
      </c>
      <c r="U45">
        <v>1.2938878174534603</v>
      </c>
      <c r="V45">
        <v>47.803954045453466</v>
      </c>
      <c r="W45">
        <v>22.413809335875037</v>
      </c>
      <c r="X45">
        <v>44.697128551208905</v>
      </c>
      <c r="Y45">
        <v>9.847834680132733</v>
      </c>
      <c r="Z45">
        <v>33.299564413450724</v>
      </c>
      <c r="AA45">
        <v>7.3862930563109837</v>
      </c>
      <c r="AB45">
        <v>37.457087410285212</v>
      </c>
      <c r="AD45">
        <v>9.2792985101192098</v>
      </c>
      <c r="AE45">
        <v>13.760713652255486</v>
      </c>
      <c r="AF45">
        <v>13.311316860117634</v>
      </c>
      <c r="AG45">
        <v>22.910401950537537</v>
      </c>
      <c r="AH45">
        <v>8.7658083900139179</v>
      </c>
      <c r="AI45">
        <v>2.3402605600385264</v>
      </c>
      <c r="AK45">
        <v>57.699818869380401</v>
      </c>
    </row>
    <row r="46" spans="1:37" x14ac:dyDescent="0.2">
      <c r="A46">
        <v>45</v>
      </c>
      <c r="B46">
        <v>753</v>
      </c>
      <c r="C46">
        <v>225</v>
      </c>
      <c r="D46">
        <v>0.35325293573064698</v>
      </c>
      <c r="E46">
        <v>172.39975029805456</v>
      </c>
      <c r="F46">
        <v>64.399643646224078</v>
      </c>
      <c r="G46">
        <v>72.425500866299018</v>
      </c>
      <c r="H46">
        <v>67.81382003736401</v>
      </c>
      <c r="J46">
        <v>69.230004712498797</v>
      </c>
      <c r="L46">
        <v>8.1592619710846179</v>
      </c>
      <c r="M46">
        <v>13.595191370286109</v>
      </c>
      <c r="N46">
        <v>2.4014864403029423</v>
      </c>
      <c r="O46">
        <v>33.705350480702513</v>
      </c>
      <c r="P46">
        <v>12.739078431347551</v>
      </c>
      <c r="Q46">
        <v>0.25572371507837877</v>
      </c>
      <c r="R46">
        <v>17.758614723836953</v>
      </c>
      <c r="S46">
        <v>48.724788660523046</v>
      </c>
      <c r="U46">
        <v>1.206658776918863</v>
      </c>
      <c r="V46">
        <v>47.681881932087748</v>
      </c>
      <c r="W46">
        <v>22.195711291653165</v>
      </c>
      <c r="X46">
        <v>44.470836804491931</v>
      </c>
      <c r="Y46">
        <v>9.7539690108331758</v>
      </c>
      <c r="Z46">
        <v>33.08688586846408</v>
      </c>
      <c r="AA46">
        <v>7.2965363288094665</v>
      </c>
      <c r="AB46">
        <v>37.290653398864507</v>
      </c>
      <c r="AD46">
        <v>9.1577941274317674</v>
      </c>
      <c r="AE46">
        <v>13.665786206137513</v>
      </c>
      <c r="AF46">
        <v>13.23516871072227</v>
      </c>
      <c r="AG46">
        <v>22.729053982434639</v>
      </c>
      <c r="AH46">
        <v>8.6247621148846232</v>
      </c>
      <c r="AI46">
        <v>2.3419510367630503</v>
      </c>
      <c r="AK46">
        <v>57.682137442379386</v>
      </c>
    </row>
    <row r="47" spans="1:37" x14ac:dyDescent="0.2">
      <c r="A47">
        <v>46</v>
      </c>
      <c r="B47">
        <v>752</v>
      </c>
      <c r="C47">
        <v>225</v>
      </c>
      <c r="D47">
        <v>0.35255377261864101</v>
      </c>
      <c r="E47">
        <v>172.27587317247657</v>
      </c>
      <c r="F47">
        <v>64.012664626890469</v>
      </c>
      <c r="G47">
        <v>72.361344453471133</v>
      </c>
      <c r="H47">
        <v>67.747301229019527</v>
      </c>
      <c r="J47">
        <v>69.134184964243019</v>
      </c>
      <c r="L47">
        <v>8.0721402131731654</v>
      </c>
      <c r="M47">
        <v>13.520300027896479</v>
      </c>
      <c r="N47">
        <v>2.403464136690733</v>
      </c>
      <c r="O47">
        <v>33.311164064262883</v>
      </c>
      <c r="P47">
        <v>12.634243856316145</v>
      </c>
      <c r="Q47">
        <v>8.5337010479255834E-2</v>
      </c>
      <c r="R47">
        <v>17.533217132887611</v>
      </c>
      <c r="S47">
        <v>48.236403308739973</v>
      </c>
      <c r="U47">
        <v>1.1194880619774488</v>
      </c>
      <c r="V47">
        <v>47.559984362108118</v>
      </c>
      <c r="W47">
        <v>21.977878198427501</v>
      </c>
      <c r="X47">
        <v>44.244942638811111</v>
      </c>
      <c r="Y47">
        <v>9.6602483140569557</v>
      </c>
      <c r="Z47">
        <v>32.874485103223655</v>
      </c>
      <c r="AA47">
        <v>7.2069383761090213</v>
      </c>
      <c r="AB47">
        <v>37.124479045396043</v>
      </c>
      <c r="AD47">
        <v>9.0363846976418021</v>
      </c>
      <c r="AE47">
        <v>13.570979206317228</v>
      </c>
      <c r="AF47">
        <v>13.159157545765076</v>
      </c>
      <c r="AG47">
        <v>22.547968083727721</v>
      </c>
      <c r="AH47">
        <v>8.4839187998463377</v>
      </c>
      <c r="AI47">
        <v>2.3436405493111985</v>
      </c>
      <c r="AK47">
        <v>57.664759065605821</v>
      </c>
    </row>
    <row r="48" spans="1:37" x14ac:dyDescent="0.2">
      <c r="A48">
        <v>47</v>
      </c>
      <c r="B48">
        <v>751</v>
      </c>
      <c r="C48">
        <v>225</v>
      </c>
      <c r="D48">
        <v>0.35185324415369101</v>
      </c>
      <c r="E48">
        <v>172.15213953196948</v>
      </c>
      <c r="F48">
        <v>63.626332847179519</v>
      </c>
      <c r="G48">
        <v>72.297265855088369</v>
      </c>
      <c r="H48">
        <v>67.680873354475949</v>
      </c>
      <c r="J48">
        <v>69.038943117184488</v>
      </c>
      <c r="L48">
        <v>7.9851747140662139</v>
      </c>
      <c r="M48">
        <v>13.445545055094236</v>
      </c>
      <c r="N48">
        <v>2.4054417058655644</v>
      </c>
      <c r="O48">
        <v>32.917554177037736</v>
      </c>
      <c r="P48">
        <v>12.529572616293288</v>
      </c>
      <c r="Q48">
        <v>1.3754560053221532E-2</v>
      </c>
      <c r="R48">
        <v>17.308155353640188</v>
      </c>
      <c r="S48">
        <v>47.748877682449347</v>
      </c>
      <c r="U48">
        <v>1.032375358089086</v>
      </c>
      <c r="V48">
        <v>47.438260649625882</v>
      </c>
      <c r="W48">
        <v>21.760309258172175</v>
      </c>
      <c r="X48">
        <v>44.019444683427189</v>
      </c>
      <c r="Y48">
        <v>9.5666722521130332</v>
      </c>
      <c r="Z48">
        <v>32.662361347132993</v>
      </c>
      <c r="AA48">
        <v>7.1174988692240149</v>
      </c>
      <c r="AB48">
        <v>36.95856357986488</v>
      </c>
      <c r="AD48">
        <v>8.915070286683326</v>
      </c>
      <c r="AE48">
        <v>13.476292295910891</v>
      </c>
      <c r="AF48">
        <v>13.083282954497406</v>
      </c>
      <c r="AG48">
        <v>22.36714349093366</v>
      </c>
      <c r="AH48">
        <v>8.3432781872830706</v>
      </c>
      <c r="AI48">
        <v>2.345329096386803</v>
      </c>
      <c r="AK48">
        <v>57.647683647436217</v>
      </c>
    </row>
    <row r="49" spans="1:37" x14ac:dyDescent="0.2">
      <c r="A49">
        <v>48</v>
      </c>
      <c r="B49">
        <v>750</v>
      </c>
      <c r="C49">
        <v>225</v>
      </c>
      <c r="D49">
        <v>0.35115134633240402</v>
      </c>
      <c r="E49">
        <v>171.93724490592248</v>
      </c>
      <c r="F49">
        <v>62.638627215575795</v>
      </c>
      <c r="G49">
        <v>72.129391794121844</v>
      </c>
      <c r="H49">
        <v>67.510663157706162</v>
      </c>
      <c r="J49">
        <v>68.829320705777945</v>
      </c>
      <c r="L49">
        <v>7.7254902414793865</v>
      </c>
      <c r="M49">
        <v>13.452002164718287</v>
      </c>
      <c r="N49">
        <v>2.4074127528278693</v>
      </c>
      <c r="O49">
        <v>31.841506373086411</v>
      </c>
      <c r="P49">
        <v>12.217311785194303</v>
      </c>
      <c r="R49">
        <v>16.961921038372349</v>
      </c>
      <c r="S49">
        <v>47.408271182206192</v>
      </c>
      <c r="U49">
        <v>0.99756536868893009</v>
      </c>
      <c r="V49">
        <v>47.469348914934599</v>
      </c>
      <c r="W49">
        <v>21.537823086724622</v>
      </c>
      <c r="X49">
        <v>43.956055887250663</v>
      </c>
      <c r="Y49">
        <v>9.2697320810084243</v>
      </c>
      <c r="Z49">
        <v>32.132424720938758</v>
      </c>
      <c r="AA49">
        <v>6.8458219583311806</v>
      </c>
      <c r="AB49">
        <v>36.88829954455079</v>
      </c>
      <c r="AD49">
        <v>8.5991823248809016</v>
      </c>
      <c r="AE49">
        <v>13.273945913947893</v>
      </c>
      <c r="AF49">
        <v>13.088614260418716</v>
      </c>
      <c r="AG49">
        <v>22.281966357339719</v>
      </c>
      <c r="AH49">
        <v>7.9100771694169802</v>
      </c>
      <c r="AI49">
        <v>2.3470102811504687</v>
      </c>
      <c r="AK49">
        <v>57.486550374695234</v>
      </c>
    </row>
    <row r="50" spans="1:37" x14ac:dyDescent="0.2">
      <c r="A50">
        <v>49</v>
      </c>
      <c r="B50">
        <v>749</v>
      </c>
      <c r="C50">
        <v>225</v>
      </c>
      <c r="D50">
        <v>0.350448075135744</v>
      </c>
      <c r="E50">
        <v>171.16211348137298</v>
      </c>
      <c r="F50">
        <v>57.507832372262982</v>
      </c>
      <c r="G50">
        <v>71.364849453291882</v>
      </c>
      <c r="H50">
        <v>66.743797842473285</v>
      </c>
      <c r="J50">
        <v>66.734140453683338</v>
      </c>
      <c r="L50">
        <v>6.3269189120801892</v>
      </c>
      <c r="M50">
        <v>13.431013192958257</v>
      </c>
      <c r="N50">
        <v>2.4093554210931778</v>
      </c>
      <c r="O50">
        <v>26.582089069029845</v>
      </c>
      <c r="P50">
        <v>10.711693895015664</v>
      </c>
      <c r="R50">
        <v>14.951701473932012</v>
      </c>
      <c r="S50">
        <v>44.505077640625025</v>
      </c>
      <c r="U50">
        <v>0.98559085807935209</v>
      </c>
      <c r="V50">
        <v>47.265559802338416</v>
      </c>
      <c r="W50">
        <v>21.345911741168592</v>
      </c>
      <c r="X50">
        <v>43.959436332156919</v>
      </c>
      <c r="Y50">
        <v>7.7724770390869358</v>
      </c>
      <c r="Z50">
        <v>28.728180433220459</v>
      </c>
      <c r="AA50">
        <v>5.4187916501949225</v>
      </c>
      <c r="AB50">
        <v>35.502014677618241</v>
      </c>
      <c r="AD50">
        <v>6.6287199135287143</v>
      </c>
      <c r="AE50">
        <v>11.839038459466082</v>
      </c>
      <c r="AF50">
        <v>13.066471448910564</v>
      </c>
      <c r="AG50">
        <v>20.880742570653407</v>
      </c>
      <c r="AH50">
        <v>5.6434529347442881</v>
      </c>
      <c r="AI50">
        <v>2.3486622452780157</v>
      </c>
      <c r="AK50">
        <v>56.096171968775941</v>
      </c>
    </row>
    <row r="51" spans="1:37" x14ac:dyDescent="0.2">
      <c r="A51">
        <v>50</v>
      </c>
      <c r="B51">
        <v>748</v>
      </c>
      <c r="C51">
        <v>225</v>
      </c>
      <c r="D51">
        <v>0.34974342652891699</v>
      </c>
      <c r="E51">
        <v>170.06259766669737</v>
      </c>
      <c r="F51">
        <v>49.882468673927612</v>
      </c>
      <c r="G51">
        <v>70.247720586410679</v>
      </c>
      <c r="H51">
        <v>65.624359183672766</v>
      </c>
      <c r="J51">
        <v>63.451426553443014</v>
      </c>
      <c r="L51">
        <v>4.2326858233338678</v>
      </c>
      <c r="M51">
        <v>13.355150101494333</v>
      </c>
      <c r="N51">
        <v>2.411277894824158</v>
      </c>
      <c r="O51">
        <v>18.826026383494636</v>
      </c>
      <c r="P51">
        <v>8.5008906606413532</v>
      </c>
      <c r="R51">
        <v>11.878365855472085</v>
      </c>
      <c r="S51">
        <v>39.975355727056275</v>
      </c>
      <c r="U51">
        <v>0.97482776286561368</v>
      </c>
      <c r="V51">
        <v>46.895027755716931</v>
      </c>
      <c r="W51">
        <v>21.186010037440287</v>
      </c>
      <c r="X51">
        <v>43.964428173780568</v>
      </c>
      <c r="Y51">
        <v>5.5615992652814672</v>
      </c>
      <c r="Z51">
        <v>23.490964232637001</v>
      </c>
      <c r="AA51">
        <v>3.2950206720156419</v>
      </c>
      <c r="AB51">
        <v>33.253931822992477</v>
      </c>
      <c r="AD51">
        <v>3.5924032204450325</v>
      </c>
      <c r="AE51">
        <v>9.6161238106663909</v>
      </c>
      <c r="AF51">
        <v>12.989434671502933</v>
      </c>
      <c r="AG51">
        <v>18.617703165009935</v>
      </c>
      <c r="AH51">
        <v>2.2398318082144129</v>
      </c>
      <c r="AI51">
        <v>2.3502931710920496</v>
      </c>
      <c r="AK51">
        <v>53.938672241097464</v>
      </c>
    </row>
    <row r="52" spans="1:37" x14ac:dyDescent="0.2">
      <c r="A52">
        <v>51</v>
      </c>
      <c r="B52">
        <v>747</v>
      </c>
      <c r="C52">
        <v>225</v>
      </c>
      <c r="D52">
        <v>0.34903739646130499</v>
      </c>
      <c r="E52">
        <v>169.76429843726152</v>
      </c>
      <c r="F52">
        <v>46.451880529527692</v>
      </c>
      <c r="G52">
        <v>69.891978680292226</v>
      </c>
      <c r="H52">
        <v>65.266320689245205</v>
      </c>
      <c r="J52">
        <v>56.405573644453632</v>
      </c>
      <c r="L52">
        <v>2.2736039273163007</v>
      </c>
      <c r="M52">
        <v>13.194633908504908</v>
      </c>
      <c r="N52">
        <v>2.4132472080170331</v>
      </c>
      <c r="O52">
        <v>9.4565921089160376</v>
      </c>
      <c r="P52">
        <v>7.8129161128659197</v>
      </c>
      <c r="R52">
        <v>9.4888229338122638</v>
      </c>
      <c r="S52">
        <v>35.122403324827616</v>
      </c>
      <c r="U52">
        <v>0.96155836668972994</v>
      </c>
      <c r="V52">
        <v>46.740802001430787</v>
      </c>
      <c r="W52">
        <v>20.942795784044083</v>
      </c>
      <c r="X52">
        <v>43.962230215070328</v>
      </c>
      <c r="Y52">
        <v>4.0039581689444708</v>
      </c>
      <c r="Z52">
        <v>19.664228284571731</v>
      </c>
      <c r="AA52">
        <v>1.0946707747938345</v>
      </c>
      <c r="AB52">
        <v>31.415978178734967</v>
      </c>
      <c r="AD52">
        <v>1.4261478363514333</v>
      </c>
      <c r="AE52">
        <v>7.7012898652455899</v>
      </c>
      <c r="AF52">
        <v>12.827791986068382</v>
      </c>
      <c r="AG52">
        <v>16.76484237853283</v>
      </c>
      <c r="AI52">
        <v>2.3519700907485017</v>
      </c>
      <c r="AK52">
        <v>49.238345572724157</v>
      </c>
    </row>
    <row r="53" spans="1:37" x14ac:dyDescent="0.2">
      <c r="A53">
        <v>52</v>
      </c>
      <c r="B53">
        <v>746</v>
      </c>
      <c r="C53">
        <v>225</v>
      </c>
      <c r="D53">
        <v>0.34832998086640898</v>
      </c>
      <c r="E53">
        <v>170.05775116914899</v>
      </c>
      <c r="F53">
        <v>46.301488133426659</v>
      </c>
      <c r="G53">
        <v>70.014955416647808</v>
      </c>
      <c r="H53">
        <v>65.38701406206664</v>
      </c>
      <c r="J53">
        <v>46.949476579689829</v>
      </c>
      <c r="L53">
        <v>1.6183564746502088</v>
      </c>
      <c r="M53">
        <v>12.801216762787949</v>
      </c>
      <c r="N53">
        <v>2.4152486504474528</v>
      </c>
      <c r="O53">
        <v>5.8175494259695499</v>
      </c>
      <c r="P53">
        <v>8.0824189281139009</v>
      </c>
      <c r="R53">
        <v>8.6344114177192797</v>
      </c>
      <c r="S53">
        <v>33.510278263112141</v>
      </c>
      <c r="U53">
        <v>0.94485874476768239</v>
      </c>
      <c r="V53">
        <v>47.14987110407808</v>
      </c>
      <c r="W53">
        <v>20.468688491193465</v>
      </c>
      <c r="X53">
        <v>43.95024730822395</v>
      </c>
      <c r="Y53">
        <v>3.4700529930936934</v>
      </c>
      <c r="Z53">
        <v>17.555424812333399</v>
      </c>
      <c r="AB53">
        <v>30.49581962772606</v>
      </c>
      <c r="AE53">
        <v>6.4469204085158553</v>
      </c>
      <c r="AF53">
        <v>12.433280836897803</v>
      </c>
      <c r="AG53">
        <v>15.829811389963458</v>
      </c>
      <c r="AI53">
        <v>2.3536782921827273</v>
      </c>
      <c r="AK53">
        <v>42.845366135945717</v>
      </c>
    </row>
    <row r="54" spans="1:37" x14ac:dyDescent="0.2">
      <c r="A54">
        <v>53</v>
      </c>
      <c r="B54">
        <v>745</v>
      </c>
      <c r="C54">
        <v>225</v>
      </c>
      <c r="D54">
        <v>0.347621175661739</v>
      </c>
      <c r="E54">
        <v>170.24609482644152</v>
      </c>
      <c r="F54">
        <v>46.861430440183867</v>
      </c>
      <c r="G54">
        <v>69.992057263334715</v>
      </c>
      <c r="H54">
        <v>65.361845791203422</v>
      </c>
      <c r="J54">
        <v>40.954993029068923</v>
      </c>
      <c r="L54">
        <v>1.6342235145122794</v>
      </c>
      <c r="M54">
        <v>12.320027605536909</v>
      </c>
      <c r="N54">
        <v>2.417239937771094</v>
      </c>
      <c r="O54">
        <v>5.812399177466423</v>
      </c>
      <c r="P54">
        <v>8.0601697810533519</v>
      </c>
      <c r="R54">
        <v>8.249925972516559</v>
      </c>
      <c r="S54">
        <v>33.940896543610016</v>
      </c>
      <c r="U54">
        <v>0.92498715496491168</v>
      </c>
      <c r="V54">
        <v>47.772526010415184</v>
      </c>
      <c r="W54">
        <v>19.908883487988327</v>
      </c>
      <c r="X54">
        <v>43.929396344151492</v>
      </c>
      <c r="Y54">
        <v>3.2440400526387343</v>
      </c>
      <c r="Z54">
        <v>17.749540677040919</v>
      </c>
      <c r="AB54">
        <v>31.045194422933118</v>
      </c>
      <c r="AE54">
        <v>6.5507415996712073</v>
      </c>
      <c r="AF54">
        <v>11.950987886562839</v>
      </c>
      <c r="AG54">
        <v>16.364306174028282</v>
      </c>
      <c r="AI54">
        <v>2.3553754892105756</v>
      </c>
      <c r="AK54">
        <v>38.722982507020419</v>
      </c>
    </row>
    <row r="55" spans="1:37" x14ac:dyDescent="0.2">
      <c r="A55">
        <v>54</v>
      </c>
      <c r="B55">
        <v>758</v>
      </c>
      <c r="C55">
        <v>200</v>
      </c>
      <c r="D55">
        <v>0.383397662803666</v>
      </c>
      <c r="E55">
        <v>158.37763474823677</v>
      </c>
      <c r="F55">
        <v>65.667387071027562</v>
      </c>
      <c r="G55">
        <v>72.730208244408416</v>
      </c>
      <c r="H55">
        <v>68.12939977417787</v>
      </c>
      <c r="J55">
        <v>69.198906972319435</v>
      </c>
      <c r="L55">
        <v>8.4590808077190953</v>
      </c>
      <c r="M55">
        <v>13.896131126062318</v>
      </c>
      <c r="N55">
        <v>2.3090688527298191</v>
      </c>
      <c r="O55">
        <v>35.784422053966438</v>
      </c>
      <c r="P55">
        <v>13.007513868257943</v>
      </c>
      <c r="Q55">
        <v>5.9042835366519983E-2</v>
      </c>
      <c r="R55">
        <v>18.818829856051867</v>
      </c>
      <c r="S55">
        <v>50.510371414328318</v>
      </c>
      <c r="U55">
        <v>1.5296483576599442</v>
      </c>
      <c r="V55">
        <v>47.661596311249454</v>
      </c>
      <c r="W55">
        <v>23.836696327880549</v>
      </c>
      <c r="X55">
        <v>43.909658389735384</v>
      </c>
      <c r="Y55">
        <v>9.9840289408776375</v>
      </c>
      <c r="Z55">
        <v>34.052007014110217</v>
      </c>
      <c r="AA55">
        <v>7.6375846737026007</v>
      </c>
      <c r="AB55">
        <v>38.069490122535342</v>
      </c>
      <c r="AC55">
        <v>8.8203180052367006E-3</v>
      </c>
      <c r="AD55">
        <v>9.6923441220212538</v>
      </c>
      <c r="AE55">
        <v>14.302093490007572</v>
      </c>
      <c r="AF55">
        <v>13.536282552034754</v>
      </c>
      <c r="AG55">
        <v>23.607919978915085</v>
      </c>
      <c r="AH55">
        <v>8.7772267928538721</v>
      </c>
      <c r="AI55">
        <v>2.2478716204507072</v>
      </c>
      <c r="AK55">
        <v>57.356406799959139</v>
      </c>
    </row>
    <row r="56" spans="1:37" x14ac:dyDescent="0.2">
      <c r="A56">
        <v>55</v>
      </c>
      <c r="B56">
        <v>757</v>
      </c>
      <c r="C56">
        <v>200</v>
      </c>
      <c r="D56">
        <v>0.38273115565694399</v>
      </c>
      <c r="E56">
        <v>158.27538861114326</v>
      </c>
      <c r="F56">
        <v>65.352707094108368</v>
      </c>
      <c r="G56">
        <v>72.676532457957336</v>
      </c>
      <c r="H56">
        <v>68.073286141125308</v>
      </c>
      <c r="J56">
        <v>69.141341502233345</v>
      </c>
      <c r="L56">
        <v>8.382938902469018</v>
      </c>
      <c r="M56">
        <v>13.850595778193629</v>
      </c>
      <c r="N56">
        <v>2.302015320650602</v>
      </c>
      <c r="O56">
        <v>35.415916055157062</v>
      </c>
      <c r="P56">
        <v>12.914560797932179</v>
      </c>
      <c r="Q56">
        <v>8.2525025886609604E-3</v>
      </c>
      <c r="R56">
        <v>18.640260766558011</v>
      </c>
      <c r="S56">
        <v>50.166158525494701</v>
      </c>
      <c r="U56">
        <v>1.4680818647330984</v>
      </c>
      <c r="V56">
        <v>47.587339791663574</v>
      </c>
      <c r="W56">
        <v>23.673155071248999</v>
      </c>
      <c r="X56">
        <v>43.771954947493022</v>
      </c>
      <c r="Y56">
        <v>9.9052452982676122</v>
      </c>
      <c r="Z56">
        <v>33.880519989550663</v>
      </c>
      <c r="AA56">
        <v>7.5589014265128212</v>
      </c>
      <c r="AB56">
        <v>37.955040000412922</v>
      </c>
      <c r="AD56">
        <v>9.5979610628360454</v>
      </c>
      <c r="AE56">
        <v>14.223065528541925</v>
      </c>
      <c r="AF56">
        <v>13.480591067864021</v>
      </c>
      <c r="AG56">
        <v>23.469547329606556</v>
      </c>
      <c r="AH56">
        <v>8.6696784989491498</v>
      </c>
      <c r="AI56">
        <v>2.2405351959927446</v>
      </c>
      <c r="AK56">
        <v>57.35319020734832</v>
      </c>
    </row>
    <row r="57" spans="1:37" x14ac:dyDescent="0.2">
      <c r="A57">
        <v>56</v>
      </c>
      <c r="B57">
        <v>756</v>
      </c>
      <c r="C57">
        <v>200</v>
      </c>
      <c r="D57">
        <v>0.38206335325268598</v>
      </c>
      <c r="E57">
        <v>158.05840936776184</v>
      </c>
      <c r="F57">
        <v>64.345147450565278</v>
      </c>
      <c r="G57">
        <v>72.504868565494149</v>
      </c>
      <c r="H57">
        <v>67.899197419387249</v>
      </c>
      <c r="J57">
        <v>68.93073620396946</v>
      </c>
      <c r="L57">
        <v>8.1170656508803187</v>
      </c>
      <c r="M57">
        <v>13.8621524216254</v>
      </c>
      <c r="N57">
        <v>2.3039893852404245</v>
      </c>
      <c r="O57">
        <v>34.312433794820855</v>
      </c>
      <c r="P57">
        <v>12.594666828532112</v>
      </c>
      <c r="R57">
        <v>18.292000243512739</v>
      </c>
      <c r="S57">
        <v>49.841488219353884</v>
      </c>
      <c r="U57">
        <v>1.4371859308657016</v>
      </c>
      <c r="V57">
        <v>47.628458378608109</v>
      </c>
      <c r="W57">
        <v>23.448842112668206</v>
      </c>
      <c r="X57">
        <v>43.721762926549466</v>
      </c>
      <c r="Y57">
        <v>9.6008049336415162</v>
      </c>
      <c r="Z57">
        <v>33.339239732093226</v>
      </c>
      <c r="AA57">
        <v>7.2807072688227201</v>
      </c>
      <c r="AB57">
        <v>37.891943931360338</v>
      </c>
      <c r="AD57">
        <v>9.2762594669730198</v>
      </c>
      <c r="AE57">
        <v>14.01652639520681</v>
      </c>
      <c r="AF57">
        <v>13.491019480894478</v>
      </c>
      <c r="AG57">
        <v>23.391558845470264</v>
      </c>
      <c r="AH57">
        <v>8.2266495654763769</v>
      </c>
      <c r="AI57">
        <v>2.2422255391395343</v>
      </c>
      <c r="AK57">
        <v>57.188291280887206</v>
      </c>
    </row>
    <row r="58" spans="1:37" x14ac:dyDescent="0.2">
      <c r="A58">
        <v>57</v>
      </c>
      <c r="B58">
        <v>755</v>
      </c>
      <c r="C58">
        <v>200</v>
      </c>
      <c r="D58">
        <v>0.38139425181150599</v>
      </c>
      <c r="E58">
        <v>157.82337836969427</v>
      </c>
      <c r="F58">
        <v>63.204002941133602</v>
      </c>
      <c r="G58">
        <v>72.309703194676288</v>
      </c>
      <c r="H58">
        <v>67.701620257420316</v>
      </c>
      <c r="J58">
        <v>68.671329561045127</v>
      </c>
      <c r="L58">
        <v>7.8086353494350114</v>
      </c>
      <c r="M58">
        <v>13.887616855646552</v>
      </c>
      <c r="N58">
        <v>2.3059616502666023</v>
      </c>
      <c r="O58">
        <v>33.05434004002052</v>
      </c>
      <c r="P58">
        <v>12.227775841798527</v>
      </c>
      <c r="R58">
        <v>17.895407676519621</v>
      </c>
      <c r="S58">
        <v>49.467075624659536</v>
      </c>
      <c r="U58">
        <v>1.4184592508731162</v>
      </c>
      <c r="V58">
        <v>47.673911990736983</v>
      </c>
      <c r="W58">
        <v>23.226561550384737</v>
      </c>
      <c r="X58">
        <v>43.708568637056594</v>
      </c>
      <c r="Y58">
        <v>9.2501309091398713</v>
      </c>
      <c r="Z58">
        <v>32.721645830941185</v>
      </c>
      <c r="AA58">
        <v>6.9601513250748761</v>
      </c>
      <c r="AB58">
        <v>37.808517319809255</v>
      </c>
      <c r="AD58">
        <v>8.9074649679160078</v>
      </c>
      <c r="AE58">
        <v>13.78300706580014</v>
      </c>
      <c r="AF58">
        <v>13.515354199779376</v>
      </c>
      <c r="AG58">
        <v>23.293240540617912</v>
      </c>
      <c r="AH58">
        <v>7.7158379556988841</v>
      </c>
      <c r="AI58">
        <v>2.2439132518193792</v>
      </c>
      <c r="AK58">
        <v>56.988605605237304</v>
      </c>
    </row>
    <row r="59" spans="1:37" x14ac:dyDescent="0.2">
      <c r="A59">
        <v>58</v>
      </c>
      <c r="B59">
        <v>754</v>
      </c>
      <c r="C59">
        <v>200</v>
      </c>
      <c r="D59">
        <v>0.38072384753930699</v>
      </c>
      <c r="E59">
        <v>157.30417813089934</v>
      </c>
      <c r="F59">
        <v>59.936908733090299</v>
      </c>
      <c r="G59">
        <v>71.806825114247843</v>
      </c>
      <c r="H59">
        <v>67.196343444806516</v>
      </c>
      <c r="J59">
        <v>67.396807001612004</v>
      </c>
      <c r="L59">
        <v>6.9083226946306491</v>
      </c>
      <c r="M59">
        <v>13.893213301954162</v>
      </c>
      <c r="N59">
        <v>2.3079195976091373</v>
      </c>
      <c r="O59">
        <v>29.642178070512518</v>
      </c>
      <c r="P59">
        <v>11.245452879823677</v>
      </c>
      <c r="R59">
        <v>16.60713864708001</v>
      </c>
      <c r="S59">
        <v>47.608479760465158</v>
      </c>
      <c r="U59">
        <v>1.4134136141114029</v>
      </c>
      <c r="V59">
        <v>47.540273209315714</v>
      </c>
      <c r="W59">
        <v>23.021224971572984</v>
      </c>
      <c r="X59">
        <v>43.734151775019761</v>
      </c>
      <c r="Y59">
        <v>8.2803910324197858</v>
      </c>
      <c r="Z59">
        <v>30.633209746331424</v>
      </c>
      <c r="AA59">
        <v>6.0426600891275886</v>
      </c>
      <c r="AB59">
        <v>36.967421211790366</v>
      </c>
      <c r="AD59">
        <v>7.6911806001916352</v>
      </c>
      <c r="AE59">
        <v>12.915036378362922</v>
      </c>
      <c r="AF59">
        <v>13.519806933707947</v>
      </c>
      <c r="AG59">
        <v>22.437240948893432</v>
      </c>
      <c r="AH59">
        <v>6.2625123850960556</v>
      </c>
      <c r="AI59">
        <v>2.2455858140743161</v>
      </c>
      <c r="AK59">
        <v>56.153216966223098</v>
      </c>
    </row>
    <row r="60" spans="1:37" x14ac:dyDescent="0.2">
      <c r="A60">
        <v>59</v>
      </c>
      <c r="B60">
        <v>753</v>
      </c>
      <c r="C60">
        <v>200</v>
      </c>
      <c r="D60">
        <v>0.380052136627202</v>
      </c>
      <c r="E60">
        <v>156.20330562968823</v>
      </c>
      <c r="F60">
        <v>52.273710868582043</v>
      </c>
      <c r="G60">
        <v>70.676838276313063</v>
      </c>
      <c r="H60">
        <v>66.06397095452985</v>
      </c>
      <c r="J60">
        <v>64.028502012038956</v>
      </c>
      <c r="L60">
        <v>4.7883742882266924</v>
      </c>
      <c r="M60">
        <v>13.825459443873793</v>
      </c>
      <c r="N60">
        <v>2.3098465117268971</v>
      </c>
      <c r="O60">
        <v>21.813156174025888</v>
      </c>
      <c r="P60">
        <v>9.0088891540619134</v>
      </c>
      <c r="R60">
        <v>13.47080557951794</v>
      </c>
      <c r="S60">
        <v>42.790627529472133</v>
      </c>
      <c r="U60">
        <v>1.4177429138396684</v>
      </c>
      <c r="V60">
        <v>47.07473435630763</v>
      </c>
      <c r="W60">
        <v>22.857025024922272</v>
      </c>
      <c r="X60">
        <v>43.783543458779931</v>
      </c>
      <c r="Y60">
        <v>6.0449956461040655</v>
      </c>
      <c r="Z60">
        <v>25.419545421272417</v>
      </c>
      <c r="AA60">
        <v>3.897303708552732</v>
      </c>
      <c r="AB60">
        <v>34.588971046041301</v>
      </c>
      <c r="AD60">
        <v>4.6683291770826845</v>
      </c>
      <c r="AE60">
        <v>10.695687961747064</v>
      </c>
      <c r="AF60">
        <v>13.450878656086434</v>
      </c>
      <c r="AG60">
        <v>20.043858799443885</v>
      </c>
      <c r="AH60">
        <v>2.8452539740731408</v>
      </c>
      <c r="AI60">
        <v>2.2472265085232683</v>
      </c>
      <c r="AK60">
        <v>53.98393938683266</v>
      </c>
    </row>
    <row r="61" spans="1:37" x14ac:dyDescent="0.2">
      <c r="A61">
        <v>60</v>
      </c>
      <c r="B61">
        <v>752</v>
      </c>
      <c r="C61">
        <v>200</v>
      </c>
      <c r="D61">
        <v>0.37937911525142798</v>
      </c>
      <c r="E61">
        <v>155.31480013761592</v>
      </c>
      <c r="F61">
        <v>46.115526911899828</v>
      </c>
      <c r="G61">
        <v>69.766351423559996</v>
      </c>
      <c r="H61">
        <v>65.151111550197299</v>
      </c>
      <c r="J61">
        <v>61.347044606798413</v>
      </c>
      <c r="L61">
        <v>3.0776363355640717</v>
      </c>
      <c r="M61">
        <v>13.75240553723841</v>
      </c>
      <c r="N61">
        <v>2.3117825223654931</v>
      </c>
      <c r="O61">
        <v>15.509703001707608</v>
      </c>
      <c r="P61">
        <v>7.2113423024812446</v>
      </c>
      <c r="R61">
        <v>10.926892287802984</v>
      </c>
      <c r="S61">
        <v>38.998341978961754</v>
      </c>
      <c r="U61">
        <v>1.4123332121046164</v>
      </c>
      <c r="V61">
        <v>46.732592766637794</v>
      </c>
      <c r="W61">
        <v>22.694156785816535</v>
      </c>
      <c r="X61">
        <v>43.805114578144767</v>
      </c>
      <c r="Y61">
        <v>4.2485293015680448</v>
      </c>
      <c r="Z61">
        <v>21.179588412612713</v>
      </c>
      <c r="AA61">
        <v>2.1698747588564729</v>
      </c>
      <c r="AB61">
        <v>32.716127492097982</v>
      </c>
      <c r="AD61">
        <v>2.1975110642432543</v>
      </c>
      <c r="AE61">
        <v>8.8980943180360015</v>
      </c>
      <c r="AF61">
        <v>13.376659758131638</v>
      </c>
      <c r="AG61">
        <v>18.156094897519871</v>
      </c>
      <c r="AH61">
        <v>6.5714536441508639E-2</v>
      </c>
      <c r="AI61">
        <v>2.2488754630730678</v>
      </c>
      <c r="AK61">
        <v>52.244570174367297</v>
      </c>
    </row>
    <row r="62" spans="1:37" x14ac:dyDescent="0.2">
      <c r="A62">
        <v>61</v>
      </c>
      <c r="B62">
        <v>751</v>
      </c>
      <c r="C62">
        <v>200</v>
      </c>
      <c r="D62">
        <v>0.378704779573308</v>
      </c>
      <c r="E62">
        <v>155.9408853045297</v>
      </c>
      <c r="F62">
        <v>47.124557194773018</v>
      </c>
      <c r="G62">
        <v>70.233992040324878</v>
      </c>
      <c r="H62">
        <v>65.616392737107745</v>
      </c>
      <c r="J62">
        <v>50.10389972585012</v>
      </c>
      <c r="L62">
        <v>1.5750961028326929</v>
      </c>
      <c r="M62">
        <v>13.436086357589875</v>
      </c>
      <c r="N62">
        <v>2.3138060593579803</v>
      </c>
      <c r="O62">
        <v>6.4264886154238345</v>
      </c>
      <c r="P62">
        <v>8.1701457465030742</v>
      </c>
      <c r="R62">
        <v>9.5091947467479656</v>
      </c>
      <c r="S62">
        <v>34.332455503693637</v>
      </c>
      <c r="U62">
        <v>1.4215919090900528</v>
      </c>
      <c r="V62">
        <v>46.814383158858995</v>
      </c>
      <c r="W62">
        <v>22.278142677251015</v>
      </c>
      <c r="X62">
        <v>43.868731827244176</v>
      </c>
      <c r="Y62">
        <v>3.4752964313906474</v>
      </c>
      <c r="Z62">
        <v>18.534382757420271</v>
      </c>
      <c r="AB62">
        <v>30.979936813416035</v>
      </c>
      <c r="AD62">
        <v>0.83239091114382169</v>
      </c>
      <c r="AE62">
        <v>7.1039691349367029</v>
      </c>
      <c r="AF62">
        <v>13.059263450866947</v>
      </c>
      <c r="AG62">
        <v>16.405073942400588</v>
      </c>
      <c r="AI62">
        <v>2.2506111057171738</v>
      </c>
      <c r="AK62">
        <v>44.7529490168804</v>
      </c>
    </row>
    <row r="63" spans="1:37" x14ac:dyDescent="0.2">
      <c r="A63">
        <v>62</v>
      </c>
      <c r="B63">
        <v>750</v>
      </c>
      <c r="C63">
        <v>200</v>
      </c>
      <c r="D63">
        <v>0.37802912573913899</v>
      </c>
      <c r="E63">
        <v>156.19952237375409</v>
      </c>
      <c r="F63">
        <v>47.347049570345696</v>
      </c>
      <c r="G63">
        <v>70.280400606671748</v>
      </c>
      <c r="H63">
        <v>65.66045501632469</v>
      </c>
      <c r="J63">
        <v>42.831299114655849</v>
      </c>
      <c r="L63">
        <v>1.5971611049594903</v>
      </c>
      <c r="M63">
        <v>12.97015649982152</v>
      </c>
      <c r="N63">
        <v>2.315803523919461</v>
      </c>
      <c r="O63">
        <v>6.3062561481789192</v>
      </c>
      <c r="P63">
        <v>8.2864668704430198</v>
      </c>
      <c r="R63">
        <v>9.1925428794431987</v>
      </c>
      <c r="S63">
        <v>34.574314884020161</v>
      </c>
      <c r="U63">
        <v>1.4099631914687147</v>
      </c>
      <c r="V63">
        <v>47.381657782509564</v>
      </c>
      <c r="W63">
        <v>21.726405923426327</v>
      </c>
      <c r="X63">
        <v>43.872611917261089</v>
      </c>
      <c r="Y63">
        <v>3.2912613341719612</v>
      </c>
      <c r="Z63">
        <v>17.56429761797331</v>
      </c>
      <c r="AB63">
        <v>30.763970286313288</v>
      </c>
      <c r="AE63">
        <v>6.5219435045581902</v>
      </c>
      <c r="AF63">
        <v>12.592230736061143</v>
      </c>
      <c r="AG63">
        <v>16.174253617624363</v>
      </c>
      <c r="AI63">
        <v>2.2523198358306287</v>
      </c>
      <c r="AK63">
        <v>39.805621612647712</v>
      </c>
    </row>
    <row r="64" spans="1:37" x14ac:dyDescent="0.2">
      <c r="A64">
        <v>63</v>
      </c>
      <c r="B64">
        <v>749</v>
      </c>
      <c r="C64">
        <v>200</v>
      </c>
      <c r="D64">
        <v>0.37735214988015597</v>
      </c>
      <c r="E64">
        <v>156.37275665133183</v>
      </c>
      <c r="F64">
        <v>47.866504816334142</v>
      </c>
      <c r="G64">
        <v>70.257865258425653</v>
      </c>
      <c r="H64">
        <v>65.635586544716901</v>
      </c>
      <c r="J64">
        <v>38.616766176466449</v>
      </c>
      <c r="L64">
        <v>1.6111953642612715</v>
      </c>
      <c r="M64">
        <v>12.523148859911654</v>
      </c>
      <c r="N64">
        <v>2.3177960190236608</v>
      </c>
      <c r="O64">
        <v>6.2893226644353053</v>
      </c>
      <c r="P64">
        <v>8.2649030719684156</v>
      </c>
      <c r="R64">
        <v>8.8294330334144178</v>
      </c>
      <c r="S64">
        <v>34.939904028661743</v>
      </c>
      <c r="U64">
        <v>1.3913312478130775</v>
      </c>
      <c r="V64">
        <v>47.949157740249305</v>
      </c>
      <c r="W64">
        <v>21.198109268001343</v>
      </c>
      <c r="X64">
        <v>43.856589418244411</v>
      </c>
      <c r="Y64">
        <v>3.0813141965268391</v>
      </c>
      <c r="Z64">
        <v>17.738145346899916</v>
      </c>
      <c r="AB64">
        <v>31.254795694553138</v>
      </c>
      <c r="AE64">
        <v>6.6145209472330881</v>
      </c>
      <c r="AF64">
        <v>12.144115618342441</v>
      </c>
      <c r="AG64">
        <v>16.650222815956994</v>
      </c>
      <c r="AI64">
        <v>2.2540227545479121</v>
      </c>
      <c r="AK64">
        <v>36.886241838017654</v>
      </c>
    </row>
    <row r="65" spans="1:37" x14ac:dyDescent="0.2">
      <c r="A65">
        <v>64</v>
      </c>
      <c r="B65">
        <v>767</v>
      </c>
      <c r="C65">
        <v>175</v>
      </c>
      <c r="D65">
        <v>0.41577705138682203</v>
      </c>
      <c r="E65">
        <v>144.65075788264073</v>
      </c>
      <c r="F65">
        <v>67.835898596075523</v>
      </c>
      <c r="G65">
        <v>73.205485610375277</v>
      </c>
      <c r="H65">
        <v>68.626166666298275</v>
      </c>
      <c r="J65">
        <v>69.260249119835606</v>
      </c>
      <c r="L65">
        <v>8.9964202009873855</v>
      </c>
      <c r="M65">
        <v>14.258825318377317</v>
      </c>
      <c r="N65">
        <v>2.2688675503069828</v>
      </c>
      <c r="O65">
        <v>39.253990936963206</v>
      </c>
      <c r="P65">
        <v>13.584052120143017</v>
      </c>
      <c r="Q65">
        <v>4.276896825892558E-2</v>
      </c>
      <c r="R65">
        <v>20.367933739791361</v>
      </c>
      <c r="S65">
        <v>53.133690495511139</v>
      </c>
      <c r="U65">
        <v>2.0385710920181008</v>
      </c>
      <c r="V65">
        <v>47.718020314567575</v>
      </c>
      <c r="W65">
        <v>25.998582439884075</v>
      </c>
      <c r="X65">
        <v>43.474366055761514</v>
      </c>
      <c r="Y65">
        <v>10.455322256535965</v>
      </c>
      <c r="Z65">
        <v>35.547935785550358</v>
      </c>
      <c r="AA65">
        <v>8.227666423897718</v>
      </c>
      <c r="AB65">
        <v>39.120012897403981</v>
      </c>
      <c r="AC65">
        <v>7.8043339118972974E-2</v>
      </c>
      <c r="AD65">
        <v>10.493853214136085</v>
      </c>
      <c r="AE65">
        <v>15.206330140022446</v>
      </c>
      <c r="AF65">
        <v>13.963853785306629</v>
      </c>
      <c r="AG65">
        <v>24.877820074046316</v>
      </c>
      <c r="AH65">
        <v>9.2195608573678189</v>
      </c>
      <c r="AI65">
        <v>2.2071388364837334</v>
      </c>
      <c r="AK65">
        <v>56.960047816570011</v>
      </c>
    </row>
    <row r="66" spans="1:37" x14ac:dyDescent="0.2">
      <c r="A66">
        <v>65</v>
      </c>
      <c r="B66">
        <v>766</v>
      </c>
      <c r="C66">
        <v>175</v>
      </c>
      <c r="D66">
        <v>0.41514747630275201</v>
      </c>
      <c r="E66">
        <v>144.54796530823307</v>
      </c>
      <c r="F66">
        <v>67.500502798210519</v>
      </c>
      <c r="G66">
        <v>73.147657330779595</v>
      </c>
      <c r="H66">
        <v>68.565774124242139</v>
      </c>
      <c r="J66">
        <v>69.20233981564526</v>
      </c>
      <c r="L66">
        <v>8.9126921391117335</v>
      </c>
      <c r="M66">
        <v>14.224192835593215</v>
      </c>
      <c r="N66">
        <v>2.2602708072727786</v>
      </c>
      <c r="O66">
        <v>38.849151959986713</v>
      </c>
      <c r="P66">
        <v>13.481172801082202</v>
      </c>
      <c r="R66">
        <v>20.192677227255668</v>
      </c>
      <c r="S66">
        <v>52.828807858800836</v>
      </c>
      <c r="U66">
        <v>1.9859792976055062</v>
      </c>
      <c r="V66">
        <v>47.663993102121587</v>
      </c>
      <c r="W66">
        <v>25.844289819365596</v>
      </c>
      <c r="X66">
        <v>43.366082396237971</v>
      </c>
      <c r="Y66">
        <v>10.367628809809982</v>
      </c>
      <c r="Z66">
        <v>35.364858292651107</v>
      </c>
      <c r="AA66">
        <v>8.140737013708792</v>
      </c>
      <c r="AB66">
        <v>39.021722154333098</v>
      </c>
      <c r="AC66">
        <v>6.7462740285462425E-2</v>
      </c>
      <c r="AD66">
        <v>10.393868747272352</v>
      </c>
      <c r="AE66">
        <v>15.123370317563767</v>
      </c>
      <c r="AF66">
        <v>13.917515854556292</v>
      </c>
      <c r="AG66">
        <v>24.754074099967312</v>
      </c>
      <c r="AH66">
        <v>9.1013562981665306</v>
      </c>
      <c r="AI66">
        <v>2.1982677077142529</v>
      </c>
      <c r="AK66">
        <v>56.950786163779071</v>
      </c>
    </row>
    <row r="67" spans="1:37" x14ac:dyDescent="0.2">
      <c r="A67">
        <v>66</v>
      </c>
      <c r="B67">
        <v>765</v>
      </c>
      <c r="C67">
        <v>175</v>
      </c>
      <c r="D67">
        <v>0.41451668833983701</v>
      </c>
      <c r="E67">
        <v>144.43866102090388</v>
      </c>
      <c r="F67">
        <v>67.046264446885715</v>
      </c>
      <c r="G67">
        <v>73.067358109583608</v>
      </c>
      <c r="H67">
        <v>68.482923474899025</v>
      </c>
      <c r="J67">
        <v>69.154692066026257</v>
      </c>
      <c r="L67">
        <v>8.7850304895975828</v>
      </c>
      <c r="M67">
        <v>14.246684559694808</v>
      </c>
      <c r="N67">
        <v>2.2423845830395766</v>
      </c>
      <c r="O67">
        <v>38.251759889032641</v>
      </c>
      <c r="P67">
        <v>13.324069629569966</v>
      </c>
      <c r="R67">
        <v>20.028383455206924</v>
      </c>
      <c r="S67">
        <v>52.72963949482601</v>
      </c>
      <c r="U67">
        <v>1.9775345056922049</v>
      </c>
      <c r="V67">
        <v>47.711064819302628</v>
      </c>
      <c r="W67">
        <v>25.743292676276464</v>
      </c>
      <c r="X67">
        <v>43.402927057660158</v>
      </c>
      <c r="Y67">
        <v>10.230025809249071</v>
      </c>
      <c r="Z67">
        <v>35.11877966617827</v>
      </c>
      <c r="AA67">
        <v>8.0064469982246962</v>
      </c>
      <c r="AB67">
        <v>39.009723001673194</v>
      </c>
      <c r="AC67">
        <v>4.7592807357683203E-2</v>
      </c>
      <c r="AD67">
        <v>10.257426750806356</v>
      </c>
      <c r="AE67">
        <v>15.020576579889402</v>
      </c>
      <c r="AF67">
        <v>13.919012914938563</v>
      </c>
      <c r="AG67">
        <v>24.707332698149429</v>
      </c>
      <c r="AH67">
        <v>8.9238531927302169</v>
      </c>
      <c r="AI67">
        <v>2.180106285214908</v>
      </c>
      <c r="AK67">
        <v>56.912953401732352</v>
      </c>
    </row>
    <row r="68" spans="1:37" x14ac:dyDescent="0.2">
      <c r="A68">
        <v>67</v>
      </c>
      <c r="B68">
        <v>764</v>
      </c>
      <c r="C68">
        <v>175</v>
      </c>
      <c r="D68">
        <v>0.41388468398978101</v>
      </c>
      <c r="E68">
        <v>144.32991019232435</v>
      </c>
      <c r="F68">
        <v>66.592930607024968</v>
      </c>
      <c r="G68">
        <v>72.987034652125686</v>
      </c>
      <c r="H68">
        <v>68.400061444045647</v>
      </c>
      <c r="J68">
        <v>69.105500843112026</v>
      </c>
      <c r="L68">
        <v>8.6567756873465989</v>
      </c>
      <c r="M68">
        <v>14.269480516165812</v>
      </c>
      <c r="N68">
        <v>2.2244187027941349</v>
      </c>
      <c r="O68">
        <v>37.653940049345074</v>
      </c>
      <c r="P68">
        <v>13.16684586357486</v>
      </c>
      <c r="R68">
        <v>19.862437583287058</v>
      </c>
      <c r="S68">
        <v>52.624939104506751</v>
      </c>
      <c r="U68">
        <v>1.9697435661292988</v>
      </c>
      <c r="V68">
        <v>47.756063165571383</v>
      </c>
      <c r="W68">
        <v>25.643379374499428</v>
      </c>
      <c r="X68">
        <v>43.441941886081615</v>
      </c>
      <c r="Y68">
        <v>10.092256132936223</v>
      </c>
      <c r="Z68">
        <v>34.872695680187775</v>
      </c>
      <c r="AA68">
        <v>7.871894465903468</v>
      </c>
      <c r="AB68">
        <v>38.99463193531691</v>
      </c>
      <c r="AC68">
        <v>2.7643365081411849E-2</v>
      </c>
      <c r="AD68">
        <v>10.120761782746431</v>
      </c>
      <c r="AE68">
        <v>14.917805851910616</v>
      </c>
      <c r="AF68">
        <v>13.920734822607542</v>
      </c>
      <c r="AG68">
        <v>24.657422195419723</v>
      </c>
      <c r="AH68">
        <v>8.7460670923681061</v>
      </c>
      <c r="AI68">
        <v>2.1618643923364704</v>
      </c>
      <c r="AK68">
        <v>56.875092758347385</v>
      </c>
    </row>
    <row r="69" spans="1:37" x14ac:dyDescent="0.2">
      <c r="A69">
        <v>68</v>
      </c>
      <c r="B69">
        <v>763</v>
      </c>
      <c r="C69">
        <v>175</v>
      </c>
      <c r="D69">
        <v>0.41325145973073701</v>
      </c>
      <c r="E69">
        <v>144.22172173502648</v>
      </c>
      <c r="F69">
        <v>66.140554454980119</v>
      </c>
      <c r="G69">
        <v>72.906703160337656</v>
      </c>
      <c r="H69">
        <v>68.317204254093596</v>
      </c>
      <c r="J69">
        <v>69.054742359622423</v>
      </c>
      <c r="L69">
        <v>8.5279632286533236</v>
      </c>
      <c r="M69">
        <v>14.292558054831659</v>
      </c>
      <c r="N69">
        <v>2.206373739817419</v>
      </c>
      <c r="O69">
        <v>37.055781113085388</v>
      </c>
      <c r="P69">
        <v>13.009534502410787</v>
      </c>
      <c r="R69">
        <v>19.6948870172528</v>
      </c>
      <c r="S69">
        <v>52.514589492370995</v>
      </c>
      <c r="U69">
        <v>1.9625882539100983</v>
      </c>
      <c r="V69">
        <v>47.798956039149282</v>
      </c>
      <c r="W69">
        <v>25.54455575449747</v>
      </c>
      <c r="X69">
        <v>43.48307300125424</v>
      </c>
      <c r="Y69">
        <v>9.9543496907021805</v>
      </c>
      <c r="Z69">
        <v>34.626604699371612</v>
      </c>
      <c r="AA69">
        <v>7.7371041495107855</v>
      </c>
      <c r="AB69">
        <v>38.976370998075303</v>
      </c>
      <c r="AC69">
        <v>7.6149862961673647E-3</v>
      </c>
      <c r="AD69">
        <v>9.9838810094740804</v>
      </c>
      <c r="AE69">
        <v>14.815043702172934</v>
      </c>
      <c r="AF69">
        <v>13.922659506169555</v>
      </c>
      <c r="AG69">
        <v>24.60426521363464</v>
      </c>
      <c r="AH69">
        <v>8.5680406825760809</v>
      </c>
      <c r="AI69">
        <v>2.1435426005240359</v>
      </c>
      <c r="AK69">
        <v>56.837209610644827</v>
      </c>
    </row>
    <row r="70" spans="1:37" x14ac:dyDescent="0.2">
      <c r="A70">
        <v>69</v>
      </c>
      <c r="B70">
        <v>762</v>
      </c>
      <c r="C70">
        <v>175</v>
      </c>
      <c r="D70">
        <v>0.41261701202724399</v>
      </c>
      <c r="E70">
        <v>144.04125761739004</v>
      </c>
      <c r="F70">
        <v>65.296957881180035</v>
      </c>
      <c r="G70">
        <v>72.760939065980637</v>
      </c>
      <c r="H70">
        <v>68.168927357321522</v>
      </c>
      <c r="J70">
        <v>68.884923870542366</v>
      </c>
      <c r="L70">
        <v>8.297401148234723</v>
      </c>
      <c r="M70">
        <v>14.315497585412198</v>
      </c>
      <c r="N70">
        <v>2.2005262181673908</v>
      </c>
      <c r="O70">
        <v>36.083780833346246</v>
      </c>
      <c r="P70">
        <v>12.733562955886134</v>
      </c>
      <c r="R70">
        <v>19.39547262502299</v>
      </c>
      <c r="S70">
        <v>52.246817211677921</v>
      </c>
      <c r="U70">
        <v>1.9478500211285845</v>
      </c>
      <c r="V70">
        <v>47.840737572776995</v>
      </c>
      <c r="W70">
        <v>25.369922050256626</v>
      </c>
      <c r="X70">
        <v>43.490243728610551</v>
      </c>
      <c r="Y70">
        <v>9.6956549851357927</v>
      </c>
      <c r="Z70">
        <v>34.168860582120104</v>
      </c>
      <c r="AA70">
        <v>7.4972807666908485</v>
      </c>
      <c r="AB70">
        <v>38.917968841762352</v>
      </c>
      <c r="AD70">
        <v>9.7153898291044936</v>
      </c>
      <c r="AE70">
        <v>14.637508710462022</v>
      </c>
      <c r="AF70">
        <v>13.936643904911296</v>
      </c>
      <c r="AG70">
        <v>24.523166934449513</v>
      </c>
      <c r="AH70">
        <v>8.200720123301851</v>
      </c>
      <c r="AI70">
        <v>2.1374174319988826</v>
      </c>
      <c r="AK70">
        <v>56.708373727665382</v>
      </c>
    </row>
    <row r="71" spans="1:37" x14ac:dyDescent="0.2">
      <c r="A71">
        <v>70</v>
      </c>
      <c r="B71">
        <v>761</v>
      </c>
      <c r="C71">
        <v>175</v>
      </c>
      <c r="D71">
        <v>0.411981337330175</v>
      </c>
      <c r="E71">
        <v>143.80790885622571</v>
      </c>
      <c r="F71">
        <v>64.14725480850872</v>
      </c>
      <c r="G71">
        <v>72.563553117115546</v>
      </c>
      <c r="H71">
        <v>67.969041522348789</v>
      </c>
      <c r="J71">
        <v>68.606374272000664</v>
      </c>
      <c r="L71">
        <v>7.9827371639746891</v>
      </c>
      <c r="M71">
        <v>14.341263086439657</v>
      </c>
      <c r="N71">
        <v>2.2025013939560116</v>
      </c>
      <c r="O71">
        <v>34.80806109823336</v>
      </c>
      <c r="P71">
        <v>12.362177998525818</v>
      </c>
      <c r="R71">
        <v>18.981832426422603</v>
      </c>
      <c r="S71">
        <v>51.815104418466454</v>
      </c>
      <c r="U71">
        <v>1.9327651560053727</v>
      </c>
      <c r="V71">
        <v>47.868706445580628</v>
      </c>
      <c r="W71">
        <v>25.148809951291998</v>
      </c>
      <c r="X71">
        <v>43.488986612822572</v>
      </c>
      <c r="Y71">
        <v>9.340394099604433</v>
      </c>
      <c r="Z71">
        <v>33.540622523413738</v>
      </c>
      <c r="AA71">
        <v>7.1718739521390962</v>
      </c>
      <c r="AB71">
        <v>38.80386767374592</v>
      </c>
      <c r="AD71">
        <v>9.3411043322225318</v>
      </c>
      <c r="AE71">
        <v>14.398849979033582</v>
      </c>
      <c r="AF71">
        <v>13.961277259000983</v>
      </c>
      <c r="AG71">
        <v>24.394194827146187</v>
      </c>
      <c r="AH71">
        <v>7.6833069823845985</v>
      </c>
      <c r="AI71">
        <v>2.1391141410367522</v>
      </c>
      <c r="AK71">
        <v>56.505206433175232</v>
      </c>
    </row>
    <row r="72" spans="1:37" x14ac:dyDescent="0.2">
      <c r="A72">
        <v>71</v>
      </c>
      <c r="B72">
        <v>760</v>
      </c>
      <c r="C72">
        <v>175</v>
      </c>
      <c r="D72">
        <v>0.41134443207665999</v>
      </c>
      <c r="E72">
        <v>143.56028143799273</v>
      </c>
      <c r="F72">
        <v>62.878501714383638</v>
      </c>
      <c r="G72">
        <v>72.346135062409488</v>
      </c>
      <c r="H72">
        <v>67.74913651843967</v>
      </c>
      <c r="J72">
        <v>68.258317293006826</v>
      </c>
      <c r="L72">
        <v>7.628853861387153</v>
      </c>
      <c r="M72">
        <v>14.371418350573011</v>
      </c>
      <c r="N72">
        <v>2.2044749673895914</v>
      </c>
      <c r="O72">
        <v>33.398053613659535</v>
      </c>
      <c r="P72">
        <v>11.950734850221364</v>
      </c>
      <c r="R72">
        <v>18.506698485570741</v>
      </c>
      <c r="S72">
        <v>51.250186541456493</v>
      </c>
      <c r="U72">
        <v>1.9254849426070277</v>
      </c>
      <c r="V72">
        <v>47.869490162934703</v>
      </c>
      <c r="W72">
        <v>24.931106515202728</v>
      </c>
      <c r="X72">
        <v>43.510841457670438</v>
      </c>
      <c r="Y72">
        <v>8.9453273861838181</v>
      </c>
      <c r="Z72">
        <v>32.835222805729494</v>
      </c>
      <c r="AA72">
        <v>6.8086331315232673</v>
      </c>
      <c r="AB72">
        <v>38.625290141785825</v>
      </c>
      <c r="AD72">
        <v>8.9201270006296927</v>
      </c>
      <c r="AE72">
        <v>14.129791335285528</v>
      </c>
      <c r="AF72">
        <v>13.990299066839212</v>
      </c>
      <c r="AG72">
        <v>24.200747245512261</v>
      </c>
      <c r="AH72">
        <v>7.1059968146028138</v>
      </c>
      <c r="AI72">
        <v>2.1408084260063389</v>
      </c>
      <c r="AK72">
        <v>56.267023224928522</v>
      </c>
    </row>
    <row r="73" spans="1:37" x14ac:dyDescent="0.2">
      <c r="A73">
        <v>72</v>
      </c>
      <c r="B73">
        <v>759</v>
      </c>
      <c r="C73">
        <v>175</v>
      </c>
      <c r="D73">
        <v>0.41070629269001901</v>
      </c>
      <c r="E73">
        <v>142.60954082343869</v>
      </c>
      <c r="F73">
        <v>56.314358555691001</v>
      </c>
      <c r="G73">
        <v>71.365887872406589</v>
      </c>
      <c r="H73">
        <v>66.766415336776362</v>
      </c>
      <c r="J73">
        <v>65.341040905888107</v>
      </c>
      <c r="L73">
        <v>5.7987158359375313</v>
      </c>
      <c r="M73">
        <v>14.329649287950792</v>
      </c>
      <c r="N73">
        <v>2.2064137510828301</v>
      </c>
      <c r="O73">
        <v>26.638184501103122</v>
      </c>
      <c r="P73">
        <v>10.013606287090225</v>
      </c>
      <c r="R73">
        <v>15.781543278807446</v>
      </c>
      <c r="S73">
        <v>46.88813180790801</v>
      </c>
      <c r="U73">
        <v>1.9425106993290349</v>
      </c>
      <c r="V73">
        <v>47.391707496055936</v>
      </c>
      <c r="W73">
        <v>24.753208987058724</v>
      </c>
      <c r="X73">
        <v>43.598723760786356</v>
      </c>
      <c r="Y73">
        <v>7.0133906921068814</v>
      </c>
      <c r="Z73">
        <v>28.447685482654514</v>
      </c>
      <c r="AA73">
        <v>4.9593906206077225</v>
      </c>
      <c r="AB73">
        <v>36.500434370219779</v>
      </c>
      <c r="AD73">
        <v>6.3766193444383701</v>
      </c>
      <c r="AE73">
        <v>12.260119246942462</v>
      </c>
      <c r="AF73">
        <v>13.947362056728622</v>
      </c>
      <c r="AG73">
        <v>22.060989132338495</v>
      </c>
      <c r="AH73">
        <v>4.1810469460822244</v>
      </c>
      <c r="AI73">
        <v>2.1424670976854254</v>
      </c>
      <c r="AK73">
        <v>54.431223321507801</v>
      </c>
    </row>
    <row r="74" spans="1:37" x14ac:dyDescent="0.2">
      <c r="A74">
        <v>73</v>
      </c>
      <c r="B74">
        <v>758</v>
      </c>
      <c r="C74">
        <v>175</v>
      </c>
      <c r="D74">
        <v>0.41006691557969399</v>
      </c>
      <c r="E74">
        <v>141.6909914912307</v>
      </c>
      <c r="F74">
        <v>49.924472667272823</v>
      </c>
      <c r="G74">
        <v>70.41618837171653</v>
      </c>
      <c r="H74">
        <v>65.814254822645339</v>
      </c>
      <c r="J74">
        <v>62.502134884519151</v>
      </c>
      <c r="L74">
        <v>4.0143565803894452</v>
      </c>
      <c r="M74">
        <v>14.263930162539083</v>
      </c>
      <c r="N74">
        <v>2.2083519551396411</v>
      </c>
      <c r="O74">
        <v>20.073443173456187</v>
      </c>
      <c r="P74">
        <v>8.1375801909304624</v>
      </c>
      <c r="R74">
        <v>13.114538573623717</v>
      </c>
      <c r="S74">
        <v>42.732802645822439</v>
      </c>
      <c r="U74">
        <v>1.9494664227181797</v>
      </c>
      <c r="V74">
        <v>46.957142722953677</v>
      </c>
      <c r="W74">
        <v>24.586120604789873</v>
      </c>
      <c r="X74">
        <v>43.656891340905631</v>
      </c>
      <c r="Y74">
        <v>5.139369749270986</v>
      </c>
      <c r="Z74">
        <v>24.099133288685476</v>
      </c>
      <c r="AA74">
        <v>3.1596031274891865</v>
      </c>
      <c r="AB74">
        <v>34.457793695671327</v>
      </c>
      <c r="AD74">
        <v>3.8462657864699685</v>
      </c>
      <c r="AE74">
        <v>10.408673166568864</v>
      </c>
      <c r="AF74">
        <v>13.880474708297225</v>
      </c>
      <c r="AG74">
        <v>20.003448040208376</v>
      </c>
      <c r="AH74">
        <v>1.3081287976518692</v>
      </c>
      <c r="AI74">
        <v>2.1441243643403096</v>
      </c>
      <c r="AK74">
        <v>52.626303934001477</v>
      </c>
    </row>
    <row r="75" spans="1:37" x14ac:dyDescent="0.2">
      <c r="A75">
        <v>74</v>
      </c>
      <c r="B75">
        <v>757</v>
      </c>
      <c r="C75">
        <v>175</v>
      </c>
      <c r="D75">
        <v>0.40942629714119499</v>
      </c>
      <c r="E75">
        <v>141.76567624946861</v>
      </c>
      <c r="F75">
        <v>48.293437340427346</v>
      </c>
      <c r="G75">
        <v>70.386202392390004</v>
      </c>
      <c r="H75">
        <v>65.781820828814986</v>
      </c>
      <c r="J75">
        <v>54.637046991121458</v>
      </c>
      <c r="L75">
        <v>2.2821679980552472</v>
      </c>
      <c r="M75">
        <v>14.090330285730381</v>
      </c>
      <c r="N75">
        <v>2.2103440134830068</v>
      </c>
      <c r="O75">
        <v>11.028019078056143</v>
      </c>
      <c r="P75">
        <v>8.1010426823054011</v>
      </c>
      <c r="R75">
        <v>11.113567437613209</v>
      </c>
      <c r="S75">
        <v>37.578913718763637</v>
      </c>
      <c r="U75">
        <v>1.9757326321416346</v>
      </c>
      <c r="V75">
        <v>46.660974121359047</v>
      </c>
      <c r="W75">
        <v>24.298154714412696</v>
      </c>
      <c r="X75">
        <v>43.770615708406233</v>
      </c>
      <c r="Y75">
        <v>3.9411401553356793</v>
      </c>
      <c r="Z75">
        <v>20.852731906848067</v>
      </c>
      <c r="AA75">
        <v>1.14204529078005</v>
      </c>
      <c r="AB75">
        <v>32.395419080029313</v>
      </c>
      <c r="AD75">
        <v>2.0703956061330406</v>
      </c>
      <c r="AE75">
        <v>8.5703543742601855</v>
      </c>
      <c r="AF75">
        <v>13.705760772434926</v>
      </c>
      <c r="AG75">
        <v>17.926229370810624</v>
      </c>
      <c r="AI75">
        <v>2.1458346580556587</v>
      </c>
      <c r="AK75">
        <v>47.481495591742117</v>
      </c>
    </row>
    <row r="76" spans="1:37" x14ac:dyDescent="0.2">
      <c r="A76">
        <v>75</v>
      </c>
      <c r="B76">
        <v>756</v>
      </c>
      <c r="C76">
        <v>175</v>
      </c>
      <c r="D76">
        <v>0.40878443375601398</v>
      </c>
      <c r="E76">
        <v>142.06568199116751</v>
      </c>
      <c r="F76">
        <v>47.960277814864568</v>
      </c>
      <c r="G76">
        <v>70.531242313994795</v>
      </c>
      <c r="H76">
        <v>65.924425755611395</v>
      </c>
      <c r="J76">
        <v>47.206411705879958</v>
      </c>
      <c r="L76">
        <v>1.5488887231664556</v>
      </c>
      <c r="M76">
        <v>13.770176820445412</v>
      </c>
      <c r="N76">
        <v>2.2123485727045629</v>
      </c>
      <c r="O76">
        <v>7.0808982913145675</v>
      </c>
      <c r="P76">
        <v>8.4145771895430101</v>
      </c>
      <c r="R76">
        <v>10.216160001942583</v>
      </c>
      <c r="S76">
        <v>35.392032493585774</v>
      </c>
      <c r="U76">
        <v>1.9792398797537076</v>
      </c>
      <c r="V76">
        <v>46.847970801337446</v>
      </c>
      <c r="W76">
        <v>23.879531313659392</v>
      </c>
      <c r="X76">
        <v>43.819062828535593</v>
      </c>
      <c r="Y76">
        <v>3.3730836229196721</v>
      </c>
      <c r="Z76">
        <v>18.322455997270957</v>
      </c>
      <c r="AB76">
        <v>30.983232618920113</v>
      </c>
      <c r="AD76">
        <v>0.7460258563153398</v>
      </c>
      <c r="AE76">
        <v>7.0541598606907172</v>
      </c>
      <c r="AF76">
        <v>13.384506064240517</v>
      </c>
      <c r="AG76">
        <v>16.499213872256753</v>
      </c>
      <c r="AI76">
        <v>2.1475566235849111</v>
      </c>
      <c r="AK76">
        <v>42.516926757292033</v>
      </c>
    </row>
    <row r="77" spans="1:37" x14ac:dyDescent="0.2">
      <c r="A77">
        <v>76</v>
      </c>
      <c r="B77">
        <v>755</v>
      </c>
      <c r="C77">
        <v>175</v>
      </c>
      <c r="D77">
        <v>0.40814132179156798</v>
      </c>
      <c r="E77">
        <v>142.30568215089644</v>
      </c>
      <c r="F77">
        <v>48.210843964673728</v>
      </c>
      <c r="G77">
        <v>70.568579141773057</v>
      </c>
      <c r="H77">
        <v>65.959340629074489</v>
      </c>
      <c r="J77">
        <v>41.444658158328586</v>
      </c>
      <c r="L77">
        <v>1.5680815804513915</v>
      </c>
      <c r="M77">
        <v>13.326822888919921</v>
      </c>
      <c r="N77">
        <v>2.2143470380893802</v>
      </c>
      <c r="O77">
        <v>6.9689829901052223</v>
      </c>
      <c r="P77">
        <v>8.5127071510741601</v>
      </c>
      <c r="R77">
        <v>9.9027668840218901</v>
      </c>
      <c r="S77">
        <v>35.587645954548982</v>
      </c>
      <c r="U77">
        <v>1.968932827040164</v>
      </c>
      <c r="V77">
        <v>47.37490884397878</v>
      </c>
      <c r="W77">
        <v>23.347131618176821</v>
      </c>
      <c r="X77">
        <v>43.828036063403722</v>
      </c>
      <c r="Y77">
        <v>3.1887620859807106</v>
      </c>
      <c r="Z77">
        <v>17.509731477342495</v>
      </c>
      <c r="AB77">
        <v>30.824460303380228</v>
      </c>
      <c r="AE77">
        <v>6.5648167732831908</v>
      </c>
      <c r="AF77">
        <v>12.940045116831939</v>
      </c>
      <c r="AG77">
        <v>16.325608946781671</v>
      </c>
      <c r="AI77">
        <v>2.1492716643742411</v>
      </c>
      <c r="AK77">
        <v>38.589390160032707</v>
      </c>
    </row>
    <row r="78" spans="1:37" x14ac:dyDescent="0.2">
      <c r="A78">
        <v>77</v>
      </c>
      <c r="B78">
        <v>754</v>
      </c>
      <c r="C78">
        <v>175</v>
      </c>
      <c r="D78">
        <v>0.40749695760112897</v>
      </c>
      <c r="E78">
        <v>142.47248058830192</v>
      </c>
      <c r="F78">
        <v>48.714103523973293</v>
      </c>
      <c r="G78">
        <v>70.545855630970465</v>
      </c>
      <c r="H78">
        <v>65.93420822528833</v>
      </c>
      <c r="J78">
        <v>37.763927248751891</v>
      </c>
      <c r="L78">
        <v>1.5810254937471182</v>
      </c>
      <c r="M78">
        <v>12.895187550115931</v>
      </c>
      <c r="N78">
        <v>2.216341499455234</v>
      </c>
      <c r="O78">
        <v>6.943120492697715</v>
      </c>
      <c r="P78">
        <v>8.4907201899345726</v>
      </c>
      <c r="R78">
        <v>9.5478786899552137</v>
      </c>
      <c r="S78">
        <v>35.911297454339625</v>
      </c>
      <c r="U78">
        <v>1.9513485839562805</v>
      </c>
      <c r="V78">
        <v>47.91478683064544</v>
      </c>
      <c r="W78">
        <v>22.831294455588854</v>
      </c>
      <c r="X78">
        <v>43.816324483746051</v>
      </c>
      <c r="Y78">
        <v>2.9827790572863786</v>
      </c>
      <c r="Z78">
        <v>17.678433283266926</v>
      </c>
      <c r="AB78">
        <v>31.285757455764411</v>
      </c>
      <c r="AE78">
        <v>6.6547526501688523</v>
      </c>
      <c r="AF78">
        <v>12.507299084600913</v>
      </c>
      <c r="AG78">
        <v>16.772072012490888</v>
      </c>
      <c r="AI78">
        <v>2.150981868403226</v>
      </c>
      <c r="AK78">
        <v>36.035569834748451</v>
      </c>
    </row>
    <row r="79" spans="1:37" x14ac:dyDescent="0.2">
      <c r="A79">
        <v>78</v>
      </c>
      <c r="B79">
        <v>777</v>
      </c>
      <c r="C79">
        <v>150</v>
      </c>
      <c r="D79">
        <v>0.44819359139171</v>
      </c>
      <c r="E79">
        <v>130.96621499836903</v>
      </c>
      <c r="F79">
        <v>70.161592977323039</v>
      </c>
      <c r="G79">
        <v>73.724763912625178</v>
      </c>
      <c r="H79">
        <v>69.170868197706554</v>
      </c>
      <c r="J79">
        <v>69.385855263628287</v>
      </c>
      <c r="L79">
        <v>9.5658072403484837</v>
      </c>
      <c r="M79">
        <v>14.642577393418744</v>
      </c>
      <c r="N79">
        <v>2.2211935814955419</v>
      </c>
      <c r="O79">
        <v>43.105922662403714</v>
      </c>
      <c r="P79">
        <v>14.220606641439968</v>
      </c>
      <c r="Q79">
        <v>1.8413761167851419E-3</v>
      </c>
      <c r="R79">
        <v>22.002884065402711</v>
      </c>
      <c r="S79">
        <v>56.065529287374012</v>
      </c>
      <c r="U79">
        <v>2.6444492532459529</v>
      </c>
      <c r="V79">
        <v>47.767474480801496</v>
      </c>
      <c r="W79">
        <v>28.417170439466826</v>
      </c>
      <c r="X79">
        <v>42.996161080518746</v>
      </c>
      <c r="Y79">
        <v>10.973768729084094</v>
      </c>
      <c r="Z79">
        <v>37.210932433978442</v>
      </c>
      <c r="AA79">
        <v>8.8546561507281432</v>
      </c>
      <c r="AB79">
        <v>40.290356516059553</v>
      </c>
      <c r="AC79">
        <v>0.141833721686146</v>
      </c>
      <c r="AD79">
        <v>11.364904950699003</v>
      </c>
      <c r="AE79">
        <v>16.2070744781401</v>
      </c>
      <c r="AF79">
        <v>14.408221470123124</v>
      </c>
      <c r="AG79">
        <v>26.276504602946609</v>
      </c>
      <c r="AH79">
        <v>9.7390124750820242</v>
      </c>
      <c r="AI79">
        <v>2.1591726861544798</v>
      </c>
      <c r="AK79">
        <v>56.518789826583188</v>
      </c>
    </row>
    <row r="80" spans="1:37" x14ac:dyDescent="0.2">
      <c r="A80">
        <v>79</v>
      </c>
      <c r="B80">
        <v>776</v>
      </c>
      <c r="C80">
        <v>150</v>
      </c>
      <c r="D80">
        <v>0.447600915026452</v>
      </c>
      <c r="E80">
        <v>130.85862654280294</v>
      </c>
      <c r="F80">
        <v>69.717280840563063</v>
      </c>
      <c r="G80">
        <v>73.646116462135367</v>
      </c>
      <c r="H80">
        <v>69.089519044303486</v>
      </c>
      <c r="J80">
        <v>69.337146005726893</v>
      </c>
      <c r="L80">
        <v>9.4422765538191182</v>
      </c>
      <c r="M80">
        <v>14.661759907062731</v>
      </c>
      <c r="N80">
        <v>2.2041395512973976</v>
      </c>
      <c r="O80">
        <v>42.520572304963913</v>
      </c>
      <c r="P80">
        <v>14.067548247157159</v>
      </c>
      <c r="R80">
        <v>21.840032533694718</v>
      </c>
      <c r="S80">
        <v>55.955936734690809</v>
      </c>
      <c r="U80">
        <v>2.6344684604661954</v>
      </c>
      <c r="V80">
        <v>47.81026097327284</v>
      </c>
      <c r="W80">
        <v>28.311108417015109</v>
      </c>
      <c r="X80">
        <v>43.027590894147579</v>
      </c>
      <c r="Y80">
        <v>10.84020360181041</v>
      </c>
      <c r="Z80">
        <v>36.967599573148824</v>
      </c>
      <c r="AA80">
        <v>8.7243654775052928</v>
      </c>
      <c r="AB80">
        <v>40.272380775672914</v>
      </c>
      <c r="AC80">
        <v>0.12279216395596457</v>
      </c>
      <c r="AD80">
        <v>11.231956695698308</v>
      </c>
      <c r="AE80">
        <v>16.10431334549666</v>
      </c>
      <c r="AF80">
        <v>14.407235265375082</v>
      </c>
      <c r="AG80">
        <v>26.224624909061276</v>
      </c>
      <c r="AH80">
        <v>9.5666729001452442</v>
      </c>
      <c r="AI80">
        <v>2.1418534224310277</v>
      </c>
      <c r="AK80">
        <v>56.483330216124735</v>
      </c>
    </row>
    <row r="81" spans="1:37" x14ac:dyDescent="0.2">
      <c r="A81">
        <v>80</v>
      </c>
      <c r="B81">
        <v>775</v>
      </c>
      <c r="C81">
        <v>150</v>
      </c>
      <c r="D81">
        <v>0.44700710776129698</v>
      </c>
      <c r="E81">
        <v>130.75140431737927</v>
      </c>
      <c r="F81">
        <v>69.271027053418976</v>
      </c>
      <c r="G81">
        <v>73.566919466182512</v>
      </c>
      <c r="H81">
        <v>69.007632979868376</v>
      </c>
      <c r="J81">
        <v>69.287466638468274</v>
      </c>
      <c r="L81">
        <v>9.3171820405814074</v>
      </c>
      <c r="M81">
        <v>14.682609916917379</v>
      </c>
      <c r="N81">
        <v>2.18679370521135</v>
      </c>
      <c r="O81">
        <v>41.930298999372987</v>
      </c>
      <c r="P81">
        <v>13.913106237001529</v>
      </c>
      <c r="R81">
        <v>21.676038593615605</v>
      </c>
      <c r="S81">
        <v>55.846618341895322</v>
      </c>
      <c r="U81">
        <v>2.626147155312522</v>
      </c>
      <c r="V81">
        <v>47.853724009930438</v>
      </c>
      <c r="W81">
        <v>28.207282574362754</v>
      </c>
      <c r="X81">
        <v>43.064525578022213</v>
      </c>
      <c r="Y81">
        <v>10.705315167362498</v>
      </c>
      <c r="Z81">
        <v>36.722773250664737</v>
      </c>
      <c r="AA81">
        <v>8.5928016843548107</v>
      </c>
      <c r="AB81">
        <v>40.25380785037467</v>
      </c>
      <c r="AC81">
        <v>0.10345894183717029</v>
      </c>
      <c r="AD81">
        <v>11.09793414377873</v>
      </c>
      <c r="AE81">
        <v>16.001104084231425</v>
      </c>
      <c r="AF81">
        <v>14.407624958246911</v>
      </c>
      <c r="AG81">
        <v>26.171858620935854</v>
      </c>
      <c r="AH81">
        <v>9.3926763752939131</v>
      </c>
      <c r="AI81">
        <v>2.1242415486180484</v>
      </c>
      <c r="AK81">
        <v>56.447235796860497</v>
      </c>
    </row>
    <row r="82" spans="1:37" x14ac:dyDescent="0.2">
      <c r="A82">
        <v>81</v>
      </c>
      <c r="B82">
        <v>774</v>
      </c>
      <c r="C82">
        <v>150</v>
      </c>
      <c r="D82">
        <v>0.44641216635630598</v>
      </c>
      <c r="E82">
        <v>130.64470289842765</v>
      </c>
      <c r="F82">
        <v>68.825758309024792</v>
      </c>
      <c r="G82">
        <v>73.487728220251086</v>
      </c>
      <c r="H82">
        <v>68.92576531993754</v>
      </c>
      <c r="J82">
        <v>69.236467848937181</v>
      </c>
      <c r="L82">
        <v>9.1916033246121724</v>
      </c>
      <c r="M82">
        <v>14.703706443279382</v>
      </c>
      <c r="N82">
        <v>2.1693853296517362</v>
      </c>
      <c r="O82">
        <v>41.339865280218525</v>
      </c>
      <c r="P82">
        <v>13.758620509867148</v>
      </c>
      <c r="R82">
        <v>21.51062483298854</v>
      </c>
      <c r="S82">
        <v>55.732297922363927</v>
      </c>
      <c r="U82">
        <v>2.6183832334187902</v>
      </c>
      <c r="V82">
        <v>47.89531136810529</v>
      </c>
      <c r="W82">
        <v>28.104406638506678</v>
      </c>
      <c r="X82">
        <v>43.103345974341089</v>
      </c>
      <c r="Y82">
        <v>10.570332864515336</v>
      </c>
      <c r="Z82">
        <v>36.478017080566346</v>
      </c>
      <c r="AA82">
        <v>8.4609736086268246</v>
      </c>
      <c r="AB82">
        <v>40.23242474664405</v>
      </c>
      <c r="AC82">
        <v>8.4063341306263389E-2</v>
      </c>
      <c r="AD82">
        <v>10.963734932812518</v>
      </c>
      <c r="AE82">
        <v>15.897939746265067</v>
      </c>
      <c r="AF82">
        <v>14.408198860813361</v>
      </c>
      <c r="AG82">
        <v>26.116222037032749</v>
      </c>
      <c r="AH82">
        <v>9.2184749879615406</v>
      </c>
      <c r="AI82">
        <v>2.1065663492991327</v>
      </c>
      <c r="AK82">
        <v>56.411175759375176</v>
      </c>
    </row>
    <row r="83" spans="1:37" x14ac:dyDescent="0.2">
      <c r="A83">
        <v>82</v>
      </c>
      <c r="B83">
        <v>773</v>
      </c>
      <c r="C83">
        <v>150</v>
      </c>
      <c r="D83">
        <v>0.44581608755914398</v>
      </c>
      <c r="E83">
        <v>130.53852780706939</v>
      </c>
      <c r="F83">
        <v>68.38151827027643</v>
      </c>
      <c r="G83">
        <v>73.408556268401043</v>
      </c>
      <c r="H83">
        <v>68.843929628660035</v>
      </c>
      <c r="J83">
        <v>69.184137046928484</v>
      </c>
      <c r="L83">
        <v>9.0655726052919849</v>
      </c>
      <c r="M83">
        <v>14.725030057544684</v>
      </c>
      <c r="N83">
        <v>2.1519154580572764</v>
      </c>
      <c r="O83">
        <v>40.749348653733932</v>
      </c>
      <c r="P83">
        <v>13.604119208885662</v>
      </c>
      <c r="R83">
        <v>21.343837058417034</v>
      </c>
      <c r="S83">
        <v>55.612901886635029</v>
      </c>
      <c r="U83">
        <v>2.6111593108119115</v>
      </c>
      <c r="V83">
        <v>47.935004039702378</v>
      </c>
      <c r="W83">
        <v>28.00248159985523</v>
      </c>
      <c r="X83">
        <v>43.144000221062996</v>
      </c>
      <c r="Y83">
        <v>10.435282167796478</v>
      </c>
      <c r="Z83">
        <v>36.233333669480281</v>
      </c>
      <c r="AA83">
        <v>8.3289819232679729</v>
      </c>
      <c r="AB83">
        <v>40.208180961059242</v>
      </c>
      <c r="AC83">
        <v>6.4606395363426286E-2</v>
      </c>
      <c r="AD83">
        <v>10.829367482508044</v>
      </c>
      <c r="AE83">
        <v>15.794810223817594</v>
      </c>
      <c r="AF83">
        <v>14.40893858328295</v>
      </c>
      <c r="AG83">
        <v>26.057665692959254</v>
      </c>
      <c r="AH83">
        <v>9.0441055000804713</v>
      </c>
      <c r="AI83">
        <v>2.0888288560821353</v>
      </c>
      <c r="AK83">
        <v>56.375155233365561</v>
      </c>
    </row>
    <row r="84" spans="1:37" x14ac:dyDescent="0.2">
      <c r="A84">
        <v>83</v>
      </c>
      <c r="B84">
        <v>772</v>
      </c>
      <c r="C84">
        <v>150</v>
      </c>
      <c r="D84">
        <v>0.44521886810505501</v>
      </c>
      <c r="E84">
        <v>130.43288419937124</v>
      </c>
      <c r="F84">
        <v>67.938349239461999</v>
      </c>
      <c r="G84">
        <v>73.329417132462552</v>
      </c>
      <c r="H84">
        <v>68.762139447994244</v>
      </c>
      <c r="J84">
        <v>69.130464100679447</v>
      </c>
      <c r="L84">
        <v>8.9391219807708335</v>
      </c>
      <c r="M84">
        <v>14.74656081625433</v>
      </c>
      <c r="N84">
        <v>2.1343851107681022</v>
      </c>
      <c r="O84">
        <v>40.158826308060753</v>
      </c>
      <c r="P84">
        <v>13.449630419685592</v>
      </c>
      <c r="R84">
        <v>21.175721407952285</v>
      </c>
      <c r="S84">
        <v>55.488367197644195</v>
      </c>
      <c r="U84">
        <v>2.604457399629386</v>
      </c>
      <c r="V84">
        <v>47.972786326871024</v>
      </c>
      <c r="W84">
        <v>27.901507991648447</v>
      </c>
      <c r="X84">
        <v>43.186434667320256</v>
      </c>
      <c r="Y84">
        <v>10.300188534285384</v>
      </c>
      <c r="Z84">
        <v>35.988724663561634</v>
      </c>
      <c r="AA84">
        <v>8.1968484979210618</v>
      </c>
      <c r="AB84">
        <v>40.181031333798607</v>
      </c>
      <c r="AC84">
        <v>4.5089123909556453E-2</v>
      </c>
      <c r="AD84">
        <v>10.694839737423889</v>
      </c>
      <c r="AE84">
        <v>15.691704871405035</v>
      </c>
      <c r="AF84">
        <v>14.40982520792676</v>
      </c>
      <c r="AG84">
        <v>25.996145454833556</v>
      </c>
      <c r="AH84">
        <v>8.8696046014686374</v>
      </c>
      <c r="AI84">
        <v>2.0710300874750445</v>
      </c>
      <c r="AK84">
        <v>56.339179026762103</v>
      </c>
    </row>
    <row r="85" spans="1:37" x14ac:dyDescent="0.2">
      <c r="A85">
        <v>84</v>
      </c>
      <c r="B85">
        <v>771</v>
      </c>
      <c r="C85">
        <v>150</v>
      </c>
      <c r="D85">
        <v>0.44462050471675502</v>
      </c>
      <c r="E85">
        <v>130.32777687410723</v>
      </c>
      <c r="F85">
        <v>67.496292015951298</v>
      </c>
      <c r="G85">
        <v>73.250324272553854</v>
      </c>
      <c r="H85">
        <v>68.680408258224787</v>
      </c>
      <c r="J85">
        <v>69.0754411785678</v>
      </c>
      <c r="L85">
        <v>8.8122833044797151</v>
      </c>
      <c r="M85">
        <v>14.768278307183042</v>
      </c>
      <c r="N85">
        <v>2.1167952815308957</v>
      </c>
      <c r="O85">
        <v>39.568374825973244</v>
      </c>
      <c r="P85">
        <v>13.295182077940655</v>
      </c>
      <c r="R85">
        <v>21.006324087928313</v>
      </c>
      <c r="S85">
        <v>55.358640986503602</v>
      </c>
      <c r="U85">
        <v>2.5982589778885088</v>
      </c>
      <c r="V85">
        <v>48.008645669044284</v>
      </c>
      <c r="W85">
        <v>27.801485967614447</v>
      </c>
      <c r="X85">
        <v>43.230594091732513</v>
      </c>
      <c r="Y85">
        <v>10.165077320421343</v>
      </c>
      <c r="Z85">
        <v>35.744190671261585</v>
      </c>
      <c r="AA85">
        <v>8.064668115702144</v>
      </c>
      <c r="AB85">
        <v>40.150935867387403</v>
      </c>
      <c r="AC85">
        <v>2.55125202523338E-2</v>
      </c>
      <c r="AD85">
        <v>10.560159110331606</v>
      </c>
      <c r="AE85">
        <v>15.588612493433294</v>
      </c>
      <c r="AF85">
        <v>14.410839321663795</v>
      </c>
      <c r="AG85">
        <v>25.931622324552194</v>
      </c>
      <c r="AH85">
        <v>8.6950088024524579</v>
      </c>
      <c r="AI85">
        <v>2.0531710353922823</v>
      </c>
      <c r="AK85">
        <v>56.303251576573672</v>
      </c>
    </row>
    <row r="86" spans="1:37" x14ac:dyDescent="0.2">
      <c r="A86">
        <v>85</v>
      </c>
      <c r="B86">
        <v>770</v>
      </c>
      <c r="C86">
        <v>150</v>
      </c>
      <c r="D86">
        <v>0.44402099410439499</v>
      </c>
      <c r="E86">
        <v>130.22321028190282</v>
      </c>
      <c r="F86">
        <v>67.05538577846734</v>
      </c>
      <c r="G86">
        <v>73.17129105278822</v>
      </c>
      <c r="H86">
        <v>68.598749443670457</v>
      </c>
      <c r="J86">
        <v>69.019062585072334</v>
      </c>
      <c r="L86">
        <v>8.6850880749371537</v>
      </c>
      <c r="M86">
        <v>14.790161688586792</v>
      </c>
      <c r="N86">
        <v>2.0991469253873882</v>
      </c>
      <c r="O86">
        <v>38.978069935988714</v>
      </c>
      <c r="P86">
        <v>13.140801888667395</v>
      </c>
      <c r="R86">
        <v>20.835691126318554</v>
      </c>
      <c r="S86">
        <v>55.223680114617068</v>
      </c>
      <c r="U86">
        <v>2.5925450524482732</v>
      </c>
      <c r="V86">
        <v>48.04257245478977</v>
      </c>
      <c r="W86">
        <v>27.702415375778443</v>
      </c>
      <c r="X86">
        <v>43.276421895094735</v>
      </c>
      <c r="Y86">
        <v>10.029973709376543</v>
      </c>
      <c r="Z86">
        <v>35.499731198657599</v>
      </c>
      <c r="AA86">
        <v>7.9323117815188597</v>
      </c>
      <c r="AB86">
        <v>40.117859518267515</v>
      </c>
      <c r="AC86">
        <v>5.8775389947197517E-3</v>
      </c>
      <c r="AD86">
        <v>10.425332433112487</v>
      </c>
      <c r="AE86">
        <v>15.485521335271189</v>
      </c>
      <c r="AF86">
        <v>14.411961043204606</v>
      </c>
      <c r="AG86">
        <v>25.864062219239347</v>
      </c>
      <c r="AH86">
        <v>8.520354335452982</v>
      </c>
      <c r="AI86">
        <v>2.0352526530433179</v>
      </c>
      <c r="AK86">
        <v>56.267376905951735</v>
      </c>
    </row>
    <row r="87" spans="1:37" x14ac:dyDescent="0.2">
      <c r="A87">
        <v>86</v>
      </c>
      <c r="B87">
        <v>769</v>
      </c>
      <c r="C87">
        <v>150</v>
      </c>
      <c r="D87">
        <v>0.44342033296550898</v>
      </c>
      <c r="E87">
        <v>130.03476347119351</v>
      </c>
      <c r="F87">
        <v>66.150581903461543</v>
      </c>
      <c r="G87">
        <v>73.014429711985258</v>
      </c>
      <c r="H87">
        <v>68.439275263394549</v>
      </c>
      <c r="J87">
        <v>68.813422303813212</v>
      </c>
      <c r="L87">
        <v>8.4347492337027656</v>
      </c>
      <c r="M87">
        <v>14.813422760271795</v>
      </c>
      <c r="N87">
        <v>2.0950391354516062</v>
      </c>
      <c r="O87">
        <v>37.93808921820446</v>
      </c>
      <c r="P87">
        <v>12.844313444425952</v>
      </c>
      <c r="R87">
        <v>20.502115843234677</v>
      </c>
      <c r="S87">
        <v>54.877850588794409</v>
      </c>
      <c r="U87">
        <v>2.5805984074545534</v>
      </c>
      <c r="V87">
        <v>48.067304952341559</v>
      </c>
      <c r="W87">
        <v>27.518995957965959</v>
      </c>
      <c r="X87">
        <v>43.291297528088293</v>
      </c>
      <c r="Y87">
        <v>9.7504420402403902</v>
      </c>
      <c r="Z87">
        <v>35.002585822553293</v>
      </c>
      <c r="AA87">
        <v>7.6735567850610824</v>
      </c>
      <c r="AB87">
        <v>40.023497929771494</v>
      </c>
      <c r="AD87">
        <v>10.133624650160872</v>
      </c>
      <c r="AE87">
        <v>15.292689744047822</v>
      </c>
      <c r="AF87">
        <v>14.428001270894384</v>
      </c>
      <c r="AG87">
        <v>25.748759880998215</v>
      </c>
      <c r="AH87">
        <v>8.120736012613742</v>
      </c>
      <c r="AI87">
        <v>2.0308740317084042</v>
      </c>
      <c r="AK87">
        <v>56.122473834228792</v>
      </c>
    </row>
    <row r="88" spans="1:37" x14ac:dyDescent="0.2">
      <c r="A88">
        <v>87</v>
      </c>
      <c r="B88">
        <v>768</v>
      </c>
      <c r="C88">
        <v>150</v>
      </c>
      <c r="D88">
        <v>0.442818517984921</v>
      </c>
      <c r="E88">
        <v>129.80063089110914</v>
      </c>
      <c r="F88">
        <v>64.969102160069554</v>
      </c>
      <c r="G88">
        <v>72.810931228057001</v>
      </c>
      <c r="H88">
        <v>68.23317671559191</v>
      </c>
      <c r="J88">
        <v>68.499722296245622</v>
      </c>
      <c r="L88">
        <v>8.1061621033301492</v>
      </c>
      <c r="M88">
        <v>14.840114723793324</v>
      </c>
      <c r="N88">
        <v>2.0970170212941577</v>
      </c>
      <c r="O88">
        <v>36.618086674472245</v>
      </c>
      <c r="P88">
        <v>12.460643832482551</v>
      </c>
      <c r="R88">
        <v>20.058987393603644</v>
      </c>
      <c r="S88">
        <v>54.356223007555343</v>
      </c>
      <c r="U88">
        <v>2.5708374650760359</v>
      </c>
      <c r="V88">
        <v>48.070957740237802</v>
      </c>
      <c r="W88">
        <v>27.300095466538444</v>
      </c>
      <c r="X88">
        <v>43.307026405634971</v>
      </c>
      <c r="Y88">
        <v>9.3828497102853348</v>
      </c>
      <c r="Z88">
        <v>34.347884421854715</v>
      </c>
      <c r="AA88">
        <v>7.33599726060433</v>
      </c>
      <c r="AB88">
        <v>39.862351195286557</v>
      </c>
      <c r="AD88">
        <v>9.7446366585818556</v>
      </c>
      <c r="AE88">
        <v>15.042287407876577</v>
      </c>
      <c r="AF88">
        <v>14.453558321294098</v>
      </c>
      <c r="AG88">
        <v>25.572760518461742</v>
      </c>
      <c r="AH88">
        <v>7.5851793276806196</v>
      </c>
      <c r="AI88">
        <v>2.0325802791244914</v>
      </c>
      <c r="AK88">
        <v>55.908566198689954</v>
      </c>
    </row>
    <row r="89" spans="1:37" x14ac:dyDescent="0.2">
      <c r="A89">
        <v>88</v>
      </c>
      <c r="B89">
        <v>767</v>
      </c>
      <c r="C89">
        <v>150</v>
      </c>
      <c r="D89">
        <v>0.44221554583473799</v>
      </c>
      <c r="E89">
        <v>129.5490401595213</v>
      </c>
      <c r="F89">
        <v>63.641862651355268</v>
      </c>
      <c r="G89">
        <v>72.583459504170804</v>
      </c>
      <c r="H89">
        <v>68.003117723751345</v>
      </c>
      <c r="J89">
        <v>68.0998541164861</v>
      </c>
      <c r="L89">
        <v>7.730649146529009</v>
      </c>
      <c r="M89">
        <v>14.87054291969058</v>
      </c>
      <c r="N89">
        <v>2.0989930935269734</v>
      </c>
      <c r="O89">
        <v>35.136080618889153</v>
      </c>
      <c r="P89">
        <v>12.02903339170985</v>
      </c>
      <c r="R89">
        <v>19.541417426158478</v>
      </c>
      <c r="S89">
        <v>53.668472490657045</v>
      </c>
      <c r="U89">
        <v>2.5693047429670299</v>
      </c>
      <c r="V89">
        <v>48.04076729694097</v>
      </c>
      <c r="W89">
        <v>27.084757864538112</v>
      </c>
      <c r="X89">
        <v>43.347075318061243</v>
      </c>
      <c r="Y89">
        <v>8.9674806564735015</v>
      </c>
      <c r="Z89">
        <v>33.597094357860136</v>
      </c>
      <c r="AA89">
        <v>6.9526286704785454</v>
      </c>
      <c r="AB89">
        <v>39.619766410551335</v>
      </c>
      <c r="AD89">
        <v>9.298129440654245</v>
      </c>
      <c r="AE89">
        <v>14.75295843338955</v>
      </c>
      <c r="AF89">
        <v>14.482850051004862</v>
      </c>
      <c r="AG89">
        <v>25.315323743673783</v>
      </c>
      <c r="AH89">
        <v>6.9776733209571171</v>
      </c>
      <c r="AI89">
        <v>2.0342839040693872</v>
      </c>
      <c r="AK89">
        <v>55.651346843997111</v>
      </c>
    </row>
    <row r="90" spans="1:37" x14ac:dyDescent="0.2">
      <c r="A90">
        <v>89</v>
      </c>
      <c r="B90">
        <v>766</v>
      </c>
      <c r="C90">
        <v>150</v>
      </c>
      <c r="D90">
        <v>0.44161141317423203</v>
      </c>
      <c r="E90">
        <v>128.82274432175564</v>
      </c>
      <c r="F90">
        <v>58.71423390490439</v>
      </c>
      <c r="G90">
        <v>71.834196874499213</v>
      </c>
      <c r="H90">
        <v>67.251280642406442</v>
      </c>
      <c r="J90">
        <v>65.907696261817648</v>
      </c>
      <c r="L90">
        <v>6.3428849912332046</v>
      </c>
      <c r="M90">
        <v>14.851335477403223</v>
      </c>
      <c r="N90">
        <v>2.1009454537260339</v>
      </c>
      <c r="O90">
        <v>30.001939081406679</v>
      </c>
      <c r="P90">
        <v>10.553824914018852</v>
      </c>
      <c r="R90">
        <v>17.46245185538876</v>
      </c>
      <c r="S90">
        <v>50.234565590657333</v>
      </c>
      <c r="U90">
        <v>2.5903982267525292</v>
      </c>
      <c r="V90">
        <v>47.630749790863455</v>
      </c>
      <c r="W90">
        <v>26.895555239422535</v>
      </c>
      <c r="X90">
        <v>43.449035060769823</v>
      </c>
      <c r="Y90">
        <v>7.501046005797277</v>
      </c>
      <c r="Z90">
        <v>30.362210833693577</v>
      </c>
      <c r="AA90">
        <v>5.5530221942561182</v>
      </c>
      <c r="AB90">
        <v>37.976250467276039</v>
      </c>
      <c r="AD90">
        <v>7.4210474507933126</v>
      </c>
      <c r="AE90">
        <v>13.378064021769681</v>
      </c>
      <c r="AF90">
        <v>14.46248269650126</v>
      </c>
      <c r="AG90">
        <v>23.656934555631413</v>
      </c>
      <c r="AH90">
        <v>4.7718047916201174</v>
      </c>
      <c r="AI90">
        <v>2.0359630062841338</v>
      </c>
      <c r="AK90">
        <v>54.30436022799006</v>
      </c>
    </row>
    <row r="91" spans="1:37" x14ac:dyDescent="0.2">
      <c r="A91">
        <v>90</v>
      </c>
      <c r="B91">
        <v>765</v>
      </c>
      <c r="C91">
        <v>150</v>
      </c>
      <c r="D91">
        <v>0.44100611664981298</v>
      </c>
      <c r="E91">
        <v>127.94073978390733</v>
      </c>
      <c r="F91">
        <v>52.566052745888413</v>
      </c>
      <c r="G91">
        <v>70.914205753225531</v>
      </c>
      <c r="H91">
        <v>66.328727906140188</v>
      </c>
      <c r="J91">
        <v>63.123333833331536</v>
      </c>
      <c r="L91">
        <v>4.6149827372461001</v>
      </c>
      <c r="M91">
        <v>14.792134245424155</v>
      </c>
      <c r="N91">
        <v>2.1028887232906825</v>
      </c>
      <c r="O91">
        <v>23.65460464772071</v>
      </c>
      <c r="P91">
        <v>8.737157871224742</v>
      </c>
      <c r="R91">
        <v>14.858535480251954</v>
      </c>
      <c r="S91">
        <v>46.01402898664351</v>
      </c>
      <c r="U91">
        <v>2.606964166996296</v>
      </c>
      <c r="V91">
        <v>47.136698528044484</v>
      </c>
      <c r="W91">
        <v>26.723804176990171</v>
      </c>
      <c r="X91">
        <v>43.535881288158805</v>
      </c>
      <c r="Y91">
        <v>5.6875155827483947</v>
      </c>
      <c r="Z91">
        <v>26.218719909159617</v>
      </c>
      <c r="AA91">
        <v>3.8127586310780024</v>
      </c>
      <c r="AB91">
        <v>35.911051589691617</v>
      </c>
      <c r="AD91">
        <v>5.0134500082023976</v>
      </c>
      <c r="AE91">
        <v>11.606231670471962</v>
      </c>
      <c r="AF91">
        <v>14.402112733152181</v>
      </c>
      <c r="AG91">
        <v>21.576855805694638</v>
      </c>
      <c r="AH91">
        <v>2.0097080438283066</v>
      </c>
      <c r="AI91">
        <v>2.0376322053332525</v>
      </c>
      <c r="AK91">
        <v>52.570784692124569</v>
      </c>
    </row>
    <row r="92" spans="1:37" x14ac:dyDescent="0.2">
      <c r="A92">
        <v>91</v>
      </c>
      <c r="B92">
        <v>764</v>
      </c>
      <c r="C92">
        <v>150</v>
      </c>
      <c r="D92">
        <v>0.44039965289495597</v>
      </c>
      <c r="E92">
        <v>127.70091564186119</v>
      </c>
      <c r="F92">
        <v>49.458034580882803</v>
      </c>
      <c r="G92">
        <v>70.59187258258153</v>
      </c>
      <c r="H92">
        <v>66.003845977624593</v>
      </c>
      <c r="J92">
        <v>57.427720732549616</v>
      </c>
      <c r="L92">
        <v>3.0560541160001811</v>
      </c>
      <c r="M92">
        <v>14.678913554349771</v>
      </c>
      <c r="N92">
        <v>2.1048644065489421</v>
      </c>
      <c r="O92">
        <v>16.284058114325166</v>
      </c>
      <c r="P92">
        <v>8.1158466742286386</v>
      </c>
      <c r="R92">
        <v>12.813899821902753</v>
      </c>
      <c r="S92">
        <v>41.428242976563908</v>
      </c>
      <c r="U92">
        <v>2.6407430687816191</v>
      </c>
      <c r="V92">
        <v>46.698846560446995</v>
      </c>
      <c r="W92">
        <v>26.486288020555858</v>
      </c>
      <c r="X92">
        <v>43.672382914371212</v>
      </c>
      <c r="Y92">
        <v>4.4149119116399724</v>
      </c>
      <c r="Z92">
        <v>22.726990406989337</v>
      </c>
      <c r="AA92">
        <v>2.0731051680914243</v>
      </c>
      <c r="AB92">
        <v>33.742314293001151</v>
      </c>
      <c r="AD92">
        <v>3.0799917152242977</v>
      </c>
      <c r="AE92">
        <v>9.7971562286719056</v>
      </c>
      <c r="AF92">
        <v>14.287756001365089</v>
      </c>
      <c r="AG92">
        <v>19.393273519142117</v>
      </c>
      <c r="AI92">
        <v>2.0393330037093618</v>
      </c>
      <c r="AK92">
        <v>48.918425837184422</v>
      </c>
    </row>
    <row r="93" spans="1:37" x14ac:dyDescent="0.2">
      <c r="A93">
        <v>92</v>
      </c>
      <c r="B93">
        <v>763</v>
      </c>
      <c r="C93">
        <v>150</v>
      </c>
      <c r="D93">
        <v>0.43979201853014099</v>
      </c>
      <c r="E93">
        <v>127.94359799290766</v>
      </c>
      <c r="F93">
        <v>49.192521380893822</v>
      </c>
      <c r="G93">
        <v>70.718665087887032</v>
      </c>
      <c r="H93">
        <v>66.128102602656412</v>
      </c>
      <c r="J93">
        <v>50.940017466689838</v>
      </c>
      <c r="L93">
        <v>1.6115710031091113</v>
      </c>
      <c r="M93">
        <v>14.468827064470707</v>
      </c>
      <c r="N93">
        <v>2.1068687909291204</v>
      </c>
      <c r="O93">
        <v>8.7889876153860076</v>
      </c>
      <c r="P93">
        <v>8.3928230832699633</v>
      </c>
      <c r="R93">
        <v>11.225906087014256</v>
      </c>
      <c r="S93">
        <v>37.049397820925016</v>
      </c>
      <c r="U93">
        <v>2.6596419707172063</v>
      </c>
      <c r="V93">
        <v>46.541204037878856</v>
      </c>
      <c r="W93">
        <v>26.163389834523198</v>
      </c>
      <c r="X93">
        <v>43.766194859168955</v>
      </c>
      <c r="Y93">
        <v>3.429781663121835</v>
      </c>
      <c r="Z93">
        <v>20.635509258200788</v>
      </c>
      <c r="AA93">
        <v>0.4110287064075237</v>
      </c>
      <c r="AB93">
        <v>32.334457451347333</v>
      </c>
      <c r="AD93">
        <v>1.9185032319563409</v>
      </c>
      <c r="AE93">
        <v>8.5181316915958973</v>
      </c>
      <c r="AF93">
        <v>14.076562454358855</v>
      </c>
      <c r="AG93">
        <v>17.970602863308791</v>
      </c>
      <c r="AI93">
        <v>2.0410616870044342</v>
      </c>
      <c r="AK93">
        <v>44.661017002133775</v>
      </c>
    </row>
    <row r="94" spans="1:37" x14ac:dyDescent="0.2">
      <c r="A94">
        <v>93</v>
      </c>
      <c r="B94">
        <v>762</v>
      </c>
      <c r="C94">
        <v>150</v>
      </c>
      <c r="D94">
        <v>0.439183210162781</v>
      </c>
      <c r="E94">
        <v>128.2544717099901</v>
      </c>
      <c r="F94">
        <v>48.88612966295721</v>
      </c>
      <c r="G94">
        <v>70.847789103342649</v>
      </c>
      <c r="H94">
        <v>66.254703635956588</v>
      </c>
      <c r="J94">
        <v>44.389960087867543</v>
      </c>
      <c r="L94">
        <v>1.5202037255072136</v>
      </c>
      <c r="M94">
        <v>14.095204739770004</v>
      </c>
      <c r="N94">
        <v>2.1088746096374495</v>
      </c>
      <c r="O94">
        <v>7.9965955327472162</v>
      </c>
      <c r="P94">
        <v>8.6744715221902329</v>
      </c>
      <c r="R94">
        <v>10.915812823239632</v>
      </c>
      <c r="S94">
        <v>36.613317261213417</v>
      </c>
      <c r="U94">
        <v>2.6627873222452747</v>
      </c>
      <c r="V94">
        <v>46.893034749297414</v>
      </c>
      <c r="W94">
        <v>25.688473308051758</v>
      </c>
      <c r="X94">
        <v>43.814915547327445</v>
      </c>
      <c r="Y94">
        <v>3.243216404724941</v>
      </c>
      <c r="Z94">
        <v>18.193316436077819</v>
      </c>
      <c r="AB94">
        <v>31.030470071685105</v>
      </c>
      <c r="AD94">
        <v>0.68722609700422044</v>
      </c>
      <c r="AE94">
        <v>7.0548418308870264</v>
      </c>
      <c r="AF94">
        <v>13.701834794832104</v>
      </c>
      <c r="AG94">
        <v>16.651805584140408</v>
      </c>
      <c r="AI94">
        <v>2.0427909865883671</v>
      </c>
      <c r="AK94">
        <v>40.265956288267063</v>
      </c>
    </row>
    <row r="95" spans="1:37" x14ac:dyDescent="0.2">
      <c r="A95">
        <v>94</v>
      </c>
      <c r="B95">
        <v>761</v>
      </c>
      <c r="C95">
        <v>150</v>
      </c>
      <c r="D95">
        <v>0.43857322438717999</v>
      </c>
      <c r="E95">
        <v>128.47440883655278</v>
      </c>
      <c r="F95">
        <v>49.137232387403657</v>
      </c>
      <c r="G95">
        <v>70.878864579081252</v>
      </c>
      <c r="H95">
        <v>66.283269048213683</v>
      </c>
      <c r="J95">
        <v>39.922537561859208</v>
      </c>
      <c r="L95">
        <v>1.5370472655783525</v>
      </c>
      <c r="M95">
        <v>13.677884589986025</v>
      </c>
      <c r="N95">
        <v>2.1108748931321526</v>
      </c>
      <c r="O95">
        <v>7.8858132448902234</v>
      </c>
      <c r="P95">
        <v>8.7600249440028382</v>
      </c>
      <c r="R95">
        <v>10.614820239858595</v>
      </c>
      <c r="S95">
        <v>36.79034431818657</v>
      </c>
      <c r="U95">
        <v>2.6513187579536903</v>
      </c>
      <c r="V95">
        <v>47.388131138571588</v>
      </c>
      <c r="W95">
        <v>25.18009191400051</v>
      </c>
      <c r="X95">
        <v>43.821852383033132</v>
      </c>
      <c r="Y95">
        <v>3.0640446107203285</v>
      </c>
      <c r="Z95">
        <v>17.481344515068077</v>
      </c>
      <c r="AB95">
        <v>30.910659515543443</v>
      </c>
      <c r="AE95">
        <v>6.6250695780816136</v>
      </c>
      <c r="AF95">
        <v>13.283404068505565</v>
      </c>
      <c r="AG95">
        <v>16.517182079425829</v>
      </c>
      <c r="AI95">
        <v>2.0445139310831646</v>
      </c>
      <c r="AK95">
        <v>37.209063908589215</v>
      </c>
    </row>
    <row r="96" spans="1:37" x14ac:dyDescent="0.2">
      <c r="A96">
        <v>95</v>
      </c>
      <c r="B96">
        <v>791</v>
      </c>
      <c r="C96">
        <v>125</v>
      </c>
      <c r="D96">
        <v>0.48221632288681698</v>
      </c>
      <c r="E96">
        <v>117.59573785546483</v>
      </c>
      <c r="F96">
        <v>73.501017458720085</v>
      </c>
      <c r="G96">
        <v>74.444879641186716</v>
      </c>
      <c r="H96">
        <v>69.929356310426073</v>
      </c>
      <c r="J96">
        <v>69.775613105384167</v>
      </c>
      <c r="L96">
        <v>10.370975980318338</v>
      </c>
      <c r="M96">
        <v>15.169741383008779</v>
      </c>
      <c r="N96">
        <v>2.1780713242621603</v>
      </c>
      <c r="O96">
        <v>48.464746940108313</v>
      </c>
      <c r="P96">
        <v>15.179535646966004</v>
      </c>
      <c r="Q96">
        <v>4.359592215793448E-2</v>
      </c>
      <c r="R96">
        <v>24.206577923164957</v>
      </c>
      <c r="S96">
        <v>60.327705486384204</v>
      </c>
      <c r="U96">
        <v>3.5360489138489162</v>
      </c>
      <c r="V96">
        <v>47.985202495616413</v>
      </c>
      <c r="W96">
        <v>31.639221186961269</v>
      </c>
      <c r="X96">
        <v>42.780495230477982</v>
      </c>
      <c r="Y96">
        <v>11.758566548568215</v>
      </c>
      <c r="Z96">
        <v>39.558918280321699</v>
      </c>
      <c r="AA96">
        <v>9.7314583610289418</v>
      </c>
      <c r="AB96">
        <v>41.930665605367224</v>
      </c>
      <c r="AC96">
        <v>0.21820287095182367</v>
      </c>
      <c r="AD96">
        <v>12.559203141527412</v>
      </c>
      <c r="AE96">
        <v>17.55295535678416</v>
      </c>
      <c r="AF96">
        <v>15.01314094554027</v>
      </c>
      <c r="AG96">
        <v>28.216655039857855</v>
      </c>
      <c r="AH96">
        <v>10.642636464943511</v>
      </c>
      <c r="AI96">
        <v>2.1167339745550162</v>
      </c>
      <c r="AK96">
        <v>56.025381298829849</v>
      </c>
    </row>
    <row r="97" spans="1:37" x14ac:dyDescent="0.2">
      <c r="A97">
        <v>96</v>
      </c>
      <c r="B97">
        <v>790</v>
      </c>
      <c r="C97">
        <v>125</v>
      </c>
      <c r="D97">
        <v>0.48166345294643498</v>
      </c>
      <c r="E97">
        <v>117.49457220924579</v>
      </c>
      <c r="F97">
        <v>73.175251613582674</v>
      </c>
      <c r="G97">
        <v>74.38833493205874</v>
      </c>
      <c r="H97">
        <v>69.869924854504106</v>
      </c>
      <c r="J97">
        <v>69.709383475738235</v>
      </c>
      <c r="L97">
        <v>10.291221697166204</v>
      </c>
      <c r="M97">
        <v>15.131061702230365</v>
      </c>
      <c r="N97">
        <v>2.1707846057976985</v>
      </c>
      <c r="O97">
        <v>48.070281722371632</v>
      </c>
      <c r="P97">
        <v>15.080340769955944</v>
      </c>
      <c r="R97">
        <v>24.031693396244361</v>
      </c>
      <c r="S97">
        <v>60.004669235847466</v>
      </c>
      <c r="U97">
        <v>3.4822574006269162</v>
      </c>
      <c r="V97">
        <v>47.925573498452565</v>
      </c>
      <c r="W97">
        <v>31.477776535862581</v>
      </c>
      <c r="X97">
        <v>42.666231815196603</v>
      </c>
      <c r="Y97">
        <v>11.674733782135572</v>
      </c>
      <c r="Z97">
        <v>39.37899837963635</v>
      </c>
      <c r="AA97">
        <v>9.6484414787572899</v>
      </c>
      <c r="AB97">
        <v>41.82412450889295</v>
      </c>
      <c r="AC97">
        <v>0.20892428161130921</v>
      </c>
      <c r="AD97">
        <v>12.464868204956886</v>
      </c>
      <c r="AE97">
        <v>17.470224230109942</v>
      </c>
      <c r="AF97">
        <v>14.964053660045371</v>
      </c>
      <c r="AG97">
        <v>28.085977067981862</v>
      </c>
      <c r="AH97">
        <v>10.528652462719498</v>
      </c>
      <c r="AI97">
        <v>2.1091940772664657</v>
      </c>
      <c r="AK97">
        <v>56.015784645945814</v>
      </c>
    </row>
    <row r="98" spans="1:37" x14ac:dyDescent="0.2">
      <c r="A98">
        <v>97</v>
      </c>
      <c r="B98">
        <v>789</v>
      </c>
      <c r="C98">
        <v>125</v>
      </c>
      <c r="D98">
        <v>0.48110954196676597</v>
      </c>
      <c r="E98">
        <v>117.38852934666714</v>
      </c>
      <c r="F98">
        <v>72.734756730840033</v>
      </c>
      <c r="G98">
        <v>74.310099153373443</v>
      </c>
      <c r="H98">
        <v>69.788814689066314</v>
      </c>
      <c r="J98">
        <v>69.658354272474881</v>
      </c>
      <c r="L98">
        <v>10.169388779162457</v>
      </c>
      <c r="M98">
        <v>15.149893574937598</v>
      </c>
      <c r="N98">
        <v>2.1540888247091421</v>
      </c>
      <c r="O98">
        <v>47.486222047605445</v>
      </c>
      <c r="P98">
        <v>14.928361683740818</v>
      </c>
      <c r="R98">
        <v>23.869994496221661</v>
      </c>
      <c r="S98">
        <v>59.891769483574905</v>
      </c>
      <c r="U98">
        <v>3.4734864338896214</v>
      </c>
      <c r="V98">
        <v>47.96815747967711</v>
      </c>
      <c r="W98">
        <v>31.36930276384809</v>
      </c>
      <c r="X98">
        <v>42.700454735454215</v>
      </c>
      <c r="Y98">
        <v>11.54252717127439</v>
      </c>
      <c r="Z98">
        <v>39.135029371069429</v>
      </c>
      <c r="AA98">
        <v>9.5196084319547669</v>
      </c>
      <c r="AB98">
        <v>41.802999409226068</v>
      </c>
      <c r="AC98">
        <v>0.19023678725127643</v>
      </c>
      <c r="AD98">
        <v>12.333979894795243</v>
      </c>
      <c r="AE98">
        <v>17.36640393746411</v>
      </c>
      <c r="AF98">
        <v>14.963069014916886</v>
      </c>
      <c r="AG98">
        <v>28.031308360669311</v>
      </c>
      <c r="AH98">
        <v>10.358452178185599</v>
      </c>
      <c r="AI98">
        <v>2.0922443487149063</v>
      </c>
      <c r="AK98">
        <v>55.980782084434345</v>
      </c>
    </row>
    <row r="99" spans="1:37" x14ac:dyDescent="0.2">
      <c r="A99">
        <v>98</v>
      </c>
      <c r="B99">
        <v>788</v>
      </c>
      <c r="C99">
        <v>125</v>
      </c>
      <c r="D99">
        <v>0.48055458700466802</v>
      </c>
      <c r="E99">
        <v>117.28296932407424</v>
      </c>
      <c r="F99">
        <v>72.29525350124058</v>
      </c>
      <c r="G99">
        <v>74.231877366635302</v>
      </c>
      <c r="H99">
        <v>69.707730895143754</v>
      </c>
      <c r="J99">
        <v>69.60622336235572</v>
      </c>
      <c r="L99">
        <v>10.047123825121993</v>
      </c>
      <c r="M99">
        <v>15.168943509135278</v>
      </c>
      <c r="N99">
        <v>2.1373444891982518</v>
      </c>
      <c r="O99">
        <v>46.902134644005571</v>
      </c>
      <c r="P99">
        <v>14.776369040240851</v>
      </c>
      <c r="R99">
        <v>23.707019066521994</v>
      </c>
      <c r="S99">
        <v>59.774456484651914</v>
      </c>
      <c r="U99">
        <v>3.4652050411939848</v>
      </c>
      <c r="V99">
        <v>48.009077114515748</v>
      </c>
      <c r="W99">
        <v>31.261656312601922</v>
      </c>
      <c r="X99">
        <v>42.736371411792241</v>
      </c>
      <c r="Y99">
        <v>11.410257205695443</v>
      </c>
      <c r="Z99">
        <v>38.891188839295545</v>
      </c>
      <c r="AA99">
        <v>9.3906287101536297</v>
      </c>
      <c r="AB99">
        <v>41.779391995482676</v>
      </c>
      <c r="AC99">
        <v>0.17150089563960597</v>
      </c>
      <c r="AD99">
        <v>12.202943181312916</v>
      </c>
      <c r="AE99">
        <v>17.262658828056296</v>
      </c>
      <c r="AF99">
        <v>14.96225403155921</v>
      </c>
      <c r="AG99">
        <v>27.9741111205721</v>
      </c>
      <c r="AH99">
        <v>10.188059456130043</v>
      </c>
      <c r="AI99">
        <v>2.0752452952810136</v>
      </c>
      <c r="AK99">
        <v>55.945859485755726</v>
      </c>
    </row>
    <row r="100" spans="1:37" x14ac:dyDescent="0.2">
      <c r="A100">
        <v>99</v>
      </c>
      <c r="B100">
        <v>787</v>
      </c>
      <c r="C100">
        <v>125</v>
      </c>
      <c r="D100">
        <v>0.479998585105882</v>
      </c>
      <c r="E100">
        <v>117.17789555882304</v>
      </c>
      <c r="F100">
        <v>71.856778611044362</v>
      </c>
      <c r="G100">
        <v>74.153680813901317</v>
      </c>
      <c r="H100">
        <v>69.626684734356317</v>
      </c>
      <c r="J100">
        <v>69.552982772093415</v>
      </c>
      <c r="L100">
        <v>9.9244555835383039</v>
      </c>
      <c r="M100">
        <v>15.188195575656254</v>
      </c>
      <c r="N100">
        <v>2.1205528677141507</v>
      </c>
      <c r="O100">
        <v>46.318086375235666</v>
      </c>
      <c r="P100">
        <v>14.624386612788408</v>
      </c>
      <c r="R100">
        <v>23.542809619207201</v>
      </c>
      <c r="S100">
        <v>59.652675360474653</v>
      </c>
      <c r="U100">
        <v>3.4573977557668112</v>
      </c>
      <c r="V100">
        <v>48.048318693746019</v>
      </c>
      <c r="W100">
        <v>31.154835699763719</v>
      </c>
      <c r="X100">
        <v>42.773935433653016</v>
      </c>
      <c r="Y100">
        <v>11.277945320684983</v>
      </c>
      <c r="Z100">
        <v>38.647482816549314</v>
      </c>
      <c r="AA100">
        <v>9.2615959101311311</v>
      </c>
      <c r="AB100">
        <v>41.753265282605142</v>
      </c>
      <c r="AC100">
        <v>0.1527178747907261</v>
      </c>
      <c r="AD100">
        <v>12.071767461413113</v>
      </c>
      <c r="AE100">
        <v>17.158982462343523</v>
      </c>
      <c r="AF100">
        <v>14.961594054459816</v>
      </c>
      <c r="AG100">
        <v>27.914349636428543</v>
      </c>
      <c r="AH100">
        <v>10.017505882447352</v>
      </c>
      <c r="AI100">
        <v>2.0581981835910796</v>
      </c>
      <c r="AK100">
        <v>55.91102177575516</v>
      </c>
    </row>
    <row r="101" spans="1:37" x14ac:dyDescent="0.2">
      <c r="A101">
        <v>100</v>
      </c>
      <c r="B101">
        <v>786</v>
      </c>
      <c r="C101">
        <v>125</v>
      </c>
      <c r="D101">
        <v>0.47944153330501299</v>
      </c>
      <c r="E101">
        <v>117.07331112258396</v>
      </c>
      <c r="F101">
        <v>71.419367626014591</v>
      </c>
      <c r="G101">
        <v>74.075520681993638</v>
      </c>
      <c r="H101">
        <v>69.545687413126771</v>
      </c>
      <c r="J101">
        <v>69.498626820721839</v>
      </c>
      <c r="L101">
        <v>9.8014126387471254</v>
      </c>
      <c r="M101">
        <v>15.207633526464573</v>
      </c>
      <c r="N101">
        <v>2.1037152387496936</v>
      </c>
      <c r="O101">
        <v>45.734143768361768</v>
      </c>
      <c r="P101">
        <v>14.472438074343719</v>
      </c>
      <c r="R101">
        <v>23.377409045229641</v>
      </c>
      <c r="S101">
        <v>59.526380559697927</v>
      </c>
      <c r="U101">
        <v>3.450048654040542</v>
      </c>
      <c r="V101">
        <v>48.085871430406151</v>
      </c>
      <c r="W101">
        <v>31.048838914398267</v>
      </c>
      <c r="X101">
        <v>42.813099028468564</v>
      </c>
      <c r="Y101">
        <v>11.145612886117126</v>
      </c>
      <c r="Z101">
        <v>38.403916762533214</v>
      </c>
      <c r="AA101">
        <v>9.1323745907023337</v>
      </c>
      <c r="AB101">
        <v>41.724587119095091</v>
      </c>
      <c r="AC101">
        <v>0.13388900276302965</v>
      </c>
      <c r="AD101">
        <v>11.940461805278792</v>
      </c>
      <c r="AE101">
        <v>17.055368117176691</v>
      </c>
      <c r="AF101">
        <v>14.961074119297079</v>
      </c>
      <c r="AG101">
        <v>27.85199304060011</v>
      </c>
      <c r="AH101">
        <v>9.8468229080603074</v>
      </c>
      <c r="AI101">
        <v>2.0411042903153613</v>
      </c>
      <c r="AK101">
        <v>55.876273702506964</v>
      </c>
    </row>
    <row r="102" spans="1:37" x14ac:dyDescent="0.2">
      <c r="A102">
        <v>101</v>
      </c>
      <c r="B102">
        <v>785</v>
      </c>
      <c r="C102">
        <v>125</v>
      </c>
      <c r="D102">
        <v>0.47888342862543298</v>
      </c>
      <c r="E102">
        <v>116.969218747507</v>
      </c>
      <c r="F102">
        <v>70.983054877956349</v>
      </c>
      <c r="G102">
        <v>73.997408068199618</v>
      </c>
      <c r="H102">
        <v>69.464750048379386</v>
      </c>
      <c r="J102">
        <v>69.443152003701286</v>
      </c>
      <c r="L102">
        <v>9.6780233037637</v>
      </c>
      <c r="M102">
        <v>15.227240841749705</v>
      </c>
      <c r="N102">
        <v>2.0868328805943581</v>
      </c>
      <c r="O102">
        <v>45.150372772048044</v>
      </c>
      <c r="P102">
        <v>14.320546918650519</v>
      </c>
      <c r="R102">
        <v>23.210860408440482</v>
      </c>
      <c r="S102">
        <v>59.395535568502574</v>
      </c>
      <c r="U102">
        <v>3.4431414193927479</v>
      </c>
      <c r="V102">
        <v>48.121727331497446</v>
      </c>
      <c r="W102">
        <v>30.943663473096898</v>
      </c>
      <c r="X102">
        <v>42.853813258027387</v>
      </c>
      <c r="Y102">
        <v>11.013281135414495</v>
      </c>
      <c r="Z102">
        <v>38.160495510646953</v>
      </c>
      <c r="AA102">
        <v>9.0030635115708577</v>
      </c>
      <c r="AB102">
        <v>41.693330052783544</v>
      </c>
      <c r="AC102">
        <v>0.11501555741083358</v>
      </c>
      <c r="AD102">
        <v>11.809034913175475</v>
      </c>
      <c r="AE102">
        <v>16.951808783410112</v>
      </c>
      <c r="AF102">
        <v>14.960678989780122</v>
      </c>
      <c r="AG102">
        <v>27.787015164587199</v>
      </c>
      <c r="AH102">
        <v>9.6760417571070647</v>
      </c>
      <c r="AI102">
        <v>2.0239648919201549</v>
      </c>
      <c r="AK102">
        <v>55.841619802930452</v>
      </c>
    </row>
    <row r="103" spans="1:37" x14ac:dyDescent="0.2">
      <c r="A103">
        <v>102</v>
      </c>
      <c r="B103">
        <v>784</v>
      </c>
      <c r="C103">
        <v>125</v>
      </c>
      <c r="D103">
        <v>0.47832426807926898</v>
      </c>
      <c r="E103">
        <v>116.86562083431686</v>
      </c>
      <c r="F103">
        <v>70.547873370668341</v>
      </c>
      <c r="G103">
        <v>73.919353949742828</v>
      </c>
      <c r="H103">
        <v>69.383883637011948</v>
      </c>
      <c r="J103">
        <v>69.386556870401833</v>
      </c>
      <c r="L103">
        <v>9.554315534569767</v>
      </c>
      <c r="M103">
        <v>15.247000772786206</v>
      </c>
      <c r="N103">
        <v>2.0699070621000639</v>
      </c>
      <c r="O103">
        <v>44.566838542010764</v>
      </c>
      <c r="P103">
        <v>14.168736389946336</v>
      </c>
      <c r="R103">
        <v>23.04320675175574</v>
      </c>
      <c r="S103">
        <v>59.26011257391194</v>
      </c>
      <c r="U103">
        <v>3.4366594016427574</v>
      </c>
      <c r="V103">
        <v>48.155881056854916</v>
      </c>
      <c r="W103">
        <v>30.839306473887863</v>
      </c>
      <c r="X103">
        <v>42.896028203040444</v>
      </c>
      <c r="Y103">
        <v>10.880971102169751</v>
      </c>
      <c r="Z103">
        <v>37.917223223005763</v>
      </c>
      <c r="AA103">
        <v>8.8736814094463554</v>
      </c>
      <c r="AB103">
        <v>41.659471171927002</v>
      </c>
      <c r="AC103">
        <v>9.6098807151013835E-2</v>
      </c>
      <c r="AD103">
        <v>11.677495077852635</v>
      </c>
      <c r="AE103">
        <v>16.848297165714786</v>
      </c>
      <c r="AF103">
        <v>14.960393191280295</v>
      </c>
      <c r="AG103">
        <v>27.719394370899092</v>
      </c>
      <c r="AH103">
        <v>9.5051933445406558</v>
      </c>
      <c r="AI103">
        <v>2.0067812554324544</v>
      </c>
      <c r="AK103">
        <v>55.807064374108855</v>
      </c>
    </row>
    <row r="104" spans="1:37" x14ac:dyDescent="0.2">
      <c r="A104">
        <v>103</v>
      </c>
      <c r="B104">
        <v>783</v>
      </c>
      <c r="C104">
        <v>125</v>
      </c>
      <c r="D104">
        <v>0.47776404866733202</v>
      </c>
      <c r="E104">
        <v>116.76251946107091</v>
      </c>
      <c r="F104">
        <v>70.113854700647479</v>
      </c>
      <c r="G104">
        <v>73.841369156503333</v>
      </c>
      <c r="H104">
        <v>69.30309902861643</v>
      </c>
      <c r="J104">
        <v>69.328841897440029</v>
      </c>
      <c r="L104">
        <v>9.4303168591709792</v>
      </c>
      <c r="M104">
        <v>15.266896381199007</v>
      </c>
      <c r="N104">
        <v>2.0529390342337286</v>
      </c>
      <c r="O104">
        <v>43.983605249962132</v>
      </c>
      <c r="P104">
        <v>14.017029419951765</v>
      </c>
      <c r="R104">
        <v>22.874490916430524</v>
      </c>
      <c r="S104">
        <v>59.120092093456385</v>
      </c>
      <c r="U104">
        <v>3.4305856726650132</v>
      </c>
      <c r="V104">
        <v>48.18832976989205</v>
      </c>
      <c r="W104">
        <v>30.735764648519563</v>
      </c>
      <c r="X104">
        <v>42.939693129929573</v>
      </c>
      <c r="Y104">
        <v>10.748703563262477</v>
      </c>
      <c r="Z104">
        <v>37.674103353317932</v>
      </c>
      <c r="AA104">
        <v>8.7443218912903102</v>
      </c>
      <c r="AB104">
        <v>41.622991928916491</v>
      </c>
      <c r="AC104">
        <v>7.7140002514512751E-2</v>
      </c>
      <c r="AD104">
        <v>11.545850151953942</v>
      </c>
      <c r="AE104">
        <v>16.744825684493989</v>
      </c>
      <c r="AF104">
        <v>14.960201041643959</v>
      </c>
      <c r="AG104">
        <v>27.649113368307962</v>
      </c>
      <c r="AH104">
        <v>9.3343082032205569</v>
      </c>
      <c r="AI104">
        <v>1.9895546299947171</v>
      </c>
      <c r="AK104">
        <v>55.772611448146471</v>
      </c>
    </row>
    <row r="105" spans="1:37" x14ac:dyDescent="0.2">
      <c r="A105">
        <v>104</v>
      </c>
      <c r="B105">
        <v>782</v>
      </c>
      <c r="C105">
        <v>125</v>
      </c>
      <c r="D105">
        <v>0.47720276737904699</v>
      </c>
      <c r="E105">
        <v>116.65991639299588</v>
      </c>
      <c r="F105">
        <v>69.681028995664747</v>
      </c>
      <c r="G105">
        <v>73.763464347343884</v>
      </c>
      <c r="H105">
        <v>69.22240690180378</v>
      </c>
      <c r="J105">
        <v>69.270009362585867</v>
      </c>
      <c r="L105">
        <v>9.3060543195886503</v>
      </c>
      <c r="M105">
        <v>15.286910574588569</v>
      </c>
      <c r="N105">
        <v>2.035930022794326</v>
      </c>
      <c r="O105">
        <v>43.400735919298207</v>
      </c>
      <c r="P105">
        <v>13.865448573241183</v>
      </c>
      <c r="R105">
        <v>22.704755377617222</v>
      </c>
      <c r="S105">
        <v>58.975462583638212</v>
      </c>
      <c r="U105">
        <v>3.424903077287857</v>
      </c>
      <c r="V105">
        <v>48.219072984521702</v>
      </c>
      <c r="W105">
        <v>30.633034411058691</v>
      </c>
      <c r="X105">
        <v>42.98475665117671</v>
      </c>
      <c r="Y105">
        <v>10.616498989461654</v>
      </c>
      <c r="Z105">
        <v>37.431138618885363</v>
      </c>
      <c r="AA105">
        <v>8.6148484462870396</v>
      </c>
      <c r="AB105">
        <v>41.583877952621386</v>
      </c>
      <c r="AC105">
        <v>5.8140368864444243E-2</v>
      </c>
      <c r="AD105">
        <v>11.414107521249312</v>
      </c>
      <c r="AE105">
        <v>16.641386480384156</v>
      </c>
      <c r="AF105">
        <v>14.960086679537763</v>
      </c>
      <c r="AG105">
        <v>27.576159016915387</v>
      </c>
      <c r="AH105">
        <v>9.1634164151959752</v>
      </c>
      <c r="AI105">
        <v>1.9722862395797076</v>
      </c>
      <c r="AK105">
        <v>55.73826477224852</v>
      </c>
    </row>
    <row r="106" spans="1:37" x14ac:dyDescent="0.2">
      <c r="A106">
        <v>105</v>
      </c>
      <c r="B106">
        <v>781</v>
      </c>
      <c r="C106">
        <v>125</v>
      </c>
      <c r="D106">
        <v>0.476640421192431</v>
      </c>
      <c r="E106">
        <v>116.55781309240803</v>
      </c>
      <c r="F106">
        <v>69.249424868414138</v>
      </c>
      <c r="G106">
        <v>73.685649989794712</v>
      </c>
      <c r="H106">
        <v>69.141817743890684</v>
      </c>
      <c r="J106">
        <v>69.210063220602578</v>
      </c>
      <c r="L106">
        <v>9.1815544243122531</v>
      </c>
      <c r="M106">
        <v>15.307026138237322</v>
      </c>
      <c r="N106">
        <v>2.0188812221851293</v>
      </c>
      <c r="O106">
        <v>42.818292286317714</v>
      </c>
      <c r="P106">
        <v>13.714016000389076</v>
      </c>
      <c r="R106">
        <v>22.534042095867857</v>
      </c>
      <c r="S106">
        <v>58.826220034350719</v>
      </c>
      <c r="U106">
        <v>3.4195942792822822</v>
      </c>
      <c r="V106">
        <v>48.248112410204619</v>
      </c>
      <c r="W106">
        <v>30.531111902730178</v>
      </c>
      <c r="X106">
        <v>43.031166862979504</v>
      </c>
      <c r="Y106">
        <v>10.484377502991514</v>
      </c>
      <c r="Z106">
        <v>37.188330981561997</v>
      </c>
      <c r="AA106">
        <v>8.4853592068831638</v>
      </c>
      <c r="AB106">
        <v>41.54211885381217</v>
      </c>
      <c r="AC106">
        <v>3.9101100168223345E-2</v>
      </c>
      <c r="AD106">
        <v>11.28227408354226</v>
      </c>
      <c r="AE106">
        <v>16.537971421459805</v>
      </c>
      <c r="AF106">
        <v>14.960034089925681</v>
      </c>
      <c r="AG106">
        <v>27.500522127344063</v>
      </c>
      <c r="AH106">
        <v>8.9925475547529494</v>
      </c>
      <c r="AI106">
        <v>1.9549772767649589</v>
      </c>
      <c r="AK106">
        <v>55.704027793156982</v>
      </c>
    </row>
    <row r="107" spans="1:37" x14ac:dyDescent="0.2">
      <c r="A107">
        <v>106</v>
      </c>
      <c r="B107">
        <v>780</v>
      </c>
      <c r="C107">
        <v>125</v>
      </c>
      <c r="D107">
        <v>0.47607700707401701</v>
      </c>
      <c r="E107">
        <v>116.4562107285733</v>
      </c>
      <c r="F107">
        <v>68.819069388098967</v>
      </c>
      <c r="G107">
        <v>73.607936343463365</v>
      </c>
      <c r="H107">
        <v>69.061341834308806</v>
      </c>
      <c r="J107">
        <v>69.14900898561541</v>
      </c>
      <c r="L107">
        <v>9.0568431115189814</v>
      </c>
      <c r="M107">
        <v>15.327225762256067</v>
      </c>
      <c r="N107">
        <v>2.0017937907004062</v>
      </c>
      <c r="O107">
        <v>42.236334691373386</v>
      </c>
      <c r="P107">
        <v>13.562753400070097</v>
      </c>
      <c r="R107">
        <v>22.362392386920963</v>
      </c>
      <c r="S107">
        <v>58.672367560152765</v>
      </c>
      <c r="U107">
        <v>3.4146418012339925</v>
      </c>
      <c r="V107">
        <v>48.275451798208742</v>
      </c>
      <c r="W107">
        <v>30.429993030192378</v>
      </c>
      <c r="X107">
        <v>43.078871466838102</v>
      </c>
      <c r="Y107">
        <v>10.352358843126593</v>
      </c>
      <c r="Z107">
        <v>36.945681639956533</v>
      </c>
      <c r="AA107">
        <v>8.355871932912196</v>
      </c>
      <c r="AB107">
        <v>41.497708029876293</v>
      </c>
      <c r="AC107">
        <v>2.0023354283094884E-2</v>
      </c>
      <c r="AD107">
        <v>11.15035623448653</v>
      </c>
      <c r="AE107">
        <v>16.434572114286247</v>
      </c>
      <c r="AF107">
        <v>14.960027126504556</v>
      </c>
      <c r="AG107">
        <v>27.422197260740237</v>
      </c>
      <c r="AH107">
        <v>8.8217306592906422</v>
      </c>
      <c r="AI107">
        <v>1.9376288980176006</v>
      </c>
      <c r="AK107">
        <v>55.669903647527164</v>
      </c>
    </row>
    <row r="108" spans="1:37" x14ac:dyDescent="0.2">
      <c r="A108">
        <v>107</v>
      </c>
      <c r="B108">
        <v>779</v>
      </c>
      <c r="C108">
        <v>125</v>
      </c>
      <c r="D108">
        <v>0.475512521978807</v>
      </c>
      <c r="E108">
        <v>116.35511018704614</v>
      </c>
      <c r="F108">
        <v>68.389988066704191</v>
      </c>
      <c r="G108">
        <v>73.53033344657068</v>
      </c>
      <c r="H108">
        <v>68.98098923114037</v>
      </c>
      <c r="J108">
        <v>69.086853622372516</v>
      </c>
      <c r="L108">
        <v>8.9319457212726991</v>
      </c>
      <c r="M108">
        <v>15.347492065414198</v>
      </c>
      <c r="N108">
        <v>1.9846688471442528</v>
      </c>
      <c r="O108">
        <v>41.654921995487015</v>
      </c>
      <c r="P108">
        <v>13.411681988752663</v>
      </c>
      <c r="R108">
        <v>22.189846810106808</v>
      </c>
      <c r="S108">
        <v>58.513915000015139</v>
      </c>
      <c r="U108">
        <v>3.4100280591157683</v>
      </c>
      <c r="V108">
        <v>48.301096793206298</v>
      </c>
      <c r="W108">
        <v>30.329673497800645</v>
      </c>
      <c r="X108">
        <v>43.127817873238989</v>
      </c>
      <c r="Y108">
        <v>10.220462338577374</v>
      </c>
      <c r="Z108">
        <v>36.703191031846529</v>
      </c>
      <c r="AA108">
        <v>8.2264040509938052</v>
      </c>
      <c r="AB108">
        <v>41.450642474733591</v>
      </c>
      <c r="AC108">
        <v>9.0824957624747267E-4</v>
      </c>
      <c r="AD108">
        <v>11.018359859675218</v>
      </c>
      <c r="AE108">
        <v>16.33117991868907</v>
      </c>
      <c r="AF108">
        <v>14.96004953215083</v>
      </c>
      <c r="AG108">
        <v>27.34118253531356</v>
      </c>
      <c r="AH108">
        <v>8.6509941616972608</v>
      </c>
      <c r="AI108">
        <v>1.9202422203135419</v>
      </c>
      <c r="AK108">
        <v>55.635895157710713</v>
      </c>
    </row>
    <row r="109" spans="1:37" x14ac:dyDescent="0.2">
      <c r="A109">
        <v>108</v>
      </c>
      <c r="B109">
        <v>778</v>
      </c>
      <c r="C109">
        <v>125</v>
      </c>
      <c r="D109">
        <v>0.47494696285021398</v>
      </c>
      <c r="E109">
        <v>116.1371930794807</v>
      </c>
      <c r="F109">
        <v>67.299745962839751</v>
      </c>
      <c r="G109">
        <v>73.341591128120342</v>
      </c>
      <c r="H109">
        <v>68.789509783288139</v>
      </c>
      <c r="J109">
        <v>68.799792580086944</v>
      </c>
      <c r="L109">
        <v>8.6282914700845872</v>
      </c>
      <c r="M109">
        <v>15.371570348492234</v>
      </c>
      <c r="N109">
        <v>1.9855277633398227</v>
      </c>
      <c r="O109">
        <v>40.423970434891871</v>
      </c>
      <c r="P109">
        <v>13.056322817550045</v>
      </c>
      <c r="R109">
        <v>21.77599720809101</v>
      </c>
      <c r="S109">
        <v>58.01849240889274</v>
      </c>
      <c r="U109">
        <v>3.4002367717040478</v>
      </c>
      <c r="V109">
        <v>48.302181618871195</v>
      </c>
      <c r="W109">
        <v>30.117141039552038</v>
      </c>
      <c r="X109">
        <v>43.145421263639193</v>
      </c>
      <c r="Y109">
        <v>9.8812146752260421</v>
      </c>
      <c r="Z109">
        <v>36.097434515994784</v>
      </c>
      <c r="AA109">
        <v>7.9144873452566822</v>
      </c>
      <c r="AB109">
        <v>41.295210567928684</v>
      </c>
      <c r="AD109">
        <v>10.661378240787997</v>
      </c>
      <c r="AE109">
        <v>16.097704410429927</v>
      </c>
      <c r="AF109">
        <v>14.981867984783348</v>
      </c>
      <c r="AG109">
        <v>27.169787707931388</v>
      </c>
      <c r="AH109">
        <v>8.1593804191232344</v>
      </c>
      <c r="AI109">
        <v>1.9208386136480995</v>
      </c>
      <c r="AK109">
        <v>55.444675797705614</v>
      </c>
    </row>
    <row r="110" spans="1:37" x14ac:dyDescent="0.2">
      <c r="A110">
        <v>109</v>
      </c>
      <c r="B110">
        <v>777</v>
      </c>
      <c r="C110">
        <v>125</v>
      </c>
      <c r="D110">
        <v>0.47438032662001101</v>
      </c>
      <c r="E110">
        <v>115.90139677870964</v>
      </c>
      <c r="F110">
        <v>66.077104768980234</v>
      </c>
      <c r="G110">
        <v>73.130664385023437</v>
      </c>
      <c r="H110">
        <v>68.575858507600529</v>
      </c>
      <c r="J110">
        <v>68.442911264610416</v>
      </c>
      <c r="L110">
        <v>8.2834063666479558</v>
      </c>
      <c r="M110">
        <v>15.398629701703197</v>
      </c>
      <c r="N110">
        <v>1.987508488671166</v>
      </c>
      <c r="O110">
        <v>39.049723389734162</v>
      </c>
      <c r="P110">
        <v>12.657723851007901</v>
      </c>
      <c r="R110">
        <v>21.298894147581674</v>
      </c>
      <c r="S110">
        <v>57.390828646422641</v>
      </c>
      <c r="U110">
        <v>3.3960129009305859</v>
      </c>
      <c r="V110">
        <v>48.278481052553779</v>
      </c>
      <c r="W110">
        <v>29.900623234540568</v>
      </c>
      <c r="X110">
        <v>43.178564067334847</v>
      </c>
      <c r="Y110">
        <v>9.4986322069126494</v>
      </c>
      <c r="Z110">
        <v>35.409076349355253</v>
      </c>
      <c r="AA110">
        <v>7.5619658226577009</v>
      </c>
      <c r="AB110">
        <v>41.078385878833544</v>
      </c>
      <c r="AD110">
        <v>10.254356488127787</v>
      </c>
      <c r="AE110">
        <v>15.831891617834335</v>
      </c>
      <c r="AF110">
        <v>15.00778952932472</v>
      </c>
      <c r="AG110">
        <v>26.938124302867593</v>
      </c>
      <c r="AH110">
        <v>7.6019577552146025</v>
      </c>
      <c r="AI110">
        <v>1.9225560255765555</v>
      </c>
      <c r="AK110">
        <v>55.216557886684384</v>
      </c>
    </row>
    <row r="111" spans="1:37" x14ac:dyDescent="0.2">
      <c r="A111">
        <v>110</v>
      </c>
      <c r="B111">
        <v>776</v>
      </c>
      <c r="C111">
        <v>125</v>
      </c>
      <c r="D111">
        <v>0.47381261020826598</v>
      </c>
      <c r="E111">
        <v>115.64392926127653</v>
      </c>
      <c r="F111">
        <v>64.673760133785379</v>
      </c>
      <c r="G111">
        <v>72.890649239357259</v>
      </c>
      <c r="H111">
        <v>68.333131446129343</v>
      </c>
      <c r="J111">
        <v>67.978575408607114</v>
      </c>
      <c r="L111">
        <v>7.8815021352358015</v>
      </c>
      <c r="M111">
        <v>15.428406411603898</v>
      </c>
      <c r="N111">
        <v>1.9894871170887545</v>
      </c>
      <c r="O111">
        <v>37.477512497829231</v>
      </c>
      <c r="P111">
        <v>12.200953248629164</v>
      </c>
      <c r="R111">
        <v>20.730509653717636</v>
      </c>
      <c r="S111">
        <v>56.556430561641704</v>
      </c>
      <c r="U111">
        <v>3.4003958433851014</v>
      </c>
      <c r="V111">
        <v>48.212990095985298</v>
      </c>
      <c r="W111">
        <v>29.687815135710515</v>
      </c>
      <c r="X111">
        <v>43.237082129061072</v>
      </c>
      <c r="Y111">
        <v>9.0579213779717946</v>
      </c>
      <c r="Z111">
        <v>34.600197387149777</v>
      </c>
      <c r="AA111">
        <v>7.1535671176418258</v>
      </c>
      <c r="AB111">
        <v>40.759227753389695</v>
      </c>
      <c r="AD111">
        <v>9.7761603074099916</v>
      </c>
      <c r="AE111">
        <v>15.51598095327185</v>
      </c>
      <c r="AF111">
        <v>15.036426551622547</v>
      </c>
      <c r="AG111">
        <v>26.60412776554821</v>
      </c>
      <c r="AH111">
        <v>6.9569994014189582</v>
      </c>
      <c r="AI111">
        <v>1.9242705482195652</v>
      </c>
      <c r="AK111">
        <v>54.934178756519294</v>
      </c>
    </row>
    <row r="112" spans="1:37" x14ac:dyDescent="0.2">
      <c r="A112">
        <v>111</v>
      </c>
      <c r="B112">
        <v>775</v>
      </c>
      <c r="C112">
        <v>125</v>
      </c>
      <c r="D112">
        <v>0.473243810523307</v>
      </c>
      <c r="E112">
        <v>115.13138292187188</v>
      </c>
      <c r="F112">
        <v>61.311062929286564</v>
      </c>
      <c r="G112">
        <v>72.363936333481746</v>
      </c>
      <c r="H112">
        <v>67.803719261247721</v>
      </c>
      <c r="J112">
        <v>66.501554716268558</v>
      </c>
      <c r="L112">
        <v>6.9215335851024431</v>
      </c>
      <c r="M112">
        <v>15.431055756167847</v>
      </c>
      <c r="N112">
        <v>1.9914521247167143</v>
      </c>
      <c r="O112">
        <v>33.904248485234902</v>
      </c>
      <c r="P112">
        <v>11.170780792714417</v>
      </c>
      <c r="R112">
        <v>19.287477037552048</v>
      </c>
      <c r="S112">
        <v>54.09237098564477</v>
      </c>
      <c r="U112">
        <v>3.4229790774878581</v>
      </c>
      <c r="V112">
        <v>47.896138082812087</v>
      </c>
      <c r="W112">
        <v>29.489415610234186</v>
      </c>
      <c r="X112">
        <v>43.345983375404508</v>
      </c>
      <c r="Y112">
        <v>8.0398757732580179</v>
      </c>
      <c r="Z112">
        <v>32.450026307480286</v>
      </c>
      <c r="AA112">
        <v>6.1868377945973627</v>
      </c>
      <c r="AB112">
        <v>39.613012941151226</v>
      </c>
      <c r="AD112">
        <v>8.5289242866719199</v>
      </c>
      <c r="AE112">
        <v>14.610989590883372</v>
      </c>
      <c r="AF112">
        <v>15.037922811126078</v>
      </c>
      <c r="AG112">
        <v>25.443063327204001</v>
      </c>
      <c r="AH112">
        <v>5.4379709375863756</v>
      </c>
      <c r="AI112">
        <v>1.9259706558713225</v>
      </c>
      <c r="AK112">
        <v>54.055968916174102</v>
      </c>
    </row>
    <row r="113" spans="1:37" x14ac:dyDescent="0.2">
      <c r="A113">
        <v>112</v>
      </c>
      <c r="B113">
        <v>774</v>
      </c>
      <c r="C113">
        <v>125</v>
      </c>
      <c r="D113">
        <v>0.47267392446163797</v>
      </c>
      <c r="E113">
        <v>114.31006036078654</v>
      </c>
      <c r="F113">
        <v>55.58027815674216</v>
      </c>
      <c r="G113">
        <v>71.499584533656687</v>
      </c>
      <c r="H113">
        <v>66.936680839267297</v>
      </c>
      <c r="J113">
        <v>63.851715421728933</v>
      </c>
      <c r="L113">
        <v>5.299766613677515</v>
      </c>
      <c r="M113">
        <v>15.378195906812199</v>
      </c>
      <c r="N113">
        <v>1.9934010329410619</v>
      </c>
      <c r="O113">
        <v>27.953411548458497</v>
      </c>
      <c r="P113">
        <v>9.4653217586857785</v>
      </c>
      <c r="R113">
        <v>16.818805248703324</v>
      </c>
      <c r="S113">
        <v>49.917436047077032</v>
      </c>
      <c r="U113">
        <v>3.4473601467775592</v>
      </c>
      <c r="V113">
        <v>47.3564632253903</v>
      </c>
      <c r="W113">
        <v>29.312305614860545</v>
      </c>
      <c r="X113">
        <v>43.455998674330708</v>
      </c>
      <c r="Y113">
        <v>6.3388927964311446</v>
      </c>
      <c r="Z113">
        <v>28.629417329200681</v>
      </c>
      <c r="AA113">
        <v>4.5559784783182842</v>
      </c>
      <c r="AB113">
        <v>37.580087296823336</v>
      </c>
      <c r="AD113">
        <v>6.3187760318968289</v>
      </c>
      <c r="AE113">
        <v>12.968405660521126</v>
      </c>
      <c r="AF113">
        <v>14.98389400600127</v>
      </c>
      <c r="AG113">
        <v>23.395274369495489</v>
      </c>
      <c r="AH113">
        <v>2.8647230467619846</v>
      </c>
      <c r="AI113">
        <v>1.9276538680872133</v>
      </c>
      <c r="AK113">
        <v>52.445554162697022</v>
      </c>
    </row>
    <row r="114" spans="1:37" x14ac:dyDescent="0.2">
      <c r="A114">
        <v>113</v>
      </c>
      <c r="B114">
        <v>773</v>
      </c>
      <c r="C114">
        <v>125</v>
      </c>
      <c r="D114">
        <v>0.472102948907902</v>
      </c>
      <c r="E114">
        <v>113.58368890025842</v>
      </c>
      <c r="F114">
        <v>50.533608918810437</v>
      </c>
      <c r="G114">
        <v>70.738431511762201</v>
      </c>
      <c r="H114">
        <v>66.172853872157745</v>
      </c>
      <c r="J114">
        <v>61.554116521020624</v>
      </c>
      <c r="L114">
        <v>3.8722987092224357</v>
      </c>
      <c r="M114">
        <v>15.318240053674776</v>
      </c>
      <c r="N114">
        <v>1.9953546875213408</v>
      </c>
      <c r="O114">
        <v>22.712188160084018</v>
      </c>
      <c r="P114">
        <v>7.9662723576351651</v>
      </c>
      <c r="R114">
        <v>14.650034390861036</v>
      </c>
      <c r="S114">
        <v>46.381189732903479</v>
      </c>
      <c r="U114">
        <v>3.4600930992947969</v>
      </c>
      <c r="V114">
        <v>46.92670440130091</v>
      </c>
      <c r="W114">
        <v>29.138266032831211</v>
      </c>
      <c r="X114">
        <v>43.532702181501001</v>
      </c>
      <c r="Y114">
        <v>4.8434281865777677</v>
      </c>
      <c r="Z114">
        <v>25.226805571912703</v>
      </c>
      <c r="AA114">
        <v>3.1206111950646882</v>
      </c>
      <c r="AB114">
        <v>35.857226103629515</v>
      </c>
      <c r="AD114">
        <v>4.3408430034801189</v>
      </c>
      <c r="AE114">
        <v>11.510422883836206</v>
      </c>
      <c r="AF114">
        <v>14.922774177519575</v>
      </c>
      <c r="AG114">
        <v>21.65755702699515</v>
      </c>
      <c r="AH114">
        <v>0.58287468488156235</v>
      </c>
      <c r="AI114">
        <v>1.9293410287955679</v>
      </c>
      <c r="AK114">
        <v>51.028106413758444</v>
      </c>
    </row>
    <row r="115" spans="1:37" x14ac:dyDescent="0.2">
      <c r="A115">
        <v>114</v>
      </c>
      <c r="B115">
        <v>772</v>
      </c>
      <c r="C115">
        <v>125</v>
      </c>
      <c r="D115">
        <v>0.47153088073482102</v>
      </c>
      <c r="E115">
        <v>113.93172155661337</v>
      </c>
      <c r="F115">
        <v>50.3465419024757</v>
      </c>
      <c r="G115">
        <v>70.953501479500204</v>
      </c>
      <c r="H115">
        <v>66.385262591748273</v>
      </c>
      <c r="J115">
        <v>54.061750721460328</v>
      </c>
      <c r="L115">
        <v>2.5507807637849984</v>
      </c>
      <c r="M115">
        <v>15.152428159698248</v>
      </c>
      <c r="N115">
        <v>1.9973632021180672</v>
      </c>
      <c r="O115">
        <v>15.113046713916741</v>
      </c>
      <c r="P115">
        <v>8.4197311482613078</v>
      </c>
      <c r="R115">
        <v>13.17528148751401</v>
      </c>
      <c r="S115">
        <v>41.559529247426582</v>
      </c>
      <c r="U115">
        <v>3.5172343152968657</v>
      </c>
      <c r="V115">
        <v>46.508154360786079</v>
      </c>
      <c r="W115">
        <v>28.82552019254554</v>
      </c>
      <c r="X115">
        <v>43.737430743227875</v>
      </c>
      <c r="Y115">
        <v>4.0659581030648653</v>
      </c>
      <c r="Z115">
        <v>22.649342996404421</v>
      </c>
      <c r="AA115">
        <v>1.5140341156002615</v>
      </c>
      <c r="AB115">
        <v>33.690959873868451</v>
      </c>
      <c r="AD115">
        <v>3.0147353357094109</v>
      </c>
      <c r="AE115">
        <v>9.8344490232669113</v>
      </c>
      <c r="AF115">
        <v>14.755853407674206</v>
      </c>
      <c r="AG115">
        <v>19.4764919312627</v>
      </c>
      <c r="AI115">
        <v>1.9310822498252234</v>
      </c>
      <c r="AK115">
        <v>46.222563242174786</v>
      </c>
    </row>
    <row r="116" spans="1:37" x14ac:dyDescent="0.2">
      <c r="A116">
        <v>115</v>
      </c>
      <c r="B116">
        <v>771</v>
      </c>
      <c r="C116">
        <v>125</v>
      </c>
      <c r="D116">
        <v>0.47095771680314102</v>
      </c>
      <c r="E116">
        <v>114.14078497283256</v>
      </c>
      <c r="F116">
        <v>50.214479350595674</v>
      </c>
      <c r="G116">
        <v>71.052665283081822</v>
      </c>
      <c r="H116">
        <v>66.481777864417296</v>
      </c>
      <c r="J116">
        <v>49.021379938570639</v>
      </c>
      <c r="L116">
        <v>1.3358983372738402</v>
      </c>
      <c r="M116">
        <v>14.94206303836881</v>
      </c>
      <c r="N116">
        <v>1.9993693651383311</v>
      </c>
      <c r="O116">
        <v>9.0435905913775496</v>
      </c>
      <c r="P116">
        <v>8.641382633086959</v>
      </c>
      <c r="R116">
        <v>11.801546205728931</v>
      </c>
      <c r="S116">
        <v>37.926593476211323</v>
      </c>
      <c r="U116">
        <v>3.5297770731864149</v>
      </c>
      <c r="V116">
        <v>46.409125626153859</v>
      </c>
      <c r="W116">
        <v>28.502900361961327</v>
      </c>
      <c r="X116">
        <v>43.813907747594023</v>
      </c>
      <c r="Y116">
        <v>3.1710841577865274</v>
      </c>
      <c r="Z116">
        <v>21.028164039252836</v>
      </c>
      <c r="AA116">
        <v>0.14502301534191792</v>
      </c>
      <c r="AB116">
        <v>32.616743526186632</v>
      </c>
      <c r="AD116">
        <v>2.0938748230276332</v>
      </c>
      <c r="AE116">
        <v>8.8391348906887064</v>
      </c>
      <c r="AF116">
        <v>14.544377303756042</v>
      </c>
      <c r="AG116">
        <v>18.387476794975385</v>
      </c>
      <c r="AI116">
        <v>1.9328203177506602</v>
      </c>
      <c r="AK116">
        <v>42.914517015365995</v>
      </c>
    </row>
    <row r="117" spans="1:37" x14ac:dyDescent="0.2">
      <c r="A117">
        <v>116</v>
      </c>
      <c r="B117">
        <v>770</v>
      </c>
      <c r="C117">
        <v>125</v>
      </c>
      <c r="D117">
        <v>0.47038345396155901</v>
      </c>
      <c r="E117">
        <v>114.44278105532381</v>
      </c>
      <c r="F117">
        <v>49.928946003741061</v>
      </c>
      <c r="G117">
        <v>71.167230004000132</v>
      </c>
      <c r="H117">
        <v>66.593706791862502</v>
      </c>
      <c r="J117">
        <v>43.204544717766026</v>
      </c>
      <c r="L117">
        <v>1.4809817005471486</v>
      </c>
      <c r="M117">
        <v>14.560325281870416</v>
      </c>
      <c r="N117">
        <v>2.0013772948630835</v>
      </c>
      <c r="O117">
        <v>9.3780541954653707</v>
      </c>
      <c r="P117">
        <v>8.8938451151291069</v>
      </c>
      <c r="R117">
        <v>11.709061919250519</v>
      </c>
      <c r="S117">
        <v>38.105610370155141</v>
      </c>
      <c r="U117">
        <v>3.5342301976861288</v>
      </c>
      <c r="V117">
        <v>46.799395264411366</v>
      </c>
      <c r="W117">
        <v>28.01527316216827</v>
      </c>
      <c r="X117">
        <v>43.867333400213248</v>
      </c>
      <c r="Y117">
        <v>3.1337874979132736</v>
      </c>
      <c r="Z117">
        <v>18.732640337733429</v>
      </c>
      <c r="AB117">
        <v>31.393983190171724</v>
      </c>
      <c r="AD117">
        <v>0.95504399480087765</v>
      </c>
      <c r="AE117">
        <v>7.4582719031405951</v>
      </c>
      <c r="AF117">
        <v>14.161530581641903</v>
      </c>
      <c r="AG117">
        <v>17.149921871643553</v>
      </c>
      <c r="AI117">
        <v>1.9345593490206852</v>
      </c>
      <c r="AK117">
        <v>39.009788541901983</v>
      </c>
    </row>
    <row r="118" spans="1:37" x14ac:dyDescent="0.2">
      <c r="A118">
        <v>117</v>
      </c>
      <c r="B118">
        <v>769</v>
      </c>
      <c r="C118">
        <v>125</v>
      </c>
      <c r="D118">
        <v>0.46980808904668597</v>
      </c>
      <c r="E118">
        <v>114.67343796410927</v>
      </c>
      <c r="F118">
        <v>49.986013406106444</v>
      </c>
      <c r="G118">
        <v>71.229124199594267</v>
      </c>
      <c r="H118">
        <v>66.652977951667168</v>
      </c>
      <c r="J118">
        <v>39.479078793469412</v>
      </c>
      <c r="L118">
        <v>1.4984815003347467</v>
      </c>
      <c r="M118">
        <v>14.183882212219855</v>
      </c>
      <c r="N118">
        <v>2.003382356515357</v>
      </c>
      <c r="O118">
        <v>9.2151504127314023</v>
      </c>
      <c r="P118">
        <v>9.0409710961042205</v>
      </c>
      <c r="R118">
        <v>11.465488220025907</v>
      </c>
      <c r="S118">
        <v>38.205840059782027</v>
      </c>
      <c r="U118">
        <v>3.5228507605881223</v>
      </c>
      <c r="V118">
        <v>47.240466369421732</v>
      </c>
      <c r="W118">
        <v>27.544412931530381</v>
      </c>
      <c r="X118">
        <v>43.875416821286876</v>
      </c>
      <c r="Y118">
        <v>2.9857894107291143</v>
      </c>
      <c r="Z118">
        <v>17.501253087015222</v>
      </c>
      <c r="AB118">
        <v>30.922856294123527</v>
      </c>
      <c r="AD118">
        <v>0.3043685961345558</v>
      </c>
      <c r="AE118">
        <v>6.7206988525379074</v>
      </c>
      <c r="AF118">
        <v>13.783975933998548</v>
      </c>
      <c r="AG118">
        <v>16.663999960445839</v>
      </c>
      <c r="AI118">
        <v>1.9362947070246728</v>
      </c>
      <c r="AK118">
        <v>36.463155698936561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CC9F1-FA99-4564-A27A-534095E9044C}">
  <sheetPr codeName="Sheet15"/>
  <dimension ref="A1:H20"/>
  <sheetViews>
    <sheetView workbookViewId="0"/>
  </sheetViews>
  <sheetFormatPr defaultRowHeight="15" x14ac:dyDescent="0.2"/>
  <cols>
    <col min="1" max="1" width="6.5546875" bestFit="1" customWidth="1"/>
    <col min="2" max="2" width="18.21875" bestFit="1" customWidth="1"/>
    <col min="4" max="4" width="11.21875" bestFit="1" customWidth="1"/>
    <col min="5" max="5" width="4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825.00000000000011</v>
      </c>
      <c r="G1" t="s">
        <v>30</v>
      </c>
      <c r="H1" t="s">
        <v>32</v>
      </c>
    </row>
    <row r="2" spans="1:8" x14ac:dyDescent="0.2">
      <c r="A2" t="s">
        <v>2</v>
      </c>
      <c r="B2">
        <v>76.36</v>
      </c>
      <c r="D2" t="s">
        <v>22</v>
      </c>
      <c r="E2">
        <v>675</v>
      </c>
      <c r="G2" t="s">
        <v>31</v>
      </c>
      <c r="H2" t="s">
        <v>33</v>
      </c>
    </row>
    <row r="3" spans="1:8" x14ac:dyDescent="0.2">
      <c r="A3" t="s">
        <v>3</v>
      </c>
      <c r="B3">
        <v>6.9000000000000006E-2</v>
      </c>
      <c r="D3" t="s">
        <v>23</v>
      </c>
      <c r="E3">
        <v>1</v>
      </c>
    </row>
    <row r="4" spans="1:8" x14ac:dyDescent="0.2">
      <c r="A4" t="s">
        <v>4</v>
      </c>
      <c r="B4">
        <v>12.65</v>
      </c>
    </row>
    <row r="5" spans="1:8" x14ac:dyDescent="0.2">
      <c r="A5" t="s">
        <v>5</v>
      </c>
      <c r="D5" t="s">
        <v>24</v>
      </c>
      <c r="E5">
        <v>275</v>
      </c>
    </row>
    <row r="6" spans="1:8" x14ac:dyDescent="0.2">
      <c r="A6" t="s">
        <v>6</v>
      </c>
      <c r="D6" t="s">
        <v>25</v>
      </c>
      <c r="E6">
        <v>125</v>
      </c>
    </row>
    <row r="7" spans="1:8" x14ac:dyDescent="0.2">
      <c r="A7" t="s">
        <v>7</v>
      </c>
      <c r="B7">
        <v>0.52</v>
      </c>
      <c r="D7" t="s">
        <v>26</v>
      </c>
      <c r="E7">
        <v>25</v>
      </c>
    </row>
    <row r="8" spans="1:8" x14ac:dyDescent="0.2">
      <c r="A8" t="s">
        <v>8</v>
      </c>
      <c r="B8">
        <v>2.4E-2</v>
      </c>
    </row>
    <row r="9" spans="1:8" x14ac:dyDescent="0.2">
      <c r="A9" t="s">
        <v>9</v>
      </c>
      <c r="B9">
        <v>0.05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0.54</v>
      </c>
    </row>
    <row r="13" spans="1:8" x14ac:dyDescent="0.2">
      <c r="A13" t="s">
        <v>13</v>
      </c>
      <c r="B13">
        <v>3.97</v>
      </c>
    </row>
    <row r="14" spans="1:8" x14ac:dyDescent="0.2">
      <c r="A14" t="s">
        <v>14</v>
      </c>
      <c r="B14">
        <v>4.6100000000000003</v>
      </c>
    </row>
    <row r="15" spans="1:8" x14ac:dyDescent="0.2">
      <c r="A15" t="s">
        <v>15</v>
      </c>
      <c r="B15">
        <v>6.0000000000000001E-3</v>
      </c>
    </row>
    <row r="16" spans="1:8" x14ac:dyDescent="0.2">
      <c r="A16" t="s">
        <v>16</v>
      </c>
      <c r="B16">
        <v>10.867229999999999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Charts</vt:lpstr>
      </vt:variant>
      <vt:variant>
        <vt:i4>1</vt:i4>
      </vt:variant>
    </vt:vector>
  </HeadingPairs>
  <TitlesOfParts>
    <vt:vector size="16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orthopyroxene</vt:lpstr>
      <vt:lpstr>feldspar1</vt:lpstr>
      <vt:lpstr>feldspar2</vt:lpstr>
      <vt:lpstr>feldspar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2025-06-12T03:22:15Z</dcterms:created>
  <dcterms:modified xsi:type="dcterms:W3CDTF">2025-06-12T03:23:19Z</dcterms:modified>
</cp:coreProperties>
</file>