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625A11F8-94C7-40C2-98F6-8C69F2DE0DB5}" xr6:coauthVersionLast="47" xr6:coauthVersionMax="47" xr10:uidLastSave="{00000000-0000-0000-0000-000000000000}"/>
  <bookViews>
    <workbookView xWindow="28680" yWindow="4920" windowWidth="29040" windowHeight="15720" activeTab="1" xr2:uid="{10982F56-0516-4E99-AABA-A72F207A7D00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B1" i="17"/>
  <c r="C2" i="13"/>
  <c r="G3" i="13"/>
  <c r="C5" i="13"/>
  <c r="G6" i="13"/>
  <c r="C8" i="13"/>
  <c r="G9" i="13"/>
  <c r="D8" i="13"/>
  <c r="H9" i="13"/>
  <c r="I9" i="13"/>
  <c r="F5" i="13"/>
  <c r="C4" i="13"/>
  <c r="G8" i="13"/>
  <c r="H8" i="13"/>
  <c r="E4" i="13"/>
  <c r="E10" i="13"/>
  <c r="J8" i="13"/>
  <c r="G7" i="13"/>
  <c r="D6" i="13"/>
  <c r="E9" i="13"/>
  <c r="F9" i="13"/>
  <c r="D2" i="13"/>
  <c r="H3" i="13"/>
  <c r="D5" i="13"/>
  <c r="H6" i="13"/>
  <c r="F8" i="13"/>
  <c r="G5" i="13"/>
  <c r="C10" i="13"/>
  <c r="D10" i="13"/>
  <c r="E7" i="13"/>
  <c r="J5" i="13"/>
  <c r="C6" i="13"/>
  <c r="C9" i="13"/>
  <c r="E6" i="13"/>
  <c r="J4" i="13"/>
  <c r="E2" i="13"/>
  <c r="I3" i="13"/>
  <c r="E5" i="13"/>
  <c r="I6" i="13"/>
  <c r="E8" i="13"/>
  <c r="J6" i="13"/>
  <c r="J9" i="13"/>
  <c r="C7" i="13"/>
  <c r="H5" i="13"/>
  <c r="I2" i="13"/>
  <c r="J2" i="13"/>
  <c r="F10" i="13"/>
  <c r="G10" i="13"/>
  <c r="H10" i="13"/>
  <c r="I10" i="13"/>
  <c r="J10" i="13"/>
  <c r="F2" i="13"/>
  <c r="I8" i="13"/>
  <c r="C3" i="13"/>
  <c r="I4" i="13"/>
  <c r="J7" i="13"/>
  <c r="G2" i="13"/>
  <c r="F4" i="13"/>
  <c r="H7" i="13"/>
  <c r="F3" i="13"/>
  <c r="H2" i="13"/>
  <c r="D4" i="13"/>
  <c r="D7" i="13"/>
  <c r="I5" i="13"/>
  <c r="F7" i="13"/>
  <c r="G4" i="13"/>
  <c r="H4" i="13"/>
  <c r="I7" i="13"/>
  <c r="F6" i="13"/>
  <c r="D3" i="13"/>
  <c r="D9" i="13"/>
  <c r="E3" i="13"/>
  <c r="B10" i="13"/>
  <c r="B9" i="13"/>
  <c r="B8" i="13"/>
  <c r="B7" i="13"/>
  <c r="B6" i="13"/>
  <c r="B5" i="13"/>
  <c r="B4" i="13"/>
  <c r="B3" i="13"/>
  <c r="B2" i="13"/>
  <c r="F3" i="17" l="1"/>
  <c r="I4" i="17"/>
  <c r="F4" i="17"/>
  <c r="D4" i="17"/>
  <c r="H4" i="17"/>
  <c r="J4" i="17"/>
  <c r="I2" i="17"/>
  <c r="C4" i="17"/>
  <c r="J3" i="17"/>
  <c r="E2" i="17"/>
  <c r="I3" i="17"/>
  <c r="E3" i="17"/>
  <c r="C3" i="17"/>
  <c r="E4" i="17"/>
  <c r="F2" i="17"/>
  <c r="H3" i="17"/>
  <c r="D3" i="17"/>
  <c r="G4" i="17"/>
  <c r="J2" i="17"/>
  <c r="H2" i="17"/>
  <c r="G2" i="17"/>
  <c r="D2" i="17"/>
  <c r="C2" i="17"/>
  <c r="G3" i="17"/>
  <c r="B4" i="17"/>
  <c r="B3" i="17"/>
  <c r="B2" i="17"/>
  <c r="J6" i="17" l="1"/>
  <c r="J7" i="17"/>
  <c r="E7" i="17"/>
  <c r="E6" i="17"/>
  <c r="D6" i="17"/>
  <c r="D7" i="17"/>
  <c r="G6" i="17"/>
  <c r="G7" i="17"/>
  <c r="F6" i="17"/>
  <c r="F7" i="17"/>
  <c r="C7" i="17"/>
  <c r="C6" i="17"/>
  <c r="H6" i="17"/>
  <c r="H7" i="17"/>
  <c r="I6" i="17"/>
  <c r="I7" i="17"/>
  <c r="B6" i="17"/>
  <c r="B7" i="17"/>
  <c r="L7" i="17" l="1"/>
  <c r="L6" i="17"/>
  <c r="M7" i="17"/>
  <c r="N7" i="17"/>
  <c r="N6" i="17"/>
  <c r="P7" i="17" a="1"/>
  <c r="P6" i="17" a="1"/>
  <c r="M6" i="17" l="1"/>
  <c r="P7" i="17"/>
  <c r="R7" i="17"/>
  <c r="Q7" i="17"/>
  <c r="R6" i="17"/>
  <c r="Q6" i="17"/>
  <c r="P6" i="17"/>
  <c r="C9" i="17" l="1"/>
  <c r="D9" i="17"/>
  <c r="E9" i="17"/>
  <c r="I9" i="17"/>
  <c r="J9" i="17"/>
  <c r="F9" i="17"/>
  <c r="G9" i="17"/>
  <c r="H9" i="17"/>
  <c r="G10" i="17"/>
  <c r="D10" i="17"/>
  <c r="H10" i="17"/>
  <c r="I10" i="17"/>
  <c r="J10" i="17"/>
  <c r="F10" i="17"/>
  <c r="C10" i="17"/>
  <c r="E10" i="17"/>
  <c r="B14" i="17"/>
  <c r="C14" i="17" s="1"/>
  <c r="B13" i="17"/>
  <c r="C13" i="17" s="1"/>
  <c r="B9" i="17"/>
  <c r="B10" i="17"/>
</calcChain>
</file>

<file path=xl/sharedStrings.xml><?xml version="1.0" encoding="utf-8"?>
<sst xmlns="http://schemas.openxmlformats.org/spreadsheetml/2006/main" count="658" uniqueCount="150">
  <si>
    <t xml:space="preserve"> </t>
  </si>
  <si>
    <t>061125-KCP109A-c6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</si>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</sst>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763</c:v>
                </c:pt>
                <c:pt idx="4">
                  <c:v>764</c:v>
                </c:pt>
                <c:pt idx="5">
                  <c:v>765</c:v>
                </c:pt>
                <c:pt idx="6">
                  <c:v>773</c:v>
                </c:pt>
                <c:pt idx="7">
                  <c:v>783</c:v>
                </c:pt>
                <c:pt idx="8">
                  <c:v>794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C2-4BEB-AA6C-0888CAABFE21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747</c:v>
                </c:pt>
                <c:pt idx="4">
                  <c:v>751</c:v>
                </c:pt>
                <c:pt idx="5">
                  <c:v>755</c:v>
                </c:pt>
                <c:pt idx="6">
                  <c:v>759</c:v>
                </c:pt>
                <c:pt idx="7">
                  <c:v>765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C2-4BEB-AA6C-0888CAABFE21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738</c:v>
                </c:pt>
                <c:pt idx="1">
                  <c:v>742</c:v>
                </c:pt>
                <c:pt idx="2">
                  <c:v>745</c:v>
                </c:pt>
                <c:pt idx="3">
                  <c:v>749</c:v>
                </c:pt>
                <c:pt idx="4">
                  <c:v>753</c:v>
                </c:pt>
                <c:pt idx="5">
                  <c:v>757</c:v>
                </c:pt>
                <c:pt idx="6">
                  <c:v>762</c:v>
                </c:pt>
                <c:pt idx="7">
                  <c:v>769</c:v>
                </c:pt>
                <c:pt idx="8">
                  <c:v>777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C2-4BEB-AA6C-0888CAABFE21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775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AC2-4BEB-AA6C-0888CAABFE21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740</c:v>
                </c:pt>
                <c:pt idx="1">
                  <c:v>743</c:v>
                </c:pt>
                <c:pt idx="2">
                  <c:v>748</c:v>
                </c:pt>
                <c:pt idx="3">
                  <c:v>753</c:v>
                </c:pt>
                <c:pt idx="4">
                  <c:v>758</c:v>
                </c:pt>
                <c:pt idx="5">
                  <c:v>764</c:v>
                </c:pt>
                <c:pt idx="6">
                  <c:v>772</c:v>
                </c:pt>
                <c:pt idx="7">
                  <c:v>782</c:v>
                </c:pt>
                <c:pt idx="8">
                  <c:v>793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AC2-4BEB-AA6C-0888CAABFE21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740</c:v>
                </c:pt>
                <c:pt idx="1">
                  <c:v>743</c:v>
                </c:pt>
                <c:pt idx="2">
                  <c:v>747</c:v>
                </c:pt>
                <c:pt idx="3">
                  <c:v>750</c:v>
                </c:pt>
                <c:pt idx="4">
                  <c:v>754</c:v>
                </c:pt>
                <c:pt idx="5">
                  <c:v>759</c:v>
                </c:pt>
                <c:pt idx="6">
                  <c:v>764</c:v>
                </c:pt>
                <c:pt idx="7">
                  <c:v>770</c:v>
                </c:pt>
                <c:pt idx="8">
                  <c:v>778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AC2-4BEB-AA6C-0888CAABFE21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763</c:v>
                </c:pt>
                <c:pt idx="5">
                  <c:v>764</c:v>
                </c:pt>
                <c:pt idx="6">
                  <c:v>769</c:v>
                </c:pt>
                <c:pt idx="7">
                  <c:v>776</c:v>
                </c:pt>
                <c:pt idx="8">
                  <c:v>785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AC2-4BEB-AA6C-0888CAABFE21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763</c:v>
                </c:pt>
                <c:pt idx="4">
                  <c:v>764</c:v>
                </c:pt>
                <c:pt idx="5">
                  <c:v>765</c:v>
                </c:pt>
                <c:pt idx="6">
                  <c:v>773</c:v>
                </c:pt>
                <c:pt idx="7">
                  <c:v>783</c:v>
                </c:pt>
                <c:pt idx="8">
                  <c:v>794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AC2-4BEB-AA6C-0888CAABF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15808"/>
        <c:axId val="129816288"/>
      </c:scatterChart>
      <c:valAx>
        <c:axId val="129815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29816288"/>
        <c:crosses val="autoZero"/>
        <c:crossBetween val="midCat"/>
      </c:valAx>
      <c:valAx>
        <c:axId val="129816288"/>
        <c:scaling>
          <c:orientation val="minMax"/>
          <c:max val="275"/>
          <c:min val="11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29815808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763</c:v>
                </c:pt>
                <c:pt idx="5">
                  <c:v>764</c:v>
                </c:pt>
                <c:pt idx="6">
                  <c:v>769</c:v>
                </c:pt>
                <c:pt idx="7">
                  <c:v>776</c:v>
                </c:pt>
                <c:pt idx="8">
                  <c:v>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79-41E1-8A2D-1418D27D1950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740</c:v>
                </c:pt>
                <c:pt idx="1">
                  <c:v>743</c:v>
                </c:pt>
                <c:pt idx="2">
                  <c:v>748</c:v>
                </c:pt>
                <c:pt idx="3">
                  <c:v>753</c:v>
                </c:pt>
                <c:pt idx="4">
                  <c:v>758</c:v>
                </c:pt>
                <c:pt idx="5">
                  <c:v>764</c:v>
                </c:pt>
                <c:pt idx="6">
                  <c:v>772</c:v>
                </c:pt>
                <c:pt idx="7">
                  <c:v>782</c:v>
                </c:pt>
                <c:pt idx="8">
                  <c:v>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79-41E1-8A2D-1418D27D1950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740</c:v>
                </c:pt>
                <c:pt idx="1">
                  <c:v>743</c:v>
                </c:pt>
                <c:pt idx="2">
                  <c:v>747</c:v>
                </c:pt>
                <c:pt idx="3">
                  <c:v>750</c:v>
                </c:pt>
                <c:pt idx="4">
                  <c:v>754</c:v>
                </c:pt>
                <c:pt idx="5">
                  <c:v>759</c:v>
                </c:pt>
                <c:pt idx="6">
                  <c:v>764</c:v>
                </c:pt>
                <c:pt idx="7">
                  <c:v>770</c:v>
                </c:pt>
                <c:pt idx="8">
                  <c:v>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79-41E1-8A2D-1418D27D1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825520"/>
        <c:axId val="1449827440"/>
      </c:scatterChart>
      <c:valAx>
        <c:axId val="14498255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49827440"/>
        <c:crosses val="autoZero"/>
        <c:crossBetween val="midCat"/>
      </c:valAx>
      <c:valAx>
        <c:axId val="144982744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4982552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763</c:v>
                </c:pt>
                <c:pt idx="5">
                  <c:v>764</c:v>
                </c:pt>
                <c:pt idx="6">
                  <c:v>769</c:v>
                </c:pt>
                <c:pt idx="7">
                  <c:v>776</c:v>
                </c:pt>
                <c:pt idx="8">
                  <c:v>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1D1-A0B8-4FE068A746F2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740</c:v>
                </c:pt>
                <c:pt idx="1">
                  <c:v>743</c:v>
                </c:pt>
                <c:pt idx="2">
                  <c:v>748</c:v>
                </c:pt>
                <c:pt idx="3">
                  <c:v>753</c:v>
                </c:pt>
                <c:pt idx="4">
                  <c:v>758</c:v>
                </c:pt>
                <c:pt idx="5">
                  <c:v>764</c:v>
                </c:pt>
                <c:pt idx="6">
                  <c:v>772</c:v>
                </c:pt>
                <c:pt idx="7">
                  <c:v>782</c:v>
                </c:pt>
                <c:pt idx="8">
                  <c:v>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1D1-A0B8-4FE068A74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1058016"/>
        <c:axId val="1211058976"/>
      </c:scatterChart>
      <c:valAx>
        <c:axId val="121105801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1058976"/>
        <c:crosses val="autoZero"/>
        <c:crossBetween val="midCat"/>
      </c:valAx>
      <c:valAx>
        <c:axId val="121105897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105801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22</c:v>
                </c:pt>
                <c:pt idx="1">
                  <c:v>19</c:v>
                </c:pt>
                <c:pt idx="2">
                  <c:v>15</c:v>
                </c:pt>
                <c:pt idx="3">
                  <c:v>12</c:v>
                </c:pt>
                <c:pt idx="4">
                  <c:v>9</c:v>
                </c:pt>
                <c:pt idx="5">
                  <c:v>5</c:v>
                </c:pt>
                <c:pt idx="6">
                  <c:v>8</c:v>
                </c:pt>
                <c:pt idx="7">
                  <c:v>12</c:v>
                </c:pt>
                <c:pt idx="8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F-46F8-AFBC-5D8495E8FD99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44.200000000000159</c:v>
                </c:pt>
                <c:pt idx="1">
                  <c:v>30.6000000000017</c:v>
                </c:pt>
                <c:pt idx="2">
                  <c:v>20.000000000003098</c:v>
                </c:pt>
                <c:pt idx="3">
                  <c:v>12.400000000004326</c:v>
                </c:pt>
                <c:pt idx="4">
                  <c:v>7.8000000000054115</c:v>
                </c:pt>
                <c:pt idx="5">
                  <c:v>6.2000000000063267</c:v>
                </c:pt>
                <c:pt idx="6">
                  <c:v>7.600000000007114</c:v>
                </c:pt>
                <c:pt idx="7">
                  <c:v>12.000000000007745</c:v>
                </c:pt>
                <c:pt idx="8">
                  <c:v>19.40000000000822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F-46F8-AFBC-5D8495E8FD99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174.33333333333903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6.1983333333396757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7F-46F8-AFBC-5D8495E8F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254464"/>
        <c:axId val="1998255904"/>
      </c:scatterChart>
      <c:valAx>
        <c:axId val="199825446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8255904"/>
        <c:crosses val="autoZero"/>
        <c:crossBetween val="midCat"/>
      </c:valAx>
      <c:valAx>
        <c:axId val="199825590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825446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22</c:v>
                </c:pt>
                <c:pt idx="1">
                  <c:v>19</c:v>
                </c:pt>
                <c:pt idx="2">
                  <c:v>14</c:v>
                </c:pt>
                <c:pt idx="3">
                  <c:v>9</c:v>
                </c:pt>
                <c:pt idx="4">
                  <c:v>5</c:v>
                </c:pt>
                <c:pt idx="5">
                  <c:v>0</c:v>
                </c:pt>
                <c:pt idx="6">
                  <c:v>3</c:v>
                </c:pt>
                <c:pt idx="7">
                  <c:v>6</c:v>
                </c:pt>
                <c:pt idx="8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4C-4E11-9CAD-8DCDF13A7DF1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44.742857142859521</c:v>
                </c:pt>
                <c:pt idx="1">
                  <c:v>29.800000000003536</c:v>
                </c:pt>
                <c:pt idx="2">
                  <c:v>18.000000000004519</c:v>
                </c:pt>
                <c:pt idx="3">
                  <c:v>9.3428571428624423</c:v>
                </c:pt>
                <c:pt idx="4">
                  <c:v>3.8285714285773054</c:v>
                </c:pt>
                <c:pt idx="5">
                  <c:v>1.4571428571491083</c:v>
                </c:pt>
                <c:pt idx="6">
                  <c:v>2.2285714285778369</c:v>
                </c:pt>
                <c:pt idx="7">
                  <c:v>6.142857142863491</c:v>
                </c:pt>
                <c:pt idx="8">
                  <c:v>13.200000000006099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4C-4E11-9CAD-8DCDF13A7DF1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169.90909090909224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1.3553246753309764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4C-4E11-9CAD-8DCDF13A7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4945424"/>
        <c:axId val="1994946384"/>
      </c:scatterChart>
      <c:valAx>
        <c:axId val="199494542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4946384"/>
        <c:crosses val="autoZero"/>
        <c:crossBetween val="midCat"/>
      </c:valAx>
      <c:valAx>
        <c:axId val="199494638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494542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642BA58-9917-4AA3-B4D7-48ADC6F9CCF8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58408D-BF16-7AFA-1FFD-D8089A0A4EF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ED995D-B50F-09CE-D48E-C45DEDE00A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DF7611-A52F-CDF6-7E6B-D76943F82B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2EF770D-6DF1-0E88-1B15-9305984ECA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71C534A-24FA-FC08-10CA-1D62C2A4CF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A8F54-F76F-404A-BAC4-ED9E35B5BA63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275</v>
      </c>
      <c r="C1">
        <f>Phase_Data!C1</f>
        <v>255</v>
      </c>
      <c r="D1">
        <f>Phase_Data!D1</f>
        <v>235</v>
      </c>
      <c r="E1">
        <f>Phase_Data!E1</f>
        <v>215</v>
      </c>
      <c r="F1">
        <f>Phase_Data!F1</f>
        <v>195</v>
      </c>
      <c r="G1">
        <f>Phase_Data!G1</f>
        <v>175</v>
      </c>
      <c r="H1">
        <f>Phase_Data!H1</f>
        <v>155</v>
      </c>
      <c r="I1">
        <f>Phase_Data!I1</f>
        <v>135</v>
      </c>
      <c r="J1">
        <f>Phase_Data!J1</f>
        <v>115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762</v>
      </c>
      <c r="C2">
        <f ca="1">IFERROR(VLOOKUP($A2,Phase_Data!$1:$1048576,COLUMN(),0),"-")</f>
        <v>762</v>
      </c>
      <c r="D2">
        <f ca="1">IFERROR(VLOOKUP($A2,Phase_Data!$1:$1048576,COLUMN(),0),"-")</f>
        <v>762</v>
      </c>
      <c r="E2">
        <f ca="1">IFERROR(VLOOKUP($A2,Phase_Data!$1:$1048576,COLUMN(),0),"-")</f>
        <v>762</v>
      </c>
      <c r="F2">
        <f ca="1">IFERROR(VLOOKUP($A2,Phase_Data!$1:$1048576,COLUMN(),0),"-")</f>
        <v>763</v>
      </c>
      <c r="G2">
        <f ca="1">IFERROR(VLOOKUP($A2,Phase_Data!$1:$1048576,COLUMN(),0),"-")</f>
        <v>764</v>
      </c>
      <c r="H2">
        <f ca="1">IFERROR(VLOOKUP($A2,Phase_Data!$1:$1048576,COLUMN(),0),"-")</f>
        <v>769</v>
      </c>
      <c r="I2">
        <f ca="1">IFERROR(VLOOKUP($A2,Phase_Data!$1:$1048576,COLUMN(),0),"-")</f>
        <v>776</v>
      </c>
      <c r="J2">
        <f ca="1">IFERROR(VLOOKUP($A2,Phase_Data!$1:$1048576,COLUMN(),0),"-")</f>
        <v>785</v>
      </c>
    </row>
    <row r="3" spans="1:18" x14ac:dyDescent="0.2">
      <c r="A3" t="s">
        <v>133</v>
      </c>
      <c r="B3">
        <f ca="1">IFERROR(VLOOKUP($A3,Phase_Data!$1:$1048576,COLUMN(),0),"-")</f>
        <v>740</v>
      </c>
      <c r="C3">
        <f ca="1">IFERROR(VLOOKUP($A3,Phase_Data!$1:$1048576,COLUMN(),0),"-")</f>
        <v>743</v>
      </c>
      <c r="D3">
        <f ca="1">IFERROR(VLOOKUP($A3,Phase_Data!$1:$1048576,COLUMN(),0),"-")</f>
        <v>748</v>
      </c>
      <c r="E3">
        <f ca="1">IFERROR(VLOOKUP($A3,Phase_Data!$1:$1048576,COLUMN(),0),"-")</f>
        <v>753</v>
      </c>
      <c r="F3">
        <f ca="1">IFERROR(VLOOKUP($A3,Phase_Data!$1:$1048576,COLUMN(),0),"-")</f>
        <v>758</v>
      </c>
      <c r="G3">
        <f ca="1">IFERROR(VLOOKUP($A3,Phase_Data!$1:$1048576,COLUMN(),0),"-")</f>
        <v>764</v>
      </c>
      <c r="H3">
        <f ca="1">IFERROR(VLOOKUP($A3,Phase_Data!$1:$1048576,COLUMN(),0),"-")</f>
        <v>772</v>
      </c>
      <c r="I3">
        <f ca="1">IFERROR(VLOOKUP($A3,Phase_Data!$1:$1048576,COLUMN(),0),"-")</f>
        <v>782</v>
      </c>
      <c r="J3">
        <f ca="1">IFERROR(VLOOKUP($A3,Phase_Data!$1:$1048576,COLUMN(),0),"-")</f>
        <v>793</v>
      </c>
    </row>
    <row r="4" spans="1:18" x14ac:dyDescent="0.2">
      <c r="A4" t="s">
        <v>134</v>
      </c>
      <c r="B4">
        <f ca="1">IFERROR(VLOOKUP($A4,Phase_Data!$1:$1048576,COLUMN(),0),"-")</f>
        <v>740</v>
      </c>
      <c r="C4">
        <f ca="1">IFERROR(VLOOKUP($A4,Phase_Data!$1:$1048576,COLUMN(),0),"-")</f>
        <v>743</v>
      </c>
      <c r="D4">
        <f ca="1">IFERROR(VLOOKUP($A4,Phase_Data!$1:$1048576,COLUMN(),0),"-")</f>
        <v>747</v>
      </c>
      <c r="E4">
        <f ca="1">IFERROR(VLOOKUP($A4,Phase_Data!$1:$1048576,COLUMN(),0),"-")</f>
        <v>750</v>
      </c>
      <c r="F4">
        <f ca="1">IFERROR(VLOOKUP($A4,Phase_Data!$1:$1048576,COLUMN(),0),"-")</f>
        <v>754</v>
      </c>
      <c r="G4">
        <f ca="1">IFERROR(VLOOKUP($A4,Phase_Data!$1:$1048576,COLUMN(),0),"-")</f>
        <v>759</v>
      </c>
      <c r="H4">
        <f ca="1">IFERROR(VLOOKUP($A4,Phase_Data!$1:$1048576,COLUMN(),0),"-")</f>
        <v>764</v>
      </c>
      <c r="I4">
        <f ca="1">IFERROR(VLOOKUP($A4,Phase_Data!$1:$1048576,COLUMN(),0),"-")</f>
        <v>770</v>
      </c>
      <c r="J4">
        <f ca="1">IFERROR(VLOOKUP($A4,Phase_Data!$1:$1048576,COLUMN(),0),"-")</f>
        <v>778</v>
      </c>
    </row>
    <row r="6" spans="1:18" x14ac:dyDescent="0.2">
      <c r="A6" t="s">
        <v>136</v>
      </c>
      <c r="B6">
        <f ca="1">IF(AND(B2&lt;&gt;0,B3&lt;&gt;0,B4&lt;&gt;0),MAX(B2:B4)-MIN(B2:B4),"-")</f>
        <v>22</v>
      </c>
      <c r="C6">
        <f t="shared" ref="C6:J6" ca="1" si="0">IF(AND(C2&lt;&gt;0,C3&lt;&gt;0,C4&lt;&gt;0),MAX(C2:C4)-MIN(C2:C4),"-")</f>
        <v>19</v>
      </c>
      <c r="D6">
        <f t="shared" ca="1" si="0"/>
        <v>15</v>
      </c>
      <c r="E6">
        <f t="shared" ca="1" si="0"/>
        <v>12</v>
      </c>
      <c r="F6">
        <f t="shared" ca="1" si="0"/>
        <v>9</v>
      </c>
      <c r="G6">
        <f t="shared" ca="1" si="0"/>
        <v>5</v>
      </c>
      <c r="H6">
        <f t="shared" ca="1" si="0"/>
        <v>8</v>
      </c>
      <c r="I6">
        <f t="shared" ca="1" si="0"/>
        <v>12</v>
      </c>
      <c r="J6">
        <f t="shared" ca="1" si="0"/>
        <v>15</v>
      </c>
      <c r="L6">
        <f ca="1">MIN(B6:J6)</f>
        <v>5</v>
      </c>
      <c r="M6">
        <f ca="1">IF(L6&lt;=5,INDEX(B$1:J$1,1,MATCH(L6,B6:J6,0)),"-")</f>
        <v>175</v>
      </c>
      <c r="N6">
        <f ca="1">IF(L6&lt;=5,MATCH(L6,B6:J6,0),"-")</f>
        <v>6</v>
      </c>
      <c r="P6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120.168750000008</v>
      </c>
      <c r="Q6">
        <f ca="1"/>
        <v>-1.3074999999999761</v>
      </c>
      <c r="R6">
        <f ca="1"/>
        <v>3.749999999999809E-3</v>
      </c>
    </row>
    <row r="7" spans="1:18" x14ac:dyDescent="0.2">
      <c r="A7" t="s">
        <v>137</v>
      </c>
      <c r="B7">
        <f ca="1">IF(AND(MAX(B2:B4)&lt;&gt;0,LARGE(B2:B4,2)&lt;&gt;0),MAX(B2:B4)-LARGE(B2:B4,2),"-")</f>
        <v>22</v>
      </c>
      <c r="C7">
        <f t="shared" ref="C7:J7" ca="1" si="1">IF(AND(MAX(C2:C4)&lt;&gt;0,LARGE(C2:C4,2)&lt;&gt;0),MAX(C2:C4)-LARGE(C2:C4,2),"-")</f>
        <v>19</v>
      </c>
      <c r="D7">
        <f t="shared" ca="1" si="1"/>
        <v>14</v>
      </c>
      <c r="E7">
        <f t="shared" ca="1" si="1"/>
        <v>9</v>
      </c>
      <c r="F7">
        <f t="shared" ca="1" si="1"/>
        <v>5</v>
      </c>
      <c r="G7">
        <f t="shared" ca="1" si="1"/>
        <v>0</v>
      </c>
      <c r="H7">
        <f t="shared" ca="1" si="1"/>
        <v>3</v>
      </c>
      <c r="I7">
        <f t="shared" ca="1" si="1"/>
        <v>6</v>
      </c>
      <c r="J7">
        <f t="shared" ca="1" si="1"/>
        <v>8</v>
      </c>
      <c r="L7">
        <f ca="1">MIN(B7:J7)</f>
        <v>0</v>
      </c>
      <c r="M7">
        <f ca="1">IF(L7&lt;=5,INDEX(B$1:J$1,1,MATCH(L7,B7:J7,0)),"-")</f>
        <v>175</v>
      </c>
      <c r="N7">
        <f ca="1">IF(L7&lt;=5,MATCH(L7,B7:J7,0),"-")</f>
        <v>6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114.76964285714348</v>
      </c>
      <c r="Q7">
        <f ca="1"/>
        <v>-1.3349999999999227</v>
      </c>
      <c r="R7">
        <f ca="1"/>
        <v>3.9285714285711704E-3</v>
      </c>
    </row>
    <row r="9" spans="1:18" x14ac:dyDescent="0.2">
      <c r="A9" t="s">
        <v>138</v>
      </c>
      <c r="B9">
        <f ca="1">IFERROR(IF($R6&gt;0,$R6*B$1^2+$Q6*B$1+$P6,"-"),"-")</f>
        <v>44.200000000000159</v>
      </c>
      <c r="C9">
        <f ca="1">IFERROR(IF($R6&gt;0,$R6*C$1^2+$Q6*C$1+$P6,"-"),"-")</f>
        <v>30.6000000000017</v>
      </c>
      <c r="D9">
        <f ca="1">IFERROR(IF($R6&gt;0,$R6*D$1^2+$Q6*D$1+$P6,"-"),"-")</f>
        <v>20.000000000003098</v>
      </c>
      <c r="E9">
        <f ca="1">IFERROR(IF($R6&gt;0,$R6*E$1^2+$Q6*E$1+$P6,"-"),"-")</f>
        <v>12.400000000004326</v>
      </c>
      <c r="F9">
        <f ca="1">IFERROR(IF($R6&gt;0,$R6*F$1^2+$Q6*F$1+$P6,"-"),"-")</f>
        <v>7.8000000000054115</v>
      </c>
      <c r="G9">
        <f ca="1">IFERROR(IF($R6&gt;0,$R6*G$1^2+$Q6*G$1+$P6,"-"),"-")</f>
        <v>6.2000000000063267</v>
      </c>
      <c r="H9">
        <f ca="1">IFERROR(IF($R6&gt;0,$R6*H$1^2+$Q6*H$1+$P6,"-"),"-")</f>
        <v>7.600000000007114</v>
      </c>
      <c r="I9">
        <f ca="1">IFERROR(IF($R6&gt;0,$R6*I$1^2+$Q6*I$1+$P6,"-"),"-")</f>
        <v>12.000000000007745</v>
      </c>
      <c r="J9">
        <f ca="1">IFERROR(IF($R6&gt;0,$R6*J$1^2+$Q6*J$1+$P6,"-"),"-")</f>
        <v>19.40000000000822</v>
      </c>
    </row>
    <row r="10" spans="1:18" x14ac:dyDescent="0.2">
      <c r="A10" t="s">
        <v>139</v>
      </c>
      <c r="B10">
        <f ca="1">IFERROR(IF($R7&gt;0,$R7*B$1^2+$Q7*B$1+$P7,"-"),"-")</f>
        <v>44.742857142859521</v>
      </c>
      <c r="C10">
        <f ca="1">IFERROR(IF($R7&gt;0,$R7*C$1^2+$Q7*C$1+$P7,"-"),"-")</f>
        <v>29.800000000003536</v>
      </c>
      <c r="D10">
        <f ca="1">IFERROR(IF($R7&gt;0,$R7*D$1^2+$Q7*D$1+$P7,"-"),"-")</f>
        <v>18.000000000004519</v>
      </c>
      <c r="E10">
        <f ca="1">IFERROR(IF($R7&gt;0,$R7*E$1^2+$Q7*E$1+$P7,"-"),"-")</f>
        <v>9.3428571428624423</v>
      </c>
      <c r="F10">
        <f ca="1">IFERROR(IF($R7&gt;0,$R7*F$1^2+$Q7*F$1+$P7,"-"),"-")</f>
        <v>3.8285714285773054</v>
      </c>
      <c r="G10">
        <f ca="1">IFERROR(IF($R7&gt;0,$R7*G$1^2+$Q7*G$1+$P7,"-"),"-")</f>
        <v>1.4571428571491083</v>
      </c>
      <c r="H10">
        <f ca="1">IFERROR(IF($R7&gt;0,$R7*H$1^2+$Q7*H$1+$P7,"-"),"-")</f>
        <v>2.2285714285778369</v>
      </c>
      <c r="I10">
        <f ca="1">IFERROR(IF($R7&gt;0,$R7*I$1^2+$Q7*I$1+$P7,"-"),"-")</f>
        <v>6.142857142863491</v>
      </c>
      <c r="J10">
        <f ca="1">IFERROR(IF($R7&gt;0,$R7*J$1^2+$Q7*J$1+$P7,"-"),"-")</f>
        <v>13.200000000006099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>
        <f ca="1">IFERROR(IF($L6&lt;=5,IF($R6&gt;0,-$Q6/(2*$R6),"-"),"-"),"-")</f>
        <v>174.33333333333903</v>
      </c>
      <c r="C13" s="2">
        <f ca="1">IFERROR(IF($R6&gt;0,$R6*B13^2+$Q6*B13+$P6,"-"),"-")</f>
        <v>6.1983333333396757</v>
      </c>
    </row>
    <row r="14" spans="1:18" x14ac:dyDescent="0.2">
      <c r="A14" t="s">
        <v>141</v>
      </c>
      <c r="B14" s="2">
        <f ca="1">IFERROR(IF($L7&lt;=5,IF($R7&gt;0,-$Q7/(2*$R7),"-"),"-"),"-")</f>
        <v>169.90909090909224</v>
      </c>
      <c r="C14" s="2">
        <f ca="1">IFERROR(IF($R7&gt;0,$R7*B14^2+$Q7*B14+$P7,"-"),"-")</f>
        <v>1.3553246753309764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C9E04-61FA-4D66-919F-2340147C6296}">
  <sheetPr codeName="Sheet2"/>
  <dimension ref="A1:J10"/>
  <sheetViews>
    <sheetView workbookViewId="0"/>
  </sheetViews>
  <sheetFormatPr defaultRowHeight="15" x14ac:dyDescent="0.2"/>
  <sheetData>
    <row r="1" spans="1:10" x14ac:dyDescent="0.2">
      <c r="A1">
        <v>275</v>
      </c>
      <c r="B1">
        <v>275</v>
      </c>
      <c r="C1">
        <v>255</v>
      </c>
      <c r="D1">
        <v>235</v>
      </c>
      <c r="E1">
        <v>215</v>
      </c>
      <c r="F1">
        <v>195</v>
      </c>
      <c r="G1">
        <v>175</v>
      </c>
      <c r="H1">
        <v>155</v>
      </c>
      <c r="I1">
        <v>135</v>
      </c>
      <c r="J1">
        <v>115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763</v>
      </c>
      <c r="C2">
        <f t="shared" ref="C2:J10" ca="1" si="0">_xlfn.IFNA(INDEX(INDIRECT("'"&amp;$A2&amp;"'!$B:$B"),MATCH(C$1,INDIRECT("'"&amp;$A2&amp;"'!$c:$c"),0)),"")</f>
        <v>763</v>
      </c>
      <c r="D2">
        <f t="shared" ca="1" si="0"/>
        <v>763</v>
      </c>
      <c r="E2">
        <f t="shared" ca="1" si="0"/>
        <v>763</v>
      </c>
      <c r="F2">
        <f t="shared" ca="1" si="0"/>
        <v>764</v>
      </c>
      <c r="G2">
        <f t="shared" ca="1" si="0"/>
        <v>765</v>
      </c>
      <c r="H2">
        <f t="shared" ca="1" si="0"/>
        <v>773</v>
      </c>
      <c r="I2">
        <f t="shared" ca="1" si="0"/>
        <v>783</v>
      </c>
      <c r="J2">
        <f t="shared" ca="1" si="0"/>
        <v>794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741</v>
      </c>
      <c r="D3">
        <f t="shared" ca="1" si="0"/>
        <v>744</v>
      </c>
      <c r="E3">
        <f t="shared" ca="1" si="0"/>
        <v>747</v>
      </c>
      <c r="F3">
        <f t="shared" ca="1" si="0"/>
        <v>751</v>
      </c>
      <c r="G3">
        <f t="shared" ca="1" si="0"/>
        <v>755</v>
      </c>
      <c r="H3">
        <f t="shared" ca="1" si="0"/>
        <v>759</v>
      </c>
      <c r="I3">
        <f t="shared" ca="1" si="0"/>
        <v>765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745</v>
      </c>
      <c r="E4">
        <f t="shared" ca="1" si="0"/>
        <v>749</v>
      </c>
      <c r="F4">
        <f t="shared" ca="1" si="0"/>
        <v>753</v>
      </c>
      <c r="G4">
        <f t="shared" ca="1" si="0"/>
        <v>757</v>
      </c>
      <c r="H4">
        <f t="shared" ca="1" si="0"/>
        <v>762</v>
      </c>
      <c r="I4">
        <f t="shared" ca="1" si="0"/>
        <v>769</v>
      </c>
      <c r="J4">
        <f t="shared" ca="1" si="0"/>
        <v>777</v>
      </c>
    </row>
    <row r="5" spans="1:10" x14ac:dyDescent="0.2">
      <c r="A5" t="s">
        <v>94</v>
      </c>
      <c r="B5">
        <f ca="1">_xlfn.IFNA(INDEX(INDIRECT("'"&amp;$A5&amp;"'!$B:$B"),MATCH(B$1,INDIRECT("'"&amp;$A5&amp;"'!$c:$c"),0)),"")</f>
        <v>738</v>
      </c>
      <c r="C5">
        <f t="shared" ca="1" si="0"/>
        <v>741</v>
      </c>
      <c r="D5">
        <f t="shared" ca="1" si="0"/>
        <v>744</v>
      </c>
      <c r="E5">
        <f t="shared" ca="1" si="0"/>
        <v>748</v>
      </c>
      <c r="F5">
        <f t="shared" ca="1" si="0"/>
        <v>752</v>
      </c>
      <c r="G5">
        <f t="shared" ca="1" si="0"/>
        <v>756</v>
      </c>
      <c r="H5">
        <f t="shared" ca="1" si="0"/>
        <v>761</v>
      </c>
      <c r="I5">
        <f t="shared" ca="1" si="0"/>
        <v>767</v>
      </c>
      <c r="J5">
        <f t="shared" ca="1" si="0"/>
        <v>775</v>
      </c>
    </row>
    <row r="6" spans="1:10" x14ac:dyDescent="0.2">
      <c r="A6" t="s">
        <v>133</v>
      </c>
      <c r="B6">
        <f ca="1">_xlfn.IFNA(INDEX(INDIRECT("'"&amp;$A6&amp;"'!$B:$B"),MATCH(B$1,INDIRECT("'"&amp;$A6&amp;"'!$c:$c"),0)),"")</f>
        <v>740</v>
      </c>
      <c r="C6">
        <f t="shared" ca="1" si="0"/>
        <v>743</v>
      </c>
      <c r="D6">
        <f t="shared" ca="1" si="0"/>
        <v>748</v>
      </c>
      <c r="E6">
        <f t="shared" ca="1" si="0"/>
        <v>753</v>
      </c>
      <c r="F6">
        <f t="shared" ca="1" si="0"/>
        <v>758</v>
      </c>
      <c r="G6">
        <f t="shared" ca="1" si="0"/>
        <v>764</v>
      </c>
      <c r="H6">
        <f t="shared" ca="1" si="0"/>
        <v>772</v>
      </c>
      <c r="I6">
        <f t="shared" ca="1" si="0"/>
        <v>782</v>
      </c>
      <c r="J6">
        <f t="shared" ca="1" si="0"/>
        <v>793</v>
      </c>
    </row>
    <row r="7" spans="1:10" x14ac:dyDescent="0.2">
      <c r="A7" t="s">
        <v>134</v>
      </c>
      <c r="B7">
        <f ca="1">_xlfn.IFNA(INDEX(INDIRECT("'"&amp;$A7&amp;"'!$B:$B"),MATCH(B$1,INDIRECT("'"&amp;$A7&amp;"'!$c:$c"),0)),"")</f>
        <v>740</v>
      </c>
      <c r="C7">
        <f t="shared" ca="1" si="0"/>
        <v>743</v>
      </c>
      <c r="D7">
        <f t="shared" ca="1" si="0"/>
        <v>747</v>
      </c>
      <c r="E7">
        <f t="shared" ca="1" si="0"/>
        <v>750</v>
      </c>
      <c r="F7">
        <f t="shared" ca="1" si="0"/>
        <v>754</v>
      </c>
      <c r="G7">
        <f t="shared" ca="1" si="0"/>
        <v>759</v>
      </c>
      <c r="H7">
        <f t="shared" ca="1" si="0"/>
        <v>764</v>
      </c>
      <c r="I7">
        <f t="shared" ca="1" si="0"/>
        <v>770</v>
      </c>
      <c r="J7">
        <f t="shared" ca="1" si="0"/>
        <v>778</v>
      </c>
    </row>
    <row r="8" spans="1:10" x14ac:dyDescent="0.2">
      <c r="A8" t="s">
        <v>96</v>
      </c>
      <c r="B8">
        <f ca="1">_xlfn.IFNA(INDEX(INDIRECT("'"&amp;$A8&amp;"'!$B:$B"),MATCH(B$1,INDIRECT("'"&amp;$A8&amp;"'!$c:$c"),0)),"")</f>
        <v>762</v>
      </c>
      <c r="C8">
        <f t="shared" ca="1" si="0"/>
        <v>762</v>
      </c>
      <c r="D8">
        <f t="shared" ca="1" si="0"/>
        <v>762</v>
      </c>
      <c r="E8">
        <f t="shared" ca="1" si="0"/>
        <v>762</v>
      </c>
      <c r="F8">
        <f t="shared" ca="1" si="0"/>
        <v>763</v>
      </c>
      <c r="G8">
        <f t="shared" ca="1" si="0"/>
        <v>764</v>
      </c>
      <c r="H8">
        <f t="shared" ca="1" si="0"/>
        <v>769</v>
      </c>
      <c r="I8">
        <f t="shared" ca="1" si="0"/>
        <v>776</v>
      </c>
      <c r="J8">
        <f t="shared" ca="1" si="0"/>
        <v>785</v>
      </c>
    </row>
    <row r="9" spans="1:10" x14ac:dyDescent="0.2">
      <c r="A9" t="s">
        <v>71</v>
      </c>
      <c r="B9">
        <f ca="1">_xlfn.IFNA(INDEX(INDIRECT("'"&amp;$A9&amp;"'!$B:$B"),MATCH(B$1,INDIRECT("'"&amp;$A9&amp;"'!$c:$c"),0)),"")</f>
        <v>763</v>
      </c>
      <c r="C9">
        <f t="shared" ca="1" si="0"/>
        <v>763</v>
      </c>
      <c r="D9">
        <f t="shared" ca="1" si="0"/>
        <v>763</v>
      </c>
      <c r="E9">
        <f t="shared" ca="1" si="0"/>
        <v>763</v>
      </c>
      <c r="F9">
        <f t="shared" ca="1" si="0"/>
        <v>764</v>
      </c>
      <c r="G9">
        <f t="shared" ca="1" si="0"/>
        <v>765</v>
      </c>
      <c r="H9">
        <f t="shared" ca="1" si="0"/>
        <v>773</v>
      </c>
      <c r="I9">
        <f t="shared" ca="1" si="0"/>
        <v>783</v>
      </c>
      <c r="J9">
        <f t="shared" ca="1" si="0"/>
        <v>794</v>
      </c>
    </row>
    <row r="10" spans="1:10" x14ac:dyDescent="0.2">
      <c r="A10" t="s">
        <v>84</v>
      </c>
      <c r="B10">
        <f ca="1">_xlfn.IFNA(INDEX(INDIRECT("'"&amp;$A10&amp;"'!$B:$B"),MATCH(B$1,INDIRECT("'"&amp;$A10&amp;"'!$c:$c"),0)),"")</f>
        <v>740</v>
      </c>
      <c r="C10">
        <f t="shared" ca="1" si="0"/>
        <v>743</v>
      </c>
      <c r="D10">
        <f t="shared" ca="1" si="0"/>
        <v>748</v>
      </c>
      <c r="E10">
        <f t="shared" ca="1" si="0"/>
        <v>753</v>
      </c>
      <c r="F10">
        <f t="shared" ca="1" si="0"/>
        <v>758</v>
      </c>
      <c r="G10">
        <f t="shared" ca="1" si="0"/>
        <v>764</v>
      </c>
      <c r="H10">
        <f t="shared" ca="1" si="0"/>
        <v>772</v>
      </c>
      <c r="I10">
        <f t="shared" ca="1" si="0"/>
        <v>782</v>
      </c>
      <c r="J10">
        <f t="shared" ca="1" si="0"/>
        <v>793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C35D2-4122-4C9D-9839-18E3A65D44DC}">
  <sheetPr codeName="Sheet3"/>
  <dimension ref="A1:Q175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763</v>
      </c>
      <c r="C2">
        <v>275</v>
      </c>
      <c r="D2">
        <v>0.30708922453313198</v>
      </c>
      <c r="E2">
        <v>109.75146507353099</v>
      </c>
      <c r="F2">
        <v>1.97064968092555</v>
      </c>
      <c r="G2">
        <v>-1819.3743278275738</v>
      </c>
      <c r="H2">
        <v>-1493.5836351115715</v>
      </c>
      <c r="I2">
        <v>314.42651352864698</v>
      </c>
      <c r="J2">
        <v>158.83572254670401</v>
      </c>
      <c r="K2">
        <v>55.693036735978701</v>
      </c>
      <c r="L2">
        <v>0.86669870327442444</v>
      </c>
      <c r="M2">
        <v>-0.86651296263014377</v>
      </c>
      <c r="N2">
        <v>48.260203292860801</v>
      </c>
      <c r="O2">
        <v>48.260198997482597</v>
      </c>
      <c r="P2">
        <v>48.260193467359997</v>
      </c>
      <c r="Q2" t="s">
        <v>51</v>
      </c>
    </row>
    <row r="3" spans="1:17" x14ac:dyDescent="0.2">
      <c r="A3">
        <v>2</v>
      </c>
      <c r="B3">
        <v>762</v>
      </c>
      <c r="C3">
        <v>275</v>
      </c>
      <c r="D3">
        <v>0.306352219485102</v>
      </c>
      <c r="E3">
        <v>109.751495349116</v>
      </c>
      <c r="F3">
        <v>1.9712175676938499</v>
      </c>
      <c r="G3">
        <v>-1819.0604669877712</v>
      </c>
      <c r="H3">
        <v>-1493.7523468102186</v>
      </c>
      <c r="I3">
        <v>314.26407918158401</v>
      </c>
      <c r="J3">
        <v>158.832485889401</v>
      </c>
      <c r="K3">
        <v>55.677007524601102</v>
      </c>
      <c r="L3">
        <v>0.8663057261712086</v>
      </c>
      <c r="M3">
        <v>-0.86611994094809464</v>
      </c>
      <c r="N3">
        <v>48.224428552558201</v>
      </c>
      <c r="O3">
        <v>48.224424205309496</v>
      </c>
      <c r="P3">
        <v>48.224418675994301</v>
      </c>
      <c r="Q3" t="s">
        <v>51</v>
      </c>
    </row>
    <row r="4" spans="1:17" x14ac:dyDescent="0.2">
      <c r="A4">
        <v>3</v>
      </c>
      <c r="B4">
        <v>761</v>
      </c>
      <c r="C4">
        <v>275</v>
      </c>
      <c r="D4">
        <v>0.30561378910216402</v>
      </c>
      <c r="E4">
        <v>109.75153054603</v>
      </c>
      <c r="F4">
        <v>1.97178881163967</v>
      </c>
      <c r="G4">
        <v>-1818.7468650593273</v>
      </c>
      <c r="H4">
        <v>-1493.947912882177</v>
      </c>
      <c r="I4">
        <v>314.07561815274101</v>
      </c>
      <c r="J4">
        <v>158.83738684823399</v>
      </c>
      <c r="K4">
        <v>55.660895273446997</v>
      </c>
      <c r="L4">
        <v>0.8645101109710922</v>
      </c>
      <c r="M4">
        <v>-0.86432389694342848</v>
      </c>
      <c r="N4">
        <v>48.1105041273374</v>
      </c>
      <c r="O4">
        <v>48.110499718985899</v>
      </c>
      <c r="P4">
        <v>48.110494179126398</v>
      </c>
      <c r="Q4" t="s">
        <v>51</v>
      </c>
    </row>
    <row r="5" spans="1:17" x14ac:dyDescent="0.2">
      <c r="A5">
        <v>4</v>
      </c>
      <c r="B5">
        <v>760</v>
      </c>
      <c r="C5">
        <v>275</v>
      </c>
      <c r="D5">
        <v>0.30487392924551299</v>
      </c>
      <c r="E5">
        <v>109.751565879208</v>
      </c>
      <c r="F5">
        <v>1.9723615883568499</v>
      </c>
      <c r="G5">
        <v>-1818.4334537474326</v>
      </c>
      <c r="H5">
        <v>-1494.1433060622721</v>
      </c>
      <c r="I5">
        <v>313.88714409850201</v>
      </c>
      <c r="J5">
        <v>158.84222908530299</v>
      </c>
      <c r="K5">
        <v>55.644749181432402</v>
      </c>
      <c r="L5">
        <v>0.86272422233401425</v>
      </c>
      <c r="M5">
        <v>-0.86253758441869455</v>
      </c>
      <c r="N5">
        <v>47.997149844670098</v>
      </c>
      <c r="O5">
        <v>47.9971453749502</v>
      </c>
      <c r="P5">
        <v>47.997139824734603</v>
      </c>
      <c r="Q5" t="s">
        <v>51</v>
      </c>
    </row>
    <row r="6" spans="1:17" x14ac:dyDescent="0.2">
      <c r="A6">
        <v>5</v>
      </c>
      <c r="B6">
        <v>759</v>
      </c>
      <c r="C6">
        <v>275</v>
      </c>
      <c r="D6">
        <v>0.30413263576031102</v>
      </c>
      <c r="E6">
        <v>109.751601349298</v>
      </c>
      <c r="F6">
        <v>1.97293588533287</v>
      </c>
      <c r="G6">
        <v>-1818.1202330760152</v>
      </c>
      <c r="H6">
        <v>-1494.3385278022295</v>
      </c>
      <c r="I6">
        <v>313.69865559799899</v>
      </c>
      <c r="J6">
        <v>158.847012387115</v>
      </c>
      <c r="K6">
        <v>55.6285696687913</v>
      </c>
      <c r="L6">
        <v>0.86094797421700087</v>
      </c>
      <c r="M6">
        <v>-0.86076091730690596</v>
      </c>
      <c r="N6">
        <v>47.884360988978401</v>
      </c>
      <c r="O6">
        <v>47.884356457628002</v>
      </c>
      <c r="P6">
        <v>47.884350897243898</v>
      </c>
      <c r="Q6" t="s">
        <v>51</v>
      </c>
    </row>
    <row r="7" spans="1:17" x14ac:dyDescent="0.2">
      <c r="A7">
        <v>6</v>
      </c>
      <c r="B7">
        <v>758</v>
      </c>
      <c r="C7">
        <v>275</v>
      </c>
      <c r="D7">
        <v>0.303389904475587</v>
      </c>
      <c r="E7">
        <v>109.751636956965</v>
      </c>
      <c r="F7">
        <v>1.9735116901647101</v>
      </c>
      <c r="G7">
        <v>-1817.8072030707478</v>
      </c>
      <c r="H7">
        <v>-1494.5335795377089</v>
      </c>
      <c r="I7">
        <v>313.51015124212103</v>
      </c>
      <c r="J7">
        <v>158.851736535806</v>
      </c>
      <c r="K7">
        <v>55.612357151938397</v>
      </c>
      <c r="L7">
        <v>0.85918128154237505</v>
      </c>
      <c r="M7">
        <v>-0.85899381050665236</v>
      </c>
      <c r="N7">
        <v>47.772132895732803</v>
      </c>
      <c r="O7">
        <v>47.7721283024933</v>
      </c>
      <c r="P7">
        <v>47.772122732127698</v>
      </c>
      <c r="Q7" t="s">
        <v>51</v>
      </c>
    </row>
    <row r="8" spans="1:17" x14ac:dyDescent="0.2">
      <c r="A8">
        <v>7</v>
      </c>
      <c r="B8">
        <v>757</v>
      </c>
      <c r="C8">
        <v>275</v>
      </c>
      <c r="D8">
        <v>0.30264573120419402</v>
      </c>
      <c r="E8">
        <v>109.751672702908</v>
      </c>
      <c r="F8">
        <v>1.97408899056092</v>
      </c>
      <c r="G8">
        <v>-1817.4943637591939</v>
      </c>
      <c r="H8">
        <v>-1494.7284626882449</v>
      </c>
      <c r="I8">
        <v>313.321629633773</v>
      </c>
      <c r="J8">
        <v>158.85640130887401</v>
      </c>
      <c r="K8">
        <v>55.596112043420902</v>
      </c>
      <c r="L8">
        <v>0.8574240602096227</v>
      </c>
      <c r="M8">
        <v>-0.85723617989397327</v>
      </c>
      <c r="N8">
        <v>47.660460952094802</v>
      </c>
      <c r="O8">
        <v>47.660456296711203</v>
      </c>
      <c r="P8">
        <v>47.660450716550599</v>
      </c>
      <c r="Q8" t="s">
        <v>51</v>
      </c>
    </row>
    <row r="9" spans="1:17" x14ac:dyDescent="0.2">
      <c r="A9">
        <v>8</v>
      </c>
      <c r="B9">
        <v>756</v>
      </c>
      <c r="C9">
        <v>275</v>
      </c>
      <c r="D9">
        <v>0.30190011174270298</v>
      </c>
      <c r="E9">
        <v>109.751708587661</v>
      </c>
      <c r="F9">
        <v>1.97466777433671</v>
      </c>
      <c r="G9">
        <v>-1817.1817151676489</v>
      </c>
      <c r="H9">
        <v>-1494.9231786550092</v>
      </c>
      <c r="I9">
        <v>313.13308938703398</v>
      </c>
      <c r="J9">
        <v>158.86100647924499</v>
      </c>
      <c r="K9">
        <v>55.579834751963197</v>
      </c>
      <c r="L9">
        <v>0.85567622706403312</v>
      </c>
      <c r="M9">
        <v>-0.85548794229098246</v>
      </c>
      <c r="N9">
        <v>47.549340595234</v>
      </c>
      <c r="O9">
        <v>47.549335877454702</v>
      </c>
      <c r="P9">
        <v>47.549330287685102</v>
      </c>
      <c r="Q9" t="s">
        <v>51</v>
      </c>
    </row>
    <row r="10" spans="1:17" x14ac:dyDescent="0.2">
      <c r="A10">
        <v>9</v>
      </c>
      <c r="B10">
        <v>755</v>
      </c>
      <c r="C10">
        <v>275</v>
      </c>
      <c r="D10">
        <v>0.30115304187132302</v>
      </c>
      <c r="E10">
        <v>109.751744611951</v>
      </c>
      <c r="F10">
        <v>1.9752480294141599</v>
      </c>
      <c r="G10">
        <v>-1816.8692573269341</v>
      </c>
      <c r="H10">
        <v>-1495.1177288260856</v>
      </c>
      <c r="I10">
        <v>312.94452912771999</v>
      </c>
      <c r="J10">
        <v>158.8655518157</v>
      </c>
      <c r="K10">
        <v>55.563525682646997</v>
      </c>
      <c r="L10">
        <v>0.85393769988299473</v>
      </c>
      <c r="M10">
        <v>-0.8537490154521632</v>
      </c>
      <c r="N10">
        <v>47.4387673117416</v>
      </c>
      <c r="O10">
        <v>47.438762531318702</v>
      </c>
      <c r="P10">
        <v>47.438756932125401</v>
      </c>
      <c r="Q10" t="s">
        <v>51</v>
      </c>
    </row>
    <row r="11" spans="1:17" x14ac:dyDescent="0.2">
      <c r="A11">
        <v>10</v>
      </c>
      <c r="B11">
        <v>754</v>
      </c>
      <c r="C11">
        <v>275</v>
      </c>
      <c r="D11">
        <v>0.30040451735384299</v>
      </c>
      <c r="E11">
        <v>109.75178077642499</v>
      </c>
      <c r="F11">
        <v>1.97582974382374</v>
      </c>
      <c r="G11">
        <v>-1816.5569902679279</v>
      </c>
      <c r="H11">
        <v>-1495.3121145727966</v>
      </c>
      <c r="I11">
        <v>312.75594749266497</v>
      </c>
      <c r="J11">
        <v>158.87003708241701</v>
      </c>
      <c r="K11">
        <v>55.547185236733903</v>
      </c>
      <c r="L11">
        <v>0.85220839736687415</v>
      </c>
      <c r="M11">
        <v>-0.85201931805524467</v>
      </c>
      <c r="N11">
        <v>47.328736636993803</v>
      </c>
      <c r="O11">
        <v>47.328731793682699</v>
      </c>
      <c r="P11">
        <v>47.328726185250702</v>
      </c>
      <c r="Q11" t="s">
        <v>51</v>
      </c>
    </row>
    <row r="12" spans="1:17" x14ac:dyDescent="0.2">
      <c r="A12">
        <v>11</v>
      </c>
      <c r="B12">
        <v>753</v>
      </c>
      <c r="C12">
        <v>275</v>
      </c>
      <c r="D12">
        <v>0.29965453393753799</v>
      </c>
      <c r="E12">
        <v>109.751817081795</v>
      </c>
      <c r="F12">
        <v>1.97641290569741</v>
      </c>
      <c r="G12">
        <v>-1816.2449140239148</v>
      </c>
      <c r="H12">
        <v>-1495.5063372516804</v>
      </c>
      <c r="I12">
        <v>312.56734313013999</v>
      </c>
      <c r="J12">
        <v>158.874462039382</v>
      </c>
      <c r="K12">
        <v>55.530813811938202</v>
      </c>
      <c r="L12">
        <v>0.85048823913516614</v>
      </c>
      <c r="M12">
        <v>-0.8502987696973433</v>
      </c>
      <c r="N12">
        <v>47.219244155189301</v>
      </c>
      <c r="O12">
        <v>47.219239248749297</v>
      </c>
      <c r="P12">
        <v>47.219233631263002</v>
      </c>
      <c r="Q12" t="s">
        <v>51</v>
      </c>
    </row>
    <row r="13" spans="1:17" x14ac:dyDescent="0.2">
      <c r="A13">
        <v>12</v>
      </c>
      <c r="B13">
        <v>752</v>
      </c>
      <c r="C13">
        <v>275</v>
      </c>
      <c r="D13">
        <v>0.29890308735307097</v>
      </c>
      <c r="E13">
        <v>109.751853528654</v>
      </c>
      <c r="F13">
        <v>1.9769975032707501</v>
      </c>
      <c r="G13">
        <v>-1815.9330286276243</v>
      </c>
      <c r="H13">
        <v>-1495.7003982027297</v>
      </c>
      <c r="I13">
        <v>312.37871469873301</v>
      </c>
      <c r="J13">
        <v>158.87882644222</v>
      </c>
      <c r="K13">
        <v>55.514411802281401</v>
      </c>
      <c r="L13">
        <v>0.84877714568590468</v>
      </c>
      <c r="M13">
        <v>-0.8485872908543679</v>
      </c>
      <c r="N13">
        <v>47.110285496990002</v>
      </c>
      <c r="O13">
        <v>47.110280527183903</v>
      </c>
      <c r="P13">
        <v>47.1102749008272</v>
      </c>
      <c r="Q13" t="s">
        <v>51</v>
      </c>
    </row>
    <row r="14" spans="1:17" x14ac:dyDescent="0.2">
      <c r="A14">
        <v>13</v>
      </c>
      <c r="B14">
        <v>751</v>
      </c>
      <c r="C14">
        <v>275</v>
      </c>
      <c r="D14">
        <v>0.29815017331445698</v>
      </c>
      <c r="E14">
        <v>109.751890117724</v>
      </c>
      <c r="F14">
        <v>1.9775835248817799</v>
      </c>
      <c r="G14">
        <v>-1815.6213341151624</v>
      </c>
      <c r="H14">
        <v>-1495.8942987522132</v>
      </c>
      <c r="I14">
        <v>312.19006086848998</v>
      </c>
      <c r="J14">
        <v>158.88313004228499</v>
      </c>
      <c r="K14">
        <v>55.497979598249998</v>
      </c>
      <c r="L14">
        <v>0.84707503842511156</v>
      </c>
      <c r="M14">
        <v>-0.8468848029104723</v>
      </c>
      <c r="N14">
        <v>47.001856341309697</v>
      </c>
      <c r="O14">
        <v>47.001851307903998</v>
      </c>
      <c r="P14">
        <v>47.001845672860199</v>
      </c>
      <c r="Q14" t="s">
        <v>51</v>
      </c>
    </row>
    <row r="15" spans="1:17" x14ac:dyDescent="0.2">
      <c r="A15">
        <v>14</v>
      </c>
      <c r="B15">
        <v>750</v>
      </c>
      <c r="C15">
        <v>275</v>
      </c>
      <c r="D15">
        <v>0.29739578751893703</v>
      </c>
      <c r="E15">
        <v>109.751926849676</v>
      </c>
      <c r="F15">
        <v>1.9781709589690599</v>
      </c>
      <c r="G15">
        <v>-1815.3098305231738</v>
      </c>
      <c r="H15">
        <v>-1496.0880402111752</v>
      </c>
      <c r="I15">
        <v>312.00138031965702</v>
      </c>
      <c r="J15">
        <v>158.88737258675201</v>
      </c>
      <c r="K15">
        <v>55.481517586768398</v>
      </c>
      <c r="L15">
        <v>0.84538183961414903</v>
      </c>
      <c r="M15">
        <v>-0.84519122810539327</v>
      </c>
      <c r="N15">
        <v>46.893952412383797</v>
      </c>
      <c r="O15">
        <v>46.893947315148601</v>
      </c>
      <c r="P15">
        <v>46.893941671600601</v>
      </c>
      <c r="Q15" t="s">
        <v>51</v>
      </c>
    </row>
    <row r="16" spans="1:17" x14ac:dyDescent="0.2">
      <c r="A16">
        <v>15</v>
      </c>
      <c r="B16">
        <v>749</v>
      </c>
      <c r="C16">
        <v>275</v>
      </c>
      <c r="D16">
        <v>0.29663992564692099</v>
      </c>
      <c r="E16">
        <v>109.75196372514201</v>
      </c>
      <c r="F16">
        <v>1.97875979406907</v>
      </c>
      <c r="G16">
        <v>-1814.9985178889431</v>
      </c>
      <c r="H16">
        <v>-1496.2816238751584</v>
      </c>
      <c r="I16">
        <v>311.81267174310699</v>
      </c>
      <c r="J16">
        <v>158.891553818549</v>
      </c>
      <c r="K16">
        <v>55.465026151279901</v>
      </c>
      <c r="L16">
        <v>0.84369747238635895</v>
      </c>
      <c r="M16">
        <v>-0.84350648955109131</v>
      </c>
      <c r="N16">
        <v>46.786569480779001</v>
      </c>
      <c r="O16">
        <v>46.7865643194881</v>
      </c>
      <c r="P16">
        <v>46.786558667618202</v>
      </c>
      <c r="Q16" t="s">
        <v>51</v>
      </c>
    </row>
    <row r="17" spans="1:17" x14ac:dyDescent="0.2">
      <c r="A17">
        <v>16</v>
      </c>
      <c r="B17">
        <v>748</v>
      </c>
      <c r="C17">
        <v>275</v>
      </c>
      <c r="D17">
        <v>0.29588258336189799</v>
      </c>
      <c r="E17">
        <v>109.752000744832</v>
      </c>
      <c r="F17">
        <v>1.9793500188192199</v>
      </c>
      <c r="G17">
        <v>-1814.6873962523732</v>
      </c>
      <c r="H17">
        <v>-1496.4750510266774</v>
      </c>
      <c r="I17">
        <v>311.62393383990297</v>
      </c>
      <c r="J17">
        <v>158.89567347653201</v>
      </c>
      <c r="K17">
        <v>55.4485056717281</v>
      </c>
      <c r="L17">
        <v>0.8420218607095753</v>
      </c>
      <c r="M17">
        <v>-0.84183051119425634</v>
      </c>
      <c r="N17">
        <v>46.679703361313301</v>
      </c>
      <c r="O17">
        <v>46.679698135744196</v>
      </c>
      <c r="P17">
        <v>46.679692475734399</v>
      </c>
      <c r="Q17" t="s">
        <v>51</v>
      </c>
    </row>
    <row r="18" spans="1:17" x14ac:dyDescent="0.2">
      <c r="A18">
        <v>17</v>
      </c>
      <c r="B18">
        <v>747</v>
      </c>
      <c r="C18">
        <v>275</v>
      </c>
      <c r="D18">
        <v>0.29512375631034898</v>
      </c>
      <c r="E18">
        <v>109.752037909465</v>
      </c>
      <c r="F18">
        <v>1.9799416219517101</v>
      </c>
      <c r="G18">
        <v>-1814.3764656547542</v>
      </c>
      <c r="H18">
        <v>-1496.6683229337418</v>
      </c>
      <c r="I18">
        <v>311.43516532158702</v>
      </c>
      <c r="J18">
        <v>158.89973129546399</v>
      </c>
      <c r="K18">
        <v>55.431956524696702</v>
      </c>
      <c r="L18">
        <v>0.84035492940164447</v>
      </c>
      <c r="M18">
        <v>-0.84016321783182546</v>
      </c>
      <c r="N18">
        <v>46.573349914049601</v>
      </c>
      <c r="O18">
        <v>46.573344623983601</v>
      </c>
      <c r="P18">
        <v>46.5733389560151</v>
      </c>
      <c r="Q18" t="s">
        <v>51</v>
      </c>
    </row>
    <row r="19" spans="1:17" x14ac:dyDescent="0.2">
      <c r="A19">
        <v>18</v>
      </c>
      <c r="B19">
        <v>746</v>
      </c>
      <c r="C19">
        <v>275</v>
      </c>
      <c r="D19">
        <v>0.29436344012167098</v>
      </c>
      <c r="E19">
        <v>109.752075219619</v>
      </c>
      <c r="F19">
        <v>1.98053459229384</v>
      </c>
      <c r="G19">
        <v>-1814.0657261364026</v>
      </c>
      <c r="H19">
        <v>-1496.8614408485171</v>
      </c>
      <c r="I19">
        <v>311.24636490923598</v>
      </c>
      <c r="J19">
        <v>158.90372700597899</v>
      </c>
      <c r="K19">
        <v>55.415379083333598</v>
      </c>
      <c r="L19">
        <v>0.83869660409321667</v>
      </c>
      <c r="M19">
        <v>-0.83850453507376466</v>
      </c>
      <c r="N19">
        <v>46.467505042182403</v>
      </c>
      <c r="O19">
        <v>46.467499687404597</v>
      </c>
      <c r="P19">
        <v>46.467494011658303</v>
      </c>
      <c r="Q19" t="s">
        <v>51</v>
      </c>
    </row>
    <row r="20" spans="1:17" x14ac:dyDescent="0.2">
      <c r="A20">
        <v>19</v>
      </c>
      <c r="B20">
        <v>745</v>
      </c>
      <c r="C20">
        <v>275</v>
      </c>
      <c r="D20">
        <v>0.29360163040809401</v>
      </c>
      <c r="E20">
        <v>109.752112676053</v>
      </c>
      <c r="F20">
        <v>1.98112891877235</v>
      </c>
      <c r="G20">
        <v>-1813.7551777418576</v>
      </c>
      <c r="H20">
        <v>-1497.0544060115446</v>
      </c>
      <c r="I20">
        <v>311.05753133445899</v>
      </c>
      <c r="J20">
        <v>158.907660334588</v>
      </c>
      <c r="K20">
        <v>55.398773717393503</v>
      </c>
      <c r="L20">
        <v>0.83704681124684144</v>
      </c>
      <c r="M20">
        <v>-0.83685438936217582</v>
      </c>
      <c r="N20">
        <v>46.362164693146802</v>
      </c>
      <c r="O20">
        <v>46.362159273445997</v>
      </c>
      <c r="P20">
        <v>46.362153590102203</v>
      </c>
      <c r="Q20" t="s">
        <v>51</v>
      </c>
    </row>
    <row r="21" spans="1:17" x14ac:dyDescent="0.2">
      <c r="A21">
        <v>20</v>
      </c>
      <c r="B21">
        <v>744</v>
      </c>
      <c r="C21">
        <v>275</v>
      </c>
      <c r="D21">
        <v>0.29283832276459099</v>
      </c>
      <c r="E21">
        <v>109.752150279462</v>
      </c>
      <c r="F21">
        <v>1.98172459040258</v>
      </c>
      <c r="G21">
        <v>-1813.4448205158146</v>
      </c>
      <c r="H21">
        <v>-1497.2472196490146</v>
      </c>
      <c r="I21">
        <v>310.86866333813998</v>
      </c>
      <c r="J21">
        <v>158.91153100409599</v>
      </c>
      <c r="K21">
        <v>55.382140793421897</v>
      </c>
      <c r="L21">
        <v>0.83540547810409649</v>
      </c>
      <c r="M21">
        <v>-0.83521270791839664</v>
      </c>
      <c r="N21">
        <v>46.257324855854101</v>
      </c>
      <c r="O21">
        <v>46.257319371022902</v>
      </c>
      <c r="P21">
        <v>46.257313680261497</v>
      </c>
      <c r="Q21" t="s">
        <v>51</v>
      </c>
    </row>
    <row r="22" spans="1:17" x14ac:dyDescent="0.2">
      <c r="A22">
        <v>21</v>
      </c>
      <c r="B22">
        <v>743</v>
      </c>
      <c r="C22">
        <v>275</v>
      </c>
      <c r="D22">
        <v>0.29207351276878402</v>
      </c>
      <c r="E22">
        <v>109.75218803049199</v>
      </c>
      <c r="F22">
        <v>1.9823215962951199</v>
      </c>
      <c r="G22">
        <v>-1813.1346545035071</v>
      </c>
      <c r="H22">
        <v>-1497.4398829726886</v>
      </c>
      <c r="I22">
        <v>310.67975967093099</v>
      </c>
      <c r="J22">
        <v>158.91533873307901</v>
      </c>
      <c r="K22">
        <v>55.365480674586102</v>
      </c>
      <c r="L22">
        <v>0.83377253271332663</v>
      </c>
      <c r="M22">
        <v>-0.83357941877075692</v>
      </c>
      <c r="N22">
        <v>46.152981562100599</v>
      </c>
      <c r="O22">
        <v>46.152976011935401</v>
      </c>
      <c r="P22">
        <v>46.152970313935803</v>
      </c>
      <c r="Q22" t="s">
        <v>51</v>
      </c>
    </row>
    <row r="23" spans="1:17" x14ac:dyDescent="0.2">
      <c r="A23">
        <v>22</v>
      </c>
      <c r="B23">
        <v>742</v>
      </c>
      <c r="C23">
        <v>275</v>
      </c>
      <c r="D23">
        <v>0.291307195980888</v>
      </c>
      <c r="E23">
        <v>109.752225929872</v>
      </c>
      <c r="F23">
        <v>1.98291992565234</v>
      </c>
      <c r="G23">
        <v>-1812.8246797527065</v>
      </c>
      <c r="H23">
        <v>-1497.6323971819902</v>
      </c>
      <c r="I23">
        <v>310.49081909321302</v>
      </c>
      <c r="J23">
        <v>158.919083236261</v>
      </c>
      <c r="K23">
        <v>55.3487937208387</v>
      </c>
      <c r="L23">
        <v>0.83214790390753712</v>
      </c>
      <c r="M23">
        <v>-0.83195445073246199</v>
      </c>
      <c r="N23">
        <v>46.049130885490797</v>
      </c>
      <c r="O23">
        <v>46.049125269791901</v>
      </c>
      <c r="P23">
        <v>46.049119564732898</v>
      </c>
      <c r="Q23" t="s">
        <v>51</v>
      </c>
    </row>
    <row r="24" spans="1:17" x14ac:dyDescent="0.2">
      <c r="A24">
        <v>23</v>
      </c>
      <c r="B24">
        <v>741</v>
      </c>
      <c r="C24">
        <v>275</v>
      </c>
      <c r="D24">
        <v>0.29053936794360102</v>
      </c>
      <c r="E24">
        <v>109.752263978296</v>
      </c>
      <c r="F24">
        <v>1.98351956776962</v>
      </c>
      <c r="G24">
        <v>-1812.5148963118697</v>
      </c>
      <c r="H24">
        <v>-1497.8247634629518</v>
      </c>
      <c r="I24">
        <v>310.30184037434901</v>
      </c>
      <c r="J24">
        <v>158.92276422442001</v>
      </c>
      <c r="K24">
        <v>55.3320802888312</v>
      </c>
      <c r="L24">
        <v>0.83053152127581342</v>
      </c>
      <c r="M24">
        <v>-0.83033773337300476</v>
      </c>
      <c r="N24">
        <v>45.945768939793801</v>
      </c>
      <c r="O24">
        <v>45.945763258365403</v>
      </c>
      <c r="P24">
        <v>45.945757546425398</v>
      </c>
      <c r="Q24" t="s">
        <v>51</v>
      </c>
    </row>
    <row r="25" spans="1:17" x14ac:dyDescent="0.2">
      <c r="A25">
        <v>24</v>
      </c>
      <c r="B25">
        <v>740</v>
      </c>
      <c r="C25">
        <v>275</v>
      </c>
      <c r="D25">
        <v>0.28977002418201098</v>
      </c>
      <c r="E25">
        <v>109.752263688746</v>
      </c>
      <c r="F25">
        <v>1.97073575527728</v>
      </c>
      <c r="G25">
        <v>-1812.205444114815</v>
      </c>
      <c r="H25">
        <v>-1500.4467144592575</v>
      </c>
      <c r="I25">
        <v>307.71530032266401</v>
      </c>
      <c r="J25">
        <v>159.04677604544599</v>
      </c>
      <c r="K25">
        <v>55.691009509950398</v>
      </c>
      <c r="L25">
        <v>0.70142146986287457</v>
      </c>
      <c r="M25">
        <v>-0.70118443056397917</v>
      </c>
      <c r="N25">
        <v>39.051448308429499</v>
      </c>
      <c r="O25">
        <v>39.0514414580093</v>
      </c>
      <c r="P25">
        <v>39.051434491922798</v>
      </c>
      <c r="Q25" t="s">
        <v>51</v>
      </c>
    </row>
    <row r="26" spans="1:17" x14ac:dyDescent="0.2">
      <c r="A26">
        <v>25</v>
      </c>
      <c r="B26">
        <v>739</v>
      </c>
      <c r="C26">
        <v>275</v>
      </c>
      <c r="D26">
        <v>0.28899916020352701</v>
      </c>
      <c r="E26">
        <v>109.75223794057599</v>
      </c>
      <c r="F26">
        <v>1.9552513577094699</v>
      </c>
      <c r="G26">
        <v>-1811.8989317286751</v>
      </c>
      <c r="H26">
        <v>-1503.5229733150975</v>
      </c>
      <c r="I26">
        <v>304.67780804091802</v>
      </c>
      <c r="J26">
        <v>159.23606810196</v>
      </c>
      <c r="K26">
        <v>56.132035151300499</v>
      </c>
      <c r="L26">
        <v>0.55109049324570336</v>
      </c>
      <c r="M26">
        <v>-0.55080239015277677</v>
      </c>
      <c r="N26">
        <v>30.919826910644499</v>
      </c>
      <c r="O26">
        <v>30.919818660339502</v>
      </c>
      <c r="P26">
        <v>30.919810191123599</v>
      </c>
      <c r="Q26" t="s">
        <v>51</v>
      </c>
    </row>
    <row r="27" spans="1:17" x14ac:dyDescent="0.2">
      <c r="A27">
        <v>26</v>
      </c>
      <c r="B27">
        <v>738</v>
      </c>
      <c r="C27">
        <v>275</v>
      </c>
      <c r="D27">
        <v>0.28822677149780002</v>
      </c>
      <c r="E27">
        <v>109.761385174827</v>
      </c>
      <c r="F27">
        <v>1.91379200813218</v>
      </c>
      <c r="G27">
        <v>-1811.7478777794731</v>
      </c>
      <c r="H27">
        <v>-1511.6629623178385</v>
      </c>
      <c r="I27">
        <v>296.78123955547198</v>
      </c>
      <c r="J27">
        <v>159.65166109437899</v>
      </c>
      <c r="K27">
        <v>57.352828681708097</v>
      </c>
      <c r="L27">
        <v>0.16731060624737709</v>
      </c>
      <c r="M27">
        <v>-0.16689069419397121</v>
      </c>
      <c r="N27">
        <v>9.5748577910670392</v>
      </c>
      <c r="O27">
        <v>9.5748458927915596</v>
      </c>
      <c r="P27">
        <v>9.5748334192489306</v>
      </c>
      <c r="Q27" t="s">
        <v>51</v>
      </c>
    </row>
    <row r="28" spans="1:17" x14ac:dyDescent="0.2">
      <c r="A28">
        <v>27</v>
      </c>
      <c r="B28">
        <v>737</v>
      </c>
      <c r="C28">
        <v>275</v>
      </c>
      <c r="D28">
        <v>0.28745285353660599</v>
      </c>
      <c r="E28">
        <v>109.76196473678699</v>
      </c>
      <c r="F28">
        <v>1.90610070145865</v>
      </c>
      <c r="G28">
        <v>-1811.4615641819867</v>
      </c>
      <c r="H28">
        <v>-1513.4563606879115</v>
      </c>
      <c r="I28">
        <v>295.016582142743</v>
      </c>
      <c r="J28">
        <v>159.77605175340301</v>
      </c>
      <c r="K28">
        <v>57.5845571290075</v>
      </c>
      <c r="L28">
        <v>9.006096415103966E-2</v>
      </c>
      <c r="M28">
        <v>-8.9614699294036107E-2</v>
      </c>
      <c r="N28">
        <v>5.1638324883732798</v>
      </c>
      <c r="O28">
        <v>5.1638197632516301</v>
      </c>
      <c r="P28">
        <v>5.1638064765855898</v>
      </c>
      <c r="Q28" t="s">
        <v>51</v>
      </c>
    </row>
    <row r="29" spans="1:17" x14ac:dyDescent="0.2">
      <c r="A29">
        <v>28</v>
      </c>
      <c r="B29">
        <v>736</v>
      </c>
      <c r="C29">
        <v>275</v>
      </c>
      <c r="D29">
        <v>0.28667740177377199</v>
      </c>
      <c r="E29">
        <v>109.76216569354401</v>
      </c>
      <c r="F29">
        <v>1.9039636114113001</v>
      </c>
      <c r="G29">
        <v>-1811.1702056538857</v>
      </c>
      <c r="H29">
        <v>-1514.1856624812308</v>
      </c>
      <c r="I29">
        <v>294.29764252473399</v>
      </c>
      <c r="J29">
        <v>159.85086793682001</v>
      </c>
      <c r="K29">
        <v>57.649298041039799</v>
      </c>
      <c r="L29">
        <v>6.3380419596136245E-2</v>
      </c>
      <c r="M29">
        <v>-6.2925234954300427E-2</v>
      </c>
      <c r="N29">
        <v>3.6310693793483901</v>
      </c>
      <c r="O29">
        <v>3.63105630875623</v>
      </c>
      <c r="P29">
        <v>3.6310427519028901</v>
      </c>
      <c r="Q29" t="s">
        <v>51</v>
      </c>
    </row>
    <row r="30" spans="1:17" x14ac:dyDescent="0.2">
      <c r="A30">
        <v>29</v>
      </c>
      <c r="B30">
        <v>763</v>
      </c>
      <c r="C30">
        <v>255</v>
      </c>
      <c r="D30">
        <v>0.32832167157265202</v>
      </c>
      <c r="E30">
        <v>109.751645559941</v>
      </c>
      <c r="F30">
        <v>1.9436248038803301</v>
      </c>
      <c r="G30">
        <v>-1820.4986848480157</v>
      </c>
      <c r="H30">
        <v>-1494.3614921669262</v>
      </c>
      <c r="I30">
        <v>314.76110642113002</v>
      </c>
      <c r="J30">
        <v>159.48568735255401</v>
      </c>
      <c r="K30">
        <v>56.467506146673998</v>
      </c>
      <c r="L30">
        <v>0.85186795853648767</v>
      </c>
      <c r="M30">
        <v>-0.85164648284398903</v>
      </c>
      <c r="N30">
        <v>48.092231875921001</v>
      </c>
      <c r="O30">
        <v>48.092227334511797</v>
      </c>
      <c r="P30">
        <v>48.092219960023002</v>
      </c>
      <c r="Q30" t="s">
        <v>51</v>
      </c>
    </row>
    <row r="31" spans="1:17" x14ac:dyDescent="0.2">
      <c r="A31">
        <v>30</v>
      </c>
      <c r="B31">
        <v>762</v>
      </c>
      <c r="C31">
        <v>255</v>
      </c>
      <c r="D31">
        <v>0.32760517799352901</v>
      </c>
      <c r="E31">
        <v>109.751676140104</v>
      </c>
      <c r="F31">
        <v>1.94422467664223</v>
      </c>
      <c r="G31">
        <v>-1820.1844949468664</v>
      </c>
      <c r="H31">
        <v>-1494.5306024514455</v>
      </c>
      <c r="I31">
        <v>314.59829234018099</v>
      </c>
      <c r="J31">
        <v>159.48412728093001</v>
      </c>
      <c r="K31">
        <v>56.450099342248102</v>
      </c>
      <c r="L31">
        <v>0.85150527085126593</v>
      </c>
      <c r="M31">
        <v>-0.8512837555730437</v>
      </c>
      <c r="N31">
        <v>48.056927390825798</v>
      </c>
      <c r="O31">
        <v>48.056922780533</v>
      </c>
      <c r="P31">
        <v>48.056915406710701</v>
      </c>
      <c r="Q31" t="s">
        <v>51</v>
      </c>
    </row>
    <row r="32" spans="1:17" x14ac:dyDescent="0.2">
      <c r="A32">
        <v>31</v>
      </c>
      <c r="B32">
        <v>761</v>
      </c>
      <c r="C32">
        <v>255</v>
      </c>
      <c r="D32">
        <v>0.32688729874776701</v>
      </c>
      <c r="E32">
        <v>109.751711607815</v>
      </c>
      <c r="F32">
        <v>1.94482269213366</v>
      </c>
      <c r="G32">
        <v>-1819.8705631388921</v>
      </c>
      <c r="H32">
        <v>-1494.725446615374</v>
      </c>
      <c r="I32">
        <v>314.41053326124103</v>
      </c>
      <c r="J32">
        <v>159.49023660160699</v>
      </c>
      <c r="K32">
        <v>56.432759681247497</v>
      </c>
      <c r="L32">
        <v>0.84979496605492599</v>
      </c>
      <c r="M32">
        <v>-0.84957301379302785</v>
      </c>
      <c r="N32">
        <v>47.945623913983901</v>
      </c>
      <c r="O32">
        <v>47.945619226171203</v>
      </c>
      <c r="P32">
        <v>47.945611839866601</v>
      </c>
      <c r="Q32" t="s">
        <v>51</v>
      </c>
    </row>
    <row r="33" spans="1:17" x14ac:dyDescent="0.2">
      <c r="A33">
        <v>32</v>
      </c>
      <c r="B33">
        <v>760</v>
      </c>
      <c r="C33">
        <v>255</v>
      </c>
      <c r="D33">
        <v>0.32616802981174298</v>
      </c>
      <c r="E33">
        <v>109.75174721281201</v>
      </c>
      <c r="F33">
        <v>1.9454223155147099</v>
      </c>
      <c r="G33">
        <v>-1819.556821268214</v>
      </c>
      <c r="H33">
        <v>-1494.9201278739358</v>
      </c>
      <c r="I33">
        <v>314.22275219662703</v>
      </c>
      <c r="J33">
        <v>159.49629714227299</v>
      </c>
      <c r="K33">
        <v>56.415384123819003</v>
      </c>
      <c r="L33">
        <v>0.84809381100413839</v>
      </c>
      <c r="M33">
        <v>-0.84787142692568929</v>
      </c>
      <c r="N33">
        <v>47.834865749829298</v>
      </c>
      <c r="O33">
        <v>47.834860984100203</v>
      </c>
      <c r="P33">
        <v>47.8348535855379</v>
      </c>
      <c r="Q33" t="s">
        <v>51</v>
      </c>
    </row>
    <row r="34" spans="1:17" x14ac:dyDescent="0.2">
      <c r="A34">
        <v>33</v>
      </c>
      <c r="B34">
        <v>759</v>
      </c>
      <c r="C34">
        <v>255</v>
      </c>
      <c r="D34">
        <v>0.325447367146249</v>
      </c>
      <c r="E34">
        <v>109.751782955801</v>
      </c>
      <c r="F34">
        <v>1.94602353307948</v>
      </c>
      <c r="G34">
        <v>-1819.2432693686974</v>
      </c>
      <c r="H34">
        <v>-1495.114647581986</v>
      </c>
      <c r="I34">
        <v>314.03494780289202</v>
      </c>
      <c r="J34">
        <v>159.50230859602601</v>
      </c>
      <c r="K34">
        <v>56.397973143790502</v>
      </c>
      <c r="L34">
        <v>0.84640172541612579</v>
      </c>
      <c r="M34">
        <v>-0.84617891466649575</v>
      </c>
      <c r="N34">
        <v>47.7246484768852</v>
      </c>
      <c r="O34">
        <v>47.724643632847602</v>
      </c>
      <c r="P34">
        <v>47.724636222252101</v>
      </c>
      <c r="Q34" t="s">
        <v>51</v>
      </c>
    </row>
    <row r="35" spans="1:17" x14ac:dyDescent="0.2">
      <c r="A35">
        <v>34</v>
      </c>
      <c r="B35">
        <v>758</v>
      </c>
      <c r="C35">
        <v>255</v>
      </c>
      <c r="D35">
        <v>0.32472530669640698</v>
      </c>
      <c r="E35">
        <v>109.75181883736499</v>
      </c>
      <c r="F35">
        <v>1.9466263312222301</v>
      </c>
      <c r="G35">
        <v>-1818.9299074734872</v>
      </c>
      <c r="H35">
        <v>-1495.3090070776445</v>
      </c>
      <c r="I35">
        <v>313.84711874689998</v>
      </c>
      <c r="J35">
        <v>159.50827065178899</v>
      </c>
      <c r="K35">
        <v>56.380527211123898</v>
      </c>
      <c r="L35">
        <v>0.84471862988302659</v>
      </c>
      <c r="M35">
        <v>-0.84449539758607528</v>
      </c>
      <c r="N35">
        <v>47.614967720189497</v>
      </c>
      <c r="O35">
        <v>47.614962797455902</v>
      </c>
      <c r="P35">
        <v>47.614955375051103</v>
      </c>
      <c r="Q35" t="s">
        <v>51</v>
      </c>
    </row>
    <row r="36" spans="1:17" x14ac:dyDescent="0.2">
      <c r="A36">
        <v>35</v>
      </c>
      <c r="B36">
        <v>757</v>
      </c>
      <c r="C36">
        <v>255</v>
      </c>
      <c r="D36">
        <v>0.32400184439159502</v>
      </c>
      <c r="E36">
        <v>109.75185485820499</v>
      </c>
      <c r="F36">
        <v>1.9472306964328601</v>
      </c>
      <c r="G36">
        <v>-1818.6167356189746</v>
      </c>
      <c r="H36">
        <v>-1495.5032076854102</v>
      </c>
      <c r="I36">
        <v>313.65926370671099</v>
      </c>
      <c r="J36">
        <v>159.51418299465399</v>
      </c>
      <c r="K36">
        <v>56.363046792175297</v>
      </c>
      <c r="L36">
        <v>0.84304444588389016</v>
      </c>
      <c r="M36">
        <v>-0.84282079714220903</v>
      </c>
      <c r="N36">
        <v>47.5058191522172</v>
      </c>
      <c r="O36">
        <v>47.505814150404298</v>
      </c>
      <c r="P36">
        <v>47.505806716414099</v>
      </c>
      <c r="Q36" t="s">
        <v>51</v>
      </c>
    </row>
    <row r="37" spans="1:17" x14ac:dyDescent="0.2">
      <c r="A37">
        <v>36</v>
      </c>
      <c r="B37">
        <v>756</v>
      </c>
      <c r="C37">
        <v>255</v>
      </c>
      <c r="D37">
        <v>0.32327697614536499</v>
      </c>
      <c r="E37">
        <v>109.75189101894399</v>
      </c>
      <c r="F37">
        <v>1.9478366152998701</v>
      </c>
      <c r="G37">
        <v>-1818.3037538416074</v>
      </c>
      <c r="H37">
        <v>-1495.6972507137725</v>
      </c>
      <c r="I37">
        <v>313.471381370855</v>
      </c>
      <c r="J37">
        <v>159.52004530553501</v>
      </c>
      <c r="K37">
        <v>56.345532349512602</v>
      </c>
      <c r="L37">
        <v>0.84137909576813497</v>
      </c>
      <c r="M37">
        <v>-0.84115503566328675</v>
      </c>
      <c r="N37">
        <v>47.397198491816603</v>
      </c>
      <c r="O37">
        <v>47.397193410546002</v>
      </c>
      <c r="P37">
        <v>47.3971859651936</v>
      </c>
      <c r="Q37" t="s">
        <v>51</v>
      </c>
    </row>
    <row r="38" spans="1:17" x14ac:dyDescent="0.2">
      <c r="A38">
        <v>37</v>
      </c>
      <c r="B38">
        <v>755</v>
      </c>
      <c r="C38">
        <v>255</v>
      </c>
      <c r="D38">
        <v>0.322550697855369</v>
      </c>
      <c r="E38">
        <v>109.75192732025501</v>
      </c>
      <c r="F38">
        <v>1.9484440745048801</v>
      </c>
      <c r="G38">
        <v>-1817.9909621799709</v>
      </c>
      <c r="H38">
        <v>-1495.8911374571087</v>
      </c>
      <c r="I38">
        <v>313.28347043856002</v>
      </c>
      <c r="J38">
        <v>159.52585726153001</v>
      </c>
      <c r="K38">
        <v>56.327984342144397</v>
      </c>
      <c r="L38">
        <v>0.83972250274506988</v>
      </c>
      <c r="M38">
        <v>-0.83949803633782116</v>
      </c>
      <c r="N38">
        <v>47.289101503834402</v>
      </c>
      <c r="O38">
        <v>47.289096342731902</v>
      </c>
      <c r="P38">
        <v>47.289088886240499</v>
      </c>
      <c r="Q38" t="s">
        <v>51</v>
      </c>
    </row>
    <row r="39" spans="1:17" x14ac:dyDescent="0.2">
      <c r="A39">
        <v>38</v>
      </c>
      <c r="B39">
        <v>754</v>
      </c>
      <c r="C39">
        <v>255</v>
      </c>
      <c r="D39">
        <v>0.321823005403299</v>
      </c>
      <c r="E39">
        <v>109.751963762811</v>
      </c>
      <c r="F39">
        <v>1.9490530608240899</v>
      </c>
      <c r="G39">
        <v>-1817.6783606739373</v>
      </c>
      <c r="H39">
        <v>-1496.0848691953365</v>
      </c>
      <c r="I39">
        <v>313.09552961931797</v>
      </c>
      <c r="J39">
        <v>159.53161853583799</v>
      </c>
      <c r="K39">
        <v>56.310403225454898</v>
      </c>
      <c r="L39">
        <v>0.83807459086457581</v>
      </c>
      <c r="M39">
        <v>-0.83784972319512263</v>
      </c>
      <c r="N39">
        <v>47.181523997993501</v>
      </c>
      <c r="O39">
        <v>47.181518756689698</v>
      </c>
      <c r="P39">
        <v>47.1815112892819</v>
      </c>
      <c r="Q39" t="s">
        <v>51</v>
      </c>
    </row>
    <row r="40" spans="1:17" x14ac:dyDescent="0.2">
      <c r="A40">
        <v>39</v>
      </c>
      <c r="B40">
        <v>753</v>
      </c>
      <c r="C40">
        <v>255</v>
      </c>
      <c r="D40">
        <v>0.321093894654779</v>
      </c>
      <c r="E40">
        <v>109.7520003473</v>
      </c>
      <c r="F40">
        <v>1.9496635611237501</v>
      </c>
      <c r="G40">
        <v>-1817.3659493648715</v>
      </c>
      <c r="H40">
        <v>-1496.2784471943767</v>
      </c>
      <c r="I40">
        <v>312.90755763267902</v>
      </c>
      <c r="J40">
        <v>159.53732879799301</v>
      </c>
      <c r="K40">
        <v>56.292789451345499</v>
      </c>
      <c r="L40">
        <v>0.83643528499769015</v>
      </c>
      <c r="M40">
        <v>-0.83621002108587528</v>
      </c>
      <c r="N40">
        <v>47.074461827939501</v>
      </c>
      <c r="O40">
        <v>47.074456506069502</v>
      </c>
      <c r="P40">
        <v>47.074449027967901</v>
      </c>
      <c r="Q40" t="s">
        <v>51</v>
      </c>
    </row>
    <row r="41" spans="1:17" x14ac:dyDescent="0.2">
      <c r="A41">
        <v>40</v>
      </c>
      <c r="B41">
        <v>752</v>
      </c>
      <c r="C41">
        <v>255</v>
      </c>
      <c r="D41">
        <v>0.3203633614593</v>
      </c>
      <c r="E41">
        <v>109.752037074409</v>
      </c>
      <c r="F41">
        <v>1.9502755623647201</v>
      </c>
      <c r="G41">
        <v>-1817.0537282954504</v>
      </c>
      <c r="H41">
        <v>-1496.4718727054458</v>
      </c>
      <c r="I41">
        <v>312.71955320882</v>
      </c>
      <c r="J41">
        <v>159.54298771340399</v>
      </c>
      <c r="K41">
        <v>56.275143468102797</v>
      </c>
      <c r="L41">
        <v>0.83480451087010354</v>
      </c>
      <c r="M41">
        <v>-0.83457885571564694</v>
      </c>
      <c r="N41">
        <v>46.967910893036198</v>
      </c>
      <c r="O41">
        <v>46.967905490240099</v>
      </c>
      <c r="P41">
        <v>46.967898001666804</v>
      </c>
      <c r="Q41" t="s">
        <v>51</v>
      </c>
    </row>
    <row r="42" spans="1:17" x14ac:dyDescent="0.2">
      <c r="A42">
        <v>41</v>
      </c>
      <c r="B42">
        <v>751</v>
      </c>
      <c r="C42">
        <v>255</v>
      </c>
      <c r="D42">
        <v>0.31963140165015202</v>
      </c>
      <c r="E42">
        <v>109.75207394469901</v>
      </c>
      <c r="F42">
        <v>1.9508890515920401</v>
      </c>
      <c r="G42">
        <v>-1816.7416975075062</v>
      </c>
      <c r="H42">
        <v>-1496.6651469645078</v>
      </c>
      <c r="I42">
        <v>312.53151508702302</v>
      </c>
      <c r="J42">
        <v>159.548594944</v>
      </c>
      <c r="K42">
        <v>56.257465720634201</v>
      </c>
      <c r="L42">
        <v>0.83318219498242707</v>
      </c>
      <c r="M42">
        <v>-0.83295615356512154</v>
      </c>
      <c r="N42">
        <v>46.8618671340923</v>
      </c>
      <c r="O42">
        <v>46.861861650014603</v>
      </c>
      <c r="P42">
        <v>46.861854151191402</v>
      </c>
      <c r="Q42" t="s">
        <v>51</v>
      </c>
    </row>
    <row r="43" spans="1:17" x14ac:dyDescent="0.2">
      <c r="A43">
        <v>42</v>
      </c>
      <c r="B43">
        <v>750</v>
      </c>
      <c r="C43">
        <v>255</v>
      </c>
      <c r="D43">
        <v>0.31889801104432502</v>
      </c>
      <c r="E43">
        <v>109.752110958912</v>
      </c>
      <c r="F43">
        <v>1.9515040159427099</v>
      </c>
      <c r="G43">
        <v>-1816.4298570471065</v>
      </c>
      <c r="H43">
        <v>-1496.8582711958804</v>
      </c>
      <c r="I43">
        <v>312.34344201715902</v>
      </c>
      <c r="J43">
        <v>159.554150147965</v>
      </c>
      <c r="K43">
        <v>56.239756650408097</v>
      </c>
      <c r="L43">
        <v>0.83156826465938727</v>
      </c>
      <c r="M43">
        <v>-0.83134184193931859</v>
      </c>
      <c r="N43">
        <v>46.756326536099202</v>
      </c>
      <c r="O43">
        <v>46.756320970389403</v>
      </c>
      <c r="P43">
        <v>46.7563134615378</v>
      </c>
      <c r="Q43" t="s">
        <v>51</v>
      </c>
    </row>
    <row r="44" spans="1:17" x14ac:dyDescent="0.2">
      <c r="A44">
        <v>43</v>
      </c>
      <c r="B44">
        <v>749</v>
      </c>
      <c r="C44">
        <v>255</v>
      </c>
      <c r="D44">
        <v>0.31816318544244998</v>
      </c>
      <c r="E44">
        <v>109.75214811777199</v>
      </c>
      <c r="F44">
        <v>1.95212044263819</v>
      </c>
      <c r="G44">
        <v>-1816.118206961271</v>
      </c>
      <c r="H44">
        <v>-1497.0512466102584</v>
      </c>
      <c r="I44">
        <v>312.155332758464</v>
      </c>
      <c r="J44">
        <v>159.55965298002599</v>
      </c>
      <c r="K44">
        <v>56.222016695572002</v>
      </c>
      <c r="L44">
        <v>0.82996264799677621</v>
      </c>
      <c r="M44">
        <v>-0.82973584891451602</v>
      </c>
      <c r="N44">
        <v>46.651285125360701</v>
      </c>
      <c r="O44">
        <v>46.6512794776731</v>
      </c>
      <c r="P44">
        <v>46.651271959014402</v>
      </c>
      <c r="Q44" t="s">
        <v>51</v>
      </c>
    </row>
    <row r="45" spans="1:17" x14ac:dyDescent="0.2">
      <c r="A45">
        <v>44</v>
      </c>
      <c r="B45">
        <v>748</v>
      </c>
      <c r="C45">
        <v>255</v>
      </c>
      <c r="D45">
        <v>0.31742692062870498</v>
      </c>
      <c r="E45">
        <v>109.752185421867</v>
      </c>
      <c r="F45">
        <v>1.9527383189866101</v>
      </c>
      <c r="G45">
        <v>-1815.8067472960372</v>
      </c>
      <c r="H45">
        <v>-1497.2440744026671</v>
      </c>
      <c r="I45">
        <v>311.96718607969501</v>
      </c>
      <c r="J45">
        <v>159.565103091022</v>
      </c>
      <c r="K45">
        <v>56.2042462908313</v>
      </c>
      <c r="L45">
        <v>0.8283652738833901</v>
      </c>
      <c r="M45">
        <v>-0.82813810336020077</v>
      </c>
      <c r="N45">
        <v>46.546738970643901</v>
      </c>
      <c r="O45">
        <v>46.5467332406377</v>
      </c>
      <c r="P45">
        <v>46.546725712392799</v>
      </c>
      <c r="Q45" t="s">
        <v>51</v>
      </c>
    </row>
    <row r="46" spans="1:17" x14ac:dyDescent="0.2">
      <c r="A46">
        <v>45</v>
      </c>
      <c r="B46">
        <v>747</v>
      </c>
      <c r="C46">
        <v>255</v>
      </c>
      <c r="D46">
        <v>0.316689212370732</v>
      </c>
      <c r="E46">
        <v>109.752222871955</v>
      </c>
      <c r="F46">
        <v>1.95335763237932</v>
      </c>
      <c r="G46">
        <v>-1815.4954781014164</v>
      </c>
      <c r="H46">
        <v>-1497.4367557573987</v>
      </c>
      <c r="I46">
        <v>311.77900075919399</v>
      </c>
      <c r="J46">
        <v>159.57050012859</v>
      </c>
      <c r="K46">
        <v>56.186445867708301</v>
      </c>
      <c r="L46">
        <v>0.82677607196344238</v>
      </c>
      <c r="M46">
        <v>-0.82654853490146485</v>
      </c>
      <c r="N46">
        <v>46.442684181295398</v>
      </c>
      <c r="O46">
        <v>46.442678368634503</v>
      </c>
      <c r="P46">
        <v>46.442670831024003</v>
      </c>
      <c r="Q46" t="s">
        <v>51</v>
      </c>
    </row>
    <row r="47" spans="1:17" x14ac:dyDescent="0.2">
      <c r="A47">
        <v>46</v>
      </c>
      <c r="B47">
        <v>746</v>
      </c>
      <c r="C47">
        <v>255</v>
      </c>
      <c r="D47">
        <v>0.31595005641956603</v>
      </c>
      <c r="E47">
        <v>109.752260468701</v>
      </c>
      <c r="F47">
        <v>1.9539783702918001</v>
      </c>
      <c r="G47">
        <v>-1815.1843994271342</v>
      </c>
      <c r="H47">
        <v>-1497.6292918441914</v>
      </c>
      <c r="I47">
        <v>311.590775584504</v>
      </c>
      <c r="J47">
        <v>159.575843736689</v>
      </c>
      <c r="K47">
        <v>56.168615854386601</v>
      </c>
      <c r="L47">
        <v>0.82519497264441533</v>
      </c>
      <c r="M47">
        <v>-0.82496707392686097</v>
      </c>
      <c r="N47">
        <v>46.339116907569299</v>
      </c>
      <c r="O47">
        <v>46.339111011922803</v>
      </c>
      <c r="P47">
        <v>46.339103465167099</v>
      </c>
      <c r="Q47" t="s">
        <v>51</v>
      </c>
    </row>
    <row r="48" spans="1:17" x14ac:dyDescent="0.2">
      <c r="A48">
        <v>47</v>
      </c>
      <c r="B48">
        <v>745</v>
      </c>
      <c r="C48">
        <v>255</v>
      </c>
      <c r="D48">
        <v>0.31520944850955201</v>
      </c>
      <c r="E48">
        <v>109.75229821273901</v>
      </c>
      <c r="F48">
        <v>1.9546005202791801</v>
      </c>
      <c r="G48">
        <v>-1814.8735113236289</v>
      </c>
      <c r="H48">
        <v>-1497.8216838193766</v>
      </c>
      <c r="I48">
        <v>311.40250935227101</v>
      </c>
      <c r="J48">
        <v>159.58113355592201</v>
      </c>
      <c r="K48">
        <v>56.150756675876998</v>
      </c>
      <c r="L48">
        <v>0.82362190707784666</v>
      </c>
      <c r="M48">
        <v>-0.8233936515691781</v>
      </c>
      <c r="N48">
        <v>46.2360333396987</v>
      </c>
      <c r="O48">
        <v>46.2360273607406</v>
      </c>
      <c r="P48">
        <v>46.236019805059598</v>
      </c>
      <c r="Q48" t="s">
        <v>51</v>
      </c>
    </row>
    <row r="49" spans="1:17" x14ac:dyDescent="0.2">
      <c r="A49">
        <v>48</v>
      </c>
      <c r="B49">
        <v>744</v>
      </c>
      <c r="C49">
        <v>255</v>
      </c>
      <c r="D49">
        <v>0.31446738435825899</v>
      </c>
      <c r="E49">
        <v>109.752336104821</v>
      </c>
      <c r="F49">
        <v>1.95522406997955</v>
      </c>
      <c r="G49">
        <v>-1814.5628138444395</v>
      </c>
      <c r="H49">
        <v>-1498.0139328281778</v>
      </c>
      <c r="I49">
        <v>311.21420086837799</v>
      </c>
      <c r="J49">
        <v>159.58636922357601</v>
      </c>
      <c r="K49">
        <v>56.132868753998501</v>
      </c>
      <c r="L49">
        <v>0.82205680715043272</v>
      </c>
      <c r="M49">
        <v>-0.82182819969654508</v>
      </c>
      <c r="N49">
        <v>46.133429707393802</v>
      </c>
      <c r="O49">
        <v>46.133423644803301</v>
      </c>
      <c r="P49">
        <v>46.133416080416602</v>
      </c>
      <c r="Q49" t="s">
        <v>51</v>
      </c>
    </row>
    <row r="50" spans="1:17" x14ac:dyDescent="0.2">
      <c r="A50">
        <v>49</v>
      </c>
      <c r="B50">
        <v>743</v>
      </c>
      <c r="C50">
        <v>255</v>
      </c>
      <c r="D50">
        <v>0.31372385966638899</v>
      </c>
      <c r="E50">
        <v>109.752322712195</v>
      </c>
      <c r="F50">
        <v>1.9366664113516801</v>
      </c>
      <c r="G50">
        <v>-1814.2530034026706</v>
      </c>
      <c r="H50">
        <v>-1501.5377378429266</v>
      </c>
      <c r="I50">
        <v>307.74850287728202</v>
      </c>
      <c r="J50">
        <v>159.718465044292</v>
      </c>
      <c r="K50">
        <v>56.670742090060898</v>
      </c>
      <c r="L50">
        <v>0.64805013772769249</v>
      </c>
      <c r="M50">
        <v>-0.6477583677196822</v>
      </c>
      <c r="N50">
        <v>36.711320693915901</v>
      </c>
      <c r="O50">
        <v>36.711313059772699</v>
      </c>
      <c r="P50">
        <v>36.7113034115715</v>
      </c>
      <c r="Q50" t="s">
        <v>51</v>
      </c>
    </row>
    <row r="51" spans="1:17" x14ac:dyDescent="0.2">
      <c r="A51">
        <v>50</v>
      </c>
      <c r="B51">
        <v>742</v>
      </c>
      <c r="C51">
        <v>255</v>
      </c>
      <c r="D51">
        <v>0.31297887011771702</v>
      </c>
      <c r="E51">
        <v>109.758602649574</v>
      </c>
      <c r="F51">
        <v>1.9074375848264999</v>
      </c>
      <c r="G51">
        <v>-1814.0493718290377</v>
      </c>
      <c r="H51">
        <v>-1507.2689806718799</v>
      </c>
      <c r="I51">
        <v>302.20651080624498</v>
      </c>
      <c r="J51">
        <v>159.870441036465</v>
      </c>
      <c r="K51">
        <v>57.542434689708401</v>
      </c>
      <c r="L51">
        <v>0.3750130836102808</v>
      </c>
      <c r="M51">
        <v>-0.37462268211392591</v>
      </c>
      <c r="N51">
        <v>21.559903533725102</v>
      </c>
      <c r="O51">
        <v>21.559893385207001</v>
      </c>
      <c r="P51">
        <v>21.5598804010795</v>
      </c>
      <c r="Q51" t="s">
        <v>51</v>
      </c>
    </row>
    <row r="52" spans="1:17" x14ac:dyDescent="0.2">
      <c r="A52">
        <v>51</v>
      </c>
      <c r="B52">
        <v>741</v>
      </c>
      <c r="C52">
        <v>255</v>
      </c>
      <c r="D52">
        <v>0.31223241137898899</v>
      </c>
      <c r="E52">
        <v>109.762112154288</v>
      </c>
      <c r="F52">
        <v>1.88238882100016</v>
      </c>
      <c r="G52">
        <v>-1813.8070588607816</v>
      </c>
      <c r="H52">
        <v>-1512.3929831407472</v>
      </c>
      <c r="I52">
        <v>297.21408899138498</v>
      </c>
      <c r="J52">
        <v>159.99180291445199</v>
      </c>
      <c r="K52">
        <v>58.310010625736801</v>
      </c>
      <c r="L52">
        <v>0.13943433541564482</v>
      </c>
      <c r="M52">
        <v>-0.13895870530539087</v>
      </c>
      <c r="N52">
        <v>8.1066183890720591</v>
      </c>
      <c r="O52">
        <v>8.1066059552842198</v>
      </c>
      <c r="P52">
        <v>8.1065900089480198</v>
      </c>
      <c r="Q52" t="s">
        <v>51</v>
      </c>
    </row>
    <row r="53" spans="1:17" x14ac:dyDescent="0.2">
      <c r="A53">
        <v>52</v>
      </c>
      <c r="B53">
        <v>740</v>
      </c>
      <c r="C53">
        <v>255</v>
      </c>
      <c r="D53">
        <v>0.31148447909983901</v>
      </c>
      <c r="E53">
        <v>109.762461757355</v>
      </c>
      <c r="F53">
        <v>1.8769477070307601</v>
      </c>
      <c r="G53">
        <v>-1813.5163210179564</v>
      </c>
      <c r="H53">
        <v>-1513.7826085827617</v>
      </c>
      <c r="I53">
        <v>295.84914789915899</v>
      </c>
      <c r="J53">
        <v>160.05365797427899</v>
      </c>
      <c r="K53">
        <v>58.479232717140597</v>
      </c>
      <c r="L53">
        <v>8.1910082177967053E-2</v>
      </c>
      <c r="M53">
        <v>-8.1413876137004612E-2</v>
      </c>
      <c r="N53">
        <v>4.7651271233961596</v>
      </c>
      <c r="O53">
        <v>4.7651140236425604</v>
      </c>
      <c r="P53">
        <v>4.7650973581909604</v>
      </c>
      <c r="Q53" t="s">
        <v>51</v>
      </c>
    </row>
    <row r="54" spans="1:17" x14ac:dyDescent="0.2">
      <c r="A54">
        <v>53</v>
      </c>
      <c r="B54">
        <v>763</v>
      </c>
      <c r="C54">
        <v>235</v>
      </c>
      <c r="D54">
        <v>0.349554118612175</v>
      </c>
      <c r="E54">
        <v>109.75182764752</v>
      </c>
      <c r="F54">
        <v>1.9135366359539501</v>
      </c>
      <c r="G54">
        <v>-1821.6396342667217</v>
      </c>
      <c r="H54">
        <v>-1495.1220474011764</v>
      </c>
      <c r="I54">
        <v>315.12840806064997</v>
      </c>
      <c r="J54">
        <v>160.14423019849801</v>
      </c>
      <c r="K54">
        <v>57.355488045206002</v>
      </c>
      <c r="L54">
        <v>0.83577843392180928</v>
      </c>
      <c r="M54">
        <v>-0.83551345270706112</v>
      </c>
      <c r="N54">
        <v>47.923721351812503</v>
      </c>
      <c r="O54">
        <v>47.923717049587303</v>
      </c>
      <c r="P54">
        <v>47.923707117095702</v>
      </c>
      <c r="Q54" t="s">
        <v>51</v>
      </c>
    </row>
    <row r="55" spans="1:17" x14ac:dyDescent="0.2">
      <c r="A55">
        <v>54</v>
      </c>
      <c r="B55">
        <v>762</v>
      </c>
      <c r="C55">
        <v>235</v>
      </c>
      <c r="D55">
        <v>0.34885813650195902</v>
      </c>
      <c r="E55">
        <v>109.75185948419799</v>
      </c>
      <c r="F55">
        <v>1.9141756489055299</v>
      </c>
      <c r="G55">
        <v>-1821.3250997475329</v>
      </c>
      <c r="H55">
        <v>-1495.2965722425779</v>
      </c>
      <c r="I55">
        <v>314.96038596318198</v>
      </c>
      <c r="J55">
        <v>160.14613741805601</v>
      </c>
      <c r="K55">
        <v>57.336357583981602</v>
      </c>
      <c r="L55">
        <v>0.83518872445041059</v>
      </c>
      <c r="M55">
        <v>-0.83492362213312399</v>
      </c>
      <c r="N55">
        <v>47.873914078051001</v>
      </c>
      <c r="O55">
        <v>47.8739096826693</v>
      </c>
      <c r="P55">
        <v>47.873899746813898</v>
      </c>
      <c r="Q55" t="s">
        <v>51</v>
      </c>
    </row>
    <row r="56" spans="1:17" x14ac:dyDescent="0.2">
      <c r="A56">
        <v>55</v>
      </c>
      <c r="B56">
        <v>761</v>
      </c>
      <c r="C56">
        <v>235</v>
      </c>
      <c r="D56">
        <v>0.34816080839336999</v>
      </c>
      <c r="E56">
        <v>109.751895206429</v>
      </c>
      <c r="F56">
        <v>1.91480809134309</v>
      </c>
      <c r="G56">
        <v>-1821.0108098937847</v>
      </c>
      <c r="H56">
        <v>-1495.4906395816863</v>
      </c>
      <c r="I56">
        <v>314.77338161084799</v>
      </c>
      <c r="J56">
        <v>160.15376464710801</v>
      </c>
      <c r="K56">
        <v>57.317438600046401</v>
      </c>
      <c r="L56">
        <v>0.83357310648802996</v>
      </c>
      <c r="M56">
        <v>-0.83330755542765711</v>
      </c>
      <c r="N56">
        <v>47.765487648702504</v>
      </c>
      <c r="O56">
        <v>47.765483154134799</v>
      </c>
      <c r="P56">
        <v>47.765473202692398</v>
      </c>
      <c r="Q56" t="s">
        <v>51</v>
      </c>
    </row>
    <row r="57" spans="1:17" x14ac:dyDescent="0.2">
      <c r="A57">
        <v>56</v>
      </c>
      <c r="B57">
        <v>760</v>
      </c>
      <c r="C57">
        <v>235</v>
      </c>
      <c r="D57">
        <v>0.34746213037796903</v>
      </c>
      <c r="E57">
        <v>109.751931066932</v>
      </c>
      <c r="F57">
        <v>1.9154422611397499</v>
      </c>
      <c r="G57">
        <v>-1820.6967092453385</v>
      </c>
      <c r="H57">
        <v>-1495.6845551956008</v>
      </c>
      <c r="I57">
        <v>314.58634520803798</v>
      </c>
      <c r="J57">
        <v>160.16135409342101</v>
      </c>
      <c r="K57">
        <v>57.2984805094706</v>
      </c>
      <c r="L57">
        <v>0.83196603355598697</v>
      </c>
      <c r="M57">
        <v>-0.83170003925665359</v>
      </c>
      <c r="N57">
        <v>47.657579710121603</v>
      </c>
      <c r="O57">
        <v>47.657575115755101</v>
      </c>
      <c r="P57">
        <v>47.657565148995701</v>
      </c>
      <c r="Q57" t="s">
        <v>51</v>
      </c>
    </row>
    <row r="58" spans="1:17" x14ac:dyDescent="0.2">
      <c r="A58">
        <v>57</v>
      </c>
      <c r="B58">
        <v>759</v>
      </c>
      <c r="C58">
        <v>235</v>
      </c>
      <c r="D58">
        <v>0.34676209853219198</v>
      </c>
      <c r="E58">
        <v>109.75196706637099</v>
      </c>
      <c r="F58">
        <v>1.91607814355731</v>
      </c>
      <c r="G58">
        <v>-1820.3827978453844</v>
      </c>
      <c r="H58">
        <v>-1495.8783203412793</v>
      </c>
      <c r="I58">
        <v>314.39927548590703</v>
      </c>
      <c r="J58">
        <v>160.168905319934</v>
      </c>
      <c r="K58">
        <v>57.279483843289697</v>
      </c>
      <c r="L58">
        <v>0.83036743130805502</v>
      </c>
      <c r="M58">
        <v>-0.83010099925633341</v>
      </c>
      <c r="N58">
        <v>47.550186146518101</v>
      </c>
      <c r="O58">
        <v>47.550181451745097</v>
      </c>
      <c r="P58">
        <v>47.550171469938903</v>
      </c>
      <c r="Q58" t="s">
        <v>51</v>
      </c>
    </row>
    <row r="59" spans="1:17" x14ac:dyDescent="0.2">
      <c r="A59">
        <v>58</v>
      </c>
      <c r="B59">
        <v>758</v>
      </c>
      <c r="C59">
        <v>235</v>
      </c>
      <c r="D59">
        <v>0.34606070891722801</v>
      </c>
      <c r="E59">
        <v>109.752003205378</v>
      </c>
      <c r="F59">
        <v>1.9167157239447901</v>
      </c>
      <c r="G59">
        <v>-1820.0690757378511</v>
      </c>
      <c r="H59">
        <v>-1496.071936261055</v>
      </c>
      <c r="I59">
        <v>314.21217118558297</v>
      </c>
      <c r="J59">
        <v>160.176417885078</v>
      </c>
      <c r="K59">
        <v>57.260449128834999</v>
      </c>
      <c r="L59">
        <v>0.82877722621139371</v>
      </c>
      <c r="M59">
        <v>-0.82851036187651883</v>
      </c>
      <c r="N59">
        <v>47.443302885893502</v>
      </c>
      <c r="O59">
        <v>47.443298090111597</v>
      </c>
      <c r="P59">
        <v>47.4432880935288</v>
      </c>
      <c r="Q59" t="s">
        <v>51</v>
      </c>
    </row>
    <row r="60" spans="1:17" x14ac:dyDescent="0.2">
      <c r="A60">
        <v>59</v>
      </c>
      <c r="B60">
        <v>757</v>
      </c>
      <c r="C60">
        <v>235</v>
      </c>
      <c r="D60">
        <v>0.34535795757899301</v>
      </c>
      <c r="E60">
        <v>109.752039484693</v>
      </c>
      <c r="F60">
        <v>1.9173549877340501</v>
      </c>
      <c r="G60">
        <v>-1819.755542969664</v>
      </c>
      <c r="H60">
        <v>-1496.2654041851429</v>
      </c>
      <c r="I60">
        <v>314.02503105797803</v>
      </c>
      <c r="J60">
        <v>160.183891343234</v>
      </c>
      <c r="K60">
        <v>57.241376889941101</v>
      </c>
      <c r="L60">
        <v>0.82719534551356177</v>
      </c>
      <c r="M60">
        <v>-0.82692805434763006</v>
      </c>
      <c r="N60">
        <v>47.336925898348298</v>
      </c>
      <c r="O60">
        <v>47.3369210009607</v>
      </c>
      <c r="P60">
        <v>47.336910989871797</v>
      </c>
      <c r="Q60" t="s">
        <v>51</v>
      </c>
    </row>
    <row r="61" spans="1:17" x14ac:dyDescent="0.2">
      <c r="A61">
        <v>60</v>
      </c>
      <c r="B61">
        <v>756</v>
      </c>
      <c r="C61">
        <v>235</v>
      </c>
      <c r="D61">
        <v>0.344653840548026</v>
      </c>
      <c r="E61">
        <v>109.752075904826</v>
      </c>
      <c r="F61">
        <v>1.9179959204411401</v>
      </c>
      <c r="G61">
        <v>-1819.4421995852485</v>
      </c>
      <c r="H61">
        <v>-1496.4587253260211</v>
      </c>
      <c r="I61">
        <v>313.83785386394601</v>
      </c>
      <c r="J61">
        <v>160.19132524394999</v>
      </c>
      <c r="K61">
        <v>57.222267646733897</v>
      </c>
      <c r="L61">
        <v>0.82562171728868428</v>
      </c>
      <c r="M61">
        <v>-0.82535400472686915</v>
      </c>
      <c r="N61">
        <v>47.231051198574797</v>
      </c>
      <c r="O61">
        <v>47.2310461989902</v>
      </c>
      <c r="P61">
        <v>47.231036173665899</v>
      </c>
      <c r="Q61" t="s">
        <v>51</v>
      </c>
    </row>
    <row r="62" spans="1:17" x14ac:dyDescent="0.2">
      <c r="A62">
        <v>61</v>
      </c>
      <c r="B62">
        <v>755</v>
      </c>
      <c r="C62">
        <v>235</v>
      </c>
      <c r="D62">
        <v>0.34394835383941902</v>
      </c>
      <c r="E62">
        <v>109.752112466505</v>
      </c>
      <c r="F62">
        <v>1.9186385076631001</v>
      </c>
      <c r="G62">
        <v>-1819.1290456338122</v>
      </c>
      <c r="H62">
        <v>-1496.6519008866419</v>
      </c>
      <c r="I62">
        <v>313.65063837344002</v>
      </c>
      <c r="J62">
        <v>160.19871913313699</v>
      </c>
      <c r="K62">
        <v>57.203121915958498</v>
      </c>
      <c r="L62">
        <v>0.82405627033475182</v>
      </c>
      <c r="M62">
        <v>-0.8237881417954821</v>
      </c>
      <c r="N62">
        <v>47.125674840270896</v>
      </c>
      <c r="O62">
        <v>47.1256697379036</v>
      </c>
      <c r="P62">
        <v>47.125659698614498</v>
      </c>
      <c r="Q62" t="s">
        <v>51</v>
      </c>
    </row>
    <row r="63" spans="1:17" x14ac:dyDescent="0.2">
      <c r="A63">
        <v>62</v>
      </c>
      <c r="B63">
        <v>754</v>
      </c>
      <c r="C63">
        <v>235</v>
      </c>
      <c r="D63">
        <v>0.34324149345275801</v>
      </c>
      <c r="E63">
        <v>109.75214917040699</v>
      </c>
      <c r="F63">
        <v>1.9192827350781001</v>
      </c>
      <c r="G63">
        <v>-1818.8160811649816</v>
      </c>
      <c r="H63">
        <v>-1496.8449320551224</v>
      </c>
      <c r="I63">
        <v>313.46338336646602</v>
      </c>
      <c r="J63">
        <v>160.20607255223601</v>
      </c>
      <c r="K63">
        <v>57.183940210841897</v>
      </c>
      <c r="L63">
        <v>0.82249893425361598</v>
      </c>
      <c r="M63">
        <v>-0.82223039513877794</v>
      </c>
      <c r="N63">
        <v>47.020792920628999</v>
      </c>
      <c r="O63">
        <v>47.0207877148991</v>
      </c>
      <c r="P63">
        <v>47.020777661916199</v>
      </c>
      <c r="Q63" t="s">
        <v>51</v>
      </c>
    </row>
    <row r="64" spans="1:17" x14ac:dyDescent="0.2">
      <c r="A64">
        <v>63</v>
      </c>
      <c r="B64">
        <v>753</v>
      </c>
      <c r="C64">
        <v>235</v>
      </c>
      <c r="D64">
        <v>0.342533255372025</v>
      </c>
      <c r="E64">
        <v>109.75218601721799</v>
      </c>
      <c r="F64">
        <v>1.91992858844069</v>
      </c>
      <c r="G64">
        <v>-1818.503306229695</v>
      </c>
      <c r="H64">
        <v>-1497.0378200068524</v>
      </c>
      <c r="I64">
        <v>313.276087631959</v>
      </c>
      <c r="J64">
        <v>160.21338503882501</v>
      </c>
      <c r="K64">
        <v>57.164723041264502</v>
      </c>
      <c r="L64">
        <v>0.82094963937695675</v>
      </c>
      <c r="M64">
        <v>-0.82068069507206765</v>
      </c>
      <c r="N64">
        <v>46.916401576261201</v>
      </c>
      <c r="O64">
        <v>46.916396266594397</v>
      </c>
      <c r="P64">
        <v>46.916386200188697</v>
      </c>
      <c r="Q64" t="s">
        <v>51</v>
      </c>
    </row>
    <row r="65" spans="1:17" x14ac:dyDescent="0.2">
      <c r="A65">
        <v>64</v>
      </c>
      <c r="B65">
        <v>752</v>
      </c>
      <c r="C65">
        <v>235</v>
      </c>
      <c r="D65">
        <v>0.34182363556552797</v>
      </c>
      <c r="E65">
        <v>109.752223007572</v>
      </c>
      <c r="F65">
        <v>1.92057605358401</v>
      </c>
      <c r="G65">
        <v>-1818.1907208793057</v>
      </c>
      <c r="H65">
        <v>-1497.2305659031119</v>
      </c>
      <c r="I65">
        <v>313.08874996828803</v>
      </c>
      <c r="J65">
        <v>160.220656126233</v>
      </c>
      <c r="K65">
        <v>57.145470913667999</v>
      </c>
      <c r="L65">
        <v>0.81940831679986492</v>
      </c>
      <c r="M65">
        <v>-0.81913897267425806</v>
      </c>
      <c r="N65">
        <v>46.812496985065401</v>
      </c>
      <c r="O65">
        <v>46.812491570893499</v>
      </c>
      <c r="P65">
        <v>46.8124814913362</v>
      </c>
      <c r="Q65" t="s">
        <v>51</v>
      </c>
    </row>
    <row r="66" spans="1:17" x14ac:dyDescent="0.2">
      <c r="A66">
        <v>65</v>
      </c>
      <c r="B66">
        <v>751</v>
      </c>
      <c r="C66">
        <v>235</v>
      </c>
      <c r="D66">
        <v>0.34111262998584302</v>
      </c>
      <c r="E66">
        <v>109.752260142154</v>
      </c>
      <c r="F66">
        <v>1.9212251164169001</v>
      </c>
      <c r="G66">
        <v>-1817.8783251671337</v>
      </c>
      <c r="H66">
        <v>-1497.4231708932289</v>
      </c>
      <c r="I66">
        <v>312.90136918272202</v>
      </c>
      <c r="J66">
        <v>160.22788534397799</v>
      </c>
      <c r="K66">
        <v>57.126184331195297</v>
      </c>
      <c r="L66">
        <v>0.81787489833546778</v>
      </c>
      <c r="M66">
        <v>-0.8176051597424604</v>
      </c>
      <c r="N66">
        <v>46.7090753637655</v>
      </c>
      <c r="O66">
        <v>46.709069844526098</v>
      </c>
      <c r="P66">
        <v>46.709059752088699</v>
      </c>
      <c r="Q66" t="s">
        <v>51</v>
      </c>
    </row>
    <row r="67" spans="1:17" x14ac:dyDescent="0.2">
      <c r="A67">
        <v>66</v>
      </c>
      <c r="B67">
        <v>750</v>
      </c>
      <c r="C67">
        <v>235</v>
      </c>
      <c r="D67">
        <v>0.34040023456971302</v>
      </c>
      <c r="E67">
        <v>109.752297421618</v>
      </c>
      <c r="F67">
        <v>1.92187576292236</v>
      </c>
      <c r="G67">
        <v>-1817.5661191472327</v>
      </c>
      <c r="H67">
        <v>-1497.6156361130963</v>
      </c>
      <c r="I67">
        <v>312.71394409171</v>
      </c>
      <c r="J67">
        <v>160.23507221757501</v>
      </c>
      <c r="K67">
        <v>57.106863793698601</v>
      </c>
      <c r="L67">
        <v>0.81634931653535558</v>
      </c>
      <c r="M67">
        <v>-0.8160791888124187</v>
      </c>
      <c r="N67">
        <v>46.606132969104202</v>
      </c>
      <c r="O67">
        <v>46.606127344241003</v>
      </c>
      <c r="P67">
        <v>46.606117239194901</v>
      </c>
      <c r="Q67" t="s">
        <v>51</v>
      </c>
    </row>
    <row r="68" spans="1:17" x14ac:dyDescent="0.2">
      <c r="A68">
        <v>67</v>
      </c>
      <c r="B68">
        <v>749</v>
      </c>
      <c r="C68">
        <v>235</v>
      </c>
      <c r="D68">
        <v>0.33968644523797997</v>
      </c>
      <c r="E68">
        <v>109.75233484668399</v>
      </c>
      <c r="F68">
        <v>1.92252797915641</v>
      </c>
      <c r="G68">
        <v>-1817.254102875874</v>
      </c>
      <c r="H68">
        <v>-1497.8079626871654</v>
      </c>
      <c r="I68">
        <v>312.52647352042902</v>
      </c>
      <c r="J68">
        <v>160.24221626887001</v>
      </c>
      <c r="K68">
        <v>57.087509797824801</v>
      </c>
      <c r="L68">
        <v>0.81483150465117216</v>
      </c>
      <c r="M68">
        <v>-0.81456099312008734</v>
      </c>
      <c r="N68">
        <v>46.503666095735198</v>
      </c>
      <c r="O68">
        <v>46.503660364698199</v>
      </c>
      <c r="P68">
        <v>46.5036502473152</v>
      </c>
      <c r="Q68" t="s">
        <v>51</v>
      </c>
    </row>
    <row r="69" spans="1:17" x14ac:dyDescent="0.2">
      <c r="A69">
        <v>68</v>
      </c>
      <c r="B69">
        <v>748</v>
      </c>
      <c r="C69">
        <v>235</v>
      </c>
      <c r="D69">
        <v>0.33897125789551102</v>
      </c>
      <c r="E69">
        <v>109.75237254845899</v>
      </c>
      <c r="F69">
        <v>1.9210853379535999</v>
      </c>
      <c r="G69">
        <v>-1816.9423814881579</v>
      </c>
      <c r="H69">
        <v>-1498.2844935375715</v>
      </c>
      <c r="I69">
        <v>312.06067086016202</v>
      </c>
      <c r="J69">
        <v>160.272847143684</v>
      </c>
      <c r="K69">
        <v>57.130399352987901</v>
      </c>
      <c r="L69">
        <v>0.79914232421646425</v>
      </c>
      <c r="M69">
        <v>-0.79886515345286702</v>
      </c>
      <c r="N69">
        <v>45.641947354641701</v>
      </c>
      <c r="O69">
        <v>45.641941399987999</v>
      </c>
      <c r="P69">
        <v>45.641931033500803</v>
      </c>
      <c r="Q69" t="s">
        <v>51</v>
      </c>
    </row>
    <row r="70" spans="1:17" x14ac:dyDescent="0.2">
      <c r="A70">
        <v>69</v>
      </c>
      <c r="B70">
        <v>747</v>
      </c>
      <c r="C70">
        <v>235</v>
      </c>
      <c r="D70">
        <v>0.33825466843111501</v>
      </c>
      <c r="E70">
        <v>109.75240117019101</v>
      </c>
      <c r="F70">
        <v>1.9158958481969599</v>
      </c>
      <c r="G70">
        <v>-1816.6311054966804</v>
      </c>
      <c r="H70">
        <v>-1499.39224376831</v>
      </c>
      <c r="I70">
        <v>310.97576988142902</v>
      </c>
      <c r="J70">
        <v>160.314380167227</v>
      </c>
      <c r="K70">
        <v>57.285160502581</v>
      </c>
      <c r="L70">
        <v>0.75080125967355293</v>
      </c>
      <c r="M70">
        <v>-0.75050470896147337</v>
      </c>
      <c r="N70">
        <v>42.995414735912803</v>
      </c>
      <c r="O70">
        <v>42.995408306197902</v>
      </c>
      <c r="P70">
        <v>42.995397212706401</v>
      </c>
      <c r="Q70" t="s">
        <v>51</v>
      </c>
    </row>
    <row r="71" spans="1:17" x14ac:dyDescent="0.2">
      <c r="A71">
        <v>70</v>
      </c>
      <c r="B71">
        <v>746</v>
      </c>
      <c r="C71">
        <v>235</v>
      </c>
      <c r="D71">
        <v>0.33753667271746202</v>
      </c>
      <c r="E71">
        <v>109.75237236354</v>
      </c>
      <c r="F71">
        <v>1.89758057647339</v>
      </c>
      <c r="G71">
        <v>-1816.3215095199612</v>
      </c>
      <c r="H71">
        <v>-1502.901070876351</v>
      </c>
      <c r="I71">
        <v>307.53490790915703</v>
      </c>
      <c r="J71">
        <v>160.346000813568</v>
      </c>
      <c r="K71">
        <v>57.8380563778286</v>
      </c>
      <c r="L71">
        <v>0.57948134472084578</v>
      </c>
      <c r="M71">
        <v>-0.57911908596150907</v>
      </c>
      <c r="N71">
        <v>33.498349120307502</v>
      </c>
      <c r="O71">
        <v>33.498341267613</v>
      </c>
      <c r="P71">
        <v>33.498327683432301</v>
      </c>
      <c r="Q71" t="s">
        <v>51</v>
      </c>
    </row>
    <row r="72" spans="1:17" x14ac:dyDescent="0.2">
      <c r="A72">
        <v>71</v>
      </c>
      <c r="B72">
        <v>745</v>
      </c>
      <c r="C72">
        <v>235</v>
      </c>
      <c r="D72">
        <v>0.33681726661101002</v>
      </c>
      <c r="E72">
        <v>109.761883043065</v>
      </c>
      <c r="F72">
        <v>1.8641449519883699</v>
      </c>
      <c r="G72">
        <v>-1816.1717829477418</v>
      </c>
      <c r="H72">
        <v>-1509.43709743258</v>
      </c>
      <c r="I72">
        <v>301.271639313582</v>
      </c>
      <c r="J72">
        <v>160.32940197661901</v>
      </c>
      <c r="K72">
        <v>58.880551604095302</v>
      </c>
      <c r="L72">
        <v>0.27550124724504377</v>
      </c>
      <c r="M72">
        <v>-0.27502181813651039</v>
      </c>
      <c r="N72">
        <v>16.197755815327799</v>
      </c>
      <c r="O72">
        <v>16.197745383347598</v>
      </c>
      <c r="P72">
        <v>16.197727227220099</v>
      </c>
      <c r="Q72" t="s">
        <v>51</v>
      </c>
    </row>
    <row r="73" spans="1:17" x14ac:dyDescent="0.2">
      <c r="A73">
        <v>72</v>
      </c>
      <c r="B73">
        <v>744</v>
      </c>
      <c r="C73">
        <v>235</v>
      </c>
      <c r="D73">
        <v>0.336096445951927</v>
      </c>
      <c r="E73">
        <v>109.76273157015299</v>
      </c>
      <c r="F73">
        <v>1.8468613591790399</v>
      </c>
      <c r="G73">
        <v>-1815.886591549817</v>
      </c>
      <c r="H73">
        <v>-1513.0743201939681</v>
      </c>
      <c r="I73">
        <v>297.71224112224201</v>
      </c>
      <c r="J73">
        <v>160.31326775388899</v>
      </c>
      <c r="K73">
        <v>59.432036424728899</v>
      </c>
      <c r="L73">
        <v>0.11233205445647983</v>
      </c>
      <c r="M73">
        <v>-0.11178991853343431</v>
      </c>
      <c r="N73">
        <v>6.64881417755229</v>
      </c>
      <c r="O73">
        <v>6.6488022194264902</v>
      </c>
      <c r="P73">
        <v>6.6487815561513397</v>
      </c>
      <c r="Q73" t="s">
        <v>51</v>
      </c>
    </row>
    <row r="74" spans="1:17" x14ac:dyDescent="0.2">
      <c r="A74">
        <v>73</v>
      </c>
      <c r="B74">
        <v>743</v>
      </c>
      <c r="C74">
        <v>235</v>
      </c>
      <c r="D74">
        <v>0.33537420656399403</v>
      </c>
      <c r="E74">
        <v>109.762920506242</v>
      </c>
      <c r="F74">
        <v>1.84336430489099</v>
      </c>
      <c r="G74">
        <v>-1815.5925166187606</v>
      </c>
      <c r="H74">
        <v>-1514.0948521256673</v>
      </c>
      <c r="I74">
        <v>296.71167803839802</v>
      </c>
      <c r="J74">
        <v>160.34141153212599</v>
      </c>
      <c r="K74">
        <v>59.544887689866201</v>
      </c>
      <c r="L74">
        <v>7.2582748732684013E-2</v>
      </c>
      <c r="M74">
        <v>-7.2025588969215237E-2</v>
      </c>
      <c r="N74">
        <v>4.2938002947448197</v>
      </c>
      <c r="O74">
        <v>4.2937878242665404</v>
      </c>
      <c r="P74">
        <v>4.2937665601124104</v>
      </c>
      <c r="Q74" t="s">
        <v>51</v>
      </c>
    </row>
    <row r="75" spans="1:17" x14ac:dyDescent="0.2">
      <c r="A75">
        <v>74</v>
      </c>
      <c r="B75">
        <v>763</v>
      </c>
      <c r="C75">
        <v>215</v>
      </c>
      <c r="D75">
        <v>0.37078656565169499</v>
      </c>
      <c r="E75">
        <v>109.752011618933</v>
      </c>
      <c r="F75">
        <v>1.8792822554094999</v>
      </c>
      <c r="G75">
        <v>-1822.7998620905389</v>
      </c>
      <c r="H75">
        <v>-1495.8578065386055</v>
      </c>
      <c r="I75">
        <v>315.53824531498202</v>
      </c>
      <c r="J75">
        <v>160.80766486218101</v>
      </c>
      <c r="K75">
        <v>58.401025871985503</v>
      </c>
      <c r="L75">
        <v>0.81790318746339719</v>
      </c>
      <c r="M75">
        <v>-0.81758419253374326</v>
      </c>
      <c r="N75">
        <v>47.750977972134997</v>
      </c>
      <c r="O75">
        <v>47.7509749114691</v>
      </c>
      <c r="P75">
        <v>47.750961364777801</v>
      </c>
      <c r="Q75" t="s">
        <v>51</v>
      </c>
    </row>
    <row r="76" spans="1:17" x14ac:dyDescent="0.2">
      <c r="A76">
        <v>75</v>
      </c>
      <c r="B76">
        <v>762</v>
      </c>
      <c r="C76">
        <v>215</v>
      </c>
      <c r="D76">
        <v>0.37011109501038603</v>
      </c>
      <c r="E76">
        <v>109.752046124991</v>
      </c>
      <c r="F76">
        <v>1.8799619205974401</v>
      </c>
      <c r="G76">
        <v>-1822.4849687452554</v>
      </c>
      <c r="H76">
        <v>-1496.0445070720814</v>
      </c>
      <c r="I76">
        <v>315.35851204368299</v>
      </c>
      <c r="J76">
        <v>160.815396363579</v>
      </c>
      <c r="K76">
        <v>58.379930424395297</v>
      </c>
      <c r="L76">
        <v>0.81673597040452373</v>
      </c>
      <c r="M76">
        <v>-0.81641662298766859</v>
      </c>
      <c r="N76">
        <v>47.665563558885999</v>
      </c>
      <c r="O76">
        <v>47.665560373602403</v>
      </c>
      <c r="P76">
        <v>47.665546811005001</v>
      </c>
      <c r="Q76" t="s">
        <v>51</v>
      </c>
    </row>
    <row r="77" spans="1:17" x14ac:dyDescent="0.2">
      <c r="A77">
        <v>76</v>
      </c>
      <c r="B77">
        <v>761</v>
      </c>
      <c r="C77">
        <v>215</v>
      </c>
      <c r="D77">
        <v>0.36943431803897198</v>
      </c>
      <c r="E77">
        <v>109.752082084392</v>
      </c>
      <c r="F77">
        <v>1.8806380631474999</v>
      </c>
      <c r="G77">
        <v>-1822.170284497483</v>
      </c>
      <c r="H77">
        <v>-1496.2377157323081</v>
      </c>
      <c r="I77">
        <v>315.17234121430403</v>
      </c>
      <c r="J77">
        <v>160.82500285625699</v>
      </c>
      <c r="K77">
        <v>58.358960309836</v>
      </c>
      <c r="L77">
        <v>0.81522670735964953</v>
      </c>
      <c r="M77">
        <v>-0.81490688999177541</v>
      </c>
      <c r="N77">
        <v>47.560333474913598</v>
      </c>
      <c r="O77">
        <v>47.560330162840202</v>
      </c>
      <c r="P77">
        <v>47.560316579390602</v>
      </c>
      <c r="Q77" t="s">
        <v>51</v>
      </c>
    </row>
    <row r="78" spans="1:17" x14ac:dyDescent="0.2">
      <c r="A78">
        <v>77</v>
      </c>
      <c r="B78">
        <v>760</v>
      </c>
      <c r="C78">
        <v>215</v>
      </c>
      <c r="D78">
        <v>0.36875623094420001</v>
      </c>
      <c r="E78">
        <v>109.752118182906</v>
      </c>
      <c r="F78">
        <v>1.8813161065333699</v>
      </c>
      <c r="G78">
        <v>-1821.8557886425281</v>
      </c>
      <c r="H78">
        <v>-1496.4307851534813</v>
      </c>
      <c r="I78">
        <v>314.98612708000098</v>
      </c>
      <c r="J78">
        <v>160.83458566681301</v>
      </c>
      <c r="K78">
        <v>58.337946399205997</v>
      </c>
      <c r="L78">
        <v>0.81372535362873488</v>
      </c>
      <c r="M78">
        <v>-0.81340507223209102</v>
      </c>
      <c r="N78">
        <v>47.4555927666242</v>
      </c>
      <c r="O78">
        <v>47.455589326783397</v>
      </c>
      <c r="P78">
        <v>47.455575722801498</v>
      </c>
      <c r="Q78" t="s">
        <v>51</v>
      </c>
    </row>
    <row r="79" spans="1:17" x14ac:dyDescent="0.2">
      <c r="A79">
        <v>78</v>
      </c>
      <c r="B79">
        <v>759</v>
      </c>
      <c r="C79">
        <v>215</v>
      </c>
      <c r="D79">
        <v>0.36807682991813401</v>
      </c>
      <c r="E79">
        <v>109.75215442125</v>
      </c>
      <c r="F79">
        <v>1.88199603521979</v>
      </c>
      <c r="G79">
        <v>-1821.5414812356266</v>
      </c>
      <c r="H79">
        <v>-1496.6237164967363</v>
      </c>
      <c r="I79">
        <v>314.79986844369898</v>
      </c>
      <c r="J79">
        <v>160.84414419334601</v>
      </c>
      <c r="K79">
        <v>58.316889285280901</v>
      </c>
      <c r="L79">
        <v>0.8122318410551993</v>
      </c>
      <c r="M79">
        <v>-0.8119111015417978</v>
      </c>
      <c r="N79">
        <v>47.3513376390421</v>
      </c>
      <c r="O79">
        <v>47.351334070461697</v>
      </c>
      <c r="P79">
        <v>47.351320446268403</v>
      </c>
      <c r="Q79" t="s">
        <v>51</v>
      </c>
    </row>
    <row r="80" spans="1:17" x14ac:dyDescent="0.2">
      <c r="A80">
        <v>79</v>
      </c>
      <c r="B80">
        <v>758</v>
      </c>
      <c r="C80">
        <v>215</v>
      </c>
      <c r="D80">
        <v>0.36739611113805198</v>
      </c>
      <c r="E80">
        <v>109.752190800063</v>
      </c>
      <c r="F80">
        <v>1.88267783373872</v>
      </c>
      <c r="G80">
        <v>-1821.227362331997</v>
      </c>
      <c r="H80">
        <v>-1496.8165109097372</v>
      </c>
      <c r="I80">
        <v>314.61356411672602</v>
      </c>
      <c r="J80">
        <v>160.853677828044</v>
      </c>
      <c r="K80">
        <v>58.295789557426197</v>
      </c>
      <c r="L80">
        <v>0.81074610217846055</v>
      </c>
      <c r="M80">
        <v>-0.81042491045026055</v>
      </c>
      <c r="N80">
        <v>47.247564335158899</v>
      </c>
      <c r="O80">
        <v>47.247560636872201</v>
      </c>
      <c r="P80">
        <v>47.247546992789502</v>
      </c>
      <c r="Q80" t="s">
        <v>51</v>
      </c>
    </row>
    <row r="81" spans="1:17" x14ac:dyDescent="0.2">
      <c r="A81">
        <v>80</v>
      </c>
      <c r="B81">
        <v>757</v>
      </c>
      <c r="C81">
        <v>215</v>
      </c>
      <c r="D81">
        <v>0.36671407076639501</v>
      </c>
      <c r="E81">
        <v>109.752227320017</v>
      </c>
      <c r="F81">
        <v>1.8833614866909101</v>
      </c>
      <c r="G81">
        <v>-1820.9134319885363</v>
      </c>
      <c r="H81">
        <v>-1497.0091695274971</v>
      </c>
      <c r="I81">
        <v>314.42721291969701</v>
      </c>
      <c r="J81">
        <v>160.86318595703401</v>
      </c>
      <c r="K81">
        <v>58.274647801603599</v>
      </c>
      <c r="L81">
        <v>0.80926807026884229</v>
      </c>
      <c r="M81">
        <v>-0.8089464322179456</v>
      </c>
      <c r="N81">
        <v>47.144269138000702</v>
      </c>
      <c r="O81">
        <v>47.144265309046702</v>
      </c>
      <c r="P81">
        <v>47.144251645397397</v>
      </c>
      <c r="Q81" t="s">
        <v>51</v>
      </c>
    </row>
    <row r="82" spans="1:17" x14ac:dyDescent="0.2">
      <c r="A82">
        <v>81</v>
      </c>
      <c r="B82">
        <v>756</v>
      </c>
      <c r="C82">
        <v>215</v>
      </c>
      <c r="D82">
        <v>0.36603070495068801</v>
      </c>
      <c r="E82">
        <v>109.752263981778</v>
      </c>
      <c r="F82">
        <v>1.8840469787396199</v>
      </c>
      <c r="G82">
        <v>-1820.5996902632478</v>
      </c>
      <c r="H82">
        <v>-1497.2016934728172</v>
      </c>
      <c r="I82">
        <v>314.24081368158897</v>
      </c>
      <c r="J82">
        <v>160.872667960825</v>
      </c>
      <c r="K82">
        <v>58.253464600548298</v>
      </c>
      <c r="L82">
        <v>0.80779767927323809</v>
      </c>
      <c r="M82">
        <v>-0.80747560078205616</v>
      </c>
      <c r="N82">
        <v>47.041448367626302</v>
      </c>
      <c r="O82">
        <v>47.041444407049902</v>
      </c>
      <c r="P82">
        <v>47.041430724157898</v>
      </c>
      <c r="Q82" t="s">
        <v>51</v>
      </c>
    </row>
    <row r="83" spans="1:17" x14ac:dyDescent="0.2">
      <c r="A83">
        <v>82</v>
      </c>
      <c r="B83">
        <v>755</v>
      </c>
      <c r="C83">
        <v>215</v>
      </c>
      <c r="D83">
        <v>0.36534600982346799</v>
      </c>
      <c r="E83">
        <v>109.752300785985</v>
      </c>
      <c r="F83">
        <v>1.8847342946128101</v>
      </c>
      <c r="G83">
        <v>-1820.2861372148382</v>
      </c>
      <c r="H83">
        <v>-1497.3940838555422</v>
      </c>
      <c r="I83">
        <v>314.054365240099</v>
      </c>
      <c r="J83">
        <v>160.882123214026</v>
      </c>
      <c r="K83">
        <v>58.232240533688802</v>
      </c>
      <c r="L83">
        <v>0.80633486383779873</v>
      </c>
      <c r="M83">
        <v>-0.80601235077922884</v>
      </c>
      <c r="N83">
        <v>46.939098382408702</v>
      </c>
      <c r="O83">
        <v>46.939094289260701</v>
      </c>
      <c r="P83">
        <v>46.939080587451201</v>
      </c>
      <c r="Q83" t="s">
        <v>51</v>
      </c>
    </row>
    <row r="84" spans="1:17" x14ac:dyDescent="0.2">
      <c r="A84">
        <v>83</v>
      </c>
      <c r="B84">
        <v>754</v>
      </c>
      <c r="C84">
        <v>215</v>
      </c>
      <c r="D84">
        <v>0.36465998150221401</v>
      </c>
      <c r="E84">
        <v>109.75233773331399</v>
      </c>
      <c r="F84">
        <v>1.8854234190999699</v>
      </c>
      <c r="G84">
        <v>-1819.9727729037772</v>
      </c>
      <c r="H84">
        <v>-1497.5863417735427</v>
      </c>
      <c r="I84">
        <v>313.86786644177602</v>
      </c>
      <c r="J84">
        <v>160.89155108556099</v>
      </c>
      <c r="K84">
        <v>58.210976177280102</v>
      </c>
      <c r="L84">
        <v>0.8048795593015875</v>
      </c>
      <c r="M84">
        <v>-0.80455661753918084</v>
      </c>
      <c r="N84">
        <v>46.8372155787944</v>
      </c>
      <c r="O84">
        <v>46.837211352131597</v>
      </c>
      <c r="P84">
        <v>46.837197631730703</v>
      </c>
      <c r="Q84" t="s">
        <v>51</v>
      </c>
    </row>
    <row r="85" spans="1:17" x14ac:dyDescent="0.2">
      <c r="A85">
        <v>84</v>
      </c>
      <c r="B85">
        <v>753</v>
      </c>
      <c r="C85">
        <v>215</v>
      </c>
      <c r="D85">
        <v>0.36397261608926701</v>
      </c>
      <c r="E85">
        <v>109.752374958833</v>
      </c>
      <c r="F85">
        <v>1.88503890737423</v>
      </c>
      <c r="G85">
        <v>-1819.6596265627097</v>
      </c>
      <c r="H85">
        <v>-1497.9200903077653</v>
      </c>
      <c r="I85">
        <v>313.54336182772801</v>
      </c>
      <c r="J85">
        <v>160.90722413969399</v>
      </c>
      <c r="K85">
        <v>58.222869846073102</v>
      </c>
      <c r="L85">
        <v>0.79646154533166091</v>
      </c>
      <c r="M85">
        <v>-0.79613485533444561</v>
      </c>
      <c r="N85">
        <v>46.356475565866099</v>
      </c>
      <c r="O85">
        <v>46.356471167263699</v>
      </c>
      <c r="P85">
        <v>46.356457284399397</v>
      </c>
      <c r="Q85" t="s">
        <v>51</v>
      </c>
    </row>
    <row r="86" spans="1:17" x14ac:dyDescent="0.2">
      <c r="A86">
        <v>85</v>
      </c>
      <c r="B86">
        <v>752</v>
      </c>
      <c r="C86">
        <v>215</v>
      </c>
      <c r="D86">
        <v>0.363283909671757</v>
      </c>
      <c r="E86">
        <v>109.752411943274</v>
      </c>
      <c r="F86">
        <v>1.8828933147403899</v>
      </c>
      <c r="G86">
        <v>-1819.3469551253004</v>
      </c>
      <c r="H86">
        <v>-1498.4886344292652</v>
      </c>
      <c r="I86">
        <v>312.98970219172901</v>
      </c>
      <c r="J86">
        <v>160.935221051083</v>
      </c>
      <c r="K86">
        <v>58.2892355525765</v>
      </c>
      <c r="L86">
        <v>0.77643342320710507</v>
      </c>
      <c r="M86">
        <v>-0.77609749196637534</v>
      </c>
      <c r="N86">
        <v>45.241434873835601</v>
      </c>
      <c r="O86">
        <v>45.241430236263596</v>
      </c>
      <c r="P86">
        <v>45.2414159522828</v>
      </c>
      <c r="Q86" t="s">
        <v>51</v>
      </c>
    </row>
    <row r="87" spans="1:17" x14ac:dyDescent="0.2">
      <c r="A87">
        <v>86</v>
      </c>
      <c r="B87">
        <v>751</v>
      </c>
      <c r="C87">
        <v>215</v>
      </c>
      <c r="D87">
        <v>0.36259385832153801</v>
      </c>
      <c r="E87">
        <v>109.752447916923</v>
      </c>
      <c r="F87">
        <v>1.88053057170423</v>
      </c>
      <c r="G87">
        <v>-1819.0348363404685</v>
      </c>
      <c r="H87">
        <v>-1499.0918282285065</v>
      </c>
      <c r="I87">
        <v>312.40167566771902</v>
      </c>
      <c r="J87">
        <v>160.96716518951601</v>
      </c>
      <c r="K87">
        <v>58.3624906546776</v>
      </c>
      <c r="L87">
        <v>0.75457284147921821</v>
      </c>
      <c r="M87">
        <v>-0.75422689892550276</v>
      </c>
      <c r="N87">
        <v>44.0219591121406</v>
      </c>
      <c r="O87">
        <v>44.021954219300603</v>
      </c>
      <c r="P87">
        <v>44.021939500036403</v>
      </c>
      <c r="Q87" t="s">
        <v>51</v>
      </c>
    </row>
    <row r="88" spans="1:17" x14ac:dyDescent="0.2">
      <c r="A88">
        <v>87</v>
      </c>
      <c r="B88">
        <v>750</v>
      </c>
      <c r="C88">
        <v>215</v>
      </c>
      <c r="D88">
        <v>0.36190245809509802</v>
      </c>
      <c r="E88">
        <v>109.752437164339</v>
      </c>
      <c r="F88">
        <v>1.8653260954050599</v>
      </c>
      <c r="G88">
        <v>-1818.7233759256555</v>
      </c>
      <c r="H88">
        <v>-1501.9125363773126</v>
      </c>
      <c r="I88">
        <v>309.64622718763502</v>
      </c>
      <c r="J88">
        <v>160.93169670243699</v>
      </c>
      <c r="K88">
        <v>58.838203912279504</v>
      </c>
      <c r="L88">
        <v>0.61909008906678364</v>
      </c>
      <c r="M88">
        <v>-0.61868784241246966</v>
      </c>
      <c r="N88">
        <v>36.406445153983697</v>
      </c>
      <c r="O88">
        <v>36.406439393805897</v>
      </c>
      <c r="P88">
        <v>36.406422223818403</v>
      </c>
      <c r="Q88" t="s">
        <v>51</v>
      </c>
    </row>
    <row r="89" spans="1:17" x14ac:dyDescent="0.2">
      <c r="A89">
        <v>88</v>
      </c>
      <c r="B89">
        <v>749</v>
      </c>
      <c r="C89">
        <v>215</v>
      </c>
      <c r="D89">
        <v>0.36120970503350902</v>
      </c>
      <c r="E89">
        <v>109.758990465086</v>
      </c>
      <c r="F89">
        <v>1.8357496485482701</v>
      </c>
      <c r="G89">
        <v>-1818.5223164649765</v>
      </c>
      <c r="H89">
        <v>-1507.4620531244432</v>
      </c>
      <c r="I89">
        <v>304.324214631872</v>
      </c>
      <c r="J89">
        <v>160.78026864941</v>
      </c>
      <c r="K89">
        <v>59.789737969927003</v>
      </c>
      <c r="L89">
        <v>0.36001690531672614</v>
      </c>
      <c r="M89">
        <v>-0.35950728373912627</v>
      </c>
      <c r="N89">
        <v>21.499918515890101</v>
      </c>
      <c r="O89">
        <v>21.499911127500098</v>
      </c>
      <c r="P89">
        <v>21.499889166554599</v>
      </c>
      <c r="Q89" t="s">
        <v>51</v>
      </c>
    </row>
    <row r="90" spans="1:17" x14ac:dyDescent="0.2">
      <c r="A90">
        <v>89</v>
      </c>
      <c r="B90">
        <v>748</v>
      </c>
      <c r="C90">
        <v>215</v>
      </c>
      <c r="D90">
        <v>0.36051559516231801</v>
      </c>
      <c r="E90">
        <v>109.763032198017</v>
      </c>
      <c r="F90">
        <v>1.8128377926168899</v>
      </c>
      <c r="G90">
        <v>-1818.2861294310078</v>
      </c>
      <c r="H90">
        <v>-1512.01542649457</v>
      </c>
      <c r="I90">
        <v>299.932698341726</v>
      </c>
      <c r="J90">
        <v>160.63174334815901</v>
      </c>
      <c r="K90">
        <v>60.547630154802903</v>
      </c>
      <c r="L90">
        <v>0.15587330315062048</v>
      </c>
      <c r="M90">
        <v>-0.15527918935430127</v>
      </c>
      <c r="N90">
        <v>9.4077494074441397</v>
      </c>
      <c r="O90">
        <v>9.40774059950148</v>
      </c>
      <c r="P90">
        <v>9.4077147604843105</v>
      </c>
      <c r="Q90" t="s">
        <v>51</v>
      </c>
    </row>
    <row r="91" spans="1:17" x14ac:dyDescent="0.2">
      <c r="A91">
        <v>90</v>
      </c>
      <c r="B91">
        <v>747</v>
      </c>
      <c r="C91">
        <v>215</v>
      </c>
      <c r="D91">
        <v>0.35982012449149797</v>
      </c>
      <c r="E91">
        <v>109.763253778559</v>
      </c>
      <c r="F91">
        <v>1.8058278789687501</v>
      </c>
      <c r="G91">
        <v>-1817.9907719350585</v>
      </c>
      <c r="H91">
        <v>-1513.685649877991</v>
      </c>
      <c r="I91">
        <v>298.30023313778401</v>
      </c>
      <c r="J91">
        <v>160.599681973896</v>
      </c>
      <c r="K91">
        <v>60.782788358124698</v>
      </c>
      <c r="L91">
        <v>8.6525817650455403E-2</v>
      </c>
      <c r="M91">
        <v>-8.5903281180323907E-2</v>
      </c>
      <c r="N91">
        <v>5.2276953653528402</v>
      </c>
      <c r="O91">
        <v>5.22768590150676</v>
      </c>
      <c r="P91">
        <v>5.2276587408262003</v>
      </c>
      <c r="Q91" t="s">
        <v>51</v>
      </c>
    </row>
    <row r="92" spans="1:17" x14ac:dyDescent="0.2">
      <c r="A92">
        <v>91</v>
      </c>
      <c r="B92">
        <v>746</v>
      </c>
      <c r="C92">
        <v>215</v>
      </c>
      <c r="D92">
        <v>0.35912328901535701</v>
      </c>
      <c r="E92">
        <v>109.76334231363499</v>
      </c>
      <c r="F92">
        <v>1.80396694609732</v>
      </c>
      <c r="G92">
        <v>-1817.6942890220425</v>
      </c>
      <c r="H92">
        <v>-1514.3909285936099</v>
      </c>
      <c r="I92">
        <v>297.61009169809603</v>
      </c>
      <c r="J92">
        <v>160.61654656895601</v>
      </c>
      <c r="K92">
        <v>60.845539632029102</v>
      </c>
      <c r="L92">
        <v>6.1745182754854251E-2</v>
      </c>
      <c r="M92">
        <v>-6.1112672725270684E-2</v>
      </c>
      <c r="N92">
        <v>3.7247793199861401</v>
      </c>
      <c r="O92">
        <v>3.7247694635154498</v>
      </c>
      <c r="P92">
        <v>3.7247418402382002</v>
      </c>
      <c r="Q92" t="s">
        <v>51</v>
      </c>
    </row>
    <row r="93" spans="1:17" x14ac:dyDescent="0.2">
      <c r="A93">
        <v>92</v>
      </c>
      <c r="B93">
        <v>764</v>
      </c>
      <c r="C93">
        <v>195</v>
      </c>
      <c r="D93">
        <v>0.39267270886564198</v>
      </c>
      <c r="E93">
        <v>109.75216819586799</v>
      </c>
      <c r="F93">
        <v>1.8385187472153599</v>
      </c>
      <c r="G93">
        <v>-1824.2987492376194</v>
      </c>
      <c r="H93">
        <v>-1496.3970322319869</v>
      </c>
      <c r="I93">
        <v>316.15947448359998</v>
      </c>
      <c r="J93">
        <v>161.45818096546199</v>
      </c>
      <c r="K93">
        <v>59.695974469718799</v>
      </c>
      <c r="L93">
        <v>0.79730779533212004</v>
      </c>
      <c r="M93">
        <v>-0.79692038849152025</v>
      </c>
      <c r="N93">
        <v>47.577304295362801</v>
      </c>
      <c r="O93">
        <v>47.577304580480899</v>
      </c>
      <c r="P93">
        <v>47.577285834037397</v>
      </c>
      <c r="Q93" t="s">
        <v>51</v>
      </c>
    </row>
    <row r="94" spans="1:17" x14ac:dyDescent="0.2">
      <c r="A94">
        <v>93</v>
      </c>
      <c r="B94">
        <v>763</v>
      </c>
      <c r="C94">
        <v>195</v>
      </c>
      <c r="D94">
        <v>0.39201901269121803</v>
      </c>
      <c r="E94">
        <v>109.752200990456</v>
      </c>
      <c r="F94">
        <v>1.8392663030843801</v>
      </c>
      <c r="G94">
        <v>-1823.9832014236904</v>
      </c>
      <c r="H94">
        <v>-1496.5744039714477</v>
      </c>
      <c r="I94">
        <v>315.98888415643302</v>
      </c>
      <c r="J94">
        <v>161.466228702324</v>
      </c>
      <c r="K94">
        <v>59.6717293229405</v>
      </c>
      <c r="L94">
        <v>0.79670165926229175</v>
      </c>
      <c r="M94">
        <v>-0.79631403905683573</v>
      </c>
      <c r="N94">
        <v>47.521792008559402</v>
      </c>
      <c r="O94">
        <v>47.521792137900299</v>
      </c>
      <c r="P94">
        <v>47.521773376032399</v>
      </c>
      <c r="Q94" t="s">
        <v>51</v>
      </c>
    </row>
    <row r="95" spans="1:17" x14ac:dyDescent="0.2">
      <c r="A95">
        <v>94</v>
      </c>
      <c r="B95">
        <v>762</v>
      </c>
      <c r="C95">
        <v>195</v>
      </c>
      <c r="D95">
        <v>0.39136405351881698</v>
      </c>
      <c r="E95">
        <v>109.75223702866001</v>
      </c>
      <c r="F95">
        <v>1.8399950655497599</v>
      </c>
      <c r="G95">
        <v>-1823.6678879423162</v>
      </c>
      <c r="H95">
        <v>-1496.7667621188932</v>
      </c>
      <c r="I95">
        <v>315.80371547663498</v>
      </c>
      <c r="J95">
        <v>161.478444699574</v>
      </c>
      <c r="K95">
        <v>59.648114869193002</v>
      </c>
      <c r="L95">
        <v>0.79530578649829808</v>
      </c>
      <c r="M95">
        <v>-0.79491764847096902</v>
      </c>
      <c r="N95">
        <v>47.419689999262303</v>
      </c>
      <c r="O95">
        <v>47.4196899714766</v>
      </c>
      <c r="P95">
        <v>47.419671179319899</v>
      </c>
      <c r="Q95" t="s">
        <v>51</v>
      </c>
    </row>
    <row r="96" spans="1:17" x14ac:dyDescent="0.2">
      <c r="A96">
        <v>95</v>
      </c>
      <c r="B96">
        <v>761</v>
      </c>
      <c r="C96">
        <v>195</v>
      </c>
      <c r="D96">
        <v>0.39070782768457202</v>
      </c>
      <c r="E96">
        <v>109.752273206151</v>
      </c>
      <c r="F96">
        <v>1.8407259893102601</v>
      </c>
      <c r="G96">
        <v>-1823.3527618621365</v>
      </c>
      <c r="H96">
        <v>-1496.9589938510196</v>
      </c>
      <c r="I96">
        <v>315.61849211626799</v>
      </c>
      <c r="J96">
        <v>161.49065850864201</v>
      </c>
      <c r="K96">
        <v>59.624449181204</v>
      </c>
      <c r="L96">
        <v>0.79391722044950075</v>
      </c>
      <c r="M96">
        <v>-0.79352857096619989</v>
      </c>
      <c r="N96">
        <v>47.318049227018001</v>
      </c>
      <c r="O96">
        <v>47.318049040526802</v>
      </c>
      <c r="P96">
        <v>47.318030218435801</v>
      </c>
      <c r="Q96" t="s">
        <v>51</v>
      </c>
    </row>
    <row r="97" spans="1:17" x14ac:dyDescent="0.2">
      <c r="A97">
        <v>96</v>
      </c>
      <c r="B97">
        <v>760</v>
      </c>
      <c r="C97">
        <v>195</v>
      </c>
      <c r="D97">
        <v>0.39005033151043</v>
      </c>
      <c r="E97">
        <v>109.752309523636</v>
      </c>
      <c r="F97">
        <v>1.8414590584535699</v>
      </c>
      <c r="G97">
        <v>-1823.0378232496566</v>
      </c>
      <c r="H97">
        <v>-1497.1511002494112</v>
      </c>
      <c r="I97">
        <v>315.43321293426601</v>
      </c>
      <c r="J97">
        <v>161.50286936061801</v>
      </c>
      <c r="K97">
        <v>59.600732918713199</v>
      </c>
      <c r="L97">
        <v>0.79253589876567576</v>
      </c>
      <c r="M97">
        <v>-0.79214674419381459</v>
      </c>
      <c r="N97">
        <v>47.216866193440097</v>
      </c>
      <c r="O97">
        <v>47.216865846666799</v>
      </c>
      <c r="P97">
        <v>47.216846994998399</v>
      </c>
      <c r="Q97" t="s">
        <v>51</v>
      </c>
    </row>
    <row r="98" spans="1:17" x14ac:dyDescent="0.2">
      <c r="A98">
        <v>97</v>
      </c>
      <c r="B98">
        <v>759</v>
      </c>
      <c r="C98">
        <v>195</v>
      </c>
      <c r="D98">
        <v>0.38939156130407598</v>
      </c>
      <c r="E98">
        <v>109.7523459818</v>
      </c>
      <c r="F98">
        <v>1.8421942571101599</v>
      </c>
      <c r="G98">
        <v>-1822.7230721721</v>
      </c>
      <c r="H98">
        <v>-1497.3430823836843</v>
      </c>
      <c r="I98">
        <v>315.24787679742798</v>
      </c>
      <c r="J98">
        <v>161.51507647707101</v>
      </c>
      <c r="K98">
        <v>59.576966738549999</v>
      </c>
      <c r="L98">
        <v>0.79116175972139935</v>
      </c>
      <c r="M98">
        <v>-0.79077210643012852</v>
      </c>
      <c r="N98">
        <v>47.116137435127598</v>
      </c>
      <c r="O98">
        <v>47.116136926497902</v>
      </c>
      <c r="P98">
        <v>47.1161180456116</v>
      </c>
      <c r="Q98" t="s">
        <v>51</v>
      </c>
    </row>
    <row r="99" spans="1:17" x14ac:dyDescent="0.2">
      <c r="A99">
        <v>98</v>
      </c>
      <c r="B99">
        <v>758</v>
      </c>
      <c r="C99">
        <v>195</v>
      </c>
      <c r="D99">
        <v>0.38873151335887302</v>
      </c>
      <c r="E99">
        <v>109.752382714817</v>
      </c>
      <c r="F99">
        <v>1.84170407339701</v>
      </c>
      <c r="G99">
        <v>-1822.4085439908999</v>
      </c>
      <c r="H99">
        <v>-1497.6893298581583</v>
      </c>
      <c r="I99">
        <v>314.91282327347102</v>
      </c>
      <c r="J99">
        <v>161.52800944532399</v>
      </c>
      <c r="K99">
        <v>59.592843551884997</v>
      </c>
      <c r="L99">
        <v>0.78229045513176898</v>
      </c>
      <c r="M99">
        <v>-0.78189642806220672</v>
      </c>
      <c r="N99">
        <v>46.5998047802426</v>
      </c>
      <c r="O99">
        <v>46.599804108914597</v>
      </c>
      <c r="P99">
        <v>46.5997850043657</v>
      </c>
      <c r="Q99" t="s">
        <v>51</v>
      </c>
    </row>
    <row r="100" spans="1:17" x14ac:dyDescent="0.2">
      <c r="A100">
        <v>99</v>
      </c>
      <c r="B100">
        <v>757</v>
      </c>
      <c r="C100">
        <v>195</v>
      </c>
      <c r="D100">
        <v>0.388070183953793</v>
      </c>
      <c r="E100">
        <v>109.75241922743</v>
      </c>
      <c r="F100">
        <v>1.83960223835517</v>
      </c>
      <c r="G100">
        <v>-1822.0944870194835</v>
      </c>
      <c r="H100">
        <v>-1498.2408206051168</v>
      </c>
      <c r="I100">
        <v>314.378381796371</v>
      </c>
      <c r="J100">
        <v>161.543794353218</v>
      </c>
      <c r="K100">
        <v>59.660951122543999</v>
      </c>
      <c r="L100">
        <v>0.7634008291985549</v>
      </c>
      <c r="M100">
        <v>-0.76299728527813737</v>
      </c>
      <c r="N100">
        <v>45.525615877632298</v>
      </c>
      <c r="O100">
        <v>45.525615038221098</v>
      </c>
      <c r="P100">
        <v>45.525595451050002</v>
      </c>
      <c r="Q100" t="s">
        <v>51</v>
      </c>
    </row>
    <row r="101" spans="1:17" x14ac:dyDescent="0.2">
      <c r="A101">
        <v>100</v>
      </c>
      <c r="B101">
        <v>756</v>
      </c>
      <c r="C101">
        <v>195</v>
      </c>
      <c r="D101">
        <v>0.38740756935335302</v>
      </c>
      <c r="E101">
        <v>109.752454955814</v>
      </c>
      <c r="F101">
        <v>1.8373485705649499</v>
      </c>
      <c r="G101">
        <v>-1821.7809624930487</v>
      </c>
      <c r="H101">
        <v>-1498.8160310147707</v>
      </c>
      <c r="I101">
        <v>313.82037605305902</v>
      </c>
      <c r="J101">
        <v>161.562090441799</v>
      </c>
      <c r="K101">
        <v>59.7341499125924</v>
      </c>
      <c r="L101">
        <v>0.74326903903645902</v>
      </c>
      <c r="M101">
        <v>-0.74285541396761201</v>
      </c>
      <c r="N101">
        <v>44.378413888513499</v>
      </c>
      <c r="O101">
        <v>44.378412872326003</v>
      </c>
      <c r="P101">
        <v>44.378392772938099</v>
      </c>
      <c r="Q101" t="s">
        <v>51</v>
      </c>
    </row>
    <row r="102" spans="1:17" x14ac:dyDescent="0.2">
      <c r="A102">
        <v>101</v>
      </c>
      <c r="B102">
        <v>755</v>
      </c>
      <c r="C102">
        <v>195</v>
      </c>
      <c r="D102">
        <v>0.38674366580751801</v>
      </c>
      <c r="E102">
        <v>109.752489431699</v>
      </c>
      <c r="F102">
        <v>1.8348273815237199</v>
      </c>
      <c r="G102">
        <v>-1821.467993608228</v>
      </c>
      <c r="H102">
        <v>-1499.4323185065739</v>
      </c>
      <c r="I102">
        <v>313.22188102164603</v>
      </c>
      <c r="J102">
        <v>161.582434176313</v>
      </c>
      <c r="K102">
        <v>59.816247858998103</v>
      </c>
      <c r="L102">
        <v>0.72097869137639881</v>
      </c>
      <c r="M102">
        <v>-0.72055400845483186</v>
      </c>
      <c r="N102">
        <v>43.1055304797041</v>
      </c>
      <c r="O102">
        <v>43.105529276779002</v>
      </c>
      <c r="P102">
        <v>43.105508614638303</v>
      </c>
      <c r="Q102" t="s">
        <v>51</v>
      </c>
    </row>
    <row r="103" spans="1:17" x14ac:dyDescent="0.2">
      <c r="A103">
        <v>102</v>
      </c>
      <c r="B103">
        <v>754</v>
      </c>
      <c r="C103">
        <v>195</v>
      </c>
      <c r="D103">
        <v>0.38607846955167302</v>
      </c>
      <c r="E103">
        <v>109.75248129089999</v>
      </c>
      <c r="F103">
        <v>1.8206628408549299</v>
      </c>
      <c r="G103">
        <v>-1821.1555907494303</v>
      </c>
      <c r="H103">
        <v>-1501.9431002710826</v>
      </c>
      <c r="I103">
        <v>310.77869885701602</v>
      </c>
      <c r="J103">
        <v>161.48629065368101</v>
      </c>
      <c r="K103">
        <v>60.281606691859302</v>
      </c>
      <c r="L103">
        <v>0.60249579519842811</v>
      </c>
      <c r="M103">
        <v>-0.60201748496455521</v>
      </c>
      <c r="N103">
        <v>36.2958845910183</v>
      </c>
      <c r="O103">
        <v>36.295883107397799</v>
      </c>
      <c r="P103">
        <v>36.295859728367702</v>
      </c>
      <c r="Q103" t="s">
        <v>51</v>
      </c>
    </row>
    <row r="104" spans="1:17" x14ac:dyDescent="0.2">
      <c r="A104">
        <v>103</v>
      </c>
      <c r="B104">
        <v>753</v>
      </c>
      <c r="C104">
        <v>195</v>
      </c>
      <c r="D104">
        <v>0.38541197680651201</v>
      </c>
      <c r="E104">
        <v>109.758671361998</v>
      </c>
      <c r="F104">
        <v>1.7915518344563801</v>
      </c>
      <c r="G104">
        <v>-1820.9473848951136</v>
      </c>
      <c r="H104">
        <v>-1507.1316259405789</v>
      </c>
      <c r="I104">
        <v>305.82325289127903</v>
      </c>
      <c r="J104">
        <v>161.193593292381</v>
      </c>
      <c r="K104">
        <v>61.264580377214401</v>
      </c>
      <c r="L104">
        <v>0.36321019312243663</v>
      </c>
      <c r="M104">
        <v>-0.36262412290444468</v>
      </c>
      <c r="N104">
        <v>22.222582486744699</v>
      </c>
      <c r="O104">
        <v>22.2225805431531</v>
      </c>
      <c r="P104">
        <v>22.222551572694801</v>
      </c>
      <c r="Q104" t="s">
        <v>51</v>
      </c>
    </row>
    <row r="105" spans="1:17" x14ac:dyDescent="0.2">
      <c r="A105">
        <v>104</v>
      </c>
      <c r="B105">
        <v>752</v>
      </c>
      <c r="C105">
        <v>195</v>
      </c>
      <c r="D105">
        <v>0.38474418377798603</v>
      </c>
      <c r="E105">
        <v>109.763406950337</v>
      </c>
      <c r="F105">
        <v>1.7682737879621</v>
      </c>
      <c r="G105">
        <v>-1820.7208798332831</v>
      </c>
      <c r="H105">
        <v>-1511.544194295228</v>
      </c>
      <c r="I105">
        <v>301.59706378176702</v>
      </c>
      <c r="J105">
        <v>160.91808451564</v>
      </c>
      <c r="K105">
        <v>62.073762387688397</v>
      </c>
      <c r="L105">
        <v>0.1683657827415441</v>
      </c>
      <c r="M105">
        <v>-0.16769214232113963</v>
      </c>
      <c r="N105">
        <v>10.4168993029164</v>
      </c>
      <c r="O105">
        <v>10.4168968572142</v>
      </c>
      <c r="P105">
        <v>10.416863205868699</v>
      </c>
      <c r="Q105" t="s">
        <v>51</v>
      </c>
    </row>
    <row r="106" spans="1:17" x14ac:dyDescent="0.2">
      <c r="A106">
        <v>105</v>
      </c>
      <c r="B106">
        <v>751</v>
      </c>
      <c r="C106">
        <v>195</v>
      </c>
      <c r="D106">
        <v>0.38407508665723</v>
      </c>
      <c r="E106">
        <v>109.76362486781601</v>
      </c>
      <c r="F106">
        <v>1.7599664918001099</v>
      </c>
      <c r="G106">
        <v>-1820.4238633645875</v>
      </c>
      <c r="H106">
        <v>-1513.3828145491736</v>
      </c>
      <c r="I106">
        <v>299.806570874307</v>
      </c>
      <c r="J106">
        <v>160.82292675917</v>
      </c>
      <c r="K106">
        <v>62.366883335119297</v>
      </c>
      <c r="L106">
        <v>9.2182139040699412E-2</v>
      </c>
      <c r="M106">
        <v>-9.1474487102340948E-2</v>
      </c>
      <c r="N106">
        <v>5.7129949978663204</v>
      </c>
      <c r="O106">
        <v>5.7129921511181996</v>
      </c>
      <c r="P106">
        <v>5.7129566493313098</v>
      </c>
      <c r="Q106" t="s">
        <v>51</v>
      </c>
    </row>
    <row r="107" spans="1:17" x14ac:dyDescent="0.2">
      <c r="A107">
        <v>106</v>
      </c>
      <c r="B107">
        <v>750</v>
      </c>
      <c r="C107">
        <v>195</v>
      </c>
      <c r="D107">
        <v>0.38340468162048602</v>
      </c>
      <c r="E107">
        <v>109.76368794217299</v>
      </c>
      <c r="F107">
        <v>1.75762443224896</v>
      </c>
      <c r="G107">
        <v>-1820.1255044552031</v>
      </c>
      <c r="H107">
        <v>-1514.1656688181445</v>
      </c>
      <c r="I107">
        <v>299.042954815916</v>
      </c>
      <c r="J107">
        <v>160.81591479802901</v>
      </c>
      <c r="K107">
        <v>62.450023980223001</v>
      </c>
      <c r="L107">
        <v>6.4256883239615634E-2</v>
      </c>
      <c r="M107">
        <v>-6.3536911424419154E-2</v>
      </c>
      <c r="N107">
        <v>3.9760281890942402</v>
      </c>
      <c r="O107">
        <v>3.9760249937164098</v>
      </c>
      <c r="P107">
        <v>3.97598881667097</v>
      </c>
      <c r="Q107" t="s">
        <v>51</v>
      </c>
    </row>
    <row r="108" spans="1:17" x14ac:dyDescent="0.2">
      <c r="A108">
        <v>107</v>
      </c>
      <c r="B108">
        <v>765</v>
      </c>
      <c r="C108">
        <v>175</v>
      </c>
      <c r="D108">
        <v>0.41451668833983701</v>
      </c>
      <c r="E108">
        <v>109.752327018335</v>
      </c>
      <c r="F108">
        <v>1.7895586208726</v>
      </c>
      <c r="G108">
        <v>-1825.8273878743269</v>
      </c>
      <c r="H108">
        <v>-1496.8877250875255</v>
      </c>
      <c r="I108">
        <v>316.85491764139198</v>
      </c>
      <c r="J108">
        <v>162.05874110682601</v>
      </c>
      <c r="K108">
        <v>61.329271775863198</v>
      </c>
      <c r="L108">
        <v>0.77307484628674905</v>
      </c>
      <c r="M108">
        <v>-0.77259964771112355</v>
      </c>
      <c r="N108">
        <v>47.3890523627324</v>
      </c>
      <c r="O108">
        <v>47.389059656424799</v>
      </c>
      <c r="P108">
        <v>47.3890333058132</v>
      </c>
      <c r="Q108" t="s">
        <v>51</v>
      </c>
    </row>
    <row r="109" spans="1:17" x14ac:dyDescent="0.2">
      <c r="A109">
        <v>108</v>
      </c>
      <c r="B109">
        <v>764</v>
      </c>
      <c r="C109">
        <v>175</v>
      </c>
      <c r="D109">
        <v>0.41388468398978101</v>
      </c>
      <c r="E109">
        <v>109.75236118568</v>
      </c>
      <c r="F109">
        <v>1.7900979880049901</v>
      </c>
      <c r="G109">
        <v>-1825.511172150769</v>
      </c>
      <c r="H109">
        <v>-1497.1023679372022</v>
      </c>
      <c r="I109">
        <v>316.64858886399298</v>
      </c>
      <c r="J109">
        <v>162.07063096884801</v>
      </c>
      <c r="K109">
        <v>61.310811989680701</v>
      </c>
      <c r="L109">
        <v>0.77073325553857852</v>
      </c>
      <c r="M109">
        <v>-0.77025678211942539</v>
      </c>
      <c r="N109">
        <v>47.231148132316598</v>
      </c>
      <c r="O109">
        <v>47.231155258091299</v>
      </c>
      <c r="P109">
        <v>47.231128822189703</v>
      </c>
      <c r="Q109" t="s">
        <v>51</v>
      </c>
    </row>
    <row r="110" spans="1:17" x14ac:dyDescent="0.2">
      <c r="A110">
        <v>109</v>
      </c>
      <c r="B110">
        <v>763</v>
      </c>
      <c r="C110">
        <v>175</v>
      </c>
      <c r="D110">
        <v>0.41325145973073701</v>
      </c>
      <c r="E110">
        <v>109.75239730812601</v>
      </c>
      <c r="F110">
        <v>1.78802370955303</v>
      </c>
      <c r="G110">
        <v>-1825.1953626777845</v>
      </c>
      <c r="H110">
        <v>-1497.632935439641</v>
      </c>
      <c r="I110">
        <v>316.137411114484</v>
      </c>
      <c r="J110">
        <v>162.073050916395</v>
      </c>
      <c r="K110">
        <v>61.381958595818404</v>
      </c>
      <c r="L110">
        <v>0.75320008333138555</v>
      </c>
      <c r="M110">
        <v>-0.75271383398588065</v>
      </c>
      <c r="N110">
        <v>46.209244741994901</v>
      </c>
      <c r="O110">
        <v>46.209251840541398</v>
      </c>
      <c r="P110">
        <v>46.209224821276202</v>
      </c>
      <c r="Q110" t="s">
        <v>51</v>
      </c>
    </row>
    <row r="111" spans="1:17" x14ac:dyDescent="0.2">
      <c r="A111">
        <v>110</v>
      </c>
      <c r="B111">
        <v>762</v>
      </c>
      <c r="C111">
        <v>175</v>
      </c>
      <c r="D111">
        <v>0.41261701202724399</v>
      </c>
      <c r="E111">
        <v>109.752432864196</v>
      </c>
      <c r="F111">
        <v>1.78585570402643</v>
      </c>
      <c r="G111">
        <v>-1824.8800618203509</v>
      </c>
      <c r="H111">
        <v>-1498.1779092688785</v>
      </c>
      <c r="I111">
        <v>315.611822741879</v>
      </c>
      <c r="J111">
        <v>162.07725279216001</v>
      </c>
      <c r="K111">
        <v>61.456495402594001</v>
      </c>
      <c r="L111">
        <v>0.73492350481268764</v>
      </c>
      <c r="M111">
        <v>-0.73442710957986546</v>
      </c>
      <c r="N111">
        <v>45.141632236631203</v>
      </c>
      <c r="O111">
        <v>45.1416393051516</v>
      </c>
      <c r="P111">
        <v>45.141611678942802</v>
      </c>
      <c r="Q111" t="s">
        <v>51</v>
      </c>
    </row>
    <row r="112" spans="1:17" x14ac:dyDescent="0.2">
      <c r="A112">
        <v>111</v>
      </c>
      <c r="B112">
        <v>761</v>
      </c>
      <c r="C112">
        <v>175</v>
      </c>
      <c r="D112">
        <v>0.411981337330175</v>
      </c>
      <c r="E112">
        <v>109.752467643522</v>
      </c>
      <c r="F112">
        <v>1.7835418591313299</v>
      </c>
      <c r="G112">
        <v>-1824.5652837495513</v>
      </c>
      <c r="H112">
        <v>-1498.7446018625014</v>
      </c>
      <c r="I112">
        <v>315.064726018778</v>
      </c>
      <c r="J112">
        <v>162.08271598096701</v>
      </c>
      <c r="K112">
        <v>61.536244345269601</v>
      </c>
      <c r="L112">
        <v>0.71552115407165129</v>
      </c>
      <c r="M112">
        <v>-0.71501405578441302</v>
      </c>
      <c r="N112">
        <v>44.005723361013203</v>
      </c>
      <c r="O112">
        <v>44.005730399159802</v>
      </c>
      <c r="P112">
        <v>44.005702131267299</v>
      </c>
      <c r="Q112" t="s">
        <v>51</v>
      </c>
    </row>
    <row r="113" spans="1:17" x14ac:dyDescent="0.2">
      <c r="A113">
        <v>112</v>
      </c>
      <c r="B113">
        <v>760</v>
      </c>
      <c r="C113">
        <v>175</v>
      </c>
      <c r="D113">
        <v>0.41134443207665999</v>
      </c>
      <c r="E113">
        <v>109.75250122060901</v>
      </c>
      <c r="F113">
        <v>1.78097663413439</v>
      </c>
      <c r="G113">
        <v>-1824.2510492768004</v>
      </c>
      <c r="H113">
        <v>-1499.3477920815253</v>
      </c>
      <c r="I113">
        <v>314.48177667773399</v>
      </c>
      <c r="J113">
        <v>162.08837677791601</v>
      </c>
      <c r="K113">
        <v>61.624896765673903</v>
      </c>
      <c r="L113">
        <v>0.69422213249190556</v>
      </c>
      <c r="M113">
        <v>-0.69370339553307336</v>
      </c>
      <c r="N113">
        <v>42.755983877421002</v>
      </c>
      <c r="O113">
        <v>42.7559908899715</v>
      </c>
      <c r="P113">
        <v>42.755961923102198</v>
      </c>
      <c r="Q113" t="s">
        <v>51</v>
      </c>
    </row>
    <row r="114" spans="1:17" x14ac:dyDescent="0.2">
      <c r="A114">
        <v>113</v>
      </c>
      <c r="B114">
        <v>759</v>
      </c>
      <c r="C114">
        <v>175</v>
      </c>
      <c r="D114">
        <v>0.41070629269001901</v>
      </c>
      <c r="E114">
        <v>109.75252345912099</v>
      </c>
      <c r="F114">
        <v>1.77503016158331</v>
      </c>
      <c r="G114">
        <v>-1823.9372774793289</v>
      </c>
      <c r="H114">
        <v>-1500.451288323417</v>
      </c>
      <c r="I114">
        <v>313.413511286507</v>
      </c>
      <c r="J114">
        <v>162.04845615929801</v>
      </c>
      <c r="K114">
        <v>61.831356916900198</v>
      </c>
      <c r="L114">
        <v>0.64759998925364182</v>
      </c>
      <c r="M114">
        <v>-0.64705729897187936</v>
      </c>
      <c r="N114">
        <v>40.015320511482997</v>
      </c>
      <c r="O114">
        <v>40.0153276716267</v>
      </c>
      <c r="P114">
        <v>40.0152972771414</v>
      </c>
      <c r="Q114" t="s">
        <v>51</v>
      </c>
    </row>
    <row r="115" spans="1:17" x14ac:dyDescent="0.2">
      <c r="A115">
        <v>114</v>
      </c>
      <c r="B115">
        <v>758</v>
      </c>
      <c r="C115">
        <v>175</v>
      </c>
      <c r="D115">
        <v>0.41006691557969399</v>
      </c>
      <c r="E115">
        <v>109.752495695102</v>
      </c>
      <c r="F115">
        <v>1.7583660963240799</v>
      </c>
      <c r="G115">
        <v>-1823.6248297390798</v>
      </c>
      <c r="H115">
        <v>-1503.216508440639</v>
      </c>
      <c r="I115">
        <v>310.73321861773701</v>
      </c>
      <c r="J115">
        <v>161.83690232605099</v>
      </c>
      <c r="K115">
        <v>62.417317943369802</v>
      </c>
      <c r="L115">
        <v>0.51874275108840862</v>
      </c>
      <c r="M115">
        <v>-0.51813655687871063</v>
      </c>
      <c r="N115">
        <v>32.348430703624601</v>
      </c>
      <c r="O115">
        <v>32.348438571717999</v>
      </c>
      <c r="P115">
        <v>32.348404372971999</v>
      </c>
      <c r="Q115" t="s">
        <v>51</v>
      </c>
    </row>
    <row r="116" spans="1:17" x14ac:dyDescent="0.2">
      <c r="A116">
        <v>115</v>
      </c>
      <c r="B116">
        <v>757</v>
      </c>
      <c r="C116">
        <v>175</v>
      </c>
      <c r="D116">
        <v>0.40942629714119499</v>
      </c>
      <c r="E116">
        <v>109.762242345327</v>
      </c>
      <c r="F116">
        <v>1.7236159275290801</v>
      </c>
      <c r="G116">
        <v>-1823.475839829915</v>
      </c>
      <c r="H116">
        <v>-1509.0903893565253</v>
      </c>
      <c r="I116">
        <v>305.18921656979001</v>
      </c>
      <c r="J116">
        <v>161.27283401989999</v>
      </c>
      <c r="K116">
        <v>63.681380864633198</v>
      </c>
      <c r="L116">
        <v>0.25775711795319806</v>
      </c>
      <c r="M116">
        <v>-0.25702213659815853</v>
      </c>
      <c r="N116">
        <v>16.377045686631298</v>
      </c>
      <c r="O116">
        <v>16.377055195290701</v>
      </c>
      <c r="P116">
        <v>16.377013047043601</v>
      </c>
      <c r="Q116" t="s">
        <v>51</v>
      </c>
    </row>
    <row r="117" spans="1:17" x14ac:dyDescent="0.2">
      <c r="A117">
        <v>116</v>
      </c>
      <c r="B117">
        <v>756</v>
      </c>
      <c r="C117">
        <v>175</v>
      </c>
      <c r="D117">
        <v>0.40878443375601398</v>
      </c>
      <c r="E117">
        <v>109.76396705334901</v>
      </c>
      <c r="F117">
        <v>1.70737617534562</v>
      </c>
      <c r="G117">
        <v>-1823.2003157149366</v>
      </c>
      <c r="H117">
        <v>-1512.1164421474678</v>
      </c>
      <c r="I117">
        <v>302.27818237837801</v>
      </c>
      <c r="J117">
        <v>160.98128357758799</v>
      </c>
      <c r="K117">
        <v>64.288098099488494</v>
      </c>
      <c r="L117">
        <v>0.12932458201585353</v>
      </c>
      <c r="M117">
        <v>-0.12852643649999071</v>
      </c>
      <c r="N117">
        <v>8.2731231170677706</v>
      </c>
      <c r="O117">
        <v>8.2731332390065404</v>
      </c>
      <c r="P117">
        <v>8.2730870708268398</v>
      </c>
      <c r="Q117" t="s">
        <v>51</v>
      </c>
    </row>
    <row r="118" spans="1:17" x14ac:dyDescent="0.2">
      <c r="A118">
        <v>117</v>
      </c>
      <c r="B118">
        <v>755</v>
      </c>
      <c r="C118">
        <v>175</v>
      </c>
      <c r="D118">
        <v>0.40814132179156798</v>
      </c>
      <c r="E118">
        <v>109.764009842522</v>
      </c>
      <c r="F118">
        <v>1.70190334045457</v>
      </c>
      <c r="G118">
        <v>-1822.8994296838623</v>
      </c>
      <c r="H118">
        <v>-1513.3949136691574</v>
      </c>
      <c r="I118">
        <v>301.03625675872502</v>
      </c>
      <c r="J118">
        <v>160.89069883441201</v>
      </c>
      <c r="K118">
        <v>64.4948553971374</v>
      </c>
      <c r="L118">
        <v>7.9751654048179979E-2</v>
      </c>
      <c r="M118">
        <v>-7.8929226393957511E-2</v>
      </c>
      <c r="N118">
        <v>5.1012545025034903</v>
      </c>
      <c r="O118">
        <v>5.1012646288047199</v>
      </c>
      <c r="P118">
        <v>5.1012168888734299</v>
      </c>
      <c r="Q118" t="s">
        <v>51</v>
      </c>
    </row>
    <row r="119" spans="1:17" x14ac:dyDescent="0.2">
      <c r="A119">
        <v>118</v>
      </c>
      <c r="B119">
        <v>754</v>
      </c>
      <c r="C119">
        <v>175</v>
      </c>
      <c r="D119">
        <v>0.40749695760112897</v>
      </c>
      <c r="E119">
        <v>109.764034815315</v>
      </c>
      <c r="F119">
        <v>1.70021735672448</v>
      </c>
      <c r="G119">
        <v>-1822.599142422207</v>
      </c>
      <c r="H119">
        <v>-1514.0437745683878</v>
      </c>
      <c r="I119">
        <v>300.40535766451598</v>
      </c>
      <c r="J119">
        <v>160.87881160074201</v>
      </c>
      <c r="K119">
        <v>64.558825012102702</v>
      </c>
      <c r="L119">
        <v>5.8334710055574779E-2</v>
      </c>
      <c r="M119">
        <v>-5.7501823409786636E-2</v>
      </c>
      <c r="N119">
        <v>3.7230963148231799</v>
      </c>
      <c r="O119">
        <v>3.7231062284649301</v>
      </c>
      <c r="P119">
        <v>3.72305780217371</v>
      </c>
      <c r="Q119" t="s">
        <v>51</v>
      </c>
    </row>
    <row r="120" spans="1:17" x14ac:dyDescent="0.2">
      <c r="A120">
        <v>119</v>
      </c>
      <c r="B120">
        <v>773</v>
      </c>
      <c r="C120">
        <v>155</v>
      </c>
      <c r="D120">
        <v>0.440558715289395</v>
      </c>
      <c r="E120">
        <v>109.752282928567</v>
      </c>
      <c r="F120">
        <v>1.7223791773649599</v>
      </c>
      <c r="G120">
        <v>-1829.6182899949531</v>
      </c>
      <c r="H120">
        <v>-1496.1727399471117</v>
      </c>
      <c r="I120">
        <v>318.73919967486398</v>
      </c>
      <c r="J120">
        <v>162.45758142792499</v>
      </c>
      <c r="K120">
        <v>63.721324764547603</v>
      </c>
      <c r="L120">
        <v>0.74157760501822223</v>
      </c>
      <c r="M120">
        <v>-0.74098900290750125</v>
      </c>
      <c r="N120">
        <v>47.225712336522498</v>
      </c>
      <c r="O120">
        <v>47.225734253454199</v>
      </c>
      <c r="P120">
        <v>47.225696680768799</v>
      </c>
      <c r="Q120" t="s">
        <v>51</v>
      </c>
    </row>
    <row r="121" spans="1:17" x14ac:dyDescent="0.2">
      <c r="A121">
        <v>120</v>
      </c>
      <c r="B121">
        <v>772</v>
      </c>
      <c r="C121">
        <v>155</v>
      </c>
      <c r="D121">
        <v>0.43995646557910401</v>
      </c>
      <c r="E121">
        <v>109.752309872832</v>
      </c>
      <c r="F121">
        <v>1.7230567618564301</v>
      </c>
      <c r="G121">
        <v>-1829.3000672686067</v>
      </c>
      <c r="H121">
        <v>-1496.3583939241455</v>
      </c>
      <c r="I121">
        <v>318.56206435134402</v>
      </c>
      <c r="J121">
        <v>162.464262137302</v>
      </c>
      <c r="K121">
        <v>63.696282271388903</v>
      </c>
      <c r="L121">
        <v>0.74086801278592829</v>
      </c>
      <c r="M121">
        <v>-0.74027863484824719</v>
      </c>
      <c r="N121">
        <v>47.161896928404197</v>
      </c>
      <c r="O121">
        <v>47.161918690108102</v>
      </c>
      <c r="P121">
        <v>47.161881046612699</v>
      </c>
      <c r="Q121" t="s">
        <v>51</v>
      </c>
    </row>
    <row r="122" spans="1:17" x14ac:dyDescent="0.2">
      <c r="A122">
        <v>121</v>
      </c>
      <c r="B122">
        <v>771</v>
      </c>
      <c r="C122">
        <v>155</v>
      </c>
      <c r="D122">
        <v>0.43935306229947801</v>
      </c>
      <c r="E122">
        <v>109.752331720071</v>
      </c>
      <c r="F122">
        <v>1.7230763679351799</v>
      </c>
      <c r="G122">
        <v>-1828.9819734140628</v>
      </c>
      <c r="H122">
        <v>-1496.6005235051437</v>
      </c>
      <c r="I122">
        <v>318.33063616400699</v>
      </c>
      <c r="J122">
        <v>162.457577499075</v>
      </c>
      <c r="K122">
        <v>63.695570180438999</v>
      </c>
      <c r="L122">
        <v>0.73763597739167708</v>
      </c>
      <c r="M122">
        <v>-0.73704410620131477</v>
      </c>
      <c r="N122">
        <v>46.955361777561599</v>
      </c>
      <c r="O122">
        <v>46.955383452726501</v>
      </c>
      <c r="P122">
        <v>46.955345617700303</v>
      </c>
      <c r="Q122" t="s">
        <v>51</v>
      </c>
    </row>
    <row r="123" spans="1:17" x14ac:dyDescent="0.2">
      <c r="A123">
        <v>122</v>
      </c>
      <c r="B123">
        <v>770</v>
      </c>
      <c r="C123">
        <v>155</v>
      </c>
      <c r="D123">
        <v>0.43874850213296301</v>
      </c>
      <c r="E123">
        <v>109.752353556684</v>
      </c>
      <c r="F123">
        <v>1.72310153181613</v>
      </c>
      <c r="G123">
        <v>-1828.6641108420363</v>
      </c>
      <c r="H123">
        <v>-1496.8425517399512</v>
      </c>
      <c r="I123">
        <v>318.09908314301401</v>
      </c>
      <c r="J123">
        <v>162.45164658267799</v>
      </c>
      <c r="K123">
        <v>63.694652654046898</v>
      </c>
      <c r="L123">
        <v>0.73440127070420391</v>
      </c>
      <c r="M123">
        <v>-0.73380690826223494</v>
      </c>
      <c r="N123">
        <v>46.748510227633098</v>
      </c>
      <c r="O123">
        <v>46.7485318121877</v>
      </c>
      <c r="P123">
        <v>46.748493785330801</v>
      </c>
      <c r="Q123" t="s">
        <v>51</v>
      </c>
    </row>
    <row r="124" spans="1:17" x14ac:dyDescent="0.2">
      <c r="A124">
        <v>123</v>
      </c>
      <c r="B124">
        <v>769</v>
      </c>
      <c r="C124">
        <v>155</v>
      </c>
      <c r="D124">
        <v>0.43814278174927401</v>
      </c>
      <c r="E124">
        <v>109.752385070462</v>
      </c>
      <c r="F124">
        <v>1.72152337850632</v>
      </c>
      <c r="G124">
        <v>-1828.3467092085593</v>
      </c>
      <c r="H124">
        <v>-1497.2897387429518</v>
      </c>
      <c r="I124">
        <v>317.670702282538</v>
      </c>
      <c r="J124">
        <v>162.44192661666801</v>
      </c>
      <c r="K124">
        <v>63.753061062516302</v>
      </c>
      <c r="L124">
        <v>0.72125463794232336</v>
      </c>
      <c r="M124">
        <v>-0.72065197952999438</v>
      </c>
      <c r="N124">
        <v>45.952814818288097</v>
      </c>
      <c r="O124">
        <v>45.952836538534598</v>
      </c>
      <c r="P124">
        <v>45.952797919503901</v>
      </c>
      <c r="Q124" t="s">
        <v>51</v>
      </c>
    </row>
    <row r="125" spans="1:17" x14ac:dyDescent="0.2">
      <c r="A125">
        <v>124</v>
      </c>
      <c r="B125">
        <v>768</v>
      </c>
      <c r="C125">
        <v>155</v>
      </c>
      <c r="D125">
        <v>0.43753589780531399</v>
      </c>
      <c r="E125">
        <v>109.752419662576</v>
      </c>
      <c r="F125">
        <v>1.71927991817031</v>
      </c>
      <c r="G125">
        <v>-1828.0298531894857</v>
      </c>
      <c r="H125">
        <v>-1497.8232530196894</v>
      </c>
      <c r="I125">
        <v>317.15912226397199</v>
      </c>
      <c r="J125">
        <v>162.431415299196</v>
      </c>
      <c r="K125">
        <v>63.8362715126556</v>
      </c>
      <c r="L125">
        <v>0.70391176119619647</v>
      </c>
      <c r="M125">
        <v>-0.70329836932367018</v>
      </c>
      <c r="N125">
        <v>44.905141114804898</v>
      </c>
      <c r="O125">
        <v>44.9051630597856</v>
      </c>
      <c r="P125">
        <v>44.9051236780113</v>
      </c>
      <c r="Q125" t="s">
        <v>51</v>
      </c>
    </row>
    <row r="126" spans="1:17" x14ac:dyDescent="0.2">
      <c r="A126">
        <v>125</v>
      </c>
      <c r="B126">
        <v>767</v>
      </c>
      <c r="C126">
        <v>155</v>
      </c>
      <c r="D126">
        <v>0.43692784694515202</v>
      </c>
      <c r="E126">
        <v>109.752453536781</v>
      </c>
      <c r="F126">
        <v>1.7169063515459599</v>
      </c>
      <c r="G126">
        <v>-1827.7135053288655</v>
      </c>
      <c r="H126">
        <v>-1498.3749967669426</v>
      </c>
      <c r="I126">
        <v>316.62952460822999</v>
      </c>
      <c r="J126">
        <v>162.42109170888901</v>
      </c>
      <c r="K126">
        <v>63.924542790558199</v>
      </c>
      <c r="L126">
        <v>0.68563955377265418</v>
      </c>
      <c r="M126">
        <v>-0.68501492217873838</v>
      </c>
      <c r="N126">
        <v>43.798619251667503</v>
      </c>
      <c r="O126">
        <v>43.798641432773302</v>
      </c>
      <c r="P126">
        <v>43.798601250090002</v>
      </c>
      <c r="Q126" t="s">
        <v>51</v>
      </c>
    </row>
    <row r="127" spans="1:17" x14ac:dyDescent="0.2">
      <c r="A127">
        <v>126</v>
      </c>
      <c r="B127">
        <v>766</v>
      </c>
      <c r="C127">
        <v>155</v>
      </c>
      <c r="D127">
        <v>0.43631862579993802</v>
      </c>
      <c r="E127">
        <v>109.752486355362</v>
      </c>
      <c r="F127">
        <v>1.7143170803441501</v>
      </c>
      <c r="G127">
        <v>-1827.3976828394816</v>
      </c>
      <c r="H127">
        <v>-1498.9559673483566</v>
      </c>
      <c r="I127">
        <v>316.07129271992397</v>
      </c>
      <c r="J127">
        <v>162.409552805885</v>
      </c>
      <c r="K127">
        <v>64.021112321489895</v>
      </c>
      <c r="L127">
        <v>0.66587437197675992</v>
      </c>
      <c r="M127">
        <v>-0.66523769099731123</v>
      </c>
      <c r="N127">
        <v>42.598781315977199</v>
      </c>
      <c r="O127">
        <v>42.598803755892902</v>
      </c>
      <c r="P127">
        <v>42.5987627126338</v>
      </c>
      <c r="Q127" t="s">
        <v>51</v>
      </c>
    </row>
    <row r="128" spans="1:17" x14ac:dyDescent="0.2">
      <c r="A128">
        <v>127</v>
      </c>
      <c r="B128">
        <v>765</v>
      </c>
      <c r="C128">
        <v>155</v>
      </c>
      <c r="D128">
        <v>0.43570823098781702</v>
      </c>
      <c r="E128">
        <v>109.75251735293099</v>
      </c>
      <c r="F128">
        <v>1.71131989357053</v>
      </c>
      <c r="G128">
        <v>-1827.0824120023517</v>
      </c>
      <c r="H128">
        <v>-1499.5909025541</v>
      </c>
      <c r="I128">
        <v>315.46054469998802</v>
      </c>
      <c r="J128">
        <v>162.39361690374</v>
      </c>
      <c r="K128">
        <v>64.133256304256193</v>
      </c>
      <c r="L128">
        <v>0.64335188885369876</v>
      </c>
      <c r="M128">
        <v>-0.64270166787128047</v>
      </c>
      <c r="N128">
        <v>41.228269870542597</v>
      </c>
      <c r="O128">
        <v>41.228292617588998</v>
      </c>
      <c r="P128">
        <v>41.228250605842099</v>
      </c>
      <c r="Q128" t="s">
        <v>51</v>
      </c>
    </row>
    <row r="129" spans="1:17" x14ac:dyDescent="0.2">
      <c r="A129">
        <v>128</v>
      </c>
      <c r="B129">
        <v>764</v>
      </c>
      <c r="C129">
        <v>155</v>
      </c>
      <c r="D129">
        <v>0.43509665911391998</v>
      </c>
      <c r="E129">
        <v>109.752522592185</v>
      </c>
      <c r="F129">
        <v>1.7009540019384799</v>
      </c>
      <c r="G129">
        <v>-1826.7675724325429</v>
      </c>
      <c r="H129">
        <v>-1501.2309246572474</v>
      </c>
      <c r="I129">
        <v>313.88011423703301</v>
      </c>
      <c r="J129">
        <v>162.23102683331399</v>
      </c>
      <c r="K129">
        <v>64.524097928048803</v>
      </c>
      <c r="L129">
        <v>0.57119629065382371</v>
      </c>
      <c r="M129">
        <v>-0.57050607634141437</v>
      </c>
      <c r="N129">
        <v>36.821736083758303</v>
      </c>
      <c r="O129">
        <v>36.821760145307202</v>
      </c>
      <c r="P129">
        <v>36.821715299658898</v>
      </c>
      <c r="Q129" t="s">
        <v>51</v>
      </c>
    </row>
    <row r="130" spans="1:17" x14ac:dyDescent="0.2">
      <c r="A130">
        <v>129</v>
      </c>
      <c r="B130">
        <v>763</v>
      </c>
      <c r="C130">
        <v>155</v>
      </c>
      <c r="D130">
        <v>0.43448390677026</v>
      </c>
      <c r="E130">
        <v>109.752496370288</v>
      </c>
      <c r="F130">
        <v>1.68637805572291</v>
      </c>
      <c r="G130">
        <v>-1826.4544204752617</v>
      </c>
      <c r="H130">
        <v>-1503.51544485609</v>
      </c>
      <c r="I130">
        <v>311.676352119071</v>
      </c>
      <c r="J130">
        <v>161.966109691367</v>
      </c>
      <c r="K130">
        <v>65.081786375142997</v>
      </c>
      <c r="L130">
        <v>0.46881241499300513</v>
      </c>
      <c r="M130">
        <v>-0.46806649974336545</v>
      </c>
      <c r="N130">
        <v>30.4738424062596</v>
      </c>
      <c r="O130">
        <v>30.473868376543201</v>
      </c>
      <c r="P130">
        <v>30.4738195345682</v>
      </c>
      <c r="Q130" t="s">
        <v>51</v>
      </c>
    </row>
    <row r="131" spans="1:17" x14ac:dyDescent="0.2">
      <c r="A131">
        <v>130</v>
      </c>
      <c r="B131">
        <v>762</v>
      </c>
      <c r="C131">
        <v>155</v>
      </c>
      <c r="D131">
        <v>0.433869970535674</v>
      </c>
      <c r="E131">
        <v>109.763179318035</v>
      </c>
      <c r="F131">
        <v>1.65009578311841</v>
      </c>
      <c r="G131">
        <v>-1826.3204119166685</v>
      </c>
      <c r="H131">
        <v>-1509.2124895540042</v>
      </c>
      <c r="I131">
        <v>306.34526112264399</v>
      </c>
      <c r="J131">
        <v>161.159289120002</v>
      </c>
      <c r="K131">
        <v>66.519277511636602</v>
      </c>
      <c r="L131">
        <v>0.22420730916989629</v>
      </c>
      <c r="M131">
        <v>-0.22332841082486099</v>
      </c>
      <c r="N131">
        <v>14.8691170786624</v>
      </c>
      <c r="O131">
        <v>14.8691480382554</v>
      </c>
      <c r="P131">
        <v>14.869089364589501</v>
      </c>
      <c r="Q131" t="s">
        <v>51</v>
      </c>
    </row>
    <row r="132" spans="1:17" x14ac:dyDescent="0.2">
      <c r="A132">
        <v>131</v>
      </c>
      <c r="B132">
        <v>761</v>
      </c>
      <c r="C132">
        <v>155</v>
      </c>
      <c r="D132">
        <v>0.43325484697577799</v>
      </c>
      <c r="E132">
        <v>109.764378157142</v>
      </c>
      <c r="F132">
        <v>1.6356368464829001</v>
      </c>
      <c r="G132">
        <v>-1826.0349237142771</v>
      </c>
      <c r="H132">
        <v>-1511.7618926823736</v>
      </c>
      <c r="I132">
        <v>303.90059260644398</v>
      </c>
      <c r="J132">
        <v>160.80855972041201</v>
      </c>
      <c r="K132">
        <v>67.108037088531105</v>
      </c>
      <c r="L132">
        <v>0.12011064183311372</v>
      </c>
      <c r="M132">
        <v>-0.11917520862812241</v>
      </c>
      <c r="N132">
        <v>8.0120363805683894</v>
      </c>
      <c r="O132">
        <v>8.0120692896320804</v>
      </c>
      <c r="P132">
        <v>8.0120062991588501</v>
      </c>
      <c r="Q132" t="s">
        <v>51</v>
      </c>
    </row>
    <row r="133" spans="1:17" x14ac:dyDescent="0.2">
      <c r="A133">
        <v>132</v>
      </c>
      <c r="B133">
        <v>760</v>
      </c>
      <c r="C133">
        <v>155</v>
      </c>
      <c r="D133">
        <v>0.43263853264288998</v>
      </c>
      <c r="E133">
        <v>109.76432065546</v>
      </c>
      <c r="F133">
        <v>1.6306682986261101</v>
      </c>
      <c r="G133">
        <v>-1825.7306946914618</v>
      </c>
      <c r="H133">
        <v>-1512.8833095029711</v>
      </c>
      <c r="I133">
        <v>302.81499297060202</v>
      </c>
      <c r="J133">
        <v>160.69366947853999</v>
      </c>
      <c r="K133">
        <v>67.312475963345804</v>
      </c>
      <c r="L133">
        <v>7.8569073132470163E-2</v>
      </c>
      <c r="M133">
        <v>-7.7610969264851615E-2</v>
      </c>
      <c r="N133">
        <v>5.2389654465609903</v>
      </c>
      <c r="O133">
        <v>5.23899891288477</v>
      </c>
      <c r="P133">
        <v>5.2389341595799204</v>
      </c>
      <c r="Q133" t="s">
        <v>51</v>
      </c>
    </row>
    <row r="134" spans="1:17" x14ac:dyDescent="0.2">
      <c r="A134">
        <v>133</v>
      </c>
      <c r="B134">
        <v>759</v>
      </c>
      <c r="C134">
        <v>155</v>
      </c>
      <c r="D134">
        <v>0.43202102407596099</v>
      </c>
      <c r="E134">
        <v>109.764351325436</v>
      </c>
      <c r="F134">
        <v>1.6287266813357899</v>
      </c>
      <c r="G134">
        <v>-1825.4287460774253</v>
      </c>
      <c r="H134">
        <v>-1513.5513929722088</v>
      </c>
      <c r="I134">
        <v>302.168638338996</v>
      </c>
      <c r="J134">
        <v>160.65774255284799</v>
      </c>
      <c r="K134">
        <v>67.392738501351104</v>
      </c>
      <c r="L134">
        <v>5.6985032057610803E-2</v>
      </c>
      <c r="M134">
        <v>-5.6015055593490778E-2</v>
      </c>
      <c r="N134">
        <v>3.7899519228762202</v>
      </c>
      <c r="O134">
        <v>3.78998549324402</v>
      </c>
      <c r="P134">
        <v>3.7899198043926599</v>
      </c>
      <c r="Q134" t="s">
        <v>51</v>
      </c>
    </row>
    <row r="135" spans="1:17" x14ac:dyDescent="0.2">
      <c r="A135">
        <v>134</v>
      </c>
      <c r="B135">
        <v>783</v>
      </c>
      <c r="C135">
        <v>135</v>
      </c>
      <c r="D135">
        <v>0.46734886143066801</v>
      </c>
      <c r="E135">
        <v>109.75219046846</v>
      </c>
      <c r="F135">
        <v>1.6352252589837</v>
      </c>
      <c r="G135">
        <v>-1834.1220716369269</v>
      </c>
      <c r="H135">
        <v>-1495.0441749200568</v>
      </c>
      <c r="I135">
        <v>321.05436413317801</v>
      </c>
      <c r="J135">
        <v>162.54812826861499</v>
      </c>
      <c r="K135">
        <v>67.117475017889504</v>
      </c>
      <c r="L135">
        <v>0.70132914630168852</v>
      </c>
      <c r="M135">
        <v>-0.70059570222785728</v>
      </c>
      <c r="N135">
        <v>47.035814698606799</v>
      </c>
      <c r="O135">
        <v>47.035860887589102</v>
      </c>
      <c r="P135">
        <v>47.035806059008898</v>
      </c>
      <c r="Q135" t="s">
        <v>51</v>
      </c>
    </row>
    <row r="136" spans="1:17" x14ac:dyDescent="0.2">
      <c r="A136">
        <v>135</v>
      </c>
      <c r="B136">
        <v>782</v>
      </c>
      <c r="C136">
        <v>135</v>
      </c>
      <c r="D136">
        <v>0.466777709330429</v>
      </c>
      <c r="E136">
        <v>109.752217982989</v>
      </c>
      <c r="F136">
        <v>1.63618758656082</v>
      </c>
      <c r="G136">
        <v>-1833.8015401282514</v>
      </c>
      <c r="H136">
        <v>-1495.2127496021096</v>
      </c>
      <c r="I136">
        <v>320.895096771581</v>
      </c>
      <c r="J136">
        <v>162.561963081562</v>
      </c>
      <c r="K136">
        <v>67.078016533350095</v>
      </c>
      <c r="L136">
        <v>0.70144542362316875</v>
      </c>
      <c r="M136">
        <v>-0.70071149858804782</v>
      </c>
      <c r="N136">
        <v>47.015910746197001</v>
      </c>
      <c r="O136">
        <v>47.0159568300746</v>
      </c>
      <c r="P136">
        <v>47.015901951916398</v>
      </c>
      <c r="Q136" t="s">
        <v>51</v>
      </c>
    </row>
    <row r="137" spans="1:17" x14ac:dyDescent="0.2">
      <c r="A137">
        <v>136</v>
      </c>
      <c r="B137">
        <v>781</v>
      </c>
      <c r="C137">
        <v>135</v>
      </c>
      <c r="D137">
        <v>0.46620547360432502</v>
      </c>
      <c r="E137">
        <v>109.752239006498</v>
      </c>
      <c r="F137">
        <v>1.6362907304388601</v>
      </c>
      <c r="G137">
        <v>-1833.4810976753217</v>
      </c>
      <c r="H137">
        <v>-1495.4514828175199</v>
      </c>
      <c r="I137">
        <v>320.66906915774803</v>
      </c>
      <c r="J137">
        <v>162.552640880908</v>
      </c>
      <c r="K137">
        <v>67.073801106886407</v>
      </c>
      <c r="L137">
        <v>0.69855473294553849</v>
      </c>
      <c r="M137">
        <v>-0.69781810750512008</v>
      </c>
      <c r="N137">
        <v>46.818906315155502</v>
      </c>
      <c r="O137">
        <v>46.818952452571999</v>
      </c>
      <c r="P137">
        <v>46.818897334613098</v>
      </c>
      <c r="Q137" t="s">
        <v>51</v>
      </c>
    </row>
    <row r="138" spans="1:17" x14ac:dyDescent="0.2">
      <c r="A138">
        <v>137</v>
      </c>
      <c r="B138">
        <v>780</v>
      </c>
      <c r="C138">
        <v>135</v>
      </c>
      <c r="D138">
        <v>0.46563215116555001</v>
      </c>
      <c r="E138">
        <v>109.752260027761</v>
      </c>
      <c r="F138">
        <v>1.6363996363958699</v>
      </c>
      <c r="G138">
        <v>-1833.1608812193479</v>
      </c>
      <c r="H138">
        <v>-1495.6900752796821</v>
      </c>
      <c r="I138">
        <v>320.44296054720201</v>
      </c>
      <c r="J138">
        <v>162.544032417849</v>
      </c>
      <c r="K138">
        <v>67.069350045498595</v>
      </c>
      <c r="L138">
        <v>0.69566295276201662</v>
      </c>
      <c r="M138">
        <v>-0.69492362639445926</v>
      </c>
      <c r="N138">
        <v>46.621689142007497</v>
      </c>
      <c r="O138">
        <v>46.621735329614602</v>
      </c>
      <c r="P138">
        <v>46.621679971192997</v>
      </c>
      <c r="Q138" t="s">
        <v>51</v>
      </c>
    </row>
    <row r="139" spans="1:17" x14ac:dyDescent="0.2">
      <c r="A139">
        <v>138</v>
      </c>
      <c r="B139">
        <v>779</v>
      </c>
      <c r="C139">
        <v>135</v>
      </c>
      <c r="D139">
        <v>0.46505773891555402</v>
      </c>
      <c r="E139">
        <v>109.752281049255</v>
      </c>
      <c r="F139">
        <v>1.63651471271303</v>
      </c>
      <c r="G139">
        <v>-1832.8408908684924</v>
      </c>
      <c r="H139">
        <v>-1495.9284988314259</v>
      </c>
      <c r="I139">
        <v>320.21679756751598</v>
      </c>
      <c r="J139">
        <v>162.53614507640299</v>
      </c>
      <c r="K139">
        <v>67.064646713323199</v>
      </c>
      <c r="L139">
        <v>0.69277135590587957</v>
      </c>
      <c r="M139">
        <v>-0.69202932920653681</v>
      </c>
      <c r="N139">
        <v>46.424335188050499</v>
      </c>
      <c r="O139">
        <v>46.424381422355403</v>
      </c>
      <c r="P139">
        <v>46.424325822897302</v>
      </c>
      <c r="Q139" t="s">
        <v>51</v>
      </c>
    </row>
    <row r="140" spans="1:17" x14ac:dyDescent="0.2">
      <c r="A140">
        <v>139</v>
      </c>
      <c r="B140">
        <v>778</v>
      </c>
      <c r="C140">
        <v>135</v>
      </c>
      <c r="D140">
        <v>0.464482233743996</v>
      </c>
      <c r="E140">
        <v>109.75230207347499</v>
      </c>
      <c r="F140">
        <v>1.6366363535913</v>
      </c>
      <c r="G140">
        <v>-1832.5211267049597</v>
      </c>
      <c r="H140">
        <v>-1496.1667261344462</v>
      </c>
      <c r="I140">
        <v>319.99060614401799</v>
      </c>
      <c r="J140">
        <v>162.528985969621</v>
      </c>
      <c r="K140">
        <v>67.059675066268696</v>
      </c>
      <c r="L140">
        <v>0.68988118103768703</v>
      </c>
      <c r="M140">
        <v>-0.68913645569397042</v>
      </c>
      <c r="N140">
        <v>46.226918698784502</v>
      </c>
      <c r="O140">
        <v>46.226964976151699</v>
      </c>
      <c r="P140">
        <v>46.226909135169798</v>
      </c>
      <c r="Q140" t="s">
        <v>51</v>
      </c>
    </row>
    <row r="141" spans="1:17" x14ac:dyDescent="0.2">
      <c r="A141">
        <v>140</v>
      </c>
      <c r="B141">
        <v>777</v>
      </c>
      <c r="C141">
        <v>135</v>
      </c>
      <c r="D141">
        <v>0.46390563252868899</v>
      </c>
      <c r="E141">
        <v>109.75232310298399</v>
      </c>
      <c r="F141">
        <v>1.6367649380346401</v>
      </c>
      <c r="G141">
        <v>-1832.2015887864941</v>
      </c>
      <c r="H141">
        <v>-1496.4047307649332</v>
      </c>
      <c r="I141">
        <v>319.76441140682402</v>
      </c>
      <c r="J141">
        <v>162.52256195167999</v>
      </c>
      <c r="K141">
        <v>67.054419698634604</v>
      </c>
      <c r="L141">
        <v>0.68699362824730592</v>
      </c>
      <c r="M141">
        <v>-0.68624620701015449</v>
      </c>
      <c r="N141">
        <v>46.029511929731598</v>
      </c>
      <c r="O141">
        <v>46.029558246384902</v>
      </c>
      <c r="P141">
        <v>46.029502163476103</v>
      </c>
      <c r="Q141" t="s">
        <v>51</v>
      </c>
    </row>
    <row r="142" spans="1:17" x14ac:dyDescent="0.2">
      <c r="A142">
        <v>141</v>
      </c>
      <c r="B142">
        <v>776</v>
      </c>
      <c r="C142">
        <v>135</v>
      </c>
      <c r="D142">
        <v>0.46332793213554102</v>
      </c>
      <c r="E142">
        <v>109.752350485387</v>
      </c>
      <c r="F142">
        <v>1.6356882003381099</v>
      </c>
      <c r="G142">
        <v>-1831.8824133702299</v>
      </c>
      <c r="H142">
        <v>-1496.7805562253473</v>
      </c>
      <c r="I142">
        <v>319.406788948138</v>
      </c>
      <c r="J142">
        <v>162.50472524462199</v>
      </c>
      <c r="K142">
        <v>67.098576894239798</v>
      </c>
      <c r="L142">
        <v>0.67760969473750754</v>
      </c>
      <c r="M142">
        <v>-0.67685539490061819</v>
      </c>
      <c r="N142">
        <v>45.429808633926697</v>
      </c>
      <c r="O142">
        <v>45.4298552772675</v>
      </c>
      <c r="P142">
        <v>45.429798601700298</v>
      </c>
      <c r="Q142" t="s">
        <v>51</v>
      </c>
    </row>
    <row r="143" spans="1:17" x14ac:dyDescent="0.2">
      <c r="A143">
        <v>142</v>
      </c>
      <c r="B143">
        <v>775</v>
      </c>
      <c r="C143">
        <v>135</v>
      </c>
      <c r="D143">
        <v>0.46274912941850099</v>
      </c>
      <c r="E143">
        <v>109.752383825303</v>
      </c>
      <c r="F143">
        <v>1.6333297245694101</v>
      </c>
      <c r="G143">
        <v>-1831.563795036152</v>
      </c>
      <c r="H143">
        <v>-1497.3038505969612</v>
      </c>
      <c r="I143">
        <v>318.90834500991099</v>
      </c>
      <c r="J143">
        <v>162.47473712546201</v>
      </c>
      <c r="K143">
        <v>67.195485500784002</v>
      </c>
      <c r="L143">
        <v>0.66125939959719815</v>
      </c>
      <c r="M143">
        <v>-0.66049375109639696</v>
      </c>
      <c r="N143">
        <v>44.3961682607694</v>
      </c>
      <c r="O143">
        <v>44.396215537227597</v>
      </c>
      <c r="P143">
        <v>44.396157891734802</v>
      </c>
      <c r="Q143" t="s">
        <v>51</v>
      </c>
    </row>
    <row r="144" spans="1:17" x14ac:dyDescent="0.2">
      <c r="A144">
        <v>143</v>
      </c>
      <c r="B144">
        <v>774</v>
      </c>
      <c r="C144">
        <v>135</v>
      </c>
      <c r="D144">
        <v>0.46216922121950399</v>
      </c>
      <c r="E144">
        <v>109.752416459543</v>
      </c>
      <c r="F144">
        <v>1.6308434397264</v>
      </c>
      <c r="G144">
        <v>-1831.2456711089333</v>
      </c>
      <c r="H144">
        <v>-1497.8436639780723</v>
      </c>
      <c r="I144">
        <v>318.393648801121</v>
      </c>
      <c r="J144">
        <v>162.44364247923701</v>
      </c>
      <c r="K144">
        <v>67.297947666856402</v>
      </c>
      <c r="L144">
        <v>0.64408907976525387</v>
      </c>
      <c r="M144">
        <v>-0.64331158893680285</v>
      </c>
      <c r="N144">
        <v>43.307724333989697</v>
      </c>
      <c r="O144">
        <v>43.307772272835102</v>
      </c>
      <c r="P144">
        <v>43.307713611773302</v>
      </c>
      <c r="Q144" t="s">
        <v>51</v>
      </c>
    </row>
    <row r="145" spans="1:17" x14ac:dyDescent="0.2">
      <c r="A145">
        <v>144</v>
      </c>
      <c r="B145">
        <v>773</v>
      </c>
      <c r="C145">
        <v>135</v>
      </c>
      <c r="D145">
        <v>0.46158820436839998</v>
      </c>
      <c r="E145">
        <v>109.752448078672</v>
      </c>
      <c r="F145">
        <v>1.6281486993434899</v>
      </c>
      <c r="G145">
        <v>-1830.9280568372751</v>
      </c>
      <c r="H145">
        <v>-1498.4094234216238</v>
      </c>
      <c r="I145">
        <v>317.85365862086798</v>
      </c>
      <c r="J145">
        <v>162.409570728636</v>
      </c>
      <c r="K145">
        <v>67.409351567782096</v>
      </c>
      <c r="L145">
        <v>0.62562942994711634</v>
      </c>
      <c r="M145">
        <v>-0.62483932590868052</v>
      </c>
      <c r="N145">
        <v>42.134408481461001</v>
      </c>
      <c r="O145">
        <v>42.1344571310836</v>
      </c>
      <c r="P145">
        <v>42.1343973848454</v>
      </c>
      <c r="Q145" t="s">
        <v>51</v>
      </c>
    </row>
    <row r="146" spans="1:17" x14ac:dyDescent="0.2">
      <c r="A146">
        <v>145</v>
      </c>
      <c r="B146">
        <v>772</v>
      </c>
      <c r="C146">
        <v>135</v>
      </c>
      <c r="D146">
        <v>0.46100607568291702</v>
      </c>
      <c r="E146">
        <v>109.752478035195</v>
      </c>
      <c r="F146">
        <v>1.6250790955633501</v>
      </c>
      <c r="G146">
        <v>-1830.6109750505127</v>
      </c>
      <c r="H146">
        <v>-1499.0206313254328</v>
      </c>
      <c r="I146">
        <v>317.26966693704497</v>
      </c>
      <c r="J146">
        <v>162.36865119818901</v>
      </c>
      <c r="K146">
        <v>67.536699188877805</v>
      </c>
      <c r="L146">
        <v>0.60491305117604899</v>
      </c>
      <c r="M146">
        <v>-0.60410899128825812</v>
      </c>
      <c r="N146">
        <v>40.8141690024176</v>
      </c>
      <c r="O146">
        <v>40.814218450878997</v>
      </c>
      <c r="P146">
        <v>40.814157500417899</v>
      </c>
      <c r="Q146" t="s">
        <v>51</v>
      </c>
    </row>
    <row r="147" spans="1:17" x14ac:dyDescent="0.2">
      <c r="A147">
        <v>146</v>
      </c>
      <c r="B147">
        <v>771</v>
      </c>
      <c r="C147">
        <v>135</v>
      </c>
      <c r="D147">
        <v>0.46042283196858502</v>
      </c>
      <c r="E147">
        <v>109.752504562322</v>
      </c>
      <c r="F147">
        <v>1.6211913099058299</v>
      </c>
      <c r="G147">
        <v>-1830.2944612924641</v>
      </c>
      <c r="H147">
        <v>-1499.7295879071016</v>
      </c>
      <c r="I147">
        <v>316.59150093745001</v>
      </c>
      <c r="J147">
        <v>162.31039095938999</v>
      </c>
      <c r="K147">
        <v>67.698675592270405</v>
      </c>
      <c r="L147">
        <v>0.57935477109763889</v>
      </c>
      <c r="M147">
        <v>-0.57853388807941653</v>
      </c>
      <c r="N147">
        <v>39.180925498979597</v>
      </c>
      <c r="O147">
        <v>39.180975940610701</v>
      </c>
      <c r="P147">
        <v>39.180913534992101</v>
      </c>
      <c r="Q147" t="s">
        <v>51</v>
      </c>
    </row>
    <row r="148" spans="1:17" x14ac:dyDescent="0.2">
      <c r="A148">
        <v>147</v>
      </c>
      <c r="B148">
        <v>770</v>
      </c>
      <c r="C148">
        <v>135</v>
      </c>
      <c r="D148">
        <v>0.45983847001869499</v>
      </c>
      <c r="E148">
        <v>109.75248973504399</v>
      </c>
      <c r="F148">
        <v>1.60648686018359</v>
      </c>
      <c r="G148">
        <v>-1829.978531656071</v>
      </c>
      <c r="H148">
        <v>-1501.7976092965459</v>
      </c>
      <c r="I148">
        <v>314.609955006711</v>
      </c>
      <c r="J148">
        <v>161.96259651851301</v>
      </c>
      <c r="K148">
        <v>68.318323949753193</v>
      </c>
      <c r="L148">
        <v>0.48923240369882492</v>
      </c>
      <c r="M148">
        <v>-0.48835701914395235</v>
      </c>
      <c r="N148">
        <v>33.379768078039803</v>
      </c>
      <c r="O148">
        <v>33.379822147421002</v>
      </c>
      <c r="P148">
        <v>33.379755024112903</v>
      </c>
      <c r="Q148" t="s">
        <v>51</v>
      </c>
    </row>
    <row r="149" spans="1:17" x14ac:dyDescent="0.2">
      <c r="A149">
        <v>148</v>
      </c>
      <c r="B149">
        <v>769</v>
      </c>
      <c r="C149">
        <v>135</v>
      </c>
      <c r="D149">
        <v>0.45925298661421299</v>
      </c>
      <c r="E149">
        <v>109.758850023496</v>
      </c>
      <c r="F149">
        <v>1.5770153272460099</v>
      </c>
      <c r="G149">
        <v>-1829.7692010212304</v>
      </c>
      <c r="H149">
        <v>-1505.9616119697255</v>
      </c>
      <c r="I149">
        <v>310.715982011959</v>
      </c>
      <c r="J149">
        <v>161.161814614355</v>
      </c>
      <c r="K149">
        <v>69.599101623933905</v>
      </c>
      <c r="L149">
        <v>0.31345387436653488</v>
      </c>
      <c r="M149">
        <v>-0.3124729303534069</v>
      </c>
      <c r="N149">
        <v>21.766070990197498</v>
      </c>
      <c r="O149">
        <v>21.7661324347592</v>
      </c>
      <c r="P149">
        <v>21.7660559168507</v>
      </c>
      <c r="Q149" t="s">
        <v>51</v>
      </c>
    </row>
    <row r="150" spans="1:17" x14ac:dyDescent="0.2">
      <c r="A150">
        <v>149</v>
      </c>
      <c r="B150">
        <v>768</v>
      </c>
      <c r="C150">
        <v>135</v>
      </c>
      <c r="D150">
        <v>0.45866637852374798</v>
      </c>
      <c r="E150">
        <v>109.76410661294101</v>
      </c>
      <c r="F150">
        <v>1.5567775905133601</v>
      </c>
      <c r="G150">
        <v>-1829.5458161300978</v>
      </c>
      <c r="H150">
        <v>-1509.076462173221</v>
      </c>
      <c r="I150">
        <v>307.80855406148203</v>
      </c>
      <c r="J150">
        <v>160.56937406230199</v>
      </c>
      <c r="K150">
        <v>70.5072498999332</v>
      </c>
      <c r="L150">
        <v>0.18920989406863162</v>
      </c>
      <c r="M150">
        <v>-0.18815433533582845</v>
      </c>
      <c r="N150">
        <v>13.286061703129301</v>
      </c>
      <c r="O150">
        <v>13.286128415381301</v>
      </c>
      <c r="P150">
        <v>13.2860450385969</v>
      </c>
      <c r="Q150" t="s">
        <v>51</v>
      </c>
    </row>
    <row r="151" spans="1:17" x14ac:dyDescent="0.2">
      <c r="A151">
        <v>150</v>
      </c>
      <c r="B151">
        <v>767</v>
      </c>
      <c r="C151">
        <v>135</v>
      </c>
      <c r="D151">
        <v>0.45807864250348701</v>
      </c>
      <c r="E151">
        <v>109.76476496558099</v>
      </c>
      <c r="F151">
        <v>1.54415222437265</v>
      </c>
      <c r="G151">
        <v>-1829.2498507686487</v>
      </c>
      <c r="H151">
        <v>-1511.184901535624</v>
      </c>
      <c r="I151">
        <v>305.79317598279101</v>
      </c>
      <c r="J151">
        <v>160.169276333097</v>
      </c>
      <c r="K151">
        <v>71.084160766711904</v>
      </c>
      <c r="L151">
        <v>0.10774084591503566</v>
      </c>
      <c r="M151">
        <v>-0.10663619490667763</v>
      </c>
      <c r="N151">
        <v>7.6009958740780696</v>
      </c>
      <c r="O151">
        <v>7.6010659976577202</v>
      </c>
      <c r="P151">
        <v>7.6009780153993001</v>
      </c>
      <c r="Q151" t="s">
        <v>51</v>
      </c>
    </row>
    <row r="152" spans="1:17" x14ac:dyDescent="0.2">
      <c r="A152">
        <v>151</v>
      </c>
      <c r="B152">
        <v>766</v>
      </c>
      <c r="C152">
        <v>135</v>
      </c>
      <c r="D152">
        <v>0.45748977529712298</v>
      </c>
      <c r="E152">
        <v>109.764681490002</v>
      </c>
      <c r="F152">
        <v>1.5395888949344301</v>
      </c>
      <c r="G152">
        <v>-1828.9432267072893</v>
      </c>
      <c r="H152">
        <v>-1512.1794817038754</v>
      </c>
      <c r="I152">
        <v>304.83539100643901</v>
      </c>
      <c r="J152">
        <v>160.025431441546</v>
      </c>
      <c r="K152">
        <v>71.294799443637402</v>
      </c>
      <c r="L152">
        <v>7.3155249289828028E-2</v>
      </c>
      <c r="M152">
        <v>-7.2029392444844492E-2</v>
      </c>
      <c r="N152">
        <v>5.1565850769919903</v>
      </c>
      <c r="O152">
        <v>5.1566565076349402</v>
      </c>
      <c r="P152">
        <v>5.1565665113628896</v>
      </c>
      <c r="Q152" t="s">
        <v>51</v>
      </c>
    </row>
    <row r="153" spans="1:17" x14ac:dyDescent="0.2">
      <c r="A153">
        <v>152</v>
      </c>
      <c r="B153">
        <v>765</v>
      </c>
      <c r="C153">
        <v>135</v>
      </c>
      <c r="D153">
        <v>0.45689977363579698</v>
      </c>
      <c r="E153">
        <v>109.76464779296199</v>
      </c>
      <c r="F153">
        <v>1.5377738037470401</v>
      </c>
      <c r="G153">
        <v>-1828.6381589287109</v>
      </c>
      <c r="H153">
        <v>-1512.7938151099941</v>
      </c>
      <c r="I153">
        <v>304.24347608532901</v>
      </c>
      <c r="J153">
        <v>159.97237532963899</v>
      </c>
      <c r="K153">
        <v>71.3789294143928</v>
      </c>
      <c r="L153">
        <v>5.4574110389727329E-2</v>
      </c>
      <c r="M153">
        <v>-5.3436554508674815E-2</v>
      </c>
      <c r="N153">
        <v>3.8357053407262902</v>
      </c>
      <c r="O153">
        <v>3.8357773472125598</v>
      </c>
      <c r="P153">
        <v>3.8356862334972002</v>
      </c>
      <c r="Q153" t="s">
        <v>51</v>
      </c>
    </row>
    <row r="154" spans="1:17" x14ac:dyDescent="0.2">
      <c r="A154">
        <v>153</v>
      </c>
      <c r="B154">
        <v>794</v>
      </c>
      <c r="C154">
        <v>115</v>
      </c>
      <c r="D154">
        <v>0.49417654500304597</v>
      </c>
      <c r="E154">
        <v>109.752082869625</v>
      </c>
      <c r="F154">
        <v>1.5220005894552699</v>
      </c>
      <c r="G154">
        <v>-1839.0551419089068</v>
      </c>
      <c r="H154">
        <v>-1493.6504374340652</v>
      </c>
      <c r="I154">
        <v>323.67389609223699</v>
      </c>
      <c r="J154">
        <v>162.23342900284101</v>
      </c>
      <c r="K154">
        <v>72.110407597743404</v>
      </c>
      <c r="L154">
        <v>0.6496009521392212</v>
      </c>
      <c r="M154">
        <v>-0.64868232681224591</v>
      </c>
      <c r="N154">
        <v>46.798415674994203</v>
      </c>
      <c r="O154">
        <v>46.798499522038099</v>
      </c>
      <c r="P154">
        <v>46.798415809637</v>
      </c>
      <c r="Q154" t="s">
        <v>51</v>
      </c>
    </row>
    <row r="155" spans="1:17" x14ac:dyDescent="0.2">
      <c r="A155">
        <v>154</v>
      </c>
      <c r="B155">
        <v>793</v>
      </c>
      <c r="C155">
        <v>115</v>
      </c>
      <c r="D155">
        <v>0.49363644890494002</v>
      </c>
      <c r="E155">
        <v>109.75210477148499</v>
      </c>
      <c r="F155">
        <v>1.52242452227907</v>
      </c>
      <c r="G155">
        <v>-1838.7319166991158</v>
      </c>
      <c r="H155">
        <v>-1493.8659066504122</v>
      </c>
      <c r="I155">
        <v>323.472224479099</v>
      </c>
      <c r="J155">
        <v>162.22739728800499</v>
      </c>
      <c r="K155">
        <v>72.090342191274004</v>
      </c>
      <c r="L155">
        <v>0.64786879035860645</v>
      </c>
      <c r="M155">
        <v>-0.64694789074649106</v>
      </c>
      <c r="N155">
        <v>46.660370650371497</v>
      </c>
      <c r="O155">
        <v>46.660454686273603</v>
      </c>
      <c r="P155">
        <v>46.6603707535373</v>
      </c>
      <c r="Q155" t="s">
        <v>51</v>
      </c>
    </row>
    <row r="156" spans="1:17" x14ac:dyDescent="0.2">
      <c r="A156">
        <v>155</v>
      </c>
      <c r="B156">
        <v>792</v>
      </c>
      <c r="C156">
        <v>115</v>
      </c>
      <c r="D156">
        <v>0.49309533868469302</v>
      </c>
      <c r="E156">
        <v>109.752124781852</v>
      </c>
      <c r="F156">
        <v>1.52260234574468</v>
      </c>
      <c r="G156">
        <v>-1838.4088782945842</v>
      </c>
      <c r="H156">
        <v>-1494.1010418713508</v>
      </c>
      <c r="I156">
        <v>323.25188948685502</v>
      </c>
      <c r="J156">
        <v>162.213338630149</v>
      </c>
      <c r="K156">
        <v>72.081935962192503</v>
      </c>
      <c r="L156">
        <v>0.64533809891677296</v>
      </c>
      <c r="M156">
        <v>-0.64441428931625966</v>
      </c>
      <c r="N156">
        <v>46.472330309140403</v>
      </c>
      <c r="O156">
        <v>46.472414602973998</v>
      </c>
      <c r="P156">
        <v>46.472330379283498</v>
      </c>
      <c r="Q156" t="s">
        <v>51</v>
      </c>
    </row>
    <row r="157" spans="1:17" x14ac:dyDescent="0.2">
      <c r="A157">
        <v>156</v>
      </c>
      <c r="B157">
        <v>791</v>
      </c>
      <c r="C157">
        <v>115</v>
      </c>
      <c r="D157">
        <v>0.49255321148334702</v>
      </c>
      <c r="E157">
        <v>109.752144799231</v>
      </c>
      <c r="F157">
        <v>1.5227863270248101</v>
      </c>
      <c r="G157">
        <v>-1838.0860603115339</v>
      </c>
      <c r="H157">
        <v>-1494.3359691225123</v>
      </c>
      <c r="I157">
        <v>323.03154295070999</v>
      </c>
      <c r="J157">
        <v>162.19994542975701</v>
      </c>
      <c r="K157">
        <v>72.073240251415996</v>
      </c>
      <c r="L157">
        <v>0.64280879482163</v>
      </c>
      <c r="M157">
        <v>-0.64188207253467711</v>
      </c>
      <c r="N157">
        <v>46.284246193474203</v>
      </c>
      <c r="O157">
        <v>46.284330743844201</v>
      </c>
      <c r="P157">
        <v>46.284246228440502</v>
      </c>
      <c r="Q157" t="s">
        <v>51</v>
      </c>
    </row>
    <row r="158" spans="1:17" x14ac:dyDescent="0.2">
      <c r="A158">
        <v>157</v>
      </c>
      <c r="B158">
        <v>790</v>
      </c>
      <c r="C158">
        <v>115</v>
      </c>
      <c r="D158">
        <v>0.49201006443117301</v>
      </c>
      <c r="E158">
        <v>109.75216482611501</v>
      </c>
      <c r="F158">
        <v>1.5229768243408299</v>
      </c>
      <c r="G158">
        <v>-1837.7634627912632</v>
      </c>
      <c r="H158">
        <v>-1494.5706649742012</v>
      </c>
      <c r="I158">
        <v>322.81120691052701</v>
      </c>
      <c r="J158">
        <v>162.18722646312801</v>
      </c>
      <c r="K158">
        <v>72.064238320643895</v>
      </c>
      <c r="L158">
        <v>0.64028190044893174</v>
      </c>
      <c r="M158">
        <v>-0.63935226368978859</v>
      </c>
      <c r="N158">
        <v>46.096183479906898</v>
      </c>
      <c r="O158">
        <v>46.096268285269602</v>
      </c>
      <c r="P158">
        <v>46.096183477483201</v>
      </c>
      <c r="Q158" t="s">
        <v>51</v>
      </c>
    </row>
    <row r="159" spans="1:17" x14ac:dyDescent="0.2">
      <c r="A159">
        <v>158</v>
      </c>
      <c r="B159">
        <v>789</v>
      </c>
      <c r="C159">
        <v>115</v>
      </c>
      <c r="D159">
        <v>0.49146589464765</v>
      </c>
      <c r="E159">
        <v>109.752184865009</v>
      </c>
      <c r="F159">
        <v>1.5231741826959899</v>
      </c>
      <c r="G159">
        <v>-1837.4410857535781</v>
      </c>
      <c r="H159">
        <v>-1494.8051068196251</v>
      </c>
      <c r="I159">
        <v>322.59090269430601</v>
      </c>
      <c r="J159">
        <v>162.17519023024201</v>
      </c>
      <c r="K159">
        <v>72.054914081296801</v>
      </c>
      <c r="L159">
        <v>0.63775840629716607</v>
      </c>
      <c r="M159">
        <v>-0.63682585416762505</v>
      </c>
      <c r="N159">
        <v>45.908205589722499</v>
      </c>
      <c r="O159">
        <v>45.908290648387997</v>
      </c>
      <c r="P159">
        <v>45.908205547635902</v>
      </c>
      <c r="Q159" t="s">
        <v>51</v>
      </c>
    </row>
    <row r="160" spans="1:17" x14ac:dyDescent="0.2">
      <c r="A160">
        <v>159</v>
      </c>
      <c r="B160">
        <v>788</v>
      </c>
      <c r="C160">
        <v>115</v>
      </c>
      <c r="D160">
        <v>0.49092069924139198</v>
      </c>
      <c r="E160">
        <v>109.752204918445</v>
      </c>
      <c r="F160">
        <v>1.5233787331406601</v>
      </c>
      <c r="G160">
        <v>-1837.1189291977594</v>
      </c>
      <c r="H160">
        <v>-1495.0392729361909</v>
      </c>
      <c r="I160">
        <v>322.37065085798702</v>
      </c>
      <c r="J160">
        <v>162.16384495788299</v>
      </c>
      <c r="K160">
        <v>72.045252129898799</v>
      </c>
      <c r="L160">
        <v>0.63523926825134991</v>
      </c>
      <c r="M160">
        <v>-0.63430380071374282</v>
      </c>
      <c r="N160">
        <v>45.720374003806299</v>
      </c>
      <c r="O160">
        <v>45.720459313939799</v>
      </c>
      <c r="P160">
        <v>45.720373919723102</v>
      </c>
      <c r="Q160" t="s">
        <v>51</v>
      </c>
    </row>
    <row r="161" spans="1:17" x14ac:dyDescent="0.2">
      <c r="A161">
        <v>160</v>
      </c>
      <c r="B161">
        <v>787</v>
      </c>
      <c r="C161">
        <v>115</v>
      </c>
      <c r="D161">
        <v>0.49037447531009798</v>
      </c>
      <c r="E161">
        <v>109.752224988953</v>
      </c>
      <c r="F161">
        <v>1.5235907921576399</v>
      </c>
      <c r="G161">
        <v>-1836.7969931029595</v>
      </c>
      <c r="H161">
        <v>-1495.2731425369902</v>
      </c>
      <c r="I161">
        <v>322.15047113363698</v>
      </c>
      <c r="J161">
        <v>162.15319860587499</v>
      </c>
      <c r="K161">
        <v>72.035237777675803</v>
      </c>
      <c r="L161">
        <v>0.63272540523240817</v>
      </c>
      <c r="M161">
        <v>-0.63178702308063639</v>
      </c>
      <c r="N161">
        <v>45.532748101137699</v>
      </c>
      <c r="O161">
        <v>45.532833660762002</v>
      </c>
      <c r="P161">
        <v>45.5327479726622</v>
      </c>
      <c r="Q161" t="s">
        <v>51</v>
      </c>
    </row>
    <row r="162" spans="1:17" x14ac:dyDescent="0.2">
      <c r="A162">
        <v>161</v>
      </c>
      <c r="B162">
        <v>786</v>
      </c>
      <c r="C162">
        <v>115</v>
      </c>
      <c r="D162">
        <v>0.48982721994052197</v>
      </c>
      <c r="E162">
        <v>109.752245079029</v>
      </c>
      <c r="F162">
        <v>1.52381066120471</v>
      </c>
      <c r="G162">
        <v>-1836.4752774284034</v>
      </c>
      <c r="H162">
        <v>-1495.506695811918</v>
      </c>
      <c r="I162">
        <v>321.93038238692401</v>
      </c>
      <c r="J162">
        <v>162.14325887614501</v>
      </c>
      <c r="K162">
        <v>72.024857072636607</v>
      </c>
      <c r="L162">
        <v>0.63021769729170396</v>
      </c>
      <c r="M162">
        <v>-0.62927640212068425</v>
      </c>
      <c r="N162">
        <v>45.345385024269298</v>
      </c>
      <c r="O162">
        <v>45.345470831267001</v>
      </c>
      <c r="P162">
        <v>45.3453848489428</v>
      </c>
      <c r="Q162" t="s">
        <v>51</v>
      </c>
    </row>
    <row r="163" spans="1:17" x14ac:dyDescent="0.2">
      <c r="A163">
        <v>162</v>
      </c>
      <c r="B163">
        <v>785</v>
      </c>
      <c r="C163">
        <v>115</v>
      </c>
      <c r="D163">
        <v>0.48927893020838498</v>
      </c>
      <c r="E163">
        <v>109.75226626151699</v>
      </c>
      <c r="F163">
        <v>1.52380790448134</v>
      </c>
      <c r="G163">
        <v>-1836.1538005833315</v>
      </c>
      <c r="H163">
        <v>-1495.7636281034711</v>
      </c>
      <c r="I163">
        <v>321.68801261634297</v>
      </c>
      <c r="J163">
        <v>162.129969250963</v>
      </c>
      <c r="K163">
        <v>72.025001273945605</v>
      </c>
      <c r="L163">
        <v>0.62664809628829221</v>
      </c>
      <c r="M163">
        <v>-0.62570313883047379</v>
      </c>
      <c r="N163">
        <v>45.088153911409499</v>
      </c>
      <c r="O163">
        <v>45.088240044280496</v>
      </c>
      <c r="P163">
        <v>45.088153686880098</v>
      </c>
      <c r="Q163" t="s">
        <v>51</v>
      </c>
    </row>
    <row r="164" spans="1:17" x14ac:dyDescent="0.2">
      <c r="A164">
        <v>163</v>
      </c>
      <c r="B164">
        <v>784</v>
      </c>
      <c r="C164">
        <v>115</v>
      </c>
      <c r="D164">
        <v>0.48872960317835601</v>
      </c>
      <c r="E164">
        <v>109.752298279461</v>
      </c>
      <c r="F164">
        <v>1.52136897050077</v>
      </c>
      <c r="G164">
        <v>-1835.832871315896</v>
      </c>
      <c r="H164">
        <v>-1496.2721999172506</v>
      </c>
      <c r="I164">
        <v>321.20770402977598</v>
      </c>
      <c r="J164">
        <v>162.074164871031</v>
      </c>
      <c r="K164">
        <v>72.140486895388094</v>
      </c>
      <c r="L164">
        <v>0.6117198510320242</v>
      </c>
      <c r="M164">
        <v>-0.6107632509951213</v>
      </c>
      <c r="N164">
        <v>44.082902491055997</v>
      </c>
      <c r="O164">
        <v>44.082989806817203</v>
      </c>
      <c r="P164">
        <v>44.082902216076697</v>
      </c>
      <c r="Q164" t="s">
        <v>51</v>
      </c>
    </row>
    <row r="165" spans="1:17" x14ac:dyDescent="0.2">
      <c r="A165">
        <v>164</v>
      </c>
      <c r="B165">
        <v>783</v>
      </c>
      <c r="C165">
        <v>115</v>
      </c>
      <c r="D165">
        <v>0.48817923590399198</v>
      </c>
      <c r="E165">
        <v>109.752329658797</v>
      </c>
      <c r="F165">
        <v>1.51881940947534</v>
      </c>
      <c r="G165">
        <v>-1835.5124179651532</v>
      </c>
      <c r="H165">
        <v>-1496.7941318696708</v>
      </c>
      <c r="I165">
        <v>320.71428876377701</v>
      </c>
      <c r="J165">
        <v>162.01626681347</v>
      </c>
      <c r="K165">
        <v>72.261605938200006</v>
      </c>
      <c r="L165">
        <v>0.59615810719126872</v>
      </c>
      <c r="M165">
        <v>-0.59518944306265087</v>
      </c>
      <c r="N165">
        <v>43.0317597633397</v>
      </c>
      <c r="O165">
        <v>43.031848308486602</v>
      </c>
      <c r="P165">
        <v>43.0317594343773</v>
      </c>
      <c r="Q165" t="s">
        <v>51</v>
      </c>
    </row>
    <row r="166" spans="1:17" x14ac:dyDescent="0.2">
      <c r="A166">
        <v>165</v>
      </c>
      <c r="B166">
        <v>782</v>
      </c>
      <c r="C166">
        <v>115</v>
      </c>
      <c r="D166">
        <v>0.48762782542766497</v>
      </c>
      <c r="E166">
        <v>109.752360158511</v>
      </c>
      <c r="F166">
        <v>1.5160951708732899</v>
      </c>
      <c r="G166">
        <v>-1835.1924526677919</v>
      </c>
      <c r="H166">
        <v>-1497.3362878501034</v>
      </c>
      <c r="I166">
        <v>320.20123694018002</v>
      </c>
      <c r="J166">
        <v>161.954302319818</v>
      </c>
      <c r="K166">
        <v>72.391471371347194</v>
      </c>
      <c r="L166">
        <v>0.57963699641750865</v>
      </c>
      <c r="M166">
        <v>-0.57865563673418186</v>
      </c>
      <c r="N166">
        <v>41.912435040604798</v>
      </c>
      <c r="O166">
        <v>41.912524884709399</v>
      </c>
      <c r="P166">
        <v>41.912434653896497</v>
      </c>
      <c r="Q166" t="s">
        <v>51</v>
      </c>
    </row>
    <row r="167" spans="1:17" x14ac:dyDescent="0.2">
      <c r="A167">
        <v>166</v>
      </c>
      <c r="B167">
        <v>781</v>
      </c>
      <c r="C167">
        <v>115</v>
      </c>
      <c r="D167">
        <v>0.48707536878053398</v>
      </c>
      <c r="E167">
        <v>109.752389328224</v>
      </c>
      <c r="F167">
        <v>1.5130784643027999</v>
      </c>
      <c r="G167">
        <v>-1834.8729930633465</v>
      </c>
      <c r="H167">
        <v>-1497.9113312584777</v>
      </c>
      <c r="I167">
        <v>319.656498380068</v>
      </c>
      <c r="J167">
        <v>161.88464754612599</v>
      </c>
      <c r="K167">
        <v>72.5358214511336</v>
      </c>
      <c r="L167">
        <v>0.56155804727858849</v>
      </c>
      <c r="M167">
        <v>-0.560562974649644</v>
      </c>
      <c r="N167">
        <v>40.683912627243203</v>
      </c>
      <c r="O167">
        <v>40.684003882453901</v>
      </c>
      <c r="P167">
        <v>40.683912178708603</v>
      </c>
      <c r="Q167" t="s">
        <v>51</v>
      </c>
    </row>
    <row r="168" spans="1:17" x14ac:dyDescent="0.2">
      <c r="A168">
        <v>167</v>
      </c>
      <c r="B168">
        <v>780</v>
      </c>
      <c r="C168">
        <v>115</v>
      </c>
      <c r="D168">
        <v>0.48652186298248101</v>
      </c>
      <c r="E168">
        <v>109.75241617856101</v>
      </c>
      <c r="F168">
        <v>1.50951710803956</v>
      </c>
      <c r="G168">
        <v>-1834.554065828579</v>
      </c>
      <c r="H168">
        <v>-1498.5465397455368</v>
      </c>
      <c r="I168">
        <v>319.05411116163401</v>
      </c>
      <c r="J168">
        <v>161.799482775277</v>
      </c>
      <c r="K168">
        <v>72.706970721980895</v>
      </c>
      <c r="L168">
        <v>0.54063774705952772</v>
      </c>
      <c r="M168">
        <v>-0.53962711743195091</v>
      </c>
      <c r="N168">
        <v>39.258034830592699</v>
      </c>
      <c r="O168">
        <v>39.258127700531404</v>
      </c>
      <c r="P168">
        <v>39.258034315622901</v>
      </c>
      <c r="Q168" t="s">
        <v>51</v>
      </c>
    </row>
    <row r="169" spans="1:17" x14ac:dyDescent="0.2">
      <c r="A169">
        <v>168</v>
      </c>
      <c r="B169">
        <v>779</v>
      </c>
      <c r="C169">
        <v>115</v>
      </c>
      <c r="D169">
        <v>0.48596730504205599</v>
      </c>
      <c r="E169">
        <v>109.752437845332</v>
      </c>
      <c r="F169">
        <v>1.50471215678321</v>
      </c>
      <c r="G169">
        <v>-1834.2357111876324</v>
      </c>
      <c r="H169">
        <v>-1499.3183602060803</v>
      </c>
      <c r="I169">
        <v>318.321302558708</v>
      </c>
      <c r="J169">
        <v>161.67670586843499</v>
      </c>
      <c r="K169">
        <v>72.939158064597706</v>
      </c>
      <c r="L169">
        <v>0.51329842789319657</v>
      </c>
      <c r="M169">
        <v>-0.51226810161410608</v>
      </c>
      <c r="N169">
        <v>37.388265003381598</v>
      </c>
      <c r="O169">
        <v>37.388359946452098</v>
      </c>
      <c r="P169">
        <v>37.388264416141297</v>
      </c>
      <c r="Q169" t="s">
        <v>51</v>
      </c>
    </row>
    <row r="170" spans="1:17" x14ac:dyDescent="0.2">
      <c r="A170">
        <v>169</v>
      </c>
      <c r="B170">
        <v>778</v>
      </c>
      <c r="C170">
        <v>115</v>
      </c>
      <c r="D170">
        <v>0.48541169195642903</v>
      </c>
      <c r="E170">
        <v>109.752424518426</v>
      </c>
      <c r="F170">
        <v>1.49122207060713</v>
      </c>
      <c r="G170">
        <v>-1833.9179497473174</v>
      </c>
      <c r="H170">
        <v>-1501.0971290614325</v>
      </c>
      <c r="I170">
        <v>316.62985608008501</v>
      </c>
      <c r="J170">
        <v>161.25735941493201</v>
      </c>
      <c r="K170">
        <v>73.598980783420004</v>
      </c>
      <c r="L170">
        <v>0.44063805280251833</v>
      </c>
      <c r="M170">
        <v>-0.43955918858852749</v>
      </c>
      <c r="N170">
        <v>32.376253040320897</v>
      </c>
      <c r="O170">
        <v>32.376353264832296</v>
      </c>
      <c r="P170">
        <v>32.376252362906499</v>
      </c>
      <c r="Q170" t="s">
        <v>51</v>
      </c>
    </row>
    <row r="171" spans="1:17" x14ac:dyDescent="0.2">
      <c r="A171">
        <v>170</v>
      </c>
      <c r="B171">
        <v>777</v>
      </c>
      <c r="C171">
        <v>115</v>
      </c>
      <c r="D171">
        <v>0.48485502071132902</v>
      </c>
      <c r="E171">
        <v>109.757945867332</v>
      </c>
      <c r="F171">
        <v>1.46473143628184</v>
      </c>
      <c r="G171">
        <v>-1833.6927239014749</v>
      </c>
      <c r="H171">
        <v>-1504.5778136957447</v>
      </c>
      <c r="I171">
        <v>313.40288546616</v>
      </c>
      <c r="J171">
        <v>160.34447233373001</v>
      </c>
      <c r="K171">
        <v>74.933836434853703</v>
      </c>
      <c r="L171">
        <v>0.30233303965489922</v>
      </c>
      <c r="M171">
        <v>-0.30116282245294018</v>
      </c>
      <c r="N171">
        <v>22.594967942350699</v>
      </c>
      <c r="O171">
        <v>22.595078466894599</v>
      </c>
      <c r="P171">
        <v>22.5949671427054</v>
      </c>
      <c r="Q171" t="s">
        <v>51</v>
      </c>
    </row>
    <row r="172" spans="1:17" x14ac:dyDescent="0.2">
      <c r="A172">
        <v>171</v>
      </c>
      <c r="B172">
        <v>776</v>
      </c>
      <c r="C172">
        <v>115</v>
      </c>
      <c r="D172">
        <v>0.484297288280991</v>
      </c>
      <c r="E172">
        <v>109.763404949351</v>
      </c>
      <c r="F172">
        <v>1.4435340469951801</v>
      </c>
      <c r="G172">
        <v>-1833.4699400471538</v>
      </c>
      <c r="H172">
        <v>-1507.5793921245618</v>
      </c>
      <c r="I172">
        <v>310.62868015196602</v>
      </c>
      <c r="J172">
        <v>159.558780275966</v>
      </c>
      <c r="K172">
        <v>76.037974426603597</v>
      </c>
      <c r="L172">
        <v>0.18931221941655224</v>
      </c>
      <c r="M172">
        <v>-0.18806727827910932</v>
      </c>
      <c r="N172">
        <v>14.3300560891585</v>
      </c>
      <c r="O172">
        <v>14.330175275294501</v>
      </c>
      <c r="P172">
        <v>14.3300551554425</v>
      </c>
      <c r="Q172" t="s">
        <v>51</v>
      </c>
    </row>
    <row r="173" spans="1:17" x14ac:dyDescent="0.2">
      <c r="A173">
        <v>172</v>
      </c>
      <c r="B173">
        <v>775</v>
      </c>
      <c r="C173">
        <v>115</v>
      </c>
      <c r="D173">
        <v>0.483738491628109</v>
      </c>
      <c r="E173">
        <v>109.765083087137</v>
      </c>
      <c r="F173">
        <v>1.43085650363085</v>
      </c>
      <c r="G173">
        <v>-1833.1876167565476</v>
      </c>
      <c r="H173">
        <v>-1509.5501590206513</v>
      </c>
      <c r="I173">
        <v>308.775697473957</v>
      </c>
      <c r="J173">
        <v>159.05540690219701</v>
      </c>
      <c r="K173">
        <v>76.712851923728195</v>
      </c>
      <c r="L173">
        <v>0.11826708752943157</v>
      </c>
      <c r="M173">
        <v>-0.11697480537782567</v>
      </c>
      <c r="N173">
        <v>9.0046044515016792</v>
      </c>
      <c r="O173">
        <v>9.0047291790070201</v>
      </c>
      <c r="P173">
        <v>9.0046033842491902</v>
      </c>
      <c r="Q173" t="s">
        <v>51</v>
      </c>
    </row>
    <row r="174" spans="1:17" x14ac:dyDescent="0.2">
      <c r="A174">
        <v>173</v>
      </c>
      <c r="B174">
        <v>774</v>
      </c>
      <c r="C174">
        <v>115</v>
      </c>
      <c r="D174">
        <v>0.48317862770377201</v>
      </c>
      <c r="E174">
        <v>109.765086149735</v>
      </c>
      <c r="F174">
        <v>1.4242923527125799</v>
      </c>
      <c r="G174">
        <v>-1832.8795229350305</v>
      </c>
      <c r="H174">
        <v>-1510.7436308754982</v>
      </c>
      <c r="I174">
        <v>307.63675664791202</v>
      </c>
      <c r="J174">
        <v>158.780528640732</v>
      </c>
      <c r="K174">
        <v>77.066401389213198</v>
      </c>
      <c r="L174">
        <v>7.7890591458927461E-2</v>
      </c>
      <c r="M174">
        <v>-7.6570899220274047E-2</v>
      </c>
      <c r="N174">
        <v>5.9329135700787896</v>
      </c>
      <c r="O174">
        <v>5.9330414667667002</v>
      </c>
      <c r="P174">
        <v>5.9329123722217796</v>
      </c>
      <c r="Q174" t="s">
        <v>51</v>
      </c>
    </row>
    <row r="175" spans="1:17" x14ac:dyDescent="0.2">
      <c r="A175">
        <v>174</v>
      </c>
      <c r="B175">
        <v>773</v>
      </c>
      <c r="C175">
        <v>115</v>
      </c>
      <c r="D175">
        <v>0.48261769344740202</v>
      </c>
      <c r="E175">
        <v>109.764960273284</v>
      </c>
      <c r="F175">
        <v>1.4217483020897801</v>
      </c>
      <c r="G175">
        <v>-1832.5701792220018</v>
      </c>
      <c r="H175">
        <v>-1511.4160931229426</v>
      </c>
      <c r="I175">
        <v>306.99239799505398</v>
      </c>
      <c r="J175">
        <v>158.66986957894699</v>
      </c>
      <c r="K175">
        <v>77.204214073577205</v>
      </c>
      <c r="L175">
        <v>5.7987205441707226E-2</v>
      </c>
      <c r="M175">
        <v>-5.6653384312905355E-2</v>
      </c>
      <c r="N175">
        <v>4.4060815515443199</v>
      </c>
      <c r="O175">
        <v>4.4062110004816901</v>
      </c>
      <c r="P175">
        <v>4.4060802258927696</v>
      </c>
      <c r="Q175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8EA3-0D39-4B7E-B50A-CDAFF9B7D6F9}">
  <sheetPr codeName="Sheet4"/>
  <dimension ref="A1:AI175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763</v>
      </c>
      <c r="C2">
        <v>275</v>
      </c>
      <c r="D2">
        <v>0.30708922453313198</v>
      </c>
      <c r="E2">
        <v>105.66368861765299</v>
      </c>
      <c r="F2">
        <v>2.1894582579280502</v>
      </c>
      <c r="G2">
        <v>-1730.5813957989008</v>
      </c>
      <c r="H2">
        <v>-1441.6410091716232</v>
      </c>
      <c r="I2">
        <v>278.859611665567</v>
      </c>
      <c r="J2">
        <v>143.09418404069399</v>
      </c>
      <c r="K2">
        <v>48.260197806943403</v>
      </c>
      <c r="L2">
        <v>1.600326955371466E-4</v>
      </c>
      <c r="M2">
        <v>1.789068113806413E-5</v>
      </c>
      <c r="N2" s="1">
        <v>3.8120872433405901E-6</v>
      </c>
      <c r="O2" s="1">
        <v>1.05983045733313E-7</v>
      </c>
      <c r="P2" s="1">
        <v>-5.3519611689839699E-7</v>
      </c>
      <c r="Q2">
        <v>72.513084676870406</v>
      </c>
      <c r="R2">
        <v>7.4765514088631899E-2</v>
      </c>
      <c r="S2">
        <v>11.811058428179299</v>
      </c>
      <c r="T2">
        <v>0.173951307330313</v>
      </c>
      <c r="V2">
        <v>0.43024402396975298</v>
      </c>
      <c r="W2">
        <v>2.4606371725372299E-2</v>
      </c>
      <c r="X2">
        <v>5.6783934750860403E-2</v>
      </c>
      <c r="AA2">
        <v>0.50159142363259301</v>
      </c>
      <c r="AB2">
        <v>3.7666676718069998</v>
      </c>
      <c r="AC2">
        <v>4.2209391498138498</v>
      </c>
      <c r="AD2">
        <v>3.78559565005722E-3</v>
      </c>
      <c r="AE2">
        <v>6.4225219021817601</v>
      </c>
    </row>
    <row r="3" spans="1:35" x14ac:dyDescent="0.2">
      <c r="A3">
        <v>2</v>
      </c>
      <c r="B3">
        <v>762</v>
      </c>
      <c r="C3">
        <v>275</v>
      </c>
      <c r="D3">
        <v>0.306352219485102</v>
      </c>
      <c r="E3">
        <v>105.604245134793</v>
      </c>
      <c r="F3">
        <v>2.1898498421840098</v>
      </c>
      <c r="G3">
        <v>-1729.3127976683134</v>
      </c>
      <c r="H3">
        <v>-1440.9509048738807</v>
      </c>
      <c r="I3">
        <v>278.57015195327398</v>
      </c>
      <c r="J3">
        <v>143.00528088392201</v>
      </c>
      <c r="K3">
        <v>48.224423017731198</v>
      </c>
      <c r="L3">
        <v>1.5999734980128881E-4</v>
      </c>
      <c r="M3">
        <v>1.7882094794000926E-5</v>
      </c>
      <c r="N3" s="1">
        <v>3.81451182875232E-6</v>
      </c>
      <c r="O3" s="1">
        <v>1.05839250358632E-7</v>
      </c>
      <c r="P3" s="1">
        <v>-5.3486004246194398E-7</v>
      </c>
      <c r="Q3">
        <v>72.501076301092098</v>
      </c>
      <c r="R3">
        <v>7.4807598784655302E-2</v>
      </c>
      <c r="S3">
        <v>11.8177067447161</v>
      </c>
      <c r="T3">
        <v>0.17433537073700101</v>
      </c>
      <c r="V3">
        <v>0.43022872444339899</v>
      </c>
      <c r="W3">
        <v>2.4620222384822799E-2</v>
      </c>
      <c r="X3">
        <v>5.6815897811131999E-2</v>
      </c>
      <c r="AA3">
        <v>0.50187376399831896</v>
      </c>
      <c r="AB3">
        <v>3.7687878881382799</v>
      </c>
      <c r="AC3">
        <v>4.2233150706272804</v>
      </c>
      <c r="AD3">
        <v>3.7877265207418502E-3</v>
      </c>
      <c r="AE3">
        <v>6.4226446907460399</v>
      </c>
    </row>
    <row r="4" spans="1:35" x14ac:dyDescent="0.2">
      <c r="A4">
        <v>3</v>
      </c>
      <c r="B4">
        <v>761</v>
      </c>
      <c r="C4">
        <v>275</v>
      </c>
      <c r="D4">
        <v>0.30561378910216402</v>
      </c>
      <c r="E4">
        <v>105.37674550674301</v>
      </c>
      <c r="F4">
        <v>2.1903066632494199</v>
      </c>
      <c r="G4">
        <v>-1725.2573556236766</v>
      </c>
      <c r="H4">
        <v>-1437.9018470705325</v>
      </c>
      <c r="I4">
        <v>277.86637195101599</v>
      </c>
      <c r="J4">
        <v>142.70688747663499</v>
      </c>
      <c r="K4">
        <v>48.1104985319324</v>
      </c>
      <c r="L4">
        <v>1.6004528615844301E-4</v>
      </c>
      <c r="M4">
        <v>1.7874896067428322E-5</v>
      </c>
      <c r="N4" s="1">
        <v>3.8121716168599498E-6</v>
      </c>
      <c r="O4" s="1">
        <v>1.0556171717743599E-7</v>
      </c>
      <c r="P4" s="1">
        <v>-5.3409814481288295E-7</v>
      </c>
      <c r="Q4">
        <v>72.453197221381203</v>
      </c>
      <c r="R4">
        <v>7.4969102167750504E-2</v>
      </c>
      <c r="S4">
        <v>11.8432201905526</v>
      </c>
      <c r="T4">
        <v>0.175045126210505</v>
      </c>
      <c r="V4">
        <v>0.43085757355812898</v>
      </c>
      <c r="W4">
        <v>2.4673375396980501E-2</v>
      </c>
      <c r="X4">
        <v>5.6938558608420502E-2</v>
      </c>
      <c r="AA4">
        <v>0.502957267707691</v>
      </c>
      <c r="AB4">
        <v>3.7769243876916598</v>
      </c>
      <c r="AC4">
        <v>4.2324328565589102</v>
      </c>
      <c r="AD4">
        <v>3.7959039072275498E-3</v>
      </c>
      <c r="AE4">
        <v>6.4249884362588103</v>
      </c>
    </row>
    <row r="5" spans="1:35" x14ac:dyDescent="0.2">
      <c r="A5">
        <v>4</v>
      </c>
      <c r="B5">
        <v>760</v>
      </c>
      <c r="C5">
        <v>275</v>
      </c>
      <c r="D5">
        <v>0.30487392924551299</v>
      </c>
      <c r="E5">
        <v>105.15038798484601</v>
      </c>
      <c r="F5">
        <v>2.1907634248394898</v>
      </c>
      <c r="G5">
        <v>-1721.2221876926283</v>
      </c>
      <c r="H5">
        <v>-1434.8681993904563</v>
      </c>
      <c r="I5">
        <v>277.165937474879</v>
      </c>
      <c r="J5">
        <v>142.40999668374101</v>
      </c>
      <c r="K5">
        <v>47.997144188469598</v>
      </c>
      <c r="L5">
        <v>1.600932864951984E-4</v>
      </c>
      <c r="M5">
        <v>1.7867695946634333E-5</v>
      </c>
      <c r="N5" s="1">
        <v>3.8098582010005798E-6</v>
      </c>
      <c r="O5" s="1">
        <v>1.05285673728176E-7</v>
      </c>
      <c r="P5" s="1">
        <v>-5.3334130033822104E-7</v>
      </c>
      <c r="Q5">
        <v>72.405338193207896</v>
      </c>
      <c r="R5">
        <v>7.5130488354817795E-2</v>
      </c>
      <c r="S5">
        <v>11.868715122383501</v>
      </c>
      <c r="T5">
        <v>0.17575733742143099</v>
      </c>
      <c r="V5">
        <v>0.43148329320701001</v>
      </c>
      <c r="W5">
        <v>2.4726489838293599E-2</v>
      </c>
      <c r="X5">
        <v>5.7061130396067201E-2</v>
      </c>
      <c r="AA5">
        <v>0.50403998516522996</v>
      </c>
      <c r="AB5">
        <v>3.7850549829388198</v>
      </c>
      <c r="AC5">
        <v>4.2415440261072197</v>
      </c>
      <c r="AD5">
        <v>3.8040753597371698E-3</v>
      </c>
      <c r="AE5">
        <v>6.4273448756198803</v>
      </c>
    </row>
    <row r="6" spans="1:35" x14ac:dyDescent="0.2">
      <c r="A6">
        <v>5</v>
      </c>
      <c r="B6">
        <v>759</v>
      </c>
      <c r="C6">
        <v>275</v>
      </c>
      <c r="D6">
        <v>0.30413263576031102</v>
      </c>
      <c r="E6">
        <v>104.92516305549999</v>
      </c>
      <c r="F6">
        <v>2.1912201273254501</v>
      </c>
      <c r="G6">
        <v>-1717.2071264861495</v>
      </c>
      <c r="H6">
        <v>-1431.8498329770623</v>
      </c>
      <c r="I6">
        <v>276.46882091661701</v>
      </c>
      <c r="J6">
        <v>142.11459612497899</v>
      </c>
      <c r="K6">
        <v>47.884355271767902</v>
      </c>
      <c r="L6">
        <v>1.6014135143366324E-4</v>
      </c>
      <c r="M6">
        <v>1.7860494429983048E-5</v>
      </c>
      <c r="N6" s="1">
        <v>3.80757141116743E-6</v>
      </c>
      <c r="O6" s="1">
        <v>1.05011108220967E-7</v>
      </c>
      <c r="P6" s="1">
        <v>-5.3258947244829698E-7</v>
      </c>
      <c r="Q6">
        <v>72.357498944827299</v>
      </c>
      <c r="R6">
        <v>7.52917581440532E-2</v>
      </c>
      <c r="S6">
        <v>11.8941916663036</v>
      </c>
      <c r="T6">
        <v>0.17647201916048</v>
      </c>
      <c r="V6">
        <v>0.43210587634552899</v>
      </c>
      <c r="W6">
        <v>2.47795659714595E-2</v>
      </c>
      <c r="X6">
        <v>5.7183613780297099E-2</v>
      </c>
      <c r="AA6">
        <v>0.50512192172592296</v>
      </c>
      <c r="AB6">
        <v>3.7931797140926902</v>
      </c>
      <c r="AC6">
        <v>4.2506486243349002</v>
      </c>
      <c r="AD6">
        <v>3.8122409186857301E-3</v>
      </c>
      <c r="AE6">
        <v>6.4297140543949602</v>
      </c>
    </row>
    <row r="7" spans="1:35" x14ac:dyDescent="0.2">
      <c r="A7">
        <v>6</v>
      </c>
      <c r="B7">
        <v>758</v>
      </c>
      <c r="C7">
        <v>275</v>
      </c>
      <c r="D7">
        <v>0.303389904475587</v>
      </c>
      <c r="E7">
        <v>104.701061307491</v>
      </c>
      <c r="F7">
        <v>2.1916767710679101</v>
      </c>
      <c r="G7">
        <v>-1713.2120064211265</v>
      </c>
      <c r="H7">
        <v>-1428.8466203588005</v>
      </c>
      <c r="I7">
        <v>275.77499496903903</v>
      </c>
      <c r="J7">
        <v>141.82067355469701</v>
      </c>
      <c r="K7">
        <v>47.772127117300798</v>
      </c>
      <c r="L7">
        <v>1.6018948160461427E-4</v>
      </c>
      <c r="M7">
        <v>1.7853291516298399E-5</v>
      </c>
      <c r="N7" s="1">
        <v>3.8053110796952199E-6</v>
      </c>
      <c r="O7" s="1">
        <v>1.04738009000498E-7</v>
      </c>
      <c r="P7" s="1">
        <v>-5.3184262500782497E-7</v>
      </c>
      <c r="Q7">
        <v>72.309679204041899</v>
      </c>
      <c r="R7">
        <v>7.5452912332941796E-2</v>
      </c>
      <c r="S7">
        <v>11.919649948295699</v>
      </c>
      <c r="T7">
        <v>0.17718918629837199</v>
      </c>
      <c r="V7">
        <v>0.432725315851546</v>
      </c>
      <c r="W7">
        <v>2.4832604058941599E-2</v>
      </c>
      <c r="X7">
        <v>5.7306009366795703E-2</v>
      </c>
      <c r="AA7">
        <v>0.50620308273998504</v>
      </c>
      <c r="AB7">
        <v>3.8012986213303401</v>
      </c>
      <c r="AC7">
        <v>4.2597466962645001</v>
      </c>
      <c r="AD7">
        <v>3.82040062445213E-3</v>
      </c>
      <c r="AE7">
        <v>6.4320960187943701</v>
      </c>
    </row>
    <row r="8" spans="1:35" x14ac:dyDescent="0.2">
      <c r="A8">
        <v>7</v>
      </c>
      <c r="B8">
        <v>757</v>
      </c>
      <c r="C8">
        <v>275</v>
      </c>
      <c r="D8">
        <v>0.30264573120419402</v>
      </c>
      <c r="E8">
        <v>104.47807343331699</v>
      </c>
      <c r="F8">
        <v>2.19213335641231</v>
      </c>
      <c r="G8">
        <v>-1709.2366637415005</v>
      </c>
      <c r="H8">
        <v>-1425.8584354682632</v>
      </c>
      <c r="I8">
        <v>275.084432629459</v>
      </c>
      <c r="J8">
        <v>141.52821686357299</v>
      </c>
      <c r="K8">
        <v>47.660455112233002</v>
      </c>
      <c r="L8">
        <v>1.6023767764826232E-4</v>
      </c>
      <c r="M8">
        <v>1.7846087205000374E-5</v>
      </c>
      <c r="N8" s="1">
        <v>3.8030770413820001E-6</v>
      </c>
      <c r="O8" s="1">
        <v>1.04466364548242E-7</v>
      </c>
      <c r="P8" s="1">
        <v>-5.3110072234879997E-7</v>
      </c>
      <c r="Q8">
        <v>72.261878698660993</v>
      </c>
      <c r="R8">
        <v>7.56139517163123E-2</v>
      </c>
      <c r="S8">
        <v>11.945090093923699</v>
      </c>
      <c r="T8">
        <v>0.17790885378079499</v>
      </c>
      <c r="V8">
        <v>0.43334160451453302</v>
      </c>
      <c r="W8">
        <v>2.48856043623286E-2</v>
      </c>
      <c r="X8">
        <v>5.7428317759231601E-2</v>
      </c>
      <c r="AA8">
        <v>0.50728347353980996</v>
      </c>
      <c r="AB8">
        <v>3.80941174469501</v>
      </c>
      <c r="AC8">
        <v>4.2688382867685304</v>
      </c>
      <c r="AD8">
        <v>3.8285545172806199E-3</v>
      </c>
      <c r="AE8">
        <v>6.4344908157613396</v>
      </c>
    </row>
    <row r="9" spans="1:35" x14ac:dyDescent="0.2">
      <c r="A9">
        <v>8</v>
      </c>
      <c r="B9">
        <v>756</v>
      </c>
      <c r="C9">
        <v>275</v>
      </c>
      <c r="D9">
        <v>0.30190011174270298</v>
      </c>
      <c r="E9">
        <v>104.256190225778</v>
      </c>
      <c r="F9">
        <v>2.1925898836920998</v>
      </c>
      <c r="G9">
        <v>-1705.2809364597758</v>
      </c>
      <c r="H9">
        <v>-1422.8851535951001</v>
      </c>
      <c r="I9">
        <v>274.397107190084</v>
      </c>
      <c r="J9">
        <v>141.23721407416801</v>
      </c>
      <c r="K9">
        <v>47.549334693737102</v>
      </c>
      <c r="L9">
        <v>1.6028594021387637E-4</v>
      </c>
      <c r="M9">
        <v>1.7838881496013889E-5</v>
      </c>
      <c r="N9" s="1">
        <v>3.80086913335616E-6</v>
      </c>
      <c r="O9" s="1">
        <v>1.0419616347778401E-7</v>
      </c>
      <c r="P9" s="1">
        <v>-5.3036372925155605E-7</v>
      </c>
      <c r="Q9">
        <v>72.214097156144206</v>
      </c>
      <c r="R9">
        <v>7.5774877087796205E-2</v>
      </c>
      <c r="S9">
        <v>11.9705122285585</v>
      </c>
      <c r="T9">
        <v>0.178631036632936</v>
      </c>
      <c r="V9">
        <v>0.43395473504350202</v>
      </c>
      <c r="W9">
        <v>2.4938567142816798E-2</v>
      </c>
      <c r="X9">
        <v>5.7550539560359201E-2</v>
      </c>
      <c r="AA9">
        <v>0.50836309944976499</v>
      </c>
      <c r="AB9">
        <v>3.8175191241697499</v>
      </c>
      <c r="AC9">
        <v>4.2779234406522599</v>
      </c>
      <c r="AD9">
        <v>3.83670263735565E-3</v>
      </c>
      <c r="AE9">
        <v>6.4368984929206103</v>
      </c>
    </row>
    <row r="10" spans="1:35" x14ac:dyDescent="0.2">
      <c r="A10">
        <v>9</v>
      </c>
      <c r="B10">
        <v>755</v>
      </c>
      <c r="C10">
        <v>275</v>
      </c>
      <c r="D10">
        <v>0.30115304187132302</v>
      </c>
      <c r="E10">
        <v>104.035402576796</v>
      </c>
      <c r="F10">
        <v>2.1930463532283802</v>
      </c>
      <c r="G10">
        <v>-1701.3446643361883</v>
      </c>
      <c r="H10">
        <v>-1419.9266513702128</v>
      </c>
      <c r="I10">
        <v>273.71299223457203</v>
      </c>
      <c r="J10">
        <v>140.94765333939199</v>
      </c>
      <c r="K10">
        <v>47.438761348407503</v>
      </c>
      <c r="L10">
        <v>1.6033426995990891E-4</v>
      </c>
      <c r="M10">
        <v>1.7831674389780655E-5</v>
      </c>
      <c r="N10" s="1">
        <v>3.7986871950612798E-6</v>
      </c>
      <c r="O10" s="1">
        <v>1.03927394533367E-7</v>
      </c>
      <c r="P10" s="1">
        <v>-5.2963161094054896E-7</v>
      </c>
      <c r="Q10">
        <v>72.166334303615997</v>
      </c>
      <c r="R10">
        <v>7.5935689239714804E-2</v>
      </c>
      <c r="S10">
        <v>11.9959164773684</v>
      </c>
      <c r="T10">
        <v>0.17935574995919901</v>
      </c>
      <c r="V10">
        <v>0.43456470006536901</v>
      </c>
      <c r="W10">
        <v>2.4991492661169599E-2</v>
      </c>
      <c r="X10">
        <v>5.7672675371943601E-2</v>
      </c>
      <c r="AA10">
        <v>0.509441965785421</v>
      </c>
      <c r="AB10">
        <v>3.8256207996714502</v>
      </c>
      <c r="AC10">
        <v>4.2870022026466099</v>
      </c>
      <c r="AD10">
        <v>3.8448450247944499E-3</v>
      </c>
      <c r="AE10">
        <v>6.4393190985898503</v>
      </c>
    </row>
    <row r="11" spans="1:35" x14ac:dyDescent="0.2">
      <c r="A11">
        <v>10</v>
      </c>
      <c r="B11">
        <v>754</v>
      </c>
      <c r="C11">
        <v>275</v>
      </c>
      <c r="D11">
        <v>0.30040451735384299</v>
      </c>
      <c r="E11">
        <v>103.81570147596599</v>
      </c>
      <c r="F11">
        <v>2.19350276532602</v>
      </c>
      <c r="G11">
        <v>-1697.4276888539391</v>
      </c>
      <c r="H11">
        <v>-1416.9828067457681</v>
      </c>
      <c r="I11">
        <v>273.03206163478598</v>
      </c>
      <c r="J11">
        <v>140.65952294079301</v>
      </c>
      <c r="K11">
        <v>47.328730611623399</v>
      </c>
      <c r="L11">
        <v>1.6038266755649897E-4</v>
      </c>
      <c r="M11">
        <v>1.7824465887441738E-5</v>
      </c>
      <c r="N11" s="1">
        <v>3.79653106830886E-6</v>
      </c>
      <c r="O11" s="1">
        <v>1.0366004659017001E-7</v>
      </c>
      <c r="P11" s="1">
        <v>-5.2890433309198002E-7</v>
      </c>
      <c r="Q11">
        <v>72.118589867697693</v>
      </c>
      <c r="R11">
        <v>7.6096388963177497E-2</v>
      </c>
      <c r="S11">
        <v>12.021302965328299</v>
      </c>
      <c r="T11">
        <v>0.18008300894397</v>
      </c>
      <c r="V11">
        <v>0.43517149212580297</v>
      </c>
      <c r="W11">
        <v>2.5044381177752199E-2</v>
      </c>
      <c r="X11">
        <v>5.7794725794826897E-2</v>
      </c>
      <c r="AA11">
        <v>0.51052007785422004</v>
      </c>
      <c r="AB11">
        <v>3.8337168110560098</v>
      </c>
      <c r="AC11">
        <v>4.2960746174142201</v>
      </c>
      <c r="AD11">
        <v>3.8529817196532598E-3</v>
      </c>
      <c r="AE11">
        <v>6.4417526819242301</v>
      </c>
    </row>
    <row r="12" spans="1:35" x14ac:dyDescent="0.2">
      <c r="A12">
        <v>11</v>
      </c>
      <c r="B12">
        <v>753</v>
      </c>
      <c r="C12">
        <v>275</v>
      </c>
      <c r="D12">
        <v>0.29965453393753799</v>
      </c>
      <c r="E12">
        <v>103.597078010982</v>
      </c>
      <c r="F12">
        <v>2.1939591202784601</v>
      </c>
      <c r="G12">
        <v>-1693.5298532238892</v>
      </c>
      <c r="H12">
        <v>-1414.0534990022486</v>
      </c>
      <c r="I12">
        <v>272.35428954990999</v>
      </c>
      <c r="J12">
        <v>140.372811288744</v>
      </c>
      <c r="K12">
        <v>47.219238067586801</v>
      </c>
      <c r="L12">
        <v>1.6043113368125383E-4</v>
      </c>
      <c r="M12">
        <v>1.7817255990569043E-5</v>
      </c>
      <c r="N12" s="1">
        <v>3.7944005971882598E-6</v>
      </c>
      <c r="O12" s="1">
        <v>1.0339410865103E-7</v>
      </c>
      <c r="P12" s="1">
        <v>-5.2818186181383702E-7</v>
      </c>
      <c r="Q12">
        <v>72.070863575077297</v>
      </c>
      <c r="R12">
        <v>7.6256977046812405E-2</v>
      </c>
      <c r="S12">
        <v>12.046671817022601</v>
      </c>
      <c r="T12">
        <v>0.18081282884844599</v>
      </c>
      <c r="V12">
        <v>0.43577510368170602</v>
      </c>
      <c r="W12">
        <v>2.5097232952112601E-2</v>
      </c>
      <c r="X12">
        <v>5.7916691427969E-2</v>
      </c>
      <c r="AA12">
        <v>0.51159744094696002</v>
      </c>
      <c r="AB12">
        <v>3.8418071980542798</v>
      </c>
      <c r="AC12">
        <v>4.3051407294775599</v>
      </c>
      <c r="AD12">
        <v>3.8611127618623899E-3</v>
      </c>
      <c r="AE12">
        <v>6.4441992927022902</v>
      </c>
    </row>
    <row r="13" spans="1:35" x14ac:dyDescent="0.2">
      <c r="A13">
        <v>12</v>
      </c>
      <c r="B13">
        <v>752</v>
      </c>
      <c r="C13">
        <v>275</v>
      </c>
      <c r="D13">
        <v>0.29890308735307097</v>
      </c>
      <c r="E13">
        <v>103.379523362474</v>
      </c>
      <c r="F13">
        <v>2.1944154183653599</v>
      </c>
      <c r="G13">
        <v>-1689.6510022983698</v>
      </c>
      <c r="H13">
        <v>-1411.1386086763493</v>
      </c>
      <c r="I13">
        <v>271.67965041410503</v>
      </c>
      <c r="J13">
        <v>140.08750691612701</v>
      </c>
      <c r="K13">
        <v>47.110279346962898</v>
      </c>
      <c r="L13">
        <v>1.6047966902366841E-4</v>
      </c>
      <c r="M13">
        <v>1.7810044701378308E-5</v>
      </c>
      <c r="N13" s="1">
        <v>3.7922956280130002E-6</v>
      </c>
      <c r="O13" s="1">
        <v>1.03129569843806E-7</v>
      </c>
      <c r="P13" s="1">
        <v>-5.2746416364419201E-7</v>
      </c>
      <c r="Q13">
        <v>72.023155151513706</v>
      </c>
      <c r="R13">
        <v>7.6417454279615299E-2</v>
      </c>
      <c r="S13">
        <v>12.072023157090999</v>
      </c>
      <c r="T13">
        <v>0.18154522501890799</v>
      </c>
      <c r="V13">
        <v>0.43637552711664901</v>
      </c>
      <c r="W13">
        <v>2.5150048243920999E-2</v>
      </c>
      <c r="X13">
        <v>5.8038572870604502E-2</v>
      </c>
      <c r="AA13">
        <v>0.51267406035690299</v>
      </c>
      <c r="AB13">
        <v>3.8498920004157302</v>
      </c>
      <c r="AC13">
        <v>4.3142005833800701</v>
      </c>
      <c r="AD13">
        <v>3.8692381913713499E-3</v>
      </c>
      <c r="AE13">
        <v>6.4466589815213702</v>
      </c>
    </row>
    <row r="14" spans="1:35" x14ac:dyDescent="0.2">
      <c r="A14">
        <v>13</v>
      </c>
      <c r="B14">
        <v>751</v>
      </c>
      <c r="C14">
        <v>275</v>
      </c>
      <c r="D14">
        <v>0.29815017331445698</v>
      </c>
      <c r="E14">
        <v>103.16302880797301</v>
      </c>
      <c r="F14">
        <v>2.19487165985087</v>
      </c>
      <c r="G14">
        <v>-1685.7909826354235</v>
      </c>
      <c r="H14">
        <v>-1408.2380176173351</v>
      </c>
      <c r="I14">
        <v>271.00811894555301</v>
      </c>
      <c r="J14">
        <v>139.803598483157</v>
      </c>
      <c r="K14">
        <v>47.0018501286686</v>
      </c>
      <c r="L14">
        <v>1.6052827428222693E-4</v>
      </c>
      <c r="M14">
        <v>1.7802832022667157E-5</v>
      </c>
      <c r="N14" s="1">
        <v>3.7902160094373101E-6</v>
      </c>
      <c r="O14" s="1">
        <v>1.02866419423639E-7</v>
      </c>
      <c r="P14" s="1">
        <v>-5.2675120555766098E-7</v>
      </c>
      <c r="Q14">
        <v>71.975464322996103</v>
      </c>
      <c r="R14">
        <v>7.6577821447113295E-2</v>
      </c>
      <c r="S14">
        <v>12.097357109628099</v>
      </c>
      <c r="T14">
        <v>0.18228021287625801</v>
      </c>
      <c r="V14">
        <v>0.43697275471948399</v>
      </c>
      <c r="W14">
        <v>2.5202827311704899E-2</v>
      </c>
      <c r="X14">
        <v>5.8160370719338203E-2</v>
      </c>
      <c r="AA14">
        <v>0.51374994135403995</v>
      </c>
      <c r="AB14">
        <v>3.8579712577149698</v>
      </c>
      <c r="AC14">
        <v>4.32325422346912</v>
      </c>
      <c r="AD14">
        <v>3.8773580479533601E-3</v>
      </c>
      <c r="AE14">
        <v>6.4491317997156798</v>
      </c>
    </row>
    <row r="15" spans="1:35" x14ac:dyDescent="0.2">
      <c r="A15">
        <v>14</v>
      </c>
      <c r="B15">
        <v>750</v>
      </c>
      <c r="C15">
        <v>275</v>
      </c>
      <c r="D15">
        <v>0.29739578751893703</v>
      </c>
      <c r="E15">
        <v>102.947585715689</v>
      </c>
      <c r="F15">
        <v>2.1953278449856999</v>
      </c>
      <c r="G15">
        <v>-1681.9496423944911</v>
      </c>
      <c r="H15">
        <v>-1405.3516089003595</v>
      </c>
      <c r="I15">
        <v>270.33967013060698</v>
      </c>
      <c r="J15">
        <v>139.52107476957099</v>
      </c>
      <c r="K15">
        <v>46.893946136942503</v>
      </c>
      <c r="L15">
        <v>1.6057695016701555E-4</v>
      </c>
      <c r="M15">
        <v>1.7795617957857186E-5</v>
      </c>
      <c r="N15" s="1">
        <v>3.78816159229093E-6</v>
      </c>
      <c r="O15" s="1">
        <v>1.0260464676740999E-7</v>
      </c>
      <c r="P15" s="1">
        <v>-5.2604295494775203E-7</v>
      </c>
      <c r="Q15">
        <v>71.927790814640204</v>
      </c>
      <c r="R15">
        <v>7.6738079335030296E-2</v>
      </c>
      <c r="S15">
        <v>12.122673798758401</v>
      </c>
      <c r="T15">
        <v>0.18301780792663999</v>
      </c>
      <c r="V15">
        <v>0.43756677870405603</v>
      </c>
      <c r="W15">
        <v>2.5255570414056901E-2</v>
      </c>
      <c r="X15">
        <v>5.8282085570922203E-2</v>
      </c>
      <c r="AA15">
        <v>0.51482508920968395</v>
      </c>
      <c r="AB15">
        <v>3.8660450095365602</v>
      </c>
      <c r="AC15">
        <v>4.3323016941033199</v>
      </c>
      <c r="AD15">
        <v>3.8854723713919602E-3</v>
      </c>
      <c r="AE15">
        <v>6.4516177994295996</v>
      </c>
    </row>
    <row r="16" spans="1:35" x14ac:dyDescent="0.2">
      <c r="A16">
        <v>15</v>
      </c>
      <c r="B16">
        <v>749</v>
      </c>
      <c r="C16">
        <v>275</v>
      </c>
      <c r="D16">
        <v>0.29663992564692099</v>
      </c>
      <c r="E16">
        <v>102.733185546828</v>
      </c>
      <c r="F16">
        <v>2.1957839740065501</v>
      </c>
      <c r="G16">
        <v>-1678.126831373155</v>
      </c>
      <c r="H16">
        <v>-1402.4792668595894</v>
      </c>
      <c r="I16">
        <v>269.67427922865102</v>
      </c>
      <c r="J16">
        <v>139.23992467737199</v>
      </c>
      <c r="K16">
        <v>46.786563142354602</v>
      </c>
      <c r="L16">
        <v>1.6062569739732456E-4</v>
      </c>
      <c r="M16">
        <v>1.7788402510918994E-5</v>
      </c>
      <c r="N16" s="1">
        <v>3.78613222963612E-6</v>
      </c>
      <c r="O16" s="1">
        <v>1.0234424137441399E-7</v>
      </c>
      <c r="P16" s="1">
        <v>-5.2533937962727299E-7</v>
      </c>
      <c r="Q16">
        <v>71.880134351502804</v>
      </c>
      <c r="R16">
        <v>7.6898228726679896E-2</v>
      </c>
      <c r="S16">
        <v>12.1479733482245</v>
      </c>
      <c r="T16">
        <v>0.18375802575457401</v>
      </c>
      <c r="V16">
        <v>0.43815759119488801</v>
      </c>
      <c r="W16">
        <v>2.53082778087768E-2</v>
      </c>
      <c r="X16">
        <v>5.84037180202771E-2</v>
      </c>
      <c r="AA16">
        <v>0.51589950917897898</v>
      </c>
      <c r="AB16">
        <v>3.8741132953437001</v>
      </c>
      <c r="AC16">
        <v>4.3413430395052597</v>
      </c>
      <c r="AD16">
        <v>3.8935812013487499E-3</v>
      </c>
      <c r="AE16">
        <v>6.45411703353804</v>
      </c>
    </row>
    <row r="17" spans="1:31" x14ac:dyDescent="0.2">
      <c r="A17">
        <v>16</v>
      </c>
      <c r="B17">
        <v>748</v>
      </c>
      <c r="C17">
        <v>275</v>
      </c>
      <c r="D17">
        <v>0.29588258336189799</v>
      </c>
      <c r="E17">
        <v>102.519819851035</v>
      </c>
      <c r="F17">
        <v>2.1962400471341099</v>
      </c>
      <c r="G17">
        <v>-1674.3224009312164</v>
      </c>
      <c r="H17">
        <v>-1399.6208770247545</v>
      </c>
      <c r="I17">
        <v>269.01192176121202</v>
      </c>
      <c r="J17">
        <v>138.96013722526499</v>
      </c>
      <c r="K17">
        <v>46.6796969597263</v>
      </c>
      <c r="L17">
        <v>1.606745167055975E-4</v>
      </c>
      <c r="M17">
        <v>1.7781185686562871E-5</v>
      </c>
      <c r="N17" s="1">
        <v>3.7841277767225901E-6</v>
      </c>
      <c r="O17" s="1">
        <v>1.02085192864017E-7</v>
      </c>
      <c r="P17" s="1">
        <v>-5.2464044782687504E-7</v>
      </c>
      <c r="Q17">
        <v>71.832494657699499</v>
      </c>
      <c r="R17">
        <v>7.7058270405463106E-2</v>
      </c>
      <c r="S17">
        <v>12.173255881784799</v>
      </c>
      <c r="T17">
        <v>0.184500882030048</v>
      </c>
      <c r="V17">
        <v>0.43874518424006798</v>
      </c>
      <c r="W17">
        <v>2.5360949753692501E-2</v>
      </c>
      <c r="X17">
        <v>5.8525268662391799E-2</v>
      </c>
      <c r="AA17">
        <v>0.51697320651765</v>
      </c>
      <c r="AB17">
        <v>3.8821761546038802</v>
      </c>
      <c r="AC17">
        <v>4.35037830390233</v>
      </c>
      <c r="AD17">
        <v>3.9016845774895001E-3</v>
      </c>
      <c r="AE17">
        <v>6.4566295558225004</v>
      </c>
    </row>
    <row r="18" spans="1:31" x14ac:dyDescent="0.2">
      <c r="A18">
        <v>17</v>
      </c>
      <c r="B18">
        <v>747</v>
      </c>
      <c r="C18">
        <v>275</v>
      </c>
      <c r="D18">
        <v>0.29512375631034898</v>
      </c>
      <c r="E18">
        <v>102.30748026881</v>
      </c>
      <c r="F18">
        <v>2.1966960645754301</v>
      </c>
      <c r="G18">
        <v>-1670.536204028519</v>
      </c>
      <c r="H18">
        <v>-1396.7763261558105</v>
      </c>
      <c r="I18">
        <v>268.35257351635403</v>
      </c>
      <c r="J18">
        <v>138.68170155137699</v>
      </c>
      <c r="K18">
        <v>46.573343449123698</v>
      </c>
      <c r="L18">
        <v>1.6072340883314048E-4</v>
      </c>
      <c r="M18">
        <v>1.7773967490024565E-5</v>
      </c>
      <c r="N18" s="1">
        <v>3.78214809098476E-6</v>
      </c>
      <c r="O18" s="1">
        <v>1.01827490974823E-7</v>
      </c>
      <c r="P18" s="1">
        <v>-5.2394612818553803E-7</v>
      </c>
      <c r="Q18">
        <v>71.784871457348501</v>
      </c>
      <c r="R18">
        <v>7.7218205152189107E-2</v>
      </c>
      <c r="S18">
        <v>12.198521522788299</v>
      </c>
      <c r="T18">
        <v>0.185246392501555</v>
      </c>
      <c r="V18">
        <v>0.43932954979669703</v>
      </c>
      <c r="W18">
        <v>2.54135865057789E-2</v>
      </c>
      <c r="X18">
        <v>5.8646738090287302E-2</v>
      </c>
      <c r="AA18">
        <v>0.518046186464037</v>
      </c>
      <c r="AB18">
        <v>3.89023362665406</v>
      </c>
      <c r="AC18">
        <v>4.3594075313755498</v>
      </c>
      <c r="AD18">
        <v>3.9097825393487199E-3</v>
      </c>
      <c r="AE18">
        <v>6.4591554207836097</v>
      </c>
    </row>
    <row r="19" spans="1:31" x14ac:dyDescent="0.2">
      <c r="A19">
        <v>18</v>
      </c>
      <c r="B19">
        <v>746</v>
      </c>
      <c r="C19">
        <v>275</v>
      </c>
      <c r="D19">
        <v>0.29436344012167098</v>
      </c>
      <c r="E19">
        <v>102.096158526954</v>
      </c>
      <c r="F19">
        <v>2.1971520265235398</v>
      </c>
      <c r="G19">
        <v>-1666.768095148748</v>
      </c>
      <c r="H19">
        <v>-1393.9455021795361</v>
      </c>
      <c r="I19">
        <v>267.69621053741997</v>
      </c>
      <c r="J19">
        <v>138.40460690762299</v>
      </c>
      <c r="K19">
        <v>46.4674985137448</v>
      </c>
      <c r="L19">
        <v>1.6077237453308437E-4</v>
      </c>
      <c r="M19">
        <v>1.7766747927179587E-5</v>
      </c>
      <c r="N19" s="1">
        <v>3.7801930319617399E-6</v>
      </c>
      <c r="O19" s="1">
        <v>1.01571125561486E-7</v>
      </c>
      <c r="P19" s="1">
        <v>-5.2325638974358504E-7</v>
      </c>
      <c r="Q19">
        <v>71.737264473739003</v>
      </c>
      <c r="R19">
        <v>7.7378033747615094E-2</v>
      </c>
      <c r="S19">
        <v>12.2237703945723</v>
      </c>
      <c r="T19">
        <v>0.18599457300359701</v>
      </c>
      <c r="V19">
        <v>0.43991067974446701</v>
      </c>
      <c r="W19">
        <v>2.5466188321995001E-2</v>
      </c>
      <c r="X19">
        <v>5.8768126896940297E-2</v>
      </c>
      <c r="AA19">
        <v>0.51911845425613601</v>
      </c>
      <c r="AB19">
        <v>3.8982857508286801</v>
      </c>
      <c r="AC19">
        <v>4.3684307660033799</v>
      </c>
      <c r="AD19">
        <v>3.9178751264588498E-3</v>
      </c>
      <c r="AE19">
        <v>6.4616946837593199</v>
      </c>
    </row>
    <row r="20" spans="1:31" x14ac:dyDescent="0.2">
      <c r="A20">
        <v>19</v>
      </c>
      <c r="B20">
        <v>745</v>
      </c>
      <c r="C20">
        <v>275</v>
      </c>
      <c r="D20">
        <v>0.29360163040809401</v>
      </c>
      <c r="E20">
        <v>101.885846440848</v>
      </c>
      <c r="F20">
        <v>2.1976079331516201</v>
      </c>
      <c r="G20">
        <v>-1663.0179303367295</v>
      </c>
      <c r="H20">
        <v>-1391.1282942219214</v>
      </c>
      <c r="I20">
        <v>267.042809129114</v>
      </c>
      <c r="J20">
        <v>138.12884266266801</v>
      </c>
      <c r="K20">
        <v>46.362158101027902</v>
      </c>
      <c r="L20">
        <v>1.6082141457133059E-4</v>
      </c>
      <c r="M20">
        <v>1.7759527004718586E-5</v>
      </c>
      <c r="N20" s="1">
        <v>3.7782624614657402E-6</v>
      </c>
      <c r="O20" s="1">
        <v>1.0131608659821E-7</v>
      </c>
      <c r="P20" s="1">
        <v>-5.2257120196134599E-7</v>
      </c>
      <c r="Q20">
        <v>71.689673429937301</v>
      </c>
      <c r="R20">
        <v>7.7537756969875193E-2</v>
      </c>
      <c r="S20">
        <v>12.2490026200641</v>
      </c>
      <c r="T20">
        <v>0.18674543944944899</v>
      </c>
      <c r="V20">
        <v>0.44048856587110502</v>
      </c>
      <c r="W20">
        <v>2.5518755458434801E-2</v>
      </c>
      <c r="X20">
        <v>5.8889435673341199E-2</v>
      </c>
      <c r="AA20">
        <v>0.52019001511433505</v>
      </c>
      <c r="AB20">
        <v>3.90633256632985</v>
      </c>
      <c r="AC20">
        <v>4.3774480517157199</v>
      </c>
      <c r="AD20">
        <v>3.9259623782187201E-3</v>
      </c>
      <c r="AE20">
        <v>6.4642474010381603</v>
      </c>
    </row>
    <row r="21" spans="1:31" x14ac:dyDescent="0.2">
      <c r="A21">
        <v>20</v>
      </c>
      <c r="B21">
        <v>744</v>
      </c>
      <c r="C21">
        <v>275</v>
      </c>
      <c r="D21">
        <v>0.29283832276459099</v>
      </c>
      <c r="E21">
        <v>101.676535908961</v>
      </c>
      <c r="F21">
        <v>2.1980637846231099</v>
      </c>
      <c r="G21">
        <v>-1659.2855671046677</v>
      </c>
      <c r="H21">
        <v>-1388.3245925319659</v>
      </c>
      <c r="I21">
        <v>266.39234584151899</v>
      </c>
      <c r="J21">
        <v>137.85439829462101</v>
      </c>
      <c r="K21">
        <v>46.257318199887898</v>
      </c>
      <c r="L21">
        <v>1.6087052972378401E-4</v>
      </c>
      <c r="M21">
        <v>1.7752304729798289E-5</v>
      </c>
      <c r="N21" s="1">
        <v>3.7763562432617799E-6</v>
      </c>
      <c r="O21" s="1">
        <v>1.01062364169463E-7</v>
      </c>
      <c r="P21" s="1">
        <v>-5.2189053467526801E-7</v>
      </c>
      <c r="Q21">
        <v>71.642098048088698</v>
      </c>
      <c r="R21">
        <v>7.7697375597788707E-2</v>
      </c>
      <c r="S21">
        <v>12.274218322297401</v>
      </c>
      <c r="T21">
        <v>0.18749900784118001</v>
      </c>
      <c r="V21">
        <v>0.44106319989002002</v>
      </c>
      <c r="W21">
        <v>2.5571288171418599E-2</v>
      </c>
      <c r="X21">
        <v>5.90106650109984E-2</v>
      </c>
      <c r="AA21">
        <v>0.52126087426362699</v>
      </c>
      <c r="AB21">
        <v>3.9143741123943099</v>
      </c>
      <c r="AC21">
        <v>4.3864594324813799</v>
      </c>
      <c r="AD21">
        <v>3.93404433406222E-3</v>
      </c>
      <c r="AE21">
        <v>6.4668136296289802</v>
      </c>
    </row>
    <row r="22" spans="1:31" x14ac:dyDescent="0.2">
      <c r="A22">
        <v>21</v>
      </c>
      <c r="B22">
        <v>743</v>
      </c>
      <c r="C22">
        <v>275</v>
      </c>
      <c r="D22">
        <v>0.29207351276878402</v>
      </c>
      <c r="E22">
        <v>101.468218915619</v>
      </c>
      <c r="F22">
        <v>2.19851958108252</v>
      </c>
      <c r="G22">
        <v>-1655.5708644783308</v>
      </c>
      <c r="H22">
        <v>-1385.534288520879</v>
      </c>
      <c r="I22">
        <v>265.74479747817799</v>
      </c>
      <c r="J22">
        <v>137.58126339478201</v>
      </c>
      <c r="K22">
        <v>46.152974842124301</v>
      </c>
      <c r="L22">
        <v>1.6091972077901325E-4</v>
      </c>
      <c r="M22">
        <v>1.7745081110360931E-5</v>
      </c>
      <c r="N22" s="1">
        <v>3.7744742433170498E-6</v>
      </c>
      <c r="O22" s="1">
        <v>1.00809948475576E-7</v>
      </c>
      <c r="P22" s="1">
        <v>-5.2121435812877704E-7</v>
      </c>
      <c r="Q22">
        <v>71.594538050023701</v>
      </c>
      <c r="R22">
        <v>7.7856890407923901E-2</v>
      </c>
      <c r="S22">
        <v>12.2994176239495</v>
      </c>
      <c r="T22">
        <v>0.18825529426156401</v>
      </c>
      <c r="V22">
        <v>0.441634573424461</v>
      </c>
      <c r="W22">
        <v>2.5623786716526199E-2</v>
      </c>
      <c r="X22">
        <v>5.9131815499709202E-2</v>
      </c>
      <c r="AA22">
        <v>0.52233103691390104</v>
      </c>
      <c r="AB22">
        <v>3.9224104281454202</v>
      </c>
      <c r="AC22">
        <v>4.3954649521421496</v>
      </c>
      <c r="AD22">
        <v>3.9421210333094904E-3</v>
      </c>
      <c r="AE22">
        <v>6.4693934274817204</v>
      </c>
    </row>
    <row r="23" spans="1:31" x14ac:dyDescent="0.2">
      <c r="A23">
        <v>22</v>
      </c>
      <c r="B23">
        <v>742</v>
      </c>
      <c r="C23">
        <v>275</v>
      </c>
      <c r="D23">
        <v>0.291307195980888</v>
      </c>
      <c r="E23">
        <v>101.260887528894</v>
      </c>
      <c r="F23">
        <v>2.1989753226584301</v>
      </c>
      <c r="G23">
        <v>-1651.873682960294</v>
      </c>
      <c r="H23">
        <v>-1382.7572747330257</v>
      </c>
      <c r="I23">
        <v>265.10014108975798</v>
      </c>
      <c r="J23">
        <v>137.309427664807</v>
      </c>
      <c r="K23">
        <v>46.0491241013452</v>
      </c>
      <c r="L23">
        <v>1.6096898853724018E-4</v>
      </c>
      <c r="M23">
        <v>1.7737856155023158E-5</v>
      </c>
      <c r="N23" s="1">
        <v>3.7726163296971199E-6</v>
      </c>
      <c r="O23" s="1">
        <v>1.00558829829132E-7</v>
      </c>
      <c r="P23" s="1">
        <v>-5.2054264295631801E-7</v>
      </c>
      <c r="Q23">
        <v>71.546993157110904</v>
      </c>
      <c r="R23">
        <v>7.8016302175372795E-2</v>
      </c>
      <c r="S23">
        <v>12.324600647465999</v>
      </c>
      <c r="T23">
        <v>0.18901431487651699</v>
      </c>
      <c r="V23">
        <v>0.442202678011066</v>
      </c>
      <c r="W23">
        <v>2.5676251348851001E-2</v>
      </c>
      <c r="X23">
        <v>5.9252887728152098E-2</v>
      </c>
      <c r="AA23">
        <v>0.52340050826513895</v>
      </c>
      <c r="AB23">
        <v>3.9304415526320602</v>
      </c>
      <c r="AC23">
        <v>4.4044646544562998</v>
      </c>
      <c r="AD23">
        <v>3.9501925152055197E-3</v>
      </c>
      <c r="AE23">
        <v>6.4719868534143403</v>
      </c>
    </row>
    <row r="24" spans="1:31" x14ac:dyDescent="0.2">
      <c r="A24">
        <v>23</v>
      </c>
      <c r="B24">
        <v>741</v>
      </c>
      <c r="C24">
        <v>275</v>
      </c>
      <c r="D24">
        <v>0.29053936794360102</v>
      </c>
      <c r="E24">
        <v>101.054533897018</v>
      </c>
      <c r="F24">
        <v>2.1994310094619798</v>
      </c>
      <c r="G24">
        <v>-1648.1938844700733</v>
      </c>
      <c r="H24">
        <v>-1379.9934447960459</v>
      </c>
      <c r="I24">
        <v>264.45835396541599</v>
      </c>
      <c r="J24">
        <v>137.038880912319</v>
      </c>
      <c r="K24">
        <v>45.945762091322997</v>
      </c>
      <c r="L24">
        <v>1.6101833381337302E-4</v>
      </c>
      <c r="M24">
        <v>1.7730629873219017E-5</v>
      </c>
      <c r="N24" s="1">
        <v>3.7707823725289602E-6</v>
      </c>
      <c r="O24" s="1">
        <v>1.0030899865298601E-7</v>
      </c>
      <c r="P24" s="1">
        <v>-5.1987536018152898E-7</v>
      </c>
      <c r="Q24">
        <v>71.499463089577702</v>
      </c>
      <c r="R24">
        <v>7.8175611675684695E-2</v>
      </c>
      <c r="S24">
        <v>12.349767515364</v>
      </c>
      <c r="T24">
        <v>0.189776085940947</v>
      </c>
      <c r="V24">
        <v>0.442767505110088</v>
      </c>
      <c r="W24">
        <v>2.5728682323636901E-2</v>
      </c>
      <c r="X24">
        <v>5.9373882285351703E-2</v>
      </c>
      <c r="AA24">
        <v>0.52446929352039495</v>
      </c>
      <c r="AB24">
        <v>3.9384675249262302</v>
      </c>
      <c r="AC24">
        <v>4.4134585832080298</v>
      </c>
      <c r="AD24">
        <v>3.9582588190186299E-3</v>
      </c>
      <c r="AE24">
        <v>6.47459396724883</v>
      </c>
    </row>
    <row r="25" spans="1:31" x14ac:dyDescent="0.2">
      <c r="A25">
        <v>24</v>
      </c>
      <c r="B25">
        <v>740</v>
      </c>
      <c r="C25">
        <v>275</v>
      </c>
      <c r="D25">
        <v>0.28977002418201098</v>
      </c>
      <c r="E25">
        <v>85.946582438711005</v>
      </c>
      <c r="F25">
        <v>2.20085564975422</v>
      </c>
      <c r="G25">
        <v>-1400.8276118786712</v>
      </c>
      <c r="H25">
        <v>-1172.8854881523273</v>
      </c>
      <c r="I25">
        <v>224.983589524102</v>
      </c>
      <c r="J25">
        <v>116.604846948611</v>
      </c>
      <c r="K25">
        <v>39.051440038018399</v>
      </c>
      <c r="L25">
        <v>1.6158199030017178E-4</v>
      </c>
      <c r="M25">
        <v>1.7756929077156233E-5</v>
      </c>
      <c r="N25" s="1">
        <v>3.2222970630185899E-6</v>
      </c>
      <c r="O25" s="1">
        <v>8.5526121427769303E-8</v>
      </c>
      <c r="P25" s="1">
        <v>-4.4378633828930499E-7</v>
      </c>
      <c r="Q25">
        <v>71.349935484190695</v>
      </c>
      <c r="R25">
        <v>9.1917558276789199E-2</v>
      </c>
      <c r="S25">
        <v>12.3624577472523</v>
      </c>
      <c r="T25">
        <v>0.223132136494822</v>
      </c>
      <c r="V25">
        <v>0.52060155203715397</v>
      </c>
      <c r="W25">
        <v>3.0251348293615699E-2</v>
      </c>
      <c r="X25">
        <v>6.9810803754564998E-2</v>
      </c>
      <c r="AA25">
        <v>0.52510158543457996</v>
      </c>
      <c r="AB25">
        <v>3.9685034722538202</v>
      </c>
      <c r="AC25">
        <v>4.3557111358073204</v>
      </c>
      <c r="AD25">
        <v>4.6540535836294304E-3</v>
      </c>
      <c r="AE25">
        <v>6.4979231226206204</v>
      </c>
    </row>
    <row r="26" spans="1:31" x14ac:dyDescent="0.2">
      <c r="A26">
        <v>25</v>
      </c>
      <c r="B26">
        <v>739</v>
      </c>
      <c r="C26">
        <v>275</v>
      </c>
      <c r="D26">
        <v>0.28899916020352701</v>
      </c>
      <c r="E26">
        <v>68.135815918970295</v>
      </c>
      <c r="F26">
        <v>2.2036293441086001</v>
      </c>
      <c r="G26">
        <v>-1109.0410717092129</v>
      </c>
      <c r="H26">
        <v>-928.54243162609941</v>
      </c>
      <c r="I26">
        <v>178.331907408105</v>
      </c>
      <c r="J26">
        <v>92.463898733529504</v>
      </c>
      <c r="K26">
        <v>30.9198169379669</v>
      </c>
      <c r="L26">
        <v>1.6205309982097316E-4</v>
      </c>
      <c r="M26">
        <v>1.77688067192876E-5</v>
      </c>
      <c r="N26" s="1">
        <v>2.5616791164816001E-6</v>
      </c>
      <c r="O26" s="1">
        <v>6.7848877530833197E-8</v>
      </c>
      <c r="P26" s="1">
        <v>-3.5247265201537102E-7</v>
      </c>
      <c r="Q26">
        <v>71.155229309006302</v>
      </c>
      <c r="R26">
        <v>0.115944894670316</v>
      </c>
      <c r="S26">
        <v>12.348731938491699</v>
      </c>
      <c r="T26">
        <v>0.28108190511035602</v>
      </c>
      <c r="V26">
        <v>0.657026681290237</v>
      </c>
      <c r="W26">
        <v>3.8159079258570899E-2</v>
      </c>
      <c r="X26">
        <v>8.8059413673711007E-2</v>
      </c>
      <c r="AA26">
        <v>0.51481401705184304</v>
      </c>
      <c r="AB26">
        <v>3.9734087424456099</v>
      </c>
      <c r="AC26">
        <v>4.3130644572132999</v>
      </c>
      <c r="AD26">
        <v>5.8706275782362798E-3</v>
      </c>
      <c r="AE26">
        <v>6.5086089342097599</v>
      </c>
    </row>
    <row r="27" spans="1:31" x14ac:dyDescent="0.2">
      <c r="A27">
        <v>26</v>
      </c>
      <c r="B27">
        <v>738</v>
      </c>
      <c r="C27">
        <v>275</v>
      </c>
      <c r="D27">
        <v>0.28822677149780002</v>
      </c>
      <c r="E27">
        <v>21.1147008091923</v>
      </c>
      <c r="F27">
        <v>2.2052267604998699</v>
      </c>
      <c r="G27">
        <v>-343.74283271065701</v>
      </c>
      <c r="H27">
        <v>-287.88291478158794</v>
      </c>
      <c r="I27">
        <v>55.243947909873903</v>
      </c>
      <c r="J27">
        <v>28.680305460743199</v>
      </c>
      <c r="K27">
        <v>9.5748433618709097</v>
      </c>
      <c r="L27">
        <v>1.6233875614437689E-4</v>
      </c>
      <c r="M27">
        <v>1.7792679385787647E-5</v>
      </c>
      <c r="N27" s="1">
        <v>7.9620918665701102E-7</v>
      </c>
      <c r="O27" s="1">
        <v>2.1042808624496398E-8</v>
      </c>
      <c r="P27" s="1">
        <v>-1.09212094107719E-7</v>
      </c>
      <c r="Q27">
        <v>70.935816982415403</v>
      </c>
      <c r="R27">
        <v>0.12895863593138501</v>
      </c>
      <c r="S27">
        <v>12.5705522468613</v>
      </c>
      <c r="T27">
        <v>0.26230600300161999</v>
      </c>
      <c r="V27">
        <v>0.61605888158417599</v>
      </c>
      <c r="W27">
        <v>0.12244096332172801</v>
      </c>
      <c r="X27">
        <v>0.139549242532643</v>
      </c>
      <c r="AA27">
        <v>0.48641440994718999</v>
      </c>
      <c r="AB27">
        <v>3.9025409529041699</v>
      </c>
      <c r="AC27">
        <v>4.2958853799382597</v>
      </c>
      <c r="AD27">
        <v>1.8944147189861999E-2</v>
      </c>
      <c r="AE27">
        <v>6.52053215437211</v>
      </c>
    </row>
    <row r="28" spans="1:31" x14ac:dyDescent="0.2">
      <c r="A28">
        <v>27</v>
      </c>
      <c r="B28">
        <v>737</v>
      </c>
      <c r="C28">
        <v>275</v>
      </c>
      <c r="D28">
        <v>0.28745285353660599</v>
      </c>
      <c r="E28">
        <v>11.399919160657699</v>
      </c>
      <c r="F28">
        <v>2.2076535628084399</v>
      </c>
      <c r="G28">
        <v>-185.53451892383688</v>
      </c>
      <c r="H28">
        <v>-155.43023450639618</v>
      </c>
      <c r="I28">
        <v>29.801796186151201</v>
      </c>
      <c r="J28">
        <v>15.493308262766</v>
      </c>
      <c r="K28">
        <v>5.1638170737964204</v>
      </c>
      <c r="L28">
        <v>1.6255598855350299E-4</v>
      </c>
      <c r="M28">
        <v>1.7817108952263426E-5</v>
      </c>
      <c r="N28" s="1">
        <v>4.3083455448579002E-7</v>
      </c>
      <c r="O28" s="1">
        <v>1.13624297524123E-8</v>
      </c>
      <c r="P28" s="1">
        <v>-5.8882729092239997E-8</v>
      </c>
      <c r="Q28">
        <v>70.652010394201199</v>
      </c>
      <c r="R28">
        <v>0.127978140753468</v>
      </c>
      <c r="S28">
        <v>12.859244289751601</v>
      </c>
      <c r="T28">
        <v>0.25913785254406202</v>
      </c>
      <c r="V28">
        <v>0.61309859428781799</v>
      </c>
      <c r="W28">
        <v>0.22441551985119201</v>
      </c>
      <c r="X28">
        <v>0.13901073872682601</v>
      </c>
      <c r="AA28">
        <v>0.481714686437824</v>
      </c>
      <c r="AB28">
        <v>3.7780065079554102</v>
      </c>
      <c r="AC28">
        <v>4.3027184625339601</v>
      </c>
      <c r="AD28">
        <v>3.5087968112932202E-2</v>
      </c>
      <c r="AE28">
        <v>6.5275768448436002</v>
      </c>
    </row>
    <row r="29" spans="1:31" x14ac:dyDescent="0.2">
      <c r="A29">
        <v>28</v>
      </c>
      <c r="B29">
        <v>736</v>
      </c>
      <c r="C29">
        <v>275</v>
      </c>
      <c r="D29">
        <v>0.28667740177377199</v>
      </c>
      <c r="E29">
        <v>8.0243518644318108</v>
      </c>
      <c r="F29">
        <v>2.2099238436052899</v>
      </c>
      <c r="G29">
        <v>-130.56072998043794</v>
      </c>
      <c r="H29">
        <v>-109.40928761530898</v>
      </c>
      <c r="I29">
        <v>20.959661462744801</v>
      </c>
      <c r="J29">
        <v>10.9112455134286</v>
      </c>
      <c r="K29">
        <v>3.6310535712130201</v>
      </c>
      <c r="L29">
        <v>1.6274101656712486E-4</v>
      </c>
      <c r="M29">
        <v>1.7837667772434115E-5</v>
      </c>
      <c r="N29" s="1">
        <v>3.0388310708084002E-7</v>
      </c>
      <c r="O29" s="1">
        <v>7.9975707549502702E-9</v>
      </c>
      <c r="P29" s="1">
        <v>-4.1391541784552403E-8</v>
      </c>
      <c r="Q29">
        <v>70.391871939987496</v>
      </c>
      <c r="R29">
        <v>0.127243191175128</v>
      </c>
      <c r="S29">
        <v>13.123054616082699</v>
      </c>
      <c r="T29">
        <v>0.25604633970340102</v>
      </c>
      <c r="V29">
        <v>0.60967758163738395</v>
      </c>
      <c r="W29">
        <v>0.316129285547667</v>
      </c>
      <c r="X29">
        <v>0.13847891682351701</v>
      </c>
      <c r="AA29">
        <v>0.481236378224279</v>
      </c>
      <c r="AB29">
        <v>3.66305192141844</v>
      </c>
      <c r="AC29">
        <v>4.3099074029046198</v>
      </c>
      <c r="AD29">
        <v>4.9848262732862997E-2</v>
      </c>
      <c r="AE29">
        <v>6.5334541637624399</v>
      </c>
    </row>
    <row r="30" spans="1:31" x14ac:dyDescent="0.2">
      <c r="A30">
        <v>29</v>
      </c>
      <c r="B30">
        <v>763</v>
      </c>
      <c r="C30">
        <v>255</v>
      </c>
      <c r="D30">
        <v>0.32832167157265202</v>
      </c>
      <c r="E30">
        <v>105.334543281771</v>
      </c>
      <c r="F30">
        <v>2.1902613546477601</v>
      </c>
      <c r="G30">
        <v>-1724.3883071295661</v>
      </c>
      <c r="H30">
        <v>-1438.2795273037314</v>
      </c>
      <c r="I30">
        <v>276.12679614518601</v>
      </c>
      <c r="J30">
        <v>142.34966009854401</v>
      </c>
      <c r="K30">
        <v>48.092225641588499</v>
      </c>
      <c r="L30">
        <v>1.5660929576251316E-4</v>
      </c>
      <c r="M30">
        <v>1.7862786786148286E-5</v>
      </c>
      <c r="N30" s="1">
        <v>3.6497460519572199E-6</v>
      </c>
      <c r="O30" s="1">
        <v>1.02837188980598E-7</v>
      </c>
      <c r="P30" s="1">
        <v>-5.2153778901592504E-7</v>
      </c>
      <c r="Q30">
        <v>72.739670779278299</v>
      </c>
      <c r="R30">
        <v>7.4999138495976406E-2</v>
      </c>
      <c r="S30">
        <v>11.8479651699976</v>
      </c>
      <c r="T30">
        <v>0.17620509051557101</v>
      </c>
      <c r="V30">
        <v>0.43004955304930298</v>
      </c>
      <c r="W30">
        <v>2.4683260770827501E-2</v>
      </c>
      <c r="X30">
        <v>5.6961371009602801E-2</v>
      </c>
      <c r="AA30">
        <v>0.50315877725148705</v>
      </c>
      <c r="AB30">
        <v>3.7784376103035999</v>
      </c>
      <c r="AC30">
        <v>4.2341285783803997</v>
      </c>
      <c r="AD30">
        <v>3.79742473397342E-3</v>
      </c>
      <c r="AE30">
        <v>6.1299432462132302</v>
      </c>
    </row>
    <row r="31" spans="1:31" x14ac:dyDescent="0.2">
      <c r="A31">
        <v>30</v>
      </c>
      <c r="B31">
        <v>762</v>
      </c>
      <c r="C31">
        <v>255</v>
      </c>
      <c r="D31">
        <v>0.32760517799352901</v>
      </c>
      <c r="E31">
        <v>105.275913251614</v>
      </c>
      <c r="F31">
        <v>2.19065039664935</v>
      </c>
      <c r="G31">
        <v>-1723.1354032029767</v>
      </c>
      <c r="H31">
        <v>-1437.5995622826333</v>
      </c>
      <c r="I31">
        <v>275.84006271587901</v>
      </c>
      <c r="J31">
        <v>142.261875261923</v>
      </c>
      <c r="K31">
        <v>48.0569210918528</v>
      </c>
      <c r="L31">
        <v>1.5657319497583568E-4</v>
      </c>
      <c r="M31">
        <v>1.7854164402281382E-5</v>
      </c>
      <c r="N31" s="1">
        <v>3.6519662834659301E-6</v>
      </c>
      <c r="O31" s="1">
        <v>1.0269736036111299E-7</v>
      </c>
      <c r="P31" s="1">
        <v>-5.2120091267390302E-7</v>
      </c>
      <c r="Q31">
        <v>72.727918084687701</v>
      </c>
      <c r="R31">
        <v>7.5040906851301201E-2</v>
      </c>
      <c r="S31">
        <v>11.854563512713</v>
      </c>
      <c r="T31">
        <v>0.176593150358589</v>
      </c>
      <c r="V31">
        <v>0.430028174811659</v>
      </c>
      <c r="W31">
        <v>2.4697007318149299E-2</v>
      </c>
      <c r="X31">
        <v>5.6993093811116398E-2</v>
      </c>
      <c r="AA31">
        <v>0.50343899533151304</v>
      </c>
      <c r="AB31">
        <v>3.78054188947057</v>
      </c>
      <c r="AC31">
        <v>4.2364866399594199</v>
      </c>
      <c r="AD31">
        <v>3.7995395874074402E-3</v>
      </c>
      <c r="AE31">
        <v>6.1298990050995297</v>
      </c>
    </row>
    <row r="32" spans="1:31" x14ac:dyDescent="0.2">
      <c r="A32">
        <v>31</v>
      </c>
      <c r="B32">
        <v>761</v>
      </c>
      <c r="C32">
        <v>255</v>
      </c>
      <c r="D32">
        <v>0.32688729874776701</v>
      </c>
      <c r="E32">
        <v>105.054064445997</v>
      </c>
      <c r="F32">
        <v>2.1911087986539202</v>
      </c>
      <c r="G32">
        <v>-1719.1758129966697</v>
      </c>
      <c r="H32">
        <v>-1434.6266323918726</v>
      </c>
      <c r="I32">
        <v>275.15271537474899</v>
      </c>
      <c r="J32">
        <v>141.97088900018699</v>
      </c>
      <c r="K32">
        <v>47.9456175387255</v>
      </c>
      <c r="L32">
        <v>1.5661646330400681E-4</v>
      </c>
      <c r="M32">
        <v>1.7846752553353115E-5</v>
      </c>
      <c r="N32" s="1">
        <v>3.64968217242324E-6</v>
      </c>
      <c r="O32" s="1">
        <v>1.02429481973712E-7</v>
      </c>
      <c r="P32" s="1">
        <v>-5.20455379116253E-7</v>
      </c>
      <c r="Q32">
        <v>72.681317314302106</v>
      </c>
      <c r="R32">
        <v>7.5199375118523204E-2</v>
      </c>
      <c r="S32">
        <v>11.879597487080099</v>
      </c>
      <c r="T32">
        <v>0.177303049075307</v>
      </c>
      <c r="V32">
        <v>0.43063307513781401</v>
      </c>
      <c r="W32">
        <v>2.4749161431411901E-2</v>
      </c>
      <c r="X32">
        <v>5.7113449457109201E-2</v>
      </c>
      <c r="AA32">
        <v>0.50450213687110301</v>
      </c>
      <c r="AB32">
        <v>3.78852548065462</v>
      </c>
      <c r="AC32">
        <v>4.2454330763113601</v>
      </c>
      <c r="AD32">
        <v>3.8075632971399701E-3</v>
      </c>
      <c r="AE32">
        <v>6.1318188312632804</v>
      </c>
    </row>
    <row r="33" spans="1:31" x14ac:dyDescent="0.2">
      <c r="A33">
        <v>32</v>
      </c>
      <c r="B33">
        <v>760</v>
      </c>
      <c r="C33">
        <v>255</v>
      </c>
      <c r="D33">
        <v>0.32616802981174298</v>
      </c>
      <c r="E33">
        <v>104.83330922704501</v>
      </c>
      <c r="F33">
        <v>2.1915672119796001</v>
      </c>
      <c r="G33">
        <v>-1715.2356424944921</v>
      </c>
      <c r="H33">
        <v>-1431.6684636355321</v>
      </c>
      <c r="I33">
        <v>274.46854654112099</v>
      </c>
      <c r="J33">
        <v>141.68133591833299</v>
      </c>
      <c r="K33">
        <v>47.834859297950302</v>
      </c>
      <c r="L33">
        <v>1.5665974823298351E-4</v>
      </c>
      <c r="M33">
        <v>1.783933649040431E-5</v>
      </c>
      <c r="N33" s="1">
        <v>3.6474213644764598E-6</v>
      </c>
      <c r="O33" s="1">
        <v>1.0216297809885099E-7</v>
      </c>
      <c r="P33" s="1">
        <v>-5.1971441622912397E-7</v>
      </c>
      <c r="Q33">
        <v>72.634739632865703</v>
      </c>
      <c r="R33">
        <v>7.535772798024E-2</v>
      </c>
      <c r="S33">
        <v>11.904613230298599</v>
      </c>
      <c r="T33">
        <v>0.17801540268499999</v>
      </c>
      <c r="V33">
        <v>0.43123486081020501</v>
      </c>
      <c r="W33">
        <v>2.4801277563115998E-2</v>
      </c>
      <c r="X33">
        <v>5.7233717453350402E-2</v>
      </c>
      <c r="AA33">
        <v>0.505564504171227</v>
      </c>
      <c r="AB33">
        <v>3.7965032577385598</v>
      </c>
      <c r="AC33">
        <v>4.2543729973652002</v>
      </c>
      <c r="AD33">
        <v>3.8155811635558999E-3</v>
      </c>
      <c r="AE33">
        <v>6.1337478099050999</v>
      </c>
    </row>
    <row r="34" spans="1:31" x14ac:dyDescent="0.2">
      <c r="A34">
        <v>33</v>
      </c>
      <c r="B34">
        <v>759</v>
      </c>
      <c r="C34">
        <v>255</v>
      </c>
      <c r="D34">
        <v>0.325447367146249</v>
      </c>
      <c r="E34">
        <v>104.6136386954</v>
      </c>
      <c r="F34">
        <v>2.1920256375996798</v>
      </c>
      <c r="G34">
        <v>-1711.314734907676</v>
      </c>
      <c r="H34">
        <v>-1428.7249354766464</v>
      </c>
      <c r="I34">
        <v>273.787530330891</v>
      </c>
      <c r="J34">
        <v>141.39320442810001</v>
      </c>
      <c r="K34">
        <v>47.724641948054398</v>
      </c>
      <c r="L34">
        <v>1.5670304986038568E-4</v>
      </c>
      <c r="M34">
        <v>1.7831916181804382E-5</v>
      </c>
      <c r="N34" s="1">
        <v>3.6451836930637899E-6</v>
      </c>
      <c r="O34" s="1">
        <v>1.01897837691667E-7</v>
      </c>
      <c r="P34" s="1">
        <v>-5.1897798864899803E-7</v>
      </c>
      <c r="Q34">
        <v>72.588184823255006</v>
      </c>
      <c r="R34">
        <v>7.5515966163860193E-2</v>
      </c>
      <c r="S34">
        <v>11.929610857281901</v>
      </c>
      <c r="T34">
        <v>0.178730225786353</v>
      </c>
      <c r="V34">
        <v>0.431833524401387</v>
      </c>
      <c r="W34">
        <v>2.4853355952661301E-2</v>
      </c>
      <c r="X34">
        <v>5.7353898352304297E-2</v>
      </c>
      <c r="AA34">
        <v>0.50662610211196801</v>
      </c>
      <c r="AB34">
        <v>3.8044752573689902</v>
      </c>
      <c r="AC34">
        <v>4.2633064441871698</v>
      </c>
      <c r="AD34">
        <v>3.82359322348576E-3</v>
      </c>
      <c r="AE34">
        <v>6.1356859519148204</v>
      </c>
    </row>
    <row r="35" spans="1:31" x14ac:dyDescent="0.2">
      <c r="A35">
        <v>34</v>
      </c>
      <c r="B35">
        <v>758</v>
      </c>
      <c r="C35">
        <v>255</v>
      </c>
      <c r="D35">
        <v>0.32472530669640698</v>
      </c>
      <c r="E35">
        <v>104.395044044953</v>
      </c>
      <c r="F35">
        <v>2.19248407648251</v>
      </c>
      <c r="G35">
        <v>-1707.412935093691</v>
      </c>
      <c r="H35">
        <v>-1425.7959286396583</v>
      </c>
      <c r="I35">
        <v>273.10964113274702</v>
      </c>
      <c r="J35">
        <v>141.10648306343899</v>
      </c>
      <c r="K35">
        <v>47.614961114079499</v>
      </c>
      <c r="L35">
        <v>1.5674636828785847E-4</v>
      </c>
      <c r="M35">
        <v>1.7824491596136669E-5</v>
      </c>
      <c r="N35" s="1">
        <v>3.6429689935317399E-6</v>
      </c>
      <c r="O35" s="1">
        <v>1.01634049826681E-7</v>
      </c>
      <c r="P35" s="1">
        <v>-5.1824606140741901E-7</v>
      </c>
      <c r="Q35">
        <v>72.541652668144806</v>
      </c>
      <c r="R35">
        <v>7.5674090396459504E-2</v>
      </c>
      <c r="S35">
        <v>11.954590482888101</v>
      </c>
      <c r="T35">
        <v>0.17944753305753799</v>
      </c>
      <c r="V35">
        <v>0.43242905841013601</v>
      </c>
      <c r="W35">
        <v>2.4905396839339299E-2</v>
      </c>
      <c r="X35">
        <v>5.7473992706178097E-2</v>
      </c>
      <c r="AA35">
        <v>0.50768693557117806</v>
      </c>
      <c r="AB35">
        <v>3.8124415161758698</v>
      </c>
      <c r="AC35">
        <v>4.2722334578250001</v>
      </c>
      <c r="AD35">
        <v>3.8315995137438402E-3</v>
      </c>
      <c r="AE35">
        <v>6.13763326847151</v>
      </c>
    </row>
    <row r="36" spans="1:31" x14ac:dyDescent="0.2">
      <c r="A36">
        <v>35</v>
      </c>
      <c r="B36">
        <v>757</v>
      </c>
      <c r="C36">
        <v>255</v>
      </c>
      <c r="D36">
        <v>0.32400184439159502</v>
      </c>
      <c r="E36">
        <v>104.177516565083</v>
      </c>
      <c r="F36">
        <v>2.19294252959364</v>
      </c>
      <c r="G36">
        <v>-1703.5300895913356</v>
      </c>
      <c r="H36">
        <v>-1422.8813251427061</v>
      </c>
      <c r="I36">
        <v>272.43485361222099</v>
      </c>
      <c r="J36">
        <v>140.821160483043</v>
      </c>
      <c r="K36">
        <v>47.505812468504601</v>
      </c>
      <c r="L36">
        <v>1.567897036171521E-4</v>
      </c>
      <c r="M36">
        <v>1.7817062702001088E-5</v>
      </c>
      <c r="N36" s="1">
        <v>3.6407771031334801E-6</v>
      </c>
      <c r="O36" s="1">
        <v>1.01371603697017E-7</v>
      </c>
      <c r="P36" s="1">
        <v>-5.17518599922098E-7</v>
      </c>
      <c r="Q36">
        <v>72.495142950878403</v>
      </c>
      <c r="R36">
        <v>7.5832101402271299E-2</v>
      </c>
      <c r="S36">
        <v>11.979552221528699</v>
      </c>
      <c r="T36">
        <v>0.18016733924949299</v>
      </c>
      <c r="V36">
        <v>0.43302145524712699</v>
      </c>
      <c r="W36">
        <v>2.4957400461504901E-2</v>
      </c>
      <c r="X36">
        <v>5.7594001065023798E-2</v>
      </c>
      <c r="AA36">
        <v>0.50874700940763595</v>
      </c>
      <c r="AB36">
        <v>3.8204020706458399</v>
      </c>
      <c r="AC36">
        <v>4.2811540791656704</v>
      </c>
      <c r="AD36">
        <v>3.8396000709999501E-3</v>
      </c>
      <c r="AE36">
        <v>6.1395897708772598</v>
      </c>
    </row>
    <row r="37" spans="1:31" x14ac:dyDescent="0.2">
      <c r="A37">
        <v>36</v>
      </c>
      <c r="B37">
        <v>756</v>
      </c>
      <c r="C37">
        <v>255</v>
      </c>
      <c r="D37">
        <v>0.32327697614536499</v>
      </c>
      <c r="E37">
        <v>103.96104763823401</v>
      </c>
      <c r="F37">
        <v>2.1934009978914601</v>
      </c>
      <c r="G37">
        <v>-1699.6660465801745</v>
      </c>
      <c r="H37">
        <v>-1419.9810082639613</v>
      </c>
      <c r="I37">
        <v>271.76314270632298</v>
      </c>
      <c r="J37">
        <v>140.53722546748901</v>
      </c>
      <c r="K37">
        <v>47.397191730182001</v>
      </c>
      <c r="L37">
        <v>1.5683305595365991E-4</v>
      </c>
      <c r="M37">
        <v>1.7809629468251532E-5</v>
      </c>
      <c r="N37" s="1">
        <v>3.63860786107171E-6</v>
      </c>
      <c r="O37" s="1">
        <v>1.011104886145E-7</v>
      </c>
      <c r="P37" s="1">
        <v>-5.1679557000562599E-7</v>
      </c>
      <c r="Q37">
        <v>72.4486554550503</v>
      </c>
      <c r="R37">
        <v>7.5989999903529601E-2</v>
      </c>
      <c r="S37">
        <v>12.0044961872975</v>
      </c>
      <c r="T37">
        <v>0.18088965918861599</v>
      </c>
      <c r="V37">
        <v>0.433610707239663</v>
      </c>
      <c r="W37">
        <v>2.5009367056855501E-2</v>
      </c>
      <c r="X37">
        <v>5.7713923977372503E-2</v>
      </c>
      <c r="AA37">
        <v>0.50980632846670904</v>
      </c>
      <c r="AB37">
        <v>3.8283569571649001</v>
      </c>
      <c r="AC37">
        <v>4.2900683489834996</v>
      </c>
      <c r="AD37">
        <v>3.847594931823E-3</v>
      </c>
      <c r="AE37">
        <v>6.1415554707390401</v>
      </c>
    </row>
    <row r="38" spans="1:31" x14ac:dyDescent="0.2">
      <c r="A38">
        <v>37</v>
      </c>
      <c r="B38">
        <v>755</v>
      </c>
      <c r="C38">
        <v>255</v>
      </c>
      <c r="D38">
        <v>0.322550697855369</v>
      </c>
      <c r="E38">
        <v>103.74562873938</v>
      </c>
      <c r="F38">
        <v>2.1938594823309598</v>
      </c>
      <c r="G38">
        <v>-1695.8206558696427</v>
      </c>
      <c r="H38">
        <v>-1417.0948625350125</v>
      </c>
      <c r="I38">
        <v>271.094483620706</v>
      </c>
      <c r="J38">
        <v>140.254666918304</v>
      </c>
      <c r="K38">
        <v>47.289094663962501</v>
      </c>
      <c r="L38">
        <v>1.5687642540359421E-4</v>
      </c>
      <c r="M38">
        <v>1.7802191863798744E-5</v>
      </c>
      <c r="N38" s="1">
        <v>3.6364611084114702E-6</v>
      </c>
      <c r="O38" s="1">
        <v>1.00850694006488E-7</v>
      </c>
      <c r="P38" s="1">
        <v>-5.1607693784821202E-7</v>
      </c>
      <c r="Q38">
        <v>72.402189964795198</v>
      </c>
      <c r="R38">
        <v>7.6147786619963007E-2</v>
      </c>
      <c r="S38">
        <v>12.0294224938939</v>
      </c>
      <c r="T38">
        <v>0.181614507775642</v>
      </c>
      <c r="V38">
        <v>0.43419680662836702</v>
      </c>
      <c r="W38">
        <v>2.5061296862263799E-2</v>
      </c>
      <c r="X38">
        <v>5.7833761989854002E-2</v>
      </c>
      <c r="AA38">
        <v>0.51086489757695897</v>
      </c>
      <c r="AB38">
        <v>3.8363062119928002</v>
      </c>
      <c r="AC38">
        <v>4.2989763079112304</v>
      </c>
      <c r="AD38">
        <v>3.8555841326549998E-3</v>
      </c>
      <c r="AE38">
        <v>6.1435303798210299</v>
      </c>
    </row>
    <row r="39" spans="1:31" x14ac:dyDescent="0.2">
      <c r="A39">
        <v>38</v>
      </c>
      <c r="B39">
        <v>754</v>
      </c>
      <c r="C39">
        <v>255</v>
      </c>
      <c r="D39">
        <v>0.321823005403299</v>
      </c>
      <c r="E39">
        <v>103.531251433571</v>
      </c>
      <c r="F39">
        <v>2.19431798386141</v>
      </c>
      <c r="G39">
        <v>-1691.9937688575542</v>
      </c>
      <c r="H39">
        <v>-1414.2227737067674</v>
      </c>
      <c r="I39">
        <v>270.42885182377103</v>
      </c>
      <c r="J39">
        <v>139.973473854969</v>
      </c>
      <c r="K39">
        <v>47.181517079572998</v>
      </c>
      <c r="L39">
        <v>1.5691981207638356E-4</v>
      </c>
      <c r="M39">
        <v>1.7794749857756112E-5</v>
      </c>
      <c r="N39" s="1">
        <v>3.6343366880815699E-6</v>
      </c>
      <c r="O39" s="1">
        <v>1.00592209414912E-7</v>
      </c>
      <c r="P39" s="1">
        <v>-5.1536267001961196E-7</v>
      </c>
      <c r="Q39">
        <v>72.355746264414194</v>
      </c>
      <c r="R39">
        <v>7.63054622697103E-2</v>
      </c>
      <c r="S39">
        <v>12.054331254765801</v>
      </c>
      <c r="T39">
        <v>0.182341899988473</v>
      </c>
      <c r="V39">
        <v>0.43477974557195398</v>
      </c>
      <c r="W39">
        <v>2.5113190114079299E-2</v>
      </c>
      <c r="X39">
        <v>5.7953515647890502E-2</v>
      </c>
      <c r="AA39">
        <v>0.51192272155627505</v>
      </c>
      <c r="AB39">
        <v>3.8442498713091702</v>
      </c>
      <c r="AC39">
        <v>4.3078779964918601</v>
      </c>
      <c r="AD39">
        <v>3.8635677098572802E-3</v>
      </c>
      <c r="AE39">
        <v>6.1455145101606501</v>
      </c>
    </row>
    <row r="40" spans="1:31" x14ac:dyDescent="0.2">
      <c r="A40">
        <v>39</v>
      </c>
      <c r="B40">
        <v>753</v>
      </c>
      <c r="C40">
        <v>255</v>
      </c>
      <c r="D40">
        <v>0.321093894654779</v>
      </c>
      <c r="E40">
        <v>103.317907374092</v>
      </c>
      <c r="F40">
        <v>2.1947765034294799</v>
      </c>
      <c r="G40">
        <v>-1688.1852384978922</v>
      </c>
      <c r="H40">
        <v>-1411.3646287244223</v>
      </c>
      <c r="I40">
        <v>269.766223040949</v>
      </c>
      <c r="J40">
        <v>139.693635412422</v>
      </c>
      <c r="K40">
        <v>47.074454830663299</v>
      </c>
      <c r="L40">
        <v>1.5696321608326124E-4</v>
      </c>
      <c r="M40">
        <v>1.7787303419309278E-5</v>
      </c>
      <c r="N40" s="1">
        <v>3.6322344447755198E-6</v>
      </c>
      <c r="O40" s="1">
        <v>1.0033502449276799E-7</v>
      </c>
      <c r="P40" s="1">
        <v>-5.14652733452887E-7</v>
      </c>
      <c r="Q40">
        <v>72.309324138326303</v>
      </c>
      <c r="R40">
        <v>7.6463027569810202E-2</v>
      </c>
      <c r="S40">
        <v>12.079222583187599</v>
      </c>
      <c r="T40">
        <v>0.18307185088391401</v>
      </c>
      <c r="V40">
        <v>0.43535951614948099</v>
      </c>
      <c r="W40">
        <v>2.5165047048289001E-2</v>
      </c>
      <c r="X40">
        <v>5.8073185496068998E-2</v>
      </c>
      <c r="AA40">
        <v>0.51297980521517195</v>
      </c>
      <c r="AB40">
        <v>3.8521879712382101</v>
      </c>
      <c r="AC40">
        <v>4.3167734552062704</v>
      </c>
      <c r="AD40">
        <v>3.87154569973555E-3</v>
      </c>
      <c r="AE40">
        <v>6.1475078739790403</v>
      </c>
    </row>
    <row r="41" spans="1:31" x14ac:dyDescent="0.2">
      <c r="A41">
        <v>40</v>
      </c>
      <c r="B41">
        <v>752</v>
      </c>
      <c r="C41">
        <v>255</v>
      </c>
      <c r="D41">
        <v>0.3203633614593</v>
      </c>
      <c r="E41">
        <v>103.105588306153</v>
      </c>
      <c r="F41">
        <v>2.1952350419715598</v>
      </c>
      <c r="G41">
        <v>-1684.3949193617143</v>
      </c>
      <c r="H41">
        <v>-1408.5203157796243</v>
      </c>
      <c r="I41">
        <v>269.106573264487</v>
      </c>
      <c r="J41">
        <v>139.41514084584</v>
      </c>
      <c r="K41">
        <v>46.967903816601599</v>
      </c>
      <c r="L41">
        <v>1.5700663753821632E-4</v>
      </c>
      <c r="M41">
        <v>1.7779852517941732E-5</v>
      </c>
      <c r="N41" s="1">
        <v>3.6301542251773698E-6</v>
      </c>
      <c r="O41" s="1">
        <v>1.00079129009359E-7</v>
      </c>
      <c r="P41" s="1">
        <v>-5.13947095470721E-7</v>
      </c>
      <c r="Q41">
        <v>72.262923371947906</v>
      </c>
      <c r="R41">
        <v>7.6620483232613501E-2</v>
      </c>
      <c r="S41">
        <v>12.1040965916931</v>
      </c>
      <c r="T41">
        <v>0.183804375587859</v>
      </c>
      <c r="V41">
        <v>0.43593611034104601</v>
      </c>
      <c r="W41">
        <v>2.52168678993374E-2</v>
      </c>
      <c r="X41">
        <v>5.8192772075415899E-2</v>
      </c>
      <c r="AA41">
        <v>0.51403615333271102</v>
      </c>
      <c r="AB41">
        <v>3.8601205476679601</v>
      </c>
      <c r="AC41">
        <v>4.3256627242706696</v>
      </c>
      <c r="AD41">
        <v>3.8795181383581602E-3</v>
      </c>
      <c r="AE41">
        <v>6.1495104838129304</v>
      </c>
    </row>
    <row r="42" spans="1:31" x14ac:dyDescent="0.2">
      <c r="A42">
        <v>41</v>
      </c>
      <c r="B42">
        <v>751</v>
      </c>
      <c r="C42">
        <v>255</v>
      </c>
      <c r="D42">
        <v>0.31963140165015202</v>
      </c>
      <c r="E42">
        <v>102.89428605814</v>
      </c>
      <c r="F42">
        <v>2.1956936004248502</v>
      </c>
      <c r="G42">
        <v>-1680.6226674894472</v>
      </c>
      <c r="H42">
        <v>-1405.6897241884403</v>
      </c>
      <c r="I42">
        <v>268.44987872968397</v>
      </c>
      <c r="J42">
        <v>139.13797951930999</v>
      </c>
      <c r="K42">
        <v>46.861859978200499</v>
      </c>
      <c r="L42">
        <v>1.5705007655709838E-4</v>
      </c>
      <c r="M42">
        <v>1.7772397123126222E-5</v>
      </c>
      <c r="N42" s="1">
        <v>3.6280958775710101E-6</v>
      </c>
      <c r="O42" s="1">
        <v>9.9824512838837201E-8</v>
      </c>
      <c r="P42" s="1">
        <v>-5.1324572373539005E-7</v>
      </c>
      <c r="Q42">
        <v>72.216543750282995</v>
      </c>
      <c r="R42">
        <v>7.6777829971399397E-2</v>
      </c>
      <c r="S42">
        <v>12.1289533929599</v>
      </c>
      <c r="T42">
        <v>0.184539489311556</v>
      </c>
      <c r="V42">
        <v>0.43650952005759702</v>
      </c>
      <c r="W42">
        <v>2.5268652901975601E-2</v>
      </c>
      <c r="X42">
        <v>5.8312275927659002E-2</v>
      </c>
      <c r="AA42">
        <v>0.51509177069418499</v>
      </c>
      <c r="AB42">
        <v>3.86804763653336</v>
      </c>
      <c r="AC42">
        <v>4.3345458439539799</v>
      </c>
      <c r="AD42">
        <v>3.8874850618408801E-3</v>
      </c>
      <c r="AE42">
        <v>6.1515223523434299</v>
      </c>
    </row>
    <row r="43" spans="1:31" x14ac:dyDescent="0.2">
      <c r="A43">
        <v>42</v>
      </c>
      <c r="B43">
        <v>750</v>
      </c>
      <c r="C43">
        <v>255</v>
      </c>
      <c r="D43">
        <v>0.31889801104432502</v>
      </c>
      <c r="E43">
        <v>102.683992547247</v>
      </c>
      <c r="F43">
        <v>2.1961521797171502</v>
      </c>
      <c r="G43">
        <v>-1676.8683404844865</v>
      </c>
      <c r="H43">
        <v>-1402.8727444708663</v>
      </c>
      <c r="I43">
        <v>267.79611592984401</v>
      </c>
      <c r="J43">
        <v>138.86214091311601</v>
      </c>
      <c r="K43">
        <v>46.7563193004559</v>
      </c>
      <c r="L43">
        <v>1.5709353325861405E-4</v>
      </c>
      <c r="M43">
        <v>1.7764937204614254E-5</v>
      </c>
      <c r="N43" s="1">
        <v>3.6260592521536E-6</v>
      </c>
      <c r="O43" s="1">
        <v>9.9571165967854602E-8</v>
      </c>
      <c r="P43" s="1">
        <v>-5.1254858628559402E-7</v>
      </c>
      <c r="Q43">
        <v>72.170185059164197</v>
      </c>
      <c r="R43">
        <v>7.6935068495368894E-2</v>
      </c>
      <c r="S43">
        <v>12.1537930990254</v>
      </c>
      <c r="T43">
        <v>0.18527720733749101</v>
      </c>
      <c r="V43">
        <v>0.43707973711348103</v>
      </c>
      <c r="W43">
        <v>2.5320402289611001E-2</v>
      </c>
      <c r="X43">
        <v>5.8431697591433802E-2</v>
      </c>
      <c r="AA43">
        <v>0.51614666205752402</v>
      </c>
      <c r="AB43">
        <v>3.8759692735637099</v>
      </c>
      <c r="AC43">
        <v>4.3434228542945004</v>
      </c>
      <c r="AD43">
        <v>3.8954465060924001E-3</v>
      </c>
      <c r="AE43">
        <v>6.1535434925610497</v>
      </c>
    </row>
    <row r="44" spans="1:31" x14ac:dyDescent="0.2">
      <c r="A44">
        <v>43</v>
      </c>
      <c r="B44">
        <v>749</v>
      </c>
      <c r="C44">
        <v>255</v>
      </c>
      <c r="D44">
        <v>0.31816318544244998</v>
      </c>
      <c r="E44">
        <v>102.474699773613</v>
      </c>
      <c r="F44">
        <v>2.1966107807739101</v>
      </c>
      <c r="G44">
        <v>-1673.131797413816</v>
      </c>
      <c r="H44">
        <v>-1400.0692682691138</v>
      </c>
      <c r="I44">
        <v>267.14526160025599</v>
      </c>
      <c r="J44">
        <v>138.587614616134</v>
      </c>
      <c r="K44">
        <v>46.651277809676003</v>
      </c>
      <c r="L44">
        <v>1.5713700776374815E-4</v>
      </c>
      <c r="M44">
        <v>1.7757472732240387E-5</v>
      </c>
      <c r="N44" s="1">
        <v>3.6240442007824299E-6</v>
      </c>
      <c r="O44" s="1">
        <v>9.9319078487880094E-8</v>
      </c>
      <c r="P44" s="1">
        <v>-5.1185565150340902E-7</v>
      </c>
      <c r="Q44">
        <v>72.123847084368606</v>
      </c>
      <c r="R44">
        <v>7.7092199513178902E-2</v>
      </c>
      <c r="S44">
        <v>12.178615821840401</v>
      </c>
      <c r="T44">
        <v>0.186017545029872</v>
      </c>
      <c r="V44">
        <v>0.43764675324529601</v>
      </c>
      <c r="W44">
        <v>2.5372116295471901E-2</v>
      </c>
      <c r="X44">
        <v>5.8551037604962497E-2</v>
      </c>
      <c r="AA44">
        <v>0.51720083217700696</v>
      </c>
      <c r="AB44">
        <v>3.8838854944609</v>
      </c>
      <c r="AC44">
        <v>4.35229379529983</v>
      </c>
      <c r="AD44">
        <v>3.9034025069938499E-3</v>
      </c>
      <c r="AE44">
        <v>6.1555739176573701</v>
      </c>
    </row>
    <row r="45" spans="1:31" x14ac:dyDescent="0.2">
      <c r="A45">
        <v>44</v>
      </c>
      <c r="B45">
        <v>748</v>
      </c>
      <c r="C45">
        <v>255</v>
      </c>
      <c r="D45">
        <v>0.31742692062870498</v>
      </c>
      <c r="E45">
        <v>102.266399822696</v>
      </c>
      <c r="F45">
        <v>2.1970694045128401</v>
      </c>
      <c r="G45">
        <v>-1669.4128988469561</v>
      </c>
      <c r="H45">
        <v>-1397.2791883814523</v>
      </c>
      <c r="I45">
        <v>266.49729272438299</v>
      </c>
      <c r="J45">
        <v>138.31439032890299</v>
      </c>
      <c r="K45">
        <v>46.546731574632197</v>
      </c>
      <c r="L45">
        <v>1.5718050019631333E-4</v>
      </c>
      <c r="M45">
        <v>1.7750003676074501E-5</v>
      </c>
      <c r="N45" s="1">
        <v>3.6220505771279898E-6</v>
      </c>
      <c r="O45" s="1">
        <v>9.9068240598506394E-8</v>
      </c>
      <c r="P45" s="1">
        <v>-5.1116688813136002E-7</v>
      </c>
      <c r="Q45">
        <v>72.077529612262595</v>
      </c>
      <c r="R45">
        <v>7.72492237303464E-2</v>
      </c>
      <c r="S45">
        <v>12.203421672856701</v>
      </c>
      <c r="T45">
        <v>0.186760517827669</v>
      </c>
      <c r="V45">
        <v>0.438210560098102</v>
      </c>
      <c r="W45">
        <v>2.5423795151754702E-2</v>
      </c>
      <c r="X45">
        <v>5.8670296504077797E-2</v>
      </c>
      <c r="AA45">
        <v>0.51825428578585198</v>
      </c>
      <c r="AB45">
        <v>3.8917963347688098</v>
      </c>
      <c r="AC45">
        <v>4.3611587068006301</v>
      </c>
      <c r="AD45">
        <v>3.9113531002680597E-3</v>
      </c>
      <c r="AE45">
        <v>6.1576136411130697</v>
      </c>
    </row>
    <row r="46" spans="1:31" x14ac:dyDescent="0.2">
      <c r="A46">
        <v>45</v>
      </c>
      <c r="B46">
        <v>747</v>
      </c>
      <c r="C46">
        <v>255</v>
      </c>
      <c r="D46">
        <v>0.316689212370732</v>
      </c>
      <c r="E46">
        <v>102.059084861448</v>
      </c>
      <c r="F46">
        <v>2.19752805184836</v>
      </c>
      <c r="G46">
        <v>-1665.7115067908264</v>
      </c>
      <c r="H46">
        <v>-1394.5023987091274</v>
      </c>
      <c r="I46">
        <v>265.852186523255</v>
      </c>
      <c r="J46">
        <v>138.04245785864299</v>
      </c>
      <c r="K46">
        <v>46.4426767046753</v>
      </c>
      <c r="L46">
        <v>1.5722401068241686E-4</v>
      </c>
      <c r="M46">
        <v>1.7742530006292313E-5</v>
      </c>
      <c r="N46" s="1">
        <v>3.6200782365120099E-6</v>
      </c>
      <c r="O46" s="1">
        <v>9.8818642602285601E-8</v>
      </c>
      <c r="P46" s="1">
        <v>-5.1048226525035601E-7</v>
      </c>
      <c r="Q46">
        <v>72.031232429289503</v>
      </c>
      <c r="R46">
        <v>7.74061418513141E-2</v>
      </c>
      <c r="S46">
        <v>12.228210763360201</v>
      </c>
      <c r="T46">
        <v>0.187506141250531</v>
      </c>
      <c r="V46">
        <v>0.43877114923548799</v>
      </c>
      <c r="W46">
        <v>2.5475439090300599E-2</v>
      </c>
      <c r="X46">
        <v>5.8789474823801799E-2</v>
      </c>
      <c r="AA46">
        <v>0.51930702761006398</v>
      </c>
      <c r="AB46">
        <v>3.8997018299770101</v>
      </c>
      <c r="AC46">
        <v>4.37001762856654</v>
      </c>
      <c r="AD46">
        <v>3.9192983215825998E-3</v>
      </c>
      <c r="AE46">
        <v>6.15966267662355</v>
      </c>
    </row>
    <row r="47" spans="1:31" x14ac:dyDescent="0.2">
      <c r="A47">
        <v>46</v>
      </c>
      <c r="B47">
        <v>746</v>
      </c>
      <c r="C47">
        <v>255</v>
      </c>
      <c r="D47">
        <v>0.31595005641956603</v>
      </c>
      <c r="E47">
        <v>101.852747138956</v>
      </c>
      <c r="F47">
        <v>2.1979867236877499</v>
      </c>
      <c r="G47">
        <v>-1662.0274846997972</v>
      </c>
      <c r="H47">
        <v>-1391.738794265782</v>
      </c>
      <c r="I47">
        <v>265.20992045725899</v>
      </c>
      <c r="J47">
        <v>137.771807120137</v>
      </c>
      <c r="K47">
        <v>46.339109350064298</v>
      </c>
      <c r="L47">
        <v>1.5726753935146719E-4</v>
      </c>
      <c r="M47">
        <v>1.7735051693306613E-5</v>
      </c>
      <c r="N47" s="1">
        <v>3.6181270359972801E-6</v>
      </c>
      <c r="O47" s="1">
        <v>9.8570274906314404E-8</v>
      </c>
      <c r="P47" s="1">
        <v>-5.0980175229000701E-7</v>
      </c>
      <c r="Q47">
        <v>71.984955322249405</v>
      </c>
      <c r="R47">
        <v>7.7562954578169405E-2</v>
      </c>
      <c r="S47">
        <v>12.2529832042623</v>
      </c>
      <c r="T47">
        <v>0.18825443089563701</v>
      </c>
      <c r="V47">
        <v>0.43932851213304303</v>
      </c>
      <c r="W47">
        <v>2.5527048342176499E-2</v>
      </c>
      <c r="X47">
        <v>5.8908573097364803E-2</v>
      </c>
      <c r="AA47">
        <v>0.52035906235985097</v>
      </c>
      <c r="AB47">
        <v>3.9076020154564901</v>
      </c>
      <c r="AC47">
        <v>4.3788706002344302</v>
      </c>
      <c r="AD47">
        <v>3.9272382064863597E-3</v>
      </c>
      <c r="AE47">
        <v>6.1617210381845204</v>
      </c>
    </row>
    <row r="48" spans="1:31" x14ac:dyDescent="0.2">
      <c r="A48">
        <v>47</v>
      </c>
      <c r="B48">
        <v>745</v>
      </c>
      <c r="C48">
        <v>255</v>
      </c>
      <c r="D48">
        <v>0.31520944850955201</v>
      </c>
      <c r="E48">
        <v>101.647378984665</v>
      </c>
      <c r="F48">
        <v>2.1984454209347599</v>
      </c>
      <c r="G48">
        <v>-1658.3606974445306</v>
      </c>
      <c r="H48">
        <v>-1388.9882711531886</v>
      </c>
      <c r="I48">
        <v>264.57047222053899</v>
      </c>
      <c r="J48">
        <v>137.502428133292</v>
      </c>
      <c r="K48">
        <v>46.236025701036397</v>
      </c>
      <c r="L48">
        <v>1.5731108633455895E-4</v>
      </c>
      <c r="M48">
        <v>1.7727568707619163E-5</v>
      </c>
      <c r="N48" s="1">
        <v>3.6161968342810298E-6</v>
      </c>
      <c r="O48" s="1">
        <v>9.8323128018648199E-8</v>
      </c>
      <c r="P48" s="1">
        <v>-5.0912531901151199E-7</v>
      </c>
      <c r="Q48">
        <v>71.938698078244698</v>
      </c>
      <c r="R48">
        <v>7.7719662611196699E-2</v>
      </c>
      <c r="S48">
        <v>12.277739106189101</v>
      </c>
      <c r="T48">
        <v>0.189005402439584</v>
      </c>
      <c r="V48">
        <v>0.439882640180844</v>
      </c>
      <c r="W48">
        <v>2.55786231378562E-2</v>
      </c>
      <c r="X48">
        <v>5.90275918566266E-2</v>
      </c>
      <c r="AA48">
        <v>0.52141039473332496</v>
      </c>
      <c r="AB48">
        <v>3.9154969264874699</v>
      </c>
      <c r="AC48">
        <v>4.3877176613394697</v>
      </c>
      <c r="AD48">
        <v>3.9351727904370203E-3</v>
      </c>
      <c r="AE48">
        <v>6.1637887399893199</v>
      </c>
    </row>
    <row r="49" spans="1:31" x14ac:dyDescent="0.2">
      <c r="A49">
        <v>48</v>
      </c>
      <c r="B49">
        <v>744</v>
      </c>
      <c r="C49">
        <v>255</v>
      </c>
      <c r="D49">
        <v>0.31446738435825899</v>
      </c>
      <c r="E49">
        <v>101.442972807209</v>
      </c>
      <c r="F49">
        <v>2.1989041444859798</v>
      </c>
      <c r="G49">
        <v>-1654.7110112922032</v>
      </c>
      <c r="H49">
        <v>-1386.2507265451588</v>
      </c>
      <c r="I49">
        <v>263.933819738529</v>
      </c>
      <c r="J49">
        <v>137.234311021807</v>
      </c>
      <c r="K49">
        <v>46.133421987306697</v>
      </c>
      <c r="L49">
        <v>1.5735465176683428E-4</v>
      </c>
      <c r="M49">
        <v>1.7720081019996352E-5</v>
      </c>
      <c r="N49" s="1">
        <v>3.6142874917470999E-6</v>
      </c>
      <c r="O49" s="1">
        <v>9.8077192548826098E-8</v>
      </c>
      <c r="P49" s="1">
        <v>-5.0845293551566501E-7</v>
      </c>
      <c r="Q49">
        <v>71.892460484513705</v>
      </c>
      <c r="R49">
        <v>7.7876266648991999E-2</v>
      </c>
      <c r="S49">
        <v>12.302478579502299</v>
      </c>
      <c r="T49">
        <v>0.18975907163879699</v>
      </c>
      <c r="V49">
        <v>0.440433524683575</v>
      </c>
      <c r="W49">
        <v>2.5630163707256799E-2</v>
      </c>
      <c r="X49">
        <v>5.91465316321685E-2</v>
      </c>
      <c r="AA49">
        <v>0.52246102941726702</v>
      </c>
      <c r="AB49">
        <v>3.9233865982649698</v>
      </c>
      <c r="AC49">
        <v>4.3965588513212497</v>
      </c>
      <c r="AD49">
        <v>3.9431021088062604E-3</v>
      </c>
      <c r="AE49">
        <v>6.1658657965607198</v>
      </c>
    </row>
    <row r="50" spans="1:31" x14ac:dyDescent="0.2">
      <c r="A50">
        <v>49</v>
      </c>
      <c r="B50">
        <v>743</v>
      </c>
      <c r="C50">
        <v>255</v>
      </c>
      <c r="D50">
        <v>0.31372385966638899</v>
      </c>
      <c r="E50">
        <v>80.827305993648594</v>
      </c>
      <c r="F50">
        <v>2.20170034521818</v>
      </c>
      <c r="G50">
        <v>-1316.6713419274101</v>
      </c>
      <c r="H50">
        <v>-1103.1581957858641</v>
      </c>
      <c r="I50">
        <v>210.11971278014599</v>
      </c>
      <c r="J50">
        <v>109.329938727764</v>
      </c>
      <c r="K50">
        <v>36.711310950736497</v>
      </c>
      <c r="L50">
        <v>1.5741024930640337E-4</v>
      </c>
      <c r="M50">
        <v>1.7700701377278684E-5</v>
      </c>
      <c r="N50" s="1">
        <v>2.8782071804905498E-6</v>
      </c>
      <c r="O50" s="1">
        <v>7.7959643966349099E-8</v>
      </c>
      <c r="P50" s="1">
        <v>-4.0461301036523E-7</v>
      </c>
      <c r="Q50">
        <v>71.746806447502493</v>
      </c>
      <c r="R50">
        <v>9.7739246692473802E-2</v>
      </c>
      <c r="S50">
        <v>12.2832103746254</v>
      </c>
      <c r="T50">
        <v>0.237993290239667</v>
      </c>
      <c r="V50">
        <v>0.55291852247848206</v>
      </c>
      <c r="W50">
        <v>3.2167347012698501E-2</v>
      </c>
      <c r="X50">
        <v>7.4232339260157307E-2</v>
      </c>
      <c r="AA50">
        <v>0.50796577767016404</v>
      </c>
      <c r="AB50">
        <v>3.8984287726801101</v>
      </c>
      <c r="AC50">
        <v>4.40814577990845</v>
      </c>
      <c r="AD50">
        <v>4.9488226173331797E-3</v>
      </c>
      <c r="AE50">
        <v>6.1554432793124398</v>
      </c>
    </row>
    <row r="51" spans="1:31" x14ac:dyDescent="0.2">
      <c r="A51">
        <v>50</v>
      </c>
      <c r="B51">
        <v>742</v>
      </c>
      <c r="C51">
        <v>255</v>
      </c>
      <c r="D51">
        <v>0.31297887011771702</v>
      </c>
      <c r="E51">
        <v>47.521481557763899</v>
      </c>
      <c r="F51">
        <v>2.20416153965341</v>
      </c>
      <c r="G51">
        <v>-773.51026626145847</v>
      </c>
      <c r="H51">
        <v>-648.15437459418808</v>
      </c>
      <c r="I51">
        <v>123.485092515658</v>
      </c>
      <c r="J51">
        <v>64.308805234328204</v>
      </c>
      <c r="K51">
        <v>21.559890553773201</v>
      </c>
      <c r="L51">
        <v>1.5765820314445867E-4</v>
      </c>
      <c r="M51">
        <v>1.7701605525975633E-5</v>
      </c>
      <c r="N51" s="1">
        <v>1.69471095816869E-6</v>
      </c>
      <c r="O51" s="1">
        <v>4.5810317856832003E-8</v>
      </c>
      <c r="P51" s="1">
        <v>-2.3787155105126901E-7</v>
      </c>
      <c r="Q51">
        <v>71.576817787293095</v>
      </c>
      <c r="R51">
        <v>0.122231439663221</v>
      </c>
      <c r="S51">
        <v>12.313198853217401</v>
      </c>
      <c r="T51">
        <v>0.26744797438996099</v>
      </c>
      <c r="V51">
        <v>0.62254939661173403</v>
      </c>
      <c r="W51">
        <v>5.47120989239036E-2</v>
      </c>
      <c r="X51">
        <v>0.121889123659017</v>
      </c>
      <c r="AA51">
        <v>0.49813180643234001</v>
      </c>
      <c r="AB51">
        <v>3.8773458750360801</v>
      </c>
      <c r="AC51">
        <v>4.3797691022259704</v>
      </c>
      <c r="AD51">
        <v>8.4172459882762805E-3</v>
      </c>
      <c r="AE51">
        <v>6.1574892965587704</v>
      </c>
    </row>
    <row r="52" spans="1:31" x14ac:dyDescent="0.2">
      <c r="A52">
        <v>51</v>
      </c>
      <c r="B52">
        <v>741</v>
      </c>
      <c r="C52">
        <v>255</v>
      </c>
      <c r="D52">
        <v>0.31223241137898899</v>
      </c>
      <c r="E52">
        <v>17.887635674352602</v>
      </c>
      <c r="F52">
        <v>2.2065514751008402</v>
      </c>
      <c r="G52">
        <v>-291.11233713146709</v>
      </c>
      <c r="H52">
        <v>-244.01601263872493</v>
      </c>
      <c r="I52">
        <v>46.439209675829098</v>
      </c>
      <c r="J52">
        <v>24.221040935054699</v>
      </c>
      <c r="K52">
        <v>8.1066024863685406</v>
      </c>
      <c r="L52">
        <v>1.5773553104965791E-4</v>
      </c>
      <c r="M52">
        <v>1.7711248569247393E-5</v>
      </c>
      <c r="N52" s="1">
        <v>6.3850029101757604E-7</v>
      </c>
      <c r="O52" s="1">
        <v>1.7224857756046999E-8</v>
      </c>
      <c r="P52" s="1">
        <v>-8.9308518054389396E-8</v>
      </c>
      <c r="Q52">
        <v>71.333054049399607</v>
      </c>
      <c r="R52">
        <v>0.137539964360541</v>
      </c>
      <c r="S52">
        <v>12.556624058285699</v>
      </c>
      <c r="T52">
        <v>0.25748780386527598</v>
      </c>
      <c r="V52">
        <v>0.60298265115931704</v>
      </c>
      <c r="W52">
        <v>0.14441930268641601</v>
      </c>
      <c r="X52">
        <v>0.14761708178097799</v>
      </c>
      <c r="AA52">
        <v>0.48939690753262</v>
      </c>
      <c r="AB52">
        <v>3.7653055028698099</v>
      </c>
      <c r="AC52">
        <v>4.3870587502059797</v>
      </c>
      <c r="AD52">
        <v>2.2361815014611101E-2</v>
      </c>
      <c r="AE52">
        <v>6.1561521128390497</v>
      </c>
    </row>
    <row r="53" spans="1:31" x14ac:dyDescent="0.2">
      <c r="A53">
        <v>52</v>
      </c>
      <c r="B53">
        <v>740</v>
      </c>
      <c r="C53">
        <v>255</v>
      </c>
      <c r="D53">
        <v>0.31148447909983901</v>
      </c>
      <c r="E53">
        <v>10.5261478252767</v>
      </c>
      <c r="F53">
        <v>2.2090039738009102</v>
      </c>
      <c r="G53">
        <v>-171.2562075320815</v>
      </c>
      <c r="H53">
        <v>-143.595016561346</v>
      </c>
      <c r="I53">
        <v>27.302167468524299</v>
      </c>
      <c r="J53">
        <v>14.260343419984</v>
      </c>
      <c r="K53">
        <v>4.7651104072778097</v>
      </c>
      <c r="L53">
        <v>1.5788171842714242E-4</v>
      </c>
      <c r="M53">
        <v>1.7730617604964737E-5</v>
      </c>
      <c r="N53" s="1">
        <v>3.7637581204647499E-7</v>
      </c>
      <c r="O53" s="1">
        <v>1.0132650994700199E-8</v>
      </c>
      <c r="P53" s="1">
        <v>-5.2452427151682497E-8</v>
      </c>
      <c r="Q53">
        <v>71.059511817832103</v>
      </c>
      <c r="R53">
        <v>0.136631394274882</v>
      </c>
      <c r="S53">
        <v>12.8377155220677</v>
      </c>
      <c r="T53">
        <v>0.25423977249037699</v>
      </c>
      <c r="V53">
        <v>0.59965866133883305</v>
      </c>
      <c r="W53">
        <v>0.242938480794085</v>
      </c>
      <c r="X53">
        <v>0.14709139383620901</v>
      </c>
      <c r="AA53">
        <v>0.48751984335482801</v>
      </c>
      <c r="AB53">
        <v>3.63927868626469</v>
      </c>
      <c r="AC53">
        <v>4.3977476522663697</v>
      </c>
      <c r="AD53">
        <v>3.80006063602846E-2</v>
      </c>
      <c r="AE53">
        <v>6.1596661691195198</v>
      </c>
    </row>
    <row r="54" spans="1:31" x14ac:dyDescent="0.2">
      <c r="A54">
        <v>53</v>
      </c>
      <c r="B54">
        <v>763</v>
      </c>
      <c r="C54">
        <v>235</v>
      </c>
      <c r="D54">
        <v>0.349554118612175</v>
      </c>
      <c r="E54">
        <v>105.01073124661001</v>
      </c>
      <c r="F54">
        <v>2.1912060057702201</v>
      </c>
      <c r="G54">
        <v>-1718.2954943543082</v>
      </c>
      <c r="H54">
        <v>-1434.9924539785693</v>
      </c>
      <c r="I54">
        <v>273.41894549605598</v>
      </c>
      <c r="J54">
        <v>141.61130995186701</v>
      </c>
      <c r="K54">
        <v>47.923714598298901</v>
      </c>
      <c r="L54">
        <v>1.5307778537020122E-4</v>
      </c>
      <c r="M54">
        <v>1.7809835002714923E-5</v>
      </c>
      <c r="N54" s="1">
        <v>3.4881265522954301E-6</v>
      </c>
      <c r="O54" s="1">
        <v>9.9598876948741597E-8</v>
      </c>
      <c r="P54" s="1">
        <v>-5.0672012970086102E-7</v>
      </c>
      <c r="Q54">
        <v>72.963971482197294</v>
      </c>
      <c r="R54">
        <v>7.5230406513857997E-2</v>
      </c>
      <c r="S54">
        <v>11.8844996619365</v>
      </c>
      <c r="T54">
        <v>0.17847915739752801</v>
      </c>
      <c r="V54">
        <v>0.42981833745204501</v>
      </c>
      <c r="W54">
        <v>2.4759374295699799E-2</v>
      </c>
      <c r="X54">
        <v>5.7137017605462498E-2</v>
      </c>
      <c r="AA54">
        <v>0.50471032218157796</v>
      </c>
      <c r="AB54">
        <v>3.7900888344956001</v>
      </c>
      <c r="AC54">
        <v>4.2471849753392696</v>
      </c>
      <c r="AD54">
        <v>3.8091345070306801E-3</v>
      </c>
      <c r="AE54">
        <v>5.84031129607793</v>
      </c>
    </row>
    <row r="55" spans="1:31" x14ac:dyDescent="0.2">
      <c r="A55">
        <v>54</v>
      </c>
      <c r="B55">
        <v>762</v>
      </c>
      <c r="C55">
        <v>235</v>
      </c>
      <c r="D55">
        <v>0.34885813650195902</v>
      </c>
      <c r="E55">
        <v>104.9206929587</v>
      </c>
      <c r="F55">
        <v>2.1916049684438499</v>
      </c>
      <c r="G55">
        <v>-1716.5241839389096</v>
      </c>
      <c r="H55">
        <v>-1433.8695664874676</v>
      </c>
      <c r="I55">
        <v>273.056675314149</v>
      </c>
      <c r="J55">
        <v>141.48467760676701</v>
      </c>
      <c r="K55">
        <v>47.873907236667101</v>
      </c>
      <c r="L55">
        <v>1.5305756209748133E-4</v>
      </c>
      <c r="M55">
        <v>1.7801501051050965E-5</v>
      </c>
      <c r="N55" s="1">
        <v>3.48932820141619E-6</v>
      </c>
      <c r="O55" s="1">
        <v>9.9439231474966696E-8</v>
      </c>
      <c r="P55" s="1">
        <v>-5.0631079738001595E-7</v>
      </c>
      <c r="Q55">
        <v>72.945533883880003</v>
      </c>
      <c r="R55">
        <v>7.5294965914013898E-2</v>
      </c>
      <c r="S55">
        <v>11.8946984127465</v>
      </c>
      <c r="T55">
        <v>0.178935183324407</v>
      </c>
      <c r="V55">
        <v>0.429914669011559</v>
      </c>
      <c r="W55">
        <v>2.4780621693219301E-2</v>
      </c>
      <c r="X55">
        <v>5.7186050061277902E-2</v>
      </c>
      <c r="AA55">
        <v>0.50514344220794005</v>
      </c>
      <c r="AB55">
        <v>3.7933413207312898</v>
      </c>
      <c r="AC55">
        <v>4.2508297212214403</v>
      </c>
      <c r="AD55">
        <v>3.8124033374182299E-3</v>
      </c>
      <c r="AE55">
        <v>5.8405293258708202</v>
      </c>
    </row>
    <row r="56" spans="1:31" x14ac:dyDescent="0.2">
      <c r="A56">
        <v>55</v>
      </c>
      <c r="B56">
        <v>761</v>
      </c>
      <c r="C56">
        <v>235</v>
      </c>
      <c r="D56">
        <v>0.34816080839336999</v>
      </c>
      <c r="E56">
        <v>104.70489619265901</v>
      </c>
      <c r="F56">
        <v>2.1920620212626498</v>
      </c>
      <c r="G56">
        <v>-1712.6676482182729</v>
      </c>
      <c r="H56">
        <v>-1430.9783617718565</v>
      </c>
      <c r="I56">
        <v>272.38726146730801</v>
      </c>
      <c r="J56">
        <v>141.20170750809001</v>
      </c>
      <c r="K56">
        <v>47.765480710417002</v>
      </c>
      <c r="L56">
        <v>1.5309751638855774E-4</v>
      </c>
      <c r="M56">
        <v>1.7793991612284466E-5</v>
      </c>
      <c r="N56" s="1">
        <v>3.48715848227505E-6</v>
      </c>
      <c r="O56" s="1">
        <v>9.9182655445096704E-8</v>
      </c>
      <c r="P56" s="1">
        <v>-5.0559247740232805E-7</v>
      </c>
      <c r="Q56">
        <v>72.900181232697406</v>
      </c>
      <c r="R56">
        <v>7.5450148820776095E-2</v>
      </c>
      <c r="S56">
        <v>11.9192133833341</v>
      </c>
      <c r="T56">
        <v>0.17964449559988699</v>
      </c>
      <c r="V56">
        <v>0.43049431318249398</v>
      </c>
      <c r="W56">
        <v>2.4831694548609302E-2</v>
      </c>
      <c r="X56">
        <v>5.7303910496793897E-2</v>
      </c>
      <c r="AA56">
        <v>0.50618454272166102</v>
      </c>
      <c r="AB56">
        <v>3.8011593962871402</v>
      </c>
      <c r="AC56">
        <v>4.2595906802614003</v>
      </c>
      <c r="AD56">
        <v>3.8202606997858801E-3</v>
      </c>
      <c r="AE56">
        <v>5.8421259413498898</v>
      </c>
    </row>
    <row r="57" spans="1:31" x14ac:dyDescent="0.2">
      <c r="A57">
        <v>56</v>
      </c>
      <c r="B57">
        <v>760</v>
      </c>
      <c r="C57">
        <v>235</v>
      </c>
      <c r="D57">
        <v>0.34746213037796903</v>
      </c>
      <c r="E57">
        <v>104.490140320831</v>
      </c>
      <c r="F57">
        <v>2.1925191413904099</v>
      </c>
      <c r="G57">
        <v>-1708.8296082826682</v>
      </c>
      <c r="H57">
        <v>-1428.1012103249147</v>
      </c>
      <c r="I57">
        <v>271.72085172313098</v>
      </c>
      <c r="J57">
        <v>140.92009656478001</v>
      </c>
      <c r="K57">
        <v>47.657572674402203</v>
      </c>
      <c r="L57">
        <v>1.5313745197025494E-4</v>
      </c>
      <c r="M57">
        <v>1.7786475754724931E-5</v>
      </c>
      <c r="N57" s="1">
        <v>3.4850089162924299E-6</v>
      </c>
      <c r="O57" s="1">
        <v>9.8927339351920996E-8</v>
      </c>
      <c r="P57" s="1">
        <v>-5.0487825911423705E-7</v>
      </c>
      <c r="Q57">
        <v>72.854853434992606</v>
      </c>
      <c r="R57">
        <v>7.5605219552232705E-2</v>
      </c>
      <c r="S57">
        <v>11.943710633063199</v>
      </c>
      <c r="T57">
        <v>0.180356261846564</v>
      </c>
      <c r="V57">
        <v>0.43107086887996598</v>
      </c>
      <c r="W57">
        <v>2.4882730485544201E-2</v>
      </c>
      <c r="X57">
        <v>5.7421685735875298E-2</v>
      </c>
      <c r="AA57">
        <v>0.50722489066687504</v>
      </c>
      <c r="AB57">
        <v>3.8089718204795</v>
      </c>
      <c r="AC57">
        <v>4.2683453063663901</v>
      </c>
      <c r="AD57">
        <v>3.8281123823912001E-3</v>
      </c>
      <c r="AE57">
        <v>5.8437290355487903</v>
      </c>
    </row>
    <row r="58" spans="1:31" x14ac:dyDescent="0.2">
      <c r="A58">
        <v>57</v>
      </c>
      <c r="B58">
        <v>759</v>
      </c>
      <c r="C58">
        <v>235</v>
      </c>
      <c r="D58">
        <v>0.34676209853219198</v>
      </c>
      <c r="E58">
        <v>104.276417073296</v>
      </c>
      <c r="F58">
        <v>2.1929763302288299</v>
      </c>
      <c r="G58">
        <v>-1705.0099182525714</v>
      </c>
      <c r="H58">
        <v>-1425.2380001341194</v>
      </c>
      <c r="I58">
        <v>271.05742200111598</v>
      </c>
      <c r="J58">
        <v>140.639834008393</v>
      </c>
      <c r="K58">
        <v>47.550179012837198</v>
      </c>
      <c r="L58">
        <v>1.5317736856193669E-4</v>
      </c>
      <c r="M58">
        <v>1.7778953424298263E-5</v>
      </c>
      <c r="N58" s="1">
        <v>3.4828793448675999E-6</v>
      </c>
      <c r="O58" s="1">
        <v>9.86732729846912E-8</v>
      </c>
      <c r="P58" s="1">
        <v>-5.0416810907543095E-7</v>
      </c>
      <c r="Q58">
        <v>72.809550313482802</v>
      </c>
      <c r="R58">
        <v>7.5760178779897699E-2</v>
      </c>
      <c r="S58">
        <v>11.9681902680165</v>
      </c>
      <c r="T58">
        <v>0.181070496500429</v>
      </c>
      <c r="V58">
        <v>0.43164432838438399</v>
      </c>
      <c r="W58">
        <v>2.4933729725028698E-2</v>
      </c>
      <c r="X58">
        <v>5.7539376288533103E-2</v>
      </c>
      <c r="AA58">
        <v>0.50826449054867695</v>
      </c>
      <c r="AB58">
        <v>3.8167786271390498</v>
      </c>
      <c r="AC58">
        <v>4.2770936374471598</v>
      </c>
      <c r="AD58">
        <v>3.83595841923483E-3</v>
      </c>
      <c r="AE58">
        <v>5.8453385952682702</v>
      </c>
    </row>
    <row r="59" spans="1:31" x14ac:dyDescent="0.2">
      <c r="A59">
        <v>58</v>
      </c>
      <c r="B59">
        <v>758</v>
      </c>
      <c r="C59">
        <v>235</v>
      </c>
      <c r="D59">
        <v>0.34606070891722801</v>
      </c>
      <c r="E59">
        <v>104.063718268222</v>
      </c>
      <c r="F59">
        <v>2.1934335891786798</v>
      </c>
      <c r="G59">
        <v>-1701.2084338007066</v>
      </c>
      <c r="H59">
        <v>-1422.3886203806619</v>
      </c>
      <c r="I59">
        <v>270.39694847504597</v>
      </c>
      <c r="J59">
        <v>140.360909185265</v>
      </c>
      <c r="K59">
        <v>47.443295653728299</v>
      </c>
      <c r="L59">
        <v>1.5321726588080615E-4</v>
      </c>
      <c r="M59">
        <v>1.7771424566855512E-5</v>
      </c>
      <c r="N59" s="1">
        <v>3.48076961100836E-6</v>
      </c>
      <c r="O59" s="1">
        <v>9.8420446239590899E-8</v>
      </c>
      <c r="P59" s="1">
        <v>-5.0346199418886105E-7</v>
      </c>
      <c r="Q59">
        <v>72.7642716917249</v>
      </c>
      <c r="R59">
        <v>7.5915027172467203E-2</v>
      </c>
      <c r="S59">
        <v>11.992652393830401</v>
      </c>
      <c r="T59">
        <v>0.181787214068419</v>
      </c>
      <c r="V59">
        <v>0.43221468389029799</v>
      </c>
      <c r="W59">
        <v>2.4984692487140001E-2</v>
      </c>
      <c r="X59">
        <v>5.7656982662637198E-2</v>
      </c>
      <c r="AA59">
        <v>0.50930334685325795</v>
      </c>
      <c r="AB59">
        <v>3.82457984995456</v>
      </c>
      <c r="AC59">
        <v>4.2858357112554701</v>
      </c>
      <c r="AD59">
        <v>3.8437988441749099E-3</v>
      </c>
      <c r="AE59">
        <v>5.8469546072560803</v>
      </c>
    </row>
    <row r="60" spans="1:31" x14ac:dyDescent="0.2">
      <c r="A60">
        <v>59</v>
      </c>
      <c r="B60">
        <v>757</v>
      </c>
      <c r="C60">
        <v>235</v>
      </c>
      <c r="D60">
        <v>0.34535795757899301</v>
      </c>
      <c r="E60">
        <v>103.852035808454</v>
      </c>
      <c r="F60">
        <v>2.1938909196437599</v>
      </c>
      <c r="G60">
        <v>-1697.4250120936492</v>
      </c>
      <c r="H60">
        <v>-1419.5529613921749</v>
      </c>
      <c r="I60">
        <v>269.73940756343598</v>
      </c>
      <c r="J60">
        <v>140.08331155206099</v>
      </c>
      <c r="K60">
        <v>47.336918567180902</v>
      </c>
      <c r="L60">
        <v>1.5325714364117994E-4</v>
      </c>
      <c r="M60">
        <v>1.7763889128044112E-5</v>
      </c>
      <c r="N60" s="1">
        <v>3.4786795591890098E-6</v>
      </c>
      <c r="O60" s="1">
        <v>9.8168849115014903E-8</v>
      </c>
      <c r="P60" s="1">
        <v>-5.0275988168039004E-7</v>
      </c>
      <c r="Q60">
        <v>72.719017393720307</v>
      </c>
      <c r="R60">
        <v>7.6069765397483696E-2</v>
      </c>
      <c r="S60">
        <v>12.0170971159618</v>
      </c>
      <c r="T60">
        <v>0.18250642913329301</v>
      </c>
      <c r="V60">
        <v>0.43278192751469902</v>
      </c>
      <c r="W60">
        <v>2.5035618991575002E-2</v>
      </c>
      <c r="X60">
        <v>5.7774505365184498E-2</v>
      </c>
      <c r="AA60">
        <v>0.510341464059062</v>
      </c>
      <c r="AB60">
        <v>3.8323755225565601</v>
      </c>
      <c r="AC60">
        <v>4.2945715654777104</v>
      </c>
      <c r="AD60">
        <v>3.8516336910107401E-3</v>
      </c>
      <c r="AE60">
        <v>5.84857705813124</v>
      </c>
    </row>
    <row r="61" spans="1:31" x14ac:dyDescent="0.2">
      <c r="A61">
        <v>60</v>
      </c>
      <c r="B61">
        <v>756</v>
      </c>
      <c r="C61">
        <v>235</v>
      </c>
      <c r="D61">
        <v>0.344653840548026</v>
      </c>
      <c r="E61">
        <v>103.641361686764</v>
      </c>
      <c r="F61">
        <v>2.1943483230243501</v>
      </c>
      <c r="G61">
        <v>-1693.6595118784369</v>
      </c>
      <c r="H61">
        <v>-1416.7309147170374</v>
      </c>
      <c r="I61">
        <v>269.08477594266998</v>
      </c>
      <c r="J61">
        <v>139.807030682402</v>
      </c>
      <c r="K61">
        <v>47.231043767892302</v>
      </c>
      <c r="L61">
        <v>1.532970015535383E-4</v>
      </c>
      <c r="M61">
        <v>1.7756347053436761E-5</v>
      </c>
      <c r="N61" s="1">
        <v>3.4766090355717402E-6</v>
      </c>
      <c r="O61" s="1">
        <v>9.7918471716993701E-8</v>
      </c>
      <c r="P61" s="1">
        <v>-5.0206173912227899E-7</v>
      </c>
      <c r="Q61">
        <v>72.673787245186901</v>
      </c>
      <c r="R61">
        <v>7.6224394116669494E-2</v>
      </c>
      <c r="S61">
        <v>12.0415245389425</v>
      </c>
      <c r="T61">
        <v>0.18322815634108</v>
      </c>
      <c r="V61">
        <v>0.43334605127258902</v>
      </c>
      <c r="W61">
        <v>2.5086509456116901E-2</v>
      </c>
      <c r="X61">
        <v>5.7891944898743997E-2</v>
      </c>
      <c r="AA61">
        <v>0.51137884660549704</v>
      </c>
      <c r="AB61">
        <v>3.8401656782826001</v>
      </c>
      <c r="AC61">
        <v>4.3033012374721897</v>
      </c>
      <c r="AD61">
        <v>3.8594629932478799E-3</v>
      </c>
      <c r="AE61">
        <v>5.8502059344316502</v>
      </c>
    </row>
    <row r="62" spans="1:31" x14ac:dyDescent="0.2">
      <c r="A62">
        <v>61</v>
      </c>
      <c r="B62">
        <v>755</v>
      </c>
      <c r="C62">
        <v>235</v>
      </c>
      <c r="D62">
        <v>0.34394835383941902</v>
      </c>
      <c r="E62">
        <v>103.431687974073</v>
      </c>
      <c r="F62">
        <v>2.1948058007250602</v>
      </c>
      <c r="G62">
        <v>-1689.9117932855679</v>
      </c>
      <c r="H62">
        <v>-1413.9223729593962</v>
      </c>
      <c r="I62">
        <v>268.43303051711501</v>
      </c>
      <c r="J62">
        <v>139.53205625202699</v>
      </c>
      <c r="K62">
        <v>47.125667309565401</v>
      </c>
      <c r="L62">
        <v>1.5333683932805596E-4</v>
      </c>
      <c r="M62">
        <v>1.7748798288470328E-5</v>
      </c>
      <c r="N62" s="1">
        <v>3.4745578876446098E-6</v>
      </c>
      <c r="O62" s="1">
        <v>9.7669304248190702E-8</v>
      </c>
      <c r="P62" s="1">
        <v>-5.0136753439322895E-7</v>
      </c>
      <c r="Q62">
        <v>72.628581071321605</v>
      </c>
      <c r="R62">
        <v>7.6378913993750797E-2</v>
      </c>
      <c r="S62">
        <v>12.065934767626199</v>
      </c>
      <c r="T62">
        <v>0.18395241042293001</v>
      </c>
      <c r="V62">
        <v>0.43390704711753503</v>
      </c>
      <c r="W62">
        <v>2.5137364099206801E-2</v>
      </c>
      <c r="X62">
        <v>5.8009301767413902E-2</v>
      </c>
      <c r="AA62">
        <v>0.51241549894540905</v>
      </c>
      <c r="AB62">
        <v>3.84795035057099</v>
      </c>
      <c r="AC62">
        <v>4.3120247647099097</v>
      </c>
      <c r="AD62">
        <v>3.8672867844924E-3</v>
      </c>
      <c r="AE62">
        <v>5.8518412226404797</v>
      </c>
    </row>
    <row r="63" spans="1:31" x14ac:dyDescent="0.2">
      <c r="A63">
        <v>62</v>
      </c>
      <c r="B63">
        <v>754</v>
      </c>
      <c r="C63">
        <v>235</v>
      </c>
      <c r="D63">
        <v>0.34324149345275801</v>
      </c>
      <c r="E63">
        <v>103.223006829063</v>
      </c>
      <c r="F63">
        <v>2.1952633541477198</v>
      </c>
      <c r="G63">
        <v>-1686.1817179875734</v>
      </c>
      <c r="H63">
        <v>-1411.1272299148368</v>
      </c>
      <c r="I63">
        <v>267.784148442522</v>
      </c>
      <c r="J63">
        <v>139.25837805076901</v>
      </c>
      <c r="K63">
        <v>47.0207852893978</v>
      </c>
      <c r="L63">
        <v>1.5337665667055763E-4</v>
      </c>
      <c r="M63">
        <v>1.7741242778469114E-5</v>
      </c>
      <c r="N63" s="1">
        <v>3.4725259645276799E-6</v>
      </c>
      <c r="O63" s="1">
        <v>9.7421337015835401E-8</v>
      </c>
      <c r="P63" s="1">
        <v>-5.0067723570704904E-7</v>
      </c>
      <c r="Q63">
        <v>72.583398699068695</v>
      </c>
      <c r="R63">
        <v>7.6533325686614001E-2</v>
      </c>
      <c r="S63">
        <v>12.090327905942299</v>
      </c>
      <c r="T63">
        <v>0.18467920617361899</v>
      </c>
      <c r="V63">
        <v>0.43446490690015399</v>
      </c>
      <c r="W63">
        <v>2.5188183137364099E-2</v>
      </c>
      <c r="X63">
        <v>5.8126576470855097E-2</v>
      </c>
      <c r="AA63">
        <v>0.51345142549246503</v>
      </c>
      <c r="AB63">
        <v>3.8557295725658398</v>
      </c>
      <c r="AC63">
        <v>4.3207421843322598</v>
      </c>
      <c r="AD63">
        <v>3.8751050980549802E-3</v>
      </c>
      <c r="AE63">
        <v>5.8534829091315803</v>
      </c>
    </row>
    <row r="64" spans="1:31" x14ac:dyDescent="0.2">
      <c r="A64">
        <v>63</v>
      </c>
      <c r="B64">
        <v>753</v>
      </c>
      <c r="C64">
        <v>235</v>
      </c>
      <c r="D64">
        <v>0.342533255372025</v>
      </c>
      <c r="E64">
        <v>103.015310489632</v>
      </c>
      <c r="F64">
        <v>2.1957209846977999</v>
      </c>
      <c r="G64">
        <v>-1682.4691490557509</v>
      </c>
      <c r="H64">
        <v>-1408.3453804509354</v>
      </c>
      <c r="I64">
        <v>267.13810710404402</v>
      </c>
      <c r="J64">
        <v>138.98598597173401</v>
      </c>
      <c r="K64">
        <v>46.916393844006699</v>
      </c>
      <c r="L64">
        <v>1.5341645328442581E-4</v>
      </c>
      <c r="M64">
        <v>1.773368046855693E-5</v>
      </c>
      <c r="N64" s="1">
        <v>3.47051311669528E-6</v>
      </c>
      <c r="O64" s="1">
        <v>9.7174560423185906E-8</v>
      </c>
      <c r="P64" s="1">
        <v>-4.9999081158039502E-7</v>
      </c>
      <c r="Q64">
        <v>72.538239955584103</v>
      </c>
      <c r="R64">
        <v>7.6687629852801198E-2</v>
      </c>
      <c r="S64">
        <v>12.114704057766399</v>
      </c>
      <c r="T64">
        <v>0.18540855846726401</v>
      </c>
      <c r="V64">
        <v>0.43501962239696601</v>
      </c>
      <c r="W64">
        <v>2.5238966786994901E-2</v>
      </c>
      <c r="X64">
        <v>5.82437695084672E-2</v>
      </c>
      <c r="AA64">
        <v>0.51448663065802303</v>
      </c>
      <c r="AB64">
        <v>3.8635033773939602</v>
      </c>
      <c r="AC64">
        <v>4.3294535334611997</v>
      </c>
      <c r="AD64">
        <v>3.8829179672288001E-3</v>
      </c>
      <c r="AE64">
        <v>5.8551309801564599</v>
      </c>
    </row>
    <row r="65" spans="1:31" x14ac:dyDescent="0.2">
      <c r="A65">
        <v>64</v>
      </c>
      <c r="B65">
        <v>752</v>
      </c>
      <c r="C65">
        <v>235</v>
      </c>
      <c r="D65">
        <v>0.34182363556552797</v>
      </c>
      <c r="E65">
        <v>102.80859127682599</v>
      </c>
      <c r="F65">
        <v>2.1961786937788101</v>
      </c>
      <c r="G65">
        <v>-1678.7739510247443</v>
      </c>
      <c r="H65">
        <v>-1405.5767205628908</v>
      </c>
      <c r="I65">
        <v>266.49488412608201</v>
      </c>
      <c r="J65">
        <v>138.714870016275</v>
      </c>
      <c r="K65">
        <v>46.812489151295402</v>
      </c>
      <c r="L65">
        <v>1.5345622887013628E-4</v>
      </c>
      <c r="M65">
        <v>1.772611130378159E-5</v>
      </c>
      <c r="N65" s="1">
        <v>3.4685191961556898E-6</v>
      </c>
      <c r="O65" s="1">
        <v>9.6928964973785997E-8</v>
      </c>
      <c r="P65" s="1">
        <v>-4.9930823085200601E-7</v>
      </c>
      <c r="Q65">
        <v>72.493104669218994</v>
      </c>
      <c r="R65">
        <v>7.6841827145831404E-2</v>
      </c>
      <c r="S65">
        <v>12.1390633263371</v>
      </c>
      <c r="T65">
        <v>0.18614048224722499</v>
      </c>
      <c r="V65">
        <v>0.43557118529074401</v>
      </c>
      <c r="W65">
        <v>2.5289715263181699E-2</v>
      </c>
      <c r="X65">
        <v>5.8360881376592601E-2</v>
      </c>
      <c r="AA65">
        <v>0.51552111882645302</v>
      </c>
      <c r="AB65">
        <v>3.8712717979794902</v>
      </c>
      <c r="AC65">
        <v>4.3381588489916796</v>
      </c>
      <c r="AD65">
        <v>3.8907254251035802E-3</v>
      </c>
      <c r="AE65">
        <v>5.85678542189748</v>
      </c>
    </row>
    <row r="66" spans="1:31" x14ac:dyDescent="0.2">
      <c r="A66">
        <v>65</v>
      </c>
      <c r="B66">
        <v>751</v>
      </c>
      <c r="C66">
        <v>235</v>
      </c>
      <c r="D66">
        <v>0.34111262998584302</v>
      </c>
      <c r="E66">
        <v>102.60284158970001</v>
      </c>
      <c r="F66">
        <v>2.19663648279582</v>
      </c>
      <c r="G66">
        <v>-1675.095989806021</v>
      </c>
      <c r="H66">
        <v>-1402.821147301893</v>
      </c>
      <c r="I66">
        <v>265.85445735891</v>
      </c>
      <c r="J66">
        <v>138.445020287467</v>
      </c>
      <c r="K66">
        <v>46.709067427993297</v>
      </c>
      <c r="L66">
        <v>1.5349598312627797E-4</v>
      </c>
      <c r="M66">
        <v>1.7718535229063088E-5</v>
      </c>
      <c r="N66" s="1">
        <v>3.46654405628867E-6</v>
      </c>
      <c r="O66" s="1">
        <v>9.6684541266202905E-8</v>
      </c>
      <c r="P66" s="1">
        <v>-4.9862946266300002E-7</v>
      </c>
      <c r="Q66">
        <v>72.447992668669301</v>
      </c>
      <c r="R66">
        <v>7.6995918218247902E-2</v>
      </c>
      <c r="S66">
        <v>12.163405814740001</v>
      </c>
      <c r="T66">
        <v>0.186874992534939</v>
      </c>
      <c r="V66">
        <v>0.43611958718623001</v>
      </c>
      <c r="W66">
        <v>2.5340428780685501E-2</v>
      </c>
      <c r="X66">
        <v>5.8477912570834199E-2</v>
      </c>
      <c r="AA66">
        <v>0.516554894375575</v>
      </c>
      <c r="AB66">
        <v>3.8790348671974</v>
      </c>
      <c r="AC66">
        <v>4.3468581677634699</v>
      </c>
      <c r="AD66">
        <v>3.8985275047194201E-3</v>
      </c>
      <c r="AE66">
        <v>5.8584462204584504</v>
      </c>
    </row>
    <row r="67" spans="1:31" x14ac:dyDescent="0.2">
      <c r="A67">
        <v>66</v>
      </c>
      <c r="B67">
        <v>750</v>
      </c>
      <c r="C67">
        <v>235</v>
      </c>
      <c r="D67">
        <v>0.34040023456971302</v>
      </c>
      <c r="E67">
        <v>102.39805390794299</v>
      </c>
      <c r="F67">
        <v>2.1970943531537102</v>
      </c>
      <c r="G67">
        <v>-1671.4351327303248</v>
      </c>
      <c r="H67">
        <v>-1400.078558812633</v>
      </c>
      <c r="I67">
        <v>265.216804884613</v>
      </c>
      <c r="J67">
        <v>138.176426993311</v>
      </c>
      <c r="K67">
        <v>46.606124930848303</v>
      </c>
      <c r="L67">
        <v>1.5353571574775973E-4</v>
      </c>
      <c r="M67">
        <v>1.771095218917218E-5</v>
      </c>
      <c r="N67" s="1">
        <v>3.4645875519257902E-6</v>
      </c>
      <c r="O67" s="1">
        <v>9.6441279995606195E-8</v>
      </c>
      <c r="P67" s="1">
        <v>-4.9795447646195702E-7</v>
      </c>
      <c r="Q67">
        <v>72.402903783783998</v>
      </c>
      <c r="R67">
        <v>7.7149903718898696E-2</v>
      </c>
      <c r="S67">
        <v>12.187731625476101</v>
      </c>
      <c r="T67">
        <v>0.187612104422577</v>
      </c>
      <c r="V67">
        <v>0.43666481959560399</v>
      </c>
      <c r="W67">
        <v>2.5391107553051399E-2</v>
      </c>
      <c r="X67">
        <v>5.85948635839873E-2</v>
      </c>
      <c r="AA67">
        <v>0.51758796165842202</v>
      </c>
      <c r="AB67">
        <v>3.8867926177365</v>
      </c>
      <c r="AC67">
        <v>4.3555515264077602</v>
      </c>
      <c r="AD67">
        <v>3.9063242389295004E-3</v>
      </c>
      <c r="AE67">
        <v>5.86011336182405</v>
      </c>
    </row>
    <row r="68" spans="1:31" x14ac:dyDescent="0.2">
      <c r="A68">
        <v>67</v>
      </c>
      <c r="B68">
        <v>749</v>
      </c>
      <c r="C68">
        <v>235</v>
      </c>
      <c r="D68">
        <v>0.33968644523797997</v>
      </c>
      <c r="E68">
        <v>102.194220787432</v>
      </c>
      <c r="F68">
        <v>2.1975523062589399</v>
      </c>
      <c r="G68">
        <v>-1667.7912484728506</v>
      </c>
      <c r="H68">
        <v>-1397.348854271213</v>
      </c>
      <c r="I68">
        <v>264.58190500575898</v>
      </c>
      <c r="J68">
        <v>137.90908044113999</v>
      </c>
      <c r="K68">
        <v>46.503657954520101</v>
      </c>
      <c r="L68">
        <v>1.5357542642743525E-4</v>
      </c>
      <c r="M68">
        <v>1.770336212874607E-5</v>
      </c>
      <c r="N68" s="1">
        <v>3.4626495392358499E-6</v>
      </c>
      <c r="O68" s="1">
        <v>9.6199171949838896E-8</v>
      </c>
      <c r="P68" s="1">
        <v>-4.9728324199207704E-7</v>
      </c>
      <c r="Q68">
        <v>72.357837844800997</v>
      </c>
      <c r="R68">
        <v>7.7303784295520206E-2</v>
      </c>
      <c r="S68">
        <v>12.212040860872399</v>
      </c>
      <c r="T68">
        <v>0.188351833080561</v>
      </c>
      <c r="V68">
        <v>0.43720687395174801</v>
      </c>
      <c r="W68">
        <v>2.54417517934582E-2</v>
      </c>
      <c r="X68">
        <v>5.8711734908004798E-2</v>
      </c>
      <c r="AA68">
        <v>0.51862032502056499</v>
      </c>
      <c r="AB68">
        <v>3.89454508222954</v>
      </c>
      <c r="AC68">
        <v>4.36423896149289</v>
      </c>
      <c r="AD68">
        <v>3.9141156605304204E-3</v>
      </c>
      <c r="AE68">
        <v>5.8617868318936397</v>
      </c>
    </row>
    <row r="69" spans="1:31" x14ac:dyDescent="0.2">
      <c r="A69">
        <v>68</v>
      </c>
      <c r="B69">
        <v>748</v>
      </c>
      <c r="C69">
        <v>235</v>
      </c>
      <c r="D69">
        <v>0.33897125789551102</v>
      </c>
      <c r="E69">
        <v>100.344008000469</v>
      </c>
      <c r="F69">
        <v>2.1985044969169998</v>
      </c>
      <c r="G69">
        <v>-1636.8323047522281</v>
      </c>
      <c r="H69">
        <v>-1371.8176808073126</v>
      </c>
      <c r="I69">
        <v>259.52565631387603</v>
      </c>
      <c r="J69">
        <v>135.37033803261701</v>
      </c>
      <c r="K69">
        <v>45.641938936756098</v>
      </c>
      <c r="L69">
        <v>1.5331463269383056E-4</v>
      </c>
      <c r="M69">
        <v>1.7668239566927905E-5</v>
      </c>
      <c r="N69" s="1">
        <v>3.3944401381097901E-6</v>
      </c>
      <c r="O69" s="1">
        <v>9.4143233439877996E-8</v>
      </c>
      <c r="P69" s="1">
        <v>-4.87271181218876E-7</v>
      </c>
      <c r="Q69">
        <v>72.327894441999902</v>
      </c>
      <c r="R69">
        <v>7.87291653724215E-2</v>
      </c>
      <c r="S69">
        <v>12.2195477569033</v>
      </c>
      <c r="T69">
        <v>0.19219981091262101</v>
      </c>
      <c r="V69">
        <v>0.44493095616029898</v>
      </c>
      <c r="W69">
        <v>2.5910864552943599E-2</v>
      </c>
      <c r="X69">
        <v>5.97943028145159E-2</v>
      </c>
      <c r="AA69">
        <v>0.50692562488890502</v>
      </c>
      <c r="AB69">
        <v>3.8724107503670999</v>
      </c>
      <c r="AC69">
        <v>4.4221017169563597</v>
      </c>
      <c r="AD69">
        <v>3.9862868542970302E-3</v>
      </c>
      <c r="AE69">
        <v>5.8455683222172601</v>
      </c>
    </row>
    <row r="70" spans="1:31" x14ac:dyDescent="0.2">
      <c r="A70">
        <v>69</v>
      </c>
      <c r="B70">
        <v>747</v>
      </c>
      <c r="C70">
        <v>235</v>
      </c>
      <c r="D70">
        <v>0.33825466843111501</v>
      </c>
      <c r="E70">
        <v>94.5871303596644</v>
      </c>
      <c r="F70">
        <v>2.1999357575654499</v>
      </c>
      <c r="G70">
        <v>-1541.8661930669464</v>
      </c>
      <c r="H70">
        <v>-1292.5979351444144</v>
      </c>
      <c r="I70">
        <v>244.34471197621099</v>
      </c>
      <c r="J70">
        <v>127.555296298131</v>
      </c>
      <c r="K70">
        <v>42.995405676908803</v>
      </c>
      <c r="L70">
        <v>1.5301147785947854E-4</v>
      </c>
      <c r="M70">
        <v>1.7627305046062695E-5</v>
      </c>
      <c r="N70" s="1">
        <v>3.1919830950186901E-6</v>
      </c>
      <c r="O70" s="1">
        <v>8.8382211409663106E-8</v>
      </c>
      <c r="P70" s="1">
        <v>-4.5801343414439701E-7</v>
      </c>
      <c r="Q70">
        <v>72.282157071699999</v>
      </c>
      <c r="R70">
        <v>8.3520876148388698E-2</v>
      </c>
      <c r="S70">
        <v>12.219197600105799</v>
      </c>
      <c r="T70">
        <v>0.204199732264298</v>
      </c>
      <c r="V70">
        <v>0.47173912619671798</v>
      </c>
      <c r="W70">
        <v>2.74878832893331E-2</v>
      </c>
      <c r="X70">
        <v>6.3433576821596296E-2</v>
      </c>
      <c r="AA70">
        <v>0.49437102668525201</v>
      </c>
      <c r="AB70">
        <v>3.8387198525113302</v>
      </c>
      <c r="AC70">
        <v>4.4861399717538797</v>
      </c>
      <c r="AD70">
        <v>4.2289051214326598E-3</v>
      </c>
      <c r="AE70">
        <v>5.8248043774018203</v>
      </c>
    </row>
    <row r="71" spans="1:31" x14ac:dyDescent="0.2">
      <c r="A71">
        <v>70</v>
      </c>
      <c r="B71">
        <v>746</v>
      </c>
      <c r="C71">
        <v>235</v>
      </c>
      <c r="D71">
        <v>0.33753667271746202</v>
      </c>
      <c r="E71">
        <v>73.796566726170894</v>
      </c>
      <c r="F71">
        <v>2.2029918798543799</v>
      </c>
      <c r="G71">
        <v>-1201.2942683733806</v>
      </c>
      <c r="H71">
        <v>-1007.1028679257486</v>
      </c>
      <c r="I71">
        <v>190.54251135518001</v>
      </c>
      <c r="J71">
        <v>99.5306311002618</v>
      </c>
      <c r="K71">
        <v>33.4983380560843</v>
      </c>
      <c r="L71">
        <v>1.532935033701417E-4</v>
      </c>
      <c r="M71">
        <v>1.7626080552458845E-5</v>
      </c>
      <c r="N71" s="1">
        <v>2.49340491212213E-6</v>
      </c>
      <c r="O71" s="1">
        <v>6.8903554516524903E-8</v>
      </c>
      <c r="P71" s="1">
        <v>-3.5738801455683501E-7</v>
      </c>
      <c r="Q71">
        <v>72.097090951741094</v>
      </c>
      <c r="R71">
        <v>0.1070510506175</v>
      </c>
      <c r="S71">
        <v>12.2063699227266</v>
      </c>
      <c r="T71">
        <v>0.26133891022566202</v>
      </c>
      <c r="V71">
        <v>0.60499185671779998</v>
      </c>
      <c r="W71">
        <v>3.5231991342453903E-2</v>
      </c>
      <c r="X71">
        <v>8.1304595405747498E-2</v>
      </c>
      <c r="AA71">
        <v>0.49549951869868802</v>
      </c>
      <c r="AB71">
        <v>3.8226994008880602</v>
      </c>
      <c r="AC71">
        <v>4.4577750222293</v>
      </c>
      <c r="AD71">
        <v>5.4203063603764099E-3</v>
      </c>
      <c r="AE71">
        <v>5.8252264730465102</v>
      </c>
    </row>
    <row r="72" spans="1:31" x14ac:dyDescent="0.2">
      <c r="A72">
        <v>71</v>
      </c>
      <c r="B72">
        <v>745</v>
      </c>
      <c r="C72">
        <v>235</v>
      </c>
      <c r="D72">
        <v>0.33681726661101002</v>
      </c>
      <c r="E72">
        <v>35.721124512749498</v>
      </c>
      <c r="F72">
        <v>2.2053151910802198</v>
      </c>
      <c r="G72">
        <v>-581.32322255492238</v>
      </c>
      <c r="H72">
        <v>-487.49841721006118</v>
      </c>
      <c r="I72">
        <v>92.152242149841399</v>
      </c>
      <c r="J72">
        <v>48.207666060173302</v>
      </c>
      <c r="K72">
        <v>16.197741101693602</v>
      </c>
      <c r="L72">
        <v>1.5324888031542264E-4</v>
      </c>
      <c r="M72">
        <v>1.760980763654786E-5</v>
      </c>
      <c r="N72" s="1">
        <v>1.2062434467189099E-6</v>
      </c>
      <c r="O72" s="1">
        <v>3.3270645746998002E-8</v>
      </c>
      <c r="P72" s="1">
        <v>-1.72508441668828E-7</v>
      </c>
      <c r="Q72">
        <v>71.948805665095506</v>
      </c>
      <c r="R72">
        <v>0.13078609791743101</v>
      </c>
      <c r="S72">
        <v>12.283587200239101</v>
      </c>
      <c r="T72">
        <v>0.262308092969814</v>
      </c>
      <c r="V72">
        <v>0.608567991807204</v>
      </c>
      <c r="W72">
        <v>7.2786062462026596E-2</v>
      </c>
      <c r="X72">
        <v>0.157656740768055</v>
      </c>
      <c r="AA72">
        <v>0.49505705138367001</v>
      </c>
      <c r="AB72">
        <v>3.7600134428965299</v>
      </c>
      <c r="AC72">
        <v>4.4539632727420697</v>
      </c>
      <c r="AD72">
        <v>1.1197855763392E-2</v>
      </c>
      <c r="AE72">
        <v>5.8152705259551096</v>
      </c>
    </row>
    <row r="73" spans="1:31" x14ac:dyDescent="0.2">
      <c r="A73">
        <v>72</v>
      </c>
      <c r="B73">
        <v>744</v>
      </c>
      <c r="C73">
        <v>235</v>
      </c>
      <c r="D73">
        <v>0.336096445951927</v>
      </c>
      <c r="E73">
        <v>14.6806005416855</v>
      </c>
      <c r="F73">
        <v>2.2080084185398201</v>
      </c>
      <c r="G73">
        <v>-238.84721219817979</v>
      </c>
      <c r="H73">
        <v>-200.37045868898687</v>
      </c>
      <c r="I73">
        <v>37.8280032533971</v>
      </c>
      <c r="J73">
        <v>19.820348616842502</v>
      </c>
      <c r="K73">
        <v>6.6487973589312501</v>
      </c>
      <c r="L73">
        <v>1.5324324571524723E-4</v>
      </c>
      <c r="M73">
        <v>1.7618006782114749E-5</v>
      </c>
      <c r="N73" s="1">
        <v>4.9584686977022205E-7</v>
      </c>
      <c r="O73" s="1">
        <v>1.36500305235893E-8</v>
      </c>
      <c r="P73" s="1">
        <v>-7.0630418328791997E-8</v>
      </c>
      <c r="Q73">
        <v>71.676193930935099</v>
      </c>
      <c r="R73">
        <v>0.14642447531800201</v>
      </c>
      <c r="S73">
        <v>12.575014348201</v>
      </c>
      <c r="T73">
        <v>0.25277222796932902</v>
      </c>
      <c r="V73">
        <v>0.59076724465159203</v>
      </c>
      <c r="W73">
        <v>0.17568558154917099</v>
      </c>
      <c r="X73">
        <v>0.155878480629459</v>
      </c>
      <c r="AA73">
        <v>0.494190952306025</v>
      </c>
      <c r="AB73">
        <v>3.6180855270015799</v>
      </c>
      <c r="AC73">
        <v>4.4778449660025599</v>
      </c>
      <c r="AD73">
        <v>2.72468417667103E-2</v>
      </c>
      <c r="AE73">
        <v>5.8098954236693698</v>
      </c>
    </row>
    <row r="74" spans="1:31" x14ac:dyDescent="0.2">
      <c r="A74">
        <v>73</v>
      </c>
      <c r="B74">
        <v>743</v>
      </c>
      <c r="C74">
        <v>235</v>
      </c>
      <c r="D74">
        <v>0.33537420656399403</v>
      </c>
      <c r="E74">
        <v>9.4909695114402908</v>
      </c>
      <c r="F74">
        <v>2.21039812109119</v>
      </c>
      <c r="G74">
        <v>-154.36775958897587</v>
      </c>
      <c r="H74">
        <v>-129.54115505984279</v>
      </c>
      <c r="I74">
        <v>24.432027288424901</v>
      </c>
      <c r="J74">
        <v>12.8198208399862</v>
      </c>
      <c r="K74">
        <v>4.2937828352635998</v>
      </c>
      <c r="L74">
        <v>1.5334833468162479E-4</v>
      </c>
      <c r="M74">
        <v>1.7634160500989846E-5</v>
      </c>
      <c r="N74" s="1">
        <v>3.2103071123485799E-7</v>
      </c>
      <c r="O74" s="1">
        <v>8.81974079802133E-9</v>
      </c>
      <c r="P74" s="1">
        <v>-4.5562740169548003E-8</v>
      </c>
      <c r="Q74">
        <v>71.415543591733197</v>
      </c>
      <c r="R74">
        <v>0.14553753802608599</v>
      </c>
      <c r="S74">
        <v>12.8441158758329</v>
      </c>
      <c r="T74">
        <v>0.24956325200729501</v>
      </c>
      <c r="V74">
        <v>0.58725253593674598</v>
      </c>
      <c r="W74">
        <v>0.269156109656849</v>
      </c>
      <c r="X74">
        <v>0.15535794270557801</v>
      </c>
      <c r="AA74">
        <v>0.49377214818137699</v>
      </c>
      <c r="AB74">
        <v>3.4958583796108398</v>
      </c>
      <c r="AC74">
        <v>4.4899648697438401</v>
      </c>
      <c r="AD74">
        <v>4.21453255663004E-2</v>
      </c>
      <c r="AE74">
        <v>5.8117324309988101</v>
      </c>
    </row>
    <row r="75" spans="1:31" x14ac:dyDescent="0.2">
      <c r="A75">
        <v>74</v>
      </c>
      <c r="B75">
        <v>763</v>
      </c>
      <c r="C75">
        <v>215</v>
      </c>
      <c r="D75">
        <v>0.37078656565169499</v>
      </c>
      <c r="E75">
        <v>104.689061104289</v>
      </c>
      <c r="F75">
        <v>2.1923964747880098</v>
      </c>
      <c r="G75">
        <v>-1712.2330852808143</v>
      </c>
      <c r="H75">
        <v>-1431.7395335555318</v>
      </c>
      <c r="I75">
        <v>270.70747645155899</v>
      </c>
      <c r="J75">
        <v>140.87118544612599</v>
      </c>
      <c r="K75">
        <v>47.7509712810552</v>
      </c>
      <c r="L75">
        <v>1.4938095580549081E-4</v>
      </c>
      <c r="M75">
        <v>1.772723952491874E-5</v>
      </c>
      <c r="N75" s="1">
        <v>3.3254583832423502E-6</v>
      </c>
      <c r="O75" s="1">
        <v>9.6222805185327296E-8</v>
      </c>
      <c r="P75" s="1">
        <v>-4.9046819844917601E-7</v>
      </c>
      <c r="Q75">
        <v>73.188162346484305</v>
      </c>
      <c r="R75">
        <v>7.5461561281270795E-2</v>
      </c>
      <c r="S75">
        <v>11.9210162631682</v>
      </c>
      <c r="T75">
        <v>0.18078155464825801</v>
      </c>
      <c r="V75">
        <v>0.42956074107589898</v>
      </c>
      <c r="W75">
        <v>2.4835450548266198E-2</v>
      </c>
      <c r="X75">
        <v>5.7312578188307498E-2</v>
      </c>
      <c r="AA75">
        <v>0.50626110733004404</v>
      </c>
      <c r="AB75">
        <v>3.8017343531576802</v>
      </c>
      <c r="AC75">
        <v>4.2602349786641103</v>
      </c>
      <c r="AD75">
        <v>3.82083854588706E-3</v>
      </c>
      <c r="AE75">
        <v>5.5508182269077304</v>
      </c>
    </row>
    <row r="76" spans="1:31" x14ac:dyDescent="0.2">
      <c r="A76">
        <v>75</v>
      </c>
      <c r="B76">
        <v>762</v>
      </c>
      <c r="C76">
        <v>215</v>
      </c>
      <c r="D76">
        <v>0.37011109501038603</v>
      </c>
      <c r="E76">
        <v>104.522350945607</v>
      </c>
      <c r="F76">
        <v>2.19282765325962</v>
      </c>
      <c r="G76">
        <v>-1709.1929696282941</v>
      </c>
      <c r="H76">
        <v>-1429.5359937008229</v>
      </c>
      <c r="I76">
        <v>270.16082299905401</v>
      </c>
      <c r="J76">
        <v>140.64972153505801</v>
      </c>
      <c r="K76">
        <v>47.6655567482631</v>
      </c>
      <c r="L76">
        <v>1.4939859616773434E-4</v>
      </c>
      <c r="M76">
        <v>1.7719514940591355E-5</v>
      </c>
      <c r="N76" s="1">
        <v>3.3245675510127301E-6</v>
      </c>
      <c r="O76" s="1">
        <v>9.6011145754686102E-8</v>
      </c>
      <c r="P76" s="1">
        <v>-4.8988932053215996E-7</v>
      </c>
      <c r="Q76">
        <v>73.153285858601706</v>
      </c>
      <c r="R76">
        <v>7.5581920312059597E-2</v>
      </c>
      <c r="S76">
        <v>11.9400299429693</v>
      </c>
      <c r="T76">
        <v>0.18139940399259799</v>
      </c>
      <c r="V76">
        <v>0.42994938329427701</v>
      </c>
      <c r="W76">
        <v>2.48750623811838E-2</v>
      </c>
      <c r="X76">
        <v>5.7403990110426302E-2</v>
      </c>
      <c r="AA76">
        <v>0.50706857930875304</v>
      </c>
      <c r="AB76">
        <v>3.8077980106581499</v>
      </c>
      <c r="AC76">
        <v>4.2670299315414999</v>
      </c>
      <c r="AD76">
        <v>3.82693267402815E-3</v>
      </c>
      <c r="AE76">
        <v>5.55175098415598</v>
      </c>
    </row>
    <row r="77" spans="1:31" x14ac:dyDescent="0.2">
      <c r="A77">
        <v>76</v>
      </c>
      <c r="B77">
        <v>761</v>
      </c>
      <c r="C77">
        <v>215</v>
      </c>
      <c r="D77">
        <v>0.36943431803897198</v>
      </c>
      <c r="E77">
        <v>104.313131351637</v>
      </c>
      <c r="F77">
        <v>2.1932803859349099</v>
      </c>
      <c r="G77">
        <v>-1705.4487831021038</v>
      </c>
      <c r="H77">
        <v>-1426.7338431424423</v>
      </c>
      <c r="I77">
        <v>269.511134709337</v>
      </c>
      <c r="J77">
        <v>140.375527600136</v>
      </c>
      <c r="K77">
        <v>47.560326541274598</v>
      </c>
      <c r="L77">
        <v>1.4943651333404717E-4</v>
      </c>
      <c r="M77">
        <v>1.7712029431101859E-5</v>
      </c>
      <c r="N77" s="1">
        <v>3.3225681151620902E-6</v>
      </c>
      <c r="O77" s="1">
        <v>9.5767619065155702E-8</v>
      </c>
      <c r="P77" s="1">
        <v>-4.8920938217346796E-7</v>
      </c>
      <c r="Q77">
        <v>73.109176279139106</v>
      </c>
      <c r="R77">
        <v>7.5733514061325294E-2</v>
      </c>
      <c r="S77">
        <v>11.963977917538299</v>
      </c>
      <c r="T77">
        <v>0.18210730923767501</v>
      </c>
      <c r="V77">
        <v>0.43050212545503402</v>
      </c>
      <c r="W77">
        <v>2.4924953994865599E-2</v>
      </c>
      <c r="X77">
        <v>5.7519124603541499E-2</v>
      </c>
      <c r="AA77">
        <v>0.50808560066458397</v>
      </c>
      <c r="AB77">
        <v>3.8154352653679302</v>
      </c>
      <c r="AC77">
        <v>4.2755882621961003</v>
      </c>
      <c r="AD77">
        <v>3.8346083069020999E-3</v>
      </c>
      <c r="AE77">
        <v>5.5531150394345197</v>
      </c>
    </row>
    <row r="78" spans="1:31" x14ac:dyDescent="0.2">
      <c r="A78">
        <v>77</v>
      </c>
      <c r="B78">
        <v>760</v>
      </c>
      <c r="C78">
        <v>215</v>
      </c>
      <c r="D78">
        <v>0.36875623094420001</v>
      </c>
      <c r="E78">
        <v>104.104895287251</v>
      </c>
      <c r="F78">
        <v>2.1937332293274499</v>
      </c>
      <c r="G78">
        <v>-1701.7220895739181</v>
      </c>
      <c r="H78">
        <v>-1423.9449723317366</v>
      </c>
      <c r="I78">
        <v>268.86426679783398</v>
      </c>
      <c r="J78">
        <v>140.10261344921</v>
      </c>
      <c r="K78">
        <v>47.455585709100802</v>
      </c>
      <c r="L78">
        <v>1.4947438702010008E-4</v>
      </c>
      <c r="M78">
        <v>1.7704535859431716E-5</v>
      </c>
      <c r="N78" s="1">
        <v>3.3205859660676501E-6</v>
      </c>
      <c r="O78" s="1">
        <v>9.5525237103608901E-8</v>
      </c>
      <c r="P78" s="1">
        <v>-4.8853308393094004E-7</v>
      </c>
      <c r="Q78">
        <v>73.065092218327905</v>
      </c>
      <c r="R78">
        <v>7.5885000202939895E-2</v>
      </c>
      <c r="S78">
        <v>11.9879088928214</v>
      </c>
      <c r="T78">
        <v>0.18281766699955601</v>
      </c>
      <c r="V78">
        <v>0.43105181629856898</v>
      </c>
      <c r="W78">
        <v>2.49748101933716E-2</v>
      </c>
      <c r="X78">
        <v>5.76341773693251E-2</v>
      </c>
      <c r="AA78">
        <v>0.50910190009567002</v>
      </c>
      <c r="AB78">
        <v>3.8230670988315398</v>
      </c>
      <c r="AC78">
        <v>4.2841405177859704</v>
      </c>
      <c r="AD78">
        <v>3.8422784912875698E-3</v>
      </c>
      <c r="AE78">
        <v>5.55448362258229</v>
      </c>
    </row>
    <row r="79" spans="1:31" x14ac:dyDescent="0.2">
      <c r="A79">
        <v>78</v>
      </c>
      <c r="B79">
        <v>759</v>
      </c>
      <c r="C79">
        <v>215</v>
      </c>
      <c r="D79">
        <v>0.36807682991813401</v>
      </c>
      <c r="E79">
        <v>103.89763513656899</v>
      </c>
      <c r="F79">
        <v>2.1941861851468198</v>
      </c>
      <c r="G79">
        <v>-1698.0127545322468</v>
      </c>
      <c r="H79">
        <v>-1421.1692781185047</v>
      </c>
      <c r="I79">
        <v>268.22019707769402</v>
      </c>
      <c r="J79">
        <v>139.83096917036701</v>
      </c>
      <c r="K79">
        <v>47.351330456770903</v>
      </c>
      <c r="L79">
        <v>1.4951221667218166E-4</v>
      </c>
      <c r="M79">
        <v>1.7697034154487798E-5</v>
      </c>
      <c r="N79" s="1">
        <v>3.3186209563584898E-6</v>
      </c>
      <c r="O79" s="1">
        <v>9.5283990562499901E-8</v>
      </c>
      <c r="P79" s="1">
        <v>-4.87860394821932E-7</v>
      </c>
      <c r="Q79">
        <v>73.021033528613799</v>
      </c>
      <c r="R79">
        <v>7.6036379361435105E-2</v>
      </c>
      <c r="S79">
        <v>12.011822967480301</v>
      </c>
      <c r="T79">
        <v>0.183530491564349</v>
      </c>
      <c r="V79">
        <v>0.43159844787130802</v>
      </c>
      <c r="W79">
        <v>2.5024631182243198E-2</v>
      </c>
      <c r="X79">
        <v>5.7749148882106797E-2</v>
      </c>
      <c r="AA79">
        <v>0.51011748179190197</v>
      </c>
      <c r="AB79">
        <v>3.83069354251267</v>
      </c>
      <c r="AC79">
        <v>4.2926867335693304</v>
      </c>
      <c r="AD79">
        <v>3.8499432588062201E-3</v>
      </c>
      <c r="AE79">
        <v>5.5558567039115898</v>
      </c>
    </row>
    <row r="80" spans="1:31" x14ac:dyDescent="0.2">
      <c r="A80">
        <v>79</v>
      </c>
      <c r="B80">
        <v>758</v>
      </c>
      <c r="C80">
        <v>215</v>
      </c>
      <c r="D80">
        <v>0.36739611113805198</v>
      </c>
      <c r="E80">
        <v>103.691343360038</v>
      </c>
      <c r="F80">
        <v>2.1946392551082599</v>
      </c>
      <c r="G80">
        <v>-1694.3206448141709</v>
      </c>
      <c r="H80">
        <v>-1418.4066583856957</v>
      </c>
      <c r="I80">
        <v>267.57890358189798</v>
      </c>
      <c r="J80">
        <v>139.56058495089201</v>
      </c>
      <c r="K80">
        <v>47.247557027281502</v>
      </c>
      <c r="L80">
        <v>1.4955000173193247E-4</v>
      </c>
      <c r="M80">
        <v>1.7689524244863506E-5</v>
      </c>
      <c r="N80" s="1">
        <v>3.3166729398284301E-6</v>
      </c>
      <c r="O80" s="1">
        <v>9.50438702237866E-8</v>
      </c>
      <c r="P80" s="1">
        <v>-4.8719128413930802E-7</v>
      </c>
      <c r="Q80">
        <v>72.977000062855595</v>
      </c>
      <c r="R80">
        <v>7.6187652160794803E-2</v>
      </c>
      <c r="S80">
        <v>12.0357202400882</v>
      </c>
      <c r="T80">
        <v>0.184245797294015</v>
      </c>
      <c r="V80">
        <v>0.43214201214732401</v>
      </c>
      <c r="W80">
        <v>2.50744171668425E-2</v>
      </c>
      <c r="X80">
        <v>5.7864039615798002E-2</v>
      </c>
      <c r="AA80">
        <v>0.51113234993950496</v>
      </c>
      <c r="AB80">
        <v>3.83831462784749</v>
      </c>
      <c r="AC80">
        <v>4.30122694477366</v>
      </c>
      <c r="AD80">
        <v>3.8576026410522099E-3</v>
      </c>
      <c r="AE80">
        <v>5.5572342534695203</v>
      </c>
    </row>
    <row r="81" spans="1:31" x14ac:dyDescent="0.2">
      <c r="A81">
        <v>80</v>
      </c>
      <c r="B81">
        <v>757</v>
      </c>
      <c r="C81">
        <v>215</v>
      </c>
      <c r="D81">
        <v>0.36671407076639501</v>
      </c>
      <c r="E81">
        <v>103.48601249884901</v>
      </c>
      <c r="F81">
        <v>2.1950924409281201</v>
      </c>
      <c r="G81">
        <v>-1690.6456286778</v>
      </c>
      <c r="H81">
        <v>-1415.6570121119671</v>
      </c>
      <c r="I81">
        <v>266.940364573929</v>
      </c>
      <c r="J81">
        <v>139.29145108275699</v>
      </c>
      <c r="K81">
        <v>47.144261703663702</v>
      </c>
      <c r="L81">
        <v>1.4958774163483434E-4</v>
      </c>
      <c r="M81">
        <v>1.7682006058894757E-5</v>
      </c>
      <c r="N81" s="1">
        <v>3.3147417715930499E-6</v>
      </c>
      <c r="O81" s="1">
        <v>9.4804866962770005E-8</v>
      </c>
      <c r="P81" s="1">
        <v>-4.8652572146668704E-7</v>
      </c>
      <c r="Q81">
        <v>72.932991675435602</v>
      </c>
      <c r="R81">
        <v>7.6338819220500703E-2</v>
      </c>
      <c r="S81">
        <v>12.059600808508</v>
      </c>
      <c r="T81">
        <v>0.18496359861537501</v>
      </c>
      <c r="V81">
        <v>0.43268250100692701</v>
      </c>
      <c r="W81">
        <v>2.51241683510494E-2</v>
      </c>
      <c r="X81">
        <v>5.7978850040891601E-2</v>
      </c>
      <c r="AA81">
        <v>0.51214650869449296</v>
      </c>
      <c r="AB81">
        <v>3.8459303860453198</v>
      </c>
      <c r="AC81">
        <v>4.3097611863722101</v>
      </c>
      <c r="AD81">
        <v>3.8652566693916598E-3</v>
      </c>
      <c r="AE81">
        <v>5.5586162410401299</v>
      </c>
    </row>
    <row r="82" spans="1:31" x14ac:dyDescent="0.2">
      <c r="A82">
        <v>81</v>
      </c>
      <c r="B82">
        <v>756</v>
      </c>
      <c r="C82">
        <v>215</v>
      </c>
      <c r="D82">
        <v>0.36603070495068801</v>
      </c>
      <c r="E82">
        <v>103.281635168726</v>
      </c>
      <c r="F82">
        <v>2.1955457443300301</v>
      </c>
      <c r="G82">
        <v>-1686.9875756976201</v>
      </c>
      <c r="H82">
        <v>-1412.9202392849966</v>
      </c>
      <c r="I82">
        <v>266.30455853143201</v>
      </c>
      <c r="J82">
        <v>139.02355795470999</v>
      </c>
      <c r="K82">
        <v>47.041440805981502</v>
      </c>
      <c r="L82">
        <v>1.496254358105517E-4</v>
      </c>
      <c r="M82">
        <v>1.7674479524518899E-5</v>
      </c>
      <c r="N82" s="1">
        <v>3.3128273078681299E-6</v>
      </c>
      <c r="O82" s="1">
        <v>9.4566971741166696E-8</v>
      </c>
      <c r="P82" s="1">
        <v>-4.8586367665024097E-7</v>
      </c>
      <c r="Q82">
        <v>72.889008221245206</v>
      </c>
      <c r="R82">
        <v>7.6489881159359494E-2</v>
      </c>
      <c r="S82">
        <v>12.0834647704955</v>
      </c>
      <c r="T82">
        <v>0.18568391003128101</v>
      </c>
      <c r="V82">
        <v>0.43321990625672702</v>
      </c>
      <c r="W82">
        <v>2.5173884938521601E-2</v>
      </c>
      <c r="X82">
        <v>5.8093580627367698E-2</v>
      </c>
      <c r="AA82">
        <v>0.51315996220835502</v>
      </c>
      <c r="AB82">
        <v>3.8535408482814599</v>
      </c>
      <c r="AC82">
        <v>4.3182894933001199</v>
      </c>
      <c r="AD82">
        <v>3.8729053751564899E-3</v>
      </c>
      <c r="AE82">
        <v>5.5600026360808803</v>
      </c>
    </row>
    <row r="83" spans="1:31" x14ac:dyDescent="0.2">
      <c r="A83">
        <v>82</v>
      </c>
      <c r="B83">
        <v>755</v>
      </c>
      <c r="C83">
        <v>215</v>
      </c>
      <c r="D83">
        <v>0.36534600982346799</v>
      </c>
      <c r="E83">
        <v>103.078204062598</v>
      </c>
      <c r="F83">
        <v>2.19599916704008</v>
      </c>
      <c r="G83">
        <v>-1683.3463568083357</v>
      </c>
      <c r="H83">
        <v>-1410.1962409394901</v>
      </c>
      <c r="I83">
        <v>265.67146415294002</v>
      </c>
      <c r="J83">
        <v>138.75689605565901</v>
      </c>
      <c r="K83">
        <v>46.939090692613497</v>
      </c>
      <c r="L83">
        <v>1.4966308368294997E-4</v>
      </c>
      <c r="M83">
        <v>1.7666944569396796E-5</v>
      </c>
      <c r="N83" s="1">
        <v>3.3109294061038201E-6</v>
      </c>
      <c r="O83" s="1">
        <v>9.4330175610243799E-8</v>
      </c>
      <c r="P83" s="1">
        <v>-4.85205119813755E-7</v>
      </c>
      <c r="Q83">
        <v>72.845049556381795</v>
      </c>
      <c r="R83">
        <v>7.6640838592828206E-2</v>
      </c>
      <c r="S83">
        <v>12.1073122232768</v>
      </c>
      <c r="T83">
        <v>0.186406746113295</v>
      </c>
      <c r="V83">
        <v>0.43375421961530702</v>
      </c>
      <c r="W83">
        <v>2.5223567131814902E-2</v>
      </c>
      <c r="X83">
        <v>5.8208231842661003E-2</v>
      </c>
      <c r="AA83">
        <v>0.51417271461010705</v>
      </c>
      <c r="AB83">
        <v>3.8611460455625202</v>
      </c>
      <c r="AC83">
        <v>4.3268119003035004</v>
      </c>
      <c r="AD83">
        <v>3.8805487895092398E-3</v>
      </c>
      <c r="AE83">
        <v>5.56139340777976</v>
      </c>
    </row>
    <row r="84" spans="1:31" x14ac:dyDescent="0.2">
      <c r="A84">
        <v>83</v>
      </c>
      <c r="B84">
        <v>754</v>
      </c>
      <c r="C84">
        <v>215</v>
      </c>
      <c r="D84">
        <v>0.36465998150221401</v>
      </c>
      <c r="E84">
        <v>102.87571195023099</v>
      </c>
      <c r="F84">
        <v>2.1964527107882899</v>
      </c>
      <c r="G84">
        <v>-1679.7218442973299</v>
      </c>
      <c r="H84">
        <v>-1407.4849191525486</v>
      </c>
      <c r="I84">
        <v>265.04106035611198</v>
      </c>
      <c r="J84">
        <v>138.49145597407301</v>
      </c>
      <c r="K84">
        <v>46.837207760011502</v>
      </c>
      <c r="L84">
        <v>1.4970068466870401E-4</v>
      </c>
      <c r="M84">
        <v>1.7659401120823367E-5</v>
      </c>
      <c r="N84" s="1">
        <v>3.30904792494829E-6</v>
      </c>
      <c r="O84" s="1">
        <v>9.4094469709210194E-8</v>
      </c>
      <c r="P84" s="1">
        <v>-4.8455002135034305E-7</v>
      </c>
      <c r="Q84">
        <v>72.801115538341307</v>
      </c>
      <c r="R84">
        <v>7.6791692132561096E-2</v>
      </c>
      <c r="S84">
        <v>12.1311432634781</v>
      </c>
      <c r="T84">
        <v>0.187132121500621</v>
      </c>
      <c r="V84">
        <v>0.43428543271044601</v>
      </c>
      <c r="W84">
        <v>2.5273215132233198E-2</v>
      </c>
      <c r="X84">
        <v>5.8322804151319498E-2</v>
      </c>
      <c r="AA84">
        <v>0.51518477000325102</v>
      </c>
      <c r="AB84">
        <v>3.86874600870348</v>
      </c>
      <c r="AC84">
        <v>4.3353284419136902</v>
      </c>
      <c r="AD84">
        <v>3.8881869434196701E-3</v>
      </c>
      <c r="AE84">
        <v>5.5627885249894504</v>
      </c>
    </row>
    <row r="85" spans="1:31" x14ac:dyDescent="0.2">
      <c r="A85">
        <v>84</v>
      </c>
      <c r="B85">
        <v>753</v>
      </c>
      <c r="C85">
        <v>215</v>
      </c>
      <c r="D85">
        <v>0.36397261608926701</v>
      </c>
      <c r="E85">
        <v>101.85157400248499</v>
      </c>
      <c r="F85">
        <v>2.1971383800967299</v>
      </c>
      <c r="G85">
        <v>-1662.4588516633371</v>
      </c>
      <c r="H85">
        <v>-1393.3843832583286</v>
      </c>
      <c r="I85">
        <v>262.21748126980299</v>
      </c>
      <c r="J85">
        <v>137.095429143762</v>
      </c>
      <c r="K85">
        <v>46.3564675421133</v>
      </c>
      <c r="L85">
        <v>1.495977746255468E-4</v>
      </c>
      <c r="M85">
        <v>1.7638503507360574E-5</v>
      </c>
      <c r="N85" s="1">
        <v>3.2758186535904199E-6</v>
      </c>
      <c r="O85" s="1">
        <v>9.2981202704637506E-8</v>
      </c>
      <c r="P85" s="1">
        <v>-4.7940090696259198E-7</v>
      </c>
      <c r="Q85">
        <v>72.764067981758402</v>
      </c>
      <c r="R85">
        <v>7.7563847955924498E-2</v>
      </c>
      <c r="S85">
        <v>12.146567826209001</v>
      </c>
      <c r="T85">
        <v>0.189378569440117</v>
      </c>
      <c r="V85">
        <v>0.43832401121223402</v>
      </c>
      <c r="W85">
        <v>2.5527342365237501E-2</v>
      </c>
      <c r="X85">
        <v>5.8909251612106799E-2</v>
      </c>
      <c r="AA85">
        <v>0.50964571377767298</v>
      </c>
      <c r="AB85">
        <v>3.8614256743254001</v>
      </c>
      <c r="AC85">
        <v>4.3687316560309597</v>
      </c>
      <c r="AD85">
        <v>3.9272834408045796E-3</v>
      </c>
      <c r="AE85">
        <v>5.5559308418719597</v>
      </c>
    </row>
    <row r="86" spans="1:31" x14ac:dyDescent="0.2">
      <c r="A86">
        <v>85</v>
      </c>
      <c r="B86">
        <v>752</v>
      </c>
      <c r="C86">
        <v>215</v>
      </c>
      <c r="D86">
        <v>0.363283909671757</v>
      </c>
      <c r="E86">
        <v>99.451123691041104</v>
      </c>
      <c r="F86">
        <v>2.1982313854666802</v>
      </c>
      <c r="G86">
        <v>-1622.3811740319397</v>
      </c>
      <c r="H86">
        <v>-1360.2193029815862</v>
      </c>
      <c r="I86">
        <v>255.73025513373901</v>
      </c>
      <c r="J86">
        <v>133.808874490021</v>
      </c>
      <c r="K86">
        <v>45.241426516129799</v>
      </c>
      <c r="L86">
        <v>1.4926219474669216E-4</v>
      </c>
      <c r="M86">
        <v>1.7595549914387383E-5</v>
      </c>
      <c r="N86" s="1">
        <v>3.19042738550637E-6</v>
      </c>
      <c r="O86" s="1">
        <v>9.0412329336089695E-8</v>
      </c>
      <c r="P86" s="1">
        <v>-4.66766506501371E-7</v>
      </c>
      <c r="Q86">
        <v>72.737051240891304</v>
      </c>
      <c r="R86">
        <v>7.9436005414507599E-2</v>
      </c>
      <c r="S86">
        <v>12.148827136773299</v>
      </c>
      <c r="T86">
        <v>0.19432078102581099</v>
      </c>
      <c r="V86">
        <v>0.448569836127022</v>
      </c>
      <c r="W86">
        <v>2.6143495452872201E-2</v>
      </c>
      <c r="X86">
        <v>6.0331143352803901E-2</v>
      </c>
      <c r="AA86">
        <v>0.49494450715490901</v>
      </c>
      <c r="AB86">
        <v>3.8284562154473498</v>
      </c>
      <c r="AC86">
        <v>4.4425251915222699</v>
      </c>
      <c r="AD86">
        <v>4.0220762235176396E-3</v>
      </c>
      <c r="AE86">
        <v>5.5353723706142404</v>
      </c>
    </row>
    <row r="87" spans="1:31" x14ac:dyDescent="0.2">
      <c r="A87">
        <v>86</v>
      </c>
      <c r="B87">
        <v>751</v>
      </c>
      <c r="C87">
        <v>215</v>
      </c>
      <c r="D87">
        <v>0.36259385832153801</v>
      </c>
      <c r="E87">
        <v>96.822375735350406</v>
      </c>
      <c r="F87">
        <v>2.1994113133270501</v>
      </c>
      <c r="G87">
        <v>-1578.5787113842305</v>
      </c>
      <c r="H87">
        <v>-1323.9174684323552</v>
      </c>
      <c r="I87">
        <v>248.656195822755</v>
      </c>
      <c r="J87">
        <v>130.21523028056399</v>
      </c>
      <c r="K87">
        <v>44.021950395847902</v>
      </c>
      <c r="L87">
        <v>1.4890164145793798E-4</v>
      </c>
      <c r="M87">
        <v>1.7550271340020717E-5</v>
      </c>
      <c r="N87" s="1">
        <v>3.0972319250482701E-6</v>
      </c>
      <c r="O87" s="1">
        <v>8.7632678972459506E-8</v>
      </c>
      <c r="P87" s="1">
        <v>-4.5299712797304699E-7</v>
      </c>
      <c r="Q87">
        <v>72.708688615669104</v>
      </c>
      <c r="R87">
        <v>8.1592709742982897E-2</v>
      </c>
      <c r="S87">
        <v>12.150724979717999</v>
      </c>
      <c r="T87">
        <v>0.199967472563639</v>
      </c>
      <c r="V87">
        <v>0.46041491487323399</v>
      </c>
      <c r="W87">
        <v>2.6853296877433201E-2</v>
      </c>
      <c r="X87">
        <v>6.1969146640255802E-2</v>
      </c>
      <c r="AA87">
        <v>0.48190227539327002</v>
      </c>
      <c r="AB87">
        <v>3.7911152794126801</v>
      </c>
      <c r="AC87">
        <v>4.5193710732765098</v>
      </c>
      <c r="AD87">
        <v>4.1312764426808301E-3</v>
      </c>
      <c r="AE87">
        <v>5.5132689593901203</v>
      </c>
    </row>
    <row r="88" spans="1:31" x14ac:dyDescent="0.2">
      <c r="A88">
        <v>87</v>
      </c>
      <c r="B88">
        <v>750</v>
      </c>
      <c r="C88">
        <v>215</v>
      </c>
      <c r="D88">
        <v>0.36190245809509802</v>
      </c>
      <c r="E88">
        <v>80.1671908759307</v>
      </c>
      <c r="F88">
        <v>2.2020060738226901</v>
      </c>
      <c r="G88">
        <v>-1305.5220026929424</v>
      </c>
      <c r="H88">
        <v>-1095.0499570748377</v>
      </c>
      <c r="I88">
        <v>205.709862305727</v>
      </c>
      <c r="J88">
        <v>107.807080349752</v>
      </c>
      <c r="K88">
        <v>36.406434945367799</v>
      </c>
      <c r="L88">
        <v>1.4893055943029375E-4</v>
      </c>
      <c r="M88">
        <v>1.7531334622250643E-5</v>
      </c>
      <c r="N88" s="1">
        <v>2.5630184640192199E-6</v>
      </c>
      <c r="O88" s="1">
        <v>7.2387150604218102E-8</v>
      </c>
      <c r="P88" s="1">
        <v>-3.7452704426022697E-7</v>
      </c>
      <c r="Q88">
        <v>72.572513346817104</v>
      </c>
      <c r="R88">
        <v>9.85440541658405E-2</v>
      </c>
      <c r="S88">
        <v>12.143115042677801</v>
      </c>
      <c r="T88">
        <v>0.24137796065372299</v>
      </c>
      <c r="V88">
        <v>0.55618916932145501</v>
      </c>
      <c r="W88">
        <v>3.24322203583663E-2</v>
      </c>
      <c r="X88">
        <v>7.48435854424504E-2</v>
      </c>
      <c r="AA88">
        <v>0.483923188948575</v>
      </c>
      <c r="AB88">
        <v>3.7599834768312599</v>
      </c>
      <c r="AC88">
        <v>4.5281908661309496</v>
      </c>
      <c r="AD88">
        <v>4.9895723628234903E-3</v>
      </c>
      <c r="AE88">
        <v>5.5038975162894701</v>
      </c>
    </row>
    <row r="89" spans="1:31" x14ac:dyDescent="0.2">
      <c r="A89">
        <v>88</v>
      </c>
      <c r="B89">
        <v>749</v>
      </c>
      <c r="C89">
        <v>215</v>
      </c>
      <c r="D89">
        <v>0.36120970503350902</v>
      </c>
      <c r="E89">
        <v>47.403408710165898</v>
      </c>
      <c r="F89">
        <v>2.20481940326132</v>
      </c>
      <c r="G89">
        <v>-771.33750195787854</v>
      </c>
      <c r="H89">
        <v>-647.11721426610393</v>
      </c>
      <c r="I89">
        <v>121.52843290297299</v>
      </c>
      <c r="J89">
        <v>63.766381768534799</v>
      </c>
      <c r="K89">
        <v>21.4999054525952</v>
      </c>
      <c r="L89">
        <v>1.4892780042100406E-4</v>
      </c>
      <c r="M89">
        <v>1.7513145762345526E-5</v>
      </c>
      <c r="N89" s="1">
        <v>1.51431664028074E-6</v>
      </c>
      <c r="O89" s="1">
        <v>4.2690406880948998E-8</v>
      </c>
      <c r="P89" s="1">
        <v>-2.2089277847589999E-7</v>
      </c>
      <c r="Q89">
        <v>72.4131135185619</v>
      </c>
      <c r="R89">
        <v>0.124686444241618</v>
      </c>
      <c r="S89">
        <v>12.177530575338499</v>
      </c>
      <c r="T89">
        <v>0.26695714846067398</v>
      </c>
      <c r="V89">
        <v>0.61641999428556904</v>
      </c>
      <c r="W89">
        <v>5.4848376324494498E-2</v>
      </c>
      <c r="X89">
        <v>0.12209954678497199</v>
      </c>
      <c r="AA89">
        <v>0.49292859729690403</v>
      </c>
      <c r="AB89">
        <v>3.7048485072442299</v>
      </c>
      <c r="AC89">
        <v>4.5249084792203202</v>
      </c>
      <c r="AD89">
        <v>8.4382117422230497E-3</v>
      </c>
      <c r="AE89">
        <v>5.4932206004985096</v>
      </c>
    </row>
    <row r="90" spans="1:31" x14ac:dyDescent="0.2">
      <c r="A90">
        <v>89</v>
      </c>
      <c r="B90">
        <v>748</v>
      </c>
      <c r="C90">
        <v>215</v>
      </c>
      <c r="D90">
        <v>0.36051559516231801</v>
      </c>
      <c r="E90">
        <v>20.766310352577101</v>
      </c>
      <c r="F90">
        <v>2.2073658210464999</v>
      </c>
      <c r="G90">
        <v>-337.86439115291569</v>
      </c>
      <c r="H90">
        <v>-283.57074568144503</v>
      </c>
      <c r="I90">
        <v>53.169118612809697</v>
      </c>
      <c r="J90">
        <v>27.947226283559601</v>
      </c>
      <c r="K90">
        <v>9.4077339399646593</v>
      </c>
      <c r="L90">
        <v>1.4871699668167723E-4</v>
      </c>
      <c r="M90">
        <v>1.7494484308099903E-5</v>
      </c>
      <c r="N90" s="1">
        <v>6.6213101290367799E-7</v>
      </c>
      <c r="O90" s="1">
        <v>1.8633200855003901E-8</v>
      </c>
      <c r="P90" s="1">
        <v>-9.6261637287915696E-8</v>
      </c>
      <c r="Q90">
        <v>72.221085290688904</v>
      </c>
      <c r="R90">
        <v>0.157272827392021</v>
      </c>
      <c r="S90">
        <v>12.365003741722999</v>
      </c>
      <c r="T90">
        <v>0.25112461715619899</v>
      </c>
      <c r="V90">
        <v>0.58238353393074904</v>
      </c>
      <c r="W90">
        <v>0.12520279028171399</v>
      </c>
      <c r="X90">
        <v>0.16500595548886701</v>
      </c>
      <c r="AA90">
        <v>0.49949557533894301</v>
      </c>
      <c r="AB90">
        <v>3.5849482272817501</v>
      </c>
      <c r="AC90">
        <v>4.5526318970000803</v>
      </c>
      <c r="AD90">
        <v>1.9261967735625499E-2</v>
      </c>
      <c r="AE90">
        <v>5.4765835759819597</v>
      </c>
    </row>
    <row r="91" spans="1:31" x14ac:dyDescent="0.2">
      <c r="A91">
        <v>90</v>
      </c>
      <c r="B91">
        <v>747</v>
      </c>
      <c r="C91">
        <v>215</v>
      </c>
      <c r="D91">
        <v>0.35982012449149797</v>
      </c>
      <c r="E91">
        <v>11.5526747510311</v>
      </c>
      <c r="F91">
        <v>2.2099051851176199</v>
      </c>
      <c r="G91">
        <v>-187.89846287245209</v>
      </c>
      <c r="H91">
        <v>-157.75574650305518</v>
      </c>
      <c r="I91">
        <v>29.5473375184011</v>
      </c>
      <c r="J91">
        <v>15.5545327169594</v>
      </c>
      <c r="K91">
        <v>5.22767891981582</v>
      </c>
      <c r="L91">
        <v>1.4877222465717061E-4</v>
      </c>
      <c r="M91">
        <v>1.7507803605704296E-5</v>
      </c>
      <c r="N91" s="1">
        <v>3.68729641507407E-7</v>
      </c>
      <c r="O91" s="1">
        <v>1.0356073710432401E-8</v>
      </c>
      <c r="P91" s="1">
        <v>-5.3400386681996001E-8</v>
      </c>
      <c r="Q91">
        <v>71.952879161053204</v>
      </c>
      <c r="R91">
        <v>0.155710125179049</v>
      </c>
      <c r="S91">
        <v>12.644191826753801</v>
      </c>
      <c r="T91">
        <v>0.24792115273083101</v>
      </c>
      <c r="V91">
        <v>0.57917913118022502</v>
      </c>
      <c r="W91">
        <v>0.22257480038442001</v>
      </c>
      <c r="X91">
        <v>0.16435238401944299</v>
      </c>
      <c r="AA91">
        <v>0.500550336505866</v>
      </c>
      <c r="AB91">
        <v>3.4518959402094702</v>
      </c>
      <c r="AC91">
        <v>4.5702097577737497</v>
      </c>
      <c r="AD91">
        <v>3.4624016396158599E-2</v>
      </c>
      <c r="AE91">
        <v>5.4759113678135796</v>
      </c>
    </row>
    <row r="92" spans="1:31" x14ac:dyDescent="0.2">
      <c r="A92">
        <v>91</v>
      </c>
      <c r="B92">
        <v>746</v>
      </c>
      <c r="C92">
        <v>215</v>
      </c>
      <c r="D92">
        <v>0.35912328901535701</v>
      </c>
      <c r="E92">
        <v>8.2397550408745097</v>
      </c>
      <c r="F92">
        <v>2.2121558898118798</v>
      </c>
      <c r="G92">
        <v>-133.97689775066968</v>
      </c>
      <c r="H92">
        <v>-112.51967161016178</v>
      </c>
      <c r="I92">
        <v>21.054041250559699</v>
      </c>
      <c r="J92">
        <v>11.0988875989086</v>
      </c>
      <c r="K92">
        <v>3.7247623817213</v>
      </c>
      <c r="L92">
        <v>1.4885807777735262E-4</v>
      </c>
      <c r="M92">
        <v>1.7522111139599913E-5</v>
      </c>
      <c r="N92" s="1">
        <v>2.6335895948888098E-7</v>
      </c>
      <c r="O92" s="1">
        <v>7.3819186066506E-9</v>
      </c>
      <c r="P92" s="1">
        <v>-3.8004702652076502E-8</v>
      </c>
      <c r="Q92">
        <v>71.7085312733455</v>
      </c>
      <c r="R92">
        <v>0.154807157634065</v>
      </c>
      <c r="S92">
        <v>12.896700600702999</v>
      </c>
      <c r="T92">
        <v>0.244852294940855</v>
      </c>
      <c r="V92">
        <v>0.575601389382986</v>
      </c>
      <c r="W92">
        <v>0.30933627843769701</v>
      </c>
      <c r="X92">
        <v>0.16382993586487099</v>
      </c>
      <c r="AA92">
        <v>0.50057295780449995</v>
      </c>
      <c r="AB92">
        <v>3.3382952428608501</v>
      </c>
      <c r="AC92">
        <v>4.5815708422787802</v>
      </c>
      <c r="AD92">
        <v>4.8545132472379002E-2</v>
      </c>
      <c r="AE92">
        <v>5.4773568942743998</v>
      </c>
    </row>
    <row r="93" spans="1:31" x14ac:dyDescent="0.2">
      <c r="A93">
        <v>92</v>
      </c>
      <c r="B93">
        <v>764</v>
      </c>
      <c r="C93">
        <v>195</v>
      </c>
      <c r="D93">
        <v>0.39267270886564198</v>
      </c>
      <c r="E93">
        <v>104.366596155114</v>
      </c>
      <c r="F93">
        <v>2.19362171149649</v>
      </c>
      <c r="G93">
        <v>-1706.4044053691739</v>
      </c>
      <c r="H93">
        <v>-1428.3437276648499</v>
      </c>
      <c r="I93">
        <v>268.100735384779</v>
      </c>
      <c r="J93">
        <v>140.13519357103601</v>
      </c>
      <c r="K93">
        <v>47.577299043012701</v>
      </c>
      <c r="L93">
        <v>1.4550513785539248E-4</v>
      </c>
      <c r="M93">
        <v>1.761734744750173E-5</v>
      </c>
      <c r="N93" s="1">
        <v>3.1564516385104999E-6</v>
      </c>
      <c r="O93" s="1">
        <v>9.2734497539337606E-8</v>
      </c>
      <c r="P93" s="1">
        <v>-4.7260096933775497E-7</v>
      </c>
      <c r="Q93">
        <v>73.414294249992693</v>
      </c>
      <c r="R93">
        <v>7.5694717381207699E-2</v>
      </c>
      <c r="S93">
        <v>11.9578490242721</v>
      </c>
      <c r="T93">
        <v>0.182837550559694</v>
      </c>
      <c r="V93">
        <v>0.42954056599837598</v>
      </c>
      <c r="W93">
        <v>2.49121854672327E-2</v>
      </c>
      <c r="X93">
        <v>5.7489658770538E-2</v>
      </c>
      <c r="AA93">
        <v>0.50782531913974704</v>
      </c>
      <c r="AB93">
        <v>3.81348069844563</v>
      </c>
      <c r="AC93">
        <v>4.2733979686099097</v>
      </c>
      <c r="AD93">
        <v>3.83264391803576E-3</v>
      </c>
      <c r="AE93">
        <v>5.2588454174446904</v>
      </c>
    </row>
    <row r="94" spans="1:31" x14ac:dyDescent="0.2">
      <c r="A94">
        <v>93</v>
      </c>
      <c r="B94">
        <v>763</v>
      </c>
      <c r="C94">
        <v>195</v>
      </c>
      <c r="D94">
        <v>0.39201901269121803</v>
      </c>
      <c r="E94">
        <v>104.26344351205699</v>
      </c>
      <c r="F94">
        <v>2.1940135451320599</v>
      </c>
      <c r="G94">
        <v>-1704.4217029142985</v>
      </c>
      <c r="H94">
        <v>-1427.0323998545873</v>
      </c>
      <c r="I94">
        <v>267.71153120659199</v>
      </c>
      <c r="J94">
        <v>139.99315148661501</v>
      </c>
      <c r="K94">
        <v>47.521786610383899</v>
      </c>
      <c r="L94">
        <v>1.4549623819030017E-4</v>
      </c>
      <c r="M94">
        <v>1.7609560254732147E-5</v>
      </c>
      <c r="N94" s="1">
        <v>3.1571608158319201E-6</v>
      </c>
      <c r="O94" s="1">
        <v>9.2578623511083898E-8</v>
      </c>
      <c r="P94" s="1">
        <v>-4.7219965480963398E-7</v>
      </c>
      <c r="Q94">
        <v>73.392839849197301</v>
      </c>
      <c r="R94">
        <v>7.5769605663238995E-2</v>
      </c>
      <c r="S94">
        <v>11.969679476927499</v>
      </c>
      <c r="T94">
        <v>0.18333238257771001</v>
      </c>
      <c r="V94">
        <v>0.42968304152072601</v>
      </c>
      <c r="W94">
        <v>2.4936832243597301E-2</v>
      </c>
      <c r="X94">
        <v>5.7546535946764801E-2</v>
      </c>
      <c r="AA94">
        <v>0.50832773419641297</v>
      </c>
      <c r="AB94">
        <v>3.8172535511353001</v>
      </c>
      <c r="AC94">
        <v>4.27762583870937</v>
      </c>
      <c r="AD94">
        <v>3.8364357297841099E-3</v>
      </c>
      <c r="AE94">
        <v>5.2591687161521499</v>
      </c>
    </row>
    <row r="95" spans="1:31" x14ac:dyDescent="0.2">
      <c r="A95">
        <v>94</v>
      </c>
      <c r="B95">
        <v>762</v>
      </c>
      <c r="C95">
        <v>195</v>
      </c>
      <c r="D95">
        <v>0.39136405351881698</v>
      </c>
      <c r="E95">
        <v>104.060540711832</v>
      </c>
      <c r="F95">
        <v>2.19445873416768</v>
      </c>
      <c r="G95">
        <v>-1700.7850544327932</v>
      </c>
      <c r="H95">
        <v>-1424.3160957241505</v>
      </c>
      <c r="I95">
        <v>267.08105946833001</v>
      </c>
      <c r="J95">
        <v>139.72746576062499</v>
      </c>
      <c r="K95">
        <v>47.419684449569203</v>
      </c>
      <c r="L95">
        <v>1.4553339549741161E-4</v>
      </c>
      <c r="M95">
        <v>1.760223718145542E-5</v>
      </c>
      <c r="N95" s="1">
        <v>3.1553708607417502E-6</v>
      </c>
      <c r="O95" s="1">
        <v>9.2348982262838098E-8</v>
      </c>
      <c r="P95" s="1">
        <v>-4.7156646683724201E-7</v>
      </c>
      <c r="Q95">
        <v>73.349969296066902</v>
      </c>
      <c r="R95">
        <v>7.59173452872689E-2</v>
      </c>
      <c r="S95">
        <v>11.993018597282299</v>
      </c>
      <c r="T95">
        <v>0.18403551943815799</v>
      </c>
      <c r="V95">
        <v>0.43020982676131603</v>
      </c>
      <c r="W95">
        <v>2.4985455410998898E-2</v>
      </c>
      <c r="X95">
        <v>5.7658743256156997E-2</v>
      </c>
      <c r="AA95">
        <v>0.50931889876268699</v>
      </c>
      <c r="AB95">
        <v>3.8246966359914198</v>
      </c>
      <c r="AC95">
        <v>4.2859665820405102</v>
      </c>
      <c r="AD95">
        <v>3.8439162170764299E-3</v>
      </c>
      <c r="AE95">
        <v>5.2603791834850897</v>
      </c>
    </row>
    <row r="96" spans="1:31" x14ac:dyDescent="0.2">
      <c r="A96">
        <v>95</v>
      </c>
      <c r="B96">
        <v>761</v>
      </c>
      <c r="C96">
        <v>195</v>
      </c>
      <c r="D96">
        <v>0.39070782768457202</v>
      </c>
      <c r="E96">
        <v>103.85856602066499</v>
      </c>
      <c r="F96">
        <v>2.1949040637564399</v>
      </c>
      <c r="G96">
        <v>-1697.1649338304092</v>
      </c>
      <c r="H96">
        <v>-1421.6123217717277</v>
      </c>
      <c r="I96">
        <v>266.45323411369799</v>
      </c>
      <c r="J96">
        <v>139.462983654563</v>
      </c>
      <c r="K96">
        <v>47.318043524379803</v>
      </c>
      <c r="L96">
        <v>1.4557049500593853E-4</v>
      </c>
      <c r="M96">
        <v>1.7594905041538018E-5</v>
      </c>
      <c r="N96" s="1">
        <v>3.1535957201055999E-6</v>
      </c>
      <c r="O96" s="1">
        <v>9.2120377861644595E-8</v>
      </c>
      <c r="P96" s="1">
        <v>-4.7093649192195802E-7</v>
      </c>
      <c r="Q96">
        <v>73.307124100344893</v>
      </c>
      <c r="R96">
        <v>7.60649824341708E-2</v>
      </c>
      <c r="S96">
        <v>12.0163415288438</v>
      </c>
      <c r="T96">
        <v>0.184741091969752</v>
      </c>
      <c r="V96">
        <v>0.43073361610747102</v>
      </c>
      <c r="W96">
        <v>2.50340448517514E-2</v>
      </c>
      <c r="X96">
        <v>5.7770872734817097E-2</v>
      </c>
      <c r="AA96">
        <v>0.51030937582418001</v>
      </c>
      <c r="AB96">
        <v>3.8321345580758299</v>
      </c>
      <c r="AC96">
        <v>4.2943015399541897</v>
      </c>
      <c r="AD96">
        <v>3.85139151565366E-3</v>
      </c>
      <c r="AE96">
        <v>5.2615928973433803</v>
      </c>
    </row>
    <row r="97" spans="1:31" x14ac:dyDescent="0.2">
      <c r="A97">
        <v>96</v>
      </c>
      <c r="B97">
        <v>760</v>
      </c>
      <c r="C97">
        <v>195</v>
      </c>
      <c r="D97">
        <v>0.39005033151043</v>
      </c>
      <c r="E97">
        <v>103.65751242285999</v>
      </c>
      <c r="F97">
        <v>2.1953495358284401</v>
      </c>
      <c r="G97">
        <v>-1693.5612170415952</v>
      </c>
      <c r="H97">
        <v>-1418.9209829807955</v>
      </c>
      <c r="I97">
        <v>265.828034710157</v>
      </c>
      <c r="J97">
        <v>139.19969604661</v>
      </c>
      <c r="K97">
        <v>47.216860336431203</v>
      </c>
      <c r="L97">
        <v>1.4560753598160769E-4</v>
      </c>
      <c r="M97">
        <v>1.758756375146557E-5</v>
      </c>
      <c r="N97" s="1">
        <v>3.15183525887824E-6</v>
      </c>
      <c r="O97" s="1">
        <v>9.1892801866477999E-8</v>
      </c>
      <c r="P97" s="1">
        <v>-4.7030970168030098E-7</v>
      </c>
      <c r="Q97">
        <v>73.264304133515907</v>
      </c>
      <c r="R97">
        <v>7.6212517697442306E-2</v>
      </c>
      <c r="S97">
        <v>12.039648365371001</v>
      </c>
      <c r="T97">
        <v>0.18544911426313099</v>
      </c>
      <c r="V97">
        <v>0.43125440153795502</v>
      </c>
      <c r="W97">
        <v>2.5082600761182398E-2</v>
      </c>
      <c r="X97">
        <v>5.7882924833504601E-2</v>
      </c>
      <c r="AA97">
        <v>0.51129916936258402</v>
      </c>
      <c r="AB97">
        <v>3.8395673472887402</v>
      </c>
      <c r="AC97">
        <v>4.3026307459565798</v>
      </c>
      <c r="AD97">
        <v>3.85886165556608E-3</v>
      </c>
      <c r="AE97">
        <v>5.2628098177562697</v>
      </c>
    </row>
    <row r="98" spans="1:31" x14ac:dyDescent="0.2">
      <c r="A98">
        <v>97</v>
      </c>
      <c r="B98">
        <v>759</v>
      </c>
      <c r="C98">
        <v>195</v>
      </c>
      <c r="D98">
        <v>0.38939156130407598</v>
      </c>
      <c r="E98">
        <v>103.45737297332499</v>
      </c>
      <c r="F98">
        <v>2.1957951523224102</v>
      </c>
      <c r="G98">
        <v>-1689.973781246777</v>
      </c>
      <c r="H98">
        <v>-1416.2419852917751</v>
      </c>
      <c r="I98">
        <v>265.20544102601502</v>
      </c>
      <c r="J98">
        <v>138.93759390618999</v>
      </c>
      <c r="K98">
        <v>47.116131422324301</v>
      </c>
      <c r="L98">
        <v>1.4564451768149555E-4</v>
      </c>
      <c r="M98">
        <v>1.7580213227185638E-5</v>
      </c>
      <c r="N98" s="1">
        <v>3.1500893429303401E-6</v>
      </c>
      <c r="O98" s="1">
        <v>9.1666245913982905E-8</v>
      </c>
      <c r="P98" s="1">
        <v>-4.6968606795578202E-7</v>
      </c>
      <c r="Q98">
        <v>73.221509268082798</v>
      </c>
      <c r="R98">
        <v>7.6359951668568099E-2</v>
      </c>
      <c r="S98">
        <v>12.0629392003041</v>
      </c>
      <c r="T98">
        <v>0.186159600478981</v>
      </c>
      <c r="V98">
        <v>0.43177217495278197</v>
      </c>
      <c r="W98">
        <v>2.5131123333957599E-2</v>
      </c>
      <c r="X98">
        <v>5.7994900001449398E-2</v>
      </c>
      <c r="AA98">
        <v>0.512288283346085</v>
      </c>
      <c r="AB98">
        <v>3.8469950334289602</v>
      </c>
      <c r="AC98">
        <v>4.3109542334403104</v>
      </c>
      <c r="AD98">
        <v>3.86632666676218E-3</v>
      </c>
      <c r="AE98">
        <v>5.2640299042951497</v>
      </c>
    </row>
    <row r="99" spans="1:31" x14ac:dyDescent="0.2">
      <c r="A99">
        <v>98</v>
      </c>
      <c r="B99">
        <v>758</v>
      </c>
      <c r="C99">
        <v>195</v>
      </c>
      <c r="D99">
        <v>0.38873151335887302</v>
      </c>
      <c r="E99">
        <v>102.35559481855699</v>
      </c>
      <c r="F99">
        <v>2.1964814869162801</v>
      </c>
      <c r="G99">
        <v>-1671.416058321372</v>
      </c>
      <c r="H99">
        <v>-1401.0568477603379</v>
      </c>
      <c r="I99">
        <v>262.19193188288199</v>
      </c>
      <c r="J99">
        <v>137.43865400649199</v>
      </c>
      <c r="K99">
        <v>46.5997985543043</v>
      </c>
      <c r="L99">
        <v>1.4553857260451308E-4</v>
      </c>
      <c r="M99">
        <v>1.7558767072985077E-5</v>
      </c>
      <c r="N99" s="1">
        <v>3.1159169263078798E-6</v>
      </c>
      <c r="O99" s="1">
        <v>9.0510837113105501E-8</v>
      </c>
      <c r="P99" s="1">
        <v>-4.6433818239929701E-7</v>
      </c>
      <c r="Q99">
        <v>73.185327473675997</v>
      </c>
      <c r="R99">
        <v>7.7181906997895594E-2</v>
      </c>
      <c r="S99">
        <v>12.0771495142732</v>
      </c>
      <c r="T99">
        <v>0.188521662640383</v>
      </c>
      <c r="V99">
        <v>0.43609755407072298</v>
      </c>
      <c r="W99">
        <v>2.54016402777867E-2</v>
      </c>
      <c r="X99">
        <v>5.8619169871825798E-2</v>
      </c>
      <c r="AA99">
        <v>0.50615469789672995</v>
      </c>
      <c r="AB99">
        <v>3.83801470759138</v>
      </c>
      <c r="AC99">
        <v>4.3466748827892197</v>
      </c>
      <c r="AD99">
        <v>3.9079446581204696E-3</v>
      </c>
      <c r="AE99">
        <v>5.2569488452566304</v>
      </c>
    </row>
    <row r="100" spans="1:31" x14ac:dyDescent="0.2">
      <c r="A100">
        <v>99</v>
      </c>
      <c r="B100">
        <v>757</v>
      </c>
      <c r="C100">
        <v>195</v>
      </c>
      <c r="D100">
        <v>0.388070183953793</v>
      </c>
      <c r="E100">
        <v>100.04301128557</v>
      </c>
      <c r="F100">
        <v>2.1975106472040902</v>
      </c>
      <c r="G100">
        <v>-1632.7820862232595</v>
      </c>
      <c r="H100">
        <v>-1369.0882627667929</v>
      </c>
      <c r="I100">
        <v>255.97614275247901</v>
      </c>
      <c r="J100">
        <v>134.281457953277</v>
      </c>
      <c r="K100">
        <v>45.525609358414599</v>
      </c>
      <c r="L100">
        <v>1.452410328159411E-4</v>
      </c>
      <c r="M100">
        <v>1.751848505445358E-5</v>
      </c>
      <c r="N100" s="1">
        <v>3.03843014200758E-6</v>
      </c>
      <c r="O100" s="1">
        <v>8.8119464510376406E-8</v>
      </c>
      <c r="P100" s="1">
        <v>-4.5267406339948902E-7</v>
      </c>
      <c r="Q100">
        <v>73.156787978892893</v>
      </c>
      <c r="R100">
        <v>7.8966035692888001E-2</v>
      </c>
      <c r="S100">
        <v>12.079896860546301</v>
      </c>
      <c r="T100">
        <v>0.19324378824299601</v>
      </c>
      <c r="V100">
        <v>0.445850556125228</v>
      </c>
      <c r="W100">
        <v>2.5988821873605399E-2</v>
      </c>
      <c r="X100">
        <v>5.9974204323724398E-2</v>
      </c>
      <c r="AA100">
        <v>0.49202607881654897</v>
      </c>
      <c r="AB100">
        <v>3.8061989323432801</v>
      </c>
      <c r="AC100">
        <v>4.4183497437280099</v>
      </c>
      <c r="AD100">
        <v>3.9982802882462601E-3</v>
      </c>
      <c r="AE100">
        <v>5.2387187191261697</v>
      </c>
    </row>
    <row r="101" spans="1:31" x14ac:dyDescent="0.2">
      <c r="A101">
        <v>100</v>
      </c>
      <c r="B101">
        <v>756</v>
      </c>
      <c r="C101">
        <v>195</v>
      </c>
      <c r="D101">
        <v>0.38740756935335302</v>
      </c>
      <c r="E101">
        <v>97.570723609830495</v>
      </c>
      <c r="F101">
        <v>2.1986080635791301</v>
      </c>
      <c r="G101">
        <v>-1591.5474638140847</v>
      </c>
      <c r="H101">
        <v>-1334.9252011121685</v>
      </c>
      <c r="I101">
        <v>249.35360511287601</v>
      </c>
      <c r="J101">
        <v>130.910309705618</v>
      </c>
      <c r="K101">
        <v>44.378407059507602</v>
      </c>
      <c r="L101">
        <v>1.4492430938102522E-4</v>
      </c>
      <c r="M101">
        <v>1.7476370756095387E-5</v>
      </c>
      <c r="N101" s="1">
        <v>2.9557516239970201E-6</v>
      </c>
      <c r="O101" s="1">
        <v>8.5586805790025398E-8</v>
      </c>
      <c r="P101" s="1">
        <v>-4.4024234911104901E-7</v>
      </c>
      <c r="Q101">
        <v>73.127063687293898</v>
      </c>
      <c r="R101">
        <v>8.0966910029193304E-2</v>
      </c>
      <c r="S101">
        <v>12.082434736399</v>
      </c>
      <c r="T101">
        <v>0.19850576790297</v>
      </c>
      <c r="V101">
        <v>0.45681883329655798</v>
      </c>
      <c r="W101">
        <v>2.6647337477958499E-2</v>
      </c>
      <c r="X101">
        <v>6.1493855718389202E-2</v>
      </c>
      <c r="AA101">
        <v>0.479338732115904</v>
      </c>
      <c r="AB101">
        <v>3.7707915772797702</v>
      </c>
      <c r="AC101">
        <v>4.4925099816609899</v>
      </c>
      <c r="AD101">
        <v>4.0995903812235598E-3</v>
      </c>
      <c r="AE101">
        <v>5.2193289904440299</v>
      </c>
    </row>
    <row r="102" spans="1:31" x14ac:dyDescent="0.2">
      <c r="A102">
        <v>101</v>
      </c>
      <c r="B102">
        <v>755</v>
      </c>
      <c r="C102">
        <v>195</v>
      </c>
      <c r="D102">
        <v>0.38674366580751801</v>
      </c>
      <c r="E102">
        <v>94.823445177544002</v>
      </c>
      <c r="F102">
        <v>2.1997980277343099</v>
      </c>
      <c r="G102">
        <v>-1545.8263707321132</v>
      </c>
      <c r="H102">
        <v>-1296.9832075201214</v>
      </c>
      <c r="I102">
        <v>242.03001819967099</v>
      </c>
      <c r="J102">
        <v>127.170698502287</v>
      </c>
      <c r="K102">
        <v>43.1055233171599</v>
      </c>
      <c r="L102">
        <v>1.4458541050990493E-4</v>
      </c>
      <c r="M102">
        <v>1.7432085542682362E-5</v>
      </c>
      <c r="N102" s="1">
        <v>2.8643566718460801E-6</v>
      </c>
      <c r="O102" s="1">
        <v>8.2811790249136497E-8</v>
      </c>
      <c r="P102" s="1">
        <v>-4.2651730379918299E-7</v>
      </c>
      <c r="Q102">
        <v>73.095328356566895</v>
      </c>
      <c r="R102">
        <v>8.3312729095730204E-2</v>
      </c>
      <c r="S102">
        <v>12.084649426630101</v>
      </c>
      <c r="T102">
        <v>0.20461988200511899</v>
      </c>
      <c r="V102">
        <v>0.46972751168742499</v>
      </c>
      <c r="W102">
        <v>2.7419379196058101E-2</v>
      </c>
      <c r="X102">
        <v>6.3275490452472105E-2</v>
      </c>
      <c r="AA102">
        <v>0.468507167486922</v>
      </c>
      <c r="AB102">
        <v>3.7309053611420802</v>
      </c>
      <c r="AC102">
        <v>4.5694905268277104</v>
      </c>
      <c r="AD102">
        <v>4.2183660301615003E-3</v>
      </c>
      <c r="AE102">
        <v>5.1985458028791696</v>
      </c>
    </row>
    <row r="103" spans="1:31" x14ac:dyDescent="0.2">
      <c r="A103">
        <v>102</v>
      </c>
      <c r="B103">
        <v>754</v>
      </c>
      <c r="C103">
        <v>195</v>
      </c>
      <c r="D103">
        <v>0.38607846955167302</v>
      </c>
      <c r="E103">
        <v>79.935237440150701</v>
      </c>
      <c r="F103">
        <v>2.2023228368599699</v>
      </c>
      <c r="G103">
        <v>-1301.6688894393947</v>
      </c>
      <c r="H103">
        <v>-1092.2970669290132</v>
      </c>
      <c r="I103">
        <v>203.837630833258</v>
      </c>
      <c r="J103">
        <v>107.190135838808</v>
      </c>
      <c r="K103">
        <v>36.295876382102399</v>
      </c>
      <c r="L103">
        <v>1.4455379881483888E-4</v>
      </c>
      <c r="M103">
        <v>1.7408700212275538E-5</v>
      </c>
      <c r="N103" s="1">
        <v>2.4120236608451799E-6</v>
      </c>
      <c r="O103" s="1">
        <v>6.9613283771769196E-8</v>
      </c>
      <c r="P103" s="1">
        <v>-3.5884981190118997E-7</v>
      </c>
      <c r="Q103">
        <v>72.968551397772202</v>
      </c>
      <c r="R103">
        <v>9.8830006052286395E-2</v>
      </c>
      <c r="S103">
        <v>12.0788987547852</v>
      </c>
      <c r="T103">
        <v>0.242629370139086</v>
      </c>
      <c r="V103">
        <v>0.55730731664855504</v>
      </c>
      <c r="W103">
        <v>3.25263311058041E-2</v>
      </c>
      <c r="X103">
        <v>7.5060764090387103E-2</v>
      </c>
      <c r="AA103">
        <v>0.47383414291231202</v>
      </c>
      <c r="AB103">
        <v>3.6926445056381199</v>
      </c>
      <c r="AC103">
        <v>4.58768506786262</v>
      </c>
      <c r="AD103">
        <v>5.0040509393531399E-3</v>
      </c>
      <c r="AE103">
        <v>5.1870282920539497</v>
      </c>
    </row>
    <row r="104" spans="1:31" x14ac:dyDescent="0.2">
      <c r="A104">
        <v>103</v>
      </c>
      <c r="B104">
        <v>753</v>
      </c>
      <c r="C104">
        <v>195</v>
      </c>
      <c r="D104">
        <v>0.38541197680651201</v>
      </c>
      <c r="E104">
        <v>49.005556143478202</v>
      </c>
      <c r="F104">
        <v>2.2052152933855398</v>
      </c>
      <c r="G104">
        <v>-797.33645987525222</v>
      </c>
      <c r="H104">
        <v>-669.23552543787025</v>
      </c>
      <c r="I104">
        <v>124.836460982684</v>
      </c>
      <c r="J104">
        <v>65.729377584134497</v>
      </c>
      <c r="K104">
        <v>22.222572231594899</v>
      </c>
      <c r="L104">
        <v>1.4448165913343125E-4</v>
      </c>
      <c r="M104">
        <v>1.738464156984737E-5</v>
      </c>
      <c r="N104" s="1">
        <v>1.4764956781634801E-6</v>
      </c>
      <c r="O104" s="1">
        <v>4.2538288145045001E-8</v>
      </c>
      <c r="P104" s="1">
        <v>-2.1927795126529299E-7</v>
      </c>
      <c r="Q104">
        <v>72.813647823492005</v>
      </c>
      <c r="R104">
        <v>0.12493720428845199</v>
      </c>
      <c r="S104">
        <v>12.1114518502932</v>
      </c>
      <c r="T104">
        <v>0.26808568504742503</v>
      </c>
      <c r="V104">
        <v>0.61703526676242104</v>
      </c>
      <c r="W104">
        <v>5.3055208523433997E-2</v>
      </c>
      <c r="X104">
        <v>0.11846991215335</v>
      </c>
      <c r="AA104">
        <v>0.49065208576383301</v>
      </c>
      <c r="AB104">
        <v>3.6269458583675598</v>
      </c>
      <c r="AC104">
        <v>4.5942580350436097</v>
      </c>
      <c r="AD104">
        <v>8.1623397728376006E-3</v>
      </c>
      <c r="AE104">
        <v>5.1732987304918003</v>
      </c>
    </row>
    <row r="105" spans="1:31" x14ac:dyDescent="0.2">
      <c r="A105">
        <v>104</v>
      </c>
      <c r="B105">
        <v>752</v>
      </c>
      <c r="C105">
        <v>195</v>
      </c>
      <c r="D105">
        <v>0.38474418377798603</v>
      </c>
      <c r="E105">
        <v>22.997608438275801</v>
      </c>
      <c r="F105">
        <v>2.20772366385747</v>
      </c>
      <c r="G105">
        <v>-374.1328958775054</v>
      </c>
      <c r="H105">
        <v>-314.15684146863344</v>
      </c>
      <c r="I105">
        <v>58.504662155657101</v>
      </c>
      <c r="J105">
        <v>30.859940124432899</v>
      </c>
      <c r="K105">
        <v>10.416887228582199</v>
      </c>
      <c r="L105">
        <v>1.4422139362806543E-4</v>
      </c>
      <c r="M105">
        <v>1.7358801926044635E-5</v>
      </c>
      <c r="N105" s="1">
        <v>6.9120296582065402E-7</v>
      </c>
      <c r="O105" s="1">
        <v>1.9879757865035099E-8</v>
      </c>
      <c r="P105" s="1">
        <v>-1.02329980741986E-7</v>
      </c>
      <c r="Q105">
        <v>72.642108266267996</v>
      </c>
      <c r="R105">
        <v>0.155726807029993</v>
      </c>
      <c r="S105">
        <v>12.269052126456</v>
      </c>
      <c r="T105">
        <v>0.252975989806899</v>
      </c>
      <c r="V105">
        <v>0.58436603231671602</v>
      </c>
      <c r="W105">
        <v>0.113055233850811</v>
      </c>
      <c r="X105">
        <v>0.17156029107749901</v>
      </c>
      <c r="AA105">
        <v>0.50401798202593595</v>
      </c>
      <c r="AB105">
        <v>3.5089456814242102</v>
      </c>
      <c r="AC105">
        <v>4.62602533813235</v>
      </c>
      <c r="AD105">
        <v>1.7393112900125001E-2</v>
      </c>
      <c r="AE105">
        <v>5.1547731387112901</v>
      </c>
    </row>
    <row r="106" spans="1:31" x14ac:dyDescent="0.2">
      <c r="A106">
        <v>105</v>
      </c>
      <c r="B106">
        <v>751</v>
      </c>
      <c r="C106">
        <v>195</v>
      </c>
      <c r="D106">
        <v>0.38407508665723</v>
      </c>
      <c r="E106">
        <v>12.6272790782612</v>
      </c>
      <c r="F106">
        <v>2.2102781057569101</v>
      </c>
      <c r="G106">
        <v>-205.36484385129759</v>
      </c>
      <c r="H106">
        <v>-172.50523774091459</v>
      </c>
      <c r="I106">
        <v>32.084759176275902</v>
      </c>
      <c r="J106">
        <v>16.950583993323999</v>
      </c>
      <c r="K106">
        <v>5.7129820203946702</v>
      </c>
      <c r="L106">
        <v>1.4417623281703739E-4</v>
      </c>
      <c r="M106">
        <v>1.7362344417197847E-5</v>
      </c>
      <c r="N106" s="1">
        <v>3.7950540392669898E-7</v>
      </c>
      <c r="O106" s="1">
        <v>1.08945699098238E-8</v>
      </c>
      <c r="P106" s="1">
        <v>-5.5967430397113E-8</v>
      </c>
      <c r="Q106">
        <v>72.392411037976601</v>
      </c>
      <c r="R106">
        <v>0.16651405515964199</v>
      </c>
      <c r="S106">
        <v>12.530734867366901</v>
      </c>
      <c r="T106">
        <v>0.24583240563786199</v>
      </c>
      <c r="V106">
        <v>0.57165074139443495</v>
      </c>
      <c r="W106">
        <v>0.204491362206845</v>
      </c>
      <c r="X106">
        <v>0.173591560163115</v>
      </c>
      <c r="AA106">
        <v>0.50769592176558698</v>
      </c>
      <c r="AB106">
        <v>3.3749677477959601</v>
      </c>
      <c r="AC106">
        <v>4.6516885337300904</v>
      </c>
      <c r="AD106">
        <v>3.1677449870273398E-2</v>
      </c>
      <c r="AE106">
        <v>5.1487443169326701</v>
      </c>
    </row>
    <row r="107" spans="1:31" x14ac:dyDescent="0.2">
      <c r="A107">
        <v>106</v>
      </c>
      <c r="B107">
        <v>750</v>
      </c>
      <c r="C107">
        <v>195</v>
      </c>
      <c r="D107">
        <v>0.38340468162048602</v>
      </c>
      <c r="E107">
        <v>8.7970964060430905</v>
      </c>
      <c r="F107">
        <v>2.2125412187181199</v>
      </c>
      <c r="G107">
        <v>-143.03015309073166</v>
      </c>
      <c r="H107">
        <v>-120.18270446703212</v>
      </c>
      <c r="I107">
        <v>22.330497604163099</v>
      </c>
      <c r="J107">
        <v>11.8139984464653</v>
      </c>
      <c r="K107">
        <v>3.9760146982209998</v>
      </c>
      <c r="L107">
        <v>1.4423466977412429E-4</v>
      </c>
      <c r="M107">
        <v>1.7374924624503884E-5</v>
      </c>
      <c r="N107" s="1">
        <v>2.6470836158646801E-7</v>
      </c>
      <c r="O107" s="1">
        <v>7.5841676552207305E-9</v>
      </c>
      <c r="P107" s="1">
        <v>-3.8895389721256099E-8</v>
      </c>
      <c r="Q107">
        <v>72.150176207027798</v>
      </c>
      <c r="R107">
        <v>0.165513974585627</v>
      </c>
      <c r="S107">
        <v>12.782178445661501</v>
      </c>
      <c r="T107">
        <v>0.24273534932169999</v>
      </c>
      <c r="V107">
        <v>0.56802723408650801</v>
      </c>
      <c r="W107">
        <v>0.290855555814236</v>
      </c>
      <c r="X107">
        <v>0.17306476962710499</v>
      </c>
      <c r="AA107">
        <v>0.50803256228968696</v>
      </c>
      <c r="AB107">
        <v>3.25965013956464</v>
      </c>
      <c r="AC107">
        <v>4.6652296028552502</v>
      </c>
      <c r="AD107">
        <v>4.54695483074153E-2</v>
      </c>
      <c r="AE107">
        <v>5.14906661085843</v>
      </c>
    </row>
    <row r="108" spans="1:31" x14ac:dyDescent="0.2">
      <c r="A108">
        <v>107</v>
      </c>
      <c r="B108">
        <v>765</v>
      </c>
      <c r="C108">
        <v>175</v>
      </c>
      <c r="D108">
        <v>0.41451668833983701</v>
      </c>
      <c r="E108">
        <v>104.038220545166</v>
      </c>
      <c r="F108">
        <v>2.1954062902873899</v>
      </c>
      <c r="G108">
        <v>-1700.4224662204927</v>
      </c>
      <c r="H108">
        <v>-1424.8828705707815</v>
      </c>
      <c r="I108">
        <v>265.41404965535901</v>
      </c>
      <c r="J108">
        <v>139.376537210625</v>
      </c>
      <c r="K108">
        <v>47.389050949446997</v>
      </c>
      <c r="L108">
        <v>1.4129616691702267E-4</v>
      </c>
      <c r="M108">
        <v>1.7463025911267481E-5</v>
      </c>
      <c r="N108" s="1">
        <v>2.9821915928321201E-6</v>
      </c>
      <c r="O108" s="1">
        <v>8.8972735434448801E-8</v>
      </c>
      <c r="P108" s="1">
        <v>-4.5246869570773002E-7</v>
      </c>
      <c r="Q108">
        <v>73.646011627775806</v>
      </c>
      <c r="R108">
        <v>7.5933632453569294E-2</v>
      </c>
      <c r="S108">
        <v>11.9955915572226</v>
      </c>
      <c r="T108">
        <v>0.184938338723935</v>
      </c>
      <c r="V108">
        <v>0.42952528335731299</v>
      </c>
      <c r="W108">
        <v>2.49908157442124E-2</v>
      </c>
      <c r="X108">
        <v>5.7671113255876101E-2</v>
      </c>
      <c r="AA108">
        <v>0.50942816709356498</v>
      </c>
      <c r="AB108">
        <v>3.8255171793063698</v>
      </c>
      <c r="AC108">
        <v>4.2868860853533501</v>
      </c>
      <c r="AD108">
        <v>3.8447408837249302E-3</v>
      </c>
      <c r="AE108">
        <v>4.9596614588296104</v>
      </c>
    </row>
    <row r="109" spans="1:31" x14ac:dyDescent="0.2">
      <c r="A109">
        <v>108</v>
      </c>
      <c r="B109">
        <v>764</v>
      </c>
      <c r="C109">
        <v>175</v>
      </c>
      <c r="D109">
        <v>0.41388468398978101</v>
      </c>
      <c r="E109">
        <v>103.712710560256</v>
      </c>
      <c r="F109">
        <v>2.19585417982077</v>
      </c>
      <c r="G109">
        <v>-1694.750215132269</v>
      </c>
      <c r="H109">
        <v>-1420.4756460226361</v>
      </c>
      <c r="I109">
        <v>264.45024259714802</v>
      </c>
      <c r="J109">
        <v>138.93560346007899</v>
      </c>
      <c r="K109">
        <v>47.231146545769903</v>
      </c>
      <c r="L109">
        <v>1.4128061669031839E-4</v>
      </c>
      <c r="M109">
        <v>1.7453016694288557E-5</v>
      </c>
      <c r="N109" s="1">
        <v>2.9757397368613498E-6</v>
      </c>
      <c r="O109" s="1">
        <v>8.8615029101470605E-8</v>
      </c>
      <c r="P109" s="1">
        <v>-4.5108993535313997E-7</v>
      </c>
      <c r="Q109">
        <v>73.617954867223602</v>
      </c>
      <c r="R109">
        <v>7.6171955754741005E-2</v>
      </c>
      <c r="S109">
        <v>12.009736575384499</v>
      </c>
      <c r="T109">
        <v>0.18584760113162799</v>
      </c>
      <c r="V109">
        <v>0.43057750443193699</v>
      </c>
      <c r="W109">
        <v>2.5069251261052899E-2</v>
      </c>
      <c r="X109">
        <v>5.7852118294743897E-2</v>
      </c>
      <c r="AA109">
        <v>0.50861987646541595</v>
      </c>
      <c r="AB109">
        <v>3.8272441346486401</v>
      </c>
      <c r="AC109">
        <v>4.2982931190391298</v>
      </c>
      <c r="AD109">
        <v>3.8568078863155E-3</v>
      </c>
      <c r="AE109">
        <v>4.9587761884781996</v>
      </c>
    </row>
    <row r="110" spans="1:31" x14ac:dyDescent="0.2">
      <c r="A110">
        <v>109</v>
      </c>
      <c r="B110">
        <v>763</v>
      </c>
      <c r="C110">
        <v>175</v>
      </c>
      <c r="D110">
        <v>0.41325145973073701</v>
      </c>
      <c r="E110">
        <v>101.512499294937</v>
      </c>
      <c r="F110">
        <v>2.1968007436158699</v>
      </c>
      <c r="G110">
        <v>-1657.9539171755425</v>
      </c>
      <c r="H110">
        <v>-1390.0426331640638</v>
      </c>
      <c r="I110">
        <v>258.56418859381199</v>
      </c>
      <c r="J110">
        <v>135.93973366083901</v>
      </c>
      <c r="K110">
        <v>46.2092429593093</v>
      </c>
      <c r="L110">
        <v>1.4102573795858158E-4</v>
      </c>
      <c r="M110">
        <v>1.7416048708959708E-5</v>
      </c>
      <c r="N110" s="1">
        <v>2.9067104462812002E-6</v>
      </c>
      <c r="O110" s="1">
        <v>8.6421874588354906E-8</v>
      </c>
      <c r="P110" s="1">
        <v>-4.4053107157338102E-7</v>
      </c>
      <c r="Q110">
        <v>73.588462316498706</v>
      </c>
      <c r="R110">
        <v>7.7822928751338005E-2</v>
      </c>
      <c r="S110">
        <v>12.012878211767999</v>
      </c>
      <c r="T110">
        <v>0.190230886525974</v>
      </c>
      <c r="V110">
        <v>0.43959037923217698</v>
      </c>
      <c r="W110">
        <v>2.5612609462464301E-2</v>
      </c>
      <c r="X110">
        <v>5.9106021836464101E-2</v>
      </c>
      <c r="AA110">
        <v>0.49460027197835299</v>
      </c>
      <c r="AB110">
        <v>3.7975617066980001</v>
      </c>
      <c r="AC110">
        <v>4.3671271295057199</v>
      </c>
      <c r="AD110">
        <v>3.9404014557632601E-3</v>
      </c>
      <c r="AE110">
        <v>4.9430671362869001</v>
      </c>
    </row>
    <row r="111" spans="1:31" x14ac:dyDescent="0.2">
      <c r="A111">
        <v>110</v>
      </c>
      <c r="B111">
        <v>762</v>
      </c>
      <c r="C111">
        <v>175</v>
      </c>
      <c r="D111">
        <v>0.41261701202724399</v>
      </c>
      <c r="E111">
        <v>99.212232203708595</v>
      </c>
      <c r="F111">
        <v>2.19779905284725</v>
      </c>
      <c r="G111">
        <v>-1619.5338262461569</v>
      </c>
      <c r="H111">
        <v>-1358.2350023460669</v>
      </c>
      <c r="I111">
        <v>252.426048302265</v>
      </c>
      <c r="J111">
        <v>132.81045033372999</v>
      </c>
      <c r="K111">
        <v>45.141630248306399</v>
      </c>
      <c r="L111">
        <v>1.4075631035512896E-4</v>
      </c>
      <c r="M111">
        <v>1.7377661456531448E-5</v>
      </c>
      <c r="N111" s="1">
        <v>2.83456606414792E-6</v>
      </c>
      <c r="O111" s="1">
        <v>8.4144334529000805E-8</v>
      </c>
      <c r="P111" s="1">
        <v>-4.2950482764855202E-7</v>
      </c>
      <c r="Q111">
        <v>73.558009872087993</v>
      </c>
      <c r="R111">
        <v>7.9627278053571698E-2</v>
      </c>
      <c r="S111">
        <v>12.0159291196374</v>
      </c>
      <c r="T111">
        <v>0.19499915718129299</v>
      </c>
      <c r="V111">
        <v>0.44946055283366698</v>
      </c>
      <c r="W111">
        <v>2.6206445941679798E-2</v>
      </c>
      <c r="X111">
        <v>6.0476413711580898E-2</v>
      </c>
      <c r="AA111">
        <v>0.48180777254317397</v>
      </c>
      <c r="AB111">
        <v>3.7649833446999801</v>
      </c>
      <c r="AC111">
        <v>4.43796360089598</v>
      </c>
      <c r="AD111">
        <v>4.03176091410384E-3</v>
      </c>
      <c r="AE111">
        <v>4.9265046814994298</v>
      </c>
    </row>
    <row r="112" spans="1:31" x14ac:dyDescent="0.2">
      <c r="A112">
        <v>111</v>
      </c>
      <c r="B112">
        <v>761</v>
      </c>
      <c r="C112">
        <v>175</v>
      </c>
      <c r="D112">
        <v>0.411981337330175</v>
      </c>
      <c r="E112">
        <v>96.762420041226903</v>
      </c>
      <c r="F112">
        <v>2.1988600004372101</v>
      </c>
      <c r="G112">
        <v>-1578.6806784183611</v>
      </c>
      <c r="H112">
        <v>-1324.3723739765999</v>
      </c>
      <c r="I112">
        <v>245.91046215903</v>
      </c>
      <c r="J112">
        <v>129.481644308515</v>
      </c>
      <c r="K112">
        <v>44.005721156411497</v>
      </c>
      <c r="L112">
        <v>1.4047105213375421E-4</v>
      </c>
      <c r="M112">
        <v>1.7337701720107731E-5</v>
      </c>
      <c r="N112" s="1">
        <v>2.7578927294245601E-6</v>
      </c>
      <c r="O112" s="1">
        <v>8.1740959884838E-8</v>
      </c>
      <c r="P112" s="1">
        <v>-4.1779691701137399E-7</v>
      </c>
      <c r="Q112">
        <v>73.526209991369399</v>
      </c>
      <c r="R112">
        <v>8.1643266018299104E-2</v>
      </c>
      <c r="S112">
        <v>12.018836822660401</v>
      </c>
      <c r="T112">
        <v>0.20029485957528501</v>
      </c>
      <c r="V112">
        <v>0.46051709920398698</v>
      </c>
      <c r="W112">
        <v>2.6869935651589599E-2</v>
      </c>
      <c r="X112">
        <v>6.2007543811375597E-2</v>
      </c>
      <c r="AA112">
        <v>0.470418846617569</v>
      </c>
      <c r="AB112">
        <v>3.7291072236528402</v>
      </c>
      <c r="AC112">
        <v>4.5109718720021803</v>
      </c>
      <c r="AD112">
        <v>4.1338362540897901E-3</v>
      </c>
      <c r="AE112">
        <v>4.9089887031828798</v>
      </c>
    </row>
    <row r="113" spans="1:31" x14ac:dyDescent="0.2">
      <c r="A113">
        <v>112</v>
      </c>
      <c r="B113">
        <v>760</v>
      </c>
      <c r="C113">
        <v>175</v>
      </c>
      <c r="D113">
        <v>0.41134443207665999</v>
      </c>
      <c r="E113">
        <v>94.063345026704297</v>
      </c>
      <c r="F113">
        <v>2.2000043467700401</v>
      </c>
      <c r="G113">
        <v>-1533.7636107035664</v>
      </c>
      <c r="H113">
        <v>-1287.083946953534</v>
      </c>
      <c r="I113">
        <v>238.76461670622101</v>
      </c>
      <c r="J113">
        <v>125.82010017253501</v>
      </c>
      <c r="K113">
        <v>42.755981443765798</v>
      </c>
      <c r="L113">
        <v>1.4016800061853688E-4</v>
      </c>
      <c r="M113">
        <v>1.7295925725782102E-5</v>
      </c>
      <c r="N113" s="1">
        <v>2.67383680775924E-6</v>
      </c>
      <c r="O113" s="1">
        <v>7.9127994524650206E-8</v>
      </c>
      <c r="P113" s="1">
        <v>-4.0497412117524601E-7</v>
      </c>
      <c r="Q113">
        <v>73.492278910671402</v>
      </c>
      <c r="R113">
        <v>8.3985956461122405E-2</v>
      </c>
      <c r="S113">
        <v>12.0215169914642</v>
      </c>
      <c r="T113">
        <v>0.20639845468328799</v>
      </c>
      <c r="V113">
        <v>0.47341068894612098</v>
      </c>
      <c r="W113">
        <v>2.76409476960628E-2</v>
      </c>
      <c r="X113">
        <v>6.3786802375546403E-2</v>
      </c>
      <c r="AA113">
        <v>0.46080629731765099</v>
      </c>
      <c r="AB113">
        <v>3.6892060017092998</v>
      </c>
      <c r="AC113">
        <v>4.5863627394617197</v>
      </c>
      <c r="AD113">
        <v>4.2524534917010998E-3</v>
      </c>
      <c r="AE113">
        <v>4.8903537557217902</v>
      </c>
    </row>
    <row r="114" spans="1:31" x14ac:dyDescent="0.2">
      <c r="A114">
        <v>113</v>
      </c>
      <c r="B114">
        <v>759</v>
      </c>
      <c r="C114">
        <v>175</v>
      </c>
      <c r="D114">
        <v>0.41070629269001901</v>
      </c>
      <c r="E114">
        <v>88.096121052301598</v>
      </c>
      <c r="F114">
        <v>2.2015599506922001</v>
      </c>
      <c r="G114">
        <v>-1435.4215453773577</v>
      </c>
      <c r="H114">
        <v>-1204.8902521447337</v>
      </c>
      <c r="I114">
        <v>223.35057233214499</v>
      </c>
      <c r="J114">
        <v>117.797354676433</v>
      </c>
      <c r="K114">
        <v>40.0153177861919</v>
      </c>
      <c r="L114">
        <v>1.3990740022781024E-4</v>
      </c>
      <c r="M114">
        <v>1.725641692154467E-5</v>
      </c>
      <c r="N114" s="1">
        <v>2.4977718200958802E-6</v>
      </c>
      <c r="O114" s="1">
        <v>7.3802759891013004E-8</v>
      </c>
      <c r="P114" s="1">
        <v>-3.78161457599384E-7</v>
      </c>
      <c r="Q114">
        <v>73.434468733110606</v>
      </c>
      <c r="R114">
        <v>8.96747768872906E-2</v>
      </c>
      <c r="S114">
        <v>12.0223726375072</v>
      </c>
      <c r="T114">
        <v>0.220630884701976</v>
      </c>
      <c r="V114">
        <v>0.50525063048180796</v>
      </c>
      <c r="W114">
        <v>2.9513217709732399E-2</v>
      </c>
      <c r="X114">
        <v>6.8107425484050493E-2</v>
      </c>
      <c r="AA114">
        <v>0.45766533962344202</v>
      </c>
      <c r="AB114">
        <v>3.64430930942265</v>
      </c>
      <c r="AC114">
        <v>4.6512481181176604</v>
      </c>
      <c r="AD114">
        <v>4.5404950322645099E-3</v>
      </c>
      <c r="AE114">
        <v>4.8722184319211896</v>
      </c>
    </row>
    <row r="115" spans="1:31" x14ac:dyDescent="0.2">
      <c r="A115">
        <v>114</v>
      </c>
      <c r="B115">
        <v>758</v>
      </c>
      <c r="C115">
        <v>175</v>
      </c>
      <c r="D115">
        <v>0.41006691557969399</v>
      </c>
      <c r="E115">
        <v>71.316828200568594</v>
      </c>
      <c r="F115">
        <v>2.2046459058269501</v>
      </c>
      <c r="G115">
        <v>-1160.4858328640148</v>
      </c>
      <c r="H115">
        <v>-974.19017833906128</v>
      </c>
      <c r="I115">
        <v>180.66785096732099</v>
      </c>
      <c r="J115">
        <v>95.362638293494598</v>
      </c>
      <c r="K115">
        <v>32.348427478569597</v>
      </c>
      <c r="L115">
        <v>1.4001644474494966E-4</v>
      </c>
      <c r="M115">
        <v>1.7243209572247869E-5</v>
      </c>
      <c r="N115" s="1">
        <v>2.0215627009608099E-6</v>
      </c>
      <c r="O115" s="1">
        <v>5.9624240583883702E-8</v>
      </c>
      <c r="P115" s="1">
        <v>-3.0570506288674199E-7</v>
      </c>
      <c r="Q115">
        <v>73.266464193829805</v>
      </c>
      <c r="R115">
        <v>0.110773294316782</v>
      </c>
      <c r="S115">
        <v>12.0139440090972</v>
      </c>
      <c r="T115">
        <v>0.27215194326456699</v>
      </c>
      <c r="V115">
        <v>0.62447471601075599</v>
      </c>
      <c r="W115">
        <v>3.64570335725991E-2</v>
      </c>
      <c r="X115">
        <v>8.4131615936844803E-2</v>
      </c>
      <c r="AA115">
        <v>0.47196100829791998</v>
      </c>
      <c r="AB115">
        <v>3.6064716116344302</v>
      </c>
      <c r="AC115">
        <v>4.6420165817324701</v>
      </c>
      <c r="AD115">
        <v>5.6087743957799804E-3</v>
      </c>
      <c r="AE115">
        <v>4.8655452179107899</v>
      </c>
    </row>
    <row r="116" spans="1:31" x14ac:dyDescent="0.2">
      <c r="A116">
        <v>115</v>
      </c>
      <c r="B116">
        <v>757</v>
      </c>
      <c r="C116">
        <v>175</v>
      </c>
      <c r="D116">
        <v>0.40942629714119499</v>
      </c>
      <c r="E116">
        <v>36.146687607876501</v>
      </c>
      <c r="F116">
        <v>2.2071561261887802</v>
      </c>
      <c r="G116">
        <v>-588.06355331377756</v>
      </c>
      <c r="H116">
        <v>-493.8655185039716</v>
      </c>
      <c r="I116">
        <v>91.441086064947697</v>
      </c>
      <c r="J116">
        <v>48.354822240996498</v>
      </c>
      <c r="K116">
        <v>16.377041559942899</v>
      </c>
      <c r="L116">
        <v>1.3967821543031612E-4</v>
      </c>
      <c r="M116">
        <v>1.7203067496881325E-5</v>
      </c>
      <c r="N116" s="1">
        <v>1.0210668917054801E-6</v>
      </c>
      <c r="O116" s="1">
        <v>3.0067130486437597E-8</v>
      </c>
      <c r="P116" s="1">
        <v>-1.5402396012193001E-7</v>
      </c>
      <c r="Q116">
        <v>73.137198014966003</v>
      </c>
      <c r="R116">
        <v>0.13768987306289501</v>
      </c>
      <c r="S116">
        <v>12.0991291496378</v>
      </c>
      <c r="T116">
        <v>0.263050037650776</v>
      </c>
      <c r="V116">
        <v>0.60476910050617205</v>
      </c>
      <c r="W116">
        <v>7.1929135753856802E-2</v>
      </c>
      <c r="X116">
        <v>0.15588717653419701</v>
      </c>
      <c r="AA116">
        <v>0.50003231375524304</v>
      </c>
      <c r="AB116">
        <v>3.4968942868883901</v>
      </c>
      <c r="AC116">
        <v>4.6792027809656904</v>
      </c>
      <c r="AD116">
        <v>1.10660208851959E-2</v>
      </c>
      <c r="AE116">
        <v>4.8431521093936203</v>
      </c>
    </row>
    <row r="117" spans="1:31" x14ac:dyDescent="0.2">
      <c r="A117">
        <v>116</v>
      </c>
      <c r="B117">
        <v>756</v>
      </c>
      <c r="C117">
        <v>175</v>
      </c>
      <c r="D117">
        <v>0.40878443375601398</v>
      </c>
      <c r="E117">
        <v>18.281091665927399</v>
      </c>
      <c r="F117">
        <v>2.2096978318832599</v>
      </c>
      <c r="G117">
        <v>-297.35498650688197</v>
      </c>
      <c r="H117">
        <v>-249.82682899862587</v>
      </c>
      <c r="I117">
        <v>46.181953561925901</v>
      </c>
      <c r="J117">
        <v>24.463292291383699</v>
      </c>
      <c r="K117">
        <v>8.2731183432202506</v>
      </c>
      <c r="L117">
        <v>1.3944738340122999E-4</v>
      </c>
      <c r="M117">
        <v>1.7183525561557305E-5</v>
      </c>
      <c r="N117" s="1">
        <v>5.1525673740549695E-7</v>
      </c>
      <c r="O117" s="1">
        <v>1.5147096886439899E-8</v>
      </c>
      <c r="P117" s="1">
        <v>-7.74532667968081E-8</v>
      </c>
      <c r="Q117">
        <v>72.940399634315099</v>
      </c>
      <c r="R117">
        <v>0.17053203962949801</v>
      </c>
      <c r="S117">
        <v>12.294857976429499</v>
      </c>
      <c r="T117">
        <v>0.248611578722085</v>
      </c>
      <c r="V117">
        <v>0.57415803007529498</v>
      </c>
      <c r="W117">
        <v>0.14222345402078701</v>
      </c>
      <c r="X117">
        <v>0.1818675903034</v>
      </c>
      <c r="AA117">
        <v>0.51313682526628301</v>
      </c>
      <c r="AB117">
        <v>3.3673187108094198</v>
      </c>
      <c r="AC117">
        <v>4.7180876556573503</v>
      </c>
      <c r="AD117">
        <v>2.18805313877793E-2</v>
      </c>
      <c r="AE117">
        <v>4.8269259733833696</v>
      </c>
    </row>
    <row r="118" spans="1:31" x14ac:dyDescent="0.2">
      <c r="A118">
        <v>117</v>
      </c>
      <c r="B118">
        <v>755</v>
      </c>
      <c r="C118">
        <v>175</v>
      </c>
      <c r="D118">
        <v>0.40814132179156798</v>
      </c>
      <c r="E118">
        <v>11.2844760494336</v>
      </c>
      <c r="F118">
        <v>2.2121004989004498</v>
      </c>
      <c r="G118">
        <v>-183.49614002737985</v>
      </c>
      <c r="H118">
        <v>-154.2198175035565</v>
      </c>
      <c r="I118">
        <v>28.474758083765298</v>
      </c>
      <c r="J118">
        <v>15.1061447160354</v>
      </c>
      <c r="K118">
        <v>5.1012492674011503</v>
      </c>
      <c r="L118">
        <v>1.3941985508890141E-4</v>
      </c>
      <c r="M118">
        <v>1.7188399711597709E-5</v>
      </c>
      <c r="N118" s="1">
        <v>3.1813101873936801E-7</v>
      </c>
      <c r="O118" s="1">
        <v>9.33468248769057E-9</v>
      </c>
      <c r="P118" s="1">
        <v>-4.7639406862067098E-8</v>
      </c>
      <c r="Q118">
        <v>72.700836669978301</v>
      </c>
      <c r="R118">
        <v>0.17811228918901101</v>
      </c>
      <c r="S118">
        <v>12.544473331188801</v>
      </c>
      <c r="T118">
        <v>0.24281118936880899</v>
      </c>
      <c r="V118">
        <v>0.56431235320821505</v>
      </c>
      <c r="W118">
        <v>0.22882834441206101</v>
      </c>
      <c r="X118">
        <v>0.183126912964587</v>
      </c>
      <c r="AA118">
        <v>0.516273677218136</v>
      </c>
      <c r="AB118">
        <v>3.2419376027606801</v>
      </c>
      <c r="AC118">
        <v>4.7412441956451197</v>
      </c>
      <c r="AD118">
        <v>3.5446927110015701E-2</v>
      </c>
      <c r="AE118">
        <v>4.8225965069561001</v>
      </c>
    </row>
    <row r="119" spans="1:31" x14ac:dyDescent="0.2">
      <c r="A119">
        <v>118</v>
      </c>
      <c r="B119">
        <v>754</v>
      </c>
      <c r="C119">
        <v>175</v>
      </c>
      <c r="D119">
        <v>0.40749695760112897</v>
      </c>
      <c r="E119">
        <v>8.2438545080366197</v>
      </c>
      <c r="F119">
        <v>2.2142502555309398</v>
      </c>
      <c r="G119">
        <v>-134.01453384414089</v>
      </c>
      <c r="H119">
        <v>-112.6682538962127</v>
      </c>
      <c r="I119">
        <v>20.782047362048498</v>
      </c>
      <c r="J119">
        <v>11.0401807046931</v>
      </c>
      <c r="K119">
        <v>3.7230906883467201</v>
      </c>
      <c r="L119">
        <v>1.3946856594915507E-4</v>
      </c>
      <c r="M119">
        <v>1.7200049513071453E-5</v>
      </c>
      <c r="N119" s="1">
        <v>2.3268909972951201E-7</v>
      </c>
      <c r="O119" s="1">
        <v>6.8143767273561003E-9</v>
      </c>
      <c r="P119" s="1">
        <v>-3.47185155768795E-8</v>
      </c>
      <c r="Q119">
        <v>72.470442420086101</v>
      </c>
      <c r="R119">
        <v>0.17702215798898699</v>
      </c>
      <c r="S119">
        <v>12.7837511136812</v>
      </c>
      <c r="T119">
        <v>0.23982611168308801</v>
      </c>
      <c r="V119">
        <v>0.56069678462141603</v>
      </c>
      <c r="W119">
        <v>0.31050892660139301</v>
      </c>
      <c r="X119">
        <v>0.18258858433837399</v>
      </c>
      <c r="AA119">
        <v>0.51644449718937901</v>
      </c>
      <c r="AB119">
        <v>3.1331326418528702</v>
      </c>
      <c r="AC119">
        <v>4.7541484797085403</v>
      </c>
      <c r="AD119">
        <v>4.8520992165623798E-2</v>
      </c>
      <c r="AE119">
        <v>4.8229172900828701</v>
      </c>
    </row>
    <row r="120" spans="1:31" x14ac:dyDescent="0.2">
      <c r="A120">
        <v>119</v>
      </c>
      <c r="B120">
        <v>773</v>
      </c>
      <c r="C120">
        <v>155</v>
      </c>
      <c r="D120">
        <v>0.440558715289395</v>
      </c>
      <c r="E120">
        <v>103.699643390961</v>
      </c>
      <c r="F120">
        <v>2.1958298070535598</v>
      </c>
      <c r="G120">
        <v>-1696.0332935392239</v>
      </c>
      <c r="H120">
        <v>-1420.3327552745652</v>
      </c>
      <c r="I120">
        <v>263.538248114189</v>
      </c>
      <c r="J120">
        <v>138.67431840383401</v>
      </c>
      <c r="K120">
        <v>47.225719888605198</v>
      </c>
      <c r="L120">
        <v>1.3693766248485097E-4</v>
      </c>
      <c r="M120">
        <v>1.7302138261854946E-5</v>
      </c>
      <c r="N120" s="1">
        <v>2.7778812901719699E-6</v>
      </c>
      <c r="O120" s="1">
        <v>8.5294503533505099E-8</v>
      </c>
      <c r="P120" s="1">
        <v>-4.3019133122053199E-7</v>
      </c>
      <c r="Q120">
        <v>73.886464306490396</v>
      </c>
      <c r="R120">
        <v>7.6181554166160098E-2</v>
      </c>
      <c r="S120">
        <v>12.034756911312799</v>
      </c>
      <c r="T120">
        <v>0.18511779256601099</v>
      </c>
      <c r="V120">
        <v>0.43130952352058499</v>
      </c>
      <c r="W120">
        <v>2.5072410231900599E-2</v>
      </c>
      <c r="X120">
        <v>5.7859408227464E-2</v>
      </c>
      <c r="AA120">
        <v>0.51109143934259205</v>
      </c>
      <c r="AB120">
        <v>3.8380074124217098</v>
      </c>
      <c r="AC120">
        <v>4.3008826782413996</v>
      </c>
      <c r="AD120">
        <v>3.8572938818308101E-3</v>
      </c>
      <c r="AE120">
        <v>4.6493992695970201</v>
      </c>
    </row>
    <row r="121" spans="1:31" x14ac:dyDescent="0.2">
      <c r="A121">
        <v>120</v>
      </c>
      <c r="B121">
        <v>772</v>
      </c>
      <c r="C121">
        <v>155</v>
      </c>
      <c r="D121">
        <v>0.43995646557910401</v>
      </c>
      <c r="E121">
        <v>103.57408446045</v>
      </c>
      <c r="F121">
        <v>2.19613872520353</v>
      </c>
      <c r="G121">
        <v>-1693.681403746205</v>
      </c>
      <c r="H121">
        <v>-1418.742440772879</v>
      </c>
      <c r="I121">
        <v>263.06172604250702</v>
      </c>
      <c r="J121">
        <v>138.48182435248199</v>
      </c>
      <c r="K121">
        <v>47.161904333184303</v>
      </c>
      <c r="L121">
        <v>1.3684165919655594E-4</v>
      </c>
      <c r="M121">
        <v>1.7292360492158236E-5</v>
      </c>
      <c r="N121" s="1">
        <v>2.7765211832087702E-6</v>
      </c>
      <c r="O121" s="1">
        <v>8.5096788165659603E-8</v>
      </c>
      <c r="P121" s="1">
        <v>-4.2933377955666099E-7</v>
      </c>
      <c r="Q121">
        <v>73.901537567277302</v>
      </c>
      <c r="R121">
        <v>7.6273906172124095E-2</v>
      </c>
      <c r="S121">
        <v>12.0252881710515</v>
      </c>
      <c r="T121">
        <v>0.185601857640392</v>
      </c>
      <c r="V121">
        <v>0.43159874433122603</v>
      </c>
      <c r="W121">
        <v>2.5102804562977001E-2</v>
      </c>
      <c r="X121">
        <v>5.7929548991488403E-2</v>
      </c>
      <c r="AA121">
        <v>0.50924564258792204</v>
      </c>
      <c r="AB121">
        <v>3.8321195556139598</v>
      </c>
      <c r="AC121">
        <v>4.3040311566525098</v>
      </c>
      <c r="AD121">
        <v>3.8619699327655499E-3</v>
      </c>
      <c r="AE121">
        <v>4.6474090751857604</v>
      </c>
    </row>
    <row r="122" spans="1:31" x14ac:dyDescent="0.2">
      <c r="A122">
        <v>121</v>
      </c>
      <c r="B122">
        <v>771</v>
      </c>
      <c r="C122">
        <v>155</v>
      </c>
      <c r="D122">
        <v>0.43935306229947801</v>
      </c>
      <c r="E122">
        <v>103.135687108643</v>
      </c>
      <c r="F122">
        <v>2.19646206978461</v>
      </c>
      <c r="G122">
        <v>-1686.1301993788495</v>
      </c>
      <c r="H122">
        <v>-1412.8437380619978</v>
      </c>
      <c r="I122">
        <v>261.73103607417698</v>
      </c>
      <c r="J122">
        <v>137.84213123715301</v>
      </c>
      <c r="K122">
        <v>46.955369058003903</v>
      </c>
      <c r="L122">
        <v>1.3661016660379872E-4</v>
      </c>
      <c r="M122">
        <v>1.7275386613854578E-5</v>
      </c>
      <c r="N122" s="1">
        <v>2.7639402203963599E-6</v>
      </c>
      <c r="O122" s="1">
        <v>8.4563850256699503E-8</v>
      </c>
      <c r="P122" s="1">
        <v>-4.2658107915153001E-7</v>
      </c>
      <c r="Q122">
        <v>73.954116349588006</v>
      </c>
      <c r="R122">
        <v>7.6598122545866704E-2</v>
      </c>
      <c r="S122">
        <v>11.9921878953906</v>
      </c>
      <c r="T122">
        <v>0.186602222978976</v>
      </c>
      <c r="V122">
        <v>0.43324308751722002</v>
      </c>
      <c r="W122">
        <v>2.5209508685980701E-2</v>
      </c>
      <c r="X122">
        <v>5.8175789275344301E-2</v>
      </c>
      <c r="AA122">
        <v>0.50296114016874105</v>
      </c>
      <c r="AB122">
        <v>3.8114317039554599</v>
      </c>
      <c r="AC122">
        <v>4.3149132895684499</v>
      </c>
      <c r="AD122">
        <v>3.87838595168915E-3</v>
      </c>
      <c r="AE122">
        <v>4.64068250437359</v>
      </c>
    </row>
    <row r="123" spans="1:31" x14ac:dyDescent="0.2">
      <c r="A123">
        <v>122</v>
      </c>
      <c r="B123">
        <v>770</v>
      </c>
      <c r="C123">
        <v>155</v>
      </c>
      <c r="D123">
        <v>0.43874850213296301</v>
      </c>
      <c r="E123">
        <v>102.696539789946</v>
      </c>
      <c r="F123">
        <v>2.1967870971221202</v>
      </c>
      <c r="G123">
        <v>-1678.5706374327713</v>
      </c>
      <c r="H123">
        <v>-1406.9347259908668</v>
      </c>
      <c r="I123">
        <v>260.399665860043</v>
      </c>
      <c r="J123">
        <v>137.20177616846701</v>
      </c>
      <c r="K123">
        <v>46.748517379987497</v>
      </c>
      <c r="L123">
        <v>1.3637741598753066E-4</v>
      </c>
      <c r="M123">
        <v>1.7258398942852589E-5</v>
      </c>
      <c r="N123" s="1">
        <v>2.7513155307043998E-6</v>
      </c>
      <c r="O123" s="1">
        <v>8.4031306394585102E-8</v>
      </c>
      <c r="P123" s="1">
        <v>-4.2382584794828099E-7</v>
      </c>
      <c r="Q123">
        <v>74.006891583338501</v>
      </c>
      <c r="R123">
        <v>7.6925668733909006E-2</v>
      </c>
      <c r="S123">
        <v>11.9590174223523</v>
      </c>
      <c r="T123">
        <v>0.187612395970921</v>
      </c>
      <c r="V123">
        <v>0.43490473838855997</v>
      </c>
      <c r="W123">
        <v>2.5317308697234999E-2</v>
      </c>
      <c r="X123">
        <v>5.84245585320858E-2</v>
      </c>
      <c r="AA123">
        <v>0.49691480635829899</v>
      </c>
      <c r="AB123">
        <v>3.7905360572078299</v>
      </c>
      <c r="AC123">
        <v>4.32564080411401</v>
      </c>
      <c r="AD123">
        <v>3.8949705688051299E-3</v>
      </c>
      <c r="AE123">
        <v>4.6339196857374798</v>
      </c>
    </row>
    <row r="124" spans="1:31" x14ac:dyDescent="0.2">
      <c r="A124">
        <v>123</v>
      </c>
      <c r="B124">
        <v>769</v>
      </c>
      <c r="C124">
        <v>155</v>
      </c>
      <c r="D124">
        <v>0.43814278174927401</v>
      </c>
      <c r="E124">
        <v>100.983222612783</v>
      </c>
      <c r="F124">
        <v>2.1975412694698702</v>
      </c>
      <c r="G124">
        <v>-1649.8628419249751</v>
      </c>
      <c r="H124">
        <v>-1383.2756558336559</v>
      </c>
      <c r="I124">
        <v>255.80500512528801</v>
      </c>
      <c r="J124">
        <v>134.86535830598601</v>
      </c>
      <c r="K124">
        <v>45.952821917717301</v>
      </c>
      <c r="L124">
        <v>1.3614916123761602E-4</v>
      </c>
      <c r="M124">
        <v>1.7228350599078593E-5</v>
      </c>
      <c r="N124" s="1">
        <v>2.7014308902326801E-6</v>
      </c>
      <c r="O124" s="1">
        <v>8.2374461525102801E-8</v>
      </c>
      <c r="P124" s="1">
        <v>-4.1587892857234997E-7</v>
      </c>
      <c r="Q124">
        <v>73.998327361899698</v>
      </c>
      <c r="R124">
        <v>7.8230816917899598E-2</v>
      </c>
      <c r="S124">
        <v>11.9525547531423</v>
      </c>
      <c r="T124">
        <v>0.19110697420102299</v>
      </c>
      <c r="V124">
        <v>0.44200321353139199</v>
      </c>
      <c r="W124">
        <v>2.5746851137534801E-2</v>
      </c>
      <c r="X124">
        <v>5.94158103173986E-2</v>
      </c>
      <c r="AA124">
        <v>0.486032558390883</v>
      </c>
      <c r="AB124">
        <v>3.7626494507529902</v>
      </c>
      <c r="AC124">
        <v>4.3781742602984997</v>
      </c>
      <c r="AD124">
        <v>3.9610540211585899E-3</v>
      </c>
      <c r="AE124">
        <v>4.6217968953891004</v>
      </c>
    </row>
    <row r="125" spans="1:31" x14ac:dyDescent="0.2">
      <c r="A125">
        <v>124</v>
      </c>
      <c r="B125">
        <v>768</v>
      </c>
      <c r="C125">
        <v>155</v>
      </c>
      <c r="D125">
        <v>0.43753589780531399</v>
      </c>
      <c r="E125">
        <v>98.723657579612507</v>
      </c>
      <c r="F125">
        <v>2.198493080754</v>
      </c>
      <c r="G125">
        <v>-1612.1185193124309</v>
      </c>
      <c r="H125">
        <v>-1352.0222233757672</v>
      </c>
      <c r="I125">
        <v>249.81635301028999</v>
      </c>
      <c r="J125">
        <v>131.80204330728299</v>
      </c>
      <c r="K125">
        <v>44.905148187118101</v>
      </c>
      <c r="L125">
        <v>1.3591255190836338E-4</v>
      </c>
      <c r="M125">
        <v>1.71924677528341E-5</v>
      </c>
      <c r="N125" s="1">
        <v>2.6356104183454799E-6</v>
      </c>
      <c r="O125" s="1">
        <v>8.0242207058065003E-8</v>
      </c>
      <c r="P125" s="1">
        <v>-4.0568047219282502E-7</v>
      </c>
      <c r="Q125">
        <v>73.966291214239604</v>
      </c>
      <c r="R125">
        <v>8.0021346389334905E-2</v>
      </c>
      <c r="S125">
        <v>11.9558719513408</v>
      </c>
      <c r="T125">
        <v>0.19583071972607699</v>
      </c>
      <c r="V125">
        <v>0.45180499190382001</v>
      </c>
      <c r="W125">
        <v>2.6336139318006501E-2</v>
      </c>
      <c r="X125">
        <v>6.0775706118490903E-2</v>
      </c>
      <c r="AA125">
        <v>0.47433751006599401</v>
      </c>
      <c r="AB125">
        <v>3.7299629088146502</v>
      </c>
      <c r="AC125">
        <v>4.4476005506359</v>
      </c>
      <c r="AD125">
        <v>4.0517137412311799E-3</v>
      </c>
      <c r="AE125">
        <v>4.60711524770604</v>
      </c>
    </row>
    <row r="126" spans="1:31" x14ac:dyDescent="0.2">
      <c r="A126">
        <v>125</v>
      </c>
      <c r="B126">
        <v>767</v>
      </c>
      <c r="C126">
        <v>155</v>
      </c>
      <c r="D126">
        <v>0.43692784694515202</v>
      </c>
      <c r="E126">
        <v>96.335074346618299</v>
      </c>
      <c r="F126">
        <v>2.1994999043329</v>
      </c>
      <c r="G126">
        <v>-1572.277854599696</v>
      </c>
      <c r="H126">
        <v>-1318.9959870529071</v>
      </c>
      <c r="I126">
        <v>243.50513632340301</v>
      </c>
      <c r="J126">
        <v>128.56732467730899</v>
      </c>
      <c r="K126">
        <v>43.798626295387798</v>
      </c>
      <c r="L126">
        <v>1.3566334532349246E-4</v>
      </c>
      <c r="M126">
        <v>1.7155283748997877E-5</v>
      </c>
      <c r="N126" s="1">
        <v>2.5661583416978798E-6</v>
      </c>
      <c r="O126" s="1">
        <v>7.8007231533003895E-8</v>
      </c>
      <c r="P126" s="1">
        <v>-3.9492619546667102E-7</v>
      </c>
      <c r="Q126">
        <v>73.932873694407903</v>
      </c>
      <c r="R126">
        <v>8.2005438347155998E-2</v>
      </c>
      <c r="S126">
        <v>11.959110118519099</v>
      </c>
      <c r="T126">
        <v>0.20103721643853301</v>
      </c>
      <c r="V126">
        <v>0.46269148343653499</v>
      </c>
      <c r="W126">
        <v>2.69891316079219E-2</v>
      </c>
      <c r="X126">
        <v>6.2282611402913197E-2</v>
      </c>
      <c r="AA126">
        <v>0.46395504203400101</v>
      </c>
      <c r="AB126">
        <v>3.6943548766835499</v>
      </c>
      <c r="AC126">
        <v>4.5188688186792403</v>
      </c>
      <c r="AD126">
        <v>4.1521740935260096E-3</v>
      </c>
      <c r="AE126">
        <v>4.59167939434945</v>
      </c>
    </row>
    <row r="127" spans="1:31" x14ac:dyDescent="0.2">
      <c r="A127">
        <v>126</v>
      </c>
      <c r="B127">
        <v>766</v>
      </c>
      <c r="C127">
        <v>155</v>
      </c>
      <c r="D127">
        <v>0.43631862579993802</v>
      </c>
      <c r="E127">
        <v>93.741933612882804</v>
      </c>
      <c r="F127">
        <v>2.2005774643211402</v>
      </c>
      <c r="G127">
        <v>-1529.1055425632571</v>
      </c>
      <c r="H127">
        <v>-1283.1583233256013</v>
      </c>
      <c r="I127">
        <v>236.68115213169901</v>
      </c>
      <c r="J127">
        <v>125.06061127515299</v>
      </c>
      <c r="K127">
        <v>42.598788332952999</v>
      </c>
      <c r="L127">
        <v>1.354004220855689E-4</v>
      </c>
      <c r="M127">
        <v>1.7116642310260724E-5</v>
      </c>
      <c r="N127" s="1">
        <v>2.4910647164358798E-6</v>
      </c>
      <c r="O127" s="1">
        <v>7.5609059095151196E-8</v>
      </c>
      <c r="P127" s="1">
        <v>-3.8330592788272602E-7</v>
      </c>
      <c r="Q127">
        <v>73.897432922706997</v>
      </c>
      <c r="R127">
        <v>8.4273917717808206E-2</v>
      </c>
      <c r="S127">
        <v>11.96221146413</v>
      </c>
      <c r="T127">
        <v>0.20694785236997101</v>
      </c>
      <c r="V127">
        <v>0.47517628396105599</v>
      </c>
      <c r="W127">
        <v>2.7735719755224798E-2</v>
      </c>
      <c r="X127">
        <v>6.4005507127460406E-2</v>
      </c>
      <c r="AA127">
        <v>0.45517408033082302</v>
      </c>
      <c r="AB127">
        <v>3.6552968206631502</v>
      </c>
      <c r="AC127">
        <v>4.5920932467224</v>
      </c>
      <c r="AD127">
        <v>4.26703380849536E-3</v>
      </c>
      <c r="AE127">
        <v>4.5753851507064001</v>
      </c>
    </row>
    <row r="128" spans="1:31" x14ac:dyDescent="0.2">
      <c r="A128">
        <v>127</v>
      </c>
      <c r="B128">
        <v>765</v>
      </c>
      <c r="C128">
        <v>155</v>
      </c>
      <c r="D128">
        <v>0.43570823098781702</v>
      </c>
      <c r="E128">
        <v>90.774745913453401</v>
      </c>
      <c r="F128">
        <v>2.20175939438167</v>
      </c>
      <c r="G128">
        <v>-1479.8298211945316</v>
      </c>
      <c r="H128">
        <v>-1242.1791393737346</v>
      </c>
      <c r="I128">
        <v>228.917479960311</v>
      </c>
      <c r="J128">
        <v>121.056228493231</v>
      </c>
      <c r="K128">
        <v>41.2282768703462</v>
      </c>
      <c r="L128">
        <v>1.3512225143668893E-4</v>
      </c>
      <c r="M128">
        <v>1.7076297778381838E-5</v>
      </c>
      <c r="N128" s="1">
        <v>2.4058214460926599E-6</v>
      </c>
      <c r="O128" s="1">
        <v>7.2911903413607899E-8</v>
      </c>
      <c r="P128" s="1">
        <v>-3.7012302435284999E-7</v>
      </c>
      <c r="Q128">
        <v>73.858510439635197</v>
      </c>
      <c r="R128">
        <v>8.7028610441195003E-2</v>
      </c>
      <c r="S128">
        <v>11.9650839954724</v>
      </c>
      <c r="T128">
        <v>0.21405326643314701</v>
      </c>
      <c r="V128">
        <v>0.49040186159535099</v>
      </c>
      <c r="W128">
        <v>2.86423274869715E-2</v>
      </c>
      <c r="X128">
        <v>6.6097678816111505E-2</v>
      </c>
      <c r="AA128">
        <v>0.44867313721111202</v>
      </c>
      <c r="AB128">
        <v>3.6117416280688501</v>
      </c>
      <c r="AC128">
        <v>4.6673063584654697</v>
      </c>
      <c r="AD128">
        <v>4.40651192107149E-3</v>
      </c>
      <c r="AE128">
        <v>4.55805418445299</v>
      </c>
    </row>
    <row r="129" spans="1:31" x14ac:dyDescent="0.2">
      <c r="A129">
        <v>128</v>
      </c>
      <c r="B129">
        <v>764</v>
      </c>
      <c r="C129">
        <v>155</v>
      </c>
      <c r="D129">
        <v>0.43509665911391998</v>
      </c>
      <c r="E129">
        <v>81.147718597996004</v>
      </c>
      <c r="F129">
        <v>2.20379892838206</v>
      </c>
      <c r="G129">
        <v>-1321.6907355811422</v>
      </c>
      <c r="H129">
        <v>-1109.6783664408422</v>
      </c>
      <c r="I129">
        <v>204.41823182789301</v>
      </c>
      <c r="J129">
        <v>108.192887511029</v>
      </c>
      <c r="K129">
        <v>36.821743378181601</v>
      </c>
      <c r="L129">
        <v>1.3497684596269102E-4</v>
      </c>
      <c r="M129">
        <v>1.704491040361575E-5</v>
      </c>
      <c r="N129" s="1">
        <v>2.14645094187205E-6</v>
      </c>
      <c r="O129" s="1">
        <v>6.4947500271534999E-8</v>
      </c>
      <c r="P129" s="1">
        <v>-3.3001357127947102E-7</v>
      </c>
      <c r="Q129">
        <v>73.765322238040497</v>
      </c>
      <c r="R129">
        <v>9.7353322268210807E-2</v>
      </c>
      <c r="S129">
        <v>11.9642205388747</v>
      </c>
      <c r="T129">
        <v>0.23951209315307401</v>
      </c>
      <c r="V129">
        <v>0.54852311293210199</v>
      </c>
      <c r="W129">
        <v>3.2040333911047797E-2</v>
      </c>
      <c r="X129">
        <v>7.3939232102469596E-2</v>
      </c>
      <c r="AA129">
        <v>0.45517429358698702</v>
      </c>
      <c r="AB129">
        <v>3.5639812203739099</v>
      </c>
      <c r="AC129">
        <v>4.7110816949547498</v>
      </c>
      <c r="AD129">
        <v>4.9292821401592697E-3</v>
      </c>
      <c r="AE129">
        <v>4.5439226376620603</v>
      </c>
    </row>
    <row r="130" spans="1:31" x14ac:dyDescent="0.2">
      <c r="A130">
        <v>129</v>
      </c>
      <c r="B130">
        <v>763</v>
      </c>
      <c r="C130">
        <v>155</v>
      </c>
      <c r="D130">
        <v>0.43448390677026</v>
      </c>
      <c r="E130">
        <v>67.249200242902702</v>
      </c>
      <c r="F130">
        <v>2.2067838453827999</v>
      </c>
      <c r="G130">
        <v>-1093.9214668864311</v>
      </c>
      <c r="H130">
        <v>-918.53030139440114</v>
      </c>
      <c r="I130">
        <v>169.27198329588299</v>
      </c>
      <c r="J130">
        <v>89.663134672783301</v>
      </c>
      <c r="K130">
        <v>30.473850161449398</v>
      </c>
      <c r="L130">
        <v>1.3507161057063537E-4</v>
      </c>
      <c r="M130">
        <v>1.7031279079866035E-5</v>
      </c>
      <c r="N130" s="1">
        <v>1.7782798977212401E-6</v>
      </c>
      <c r="O130" s="1">
        <v>5.37118004601393E-8</v>
      </c>
      <c r="P130" s="1">
        <v>-2.7309037977697E-7</v>
      </c>
      <c r="Q130">
        <v>73.603488011803293</v>
      </c>
      <c r="R130">
        <v>0.11747351598927799</v>
      </c>
      <c r="S130">
        <v>11.956954313219001</v>
      </c>
      <c r="T130">
        <v>0.28862332042094502</v>
      </c>
      <c r="V130">
        <v>0.66223760766167805</v>
      </c>
      <c r="W130">
        <v>3.86621698192448E-2</v>
      </c>
      <c r="X130">
        <v>8.9220391890630801E-2</v>
      </c>
      <c r="AA130">
        <v>0.47055890230677999</v>
      </c>
      <c r="AB130">
        <v>3.5249953106455498</v>
      </c>
      <c r="AC130">
        <v>4.7044602585882798</v>
      </c>
      <c r="AD130">
        <v>5.9480261260380198E-3</v>
      </c>
      <c r="AE130">
        <v>4.5373781715291397</v>
      </c>
    </row>
    <row r="131" spans="1:31" x14ac:dyDescent="0.2">
      <c r="A131">
        <v>130</v>
      </c>
      <c r="B131">
        <v>762</v>
      </c>
      <c r="C131">
        <v>155</v>
      </c>
      <c r="D131">
        <v>0.433869970535674</v>
      </c>
      <c r="E131">
        <v>32.8462903608998</v>
      </c>
      <c r="F131">
        <v>2.20902626640382</v>
      </c>
      <c r="G131">
        <v>-534.34707877681046</v>
      </c>
      <c r="H131">
        <v>-448.90046710810151</v>
      </c>
      <c r="I131">
        <v>82.5451496582223</v>
      </c>
      <c r="J131">
        <v>43.815314188721601</v>
      </c>
      <c r="K131">
        <v>14.8691262120535</v>
      </c>
      <c r="L131">
        <v>1.3461508956918815E-4</v>
      </c>
      <c r="M131">
        <v>1.6983545114148475E-5</v>
      </c>
      <c r="N131" s="1">
        <v>8.6468881284364103E-7</v>
      </c>
      <c r="O131" s="1">
        <v>2.60781114700677E-8</v>
      </c>
      <c r="P131" s="1">
        <v>-1.32419863221276E-7</v>
      </c>
      <c r="Q131">
        <v>73.489315915611797</v>
      </c>
      <c r="R131">
        <v>0.14443272458465201</v>
      </c>
      <c r="S131">
        <v>12.0651722950657</v>
      </c>
      <c r="T131">
        <v>0.262773536704696</v>
      </c>
      <c r="V131">
        <v>0.60395687762817296</v>
      </c>
      <c r="W131">
        <v>7.9156579675566899E-2</v>
      </c>
      <c r="X131">
        <v>0.16985873758914</v>
      </c>
      <c r="AA131">
        <v>0.50738573671114595</v>
      </c>
      <c r="AB131">
        <v>3.3927596964627398</v>
      </c>
      <c r="AC131">
        <v>4.7609822091245402</v>
      </c>
      <c r="AD131">
        <v>1.21779353347123E-2</v>
      </c>
      <c r="AE131">
        <v>4.5120277555069901</v>
      </c>
    </row>
    <row r="132" spans="1:31" x14ac:dyDescent="0.2">
      <c r="A132">
        <v>131</v>
      </c>
      <c r="B132">
        <v>761</v>
      </c>
      <c r="C132">
        <v>155</v>
      </c>
      <c r="D132">
        <v>0.43325484697577799</v>
      </c>
      <c r="E132">
        <v>17.7184678648253</v>
      </c>
      <c r="F132">
        <v>2.2114785720582</v>
      </c>
      <c r="G132">
        <v>-288.18648839138217</v>
      </c>
      <c r="H132">
        <v>-242.20089977997196</v>
      </c>
      <c r="I132">
        <v>44.467039221979498</v>
      </c>
      <c r="J132">
        <v>23.642369727617901</v>
      </c>
      <c r="K132">
        <v>8.0120459174672707</v>
      </c>
      <c r="L132">
        <v>1.3439525658783072E-4</v>
      </c>
      <c r="M132">
        <v>1.6964629766712451E-5</v>
      </c>
      <c r="N132" s="1">
        <v>4.6542855115465502E-7</v>
      </c>
      <c r="O132" s="1">
        <v>1.40136202249405E-8</v>
      </c>
      <c r="P132" s="1">
        <v>-7.1028430390098897E-8</v>
      </c>
      <c r="Q132">
        <v>73.296340180342696</v>
      </c>
      <c r="R132">
        <v>0.176826853428837</v>
      </c>
      <c r="S132">
        <v>12.256185715919701</v>
      </c>
      <c r="T132">
        <v>0.24909970155856201</v>
      </c>
      <c r="V132">
        <v>0.57501578720393898</v>
      </c>
      <c r="W132">
        <v>0.1467395499337</v>
      </c>
      <c r="X132">
        <v>0.190882487640084</v>
      </c>
      <c r="AA132">
        <v>0.52217036425963803</v>
      </c>
      <c r="AB132">
        <v>3.2647167298159401</v>
      </c>
      <c r="AC132">
        <v>4.8023536366378403</v>
      </c>
      <c r="AD132">
        <v>2.2575315374425899E-2</v>
      </c>
      <c r="AE132">
        <v>4.4970936778844397</v>
      </c>
    </row>
    <row r="133" spans="1:31" x14ac:dyDescent="0.2">
      <c r="A133">
        <v>132</v>
      </c>
      <c r="B133">
        <v>760</v>
      </c>
      <c r="C133">
        <v>155</v>
      </c>
      <c r="D133">
        <v>0.43263853264288998</v>
      </c>
      <c r="E133">
        <v>11.5978851287953</v>
      </c>
      <c r="F133">
        <v>2.2137699155211501</v>
      </c>
      <c r="G133">
        <v>-188.58980578756052</v>
      </c>
      <c r="H133">
        <v>-158.55308702544448</v>
      </c>
      <c r="I133">
        <v>29.072950454547801</v>
      </c>
      <c r="J133">
        <v>15.4801883607507</v>
      </c>
      <c r="K133">
        <v>5.2389749483360699</v>
      </c>
      <c r="L133">
        <v>1.343171020110889E-4</v>
      </c>
      <c r="M133">
        <v>1.6962414717763601E-5</v>
      </c>
      <c r="N133" s="1">
        <v>3.0451552236436698E-7</v>
      </c>
      <c r="O133" s="1">
        <v>9.1523014725631701E-9</v>
      </c>
      <c r="P133" s="1">
        <v>-4.63008077718848E-8</v>
      </c>
      <c r="Q133">
        <v>73.080818827962901</v>
      </c>
      <c r="R133">
        <v>0.19848812360054599</v>
      </c>
      <c r="S133">
        <v>12.477448044355199</v>
      </c>
      <c r="T133">
        <v>0.239814212577833</v>
      </c>
      <c r="V133">
        <v>0.55648793801187002</v>
      </c>
      <c r="W133">
        <v>0.224178802525271</v>
      </c>
      <c r="X133">
        <v>0.19486937700821499</v>
      </c>
      <c r="AA133">
        <v>0.52612492697507196</v>
      </c>
      <c r="AB133">
        <v>3.1475872151094899</v>
      </c>
      <c r="AC133">
        <v>4.8297270054582002</v>
      </c>
      <c r="AD133">
        <v>3.4489046542360798E-2</v>
      </c>
      <c r="AE133">
        <v>4.4899664798729102</v>
      </c>
    </row>
    <row r="134" spans="1:31" x14ac:dyDescent="0.2">
      <c r="A134">
        <v>133</v>
      </c>
      <c r="B134">
        <v>759</v>
      </c>
      <c r="C134">
        <v>155</v>
      </c>
      <c r="D134">
        <v>0.43202102407596099</v>
      </c>
      <c r="E134">
        <v>8.3980925659433101</v>
      </c>
      <c r="F134">
        <v>2.2158782168570701</v>
      </c>
      <c r="G134">
        <v>-136.51741751170488</v>
      </c>
      <c r="H134">
        <v>-114.80946644216641</v>
      </c>
      <c r="I134">
        <v>21.031779363017399</v>
      </c>
      <c r="J134">
        <v>11.2137702411248</v>
      </c>
      <c r="K134">
        <v>3.7899612451874098</v>
      </c>
      <c r="L134">
        <v>1.3436913397266647E-4</v>
      </c>
      <c r="M134">
        <v>1.6975651318677417E-5</v>
      </c>
      <c r="N134" s="1">
        <v>2.20811986118622E-7</v>
      </c>
      <c r="O134" s="1">
        <v>6.6236816159046704E-9</v>
      </c>
      <c r="P134" s="1">
        <v>-3.3448650615053802E-8</v>
      </c>
      <c r="Q134">
        <v>72.850316149819506</v>
      </c>
      <c r="R134">
        <v>0.19070916718653999</v>
      </c>
      <c r="S134">
        <v>12.718536496165999</v>
      </c>
      <c r="T134">
        <v>0.23851872434410101</v>
      </c>
      <c r="V134">
        <v>0.55690051112977101</v>
      </c>
      <c r="W134">
        <v>0.30588803908996198</v>
      </c>
      <c r="X134">
        <v>0.19301875570263599</v>
      </c>
      <c r="AA134">
        <v>0.526388819021263</v>
      </c>
      <c r="AB134">
        <v>3.0386865123836602</v>
      </c>
      <c r="AC134">
        <v>4.8422069197961397</v>
      </c>
      <c r="AD134">
        <v>4.7629863193227297E-2</v>
      </c>
      <c r="AE134">
        <v>4.4912000421670202</v>
      </c>
    </row>
    <row r="135" spans="1:31" x14ac:dyDescent="0.2">
      <c r="A135">
        <v>134</v>
      </c>
      <c r="B135">
        <v>783</v>
      </c>
      <c r="C135">
        <v>135</v>
      </c>
      <c r="D135">
        <v>0.46734886143066801</v>
      </c>
      <c r="E135">
        <v>103.339103124953</v>
      </c>
      <c r="F135">
        <v>2.19702914594464</v>
      </c>
      <c r="G135">
        <v>-1691.6184027503743</v>
      </c>
      <c r="H135">
        <v>-1415.2540120817273</v>
      </c>
      <c r="I135">
        <v>261.67153403270999</v>
      </c>
      <c r="J135">
        <v>137.92832084643101</v>
      </c>
      <c r="K135">
        <v>47.0358362408167</v>
      </c>
      <c r="L135">
        <v>1.3192588374645302E-4</v>
      </c>
      <c r="M135">
        <v>1.707089376827559E-5</v>
      </c>
      <c r="N135" s="1">
        <v>2.5562849068700799E-6</v>
      </c>
      <c r="O135" s="1">
        <v>8.1113988678751698E-8</v>
      </c>
      <c r="P135" s="1">
        <v>-4.0386165533630701E-7</v>
      </c>
      <c r="Q135">
        <v>74.144247127228596</v>
      </c>
      <c r="R135">
        <v>7.6447344336321804E-2</v>
      </c>
      <c r="S135">
        <v>12.0767450293334</v>
      </c>
      <c r="T135">
        <v>0.18487061327729401</v>
      </c>
      <c r="V135">
        <v>0.43361788633724002</v>
      </c>
      <c r="W135">
        <v>2.5159885477776499E-2</v>
      </c>
      <c r="X135">
        <v>5.8061274179485797E-2</v>
      </c>
      <c r="AA135">
        <v>0.51287458858544899</v>
      </c>
      <c r="AB135">
        <v>3.8513978539057998</v>
      </c>
      <c r="AC135">
        <v>4.3158880473416499</v>
      </c>
      <c r="AD135">
        <v>3.8707516119655498E-3</v>
      </c>
      <c r="AE135">
        <v>4.3168195983848898</v>
      </c>
    </row>
    <row r="136" spans="1:31" x14ac:dyDescent="0.2">
      <c r="A136">
        <v>135</v>
      </c>
      <c r="B136">
        <v>782</v>
      </c>
      <c r="C136">
        <v>135</v>
      </c>
      <c r="D136">
        <v>0.466777709330429</v>
      </c>
      <c r="E136">
        <v>103.30861487809</v>
      </c>
      <c r="F136">
        <v>2.1973107842011701</v>
      </c>
      <c r="G136">
        <v>-1690.8508884886344</v>
      </c>
      <c r="H136">
        <v>-1414.9718340592913</v>
      </c>
      <c r="I136">
        <v>261.45955971126602</v>
      </c>
      <c r="J136">
        <v>137.872768744431</v>
      </c>
      <c r="K136">
        <v>47.015932211723197</v>
      </c>
      <c r="L136">
        <v>1.3188089888173398E-4</v>
      </c>
      <c r="M136">
        <v>1.7064311557449047E-5</v>
      </c>
      <c r="N136" s="1">
        <v>2.55836998479804E-6</v>
      </c>
      <c r="O136" s="1">
        <v>8.1030102367653795E-8</v>
      </c>
      <c r="P136" s="1">
        <v>-4.03633423446632E-7</v>
      </c>
      <c r="Q136">
        <v>74.147727381121598</v>
      </c>
      <c r="R136">
        <v>7.6469905334830404E-2</v>
      </c>
      <c r="S136">
        <v>12.0743649591828</v>
      </c>
      <c r="T136">
        <v>0.18519100269858299</v>
      </c>
      <c r="V136">
        <v>0.43350665740891697</v>
      </c>
      <c r="W136">
        <v>2.5167310616525999E-2</v>
      </c>
      <c r="X136">
        <v>5.8078409115062603E-2</v>
      </c>
      <c r="AA136">
        <v>0.51241560902626104</v>
      </c>
      <c r="AB136">
        <v>3.8499277534996401</v>
      </c>
      <c r="AC136">
        <v>4.3166571536229004</v>
      </c>
      <c r="AD136">
        <v>3.8718939410038698E-3</v>
      </c>
      <c r="AE136">
        <v>4.3166219644316604</v>
      </c>
    </row>
    <row r="137" spans="1:31" x14ac:dyDescent="0.2">
      <c r="A137">
        <v>136</v>
      </c>
      <c r="B137">
        <v>781</v>
      </c>
      <c r="C137">
        <v>135</v>
      </c>
      <c r="D137">
        <v>0.46620547360432502</v>
      </c>
      <c r="E137">
        <v>102.888926323194</v>
      </c>
      <c r="F137">
        <v>2.1975925380347601</v>
      </c>
      <c r="G137">
        <v>-1683.6108115761187</v>
      </c>
      <c r="H137">
        <v>-1409.3297121043188</v>
      </c>
      <c r="I137">
        <v>260.191717945074</v>
      </c>
      <c r="J137">
        <v>137.26242875603</v>
      </c>
      <c r="K137">
        <v>46.818927777760202</v>
      </c>
      <c r="L137">
        <v>1.3167705875294231E-4</v>
      </c>
      <c r="M137">
        <v>1.7049446460174256E-5</v>
      </c>
      <c r="N137" s="1">
        <v>2.5477140570132301E-6</v>
      </c>
      <c r="O137" s="1">
        <v>8.0552549065309799E-8</v>
      </c>
      <c r="P137" s="1">
        <v>-4.01199789976361E-7</v>
      </c>
      <c r="Q137">
        <v>74.197674792431997</v>
      </c>
      <c r="R137">
        <v>7.6781829515691499E-2</v>
      </c>
      <c r="S137">
        <v>12.0422415547116</v>
      </c>
      <c r="T137">
        <v>0.18615035160628099</v>
      </c>
      <c r="V137">
        <v>0.43509143725657601</v>
      </c>
      <c r="W137">
        <v>2.5269969207695302E-2</v>
      </c>
      <c r="X137">
        <v>5.8315313556223498E-2</v>
      </c>
      <c r="AA137">
        <v>0.50628880802458498</v>
      </c>
      <c r="AB137">
        <v>3.8298828528734199</v>
      </c>
      <c r="AC137">
        <v>4.3272200394224196</v>
      </c>
      <c r="AD137">
        <v>3.8876875704144699E-3</v>
      </c>
      <c r="AE137">
        <v>4.3111953638229696</v>
      </c>
    </row>
    <row r="138" spans="1:31" x14ac:dyDescent="0.2">
      <c r="A138">
        <v>137</v>
      </c>
      <c r="B138">
        <v>780</v>
      </c>
      <c r="C138">
        <v>135</v>
      </c>
      <c r="D138">
        <v>0.46563215116555001</v>
      </c>
      <c r="E138">
        <v>102.46873128076101</v>
      </c>
      <c r="F138">
        <v>2.1978758386367798</v>
      </c>
      <c r="G138">
        <v>-1676.3660848801339</v>
      </c>
      <c r="H138">
        <v>-1403.680559080909</v>
      </c>
      <c r="I138">
        <v>258.92372957244902</v>
      </c>
      <c r="J138">
        <v>136.651729702148</v>
      </c>
      <c r="K138">
        <v>46.621710598682903</v>
      </c>
      <c r="L138">
        <v>1.3147213790462735E-4</v>
      </c>
      <c r="M138">
        <v>1.7034570530065238E-5</v>
      </c>
      <c r="N138" s="1">
        <v>2.5370233558726499E-6</v>
      </c>
      <c r="O138" s="1">
        <v>8.0075431103134304E-8</v>
      </c>
      <c r="P138" s="1">
        <v>-3.98764380587599E-7</v>
      </c>
      <c r="Q138">
        <v>74.247779758605304</v>
      </c>
      <c r="R138">
        <v>7.7096689900007606E-2</v>
      </c>
      <c r="S138">
        <v>12.0100651899231</v>
      </c>
      <c r="T138">
        <v>0.187118461972301</v>
      </c>
      <c r="V138">
        <v>0.43669137706959299</v>
      </c>
      <c r="W138">
        <v>2.5373594144305501E-2</v>
      </c>
      <c r="X138">
        <v>5.8554448025325098E-2</v>
      </c>
      <c r="AA138">
        <v>0.50038305450632203</v>
      </c>
      <c r="AB138">
        <v>3.8096492214614899</v>
      </c>
      <c r="AC138">
        <v>4.33764466835893</v>
      </c>
      <c r="AD138">
        <v>3.9036298683544001E-3</v>
      </c>
      <c r="AE138">
        <v>4.3057399061649297</v>
      </c>
    </row>
    <row r="139" spans="1:31" x14ac:dyDescent="0.2">
      <c r="A139">
        <v>138</v>
      </c>
      <c r="B139">
        <v>779</v>
      </c>
      <c r="C139">
        <v>135</v>
      </c>
      <c r="D139">
        <v>0.46505773891555402</v>
      </c>
      <c r="E139">
        <v>102.048189162683</v>
      </c>
      <c r="F139">
        <v>2.19816054670394</v>
      </c>
      <c r="G139">
        <v>-1669.1193864206018</v>
      </c>
      <c r="H139">
        <v>-1398.0265747488988</v>
      </c>
      <c r="I139">
        <v>257.65604873041099</v>
      </c>
      <c r="J139">
        <v>136.040895918095</v>
      </c>
      <c r="K139">
        <v>46.424356635688</v>
      </c>
      <c r="L139">
        <v>1.3126621010582702E-4</v>
      </c>
      <c r="M139">
        <v>1.7019690248161404E-5</v>
      </c>
      <c r="N139" s="1">
        <v>2.5263040470348899E-6</v>
      </c>
      <c r="O139" s="1">
        <v>7.95989377577603E-8</v>
      </c>
      <c r="P139" s="1">
        <v>-3.96328248466553E-7</v>
      </c>
      <c r="Q139">
        <v>74.298037487081601</v>
      </c>
      <c r="R139">
        <v>7.7414406515397396E-2</v>
      </c>
      <c r="S139">
        <v>11.977839006575399</v>
      </c>
      <c r="T139">
        <v>0.18809518683394399</v>
      </c>
      <c r="V139">
        <v>0.43830598145527699</v>
      </c>
      <c r="W139">
        <v>2.54781591063322E-2</v>
      </c>
      <c r="X139">
        <v>5.8795751783849902E-2</v>
      </c>
      <c r="AA139">
        <v>0.49469384678193901</v>
      </c>
      <c r="AB139">
        <v>3.7892403052342001</v>
      </c>
      <c r="AC139">
        <v>4.3479212007416104</v>
      </c>
      <c r="AD139">
        <v>3.9197167855891798E-3</v>
      </c>
      <c r="AE139">
        <v>4.30025895110479</v>
      </c>
    </row>
    <row r="140" spans="1:31" x14ac:dyDescent="0.2">
      <c r="A140">
        <v>139</v>
      </c>
      <c r="B140">
        <v>778</v>
      </c>
      <c r="C140">
        <v>135</v>
      </c>
      <c r="D140">
        <v>0.464482233743996</v>
      </c>
      <c r="E140">
        <v>101.627455807931</v>
      </c>
      <c r="F140">
        <v>2.1984465230221302</v>
      </c>
      <c r="G140">
        <v>-1661.8733316391688</v>
      </c>
      <c r="H140">
        <v>-1392.3699097096332</v>
      </c>
      <c r="I140">
        <v>256.389118517371</v>
      </c>
      <c r="J140">
        <v>135.43014642946201</v>
      </c>
      <c r="K140">
        <v>46.226940134175699</v>
      </c>
      <c r="L140">
        <v>1.3105934898080407E-4</v>
      </c>
      <c r="M140">
        <v>1.7004812055893847E-5</v>
      </c>
      <c r="N140" s="1">
        <v>2.51556217836348E-6</v>
      </c>
      <c r="O140" s="1">
        <v>7.9123253332462593E-8</v>
      </c>
      <c r="P140" s="1">
        <v>-3.9389242228684298E-7</v>
      </c>
      <c r="Q140">
        <v>74.348443217909207</v>
      </c>
      <c r="R140">
        <v>7.7734898873495203E-2</v>
      </c>
      <c r="S140">
        <v>11.9455661100484</v>
      </c>
      <c r="T140">
        <v>0.18908037792134799</v>
      </c>
      <c r="V140">
        <v>0.43993475214769401</v>
      </c>
      <c r="W140">
        <v>2.5583637603933802E-2</v>
      </c>
      <c r="X140">
        <v>5.9039163701393102E-2</v>
      </c>
      <c r="AA140">
        <v>0.48921659255265698</v>
      </c>
      <c r="AB140">
        <v>3.7686695702735</v>
      </c>
      <c r="AC140">
        <v>4.35803988576333</v>
      </c>
      <c r="AD140">
        <v>3.9359442467586103E-3</v>
      </c>
      <c r="AE140">
        <v>4.2947558489581903</v>
      </c>
    </row>
    <row r="141" spans="1:31" x14ac:dyDescent="0.2">
      <c r="A141">
        <v>140</v>
      </c>
      <c r="B141">
        <v>777</v>
      </c>
      <c r="C141">
        <v>135</v>
      </c>
      <c r="D141">
        <v>0.46390563252868899</v>
      </c>
      <c r="E141">
        <v>101.20668289645199</v>
      </c>
      <c r="F141">
        <v>2.1987336288604902</v>
      </c>
      <c r="G141">
        <v>-1654.6304637488026</v>
      </c>
      <c r="H141">
        <v>-1386.7126573604726</v>
      </c>
      <c r="I141">
        <v>255.123369412302</v>
      </c>
      <c r="J141">
        <v>134.819694144691</v>
      </c>
      <c r="K141">
        <v>46.029533349568702</v>
      </c>
      <c r="L141">
        <v>1.3085162774847584E-4</v>
      </c>
      <c r="M141">
        <v>1.698994233851197E-5</v>
      </c>
      <c r="N141" s="1">
        <v>2.5048036591645501E-6</v>
      </c>
      <c r="O141" s="1">
        <v>7.8648556559901003E-8</v>
      </c>
      <c r="P141" s="1">
        <v>-3.9145790272094097E-7</v>
      </c>
      <c r="Q141">
        <v>74.398992259345107</v>
      </c>
      <c r="R141">
        <v>7.80580864218509E-2</v>
      </c>
      <c r="S141">
        <v>11.913249548892701</v>
      </c>
      <c r="T141">
        <v>0.19007388663146599</v>
      </c>
      <c r="V141">
        <v>0.44157719067766799</v>
      </c>
      <c r="W141">
        <v>2.5690003126177301E-2</v>
      </c>
      <c r="X141">
        <v>5.9284622598879198E-2</v>
      </c>
      <c r="AA141">
        <v>0.48394663014683698</v>
      </c>
      <c r="AB141">
        <v>3.7479504560368899</v>
      </c>
      <c r="AC141">
        <v>4.3679910772183099</v>
      </c>
      <c r="AD141">
        <v>3.9523081732575401E-3</v>
      </c>
      <c r="AE141">
        <v>4.2892339307307301</v>
      </c>
    </row>
    <row r="142" spans="1:31" x14ac:dyDescent="0.2">
      <c r="A142">
        <v>141</v>
      </c>
      <c r="B142">
        <v>776</v>
      </c>
      <c r="C142">
        <v>135</v>
      </c>
      <c r="D142">
        <v>0.46332793213554102</v>
      </c>
      <c r="E142">
        <v>99.914521967677999</v>
      </c>
      <c r="F142">
        <v>2.1993153307384801</v>
      </c>
      <c r="G142">
        <v>-1632.9245597815188</v>
      </c>
      <c r="H142">
        <v>-1368.9166457467011</v>
      </c>
      <c r="I142">
        <v>251.63981702789599</v>
      </c>
      <c r="J142">
        <v>133.052572573698</v>
      </c>
      <c r="K142">
        <v>45.4298301708872</v>
      </c>
      <c r="L142">
        <v>1.3064893122199031E-4</v>
      </c>
      <c r="M142">
        <v>1.6966281013431234E-5</v>
      </c>
      <c r="N142" s="1">
        <v>2.4704699449222098E-6</v>
      </c>
      <c r="O142" s="1">
        <v>7.7443269532457997E-8</v>
      </c>
      <c r="P142" s="1">
        <v>-3.85702611207952E-7</v>
      </c>
      <c r="Q142">
        <v>74.407993187036297</v>
      </c>
      <c r="R142">
        <v>7.9067585416220998E-2</v>
      </c>
      <c r="S142">
        <v>11.898795095591799</v>
      </c>
      <c r="T142">
        <v>0.19280558852802701</v>
      </c>
      <c r="V142">
        <v>0.447041825566447</v>
      </c>
      <c r="W142">
        <v>2.60222433015386E-2</v>
      </c>
      <c r="X142">
        <v>6.0051330695872901E-2</v>
      </c>
      <c r="AA142">
        <v>0.47578749310798701</v>
      </c>
      <c r="AB142">
        <v>3.7218368742538002</v>
      </c>
      <c r="AC142">
        <v>4.4063612235877496</v>
      </c>
      <c r="AD142">
        <v>4.0034220463896798E-3</v>
      </c>
      <c r="AE142">
        <v>4.2802341308677097</v>
      </c>
    </row>
    <row r="143" spans="1:31" x14ac:dyDescent="0.2">
      <c r="A143">
        <v>142</v>
      </c>
      <c r="B143">
        <v>775</v>
      </c>
      <c r="C143">
        <v>135</v>
      </c>
      <c r="D143">
        <v>0.46274912941850099</v>
      </c>
      <c r="E143">
        <v>97.681582578875194</v>
      </c>
      <c r="F143">
        <v>2.2002244439452698</v>
      </c>
      <c r="G143">
        <v>-1595.6276457043184</v>
      </c>
      <c r="H143">
        <v>-1338.0281800785099</v>
      </c>
      <c r="I143">
        <v>245.76584041006299</v>
      </c>
      <c r="J143">
        <v>130.03679604718101</v>
      </c>
      <c r="K143">
        <v>44.396190055829102</v>
      </c>
      <c r="L143">
        <v>1.304447579492754E-4</v>
      </c>
      <c r="M143">
        <v>1.6933023695503451E-5</v>
      </c>
      <c r="N143" s="1">
        <v>2.4107447961487601E-6</v>
      </c>
      <c r="O143" s="1">
        <v>7.5454567121265406E-8</v>
      </c>
      <c r="P143" s="1">
        <v>-3.7634281889585698E-7</v>
      </c>
      <c r="Q143">
        <v>74.374290558387102</v>
      </c>
      <c r="R143">
        <v>8.0875020566147093E-2</v>
      </c>
      <c r="S143">
        <v>11.9022989932058</v>
      </c>
      <c r="T143">
        <v>0.19755367045195399</v>
      </c>
      <c r="V143">
        <v>0.45695438325594701</v>
      </c>
      <c r="W143">
        <v>2.6617095376197199E-2</v>
      </c>
      <c r="X143">
        <v>6.1424066252781101E-2</v>
      </c>
      <c r="AA143">
        <v>0.46542240472964602</v>
      </c>
      <c r="AB143">
        <v>3.68860631120834</v>
      </c>
      <c r="AC143">
        <v>4.4745247871728404</v>
      </c>
      <c r="AD143">
        <v>4.0949377501833103E-3</v>
      </c>
      <c r="AE143">
        <v>4.2673377716429997</v>
      </c>
    </row>
    <row r="144" spans="1:31" x14ac:dyDescent="0.2">
      <c r="A144">
        <v>143</v>
      </c>
      <c r="B144">
        <v>774</v>
      </c>
      <c r="C144">
        <v>135</v>
      </c>
      <c r="D144">
        <v>0.46216922121950399</v>
      </c>
      <c r="E144">
        <v>95.328304279066302</v>
      </c>
      <c r="F144">
        <v>2.2011836728301302</v>
      </c>
      <c r="G144">
        <v>-1556.3769697644307</v>
      </c>
      <c r="H144">
        <v>-1305.4863978391782</v>
      </c>
      <c r="I144">
        <v>239.59372766581001</v>
      </c>
      <c r="J144">
        <v>126.86181451848999</v>
      </c>
      <c r="K144">
        <v>43.307746398327403</v>
      </c>
      <c r="L144">
        <v>1.3023068857691958E-4</v>
      </c>
      <c r="M144">
        <v>1.6898692023178629E-5</v>
      </c>
      <c r="N144" s="1">
        <v>2.3479163818940302E-6</v>
      </c>
      <c r="O144" s="1">
        <v>7.3375873508225205E-8</v>
      </c>
      <c r="P144" s="1">
        <v>-3.6650002645214999E-7</v>
      </c>
      <c r="Q144">
        <v>74.339114021575199</v>
      </c>
      <c r="R144">
        <v>8.2871504531054394E-2</v>
      </c>
      <c r="S144">
        <v>11.905767162133399</v>
      </c>
      <c r="T144">
        <v>0.202772177265714</v>
      </c>
      <c r="V144">
        <v>0.46792732169372497</v>
      </c>
      <c r="W144">
        <v>2.7274166048191599E-2</v>
      </c>
      <c r="X144">
        <v>6.2940383188155202E-2</v>
      </c>
      <c r="AA144">
        <v>0.456310374729193</v>
      </c>
      <c r="AB144">
        <v>3.6527438802033001</v>
      </c>
      <c r="AC144">
        <v>4.5442375928710401</v>
      </c>
      <c r="AD144">
        <v>4.1960255458745399E-3</v>
      </c>
      <c r="AE144">
        <v>4.2538453902149502</v>
      </c>
    </row>
    <row r="145" spans="1:31" x14ac:dyDescent="0.2">
      <c r="A145">
        <v>144</v>
      </c>
      <c r="B145">
        <v>773</v>
      </c>
      <c r="C145">
        <v>135</v>
      </c>
      <c r="D145">
        <v>0.46158820436839998</v>
      </c>
      <c r="E145">
        <v>92.788724583575799</v>
      </c>
      <c r="F145">
        <v>2.2022066691017801</v>
      </c>
      <c r="G145">
        <v>-1514.0938074251087</v>
      </c>
      <c r="H145">
        <v>-1270.3842764902706</v>
      </c>
      <c r="I145">
        <v>232.95849632924299</v>
      </c>
      <c r="J145">
        <v>123.44007569399599</v>
      </c>
      <c r="K145">
        <v>42.134430834968597</v>
      </c>
      <c r="L145">
        <v>1.3000611659859479E-4</v>
      </c>
      <c r="M145">
        <v>1.6863181682159935E-5</v>
      </c>
      <c r="N145" s="1">
        <v>2.2803683687721301E-6</v>
      </c>
      <c r="O145" s="1">
        <v>7.1157190066411202E-8</v>
      </c>
      <c r="P145" s="1">
        <v>-3.5592092717028602E-7</v>
      </c>
      <c r="Q145">
        <v>74.301862256273196</v>
      </c>
      <c r="R145">
        <v>8.5139655011476606E-2</v>
      </c>
      <c r="S145">
        <v>11.9091558578336</v>
      </c>
      <c r="T145">
        <v>0.208662067682506</v>
      </c>
      <c r="V145">
        <v>0.480428208096492</v>
      </c>
      <c r="W145">
        <v>2.80206459531387E-2</v>
      </c>
      <c r="X145">
        <v>6.4663029122660101E-2</v>
      </c>
      <c r="AA145">
        <v>0.448710509945277</v>
      </c>
      <c r="AB145">
        <v>3.6138202246367501</v>
      </c>
      <c r="AC145">
        <v>4.6155397410719701</v>
      </c>
      <c r="AD145">
        <v>4.3108686081737204E-3</v>
      </c>
      <c r="AE145">
        <v>4.2396869357646301</v>
      </c>
    </row>
    <row r="146" spans="1:31" x14ac:dyDescent="0.2">
      <c r="A146">
        <v>145</v>
      </c>
      <c r="B146">
        <v>772</v>
      </c>
      <c r="C146">
        <v>135</v>
      </c>
      <c r="D146">
        <v>0.46100607568291702</v>
      </c>
      <c r="E146">
        <v>89.926752854984002</v>
      </c>
      <c r="F146">
        <v>2.20332068690939</v>
      </c>
      <c r="G146">
        <v>-1466.5525391088336</v>
      </c>
      <c r="H146">
        <v>-1230.8506884032295</v>
      </c>
      <c r="I146">
        <v>225.519639004548</v>
      </c>
      <c r="J146">
        <v>119.59096086023</v>
      </c>
      <c r="K146">
        <v>40.814191683156501</v>
      </c>
      <c r="L146">
        <v>1.2977038328125829E-4</v>
      </c>
      <c r="M146">
        <v>1.6826344203078753E-5</v>
      </c>
      <c r="N146" s="1">
        <v>2.2047657344326899E-6</v>
      </c>
      <c r="O146" s="1">
        <v>6.8695276425931698E-8</v>
      </c>
      <c r="P146" s="1">
        <v>-3.4408221576303198E-7</v>
      </c>
      <c r="Q146">
        <v>74.261282485363495</v>
      </c>
      <c r="R146">
        <v>8.7849274539470695E-2</v>
      </c>
      <c r="S146">
        <v>11.9123996780026</v>
      </c>
      <c r="T146">
        <v>0.21563535296775599</v>
      </c>
      <c r="V146">
        <v>0.49541893765828898</v>
      </c>
      <c r="W146">
        <v>2.8912419468680201E-2</v>
      </c>
      <c r="X146">
        <v>6.6720968004683398E-2</v>
      </c>
      <c r="AA146">
        <v>0.44318250436851903</v>
      </c>
      <c r="AB146">
        <v>3.5710383522853499</v>
      </c>
      <c r="AC146">
        <v>4.6883607845146802</v>
      </c>
      <c r="AD146">
        <v>4.4480645336413202E-3</v>
      </c>
      <c r="AE146">
        <v>4.22475117829278</v>
      </c>
    </row>
    <row r="147" spans="1:31" x14ac:dyDescent="0.2">
      <c r="A147">
        <v>146</v>
      </c>
      <c r="B147">
        <v>771</v>
      </c>
      <c r="C147">
        <v>135</v>
      </c>
      <c r="D147">
        <v>0.46042283196858502</v>
      </c>
      <c r="E147">
        <v>86.378144800396299</v>
      </c>
      <c r="F147">
        <v>2.2045955470812801</v>
      </c>
      <c r="G147">
        <v>-1407.7971822020825</v>
      </c>
      <c r="H147">
        <v>-1181.8785804733589</v>
      </c>
      <c r="I147">
        <v>216.36604101778801</v>
      </c>
      <c r="J147">
        <v>114.831210700627</v>
      </c>
      <c r="K147">
        <v>39.180948593838103</v>
      </c>
      <c r="L147">
        <v>1.295241297512873E-4</v>
      </c>
      <c r="M147">
        <v>1.6788038904696663E-5</v>
      </c>
      <c r="N147" s="1">
        <v>2.11221174603566E-6</v>
      </c>
      <c r="O147" s="1">
        <v>6.5714404741676897E-8</v>
      </c>
      <c r="P147" s="1">
        <v>-3.2958608638127602E-7</v>
      </c>
      <c r="Q147">
        <v>74.213927827070293</v>
      </c>
      <c r="R147">
        <v>9.1458319905527899E-2</v>
      </c>
      <c r="S147">
        <v>11.915409397074701</v>
      </c>
      <c r="T147">
        <v>0.22480066228419199</v>
      </c>
      <c r="V147">
        <v>0.51549604491777701</v>
      </c>
      <c r="W147">
        <v>3.01002065511797E-2</v>
      </c>
      <c r="X147">
        <v>6.94620151181463E-2</v>
      </c>
      <c r="AA147">
        <v>0.44127783961016398</v>
      </c>
      <c r="AB147">
        <v>3.5226355763031001</v>
      </c>
      <c r="AC147">
        <v>4.76193282068337</v>
      </c>
      <c r="AD147">
        <v>4.6308010078723698E-3</v>
      </c>
      <c r="AE147">
        <v>4.2088684894735398</v>
      </c>
    </row>
    <row r="148" spans="1:31" x14ac:dyDescent="0.2">
      <c r="A148">
        <v>147</v>
      </c>
      <c r="B148">
        <v>770</v>
      </c>
      <c r="C148">
        <v>135</v>
      </c>
      <c r="D148">
        <v>0.45983847001869499</v>
      </c>
      <c r="E148">
        <v>73.675507891280603</v>
      </c>
      <c r="F148">
        <v>2.2071888923051302</v>
      </c>
      <c r="G148">
        <v>-1199.4419718778518</v>
      </c>
      <c r="H148">
        <v>-1007.1094381760392</v>
      </c>
      <c r="I148">
        <v>184.37667996147499</v>
      </c>
      <c r="J148">
        <v>97.936369190092904</v>
      </c>
      <c r="K148">
        <v>33.379792798039901</v>
      </c>
      <c r="L148">
        <v>1.2951490811643817E-4</v>
      </c>
      <c r="M148">
        <v>1.676714743039704E-5</v>
      </c>
      <c r="N148" s="1">
        <v>1.7996492573772801E-6</v>
      </c>
      <c r="O148" s="1">
        <v>5.58964023808093E-8</v>
      </c>
      <c r="P148" s="1">
        <v>-2.8053870695152797E-7</v>
      </c>
      <c r="Q148">
        <v>74.080300240489294</v>
      </c>
      <c r="R148">
        <v>0.107226949988027</v>
      </c>
      <c r="S148">
        <v>11.9125199209037</v>
      </c>
      <c r="T148">
        <v>0.26335841091088102</v>
      </c>
      <c r="V148">
        <v>0.60455516383704699</v>
      </c>
      <c r="W148">
        <v>3.5289882274530303E-2</v>
      </c>
      <c r="X148">
        <v>8.1438189864362895E-2</v>
      </c>
      <c r="AA148">
        <v>0.45816507039589099</v>
      </c>
      <c r="AB148">
        <v>3.4750053848160301</v>
      </c>
      <c r="AC148">
        <v>4.7771761293592601</v>
      </c>
      <c r="AD148">
        <v>5.4292126576187504E-3</v>
      </c>
      <c r="AE148">
        <v>4.1995354445031596</v>
      </c>
    </row>
    <row r="149" spans="1:31" x14ac:dyDescent="0.2">
      <c r="A149">
        <v>148</v>
      </c>
      <c r="B149">
        <v>769</v>
      </c>
      <c r="C149">
        <v>135</v>
      </c>
      <c r="D149">
        <v>0.45925298661421299</v>
      </c>
      <c r="E149">
        <v>48.0977433730502</v>
      </c>
      <c r="F149">
        <v>2.20975486966997</v>
      </c>
      <c r="G149">
        <v>-782.54644773792086</v>
      </c>
      <c r="H149">
        <v>-657.26592969147362</v>
      </c>
      <c r="I149">
        <v>120.21351825212</v>
      </c>
      <c r="J149">
        <v>63.945092489789097</v>
      </c>
      <c r="K149">
        <v>21.766099051626298</v>
      </c>
      <c r="L149">
        <v>1.2929509399326662E-4</v>
      </c>
      <c r="M149">
        <v>1.673230760342585E-5</v>
      </c>
      <c r="N149" s="1">
        <v>1.1714218632226701E-6</v>
      </c>
      <c r="O149" s="1">
        <v>3.6327354166856298E-8</v>
      </c>
      <c r="P149" s="1">
        <v>-1.8227110531158201E-7</v>
      </c>
      <c r="Q149">
        <v>73.951383848302598</v>
      </c>
      <c r="R149">
        <v>0.13140011548004299</v>
      </c>
      <c r="S149">
        <v>11.9560150445144</v>
      </c>
      <c r="T149">
        <v>0.27484235445507799</v>
      </c>
      <c r="V149">
        <v>0.63180189321369595</v>
      </c>
      <c r="W149">
        <v>5.4056590136327999E-2</v>
      </c>
      <c r="X149">
        <v>0.120679237945944</v>
      </c>
      <c r="AA149">
        <v>0.49299988380888299</v>
      </c>
      <c r="AB149">
        <v>3.3822916031715802</v>
      </c>
      <c r="AC149">
        <v>4.8137659961713499</v>
      </c>
      <c r="AD149">
        <v>8.3163984825081905E-3</v>
      </c>
      <c r="AE149">
        <v>4.1824470343174802</v>
      </c>
    </row>
    <row r="150" spans="1:31" x14ac:dyDescent="0.2">
      <c r="A150">
        <v>149</v>
      </c>
      <c r="B150">
        <v>768</v>
      </c>
      <c r="C150">
        <v>135</v>
      </c>
      <c r="D150">
        <v>0.45866637852374798</v>
      </c>
      <c r="E150">
        <v>29.387142676451599</v>
      </c>
      <c r="F150">
        <v>2.2118725663752601</v>
      </c>
      <c r="G150">
        <v>-478.06712211965169</v>
      </c>
      <c r="H150">
        <v>-401.69102322341672</v>
      </c>
      <c r="I150">
        <v>73.357440230739996</v>
      </c>
      <c r="J150">
        <v>39.087795990412801</v>
      </c>
      <c r="K150">
        <v>13.286092120854001</v>
      </c>
      <c r="L150">
        <v>1.2904209159120926E-4</v>
      </c>
      <c r="M150">
        <v>1.6700234906820496E-5</v>
      </c>
      <c r="N150" s="1">
        <v>7.1381688009382201E-7</v>
      </c>
      <c r="O150" s="1">
        <v>2.21009399871297E-8</v>
      </c>
      <c r="P150" s="1">
        <v>-1.10794946421961E-7</v>
      </c>
      <c r="Q150">
        <v>73.828731393335204</v>
      </c>
      <c r="R150">
        <v>0.15312940462975999</v>
      </c>
      <c r="S150">
        <v>12.0432754317915</v>
      </c>
      <c r="T150">
        <v>0.26327661860698298</v>
      </c>
      <c r="V150">
        <v>0.606246563605774</v>
      </c>
      <c r="W150">
        <v>8.8474065975887403E-2</v>
      </c>
      <c r="X150">
        <v>0.187622897770922</v>
      </c>
      <c r="AA150">
        <v>0.51868220319995895</v>
      </c>
      <c r="AB150">
        <v>3.2810175255741401</v>
      </c>
      <c r="AC150">
        <v>4.8493772248564104</v>
      </c>
      <c r="AD150">
        <v>1.3611394765523701E-2</v>
      </c>
      <c r="AE150">
        <v>4.1665552758877702</v>
      </c>
    </row>
    <row r="151" spans="1:31" x14ac:dyDescent="0.2">
      <c r="A151">
        <v>150</v>
      </c>
      <c r="B151">
        <v>767</v>
      </c>
      <c r="C151">
        <v>135</v>
      </c>
      <c r="D151">
        <v>0.45807864250348701</v>
      </c>
      <c r="E151">
        <v>16.8302994161571</v>
      </c>
      <c r="F151">
        <v>2.2142136424329699</v>
      </c>
      <c r="G151">
        <v>-273.73274029007132</v>
      </c>
      <c r="H151">
        <v>-230.09137428600249</v>
      </c>
      <c r="I151">
        <v>41.956800465383601</v>
      </c>
      <c r="J151">
        <v>22.391387642279</v>
      </c>
      <c r="K151">
        <v>7.6010277841410296</v>
      </c>
      <c r="L151">
        <v>1.2884496777747865E-4</v>
      </c>
      <c r="M151">
        <v>1.6683514062595191E-5</v>
      </c>
      <c r="N151" s="1">
        <v>4.0798854439783999E-7</v>
      </c>
      <c r="O151" s="1">
        <v>1.26113846913702E-8</v>
      </c>
      <c r="P151" s="1">
        <v>-6.3103168170938098E-8</v>
      </c>
      <c r="Q151">
        <v>73.637595605427194</v>
      </c>
      <c r="R151">
        <v>0.18536973141698501</v>
      </c>
      <c r="S151">
        <v>12.2333285576393</v>
      </c>
      <c r="T151">
        <v>0.25031978683487799</v>
      </c>
      <c r="V151">
        <v>0.57885399217784195</v>
      </c>
      <c r="W151">
        <v>0.15448328848522</v>
      </c>
      <c r="X151">
        <v>0.20098096307596</v>
      </c>
      <c r="AA151">
        <v>0.53396747999151295</v>
      </c>
      <c r="AB151">
        <v>3.1551638206905701</v>
      </c>
      <c r="AC151">
        <v>4.8927079942156402</v>
      </c>
      <c r="AD151">
        <v>2.3766659766953999E-2</v>
      </c>
      <c r="AE151">
        <v>4.1534621202777604</v>
      </c>
    </row>
    <row r="152" spans="1:31" x14ac:dyDescent="0.2">
      <c r="A152">
        <v>151</v>
      </c>
      <c r="B152">
        <v>766</v>
      </c>
      <c r="C152">
        <v>135</v>
      </c>
      <c r="D152">
        <v>0.45748977529712298</v>
      </c>
      <c r="E152">
        <v>11.4290771803624</v>
      </c>
      <c r="F152">
        <v>2.2163903302445198</v>
      </c>
      <c r="G152">
        <v>-185.84004948220067</v>
      </c>
      <c r="H152">
        <v>-156.26574708331577</v>
      </c>
      <c r="I152">
        <v>28.4600898800797</v>
      </c>
      <c r="J152">
        <v>15.2098934045404</v>
      </c>
      <c r="K152">
        <v>5.1566175074863603</v>
      </c>
      <c r="L152">
        <v>1.2877215869764832E-4</v>
      </c>
      <c r="M152">
        <v>1.6681194202405288E-5</v>
      </c>
      <c r="N152" s="1">
        <v>2.7694614089309097E-7</v>
      </c>
      <c r="O152" s="1">
        <v>8.5456026999451298E-9</v>
      </c>
      <c r="P152" s="1">
        <v>-4.2678311233665602E-8</v>
      </c>
      <c r="Q152">
        <v>73.431762367788707</v>
      </c>
      <c r="R152">
        <v>0.206818748117264</v>
      </c>
      <c r="S152">
        <v>12.442772609944701</v>
      </c>
      <c r="T152">
        <v>0.241427814206125</v>
      </c>
      <c r="V152">
        <v>0.56103268937041795</v>
      </c>
      <c r="W152">
        <v>0.22748993282379701</v>
      </c>
      <c r="X152">
        <v>0.20475356109183401</v>
      </c>
      <c r="AA152">
        <v>0.53823559160178802</v>
      </c>
      <c r="AB152">
        <v>3.0434347927808698</v>
      </c>
      <c r="AC152">
        <v>4.9201661461048101</v>
      </c>
      <c r="AD152">
        <v>3.4998451203650201E-2</v>
      </c>
      <c r="AE152">
        <v>4.14710729496593</v>
      </c>
    </row>
    <row r="153" spans="1:31" x14ac:dyDescent="0.2">
      <c r="A153">
        <v>152</v>
      </c>
      <c r="B153">
        <v>765</v>
      </c>
      <c r="C153">
        <v>135</v>
      </c>
      <c r="D153">
        <v>0.45689977363579698</v>
      </c>
      <c r="E153">
        <v>8.5092294216167108</v>
      </c>
      <c r="F153">
        <v>2.21840739052289</v>
      </c>
      <c r="G153">
        <v>-138.32420032470964</v>
      </c>
      <c r="H153">
        <v>-116.34776822739809</v>
      </c>
      <c r="I153">
        <v>21.168840820027501</v>
      </c>
      <c r="J153">
        <v>11.328175498223001</v>
      </c>
      <c r="K153">
        <v>3.8357379523564501</v>
      </c>
      <c r="L153">
        <v>1.287913316398458E-4</v>
      </c>
      <c r="M153">
        <v>1.6690159344503691E-5</v>
      </c>
      <c r="N153" s="1">
        <v>2.0640297999568501E-7</v>
      </c>
      <c r="O153" s="1">
        <v>6.3568502945053896E-9</v>
      </c>
      <c r="P153" s="1">
        <v>-3.1689813904999201E-8</v>
      </c>
      <c r="Q153">
        <v>73.218199228619795</v>
      </c>
      <c r="R153">
        <v>0.20720711410443901</v>
      </c>
      <c r="S153">
        <v>12.6645197148764</v>
      </c>
      <c r="T153">
        <v>0.23810063125671799</v>
      </c>
      <c r="V153">
        <v>0.55634092603748597</v>
      </c>
      <c r="W153">
        <v>0.30318955370558298</v>
      </c>
      <c r="X153">
        <v>0.20449954486644001</v>
      </c>
      <c r="AA153">
        <v>0.53857427916205902</v>
      </c>
      <c r="AB153">
        <v>2.9406858351268101</v>
      </c>
      <c r="AC153">
        <v>4.9350538381986704</v>
      </c>
      <c r="AD153">
        <v>4.7007781807279499E-2</v>
      </c>
      <c r="AE153">
        <v>4.14662155223819</v>
      </c>
    </row>
    <row r="154" spans="1:31" x14ac:dyDescent="0.2">
      <c r="A154">
        <v>153</v>
      </c>
      <c r="B154">
        <v>794</v>
      </c>
      <c r="C154">
        <v>115</v>
      </c>
      <c r="D154">
        <v>0.49417654500304597</v>
      </c>
      <c r="E154">
        <v>102.94795464811899</v>
      </c>
      <c r="F154">
        <v>2.1998152383432101</v>
      </c>
      <c r="G154">
        <v>-1686.699689914393</v>
      </c>
      <c r="H154">
        <v>-1409.6853357749283</v>
      </c>
      <c r="I154">
        <v>259.583333307842</v>
      </c>
      <c r="J154">
        <v>137.10051476694801</v>
      </c>
      <c r="K154">
        <v>46.798455094644503</v>
      </c>
      <c r="L154">
        <v>1.2597375205262206E-4</v>
      </c>
      <c r="M154">
        <v>1.6736329778046962E-5</v>
      </c>
      <c r="N154" s="1">
        <v>2.3168049660083801E-6</v>
      </c>
      <c r="O154" s="1">
        <v>7.6176700004141294E-8</v>
      </c>
      <c r="P154" s="1">
        <v>-3.7221735834446202E-7</v>
      </c>
      <c r="Q154">
        <v>74.4259565543652</v>
      </c>
      <c r="R154">
        <v>7.6737804330377801E-2</v>
      </c>
      <c r="S154">
        <v>12.122630354976501</v>
      </c>
      <c r="T154">
        <v>0.18452981971779001</v>
      </c>
      <c r="V154">
        <v>0.43620409558175499</v>
      </c>
      <c r="W154">
        <v>2.5255479906200098E-2</v>
      </c>
      <c r="X154">
        <v>5.8281876706616602E-2</v>
      </c>
      <c r="AA154">
        <v>0.51482324424177395</v>
      </c>
      <c r="AB154">
        <v>3.86603115487218</v>
      </c>
      <c r="AC154">
        <v>4.33228616852508</v>
      </c>
      <c r="AD154">
        <v>3.88545844710766E-3</v>
      </c>
      <c r="AE154">
        <v>3.9533779883293501</v>
      </c>
    </row>
    <row r="155" spans="1:31" x14ac:dyDescent="0.2">
      <c r="A155">
        <v>154</v>
      </c>
      <c r="B155">
        <v>793</v>
      </c>
      <c r="C155">
        <v>115</v>
      </c>
      <c r="D155">
        <v>0.49363644890494002</v>
      </c>
      <c r="E155">
        <v>102.655685665737</v>
      </c>
      <c r="F155">
        <v>2.2000596480678198</v>
      </c>
      <c r="G155">
        <v>-1681.5794892850392</v>
      </c>
      <c r="H155">
        <v>-1405.7975479455658</v>
      </c>
      <c r="I155">
        <v>258.67086370536299</v>
      </c>
      <c r="J155">
        <v>136.674052274254</v>
      </c>
      <c r="K155">
        <v>46.660410210192801</v>
      </c>
      <c r="L155">
        <v>1.2583884191869597E-4</v>
      </c>
      <c r="M155">
        <v>1.67257935655125E-5</v>
      </c>
      <c r="N155" s="1">
        <v>2.3111975232371701E-6</v>
      </c>
      <c r="O155" s="1">
        <v>7.5858155590775699E-8</v>
      </c>
      <c r="P155" s="1">
        <v>-3.7067802012021102E-7</v>
      </c>
      <c r="Q155">
        <v>74.460369218172303</v>
      </c>
      <c r="R155">
        <v>7.69562830228777E-2</v>
      </c>
      <c r="S155">
        <v>12.0999385519863</v>
      </c>
      <c r="T155">
        <v>0.18526814087260399</v>
      </c>
      <c r="V155">
        <v>0.43725438897977797</v>
      </c>
      <c r="W155">
        <v>2.5327384286009998E-2</v>
      </c>
      <c r="X155">
        <v>5.8447809890794497E-2</v>
      </c>
      <c r="AA155">
        <v>0.51050699768903196</v>
      </c>
      <c r="AB155">
        <v>3.8518818594413902</v>
      </c>
      <c r="AC155">
        <v>4.3397154975908698</v>
      </c>
      <c r="AD155">
        <v>3.8965206593860398E-3</v>
      </c>
      <c r="AE155">
        <v>3.9504373474085401</v>
      </c>
    </row>
    <row r="156" spans="1:31" x14ac:dyDescent="0.2">
      <c r="A156">
        <v>155</v>
      </c>
      <c r="B156">
        <v>792</v>
      </c>
      <c r="C156">
        <v>115</v>
      </c>
      <c r="D156">
        <v>0.49309533868469302</v>
      </c>
      <c r="E156">
        <v>102.253151713658</v>
      </c>
      <c r="F156">
        <v>2.2002999120180302</v>
      </c>
      <c r="G156">
        <v>-1674.627395166531</v>
      </c>
      <c r="H156">
        <v>-1400.3914167683997</v>
      </c>
      <c r="I156">
        <v>257.46230896881298</v>
      </c>
      <c r="J156">
        <v>136.09121936653199</v>
      </c>
      <c r="K156">
        <v>46.472370041534802</v>
      </c>
      <c r="L156">
        <v>1.2566124055356372E-4</v>
      </c>
      <c r="M156">
        <v>1.6713136448520591E-5</v>
      </c>
      <c r="N156" s="1">
        <v>2.3023360081075399E-6</v>
      </c>
      <c r="O156" s="1">
        <v>7.54364102795996E-8</v>
      </c>
      <c r="P156" s="1">
        <v>-3.6856484860900602E-7</v>
      </c>
      <c r="Q156">
        <v>74.507966596542801</v>
      </c>
      <c r="R156">
        <v>7.7259232283837603E-2</v>
      </c>
      <c r="S156">
        <v>12.0687115837812</v>
      </c>
      <c r="T156">
        <v>0.186192800100413</v>
      </c>
      <c r="V156">
        <v>0.438799946903146</v>
      </c>
      <c r="W156">
        <v>2.5427089106072599E-2</v>
      </c>
      <c r="X156">
        <v>5.8677897937093701E-2</v>
      </c>
      <c r="AA156">
        <v>0.50474652570007195</v>
      </c>
      <c r="AB156">
        <v>3.8322772974519399</v>
      </c>
      <c r="AC156">
        <v>4.3498368263942204</v>
      </c>
      <c r="AD156">
        <v>3.9118598624725302E-3</v>
      </c>
      <c r="AE156">
        <v>3.94619234393664</v>
      </c>
    </row>
    <row r="157" spans="1:31" x14ac:dyDescent="0.2">
      <c r="A157">
        <v>156</v>
      </c>
      <c r="B157">
        <v>791</v>
      </c>
      <c r="C157">
        <v>115</v>
      </c>
      <c r="D157">
        <v>0.49255321148334702</v>
      </c>
      <c r="E157">
        <v>101.850490559609</v>
      </c>
      <c r="F157">
        <v>2.2005414612022798</v>
      </c>
      <c r="G157">
        <v>-1667.676681914395</v>
      </c>
      <c r="H157">
        <v>-1394.9834158279239</v>
      </c>
      <c r="I157">
        <v>256.25453750549298</v>
      </c>
      <c r="J157">
        <v>135.50852381520201</v>
      </c>
      <c r="K157">
        <v>46.284286097460097</v>
      </c>
      <c r="L157">
        <v>1.2548280244870265E-4</v>
      </c>
      <c r="M157">
        <v>1.6700478259678828E-5</v>
      </c>
      <c r="N157" s="1">
        <v>2.29345336008275E-6</v>
      </c>
      <c r="O157" s="1">
        <v>7.5015307167252005E-8</v>
      </c>
      <c r="P157" s="1">
        <v>-3.66451536187062E-7</v>
      </c>
      <c r="Q157">
        <v>74.555680517888604</v>
      </c>
      <c r="R157">
        <v>7.7564673047661598E-2</v>
      </c>
      <c r="S157">
        <v>12.037451064780701</v>
      </c>
      <c r="T157">
        <v>0.18712507062255401</v>
      </c>
      <c r="V157">
        <v>0.44035820966684203</v>
      </c>
      <c r="W157">
        <v>2.55276139144196E-2</v>
      </c>
      <c r="X157">
        <v>5.8909878264049198E-2</v>
      </c>
      <c r="AA157">
        <v>0.49918701980522301</v>
      </c>
      <c r="AB157">
        <v>3.81251515205311</v>
      </c>
      <c r="AC157">
        <v>4.3598249589571303</v>
      </c>
      <c r="AD157">
        <v>3.9273252176028001E-3</v>
      </c>
      <c r="AE157">
        <v>3.9419285157820201</v>
      </c>
    </row>
    <row r="158" spans="1:31" x14ac:dyDescent="0.2">
      <c r="A158">
        <v>157</v>
      </c>
      <c r="B158">
        <v>790</v>
      </c>
      <c r="C158">
        <v>115</v>
      </c>
      <c r="D158">
        <v>0.49201006443117301</v>
      </c>
      <c r="E158">
        <v>101.44783972015701</v>
      </c>
      <c r="F158">
        <v>2.20078418355497</v>
      </c>
      <c r="G158">
        <v>-1660.7296521891408</v>
      </c>
      <c r="H158">
        <v>-1389.5754406730325</v>
      </c>
      <c r="I158">
        <v>255.047934455258</v>
      </c>
      <c r="J158">
        <v>134.926157379279</v>
      </c>
      <c r="K158">
        <v>46.096223554409001</v>
      </c>
      <c r="L158">
        <v>1.2530358552139442E-4</v>
      </c>
      <c r="M158">
        <v>1.6687824012973338E-5</v>
      </c>
      <c r="N158" s="1">
        <v>2.2845542789215999E-6</v>
      </c>
      <c r="O158" s="1">
        <v>7.4594994418994594E-8</v>
      </c>
      <c r="P158" s="1">
        <v>-3.6433890241745101E-7</v>
      </c>
      <c r="Q158">
        <v>74.603506830464198</v>
      </c>
      <c r="R158">
        <v>7.7872530571297699E-2</v>
      </c>
      <c r="S158">
        <v>12.0061598558681</v>
      </c>
      <c r="T158">
        <v>0.18806481614300899</v>
      </c>
      <c r="V158">
        <v>0.44192871332047701</v>
      </c>
      <c r="W158">
        <v>2.5628934112071799E-2</v>
      </c>
      <c r="X158">
        <v>5.91436941047861E-2</v>
      </c>
      <c r="AA158">
        <v>0.49382413403839898</v>
      </c>
      <c r="AB158">
        <v>3.7926072689491099</v>
      </c>
      <c r="AC158">
        <v>4.3696719581227796</v>
      </c>
      <c r="AD158">
        <v>3.9429129403184696E-3</v>
      </c>
      <c r="AE158">
        <v>3.93764835136533</v>
      </c>
    </row>
    <row r="159" spans="1:31" x14ac:dyDescent="0.2">
      <c r="A159">
        <v>158</v>
      </c>
      <c r="B159">
        <v>789</v>
      </c>
      <c r="C159">
        <v>115</v>
      </c>
      <c r="D159">
        <v>0.49146589464765</v>
      </c>
      <c r="E159">
        <v>101.04533302641801</v>
      </c>
      <c r="F159">
        <v>2.2010279676712301</v>
      </c>
      <c r="G159">
        <v>-1653.7885446184575</v>
      </c>
      <c r="H159">
        <v>-1384.1693361383946</v>
      </c>
      <c r="I159">
        <v>253.84287386909801</v>
      </c>
      <c r="J159">
        <v>134.34430643098901</v>
      </c>
      <c r="K159">
        <v>45.908245833572003</v>
      </c>
      <c r="L159">
        <v>1.2512364725465093E-4</v>
      </c>
      <c r="M159">
        <v>1.6675178662818855E-5</v>
      </c>
      <c r="N159" s="1">
        <v>2.2756433542701101E-6</v>
      </c>
      <c r="O159" s="1">
        <v>7.4175615644564605E-8</v>
      </c>
      <c r="P159" s="1">
        <v>-3.6222774435759497E-7</v>
      </c>
      <c r="Q159">
        <v>74.651441430406507</v>
      </c>
      <c r="R159">
        <v>7.8182730101296796E-2</v>
      </c>
      <c r="S159">
        <v>11.9748407716583</v>
      </c>
      <c r="T159">
        <v>0.18901190020838901</v>
      </c>
      <c r="V159">
        <v>0.44351099397369098</v>
      </c>
      <c r="W159">
        <v>2.57310250966283E-2</v>
      </c>
      <c r="X159">
        <v>5.9379288684532801E-2</v>
      </c>
      <c r="AA159">
        <v>0.48865347201930898</v>
      </c>
      <c r="AB159">
        <v>3.7725654392043699</v>
      </c>
      <c r="AC159">
        <v>4.37937001173922</v>
      </c>
      <c r="AD159">
        <v>3.9586192456347903E-3</v>
      </c>
      <c r="AE159">
        <v>3.9333543176619998</v>
      </c>
    </row>
    <row r="160" spans="1:31" x14ac:dyDescent="0.2">
      <c r="A160">
        <v>159</v>
      </c>
      <c r="B160">
        <v>788</v>
      </c>
      <c r="C160">
        <v>115</v>
      </c>
      <c r="D160">
        <v>0.49092069924139198</v>
      </c>
      <c r="E160">
        <v>100.64310022650901</v>
      </c>
      <c r="F160">
        <v>2.2012727030719801</v>
      </c>
      <c r="G160">
        <v>-1646.8555272818394</v>
      </c>
      <c r="H160">
        <v>-1378.7668908895348</v>
      </c>
      <c r="I160">
        <v>252.63971765754499</v>
      </c>
      <c r="J160">
        <v>133.763151413798</v>
      </c>
      <c r="K160">
        <v>45.720414415740898</v>
      </c>
      <c r="L160">
        <v>1.2494304452570341E-4</v>
      </c>
      <c r="M160">
        <v>1.6662547093579841E-5</v>
      </c>
      <c r="N160" s="1">
        <v>2.26672505300948E-6</v>
      </c>
      <c r="O160" s="1">
        <v>7.3757309532706696E-8</v>
      </c>
      <c r="P160" s="1">
        <v>-3.6011883441367001E-7</v>
      </c>
      <c r="Q160">
        <v>74.699480286186599</v>
      </c>
      <c r="R160">
        <v>7.8495197208951498E-2</v>
      </c>
      <c r="S160">
        <v>11.943496566002899</v>
      </c>
      <c r="T160">
        <v>0.18996618692374601</v>
      </c>
      <c r="V160">
        <v>0.44510458978220502</v>
      </c>
      <c r="W160">
        <v>2.5833862372565099E-2</v>
      </c>
      <c r="X160">
        <v>5.9616605475157299E-2</v>
      </c>
      <c r="AA160">
        <v>0.483670603707966</v>
      </c>
      <c r="AB160">
        <v>3.7524013644694398</v>
      </c>
      <c r="AC160">
        <v>4.3889114434211196</v>
      </c>
      <c r="AD160">
        <v>3.9744403650096303E-3</v>
      </c>
      <c r="AE160">
        <v>3.9290488540842099</v>
      </c>
    </row>
    <row r="161" spans="1:31" x14ac:dyDescent="0.2">
      <c r="A161">
        <v>160</v>
      </c>
      <c r="B161">
        <v>787</v>
      </c>
      <c r="C161">
        <v>115</v>
      </c>
      <c r="D161">
        <v>0.49037447531009798</v>
      </c>
      <c r="E161">
        <v>100.241266638718</v>
      </c>
      <c r="F161">
        <v>2.2015182804558702</v>
      </c>
      <c r="G161">
        <v>-1639.9326920467872</v>
      </c>
      <c r="H161">
        <v>-1373.3698326642309</v>
      </c>
      <c r="I161">
        <v>251.438814679579</v>
      </c>
      <c r="J161">
        <v>133.182866371431</v>
      </c>
      <c r="K161">
        <v>45.532788679802003</v>
      </c>
      <c r="L161">
        <v>1.2476183344284694E-4</v>
      </c>
      <c r="M161">
        <v>1.6649934109664818E-5</v>
      </c>
      <c r="N161" s="1">
        <v>2.2578037080132498E-6</v>
      </c>
      <c r="O161" s="1">
        <v>7.3340209534728204E-8</v>
      </c>
      <c r="P161" s="1">
        <v>-3.5801291845437998E-7</v>
      </c>
      <c r="Q161">
        <v>74.747619461587306</v>
      </c>
      <c r="R161">
        <v>7.8809858104374395E-2</v>
      </c>
      <c r="S161">
        <v>11.9121299186105</v>
      </c>
      <c r="T161">
        <v>0.19092754162558201</v>
      </c>
      <c r="V161">
        <v>0.44670904280718898</v>
      </c>
      <c r="W161">
        <v>2.5937421654602701E-2</v>
      </c>
      <c r="X161">
        <v>5.9855588433707398E-2</v>
      </c>
      <c r="AA161">
        <v>0.478871081253052</v>
      </c>
      <c r="AB161">
        <v>3.73212662488775</v>
      </c>
      <c r="AC161">
        <v>4.3982887218251596</v>
      </c>
      <c r="AD161">
        <v>3.9903725622461098E-3</v>
      </c>
      <c r="AE161">
        <v>3.92473436664846</v>
      </c>
    </row>
    <row r="162" spans="1:31" x14ac:dyDescent="0.2">
      <c r="A162">
        <v>161</v>
      </c>
      <c r="B162">
        <v>786</v>
      </c>
      <c r="C162">
        <v>115</v>
      </c>
      <c r="D162">
        <v>0.48982721994052197</v>
      </c>
      <c r="E162">
        <v>99.839952861966694</v>
      </c>
      <c r="F162">
        <v>2.20176459191942</v>
      </c>
      <c r="G162">
        <v>-1633.0220498666094</v>
      </c>
      <c r="H162">
        <v>-1367.979824299769</v>
      </c>
      <c r="I162">
        <v>250.24049999229601</v>
      </c>
      <c r="J162">
        <v>132.60361855758001</v>
      </c>
      <c r="K162">
        <v>45.345425768215101</v>
      </c>
      <c r="L162">
        <v>1.2458006920364542E-4</v>
      </c>
      <c r="M162">
        <v>1.663734442722591E-5</v>
      </c>
      <c r="N162" s="1">
        <v>2.2488835087796198E-6</v>
      </c>
      <c r="O162" s="1">
        <v>7.2924443610750794E-8</v>
      </c>
      <c r="P162" s="1">
        <v>-3.55910714271064E-7</v>
      </c>
      <c r="Q162">
        <v>74.795855135984397</v>
      </c>
      <c r="R162">
        <v>7.9126639922619896E-2</v>
      </c>
      <c r="S162">
        <v>11.8807434232377</v>
      </c>
      <c r="T162">
        <v>0.19189583149640699</v>
      </c>
      <c r="V162">
        <v>0.44832390070787498</v>
      </c>
      <c r="W162">
        <v>2.6041678961873201E-2</v>
      </c>
      <c r="X162">
        <v>6.0096182219717097E-2</v>
      </c>
      <c r="AA162">
        <v>0.47425045389111598</v>
      </c>
      <c r="AB162">
        <v>3.7117526500405602</v>
      </c>
      <c r="AC162">
        <v>4.4074944684000803</v>
      </c>
      <c r="AD162">
        <v>4.0064121479799798E-3</v>
      </c>
      <c r="AE162">
        <v>3.9204132229895201</v>
      </c>
    </row>
    <row r="163" spans="1:31" x14ac:dyDescent="0.2">
      <c r="A163">
        <v>162</v>
      </c>
      <c r="B163">
        <v>785</v>
      </c>
      <c r="C163">
        <v>115</v>
      </c>
      <c r="D163">
        <v>0.48927893020838498</v>
      </c>
      <c r="E163">
        <v>99.287025515568303</v>
      </c>
      <c r="F163">
        <v>2.2020625538227101</v>
      </c>
      <c r="G163">
        <v>-1623.5970651137652</v>
      </c>
      <c r="H163">
        <v>-1360.4777391734999</v>
      </c>
      <c r="I163">
        <v>248.659760847012</v>
      </c>
      <c r="J163">
        <v>131.82400215177699</v>
      </c>
      <c r="K163">
        <v>45.088194857684201</v>
      </c>
      <c r="L163">
        <v>1.2439945765124841E-4</v>
      </c>
      <c r="M163">
        <v>1.6623287371177842E-5</v>
      </c>
      <c r="N163" s="1">
        <v>2.23621837420085E-6</v>
      </c>
      <c r="O163" s="1">
        <v>7.2389940209536598E-8</v>
      </c>
      <c r="P163" s="1">
        <v>-3.5328081255211601E-7</v>
      </c>
      <c r="Q163">
        <v>74.836929362657798</v>
      </c>
      <c r="R163">
        <v>7.9567294507796496E-2</v>
      </c>
      <c r="S163">
        <v>11.8524151536616</v>
      </c>
      <c r="T163">
        <v>0.19317743736854401</v>
      </c>
      <c r="V163">
        <v>0.450628999439113</v>
      </c>
      <c r="W163">
        <v>2.61867045215502E-2</v>
      </c>
      <c r="X163">
        <v>6.0430856588210798E-2</v>
      </c>
      <c r="AA163">
        <v>0.46931620847017902</v>
      </c>
      <c r="AB163">
        <v>3.6902887328005298</v>
      </c>
      <c r="AC163">
        <v>4.4215040637093104</v>
      </c>
      <c r="AD163">
        <v>4.0287237725452202E-3</v>
      </c>
      <c r="AE163">
        <v>3.91552646250266</v>
      </c>
    </row>
    <row r="164" spans="1:31" x14ac:dyDescent="0.2">
      <c r="A164">
        <v>163</v>
      </c>
      <c r="B164">
        <v>784</v>
      </c>
      <c r="C164">
        <v>115</v>
      </c>
      <c r="D164">
        <v>0.48872960317835601</v>
      </c>
      <c r="E164">
        <v>97.110824228669799</v>
      </c>
      <c r="F164">
        <v>2.2029114961118399</v>
      </c>
      <c r="G164">
        <v>-1587.2340541647102</v>
      </c>
      <c r="H164">
        <v>-1330.3730796152313</v>
      </c>
      <c r="I164">
        <v>242.97495582413001</v>
      </c>
      <c r="J164">
        <v>128.89584014526699</v>
      </c>
      <c r="K164">
        <v>44.082944049305098</v>
      </c>
      <c r="L164">
        <v>1.242318419378141E-4</v>
      </c>
      <c r="M164">
        <v>1.6593274838431448E-5</v>
      </c>
      <c r="N164" s="1">
        <v>2.1836024627572902E-6</v>
      </c>
      <c r="O164" s="1">
        <v>7.0578641999843098E-8</v>
      </c>
      <c r="P164" s="1">
        <v>-3.4496775245829702E-7</v>
      </c>
      <c r="Q164">
        <v>74.802058857891097</v>
      </c>
      <c r="R164">
        <v>8.1350354739014294E-2</v>
      </c>
      <c r="S164">
        <v>11.856027939303999</v>
      </c>
      <c r="T164">
        <v>0.19783552280691599</v>
      </c>
      <c r="V164">
        <v>0.460431240127049</v>
      </c>
      <c r="W164">
        <v>2.6773534471064699E-2</v>
      </c>
      <c r="X164">
        <v>6.1785079548630203E-2</v>
      </c>
      <c r="AA164">
        <v>0.45996831444253899</v>
      </c>
      <c r="AB164">
        <v>3.6572244440810202</v>
      </c>
      <c r="AC164">
        <v>4.48784716694969</v>
      </c>
      <c r="AD164">
        <v>4.1190053032397703E-3</v>
      </c>
      <c r="AE164">
        <v>3.9045785403356801</v>
      </c>
    </row>
    <row r="165" spans="1:31" x14ac:dyDescent="0.2">
      <c r="A165">
        <v>164</v>
      </c>
      <c r="B165">
        <v>783</v>
      </c>
      <c r="C165">
        <v>115</v>
      </c>
      <c r="D165">
        <v>0.48817923590399198</v>
      </c>
      <c r="E165">
        <v>94.833641807774001</v>
      </c>
      <c r="F165">
        <v>2.2038036404745398</v>
      </c>
      <c r="G165">
        <v>-1549.234123281713</v>
      </c>
      <c r="H165">
        <v>-1298.8816317235576</v>
      </c>
      <c r="I165">
        <v>237.04255224935301</v>
      </c>
      <c r="J165">
        <v>125.834712058021</v>
      </c>
      <c r="K165">
        <v>43.031801956436297</v>
      </c>
      <c r="L165">
        <v>1.240568366487568E-4</v>
      </c>
      <c r="M165">
        <v>1.6562416455790671E-5</v>
      </c>
      <c r="N165" s="1">
        <v>2.1286232336452902E-6</v>
      </c>
      <c r="O165" s="1">
        <v>6.8697299506173902E-8</v>
      </c>
      <c r="P165" s="1">
        <v>-3.3628099656819902E-7</v>
      </c>
      <c r="Q165">
        <v>74.765756358383797</v>
      </c>
      <c r="R165">
        <v>8.3303771208254898E-2</v>
      </c>
      <c r="S165">
        <v>11.859647106368501</v>
      </c>
      <c r="T165">
        <v>0.20291629015583401</v>
      </c>
      <c r="V165">
        <v>0.47119011998472199</v>
      </c>
      <c r="W165">
        <v>2.74164310305611E-2</v>
      </c>
      <c r="X165">
        <v>6.3268686993625006E-2</v>
      </c>
      <c r="AA165">
        <v>0.45176399302172798</v>
      </c>
      <c r="AB165">
        <v>3.6218868313924402</v>
      </c>
      <c r="AC165">
        <v>4.5554483308064704</v>
      </c>
      <c r="AD165">
        <v>4.2179124662388504E-3</v>
      </c>
      <c r="AE165">
        <v>3.8931841681876902</v>
      </c>
    </row>
    <row r="166" spans="1:31" x14ac:dyDescent="0.2">
      <c r="A166">
        <v>165</v>
      </c>
      <c r="B166">
        <v>782</v>
      </c>
      <c r="C166">
        <v>115</v>
      </c>
      <c r="D166">
        <v>0.48762782542766497</v>
      </c>
      <c r="E166">
        <v>92.406501522852295</v>
      </c>
      <c r="F166">
        <v>2.2047491856194901</v>
      </c>
      <c r="G166">
        <v>-1508.7962095152743</v>
      </c>
      <c r="H166">
        <v>-1265.329962391459</v>
      </c>
      <c r="I166">
        <v>230.74088719501</v>
      </c>
      <c r="J166">
        <v>122.575829736808</v>
      </c>
      <c r="K166">
        <v>41.912477902509302</v>
      </c>
      <c r="L166">
        <v>1.2387421147495414E-4</v>
      </c>
      <c r="M166">
        <v>1.6530653584624717E-5</v>
      </c>
      <c r="N166" s="1">
        <v>2.0701919431744602E-6</v>
      </c>
      <c r="O166" s="1">
        <v>6.6711150034273503E-8</v>
      </c>
      <c r="P166" s="1">
        <v>-3.2704762024553903E-7</v>
      </c>
      <c r="Q166">
        <v>74.727546086026706</v>
      </c>
      <c r="R166">
        <v>8.5491820053881507E-2</v>
      </c>
      <c r="S166">
        <v>11.863242193560099</v>
      </c>
      <c r="T166">
        <v>0.20857550742036399</v>
      </c>
      <c r="V166">
        <v>0.48326992288896897</v>
      </c>
      <c r="W166">
        <v>2.8136548372159498E-2</v>
      </c>
      <c r="X166">
        <v>6.4930496243469096E-2</v>
      </c>
      <c r="AA166">
        <v>0.44489716943333701</v>
      </c>
      <c r="AB166">
        <v>3.5839776313512401</v>
      </c>
      <c r="AC166">
        <v>4.6243005445909002</v>
      </c>
      <c r="AD166">
        <v>4.3286997495614599E-3</v>
      </c>
      <c r="AE166">
        <v>3.88130338030924</v>
      </c>
    </row>
    <row r="167" spans="1:31" x14ac:dyDescent="0.2">
      <c r="A167">
        <v>166</v>
      </c>
      <c r="B167">
        <v>781</v>
      </c>
      <c r="C167">
        <v>115</v>
      </c>
      <c r="D167">
        <v>0.48707536878053398</v>
      </c>
      <c r="E167">
        <v>89.739310203265305</v>
      </c>
      <c r="F167">
        <v>2.2057665615102402</v>
      </c>
      <c r="G167">
        <v>-1464.4467105464159</v>
      </c>
      <c r="H167">
        <v>-1228.4793812049106</v>
      </c>
      <c r="I167">
        <v>223.84606492577501</v>
      </c>
      <c r="J167">
        <v>119.000019207969</v>
      </c>
      <c r="K167">
        <v>40.683956212402897</v>
      </c>
      <c r="L167">
        <v>1.2368380317048596E-4</v>
      </c>
      <c r="M167">
        <v>1.6497910112122917E-5</v>
      </c>
      <c r="N167" s="1">
        <v>2.0063038485301399E-6</v>
      </c>
      <c r="O167" s="1">
        <v>6.4556162597914302E-8</v>
      </c>
      <c r="P167" s="1">
        <v>-3.16948842959746E-7</v>
      </c>
      <c r="Q167">
        <v>74.686546477744699</v>
      </c>
      <c r="R167">
        <v>8.8032769386198501E-2</v>
      </c>
      <c r="S167">
        <v>11.866770101049701</v>
      </c>
      <c r="T167">
        <v>0.21509912931148301</v>
      </c>
      <c r="V167">
        <v>0.49734152374775398</v>
      </c>
      <c r="W167">
        <v>2.8972810177730499E-2</v>
      </c>
      <c r="X167">
        <v>6.6860331179412397E-2</v>
      </c>
      <c r="AA167">
        <v>0.43974322712710701</v>
      </c>
      <c r="AB167">
        <v>3.5429884092977502</v>
      </c>
      <c r="AC167">
        <v>4.6943103337251104</v>
      </c>
      <c r="AD167">
        <v>4.4573554119560696E-3</v>
      </c>
      <c r="AE167">
        <v>3.86887753184098</v>
      </c>
    </row>
    <row r="168" spans="1:31" x14ac:dyDescent="0.2">
      <c r="A168">
        <v>167</v>
      </c>
      <c r="B168">
        <v>780</v>
      </c>
      <c r="C168">
        <v>115</v>
      </c>
      <c r="D168">
        <v>0.48652186298248101</v>
      </c>
      <c r="E168">
        <v>86.638437776985498</v>
      </c>
      <c r="F168">
        <v>2.2068944650307301</v>
      </c>
      <c r="G168">
        <v>-1413.0188462297338</v>
      </c>
      <c r="H168">
        <v>-1185.6680637541651</v>
      </c>
      <c r="I168">
        <v>215.876923966736</v>
      </c>
      <c r="J168">
        <v>114.851207061477</v>
      </c>
      <c r="K168">
        <v>39.2580792375039</v>
      </c>
      <c r="L168">
        <v>1.2348612580428465E-4</v>
      </c>
      <c r="M168">
        <v>1.6464119966296927E-5</v>
      </c>
      <c r="N168" s="1">
        <v>1.93265799391524E-6</v>
      </c>
      <c r="O168" s="1">
        <v>6.2094870398877006E-8</v>
      </c>
      <c r="P168" s="1">
        <v>-3.0529997258983702E-7</v>
      </c>
      <c r="Q168">
        <v>74.640824624724104</v>
      </c>
      <c r="R168">
        <v>9.1183546272335603E-2</v>
      </c>
      <c r="S168">
        <v>11.8701712992784</v>
      </c>
      <c r="T168">
        <v>0.223107060097678</v>
      </c>
      <c r="V168">
        <v>0.51486351551577203</v>
      </c>
      <c r="W168">
        <v>3.0009774722534601E-2</v>
      </c>
      <c r="X168">
        <v>6.9253326282809599E-2</v>
      </c>
      <c r="AA168">
        <v>0.43713909427057801</v>
      </c>
      <c r="AB168">
        <v>3.4979689782481498</v>
      </c>
      <c r="AC168">
        <v>4.7650355335542898</v>
      </c>
      <c r="AD168">
        <v>4.6168884188492899E-3</v>
      </c>
      <c r="AE168">
        <v>3.8558263586144501</v>
      </c>
    </row>
    <row r="169" spans="1:31" x14ac:dyDescent="0.2">
      <c r="A169">
        <v>168</v>
      </c>
      <c r="B169">
        <v>779</v>
      </c>
      <c r="C169">
        <v>115</v>
      </c>
      <c r="D169">
        <v>0.48596730504205599</v>
      </c>
      <c r="E169">
        <v>82.562290443614003</v>
      </c>
      <c r="F169">
        <v>2.20823806806809</v>
      </c>
      <c r="G169">
        <v>-1345.657388579564</v>
      </c>
      <c r="H169">
        <v>-1129.4525813548303</v>
      </c>
      <c r="I169">
        <v>205.48857788788001</v>
      </c>
      <c r="J169">
        <v>109.41347817832801</v>
      </c>
      <c r="K169">
        <v>37.388310453249602</v>
      </c>
      <c r="L169">
        <v>1.2328644679902363E-4</v>
      </c>
      <c r="M169">
        <v>1.6429508843762859E-5</v>
      </c>
      <c r="N169" s="1">
        <v>1.8372857016831E-6</v>
      </c>
      <c r="O169" s="1">
        <v>5.8944319181544202E-8</v>
      </c>
      <c r="P169" s="1">
        <v>-2.9019317798310298E-7</v>
      </c>
      <c r="Q169">
        <v>74.584743385175699</v>
      </c>
      <c r="R169">
        <v>9.5685329919429199E-2</v>
      </c>
      <c r="S169">
        <v>11.8733929874697</v>
      </c>
      <c r="T169">
        <v>0.234383914010243</v>
      </c>
      <c r="V169">
        <v>0.54004693212903898</v>
      </c>
      <c r="W169">
        <v>3.14913744038526E-2</v>
      </c>
      <c r="X169">
        <v>7.2672402470489297E-2</v>
      </c>
      <c r="AA169">
        <v>0.43948656801048902</v>
      </c>
      <c r="AB169">
        <v>3.4469001726474899</v>
      </c>
      <c r="AC169">
        <v>4.8342343099664697</v>
      </c>
      <c r="AD169">
        <v>4.84482683135862E-3</v>
      </c>
      <c r="AE169">
        <v>3.8421177969656299</v>
      </c>
    </row>
    <row r="170" spans="1:31" x14ac:dyDescent="0.2">
      <c r="A170">
        <v>169</v>
      </c>
      <c r="B170">
        <v>778</v>
      </c>
      <c r="C170">
        <v>115</v>
      </c>
      <c r="D170">
        <v>0.48541169195642903</v>
      </c>
      <c r="E170">
        <v>71.574127933489294</v>
      </c>
      <c r="F170">
        <v>2.21069503163449</v>
      </c>
      <c r="G170">
        <v>-1165.3431935753229</v>
      </c>
      <c r="H170">
        <v>-978.26137467958472</v>
      </c>
      <c r="I170">
        <v>177.978232312931</v>
      </c>
      <c r="J170">
        <v>94.844348529668096</v>
      </c>
      <c r="K170">
        <v>32.376301076937999</v>
      </c>
      <c r="L170">
        <v>1.2327847906818889E-4</v>
      </c>
      <c r="M170">
        <v>1.6409555683481995E-5</v>
      </c>
      <c r="N170" s="1">
        <v>1.5911091474875301E-6</v>
      </c>
      <c r="O170" s="1">
        <v>5.09622638876439E-8</v>
      </c>
      <c r="P170" s="1">
        <v>-2.5107241179675598E-7</v>
      </c>
      <c r="Q170">
        <v>74.457043660590102</v>
      </c>
      <c r="R170">
        <v>0.110375078650524</v>
      </c>
      <c r="S170">
        <v>11.8720234168009</v>
      </c>
      <c r="T170">
        <v>0.27018101527648097</v>
      </c>
      <c r="V170">
        <v>0.62312294184063799</v>
      </c>
      <c r="W170">
        <v>3.6325975252052098E-2</v>
      </c>
      <c r="X170">
        <v>8.3829173658697298E-2</v>
      </c>
      <c r="AA170">
        <v>0.457883430751162</v>
      </c>
      <c r="AB170">
        <v>3.3983419336715301</v>
      </c>
      <c r="AC170">
        <v>4.8515432292216696</v>
      </c>
      <c r="AD170">
        <v>5.58861157723299E-3</v>
      </c>
      <c r="AE170">
        <v>3.8337415327088902</v>
      </c>
    </row>
    <row r="171" spans="1:31" x14ac:dyDescent="0.2">
      <c r="A171">
        <v>170</v>
      </c>
      <c r="B171">
        <v>777</v>
      </c>
      <c r="C171">
        <v>115</v>
      </c>
      <c r="D171">
        <v>0.48485502071132902</v>
      </c>
      <c r="E171">
        <v>50.004590666901301</v>
      </c>
      <c r="F171">
        <v>2.21308007180984</v>
      </c>
      <c r="G171">
        <v>-813.65332093188147</v>
      </c>
      <c r="H171">
        <v>-683.23336976770725</v>
      </c>
      <c r="I171">
        <v>124.19173562269501</v>
      </c>
      <c r="J171">
        <v>66.269025780689702</v>
      </c>
      <c r="K171">
        <v>22.595020986298</v>
      </c>
      <c r="L171">
        <v>1.2308875898348604E-4</v>
      </c>
      <c r="M171">
        <v>1.6377310267772072E-5</v>
      </c>
      <c r="N171" s="1">
        <v>1.1086041046105099E-6</v>
      </c>
      <c r="O171" s="1">
        <v>3.5453549366638297E-8</v>
      </c>
      <c r="P171" s="1">
        <v>-1.7463675492462401E-7</v>
      </c>
      <c r="Q171">
        <v>74.335202581820198</v>
      </c>
      <c r="R171">
        <v>0.13250838214164901</v>
      </c>
      <c r="S171">
        <v>11.910751301800699</v>
      </c>
      <c r="T171">
        <v>0.28178267324296202</v>
      </c>
      <c r="V171">
        <v>0.65060067201371696</v>
      </c>
      <c r="W171">
        <v>5.1995226144701603E-2</v>
      </c>
      <c r="X171">
        <v>0.116718271178021</v>
      </c>
      <c r="AA171">
        <v>0.49405477047284502</v>
      </c>
      <c r="AB171">
        <v>3.3092711339262801</v>
      </c>
      <c r="AC171">
        <v>4.8901188296141997</v>
      </c>
      <c r="AD171">
        <v>7.9992655607146797E-3</v>
      </c>
      <c r="AE171">
        <v>3.8189968920839301</v>
      </c>
    </row>
    <row r="172" spans="1:31" x14ac:dyDescent="0.2">
      <c r="A172">
        <v>171</v>
      </c>
      <c r="B172">
        <v>776</v>
      </c>
      <c r="C172">
        <v>115</v>
      </c>
      <c r="D172">
        <v>0.484297288280991</v>
      </c>
      <c r="E172">
        <v>31.7422777668808</v>
      </c>
      <c r="F172">
        <v>2.2150751338077601</v>
      </c>
      <c r="G172">
        <v>-516.42594092582829</v>
      </c>
      <c r="H172">
        <v>-433.81961746118179</v>
      </c>
      <c r="I172">
        <v>78.736428027113803</v>
      </c>
      <c r="J172">
        <v>42.082886884819402</v>
      </c>
      <c r="K172">
        <v>14.3301133593221</v>
      </c>
      <c r="L172">
        <v>1.22833825983454E-4</v>
      </c>
      <c r="M172">
        <v>1.6344404407589727E-5</v>
      </c>
      <c r="N172" s="1">
        <v>7.0171220348328195E-7</v>
      </c>
      <c r="O172" s="1">
        <v>2.2406401907616599E-8</v>
      </c>
      <c r="P172" s="1">
        <v>-1.10280531565608E-7</v>
      </c>
      <c r="Q172">
        <v>74.221022148185796</v>
      </c>
      <c r="R172">
        <v>0.154845915818727</v>
      </c>
      <c r="S172">
        <v>11.990960859266799</v>
      </c>
      <c r="T172">
        <v>0.27016022115514499</v>
      </c>
      <c r="V172">
        <v>0.62457659243784402</v>
      </c>
      <c r="W172">
        <v>8.1909685848425298E-2</v>
      </c>
      <c r="X172">
        <v>0.175385382626917</v>
      </c>
      <c r="AA172">
        <v>0.52519781533474597</v>
      </c>
      <c r="AB172">
        <v>3.2062545379955698</v>
      </c>
      <c r="AC172">
        <v>4.9333702212482802</v>
      </c>
      <c r="AD172">
        <v>1.26014901305139E-2</v>
      </c>
      <c r="AE172">
        <v>3.8037151299511298</v>
      </c>
    </row>
    <row r="173" spans="1:31" x14ac:dyDescent="0.2">
      <c r="A173">
        <v>172</v>
      </c>
      <c r="B173">
        <v>775</v>
      </c>
      <c r="C173">
        <v>115</v>
      </c>
      <c r="D173">
        <v>0.483738491628109</v>
      </c>
      <c r="E173">
        <v>19.9647197686574</v>
      </c>
      <c r="F173">
        <v>2.2171531077379201</v>
      </c>
      <c r="G173">
        <v>-324.75522543873092</v>
      </c>
      <c r="H173">
        <v>-272.91082444111203</v>
      </c>
      <c r="I173">
        <v>49.462768685415902</v>
      </c>
      <c r="J173">
        <v>26.477369226198199</v>
      </c>
      <c r="K173">
        <v>9.0046644496404191</v>
      </c>
      <c r="L173">
        <v>1.2265239695492735E-4</v>
      </c>
      <c r="M173">
        <v>1.6323903062947443E-5</v>
      </c>
      <c r="N173" s="1">
        <v>4.4048368630199098E-7</v>
      </c>
      <c r="O173" s="1">
        <v>1.4042440232216E-8</v>
      </c>
      <c r="P173" s="1">
        <v>-6.9019017803055301E-8</v>
      </c>
      <c r="Q173">
        <v>74.067210985022001</v>
      </c>
      <c r="R173">
        <v>0.18156664733365599</v>
      </c>
      <c r="S173">
        <v>12.126163227672899</v>
      </c>
      <c r="T173">
        <v>0.258690955867108</v>
      </c>
      <c r="V173">
        <v>0.59974620814242696</v>
      </c>
      <c r="W173">
        <v>0.13022972674427299</v>
      </c>
      <c r="X173">
        <v>0.20988836330783101</v>
      </c>
      <c r="AA173">
        <v>0.54405252809246896</v>
      </c>
      <c r="AB173">
        <v>3.0989066722802798</v>
      </c>
      <c r="AC173">
        <v>4.9715946328750196</v>
      </c>
      <c r="AD173">
        <v>2.0035342576012201E-2</v>
      </c>
      <c r="AE173">
        <v>3.7919147100859698</v>
      </c>
    </row>
    <row r="174" spans="1:31" x14ac:dyDescent="0.2">
      <c r="A174">
        <v>173</v>
      </c>
      <c r="B174">
        <v>774</v>
      </c>
      <c r="C174">
        <v>115</v>
      </c>
      <c r="D174">
        <v>0.48317862770377201</v>
      </c>
      <c r="E174">
        <v>13.1669125846387</v>
      </c>
      <c r="F174">
        <v>2.2192765419135099</v>
      </c>
      <c r="G174">
        <v>-214.12797304582537</v>
      </c>
      <c r="H174">
        <v>-180.00815372892708</v>
      </c>
      <c r="I174">
        <v>32.583506963566101</v>
      </c>
      <c r="J174">
        <v>17.466359216568801</v>
      </c>
      <c r="K174">
        <v>5.9329751547258303</v>
      </c>
      <c r="L174">
        <v>1.2254669855820611E-4</v>
      </c>
      <c r="M174">
        <v>1.6317125903148922E-5</v>
      </c>
      <c r="N174" s="1">
        <v>2.9024074520346302E-7</v>
      </c>
      <c r="O174" s="1">
        <v>9.2370921466527796E-9</v>
      </c>
      <c r="P174" s="1">
        <v>-4.53120208618344E-8</v>
      </c>
      <c r="Q174">
        <v>73.873396000455401</v>
      </c>
      <c r="R174">
        <v>0.207573729822154</v>
      </c>
      <c r="S174">
        <v>12.320919843754901</v>
      </c>
      <c r="T174">
        <v>0.248578200911034</v>
      </c>
      <c r="V174">
        <v>0.57884834500037297</v>
      </c>
      <c r="W174">
        <v>0.19746466632058901</v>
      </c>
      <c r="X174">
        <v>0.21435080634110301</v>
      </c>
      <c r="AA174">
        <v>0.55237293044063196</v>
      </c>
      <c r="AB174">
        <v>2.9860676769381298</v>
      </c>
      <c r="AC174">
        <v>5.0058680587838804</v>
      </c>
      <c r="AD174">
        <v>3.0379179433879699E-2</v>
      </c>
      <c r="AE174">
        <v>3.7841805617978799</v>
      </c>
    </row>
    <row r="175" spans="1:31" x14ac:dyDescent="0.2">
      <c r="A175">
        <v>174</v>
      </c>
      <c r="B175">
        <v>773</v>
      </c>
      <c r="C175">
        <v>115</v>
      </c>
      <c r="D175">
        <v>0.48261769344740202</v>
      </c>
      <c r="E175">
        <v>9.7871282075917403</v>
      </c>
      <c r="F175">
        <v>2.2212456820719999</v>
      </c>
      <c r="G175">
        <v>-159.1256900117636</v>
      </c>
      <c r="H175">
        <v>-133.8136977055062</v>
      </c>
      <c r="I175">
        <v>24.195375716921401</v>
      </c>
      <c r="J175">
        <v>12.986745375206899</v>
      </c>
      <c r="K175">
        <v>4.4061439428267999</v>
      </c>
      <c r="L175">
        <v>1.2251390749188007E-4</v>
      </c>
      <c r="M175">
        <v>1.6318328772714089E-5</v>
      </c>
      <c r="N175" s="1">
        <v>2.15772526057537E-7</v>
      </c>
      <c r="O175" s="1">
        <v>6.8548115968717199E-9</v>
      </c>
      <c r="P175" s="1">
        <v>-3.35641675275964E-8</v>
      </c>
      <c r="Q175">
        <v>73.679501790250399</v>
      </c>
      <c r="R175">
        <v>0.224947311451971</v>
      </c>
      <c r="S175">
        <v>12.5166466868362</v>
      </c>
      <c r="T175">
        <v>0.24129532196369</v>
      </c>
      <c r="V175">
        <v>0.56443530235108297</v>
      </c>
      <c r="W175">
        <v>0.26565504659283801</v>
      </c>
      <c r="X175">
        <v>0.217156415124519</v>
      </c>
      <c r="AA175">
        <v>0.55426467379121203</v>
      </c>
      <c r="AB175">
        <v>2.8870227688378001</v>
      </c>
      <c r="AC175">
        <v>5.0277474791204702</v>
      </c>
      <c r="AD175">
        <v>4.0870007168043503E-2</v>
      </c>
      <c r="AE175">
        <v>3.7804571965116298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2E62C-81D6-44E8-9106-DE2E0D4C4F8A}">
  <sheetPr codeName="Sheet5"/>
  <dimension ref="A1:P175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763</v>
      </c>
      <c r="C2">
        <v>275</v>
      </c>
      <c r="D2">
        <v>0.30708922453313198</v>
      </c>
      <c r="E2">
        <v>4.0877764558780099</v>
      </c>
      <c r="F2">
        <v>0.54996166268446101</v>
      </c>
      <c r="G2">
        <v>-88.792932028672908</v>
      </c>
      <c r="H2">
        <v>-51.942625939948172</v>
      </c>
      <c r="I2">
        <v>35.566901863080602</v>
      </c>
      <c r="J2">
        <v>15.7415385060097</v>
      </c>
      <c r="K2">
        <v>7.4328389290352304</v>
      </c>
      <c r="L2">
        <v>1.1953593544791693E-3</v>
      </c>
      <c r="M2">
        <v>1.9636467237705462E-4</v>
      </c>
      <c r="N2" s="1">
        <v>5.4859173085491399E-6</v>
      </c>
      <c r="O2" s="1">
        <v>1.19053913797938E-6</v>
      </c>
      <c r="P2" s="1">
        <v>-4.3395834829167301E-6</v>
      </c>
    </row>
    <row r="3" spans="1:16" x14ac:dyDescent="0.2">
      <c r="A3">
        <v>2</v>
      </c>
      <c r="B3">
        <v>762</v>
      </c>
      <c r="C3">
        <v>275</v>
      </c>
      <c r="D3">
        <v>0.306352219485102</v>
      </c>
      <c r="E3">
        <v>4.1472502143230399</v>
      </c>
      <c r="F3">
        <v>0.556484828920772</v>
      </c>
      <c r="G3">
        <v>-89.747669319457927</v>
      </c>
      <c r="H3">
        <v>-52.801441936337774</v>
      </c>
      <c r="I3">
        <v>35.6939272283091</v>
      </c>
      <c r="J3">
        <v>15.827205005479</v>
      </c>
      <c r="K3">
        <v>7.45258450686981</v>
      </c>
      <c r="L3">
        <v>1.1925281625357834E-3</v>
      </c>
      <c r="M3">
        <v>1.9544204507963535E-4</v>
      </c>
      <c r="N3" s="1">
        <v>5.5348269457737398E-6</v>
      </c>
      <c r="O3" s="1">
        <v>1.18757829227812E-6</v>
      </c>
      <c r="P3" s="1">
        <v>-4.3417369393806504E-6</v>
      </c>
    </row>
    <row r="4" spans="1:16" x14ac:dyDescent="0.2">
      <c r="A4">
        <v>3</v>
      </c>
      <c r="B4">
        <v>761</v>
      </c>
      <c r="C4">
        <v>275</v>
      </c>
      <c r="D4">
        <v>0.30561378910216402</v>
      </c>
      <c r="E4">
        <v>4.3747850392876497</v>
      </c>
      <c r="F4">
        <v>0.57941127983826801</v>
      </c>
      <c r="G4">
        <v>-93.489509435650618</v>
      </c>
      <c r="H4">
        <v>-56.046065811644205</v>
      </c>
      <c r="I4">
        <v>36.209246201725001</v>
      </c>
      <c r="J4">
        <v>16.130499371599001</v>
      </c>
      <c r="K4">
        <v>7.5503967415145796</v>
      </c>
      <c r="L4">
        <v>1.1798343809671919E-3</v>
      </c>
      <c r="M4">
        <v>1.9291990560427226E-4</v>
      </c>
      <c r="N4" s="1">
        <v>5.5954049849587999E-6</v>
      </c>
      <c r="O4" s="1">
        <v>1.1870534590758199E-6</v>
      </c>
      <c r="P4" s="1">
        <v>-4.3528059789209496E-6</v>
      </c>
    </row>
    <row r="5" spans="1:16" x14ac:dyDescent="0.2">
      <c r="A5">
        <v>4</v>
      </c>
      <c r="B5">
        <v>760</v>
      </c>
      <c r="C5">
        <v>275</v>
      </c>
      <c r="D5">
        <v>0.30487392924551299</v>
      </c>
      <c r="E5">
        <v>4.6011778943622597</v>
      </c>
      <c r="F5">
        <v>0.60164952277166495</v>
      </c>
      <c r="G5">
        <v>-97.211266054804526</v>
      </c>
      <c r="H5">
        <v>-59.275106671815813</v>
      </c>
      <c r="I5">
        <v>36.721206623622898</v>
      </c>
      <c r="J5">
        <v>16.432232401561699</v>
      </c>
      <c r="K5">
        <v>7.6476049929627798</v>
      </c>
      <c r="L5">
        <v>1.1675257889427284E-3</v>
      </c>
      <c r="M5">
        <v>1.9047060277279721E-4</v>
      </c>
      <c r="N5" s="1">
        <v>5.6562005238952601E-6</v>
      </c>
      <c r="O5" s="1">
        <v>1.1864805967592701E-6</v>
      </c>
      <c r="P5" s="1">
        <v>-4.3637349423147102E-6</v>
      </c>
    </row>
    <row r="6" spans="1:16" x14ac:dyDescent="0.2">
      <c r="A6">
        <v>5</v>
      </c>
      <c r="B6">
        <v>759</v>
      </c>
      <c r="C6">
        <v>275</v>
      </c>
      <c r="D6">
        <v>0.30413263576031102</v>
      </c>
      <c r="E6">
        <v>4.8264382937974197</v>
      </c>
      <c r="F6">
        <v>0.62323149209976902</v>
      </c>
      <c r="G6">
        <v>-100.91310658986586</v>
      </c>
      <c r="H6">
        <v>-62.488694825167116</v>
      </c>
      <c r="I6">
        <v>37.229834681381597</v>
      </c>
      <c r="J6">
        <v>16.732416262136301</v>
      </c>
      <c r="K6">
        <v>7.7442143970234198</v>
      </c>
      <c r="L6">
        <v>1.1555843767350536E-3</v>
      </c>
      <c r="M6">
        <v>1.8809076212081161E-4</v>
      </c>
      <c r="N6" s="1">
        <v>5.71721054417919E-6</v>
      </c>
      <c r="O6" s="1">
        <v>1.18586014597635E-6</v>
      </c>
      <c r="P6" s="1">
        <v>-4.3745239307860504E-6</v>
      </c>
    </row>
    <row r="7" spans="1:16" x14ac:dyDescent="0.2">
      <c r="A7">
        <v>6</v>
      </c>
      <c r="B7">
        <v>758</v>
      </c>
      <c r="C7">
        <v>275</v>
      </c>
      <c r="D7">
        <v>0.303389904475587</v>
      </c>
      <c r="E7">
        <v>5.05057564947416</v>
      </c>
      <c r="F7">
        <v>0.64418717654469704</v>
      </c>
      <c r="G7">
        <v>-104.5951966496214</v>
      </c>
      <c r="H7">
        <v>-65.686959178908381</v>
      </c>
      <c r="I7">
        <v>37.735156273081799</v>
      </c>
      <c r="J7">
        <v>17.031062981109098</v>
      </c>
      <c r="K7">
        <v>7.8402300346376501</v>
      </c>
      <c r="L7">
        <v>1.1439932316176422E-3</v>
      </c>
      <c r="M7">
        <v>1.857772149375426E-4</v>
      </c>
      <c r="N7" s="1">
        <v>5.7784320009251604E-6</v>
      </c>
      <c r="O7" s="1">
        <v>1.18519254485917E-6</v>
      </c>
      <c r="P7" s="1">
        <v>-4.3851730438564898E-6</v>
      </c>
    </row>
    <row r="8" spans="1:16" x14ac:dyDescent="0.2">
      <c r="A8">
        <v>7</v>
      </c>
      <c r="B8">
        <v>757</v>
      </c>
      <c r="C8">
        <v>275</v>
      </c>
      <c r="D8">
        <v>0.30264573120419402</v>
      </c>
      <c r="E8">
        <v>5.2735992695910499</v>
      </c>
      <c r="F8">
        <v>0.66454476489089298</v>
      </c>
      <c r="G8">
        <v>-108.25770001769332</v>
      </c>
      <c r="H8">
        <v>-68.870027219981736</v>
      </c>
      <c r="I8">
        <v>38.237197004314702</v>
      </c>
      <c r="J8">
        <v>17.328184445301201</v>
      </c>
      <c r="K8">
        <v>7.9356569311878999</v>
      </c>
      <c r="L8">
        <v>1.1327364557223764E-3</v>
      </c>
      <c r="M8">
        <v>1.8352698285459379E-4</v>
      </c>
      <c r="N8" s="1">
        <v>5.8398618225778598E-6</v>
      </c>
      <c r="O8" s="1">
        <v>1.1844782289953099E-6</v>
      </c>
      <c r="P8" s="1">
        <v>-4.3956823792266997E-6</v>
      </c>
    </row>
    <row r="9" spans="1:16" x14ac:dyDescent="0.2">
      <c r="A9">
        <v>8</v>
      </c>
      <c r="B9">
        <v>756</v>
      </c>
      <c r="C9">
        <v>275</v>
      </c>
      <c r="D9">
        <v>0.30190011174270298</v>
      </c>
      <c r="E9">
        <v>5.4955183618836703</v>
      </c>
      <c r="F9">
        <v>0.68433077915917095</v>
      </c>
      <c r="G9">
        <v>-111.90077870787317</v>
      </c>
      <c r="H9">
        <v>-72.038025059909145</v>
      </c>
      <c r="I9">
        <v>38.735982196950097</v>
      </c>
      <c r="J9">
        <v>17.6237924050765</v>
      </c>
      <c r="K9">
        <v>8.0305000582261403</v>
      </c>
      <c r="L9">
        <v>1.1217990909559413E-3</v>
      </c>
      <c r="M9">
        <v>1.8133726376474464E-4</v>
      </c>
      <c r="N9" s="1">
        <v>5.9014969113800396E-6</v>
      </c>
      <c r="O9" s="1">
        <v>1.1837176315296E-6</v>
      </c>
      <c r="P9" s="1">
        <v>-4.4060520331442099E-6</v>
      </c>
    </row>
    <row r="10" spans="1:16" x14ac:dyDescent="0.2">
      <c r="A10">
        <v>9</v>
      </c>
      <c r="B10">
        <v>755</v>
      </c>
      <c r="C10">
        <v>275</v>
      </c>
      <c r="D10">
        <v>0.30115304187132302</v>
      </c>
      <c r="E10">
        <v>5.7163420351551197</v>
      </c>
      <c r="F10">
        <v>0.70357019600743997</v>
      </c>
      <c r="G10">
        <v>-115.52459299074573</v>
      </c>
      <c r="H10">
        <v>-75.191077455872957</v>
      </c>
      <c r="I10">
        <v>39.231536893148103</v>
      </c>
      <c r="J10">
        <v>17.9178984763074</v>
      </c>
      <c r="K10">
        <v>8.1247643342394706</v>
      </c>
      <c r="L10">
        <v>1.1111670505579109E-3</v>
      </c>
      <c r="M10">
        <v>1.7920541898439803E-4</v>
      </c>
      <c r="N10" s="1">
        <v>5.9633341435336799E-6</v>
      </c>
      <c r="O10" s="1">
        <v>1.1829111832034799E-6</v>
      </c>
      <c r="P10" s="1">
        <v>-4.4162821005412103E-6</v>
      </c>
    </row>
    <row r="11" spans="1:16" x14ac:dyDescent="0.2">
      <c r="A11">
        <v>10</v>
      </c>
      <c r="B11">
        <v>754</v>
      </c>
      <c r="C11">
        <v>275</v>
      </c>
      <c r="D11">
        <v>0.30040451735384299</v>
      </c>
      <c r="E11">
        <v>5.93607930045924</v>
      </c>
      <c r="F11">
        <v>0.72228655766040095</v>
      </c>
      <c r="G11">
        <v>-119.12930141398868</v>
      </c>
      <c r="H11">
        <v>-78.329307827028742</v>
      </c>
      <c r="I11">
        <v>39.723885857878898</v>
      </c>
      <c r="J11">
        <v>18.2105141416246</v>
      </c>
      <c r="K11">
        <v>8.2184546251104607</v>
      </c>
      <c r="L11">
        <v>1.1008270565630919E-3</v>
      </c>
      <c r="M11">
        <v>1.7712896152319895E-4</v>
      </c>
      <c r="N11" s="1">
        <v>6.0253703692237704E-6</v>
      </c>
      <c r="O11" s="1">
        <v>1.1820593123605801E-6</v>
      </c>
      <c r="P11" s="1">
        <v>-4.4263726750501898E-6</v>
      </c>
    </row>
    <row r="12" spans="1:16" x14ac:dyDescent="0.2">
      <c r="A12">
        <v>11</v>
      </c>
      <c r="B12">
        <v>753</v>
      </c>
      <c r="C12">
        <v>275</v>
      </c>
      <c r="D12">
        <v>0.29965453393753799</v>
      </c>
      <c r="E12">
        <v>6.1547390708126803</v>
      </c>
      <c r="F12">
        <v>0.740502073267577</v>
      </c>
      <c r="G12">
        <v>-122.71506080002568</v>
      </c>
      <c r="H12">
        <v>-81.452838249431807</v>
      </c>
      <c r="I12">
        <v>40.213053580229698</v>
      </c>
      <c r="J12">
        <v>18.501650750637499</v>
      </c>
      <c r="K12">
        <v>8.3115757443513498</v>
      </c>
      <c r="L12">
        <v>1.090766582666376E-3</v>
      </c>
      <c r="M12">
        <v>1.7510554536438551E-4</v>
      </c>
      <c r="N12" s="1">
        <v>6.0876024129877503E-6</v>
      </c>
      <c r="O12" s="1">
        <v>1.18116244502285E-6</v>
      </c>
      <c r="P12" s="1">
        <v>-4.43632384928345E-6</v>
      </c>
    </row>
    <row r="13" spans="1:16" x14ac:dyDescent="0.2">
      <c r="A13">
        <v>12</v>
      </c>
      <c r="B13">
        <v>752</v>
      </c>
      <c r="C13">
        <v>275</v>
      </c>
      <c r="D13">
        <v>0.29890308735307097</v>
      </c>
      <c r="E13">
        <v>6.3723301661799496</v>
      </c>
      <c r="F13">
        <v>0.75823771222778702</v>
      </c>
      <c r="G13">
        <v>-126.28202632925438</v>
      </c>
      <c r="H13">
        <v>-84.56178952638038</v>
      </c>
      <c r="I13">
        <v>40.699064284627397</v>
      </c>
      <c r="J13">
        <v>18.7913195260926</v>
      </c>
      <c r="K13">
        <v>8.4041324553184396</v>
      </c>
      <c r="L13">
        <v>1.0809738015975401E-3</v>
      </c>
      <c r="M13">
        <v>1.7313295559893559E-4</v>
      </c>
      <c r="N13" s="1">
        <v>6.1500270740182004E-6</v>
      </c>
      <c r="O13" s="1">
        <v>1.1802210049473499E-6</v>
      </c>
      <c r="P13" s="1">
        <v>-4.4461357150443504E-6</v>
      </c>
    </row>
    <row r="14" spans="1:16" x14ac:dyDescent="0.2">
      <c r="A14">
        <v>13</v>
      </c>
      <c r="B14">
        <v>751</v>
      </c>
      <c r="C14">
        <v>275</v>
      </c>
      <c r="D14">
        <v>0.29815017331445698</v>
      </c>
      <c r="E14">
        <v>6.5888613097515796</v>
      </c>
      <c r="F14">
        <v>0.77551328912083894</v>
      </c>
      <c r="G14">
        <v>-129.83035147973899</v>
      </c>
      <c r="H14">
        <v>-87.656281134877958</v>
      </c>
      <c r="I14">
        <v>41.181941922936602</v>
      </c>
      <c r="J14">
        <v>19.0795315591274</v>
      </c>
      <c r="K14">
        <v>8.4961294695814207</v>
      </c>
      <c r="L14">
        <v>1.071437537256584E-3</v>
      </c>
      <c r="M14">
        <v>1.7120909944061014E-4</v>
      </c>
      <c r="N14" s="1">
        <v>6.2126411260325302E-6</v>
      </c>
      <c r="O14" s="1">
        <v>1.17923541359807E-6</v>
      </c>
      <c r="P14" s="1">
        <v>-4.4558083632209499E-6</v>
      </c>
    </row>
    <row r="15" spans="1:16" x14ac:dyDescent="0.2">
      <c r="A15">
        <v>14</v>
      </c>
      <c r="B15">
        <v>750</v>
      </c>
      <c r="C15">
        <v>275</v>
      </c>
      <c r="D15">
        <v>0.29739578751893703</v>
      </c>
      <c r="E15">
        <v>6.8043411339873696</v>
      </c>
      <c r="F15">
        <v>0.79234754246211103</v>
      </c>
      <c r="G15">
        <v>-133.36018812868267</v>
      </c>
      <c r="H15">
        <v>-90.736431310815846</v>
      </c>
      <c r="I15">
        <v>41.661710189049103</v>
      </c>
      <c r="J15">
        <v>19.3662978171809</v>
      </c>
      <c r="K15">
        <v>8.5875714498259299</v>
      </c>
      <c r="L15">
        <v>1.0621472202998782E-3</v>
      </c>
      <c r="M15">
        <v>1.6933199790141549E-4</v>
      </c>
      <c r="N15" s="1">
        <v>6.2754413178645004E-6</v>
      </c>
      <c r="O15" s="1">
        <v>1.17820609025638E-6</v>
      </c>
      <c r="P15" s="1">
        <v>-4.4653418842019904E-6</v>
      </c>
    </row>
    <row r="16" spans="1:16" x14ac:dyDescent="0.2">
      <c r="A16">
        <v>15</v>
      </c>
      <c r="B16">
        <v>749</v>
      </c>
      <c r="C16">
        <v>275</v>
      </c>
      <c r="D16">
        <v>0.29663992564692099</v>
      </c>
      <c r="E16">
        <v>7.0187781783144603</v>
      </c>
      <c r="F16">
        <v>0.80875820650455099</v>
      </c>
      <c r="G16">
        <v>-136.87168651578787</v>
      </c>
      <c r="H16">
        <v>-93.802357015569029</v>
      </c>
      <c r="I16">
        <v>42.138392514456498</v>
      </c>
      <c r="J16">
        <v>19.651629141176599</v>
      </c>
      <c r="K16">
        <v>8.6784630089252293</v>
      </c>
      <c r="L16">
        <v>1.0530928476728573E-3</v>
      </c>
      <c r="M16">
        <v>1.6749977819610599E-4</v>
      </c>
      <c r="N16" s="1">
        <v>6.3384243735090697E-6</v>
      </c>
      <c r="O16" s="1">
        <v>1.17713345202099E-6</v>
      </c>
      <c r="P16" s="1">
        <v>-4.4747363678811201E-6</v>
      </c>
    </row>
    <row r="17" spans="1:16" x14ac:dyDescent="0.2">
      <c r="A17">
        <v>16</v>
      </c>
      <c r="B17">
        <v>748</v>
      </c>
      <c r="C17">
        <v>275</v>
      </c>
      <c r="D17">
        <v>0.29588258336189799</v>
      </c>
      <c r="E17">
        <v>7.2321808937973699</v>
      </c>
      <c r="F17">
        <v>0.82476207787481204</v>
      </c>
      <c r="G17">
        <v>-140.36499532115693</v>
      </c>
      <c r="H17">
        <v>-96.85417400192317</v>
      </c>
      <c r="I17">
        <v>42.612012078690697</v>
      </c>
      <c r="J17">
        <v>19.935536251267301</v>
      </c>
      <c r="K17">
        <v>8.7688087120018103</v>
      </c>
      <c r="L17">
        <v>1.0442649450320765E-3</v>
      </c>
      <c r="M17">
        <v>1.6571066669826307E-4</v>
      </c>
      <c r="N17" s="1">
        <v>6.4015869924231498E-6</v>
      </c>
      <c r="O17" s="1">
        <v>1.17601791385739E-6</v>
      </c>
      <c r="P17" s="1">
        <v>-4.48399190384785E-6</v>
      </c>
    </row>
    <row r="18" spans="1:16" x14ac:dyDescent="0.2">
      <c r="A18">
        <v>17</v>
      </c>
      <c r="B18">
        <v>747</v>
      </c>
      <c r="C18">
        <v>275</v>
      </c>
      <c r="D18">
        <v>0.29512375631034898</v>
      </c>
      <c r="E18">
        <v>7.4445576406548897</v>
      </c>
      <c r="F18">
        <v>0.840375076453304</v>
      </c>
      <c r="G18">
        <v>-143.8402616262351</v>
      </c>
      <c r="H18">
        <v>-99.891996777931411</v>
      </c>
      <c r="I18">
        <v>43.082591805233399</v>
      </c>
      <c r="J18">
        <v>20.218029744087399</v>
      </c>
      <c r="K18">
        <v>8.8586130755729897</v>
      </c>
      <c r="L18">
        <v>1.0356545324359452E-3</v>
      </c>
      <c r="M18">
        <v>1.6396298249951095E-4</v>
      </c>
      <c r="N18" s="1">
        <v>6.46492584972805E-6</v>
      </c>
      <c r="O18" s="1">
        <v>1.17485988862571E-6</v>
      </c>
      <c r="P18" s="1">
        <v>-4.4931085814995401E-6</v>
      </c>
    </row>
    <row r="19" spans="1:16" x14ac:dyDescent="0.2">
      <c r="A19">
        <v>18</v>
      </c>
      <c r="B19">
        <v>746</v>
      </c>
      <c r="C19">
        <v>275</v>
      </c>
      <c r="D19">
        <v>0.29436344012167098</v>
      </c>
      <c r="E19">
        <v>7.6559166926645696</v>
      </c>
      <c r="F19">
        <v>0.85561230205561301</v>
      </c>
      <c r="G19">
        <v>-147.2976309876546</v>
      </c>
      <c r="H19">
        <v>-102.91593866898094</v>
      </c>
      <c r="I19">
        <v>43.5501543718158</v>
      </c>
      <c r="J19">
        <v>20.499120098355199</v>
      </c>
      <c r="K19">
        <v>8.9478805695888006</v>
      </c>
      <c r="L19">
        <v>1.0272530923802752E-3</v>
      </c>
      <c r="M19">
        <v>1.6225513141798032E-4</v>
      </c>
      <c r="N19" s="1">
        <v>6.52843759663336E-6</v>
      </c>
      <c r="O19" s="1">
        <v>1.17365978714545E-6</v>
      </c>
      <c r="P19" s="1">
        <v>-4.50208649029665E-6</v>
      </c>
    </row>
    <row r="20" spans="1:16" x14ac:dyDescent="0.2">
      <c r="A20">
        <v>19</v>
      </c>
      <c r="B20">
        <v>745</v>
      </c>
      <c r="C20">
        <v>275</v>
      </c>
      <c r="D20">
        <v>0.29360163040809401</v>
      </c>
      <c r="E20">
        <v>7.8662662352049901</v>
      </c>
      <c r="F20">
        <v>0.87048808637594099</v>
      </c>
      <c r="G20">
        <v>-150.73724740512819</v>
      </c>
      <c r="H20">
        <v>-105.92611178962333</v>
      </c>
      <c r="I20">
        <v>44.014722205344903</v>
      </c>
      <c r="J20">
        <v>20.778817671920599</v>
      </c>
      <c r="K20">
        <v>9.0366156163655305</v>
      </c>
      <c r="L20">
        <v>1.0190525405232812E-3</v>
      </c>
      <c r="M20">
        <v>1.6058560050339005E-4</v>
      </c>
      <c r="N20" s="1">
        <v>6.5921188601919497E-6</v>
      </c>
      <c r="O20" s="1">
        <v>1.1724180181397E-6</v>
      </c>
      <c r="P20" s="1">
        <v>-4.5109257195573097E-6</v>
      </c>
    </row>
    <row r="21" spans="1:16" x14ac:dyDescent="0.2">
      <c r="A21">
        <v>20</v>
      </c>
      <c r="B21">
        <v>744</v>
      </c>
      <c r="C21">
        <v>275</v>
      </c>
      <c r="D21">
        <v>0.29283832276459099</v>
      </c>
      <c r="E21">
        <v>8.0756143705010608</v>
      </c>
      <c r="F21">
        <v>0.88501604143225299</v>
      </c>
      <c r="G21">
        <v>-154.15925341114692</v>
      </c>
      <c r="H21">
        <v>-108.92262711704883</v>
      </c>
      <c r="I21">
        <v>44.476317496621199</v>
      </c>
      <c r="J21">
        <v>21.057132709474999</v>
      </c>
      <c r="K21">
        <v>9.1248225935340201</v>
      </c>
      <c r="L21">
        <v>1.0110451983642358E-3</v>
      </c>
      <c r="M21">
        <v>1.5895295291651262E-4</v>
      </c>
      <c r="N21" s="1">
        <v>6.6559662443751503E-6</v>
      </c>
      <c r="O21" s="1">
        <v>1.1711349884135799E-6</v>
      </c>
      <c r="P21" s="1">
        <v>-4.5196263591522503E-6</v>
      </c>
    </row>
    <row r="22" spans="1:16" x14ac:dyDescent="0.2">
      <c r="A22">
        <v>21</v>
      </c>
      <c r="B22">
        <v>743</v>
      </c>
      <c r="C22">
        <v>275</v>
      </c>
      <c r="D22">
        <v>0.29207351276878402</v>
      </c>
      <c r="E22">
        <v>8.2839691148730807</v>
      </c>
      <c r="F22">
        <v>0.89920910396422005</v>
      </c>
      <c r="G22">
        <v>-157.56379002517613</v>
      </c>
      <c r="H22">
        <v>-111.90559445180959</v>
      </c>
      <c r="I22">
        <v>44.9349621927527</v>
      </c>
      <c r="J22">
        <v>21.3340753382966</v>
      </c>
      <c r="K22">
        <v>9.2125058324617406</v>
      </c>
      <c r="L22">
        <v>1.0032237682239028E-3</v>
      </c>
      <c r="M22">
        <v>1.573558232317823E-4</v>
      </c>
      <c r="N22" s="1">
        <v>6.7199763296340499E-6</v>
      </c>
      <c r="O22" s="1">
        <v>1.1698111027582701E-6</v>
      </c>
      <c r="P22" s="1">
        <v>-4.5281884991492099E-6</v>
      </c>
    </row>
    <row r="23" spans="1:16" x14ac:dyDescent="0.2">
      <c r="A23">
        <v>22</v>
      </c>
      <c r="B23">
        <v>742</v>
      </c>
      <c r="C23">
        <v>275</v>
      </c>
      <c r="D23">
        <v>0.291307195980888</v>
      </c>
      <c r="E23">
        <v>8.4913384009786306</v>
      </c>
      <c r="F23">
        <v>0.91307957684642005</v>
      </c>
      <c r="G23">
        <v>-160.95099679241272</v>
      </c>
      <c r="H23">
        <v>-114.87512244896421</v>
      </c>
      <c r="I23">
        <v>45.390678003454497</v>
      </c>
      <c r="J23">
        <v>21.609655571453899</v>
      </c>
      <c r="K23">
        <v>9.2996696194934891</v>
      </c>
      <c r="L23">
        <v>9.9558130989514182E-4</v>
      </c>
      <c r="M23">
        <v>1.5579291305859431E-4</v>
      </c>
      <c r="N23" s="1">
        <v>6.7841456734049003E-6</v>
      </c>
      <c r="O23" s="1">
        <v>1.1684467640245399E-6</v>
      </c>
      <c r="P23" s="1">
        <v>-4.5366122301085003E-6</v>
      </c>
    </row>
    <row r="24" spans="1:16" x14ac:dyDescent="0.2">
      <c r="A24">
        <v>23</v>
      </c>
      <c r="B24">
        <v>741</v>
      </c>
      <c r="C24">
        <v>275</v>
      </c>
      <c r="D24">
        <v>0.29053936794360102</v>
      </c>
      <c r="E24">
        <v>8.6977300812778502</v>
      </c>
      <c r="F24">
        <v>0.92663916759042597</v>
      </c>
      <c r="G24">
        <v>-164.32101184179669</v>
      </c>
      <c r="H24">
        <v>-117.83131866690597</v>
      </c>
      <c r="I24">
        <v>45.843486408933003</v>
      </c>
      <c r="J24">
        <v>21.8838833121014</v>
      </c>
      <c r="K24">
        <v>9.3863181975081709</v>
      </c>
      <c r="L24">
        <v>9.8811121892965529E-4</v>
      </c>
      <c r="M24">
        <v>1.5426298697145626E-4</v>
      </c>
      <c r="N24" s="1">
        <v>6.8484708104494801E-6</v>
      </c>
      <c r="O24" s="1">
        <v>1.1670423731626601E-6</v>
      </c>
      <c r="P24" s="1">
        <v>-4.5448976432517199E-6</v>
      </c>
    </row>
    <row r="25" spans="1:16" x14ac:dyDescent="0.2">
      <c r="A25">
        <v>24</v>
      </c>
      <c r="B25">
        <v>740</v>
      </c>
      <c r="C25">
        <v>275</v>
      </c>
      <c r="D25">
        <v>0.28977002418201098</v>
      </c>
      <c r="E25">
        <v>23.805681250035502</v>
      </c>
      <c r="F25">
        <v>1.43066689857519</v>
      </c>
      <c r="G25">
        <v>-411.37783223614366</v>
      </c>
      <c r="H25">
        <v>-327.56122630693022</v>
      </c>
      <c r="I25">
        <v>82.731710798562204</v>
      </c>
      <c r="J25">
        <v>42.441929096834599</v>
      </c>
      <c r="K25">
        <v>16.639569471931999</v>
      </c>
      <c r="L25">
        <v>6.8689941873899664E-4</v>
      </c>
      <c r="M25">
        <v>1.0644790141166156E-4</v>
      </c>
      <c r="N25" s="1">
        <v>8.2704111670311496E-6</v>
      </c>
      <c r="O25" s="1">
        <v>1.41999093143868E-6</v>
      </c>
      <c r="P25" s="1">
        <v>-5.5460955520200002E-6</v>
      </c>
    </row>
    <row r="26" spans="1:16" x14ac:dyDescent="0.2">
      <c r="A26">
        <v>25</v>
      </c>
      <c r="B26">
        <v>739</v>
      </c>
      <c r="C26">
        <v>275</v>
      </c>
      <c r="D26">
        <v>0.28899916020352701</v>
      </c>
      <c r="E26">
        <v>41.6164220216057</v>
      </c>
      <c r="F26">
        <v>1.65064500352439</v>
      </c>
      <c r="G26">
        <v>-702.85786001946212</v>
      </c>
      <c r="H26">
        <v>-574.98054168899807</v>
      </c>
      <c r="I26">
        <v>126.345900632813</v>
      </c>
      <c r="J26">
        <v>66.772169368430795</v>
      </c>
      <c r="K26">
        <v>25.2122182133335</v>
      </c>
      <c r="L26">
        <v>5.5584162923852701E-4</v>
      </c>
      <c r="M26">
        <v>8.5585983457816839E-5</v>
      </c>
      <c r="N26" s="1">
        <v>9.97267763670959E-6</v>
      </c>
      <c r="O26" s="1">
        <v>1.72237259617199E-6</v>
      </c>
      <c r="P26" s="1">
        <v>-6.7468432758043602E-6</v>
      </c>
    </row>
    <row r="27" spans="1:16" x14ac:dyDescent="0.2">
      <c r="A27">
        <v>26</v>
      </c>
      <c r="B27">
        <v>738</v>
      </c>
      <c r="C27">
        <v>275</v>
      </c>
      <c r="D27">
        <v>0.28822677149780002</v>
      </c>
      <c r="E27">
        <v>88.646684365634698</v>
      </c>
      <c r="F27">
        <v>1.85538765965565</v>
      </c>
      <c r="G27">
        <v>-1468.0050450688161</v>
      </c>
      <c r="H27">
        <v>-1223.7800475362508</v>
      </c>
      <c r="I27">
        <v>241.537291645598</v>
      </c>
      <c r="J27">
        <v>130.97135563363599</v>
      </c>
      <c r="K27">
        <v>47.7779853198371</v>
      </c>
      <c r="L27">
        <v>4.3729710928087353E-4</v>
      </c>
      <c r="M27">
        <v>6.6766507030148895E-5</v>
      </c>
      <c r="N27" s="1">
        <v>1.44291961329288E-5</v>
      </c>
      <c r="O27" s="1">
        <v>2.5309206553629302E-6</v>
      </c>
      <c r="P27" s="1">
        <v>-9.9426219766680002E-6</v>
      </c>
    </row>
    <row r="28" spans="1:16" x14ac:dyDescent="0.2">
      <c r="A28">
        <v>27</v>
      </c>
      <c r="B28">
        <v>737</v>
      </c>
      <c r="C28">
        <v>275</v>
      </c>
      <c r="D28">
        <v>0.28745285353660599</v>
      </c>
      <c r="E28">
        <v>98.362045576129404</v>
      </c>
      <c r="F28">
        <v>1.8763955921364599</v>
      </c>
      <c r="G28">
        <v>-1625.92704525815</v>
      </c>
      <c r="H28">
        <v>-1358.0261261815153</v>
      </c>
      <c r="I28">
        <v>265.21478595659198</v>
      </c>
      <c r="J28">
        <v>144.28274349063699</v>
      </c>
      <c r="K28">
        <v>52.420740055210999</v>
      </c>
      <c r="L28">
        <v>4.254739904306708E-4</v>
      </c>
      <c r="M28">
        <v>6.4751140418756759E-5</v>
      </c>
      <c r="N28" s="1">
        <v>1.5414576866081899E-5</v>
      </c>
      <c r="O28" s="1">
        <v>2.6894552094659798E-6</v>
      </c>
      <c r="P28" s="1">
        <v>-1.0597210823453899E-5</v>
      </c>
    </row>
    <row r="29" spans="1:16" x14ac:dyDescent="0.2">
      <c r="A29">
        <v>28</v>
      </c>
      <c r="B29">
        <v>736</v>
      </c>
      <c r="C29">
        <v>275</v>
      </c>
      <c r="D29">
        <v>0.28667740177377199</v>
      </c>
      <c r="E29">
        <v>101.73781382911299</v>
      </c>
      <c r="F29">
        <v>1.88339726378818</v>
      </c>
      <c r="G29">
        <v>-1680.6094756734476</v>
      </c>
      <c r="H29">
        <v>-1404.7763748659218</v>
      </c>
      <c r="I29">
        <v>273.33798106198901</v>
      </c>
      <c r="J29">
        <v>148.939622423392</v>
      </c>
      <c r="K29">
        <v>54.018244469826698</v>
      </c>
      <c r="L29">
        <v>4.2176728019222373E-4</v>
      </c>
      <c r="M29">
        <v>6.4014428162892362E-5</v>
      </c>
      <c r="N29" s="1">
        <v>1.58081353740959E-5</v>
      </c>
      <c r="O29" s="1">
        <v>2.7375432131616198E-6</v>
      </c>
      <c r="P29" s="1">
        <v>-1.0819310123740799E-5</v>
      </c>
    </row>
    <row r="30" spans="1:16" x14ac:dyDescent="0.2">
      <c r="A30">
        <v>29</v>
      </c>
      <c r="B30">
        <v>763</v>
      </c>
      <c r="C30">
        <v>255</v>
      </c>
      <c r="D30">
        <v>0.32832167157265202</v>
      </c>
      <c r="E30">
        <v>4.41710227816945</v>
      </c>
      <c r="F30">
        <v>0.52739753319155802</v>
      </c>
      <c r="G30">
        <v>-96.110377718449485</v>
      </c>
      <c r="H30">
        <v>-56.08196486319482</v>
      </c>
      <c r="I30">
        <v>38.634310275944003</v>
      </c>
      <c r="J30">
        <v>17.136027254009701</v>
      </c>
      <c r="K30">
        <v>8.3752805050855201</v>
      </c>
      <c r="L30">
        <v>1.2696342789742226E-3</v>
      </c>
      <c r="M30">
        <v>2.2359093538301282E-4</v>
      </c>
      <c r="N30" s="1">
        <v>6.2343324959516801E-6</v>
      </c>
      <c r="O30" s="1">
        <v>1.6929233092844799E-6</v>
      </c>
      <c r="P30" s="1">
        <v>-5.6815654313407398E-6</v>
      </c>
    </row>
    <row r="31" spans="1:16" x14ac:dyDescent="0.2">
      <c r="A31">
        <v>30</v>
      </c>
      <c r="B31">
        <v>762</v>
      </c>
      <c r="C31">
        <v>255</v>
      </c>
      <c r="D31">
        <v>0.32760517799352901</v>
      </c>
      <c r="E31">
        <v>4.4757628884904097</v>
      </c>
      <c r="F31">
        <v>0.53326198431202998</v>
      </c>
      <c r="G31">
        <v>-97.049091743889562</v>
      </c>
      <c r="H31">
        <v>-56.93104016881226</v>
      </c>
      <c r="I31">
        <v>38.7582296243014</v>
      </c>
      <c r="J31">
        <v>17.222252019007598</v>
      </c>
      <c r="K31">
        <v>8.3931782503953691</v>
      </c>
      <c r="L31">
        <v>1.2672241470156546E-3</v>
      </c>
      <c r="M31">
        <v>2.2262380907876663E-4</v>
      </c>
      <c r="N31" s="1">
        <v>6.2989730022565496E-6</v>
      </c>
      <c r="O31" s="1">
        <v>1.6886803017349599E-6</v>
      </c>
      <c r="P31" s="1">
        <v>-5.6851420510222704E-6</v>
      </c>
    </row>
    <row r="32" spans="1:16" x14ac:dyDescent="0.2">
      <c r="A32">
        <v>31</v>
      </c>
      <c r="B32">
        <v>761</v>
      </c>
      <c r="C32">
        <v>255</v>
      </c>
      <c r="D32">
        <v>0.32688729874776701</v>
      </c>
      <c r="E32">
        <v>4.6976471618182902</v>
      </c>
      <c r="F32">
        <v>0.55350164789656298</v>
      </c>
      <c r="G32">
        <v>-100.69475014222257</v>
      </c>
      <c r="H32">
        <v>-60.098814223501371</v>
      </c>
      <c r="I32">
        <v>39.2578178864918</v>
      </c>
      <c r="J32">
        <v>17.519347601420101</v>
      </c>
      <c r="K32">
        <v>8.4871421425219893</v>
      </c>
      <c r="L32">
        <v>1.2557299980416013E-3</v>
      </c>
      <c r="M32">
        <v>2.2007639780601698E-4</v>
      </c>
      <c r="N32" s="1">
        <v>6.3752583998160901E-6</v>
      </c>
      <c r="O32" s="1">
        <v>1.6874457041684599E-6</v>
      </c>
      <c r="P32" s="1">
        <v>-5.6988589244966098E-6</v>
      </c>
    </row>
    <row r="33" spans="1:16" x14ac:dyDescent="0.2">
      <c r="A33">
        <v>32</v>
      </c>
      <c r="B33">
        <v>760</v>
      </c>
      <c r="C33">
        <v>255</v>
      </c>
      <c r="D33">
        <v>0.32616802981174298</v>
      </c>
      <c r="E33">
        <v>4.9184379857661202</v>
      </c>
      <c r="F33">
        <v>0.57320945811356006</v>
      </c>
      <c r="G33">
        <v>-104.3211787737216</v>
      </c>
      <c r="H33">
        <v>-63.251664238403578</v>
      </c>
      <c r="I33">
        <v>39.754205655506098</v>
      </c>
      <c r="J33">
        <v>17.814961223940301</v>
      </c>
      <c r="K33">
        <v>8.5805248258686593</v>
      </c>
      <c r="L33">
        <v>1.2445419246946384E-3</v>
      </c>
      <c r="M33">
        <v>2.1759278889631539E-4</v>
      </c>
      <c r="N33" s="1">
        <v>6.4518789522232896E-6</v>
      </c>
      <c r="O33" s="1">
        <v>1.6861498407616101E-6</v>
      </c>
      <c r="P33" s="1">
        <v>-5.7124123902146297E-6</v>
      </c>
    </row>
    <row r="34" spans="1:16" x14ac:dyDescent="0.2">
      <c r="A34">
        <v>33</v>
      </c>
      <c r="B34">
        <v>759</v>
      </c>
      <c r="C34">
        <v>255</v>
      </c>
      <c r="D34">
        <v>0.325447367146249</v>
      </c>
      <c r="E34">
        <v>5.1381442604003897</v>
      </c>
      <c r="F34">
        <v>0.59240724750904705</v>
      </c>
      <c r="G34">
        <v>-107.92853446102141</v>
      </c>
      <c r="H34">
        <v>-66.389712105339527</v>
      </c>
      <c r="I34">
        <v>40.247417472001402</v>
      </c>
      <c r="J34">
        <v>18.109104167925899</v>
      </c>
      <c r="K34">
        <v>8.6733311957361305</v>
      </c>
      <c r="L34">
        <v>1.2336472089862385E-3</v>
      </c>
      <c r="M34">
        <v>2.1517036643006019E-4</v>
      </c>
      <c r="N34" s="1">
        <v>6.52883079013055E-6</v>
      </c>
      <c r="O34" s="1">
        <v>1.6847932246292899E-6</v>
      </c>
      <c r="P34" s="1">
        <v>-5.7258022613721998E-6</v>
      </c>
    </row>
    <row r="35" spans="1:16" x14ac:dyDescent="0.2">
      <c r="A35">
        <v>34</v>
      </c>
      <c r="B35">
        <v>758</v>
      </c>
      <c r="C35">
        <v>255</v>
      </c>
      <c r="D35">
        <v>0.32472530669640698</v>
      </c>
      <c r="E35">
        <v>5.3567747924120299</v>
      </c>
      <c r="F35">
        <v>0.61111566932547801</v>
      </c>
      <c r="G35">
        <v>-111.51697237979633</v>
      </c>
      <c r="H35">
        <v>-69.513078437986195</v>
      </c>
      <c r="I35">
        <v>40.7374776141532</v>
      </c>
      <c r="J35">
        <v>18.40178758835</v>
      </c>
      <c r="K35">
        <v>8.7655660970444291</v>
      </c>
      <c r="L35">
        <v>1.223033819505657E-3</v>
      </c>
      <c r="M35">
        <v>2.1280665597782553E-4</v>
      </c>
      <c r="N35" s="1">
        <v>6.6061099963801996E-6</v>
      </c>
      <c r="O35" s="1">
        <v>1.68337636680113E-6</v>
      </c>
      <c r="P35" s="1">
        <v>-5.7390283499700703E-6</v>
      </c>
    </row>
    <row r="36" spans="1:16" x14ac:dyDescent="0.2">
      <c r="A36">
        <v>35</v>
      </c>
      <c r="B36">
        <v>757</v>
      </c>
      <c r="C36">
        <v>255</v>
      </c>
      <c r="D36">
        <v>0.32400184439159502</v>
      </c>
      <c r="E36">
        <v>5.5743382931219303</v>
      </c>
      <c r="F36">
        <v>0.62935427577259095</v>
      </c>
      <c r="G36">
        <v>-115.08664602763906</v>
      </c>
      <c r="H36">
        <v>-72.621882542704128</v>
      </c>
      <c r="I36">
        <v>41.2244100944908</v>
      </c>
      <c r="J36">
        <v>18.693022511610899</v>
      </c>
      <c r="K36">
        <v>8.8572343236707294</v>
      </c>
      <c r="L36">
        <v>1.2126903658766577E-3</v>
      </c>
      <c r="M36">
        <v>2.104993152076375E-4</v>
      </c>
      <c r="N36" s="1">
        <v>6.68371260617656E-6</v>
      </c>
      <c r="O36" s="1">
        <v>1.6818997762632199E-6</v>
      </c>
      <c r="P36" s="1">
        <v>-5.7520904669952496E-6</v>
      </c>
    </row>
    <row r="37" spans="1:16" x14ac:dyDescent="0.2">
      <c r="A37">
        <v>36</v>
      </c>
      <c r="B37">
        <v>756</v>
      </c>
      <c r="C37">
        <v>255</v>
      </c>
      <c r="D37">
        <v>0.32327697614536499</v>
      </c>
      <c r="E37">
        <v>5.79084338070989</v>
      </c>
      <c r="F37">
        <v>0.64714159049782505</v>
      </c>
      <c r="G37">
        <v>-118.63770726143289</v>
      </c>
      <c r="H37">
        <v>-75.716242449811304</v>
      </c>
      <c r="I37">
        <v>41.708238664531599</v>
      </c>
      <c r="J37">
        <v>18.982819838045501</v>
      </c>
      <c r="K37">
        <v>8.9483406193305797</v>
      </c>
      <c r="L37">
        <v>1.2026060565722533E-3</v>
      </c>
      <c r="M37">
        <v>2.0824612519225105E-4</v>
      </c>
      <c r="N37" s="1">
        <v>6.7616346071708504E-6</v>
      </c>
      <c r="O37" s="1">
        <v>1.6803639599719901E-6</v>
      </c>
      <c r="P37" s="1">
        <v>-5.7649884225111602E-6</v>
      </c>
    </row>
    <row r="38" spans="1:16" x14ac:dyDescent="0.2">
      <c r="A38">
        <v>37</v>
      </c>
      <c r="B38">
        <v>755</v>
      </c>
      <c r="C38">
        <v>255</v>
      </c>
      <c r="D38">
        <v>0.322550697855369</v>
      </c>
      <c r="E38">
        <v>6.0062985808741596</v>
      </c>
      <c r="F38">
        <v>0.66449517526164603</v>
      </c>
      <c r="G38">
        <v>-122.17030631032812</v>
      </c>
      <c r="H38">
        <v>-78.79627492209616</v>
      </c>
      <c r="I38">
        <v>42.188986817853603</v>
      </c>
      <c r="J38">
        <v>19.271190343225602</v>
      </c>
      <c r="K38">
        <v>9.0388896781818993</v>
      </c>
      <c r="L38">
        <v>1.1927706601093497E-3</v>
      </c>
      <c r="M38">
        <v>2.0604498240979821E-4</v>
      </c>
      <c r="N38" s="1">
        <v>6.8398719398770902E-6</v>
      </c>
      <c r="O38" s="1">
        <v>1.67876942295154E-6</v>
      </c>
      <c r="P38" s="1">
        <v>-5.7777220260332797E-6</v>
      </c>
    </row>
    <row r="39" spans="1:16" x14ac:dyDescent="0.2">
      <c r="A39">
        <v>38</v>
      </c>
      <c r="B39">
        <v>754</v>
      </c>
      <c r="C39">
        <v>255</v>
      </c>
      <c r="D39">
        <v>0.321823005403299</v>
      </c>
      <c r="E39">
        <v>6.2207123292400102</v>
      </c>
      <c r="F39">
        <v>0.681431691646876</v>
      </c>
      <c r="G39">
        <v>-125.68459181638292</v>
      </c>
      <c r="H39">
        <v>-81.86209548856904</v>
      </c>
      <c r="I39">
        <v>42.666677795546903</v>
      </c>
      <c r="J39">
        <v>19.558144680868999</v>
      </c>
      <c r="K39">
        <v>9.1288861458818609</v>
      </c>
      <c r="L39">
        <v>1.1831744691262215E-3</v>
      </c>
      <c r="M39">
        <v>2.0389389134198679E-4</v>
      </c>
      <c r="N39" s="1">
        <v>6.9184204978903898E-6</v>
      </c>
      <c r="O39" s="1">
        <v>1.6771166683318901E-6</v>
      </c>
      <c r="P39" s="1">
        <v>-5.7902910867090296E-6</v>
      </c>
    </row>
    <row r="40" spans="1:16" x14ac:dyDescent="0.2">
      <c r="A40">
        <v>39</v>
      </c>
      <c r="B40">
        <v>753</v>
      </c>
      <c r="C40">
        <v>255</v>
      </c>
      <c r="D40">
        <v>0.321093894654779</v>
      </c>
      <c r="E40">
        <v>6.4340929732078802</v>
      </c>
      <c r="F40">
        <v>0.69796695801998698</v>
      </c>
      <c r="G40">
        <v>-129.18071086697924</v>
      </c>
      <c r="H40">
        <v>-84.913818469954506</v>
      </c>
      <c r="I40">
        <v>43.141334591730597</v>
      </c>
      <c r="J40">
        <v>19.843693385571001</v>
      </c>
      <c r="K40">
        <v>9.2183346206821906</v>
      </c>
      <c r="L40">
        <v>1.173808267226881E-3</v>
      </c>
      <c r="M40">
        <v>2.0179095764113117E-4</v>
      </c>
      <c r="N40" s="1">
        <v>6.99727612838439E-6</v>
      </c>
      <c r="O40" s="1">
        <v>1.6754061974512799E-6</v>
      </c>
      <c r="P40" s="1">
        <v>-5.8026954137213101E-6</v>
      </c>
    </row>
    <row r="41" spans="1:16" x14ac:dyDescent="0.2">
      <c r="A41">
        <v>40</v>
      </c>
      <c r="B41">
        <v>752</v>
      </c>
      <c r="C41">
        <v>255</v>
      </c>
      <c r="D41">
        <v>0.3203633614593</v>
      </c>
      <c r="E41">
        <v>6.6464487682558104</v>
      </c>
      <c r="F41">
        <v>0.71411600185708901</v>
      </c>
      <c r="G41">
        <v>-132.65880893373597</v>
      </c>
      <c r="H41">
        <v>-87.951556925821677</v>
      </c>
      <c r="I41">
        <v>43.612979944332601</v>
      </c>
      <c r="J41">
        <v>20.1278468675638</v>
      </c>
      <c r="K41">
        <v>9.3072396515012006</v>
      </c>
      <c r="L41">
        <v>1.1646632985436011E-3</v>
      </c>
      <c r="M41">
        <v>1.9973438184903663E-4</v>
      </c>
      <c r="N41" s="1">
        <v>7.0764346317494603E-6</v>
      </c>
      <c r="O41" s="1">
        <v>1.6736385097465401E-6</v>
      </c>
      <c r="P41" s="1">
        <v>-5.8149348159625197E-6</v>
      </c>
    </row>
    <row r="42" spans="1:16" x14ac:dyDescent="0.2">
      <c r="A42">
        <v>41</v>
      </c>
      <c r="B42">
        <v>751</v>
      </c>
      <c r="C42">
        <v>255</v>
      </c>
      <c r="D42">
        <v>0.31963140165015202</v>
      </c>
      <c r="E42">
        <v>6.8577878865594997</v>
      </c>
      <c r="F42">
        <v>0.72989310902941396</v>
      </c>
      <c r="G42">
        <v>-136.11903001805902</v>
      </c>
      <c r="H42">
        <v>-90.975422776067617</v>
      </c>
      <c r="I42">
        <v>44.081636357338397</v>
      </c>
      <c r="J42">
        <v>20.410615424689802</v>
      </c>
      <c r="K42">
        <v>9.3956057424336308</v>
      </c>
      <c r="L42">
        <v>1.1557312390230617E-3</v>
      </c>
      <c r="M42">
        <v>1.9772245349024704E-4</v>
      </c>
      <c r="N42" s="1">
        <v>7.1558917629086096E-6</v>
      </c>
      <c r="O42" s="1">
        <v>1.6718141030424701E-6</v>
      </c>
      <c r="P42" s="1">
        <v>-5.8270091030924002E-6</v>
      </c>
    </row>
    <row r="43" spans="1:16" x14ac:dyDescent="0.2">
      <c r="A43">
        <v>42</v>
      </c>
      <c r="B43">
        <v>750</v>
      </c>
      <c r="C43">
        <v>255</v>
      </c>
      <c r="D43">
        <v>0.31889801104432502</v>
      </c>
      <c r="E43">
        <v>7.0681184116649103</v>
      </c>
      <c r="F43">
        <v>0.74531186856004095</v>
      </c>
      <c r="G43">
        <v>-139.56151656261997</v>
      </c>
      <c r="H43">
        <v>-93.98552672501404</v>
      </c>
      <c r="I43">
        <v>44.547326087315099</v>
      </c>
      <c r="J43">
        <v>20.692009234848801</v>
      </c>
      <c r="K43">
        <v>9.4834373499521298</v>
      </c>
      <c r="L43">
        <v>1.1470041704006151E-3</v>
      </c>
      <c r="M43">
        <v>1.9575354569775929E-4</v>
      </c>
      <c r="N43" s="1">
        <v>7.2356432307487696E-6</v>
      </c>
      <c r="O43" s="1">
        <v>1.6699334733841299E-6</v>
      </c>
      <c r="P43" s="1">
        <v>-5.8389180850163498E-6</v>
      </c>
    </row>
    <row r="44" spans="1:16" x14ac:dyDescent="0.2">
      <c r="A44">
        <v>43</v>
      </c>
      <c r="B44">
        <v>749</v>
      </c>
      <c r="C44">
        <v>255</v>
      </c>
      <c r="D44">
        <v>0.31816318544244998</v>
      </c>
      <c r="E44">
        <v>7.2774483441587696</v>
      </c>
      <c r="F44">
        <v>0.76038521486394905</v>
      </c>
      <c r="G44">
        <v>-142.9864095474548</v>
      </c>
      <c r="H44">
        <v>-96.98197834114471</v>
      </c>
      <c r="I44">
        <v>45.010071158208</v>
      </c>
      <c r="J44">
        <v>20.972038363891802</v>
      </c>
      <c r="K44">
        <v>9.5707388858959703</v>
      </c>
      <c r="L44">
        <v>1.1384745555981257E-3</v>
      </c>
      <c r="M44">
        <v>1.9382611014904039E-4</v>
      </c>
      <c r="N44" s="1">
        <v>7.3156846991011804E-6</v>
      </c>
      <c r="O44" s="1">
        <v>1.6679971152329899E-6</v>
      </c>
      <c r="P44" s="1">
        <v>-5.8506615726293197E-6</v>
      </c>
    </row>
    <row r="45" spans="1:16" x14ac:dyDescent="0.2">
      <c r="A45">
        <v>44</v>
      </c>
      <c r="B45">
        <v>748</v>
      </c>
      <c r="C45">
        <v>255</v>
      </c>
      <c r="D45">
        <v>0.31742692062870498</v>
      </c>
      <c r="E45">
        <v>7.4857855991711597</v>
      </c>
      <c r="F45">
        <v>0.77512546645305902</v>
      </c>
      <c r="G45">
        <v>-146.39384844908119</v>
      </c>
      <c r="H45">
        <v>-99.964886021214866</v>
      </c>
      <c r="I45">
        <v>45.4698933553126</v>
      </c>
      <c r="J45">
        <v>21.250712762118798</v>
      </c>
      <c r="K45">
        <v>9.6575147161991701</v>
      </c>
      <c r="L45">
        <v>1.1301352162101797E-3</v>
      </c>
      <c r="M45">
        <v>1.9193867241996523E-4</v>
      </c>
      <c r="N45" s="1">
        <v>7.3960117866288502E-6</v>
      </c>
      <c r="O45" s="1">
        <v>1.6660055214023301E-6</v>
      </c>
      <c r="P45" s="1">
        <v>-5.8622393776556302E-6</v>
      </c>
    </row>
    <row r="46" spans="1:16" x14ac:dyDescent="0.2">
      <c r="A46">
        <v>45</v>
      </c>
      <c r="B46">
        <v>747</v>
      </c>
      <c r="C46">
        <v>255</v>
      </c>
      <c r="D46">
        <v>0.316689212370732</v>
      </c>
      <c r="E46">
        <v>7.6931380105070897</v>
      </c>
      <c r="F46">
        <v>0.789544362328924</v>
      </c>
      <c r="G46">
        <v>-149.78397131059023</v>
      </c>
      <c r="H46">
        <v>-102.93435704827121</v>
      </c>
      <c r="I46">
        <v>45.926814235938899</v>
      </c>
      <c r="J46">
        <v>21.528042269946202</v>
      </c>
      <c r="K46">
        <v>9.7437691630329493</v>
      </c>
      <c r="L46">
        <v>1.1219793113113189E-3</v>
      </c>
      <c r="M46">
        <v>1.9008982762116E-4</v>
      </c>
      <c r="N46" s="1">
        <v>7.4766200675956198E-6</v>
      </c>
      <c r="O46" s="1">
        <v>1.6639591831922201E-6</v>
      </c>
      <c r="P46" s="1">
        <v>-5.8736513131879897E-6</v>
      </c>
    </row>
    <row r="47" spans="1:16" x14ac:dyDescent="0.2">
      <c r="A47">
        <v>46</v>
      </c>
      <c r="B47">
        <v>746</v>
      </c>
      <c r="C47">
        <v>255</v>
      </c>
      <c r="D47">
        <v>0.31595005641956603</v>
      </c>
      <c r="E47">
        <v>7.8995133297446101</v>
      </c>
      <c r="F47">
        <v>0.80365309553139097</v>
      </c>
      <c r="G47">
        <v>-153.1569147273367</v>
      </c>
      <c r="H47">
        <v>-105.89049757840927</v>
      </c>
      <c r="I47">
        <v>46.380855127245198</v>
      </c>
      <c r="J47">
        <v>21.804036616552398</v>
      </c>
      <c r="K47">
        <v>9.8295065043223602</v>
      </c>
      <c r="L47">
        <v>1.1140003179366791E-3</v>
      </c>
      <c r="M47">
        <v>1.8827823637171102E-4</v>
      </c>
      <c r="N47" s="1">
        <v>7.5575050719629099E-6</v>
      </c>
      <c r="O47" s="1">
        <v>1.6618585903626801E-6</v>
      </c>
      <c r="P47" s="1">
        <v>-5.8848971936646198E-6</v>
      </c>
    </row>
    <row r="48" spans="1:16" x14ac:dyDescent="0.2">
      <c r="A48">
        <v>47</v>
      </c>
      <c r="B48">
        <v>745</v>
      </c>
      <c r="C48">
        <v>255</v>
      </c>
      <c r="D48">
        <v>0.31520944850955201</v>
      </c>
      <c r="E48">
        <v>8.1049192280734399</v>
      </c>
      <c r="F48">
        <v>0.81746234452959998</v>
      </c>
      <c r="G48">
        <v>-156.51281387909833</v>
      </c>
      <c r="H48">
        <v>-108.83341266618807</v>
      </c>
      <c r="I48">
        <v>46.832037131732598</v>
      </c>
      <c r="J48">
        <v>22.078705422629401</v>
      </c>
      <c r="K48">
        <v>9.9147309748405803</v>
      </c>
      <c r="L48">
        <v>1.1061920128099597E-3</v>
      </c>
      <c r="M48">
        <v>1.8650262103371505E-4</v>
      </c>
      <c r="N48" s="1">
        <v>7.6386622860345403E-6</v>
      </c>
      <c r="O48" s="1">
        <v>1.65970423123164E-6</v>
      </c>
      <c r="P48" s="1">
        <v>-5.8959768352862098E-6</v>
      </c>
    </row>
    <row r="49" spans="1:16" x14ac:dyDescent="0.2">
      <c r="A49">
        <v>48</v>
      </c>
      <c r="B49">
        <v>744</v>
      </c>
      <c r="C49">
        <v>255</v>
      </c>
      <c r="D49">
        <v>0.31446738435825899</v>
      </c>
      <c r="E49">
        <v>8.3093632976116503</v>
      </c>
      <c r="F49">
        <v>0.83098230246999105</v>
      </c>
      <c r="G49">
        <v>-159.85180255223617</v>
      </c>
      <c r="H49">
        <v>-111.76320628301886</v>
      </c>
      <c r="I49">
        <v>47.280381129848699</v>
      </c>
      <c r="J49">
        <v>22.352058201769001</v>
      </c>
      <c r="K49">
        <v>9.9994467666917899</v>
      </c>
      <c r="L49">
        <v>1.0985484553181198E-3</v>
      </c>
      <c r="M49">
        <v>1.8476176220373557E-4</v>
      </c>
      <c r="N49" s="1">
        <v>7.7200871526724001E-6</v>
      </c>
      <c r="O49" s="1">
        <v>1.65749659266969E-6</v>
      </c>
      <c r="P49" s="1">
        <v>-5.9068900560721897E-6</v>
      </c>
    </row>
    <row r="50" spans="1:16" x14ac:dyDescent="0.2">
      <c r="A50">
        <v>49</v>
      </c>
      <c r="B50">
        <v>743</v>
      </c>
      <c r="C50">
        <v>255</v>
      </c>
      <c r="D50">
        <v>0.31372385966638899</v>
      </c>
      <c r="E50">
        <v>28.925016718546701</v>
      </c>
      <c r="F50">
        <v>1.4491904361721999</v>
      </c>
      <c r="G50">
        <v>-497.58166147526043</v>
      </c>
      <c r="H50">
        <v>-398.37954205706245</v>
      </c>
      <c r="I50">
        <v>97.628790097136005</v>
      </c>
      <c r="J50">
        <v>50.388526316528001</v>
      </c>
      <c r="K50">
        <v>19.959431139324401</v>
      </c>
      <c r="L50">
        <v>7.1000349454403773E-4</v>
      </c>
      <c r="M50">
        <v>1.184180550555076E-4</v>
      </c>
      <c r="N50" s="1">
        <v>9.7431793935128804E-6</v>
      </c>
      <c r="O50" s="1">
        <v>2.1090362513250501E-6</v>
      </c>
      <c r="P50" s="1">
        <v>-7.5391649467656003E-6</v>
      </c>
    </row>
    <row r="51" spans="1:16" x14ac:dyDescent="0.2">
      <c r="A51">
        <v>50</v>
      </c>
      <c r="B51">
        <v>742</v>
      </c>
      <c r="C51">
        <v>255</v>
      </c>
      <c r="D51">
        <v>0.31297887011771702</v>
      </c>
      <c r="E51">
        <v>62.2371210918106</v>
      </c>
      <c r="F51">
        <v>1.7296475995885801</v>
      </c>
      <c r="G51">
        <v>-1040.5391055675793</v>
      </c>
      <c r="H51">
        <v>-859.11460607769163</v>
      </c>
      <c r="I51">
        <v>178.721418290587</v>
      </c>
      <c r="J51">
        <v>95.561635802136706</v>
      </c>
      <c r="K51">
        <v>35.9825441359351</v>
      </c>
      <c r="L51">
        <v>5.3568523628167634E-4</v>
      </c>
      <c r="M51">
        <v>8.8635615570809787E-5</v>
      </c>
      <c r="N51" s="1">
        <v>1.29799518934415E-5</v>
      </c>
      <c r="O51" s="1">
        <v>2.8314337672218501E-6</v>
      </c>
      <c r="P51" s="1">
        <v>-1.0152693681322501E-5</v>
      </c>
    </row>
    <row r="52" spans="1:16" x14ac:dyDescent="0.2">
      <c r="A52">
        <v>51</v>
      </c>
      <c r="B52">
        <v>741</v>
      </c>
      <c r="C52">
        <v>255</v>
      </c>
      <c r="D52">
        <v>0.31223241137898899</v>
      </c>
      <c r="E52">
        <v>91.874476479935495</v>
      </c>
      <c r="F52">
        <v>1.8300446102162</v>
      </c>
      <c r="G52">
        <v>-1522.6947217293146</v>
      </c>
      <c r="H52">
        <v>-1268.3769705020225</v>
      </c>
      <c r="I52">
        <v>250.77487931555601</v>
      </c>
      <c r="J52">
        <v>135.77076197939701</v>
      </c>
      <c r="K52">
        <v>50.2034081393683</v>
      </c>
      <c r="L52">
        <v>4.7437204351060672E-4</v>
      </c>
      <c r="M52">
        <v>7.8060506603058706E-5</v>
      </c>
      <c r="N52" s="1">
        <v>1.5902703524672602E-5</v>
      </c>
      <c r="O52" s="1">
        <v>3.4689156821483598E-6</v>
      </c>
      <c r="P52" s="1">
        <v>-1.24774205119967E-5</v>
      </c>
    </row>
    <row r="53" spans="1:16" x14ac:dyDescent="0.2">
      <c r="A53">
        <v>52</v>
      </c>
      <c r="B53">
        <v>740</v>
      </c>
      <c r="C53">
        <v>255</v>
      </c>
      <c r="D53">
        <v>0.31148447909983901</v>
      </c>
      <c r="E53">
        <v>99.236313932079099</v>
      </c>
      <c r="F53">
        <v>1.8474901881410299</v>
      </c>
      <c r="G53">
        <v>-1642.2601134858749</v>
      </c>
      <c r="H53">
        <v>-1370.1875920214156</v>
      </c>
      <c r="I53">
        <v>268.54698043063502</v>
      </c>
      <c r="J53">
        <v>145.79331455429499</v>
      </c>
      <c r="K53">
        <v>53.714122309862802</v>
      </c>
      <c r="L53">
        <v>4.6409303951443941E-4</v>
      </c>
      <c r="M53">
        <v>7.6132645970984476E-5</v>
      </c>
      <c r="N53" s="1">
        <v>1.6716118349624799E-5</v>
      </c>
      <c r="O53" s="1">
        <v>3.6163647523468001E-6</v>
      </c>
      <c r="P53" s="1">
        <v>-1.3049086855536399E-5</v>
      </c>
    </row>
    <row r="54" spans="1:16" x14ac:dyDescent="0.2">
      <c r="A54">
        <v>53</v>
      </c>
      <c r="B54">
        <v>763</v>
      </c>
      <c r="C54">
        <v>235</v>
      </c>
      <c r="D54">
        <v>0.349554118612175</v>
      </c>
      <c r="E54">
        <v>4.7410964009101102</v>
      </c>
      <c r="F54">
        <v>0.50267284594975203</v>
      </c>
      <c r="G54">
        <v>-103.34413991241357</v>
      </c>
      <c r="H54">
        <v>-60.129593422607066</v>
      </c>
      <c r="I54">
        <v>41.7094625645937</v>
      </c>
      <c r="J54">
        <v>18.532920246630901</v>
      </c>
      <c r="K54">
        <v>9.4317734469071297</v>
      </c>
      <c r="L54">
        <v>1.3534439749127909E-3</v>
      </c>
      <c r="M54">
        <v>2.5793133856881224E-4</v>
      </c>
      <c r="N54" s="1">
        <v>6.7535136955872996E-6</v>
      </c>
      <c r="O54" s="1">
        <v>2.4512884765269399E-6</v>
      </c>
      <c r="P54" s="1">
        <v>-7.4812031705186602E-6</v>
      </c>
    </row>
    <row r="55" spans="1:16" x14ac:dyDescent="0.2">
      <c r="A55">
        <v>54</v>
      </c>
      <c r="B55">
        <v>762</v>
      </c>
      <c r="C55">
        <v>235</v>
      </c>
      <c r="D55">
        <v>0.34885813650195902</v>
      </c>
      <c r="E55">
        <v>4.8311665254979701</v>
      </c>
      <c r="F55">
        <v>0.51056188916955403</v>
      </c>
      <c r="G55">
        <v>-104.80091580862334</v>
      </c>
      <c r="H55">
        <v>-61.427005755110272</v>
      </c>
      <c r="I55">
        <v>41.903710649033101</v>
      </c>
      <c r="J55">
        <v>18.661459811288299</v>
      </c>
      <c r="K55">
        <v>9.4624503473144497</v>
      </c>
      <c r="L55">
        <v>1.3497686183029072E-3</v>
      </c>
      <c r="M55">
        <v>2.5658076292170732E-4</v>
      </c>
      <c r="N55" s="1">
        <v>6.8413838493907096E-6</v>
      </c>
      <c r="O55" s="1">
        <v>2.4460021212828801E-6</v>
      </c>
      <c r="P55" s="1">
        <v>-7.4898532297304098E-6</v>
      </c>
    </row>
    <row r="56" spans="1:16" x14ac:dyDescent="0.2">
      <c r="A56">
        <v>55</v>
      </c>
      <c r="B56">
        <v>761</v>
      </c>
      <c r="C56">
        <v>235</v>
      </c>
      <c r="D56">
        <v>0.34816080839336999</v>
      </c>
      <c r="E56">
        <v>5.0469990137705301</v>
      </c>
      <c r="F56">
        <v>0.528373247881473</v>
      </c>
      <c r="G56">
        <v>-108.34316167551152</v>
      </c>
      <c r="H56">
        <v>-64.512277809829882</v>
      </c>
      <c r="I56">
        <v>42.386120143539998</v>
      </c>
      <c r="J56">
        <v>18.952057139017899</v>
      </c>
      <c r="K56">
        <v>9.5519578896293709</v>
      </c>
      <c r="L56">
        <v>1.3394782000099223E-3</v>
      </c>
      <c r="M56">
        <v>2.5398638326958397E-4</v>
      </c>
      <c r="N56" s="1">
        <v>6.9382854933122196E-6</v>
      </c>
      <c r="O56" s="1">
        <v>2.4437178356413899E-6</v>
      </c>
      <c r="P56" s="1">
        <v>-7.5077245455213697E-6</v>
      </c>
    </row>
    <row r="57" spans="1:16" x14ac:dyDescent="0.2">
      <c r="A57">
        <v>56</v>
      </c>
      <c r="B57">
        <v>760</v>
      </c>
      <c r="C57">
        <v>235</v>
      </c>
      <c r="D57">
        <v>0.34746213037796903</v>
      </c>
      <c r="E57">
        <v>5.2617907461013003</v>
      </c>
      <c r="F57">
        <v>0.54577751764846905</v>
      </c>
      <c r="G57">
        <v>-111.86710096267019</v>
      </c>
      <c r="H57">
        <v>-67.583344870686048</v>
      </c>
      <c r="I57">
        <v>42.865493484906899</v>
      </c>
      <c r="J57">
        <v>19.2412575286404</v>
      </c>
      <c r="K57">
        <v>9.6409078350683899</v>
      </c>
      <c r="L57">
        <v>1.3294270691447409E-3</v>
      </c>
      <c r="M57">
        <v>2.5144782736094269E-4</v>
      </c>
      <c r="N57" s="1">
        <v>7.0357194064499699E-6</v>
      </c>
      <c r="O57" s="1">
        <v>2.4413528827271702E-6</v>
      </c>
      <c r="P57" s="1">
        <v>-7.5254065041464002E-6</v>
      </c>
    </row>
    <row r="58" spans="1:16" x14ac:dyDescent="0.2">
      <c r="A58">
        <v>57</v>
      </c>
      <c r="B58">
        <v>759</v>
      </c>
      <c r="C58">
        <v>235</v>
      </c>
      <c r="D58">
        <v>0.34676209853219198</v>
      </c>
      <c r="E58">
        <v>5.4755499930753402</v>
      </c>
      <c r="F58">
        <v>0.56278943752867205</v>
      </c>
      <c r="G58">
        <v>-115.37287959281288</v>
      </c>
      <c r="H58">
        <v>-70.640320207160073</v>
      </c>
      <c r="I58">
        <v>43.341853484791599</v>
      </c>
      <c r="J58">
        <v>19.529071311541301</v>
      </c>
      <c r="K58">
        <v>9.7293048304524792</v>
      </c>
      <c r="L58">
        <v>1.3196063840334917E-3</v>
      </c>
      <c r="M58">
        <v>2.4896307368868357E-4</v>
      </c>
      <c r="N58" s="1">
        <v>7.1336808905797897E-6</v>
      </c>
      <c r="O58" s="1">
        <v>2.4389078378167799E-6</v>
      </c>
      <c r="P58" s="1">
        <v>-7.5428983924320498E-6</v>
      </c>
    </row>
    <row r="59" spans="1:16" x14ac:dyDescent="0.2">
      <c r="A59">
        <v>58</v>
      </c>
      <c r="B59">
        <v>758</v>
      </c>
      <c r="C59">
        <v>235</v>
      </c>
      <c r="D59">
        <v>0.34606070891722801</v>
      </c>
      <c r="E59">
        <v>5.6882849371560198</v>
      </c>
      <c r="F59">
        <v>0.57942304269559997</v>
      </c>
      <c r="G59">
        <v>-118.86064193714454</v>
      </c>
      <c r="H59">
        <v>-73.683315880393181</v>
      </c>
      <c r="I59">
        <v>43.815222710537398</v>
      </c>
      <c r="J59">
        <v>19.815508699812501</v>
      </c>
      <c r="K59">
        <v>9.8171534751067107</v>
      </c>
      <c r="L59">
        <v>1.3100077246217192E-3</v>
      </c>
      <c r="M59">
        <v>2.4653019751086488E-4</v>
      </c>
      <c r="N59" s="1">
        <v>7.2321651585987803E-6</v>
      </c>
      <c r="O59" s="1">
        <v>2.4363832749435E-6</v>
      </c>
      <c r="P59" s="1">
        <v>-7.5601994941814998E-6</v>
      </c>
    </row>
    <row r="60" spans="1:16" x14ac:dyDescent="0.2">
      <c r="A60">
        <v>59</v>
      </c>
      <c r="B60">
        <v>757</v>
      </c>
      <c r="C60">
        <v>235</v>
      </c>
      <c r="D60">
        <v>0.34535795757899301</v>
      </c>
      <c r="E60">
        <v>5.9000036762392902</v>
      </c>
      <c r="F60">
        <v>0.59569170609575095</v>
      </c>
      <c r="G60">
        <v>-122.33053087601475</v>
      </c>
      <c r="H60">
        <v>-76.712442792967792</v>
      </c>
      <c r="I60">
        <v>44.285623494541397</v>
      </c>
      <c r="J60">
        <v>20.100579791172599</v>
      </c>
      <c r="K60">
        <v>9.9044583227602097</v>
      </c>
      <c r="L60">
        <v>1.3006230675256807E-3</v>
      </c>
      <c r="M60">
        <v>2.4414736512780625E-4</v>
      </c>
      <c r="N60" s="1">
        <v>7.3311673348893402E-6</v>
      </c>
      <c r="O60" s="1">
        <v>2.4337797670874899E-6</v>
      </c>
      <c r="P60" s="1">
        <v>-7.5773090908630597E-6</v>
      </c>
    </row>
    <row r="61" spans="1:16" x14ac:dyDescent="0.2">
      <c r="A61">
        <v>60</v>
      </c>
      <c r="B61">
        <v>756</v>
      </c>
      <c r="C61">
        <v>235</v>
      </c>
      <c r="D61">
        <v>0.344653840548026</v>
      </c>
      <c r="E61">
        <v>6.1107142180621699</v>
      </c>
      <c r="F61">
        <v>0.61160817655210598</v>
      </c>
      <c r="G61">
        <v>-125.78268770681157</v>
      </c>
      <c r="H61">
        <v>-79.727810608983603</v>
      </c>
      <c r="I61">
        <v>44.753077921275498</v>
      </c>
      <c r="J61">
        <v>20.384294561548401</v>
      </c>
      <c r="K61">
        <v>9.9912238788416001</v>
      </c>
      <c r="L61">
        <v>1.2914447632570154E-3</v>
      </c>
      <c r="M61">
        <v>2.4181282863951285E-4</v>
      </c>
      <c r="N61" s="1">
        <v>7.4306824547818402E-6</v>
      </c>
      <c r="O61" s="1">
        <v>2.43109788604374E-6</v>
      </c>
      <c r="P61" s="1">
        <v>-7.5942264613059401E-6</v>
      </c>
    </row>
    <row r="62" spans="1:16" x14ac:dyDescent="0.2">
      <c r="A62">
        <v>61</v>
      </c>
      <c r="B62">
        <v>755</v>
      </c>
      <c r="C62">
        <v>235</v>
      </c>
      <c r="D62">
        <v>0.34394835383941902</v>
      </c>
      <c r="E62">
        <v>6.3204244924316697</v>
      </c>
      <c r="F62">
        <v>0.62718461549030702</v>
      </c>
      <c r="G62">
        <v>-129.2172523482443</v>
      </c>
      <c r="H62">
        <v>-82.729527927245755</v>
      </c>
      <c r="I62">
        <v>45.217607856324499</v>
      </c>
      <c r="J62">
        <v>20.666662881109801</v>
      </c>
      <c r="K62">
        <v>10.077454606392999</v>
      </c>
      <c r="L62">
        <v>1.2824655141827038E-3</v>
      </c>
      <c r="M62">
        <v>2.3952492090858845E-4</v>
      </c>
      <c r="N62" s="1">
        <v>7.5307054655766596E-6</v>
      </c>
      <c r="O62" s="1">
        <v>2.4283382028052399E-6</v>
      </c>
      <c r="P62" s="1">
        <v>-7.6109508830033503E-6</v>
      </c>
    </row>
    <row r="63" spans="1:16" x14ac:dyDescent="0.2">
      <c r="A63">
        <v>62</v>
      </c>
      <c r="B63">
        <v>754</v>
      </c>
      <c r="C63">
        <v>235</v>
      </c>
      <c r="D63">
        <v>0.34324149345275801</v>
      </c>
      <c r="E63">
        <v>6.5291423413445502</v>
      </c>
      <c r="F63">
        <v>0.64243262961269398</v>
      </c>
      <c r="G63">
        <v>-132.63436317740815</v>
      </c>
      <c r="H63">
        <v>-85.717702140285638</v>
      </c>
      <c r="I63">
        <v>45.6792349239443</v>
      </c>
      <c r="J63">
        <v>20.947694501466799</v>
      </c>
      <c r="K63">
        <v>10.1631549214441</v>
      </c>
      <c r="L63">
        <v>1.2736783550215552E-3</v>
      </c>
      <c r="M63">
        <v>2.3728205105974867E-4</v>
      </c>
      <c r="N63" s="1">
        <v>7.6312312258263602E-6</v>
      </c>
      <c r="O63" s="1">
        <v>2.42550128735312E-6</v>
      </c>
      <c r="P63" s="1">
        <v>-7.6274816315756599E-6</v>
      </c>
    </row>
    <row r="64" spans="1:16" x14ac:dyDescent="0.2">
      <c r="A64">
        <v>63</v>
      </c>
      <c r="B64">
        <v>753</v>
      </c>
      <c r="C64">
        <v>235</v>
      </c>
      <c r="D64">
        <v>0.342533255372025</v>
      </c>
      <c r="E64">
        <v>6.73687552758562</v>
      </c>
      <c r="F64">
        <v>0.657363302633584</v>
      </c>
      <c r="G64">
        <v>-136.0341571739441</v>
      </c>
      <c r="H64">
        <v>-88.692439555916991</v>
      </c>
      <c r="I64">
        <v>46.137980527914102</v>
      </c>
      <c r="J64">
        <v>21.227399067090602</v>
      </c>
      <c r="K64">
        <v>10.248329197257799</v>
      </c>
      <c r="L64">
        <v>1.2650766338110472E-3</v>
      </c>
      <c r="M64">
        <v>2.3508270012521443E-4</v>
      </c>
      <c r="N64" s="1">
        <v>7.7322545062111005E-6</v>
      </c>
      <c r="O64" s="1">
        <v>2.4225877089609201E-6</v>
      </c>
      <c r="P64" s="1">
        <v>-7.6438179818450605E-6</v>
      </c>
    </row>
    <row r="65" spans="1:16" x14ac:dyDescent="0.2">
      <c r="A65">
        <v>64</v>
      </c>
      <c r="B65">
        <v>752</v>
      </c>
      <c r="C65">
        <v>235</v>
      </c>
      <c r="D65">
        <v>0.34182363556552797</v>
      </c>
      <c r="E65">
        <v>6.9436317307457003</v>
      </c>
      <c r="F65">
        <v>0.67198722405867894</v>
      </c>
      <c r="G65">
        <v>-139.41676985456147</v>
      </c>
      <c r="H65">
        <v>-91.653845340220855</v>
      </c>
      <c r="I65">
        <v>46.593865842206199</v>
      </c>
      <c r="J65">
        <v>21.505786109957501</v>
      </c>
      <c r="K65">
        <v>10.3329817623725</v>
      </c>
      <c r="L65">
        <v>1.2566539947046274E-3</v>
      </c>
      <c r="M65">
        <v>2.3292541708497047E-4</v>
      </c>
      <c r="N65" s="1">
        <v>7.8337699892009303E-6</v>
      </c>
      <c r="O65" s="1">
        <v>2.4195980360943499E-6</v>
      </c>
      <c r="P65" s="1">
        <v>-7.6599592076492095E-6</v>
      </c>
    </row>
    <row r="66" spans="1:16" x14ac:dyDescent="0.2">
      <c r="A66">
        <v>65</v>
      </c>
      <c r="B66">
        <v>751</v>
      </c>
      <c r="C66">
        <v>235</v>
      </c>
      <c r="D66">
        <v>0.34111262998584302</v>
      </c>
      <c r="E66">
        <v>7.1494185524539802</v>
      </c>
      <c r="F66">
        <v>0.68631451666404897</v>
      </c>
      <c r="G66">
        <v>-142.78233536111279</v>
      </c>
      <c r="H66">
        <v>-94.602023591335765</v>
      </c>
      <c r="I66">
        <v>47.046911823812202</v>
      </c>
      <c r="J66">
        <v>21.7828650565109</v>
      </c>
      <c r="K66">
        <v>10.417116903202</v>
      </c>
      <c r="L66">
        <v>1.2484043615034928E-3</v>
      </c>
      <c r="M66">
        <v>2.3080881509402598E-4</v>
      </c>
      <c r="N66" s="1">
        <v>7.9357722696990203E-6</v>
      </c>
      <c r="O66" s="1">
        <v>2.4165328366108498E-6</v>
      </c>
      <c r="P66" s="1">
        <v>-7.6759045826028693E-6</v>
      </c>
    </row>
    <row r="67" spans="1:16" x14ac:dyDescent="0.2">
      <c r="A67">
        <v>66</v>
      </c>
      <c r="B67">
        <v>750</v>
      </c>
      <c r="C67">
        <v>235</v>
      </c>
      <c r="D67">
        <v>0.34040023456971302</v>
      </c>
      <c r="E67">
        <v>7.3542435136751196</v>
      </c>
      <c r="F67">
        <v>0.70035486166531402</v>
      </c>
      <c r="G67">
        <v>-146.13098641690797</v>
      </c>
      <c r="H67">
        <v>-97.537077300463324</v>
      </c>
      <c r="I67">
        <v>47.497139207097</v>
      </c>
      <c r="J67">
        <v>22.058645224263799</v>
      </c>
      <c r="K67">
        <v>10.5007388628503</v>
      </c>
      <c r="L67">
        <v>1.240321922609299E-3</v>
      </c>
      <c r="M67">
        <v>2.2873156801986536E-4</v>
      </c>
      <c r="N67" s="1">
        <v>8.0382558550200707E-6</v>
      </c>
      <c r="O67" s="1">
        <v>2.4133926777438602E-6</v>
      </c>
      <c r="P67" s="1">
        <v>-7.6916533801865601E-6</v>
      </c>
    </row>
    <row r="68" spans="1:16" x14ac:dyDescent="0.2">
      <c r="A68">
        <v>67</v>
      </c>
      <c r="B68">
        <v>749</v>
      </c>
      <c r="C68">
        <v>235</v>
      </c>
      <c r="D68">
        <v>0.33968644523797997</v>
      </c>
      <c r="E68">
        <v>7.5581140592515403</v>
      </c>
      <c r="F68">
        <v>0.71411752272711404</v>
      </c>
      <c r="G68">
        <v>-149.46285440302347</v>
      </c>
      <c r="H68">
        <v>-100.45910841595233</v>
      </c>
      <c r="I68">
        <v>47.944568514670003</v>
      </c>
      <c r="J68">
        <v>22.333135827730501</v>
      </c>
      <c r="K68">
        <v>10.5838518433046</v>
      </c>
      <c r="L68">
        <v>1.2324011166361417E-3</v>
      </c>
      <c r="M68">
        <v>2.2669240714589319E-4</v>
      </c>
      <c r="N68" s="1">
        <v>8.1412151654745798E-6</v>
      </c>
      <c r="O68" s="1">
        <v>2.4101781262564001E-6</v>
      </c>
      <c r="P68" s="1">
        <v>-7.7072048743786697E-6</v>
      </c>
    </row>
    <row r="69" spans="1:16" x14ac:dyDescent="0.2">
      <c r="A69">
        <v>68</v>
      </c>
      <c r="B69">
        <v>748</v>
      </c>
      <c r="C69">
        <v>235</v>
      </c>
      <c r="D69">
        <v>0.33897125789551102</v>
      </c>
      <c r="E69">
        <v>9.4083645479895797</v>
      </c>
      <c r="F69">
        <v>0.81894041561014497</v>
      </c>
      <c r="G69">
        <v>-180.11007673592982</v>
      </c>
      <c r="H69">
        <v>-126.46681273025872</v>
      </c>
      <c r="I69">
        <v>52.535014546285197</v>
      </c>
      <c r="J69">
        <v>24.9025091110673</v>
      </c>
      <c r="K69">
        <v>11.488460416231799</v>
      </c>
      <c r="L69">
        <v>1.1647501162569145E-3</v>
      </c>
      <c r="M69">
        <v>2.1357873195911359E-4</v>
      </c>
      <c r="N69" s="1">
        <v>8.4178856151606698E-6</v>
      </c>
      <c r="O69" s="1">
        <v>2.46323192209378E-6</v>
      </c>
      <c r="P69" s="1">
        <v>-7.9032553001596296E-6</v>
      </c>
    </row>
    <row r="70" spans="1:16" x14ac:dyDescent="0.2">
      <c r="A70">
        <v>69</v>
      </c>
      <c r="B70">
        <v>747</v>
      </c>
      <c r="C70">
        <v>235</v>
      </c>
      <c r="D70">
        <v>0.33825466843111501</v>
      </c>
      <c r="E70">
        <v>15.165270810527501</v>
      </c>
      <c r="F70">
        <v>1.0612687898103299</v>
      </c>
      <c r="G70">
        <v>-274.76491242973384</v>
      </c>
      <c r="H70">
        <v>-206.7943086238956</v>
      </c>
      <c r="I70">
        <v>66.631057905218</v>
      </c>
      <c r="J70">
        <v>32.759083869095399</v>
      </c>
      <c r="K70">
        <v>14.289754825672199</v>
      </c>
      <c r="L70">
        <v>1.005264905234942E-3</v>
      </c>
      <c r="M70">
        <v>1.8355571106519247E-4</v>
      </c>
      <c r="N70" s="1">
        <v>9.0590040222017704E-6</v>
      </c>
      <c r="O70" s="1">
        <v>2.6292890776897699E-6</v>
      </c>
      <c r="P70" s="1">
        <v>-8.4642024640431799E-6</v>
      </c>
    </row>
    <row r="71" spans="1:16" x14ac:dyDescent="0.2">
      <c r="A71">
        <v>70</v>
      </c>
      <c r="B71">
        <v>746</v>
      </c>
      <c r="C71">
        <v>235</v>
      </c>
      <c r="D71">
        <v>0.33753667271746202</v>
      </c>
      <c r="E71">
        <v>35.955805637369998</v>
      </c>
      <c r="F71">
        <v>1.47724822292821</v>
      </c>
      <c r="G71">
        <v>-615.02724114658042</v>
      </c>
      <c r="H71">
        <v>-495.79820295060239</v>
      </c>
      <c r="I71">
        <v>116.99239655397599</v>
      </c>
      <c r="J71">
        <v>60.815369713307099</v>
      </c>
      <c r="K71">
        <v>24.3397183217443</v>
      </c>
      <c r="L71">
        <v>7.2871138217157991E-4</v>
      </c>
      <c r="M71">
        <v>1.3211791210850069E-4</v>
      </c>
      <c r="N71" s="1">
        <v>1.10642231885999E-5</v>
      </c>
      <c r="O71" s="1">
        <v>3.2115287297672501E-6</v>
      </c>
      <c r="P71" s="1">
        <v>-1.03726519830677E-5</v>
      </c>
    </row>
    <row r="72" spans="1:16" x14ac:dyDescent="0.2">
      <c r="A72">
        <v>71</v>
      </c>
      <c r="B72">
        <v>745</v>
      </c>
      <c r="C72">
        <v>235</v>
      </c>
      <c r="D72">
        <v>0.33681726661101002</v>
      </c>
      <c r="E72">
        <v>74.040758530315799</v>
      </c>
      <c r="F72">
        <v>1.73467392748538</v>
      </c>
      <c r="G72">
        <v>-1234.8485603928195</v>
      </c>
      <c r="H72">
        <v>-1021.938680222519</v>
      </c>
      <c r="I72">
        <v>209.11939716374101</v>
      </c>
      <c r="J72">
        <v>112.121735916445</v>
      </c>
      <c r="K72">
        <v>42.682810502401701</v>
      </c>
      <c r="L72">
        <v>5.6051378597632537E-4</v>
      </c>
      <c r="M72">
        <v>1.008543393469426E-4</v>
      </c>
      <c r="N72" s="1">
        <v>1.47136342274138E-5</v>
      </c>
      <c r="O72" s="1">
        <v>4.2816540765834802E-6</v>
      </c>
      <c r="P72" s="1">
        <v>-1.38744735038506E-5</v>
      </c>
    </row>
    <row r="73" spans="1:16" x14ac:dyDescent="0.2">
      <c r="A73">
        <v>72</v>
      </c>
      <c r="B73">
        <v>744</v>
      </c>
      <c r="C73">
        <v>235</v>
      </c>
      <c r="D73">
        <v>0.336096445951927</v>
      </c>
      <c r="E73">
        <v>95.0821310284676</v>
      </c>
      <c r="F73">
        <v>1.8013697664507</v>
      </c>
      <c r="G73">
        <v>-1577.0393793516371</v>
      </c>
      <c r="H73">
        <v>-1312.703861504981</v>
      </c>
      <c r="I73">
        <v>259.88423786884499</v>
      </c>
      <c r="J73">
        <v>140.49291913704599</v>
      </c>
      <c r="K73">
        <v>52.783239065797702</v>
      </c>
      <c r="L73">
        <v>5.1769072293625449E-4</v>
      </c>
      <c r="M73">
        <v>9.2734906408505879E-5</v>
      </c>
      <c r="N73" s="1">
        <v>1.68186210412577E-5</v>
      </c>
      <c r="O73" s="1">
        <v>4.8604952410677697E-6</v>
      </c>
      <c r="P73" s="1">
        <v>-1.58027799124422E-5</v>
      </c>
    </row>
    <row r="74" spans="1:16" x14ac:dyDescent="0.2">
      <c r="A74">
        <v>73</v>
      </c>
      <c r="B74">
        <v>743</v>
      </c>
      <c r="C74">
        <v>235</v>
      </c>
      <c r="D74">
        <v>0.33537420656399403</v>
      </c>
      <c r="E74">
        <v>100.271950994802</v>
      </c>
      <c r="F74">
        <v>1.8148406490453901</v>
      </c>
      <c r="G74">
        <v>-1661.2247570297845</v>
      </c>
      <c r="H74">
        <v>-1384.5536970658245</v>
      </c>
      <c r="I74">
        <v>272.27965074997297</v>
      </c>
      <c r="J74">
        <v>147.52159069213999</v>
      </c>
      <c r="K74">
        <v>55.251104854602502</v>
      </c>
      <c r="L74">
        <v>5.0947010598102944E-4</v>
      </c>
      <c r="M74">
        <v>9.0988755943361175E-5</v>
      </c>
      <c r="N74" s="1">
        <v>1.74594812187979E-5</v>
      </c>
      <c r="O74" s="1">
        <v>4.9890029441351599E-6</v>
      </c>
      <c r="P74" s="1">
        <v>-1.62751511898593E-5</v>
      </c>
    </row>
    <row r="75" spans="1:16" x14ac:dyDescent="0.2">
      <c r="A75">
        <v>74</v>
      </c>
      <c r="B75">
        <v>763</v>
      </c>
      <c r="C75">
        <v>215</v>
      </c>
      <c r="D75">
        <v>0.37078656565169499</v>
      </c>
      <c r="E75">
        <v>5.0629505146445197</v>
      </c>
      <c r="F75">
        <v>0.47539197770461999</v>
      </c>
      <c r="G75">
        <v>-110.5667768097248</v>
      </c>
      <c r="H75">
        <v>-64.11827298307351</v>
      </c>
      <c r="I75">
        <v>44.8307688634237</v>
      </c>
      <c r="J75">
        <v>19.9364794160557</v>
      </c>
      <c r="K75">
        <v>10.650054590930299</v>
      </c>
      <c r="L75">
        <v>1.4473100247949797E-3</v>
      </c>
      <c r="M75">
        <v>3.0194214858035416E-4</v>
      </c>
      <c r="N75" s="1">
        <v>6.6910798314770697E-6</v>
      </c>
      <c r="O75" s="1">
        <v>3.6304139538991502E-6</v>
      </c>
      <c r="P75" s="1">
        <v>-9.9162773824359896E-6</v>
      </c>
    </row>
    <row r="76" spans="1:16" x14ac:dyDescent="0.2">
      <c r="A76">
        <v>75</v>
      </c>
      <c r="B76">
        <v>762</v>
      </c>
      <c r="C76">
        <v>215</v>
      </c>
      <c r="D76">
        <v>0.37011109501038603</v>
      </c>
      <c r="E76">
        <v>5.2296951793843203</v>
      </c>
      <c r="F76">
        <v>0.488100876212131</v>
      </c>
      <c r="G76">
        <v>-113.29199911696125</v>
      </c>
      <c r="H76">
        <v>-66.508513371258601</v>
      </c>
      <c r="I76">
        <v>45.197689044628703</v>
      </c>
      <c r="J76">
        <v>20.165674828521301</v>
      </c>
      <c r="K76">
        <v>10.714373676132199</v>
      </c>
      <c r="L76">
        <v>1.4403435534773533E-3</v>
      </c>
      <c r="M76">
        <v>2.9970029236494651E-4</v>
      </c>
      <c r="N76" s="1">
        <v>6.8106228469619903E-6</v>
      </c>
      <c r="O76" s="1">
        <v>3.62533928129846E-6</v>
      </c>
      <c r="P76" s="1">
        <v>-9.9372581369190294E-6</v>
      </c>
    </row>
    <row r="77" spans="1:16" x14ac:dyDescent="0.2">
      <c r="A77">
        <v>76</v>
      </c>
      <c r="B77">
        <v>761</v>
      </c>
      <c r="C77">
        <v>215</v>
      </c>
      <c r="D77">
        <v>0.36943431803897198</v>
      </c>
      <c r="E77">
        <v>5.4389507327545896</v>
      </c>
      <c r="F77">
        <v>0.50367026508383395</v>
      </c>
      <c r="G77">
        <v>-116.72150139537914</v>
      </c>
      <c r="H77">
        <v>-69.503872589865708</v>
      </c>
      <c r="I77">
        <v>45.661206504966202</v>
      </c>
      <c r="J77">
        <v>20.449475256120699</v>
      </c>
      <c r="K77">
        <v>10.7986337685614</v>
      </c>
      <c r="L77">
        <v>1.431340054379784E-3</v>
      </c>
      <c r="M77">
        <v>2.9704609873687862E-4</v>
      </c>
      <c r="N77" s="1">
        <v>6.9336390769008202E-6</v>
      </c>
      <c r="O77" s="1">
        <v>3.6215656219447698E-6</v>
      </c>
      <c r="P77" s="1">
        <v>-9.9618839406540594E-6</v>
      </c>
    </row>
    <row r="78" spans="1:16" x14ac:dyDescent="0.2">
      <c r="A78">
        <v>77</v>
      </c>
      <c r="B78">
        <v>760</v>
      </c>
      <c r="C78">
        <v>215</v>
      </c>
      <c r="D78">
        <v>0.36875623094420001</v>
      </c>
      <c r="E78">
        <v>5.6472228956554504</v>
      </c>
      <c r="F78">
        <v>0.51893362630317996</v>
      </c>
      <c r="G78">
        <v>-120.13369906860984</v>
      </c>
      <c r="H78">
        <v>-72.485812821744716</v>
      </c>
      <c r="I78">
        <v>46.121860282167603</v>
      </c>
      <c r="J78">
        <v>20.731972217603001</v>
      </c>
      <c r="K78">
        <v>10.8823606901051</v>
      </c>
      <c r="L78">
        <v>1.4225180554185205E-3</v>
      </c>
      <c r="M78">
        <v>2.9444019308542708E-4</v>
      </c>
      <c r="N78" s="1">
        <v>7.0575234463788697E-6</v>
      </c>
      <c r="O78" s="1">
        <v>3.6176825838387402E-6</v>
      </c>
      <c r="P78" s="1">
        <v>-9.9862992638382594E-6</v>
      </c>
    </row>
    <row r="79" spans="1:16" x14ac:dyDescent="0.2">
      <c r="A79">
        <v>78</v>
      </c>
      <c r="B79">
        <v>759</v>
      </c>
      <c r="C79">
        <v>215</v>
      </c>
      <c r="D79">
        <v>0.36807682991813401</v>
      </c>
      <c r="E79">
        <v>5.8545192846815901</v>
      </c>
      <c r="F79">
        <v>0.53390067722404799</v>
      </c>
      <c r="G79">
        <v>-123.52872670337987</v>
      </c>
      <c r="H79">
        <v>-75.454438378231615</v>
      </c>
      <c r="I79">
        <v>46.579671366005499</v>
      </c>
      <c r="J79">
        <v>21.013175022978601</v>
      </c>
      <c r="K79">
        <v>10.9655588285099</v>
      </c>
      <c r="L79">
        <v>1.4138715835110365E-3</v>
      </c>
      <c r="M79">
        <v>2.9188103566352657E-4</v>
      </c>
      <c r="N79" s="1">
        <v>7.1822711970700804E-6</v>
      </c>
      <c r="O79" s="1">
        <v>3.6136907515969302E-6</v>
      </c>
      <c r="P79" s="1">
        <v>-1.00105025073998E-5</v>
      </c>
    </row>
    <row r="80" spans="1:16" x14ac:dyDescent="0.2">
      <c r="A80">
        <v>79</v>
      </c>
      <c r="B80">
        <v>758</v>
      </c>
      <c r="C80">
        <v>215</v>
      </c>
      <c r="D80">
        <v>0.36739611113805198</v>
      </c>
      <c r="E80">
        <v>6.0608474400255901</v>
      </c>
      <c r="F80">
        <v>0.54858072759500798</v>
      </c>
      <c r="G80">
        <v>-126.90671751782634</v>
      </c>
      <c r="H80">
        <v>-78.409852524041554</v>
      </c>
      <c r="I80">
        <v>47.034660534826997</v>
      </c>
      <c r="J80">
        <v>21.293092877151999</v>
      </c>
      <c r="K80">
        <v>11.048232530144601</v>
      </c>
      <c r="L80">
        <v>1.4053949149939343E-3</v>
      </c>
      <c r="M80">
        <v>2.8936715157540106E-4</v>
      </c>
      <c r="N80" s="1">
        <v>7.3078774111239398E-6</v>
      </c>
      <c r="O80" s="1">
        <v>3.60959070999368E-6</v>
      </c>
      <c r="P80" s="1">
        <v>-1.00344920614338E-5</v>
      </c>
    </row>
    <row r="81" spans="1:16" x14ac:dyDescent="0.2">
      <c r="A81">
        <v>80</v>
      </c>
      <c r="B81">
        <v>757</v>
      </c>
      <c r="C81">
        <v>215</v>
      </c>
      <c r="D81">
        <v>0.36671407076639501</v>
      </c>
      <c r="E81">
        <v>6.2662148211680702</v>
      </c>
      <c r="F81">
        <v>0.56298270033308895</v>
      </c>
      <c r="G81">
        <v>-130.2678033107363</v>
      </c>
      <c r="H81">
        <v>-81.352157415529888</v>
      </c>
      <c r="I81">
        <v>47.486848345768898</v>
      </c>
      <c r="J81">
        <v>21.5717348742768</v>
      </c>
      <c r="K81">
        <v>11.1303860979398</v>
      </c>
      <c r="L81">
        <v>1.3970825629621509E-3</v>
      </c>
      <c r="M81">
        <v>2.8689712746996626E-4</v>
      </c>
      <c r="N81" s="1">
        <v>7.4343370098968004E-6</v>
      </c>
      <c r="O81" s="1">
        <v>3.60538304388852E-6</v>
      </c>
      <c r="P81" s="1">
        <v>-1.00582663051224E-5</v>
      </c>
    </row>
    <row r="82" spans="1:16" x14ac:dyDescent="0.2">
      <c r="A82">
        <v>81</v>
      </c>
      <c r="B82">
        <v>756</v>
      </c>
      <c r="C82">
        <v>215</v>
      </c>
      <c r="D82">
        <v>0.36603070495068801</v>
      </c>
      <c r="E82">
        <v>6.4706288130526897</v>
      </c>
      <c r="F82">
        <v>0.57711515169886396</v>
      </c>
      <c r="G82">
        <v>-133.61211456562771</v>
      </c>
      <c r="H82">
        <v>-84.281454187820344</v>
      </c>
      <c r="I82">
        <v>47.936255150156597</v>
      </c>
      <c r="J82">
        <v>21.849110006114</v>
      </c>
      <c r="K82">
        <v>11.212023794566701</v>
      </c>
      <c r="L82">
        <v>1.3889292649094478E-3</v>
      </c>
      <c r="M82">
        <v>2.8446960833938953E-4</v>
      </c>
      <c r="N82" s="1">
        <v>7.5616447536920401E-6</v>
      </c>
      <c r="O82" s="1">
        <v>3.6010683386194901E-6</v>
      </c>
      <c r="P82" s="1">
        <v>-1.00818236079615E-5</v>
      </c>
    </row>
    <row r="83" spans="1:16" x14ac:dyDescent="0.2">
      <c r="A83">
        <v>82</v>
      </c>
      <c r="B83">
        <v>755</v>
      </c>
      <c r="C83">
        <v>215</v>
      </c>
      <c r="D83">
        <v>0.36534600982346799</v>
      </c>
      <c r="E83">
        <v>6.6740967233874899</v>
      </c>
      <c r="F83">
        <v>0.59098628968089695</v>
      </c>
      <c r="G83">
        <v>-136.93978040650228</v>
      </c>
      <c r="H83">
        <v>-87.197842916052309</v>
      </c>
      <c r="I83">
        <v>48.3829010871588</v>
      </c>
      <c r="J83">
        <v>22.125227158366801</v>
      </c>
      <c r="K83">
        <v>11.2931498410752</v>
      </c>
      <c r="L83">
        <v>1.3809299715174988E-3</v>
      </c>
      <c r="M83">
        <v>2.820832945938166E-4</v>
      </c>
      <c r="N83" s="1">
        <v>7.6897952406468106E-6</v>
      </c>
      <c r="O83" s="1">
        <v>3.5966471799558298E-6</v>
      </c>
      <c r="P83" s="1">
        <v>-1.01051623297736E-5</v>
      </c>
    </row>
    <row r="84" spans="1:16" x14ac:dyDescent="0.2">
      <c r="A84">
        <v>83</v>
      </c>
      <c r="B84">
        <v>754</v>
      </c>
      <c r="C84">
        <v>215</v>
      </c>
      <c r="D84">
        <v>0.36465998150221401</v>
      </c>
      <c r="E84">
        <v>6.8766257830828197</v>
      </c>
      <c r="F84">
        <v>0.60460399146532195</v>
      </c>
      <c r="G84">
        <v>-140.25092860644719</v>
      </c>
      <c r="H84">
        <v>-90.101422620994271</v>
      </c>
      <c r="I84">
        <v>48.826806085663698</v>
      </c>
      <c r="J84">
        <v>22.400095111488302</v>
      </c>
      <c r="K84">
        <v>11.3737684172686</v>
      </c>
      <c r="L84">
        <v>1.3730798359853902E-3</v>
      </c>
      <c r="M84">
        <v>2.7973693928438903E-4</v>
      </c>
      <c r="N84" s="1">
        <v>7.8187829060952802E-6</v>
      </c>
      <c r="O84" s="1">
        <v>3.5921201542609801E-6</v>
      </c>
      <c r="P84" s="1">
        <v>-1.01282808213152E-5</v>
      </c>
    </row>
    <row r="85" spans="1:16" x14ac:dyDescent="0.2">
      <c r="A85">
        <v>84</v>
      </c>
      <c r="B85">
        <v>753</v>
      </c>
      <c r="C85">
        <v>215</v>
      </c>
      <c r="D85">
        <v>0.36397261608926701</v>
      </c>
      <c r="E85">
        <v>7.9008009563482204</v>
      </c>
      <c r="F85">
        <v>0.665812666212382</v>
      </c>
      <c r="G85">
        <v>-157.20077489937262</v>
      </c>
      <c r="H85">
        <v>-104.53570704943689</v>
      </c>
      <c r="I85">
        <v>51.325880557924798</v>
      </c>
      <c r="J85">
        <v>23.811794995932502</v>
      </c>
      <c r="K85">
        <v>11.866402303959701</v>
      </c>
      <c r="L85">
        <v>1.3322782027158355E-3</v>
      </c>
      <c r="M85">
        <v>2.7063637077133062E-4</v>
      </c>
      <c r="N85" s="1">
        <v>8.0237527776372299E-6</v>
      </c>
      <c r="O85" s="1">
        <v>3.6251504215959801E-6</v>
      </c>
      <c r="P85" s="1">
        <v>-1.02577138874386E-5</v>
      </c>
    </row>
    <row r="86" spans="1:16" x14ac:dyDescent="0.2">
      <c r="A86">
        <v>85</v>
      </c>
      <c r="B86">
        <v>752</v>
      </c>
      <c r="C86">
        <v>215</v>
      </c>
      <c r="D86">
        <v>0.363283909671757</v>
      </c>
      <c r="E86">
        <v>10.301288252233199</v>
      </c>
      <c r="F86">
        <v>0.78950329694881904</v>
      </c>
      <c r="G86">
        <v>-196.96578109336065</v>
      </c>
      <c r="H86">
        <v>-138.26933144767904</v>
      </c>
      <c r="I86">
        <v>57.259447057990002</v>
      </c>
      <c r="J86">
        <v>27.126346561061599</v>
      </c>
      <c r="K86">
        <v>13.047809036446701</v>
      </c>
      <c r="L86">
        <v>1.2480394246272254E-3</v>
      </c>
      <c r="M86">
        <v>2.5268572897305455E-4</v>
      </c>
      <c r="N86" s="1">
        <v>8.3577057964918906E-6</v>
      </c>
      <c r="O86" s="1">
        <v>3.7201338873514602E-6</v>
      </c>
      <c r="P86" s="1">
        <v>-1.05638469416557E-5</v>
      </c>
    </row>
    <row r="87" spans="1:16" x14ac:dyDescent="0.2">
      <c r="A87">
        <v>86</v>
      </c>
      <c r="B87">
        <v>751</v>
      </c>
      <c r="C87">
        <v>215</v>
      </c>
      <c r="D87">
        <v>0.36259385832153801</v>
      </c>
      <c r="E87">
        <v>12.9300721815735</v>
      </c>
      <c r="F87">
        <v>0.90164470432781496</v>
      </c>
      <c r="G87">
        <v>-240.45612495623777</v>
      </c>
      <c r="H87">
        <v>-175.17435979615126</v>
      </c>
      <c r="I87">
        <v>63.745479844964002</v>
      </c>
      <c r="J87">
        <v>30.751934908952101</v>
      </c>
      <c r="K87">
        <v>14.3405402588296</v>
      </c>
      <c r="L87">
        <v>1.1715049051987539E-3</v>
      </c>
      <c r="M87">
        <v>2.363966587491323E-4</v>
      </c>
      <c r="N87" s="1">
        <v>8.7162926719585602E-6</v>
      </c>
      <c r="O87" s="1">
        <v>3.8234526475501798E-6</v>
      </c>
      <c r="P87" s="1">
        <v>-1.0895811487479199E-5</v>
      </c>
    </row>
    <row r="88" spans="1:16" x14ac:dyDescent="0.2">
      <c r="A88">
        <v>87</v>
      </c>
      <c r="B88">
        <v>750</v>
      </c>
      <c r="C88">
        <v>215</v>
      </c>
      <c r="D88">
        <v>0.36190245809509802</v>
      </c>
      <c r="E88">
        <v>29.585246288408602</v>
      </c>
      <c r="F88">
        <v>1.31889938470964</v>
      </c>
      <c r="G88">
        <v>-513.20137323271319</v>
      </c>
      <c r="H88">
        <v>-406.86257930247473</v>
      </c>
      <c r="I88">
        <v>103.93636488190801</v>
      </c>
      <c r="J88">
        <v>53.124616352684797</v>
      </c>
      <c r="K88">
        <v>22.431768966911601</v>
      </c>
      <c r="L88">
        <v>8.7884086377234421E-4</v>
      </c>
      <c r="M88">
        <v>1.7624626308204364E-4</v>
      </c>
      <c r="N88" s="1">
        <v>1.02086158630364E-5</v>
      </c>
      <c r="O88" s="1">
        <v>4.44843809685099E-6</v>
      </c>
      <c r="P88" s="1">
        <v>-1.27215494878809E-5</v>
      </c>
    </row>
    <row r="89" spans="1:16" x14ac:dyDescent="0.2">
      <c r="A89">
        <v>88</v>
      </c>
      <c r="B89">
        <v>749</v>
      </c>
      <c r="C89">
        <v>215</v>
      </c>
      <c r="D89">
        <v>0.36120970503350902</v>
      </c>
      <c r="E89">
        <v>62.355581754920998</v>
      </c>
      <c r="F89">
        <v>1.62851539574365</v>
      </c>
      <c r="G89">
        <v>-1047.1848145070978</v>
      </c>
      <c r="H89">
        <v>-860.34483885833913</v>
      </c>
      <c r="I89">
        <v>182.79578172889899</v>
      </c>
      <c r="J89">
        <v>97.013886880875603</v>
      </c>
      <c r="K89">
        <v>38.289832517331803</v>
      </c>
      <c r="L89">
        <v>6.6364826809660207E-4</v>
      </c>
      <c r="M89">
        <v>1.3212801467313238E-4</v>
      </c>
      <c r="N89" s="1">
        <v>1.30632948795523E-5</v>
      </c>
      <c r="O89" s="1">
        <v>5.67490488633198E-6</v>
      </c>
      <c r="P89" s="1">
        <v>-1.6286040642874001E-5</v>
      </c>
    </row>
    <row r="90" spans="1:16" x14ac:dyDescent="0.2">
      <c r="A90">
        <v>89</v>
      </c>
      <c r="B90">
        <v>748</v>
      </c>
      <c r="C90">
        <v>215</v>
      </c>
      <c r="D90">
        <v>0.36051559516231801</v>
      </c>
      <c r="E90">
        <v>88.996721845439893</v>
      </c>
      <c r="F90">
        <v>1.7402601184712101</v>
      </c>
      <c r="G90">
        <v>-1480.4217382780923</v>
      </c>
      <c r="H90">
        <v>-1228.4446808131249</v>
      </c>
      <c r="I90">
        <v>246.763579728916</v>
      </c>
      <c r="J90">
        <v>132.68451706459899</v>
      </c>
      <c r="K90">
        <v>51.139896214838203</v>
      </c>
      <c r="L90">
        <v>5.8711832500496042E-4</v>
      </c>
      <c r="M90">
        <v>1.1628909409267449E-4</v>
      </c>
      <c r="N90" s="1">
        <v>1.5467479477549301E-5</v>
      </c>
      <c r="O90" s="1">
        <v>6.6595368158251801E-6</v>
      </c>
      <c r="P90" s="1">
        <v>-1.9179480351869599E-5</v>
      </c>
    </row>
    <row r="91" spans="1:16" x14ac:dyDescent="0.2">
      <c r="A91">
        <v>90</v>
      </c>
      <c r="B91">
        <v>747</v>
      </c>
      <c r="C91">
        <v>215</v>
      </c>
      <c r="D91">
        <v>0.35982012449149797</v>
      </c>
      <c r="E91">
        <v>98.210579027528098</v>
      </c>
      <c r="F91">
        <v>1.7678046181618201</v>
      </c>
      <c r="G91">
        <v>-1630.0923090626063</v>
      </c>
      <c r="H91">
        <v>-1355.929903374936</v>
      </c>
      <c r="I91">
        <v>268.75289561938303</v>
      </c>
      <c r="J91">
        <v>145.04514925693601</v>
      </c>
      <c r="K91">
        <v>55.555109438308897</v>
      </c>
      <c r="L91">
        <v>5.6883232280539582E-4</v>
      </c>
      <c r="M91">
        <v>1.1228419180133873E-4</v>
      </c>
      <c r="N91" s="1">
        <v>1.6445537021400001E-5</v>
      </c>
      <c r="O91" s="1">
        <v>6.9816909347992103E-6</v>
      </c>
      <c r="P91" s="1">
        <v>-2.01789896278607E-5</v>
      </c>
    </row>
    <row r="92" spans="1:16" x14ac:dyDescent="0.2">
      <c r="A92">
        <v>91</v>
      </c>
      <c r="B92">
        <v>746</v>
      </c>
      <c r="C92">
        <v>215</v>
      </c>
      <c r="D92">
        <v>0.35912328901535701</v>
      </c>
      <c r="E92">
        <v>101.52358727276</v>
      </c>
      <c r="F92">
        <v>1.77734954179416</v>
      </c>
      <c r="G92">
        <v>-1683.7173912713731</v>
      </c>
      <c r="H92">
        <v>-1401.8712569834481</v>
      </c>
      <c r="I92">
        <v>276.55605044753702</v>
      </c>
      <c r="J92">
        <v>149.51765897004699</v>
      </c>
      <c r="K92">
        <v>57.120777250307803</v>
      </c>
      <c r="L92">
        <v>5.6295772263654988E-4</v>
      </c>
      <c r="M92">
        <v>1.1079736133293185E-4</v>
      </c>
      <c r="N92" s="1">
        <v>1.6938264841306999E-5</v>
      </c>
      <c r="O92" s="1">
        <v>7.0817941554183604E-6</v>
      </c>
      <c r="P92" s="1">
        <v>-2.05414831010215E-5</v>
      </c>
    </row>
    <row r="93" spans="1:16" x14ac:dyDescent="0.2">
      <c r="A93">
        <v>92</v>
      </c>
      <c r="B93">
        <v>764</v>
      </c>
      <c r="C93">
        <v>195</v>
      </c>
      <c r="D93">
        <v>0.39267270886564198</v>
      </c>
      <c r="E93">
        <v>5.3855720407537397</v>
      </c>
      <c r="F93">
        <v>0.44440269675722899</v>
      </c>
      <c r="G93">
        <v>-117.89434386844529</v>
      </c>
      <c r="H93">
        <v>-68.053304567137033</v>
      </c>
      <c r="I93">
        <v>48.058739098820702</v>
      </c>
      <c r="J93">
        <v>21.3229873944262</v>
      </c>
      <c r="K93">
        <v>12.118675426706</v>
      </c>
      <c r="L93">
        <v>1.5485810932715299E-3</v>
      </c>
      <c r="M93">
        <v>3.5976516170569946E-4</v>
      </c>
      <c r="N93" s="1">
        <v>5.2523501041378404E-6</v>
      </c>
      <c r="O93" s="1">
        <v>5.5374682012269202E-6</v>
      </c>
      <c r="P93" s="1">
        <v>-1.3208975250460001E-5</v>
      </c>
    </row>
    <row r="94" spans="1:16" x14ac:dyDescent="0.2">
      <c r="A94">
        <v>93</v>
      </c>
      <c r="B94">
        <v>763</v>
      </c>
      <c r="C94">
        <v>195</v>
      </c>
      <c r="D94">
        <v>0.39201901269121803</v>
      </c>
      <c r="E94">
        <v>5.48875747839877</v>
      </c>
      <c r="F94">
        <v>0.45175171671602399</v>
      </c>
      <c r="G94">
        <v>-119.56149850939188</v>
      </c>
      <c r="H94">
        <v>-69.54200411686044</v>
      </c>
      <c r="I94">
        <v>48.2773529498402</v>
      </c>
      <c r="J94">
        <v>21.4730772157085</v>
      </c>
      <c r="K94">
        <v>12.1499427125565</v>
      </c>
      <c r="L94">
        <v>1.545616526543278E-3</v>
      </c>
      <c r="M94">
        <v>3.5809351779895874E-4</v>
      </c>
      <c r="N94" s="1">
        <v>5.3981754300431998E-6</v>
      </c>
      <c r="O94" s="1">
        <v>5.5275163238290403E-6</v>
      </c>
      <c r="P94" s="1">
        <v>-1.32343515286035E-5</v>
      </c>
    </row>
    <row r="95" spans="1:16" x14ac:dyDescent="0.2">
      <c r="A95">
        <v>94</v>
      </c>
      <c r="B95">
        <v>762</v>
      </c>
      <c r="C95">
        <v>195</v>
      </c>
      <c r="D95">
        <v>0.39136405351881698</v>
      </c>
      <c r="E95">
        <v>5.6916963168282999</v>
      </c>
      <c r="F95">
        <v>0.46544782294336401</v>
      </c>
      <c r="G95">
        <v>-122.882833509523</v>
      </c>
      <c r="H95">
        <v>-72.450666394742669</v>
      </c>
      <c r="I95">
        <v>48.722656008304398</v>
      </c>
      <c r="J95">
        <v>21.750978938949299</v>
      </c>
      <c r="K95">
        <v>12.2284304196238</v>
      </c>
      <c r="L95">
        <v>1.5379291511506315E-3</v>
      </c>
      <c r="M95">
        <v>3.5533930970414957E-4</v>
      </c>
      <c r="N95" s="1">
        <v>5.5496930714812396E-6</v>
      </c>
      <c r="O95" s="1">
        <v>5.5219073887863004E-6</v>
      </c>
      <c r="P95" s="1">
        <v>-1.32702493383441E-5</v>
      </c>
    </row>
    <row r="96" spans="1:16" x14ac:dyDescent="0.2">
      <c r="A96">
        <v>95</v>
      </c>
      <c r="B96">
        <v>761</v>
      </c>
      <c r="C96">
        <v>195</v>
      </c>
      <c r="D96">
        <v>0.39070782768457202</v>
      </c>
      <c r="E96">
        <v>5.8937071854855203</v>
      </c>
      <c r="F96">
        <v>0.47891377465014301</v>
      </c>
      <c r="G96">
        <v>-126.18782803172745</v>
      </c>
      <c r="H96">
        <v>-75.346672079291878</v>
      </c>
      <c r="I96">
        <v>49.165258002570397</v>
      </c>
      <c r="J96">
        <v>22.027674854079599</v>
      </c>
      <c r="K96">
        <v>12.306405656824101</v>
      </c>
      <c r="L96">
        <v>1.5303770182224809E-3</v>
      </c>
      <c r="M96">
        <v>3.5262700525677288E-4</v>
      </c>
      <c r="N96" s="1">
        <v>5.70263813857741E-6</v>
      </c>
      <c r="O96" s="1">
        <v>5.5161469800927198E-6</v>
      </c>
      <c r="P96" s="1">
        <v>-1.33059440288286E-5</v>
      </c>
    </row>
    <row r="97" spans="1:16" x14ac:dyDescent="0.2">
      <c r="A97">
        <v>96</v>
      </c>
      <c r="B97">
        <v>760</v>
      </c>
      <c r="C97">
        <v>195</v>
      </c>
      <c r="D97">
        <v>0.39005033151043</v>
      </c>
      <c r="E97">
        <v>6.0947971007758399</v>
      </c>
      <c r="F97">
        <v>0.49215599242323099</v>
      </c>
      <c r="G97">
        <v>-129.47660620806161</v>
      </c>
      <c r="H97">
        <v>-78.230117268615771</v>
      </c>
      <c r="I97">
        <v>49.605178224108897</v>
      </c>
      <c r="J97">
        <v>22.3031733140085</v>
      </c>
      <c r="K97">
        <v>12.383872582281899</v>
      </c>
      <c r="L97">
        <v>1.5229561083442103E-3</v>
      </c>
      <c r="M97">
        <v>3.4995541811796212E-4</v>
      </c>
      <c r="N97" s="1">
        <v>5.8570088722282999E-6</v>
      </c>
      <c r="O97" s="1">
        <v>5.5102355501174697E-6</v>
      </c>
      <c r="P97" s="1">
        <v>-1.3341432761891399E-5</v>
      </c>
    </row>
    <row r="98" spans="1:16" x14ac:dyDescent="0.2">
      <c r="A98">
        <v>97</v>
      </c>
      <c r="B98">
        <v>759</v>
      </c>
      <c r="C98">
        <v>195</v>
      </c>
      <c r="D98">
        <v>0.38939156130407598</v>
      </c>
      <c r="E98">
        <v>6.2949730084745097</v>
      </c>
      <c r="F98">
        <v>0.505180659941601</v>
      </c>
      <c r="G98">
        <v>-132.74929092532295</v>
      </c>
      <c r="H98">
        <v>-81.101097091909281</v>
      </c>
      <c r="I98">
        <v>50.042435771412599</v>
      </c>
      <c r="J98">
        <v>22.577482570880601</v>
      </c>
      <c r="K98">
        <v>12.460835316225699</v>
      </c>
      <c r="L98">
        <v>1.5156625483692138E-3</v>
      </c>
      <c r="M98">
        <v>3.4732340598144363E-4</v>
      </c>
      <c r="N98" s="1">
        <v>6.0128032590281701E-6</v>
      </c>
      <c r="O98" s="1">
        <v>5.5041735514975303E-6</v>
      </c>
      <c r="P98" s="1">
        <v>-1.3376712664328099E-5</v>
      </c>
    </row>
    <row r="99" spans="1:16" x14ac:dyDescent="0.2">
      <c r="A99">
        <v>98</v>
      </c>
      <c r="B99">
        <v>758</v>
      </c>
      <c r="C99">
        <v>195</v>
      </c>
      <c r="D99">
        <v>0.38873151335887302</v>
      </c>
      <c r="E99">
        <v>7.3967878962600597</v>
      </c>
      <c r="F99">
        <v>0.56928825364934199</v>
      </c>
      <c r="G99">
        <v>-150.99248566952821</v>
      </c>
      <c r="H99">
        <v>-96.632482097820429</v>
      </c>
      <c r="I99">
        <v>52.720891390589301</v>
      </c>
      <c r="J99">
        <v>24.089355438832001</v>
      </c>
      <c r="K99">
        <v>12.9930449975807</v>
      </c>
      <c r="L99">
        <v>1.4711063110843506E-3</v>
      </c>
      <c r="M99">
        <v>3.3610620268831462E-4</v>
      </c>
      <c r="N99" s="1">
        <v>6.2259382864497103E-6</v>
      </c>
      <c r="O99" s="1">
        <v>5.5546102969549003E-6</v>
      </c>
      <c r="P99" s="1">
        <v>-1.3549938535833099E-5</v>
      </c>
    </row>
    <row r="100" spans="1:16" x14ac:dyDescent="0.2">
      <c r="A100">
        <v>99</v>
      </c>
      <c r="B100">
        <v>757</v>
      </c>
      <c r="C100">
        <v>195</v>
      </c>
      <c r="D100">
        <v>0.388070183953793</v>
      </c>
      <c r="E100">
        <v>9.7094079418599897</v>
      </c>
      <c r="F100">
        <v>0.68688879999344099</v>
      </c>
      <c r="G100">
        <v>-189.31240079622387</v>
      </c>
      <c r="H100">
        <v>-129.15255783832396</v>
      </c>
      <c r="I100">
        <v>58.402239043892003</v>
      </c>
      <c r="J100">
        <v>27.262336399941201</v>
      </c>
      <c r="K100">
        <v>14.135341764129301</v>
      </c>
      <c r="L100">
        <v>1.3873169561177802E-3</v>
      </c>
      <c r="M100">
        <v>3.1591841756966986E-4</v>
      </c>
      <c r="N100" s="1">
        <v>6.5192176473791696E-6</v>
      </c>
      <c r="O100" s="1">
        <v>5.6798064706216504E-6</v>
      </c>
      <c r="P100" s="1">
        <v>-1.39073646632252E-5</v>
      </c>
    </row>
    <row r="101" spans="1:16" x14ac:dyDescent="0.2">
      <c r="A101">
        <v>100</v>
      </c>
      <c r="B101">
        <v>756</v>
      </c>
      <c r="C101">
        <v>195</v>
      </c>
      <c r="D101">
        <v>0.38740756935335302</v>
      </c>
      <c r="E101">
        <v>12.181731345984</v>
      </c>
      <c r="F101">
        <v>0.79330133765145705</v>
      </c>
      <c r="G101">
        <v>-230.23349867896405</v>
      </c>
      <c r="H101">
        <v>-163.89082990260235</v>
      </c>
      <c r="I101">
        <v>64.466770940183096</v>
      </c>
      <c r="J101">
        <v>30.651780736181301</v>
      </c>
      <c r="K101">
        <v>15.3557428530848</v>
      </c>
      <c r="L101">
        <v>1.3113754168352116E-3</v>
      </c>
      <c r="M101">
        <v>2.976344569624424E-4</v>
      </c>
      <c r="N101" s="1">
        <v>6.8290059573261904E-6</v>
      </c>
      <c r="O101" s="1">
        <v>5.8128183852706496E-6</v>
      </c>
      <c r="P101" s="1">
        <v>-1.4286569450732799E-5</v>
      </c>
    </row>
    <row r="102" spans="1:16" x14ac:dyDescent="0.2">
      <c r="A102">
        <v>101</v>
      </c>
      <c r="B102">
        <v>755</v>
      </c>
      <c r="C102">
        <v>195</v>
      </c>
      <c r="D102">
        <v>0.38674366580751801</v>
      </c>
      <c r="E102">
        <v>14.929044254156</v>
      </c>
      <c r="F102">
        <v>0.89338102706309896</v>
      </c>
      <c r="G102">
        <v>-275.64162287611458</v>
      </c>
      <c r="H102">
        <v>-202.44911098645224</v>
      </c>
      <c r="I102">
        <v>71.191862821975207</v>
      </c>
      <c r="J102">
        <v>34.411735674025898</v>
      </c>
      <c r="K102">
        <v>16.7107245418382</v>
      </c>
      <c r="L102">
        <v>1.2397300437222609E-3</v>
      </c>
      <c r="M102">
        <v>2.8042779469657062E-4</v>
      </c>
      <c r="N102" s="1">
        <v>7.1625441646675798E-6</v>
      </c>
      <c r="O102" s="1">
        <v>5.95961911114014E-6</v>
      </c>
      <c r="P102" s="1">
        <v>-1.47025215750535E-5</v>
      </c>
    </row>
    <row r="103" spans="1:16" x14ac:dyDescent="0.2">
      <c r="A103">
        <v>102</v>
      </c>
      <c r="B103">
        <v>754</v>
      </c>
      <c r="C103">
        <v>195</v>
      </c>
      <c r="D103">
        <v>0.38607846955167302</v>
      </c>
      <c r="E103">
        <v>29.817243850749701</v>
      </c>
      <c r="F103">
        <v>1.2431242853848199</v>
      </c>
      <c r="G103">
        <v>-519.48670131003564</v>
      </c>
      <c r="H103">
        <v>-409.64603334206936</v>
      </c>
      <c r="I103">
        <v>106.941068023757</v>
      </c>
      <c r="J103">
        <v>54.296154814873503</v>
      </c>
      <c r="K103">
        <v>23.985730309756899</v>
      </c>
      <c r="L103">
        <v>9.8134087410536256E-4</v>
      </c>
      <c r="M103">
        <v>2.2076175202544282E-4</v>
      </c>
      <c r="N103" s="1">
        <v>8.2089158355100699E-6</v>
      </c>
      <c r="O103" s="1">
        <v>6.7252954185074599E-6</v>
      </c>
      <c r="P103" s="1">
        <v>-1.6653734712987299E-5</v>
      </c>
    </row>
    <row r="104" spans="1:16" x14ac:dyDescent="0.2">
      <c r="A104">
        <v>103</v>
      </c>
      <c r="B104">
        <v>753</v>
      </c>
      <c r="C104">
        <v>195</v>
      </c>
      <c r="D104">
        <v>0.38541197680651201</v>
      </c>
      <c r="E104">
        <v>60.753115218520598</v>
      </c>
      <c r="F104">
        <v>1.5560960643193</v>
      </c>
      <c r="G104">
        <v>-1023.6109250198613</v>
      </c>
      <c r="H104">
        <v>-837.8961005027088</v>
      </c>
      <c r="I104">
        <v>180.986791908594</v>
      </c>
      <c r="J104">
        <v>95.464215708246797</v>
      </c>
      <c r="K104">
        <v>39.042008145619398</v>
      </c>
      <c r="L104">
        <v>7.5169900760833506E-4</v>
      </c>
      <c r="M104">
        <v>1.6796029482659536E-4</v>
      </c>
      <c r="N104" s="1">
        <v>1.02551497252174E-5</v>
      </c>
      <c r="O104" s="1">
        <v>8.3115581741913196E-6</v>
      </c>
      <c r="P104" s="1">
        <v>-2.0658900107108902E-5</v>
      </c>
    </row>
    <row r="105" spans="1:16" x14ac:dyDescent="0.2">
      <c r="A105">
        <v>104</v>
      </c>
      <c r="B105">
        <v>752</v>
      </c>
      <c r="C105">
        <v>195</v>
      </c>
      <c r="D105">
        <v>0.38474418377798603</v>
      </c>
      <c r="E105">
        <v>86.765798512061593</v>
      </c>
      <c r="F105">
        <v>1.67965635251489</v>
      </c>
      <c r="G105">
        <v>-1446.5879839557776</v>
      </c>
      <c r="H105">
        <v>-1197.3873528265947</v>
      </c>
      <c r="I105">
        <v>243.09240162610999</v>
      </c>
      <c r="J105">
        <v>130.05814439120701</v>
      </c>
      <c r="K105">
        <v>51.6568751591061</v>
      </c>
      <c r="L105">
        <v>6.6226157560104223E-4</v>
      </c>
      <c r="M105">
        <v>1.4722206548516299E-4</v>
      </c>
      <c r="N105" s="1">
        <v>1.2074334177977699E-5</v>
      </c>
      <c r="O105" s="1">
        <v>9.6286319757671095E-6</v>
      </c>
      <c r="P105" s="1">
        <v>-2.4022713547097901E-5</v>
      </c>
    </row>
    <row r="106" spans="1:16" x14ac:dyDescent="0.2">
      <c r="A106">
        <v>105</v>
      </c>
      <c r="B106">
        <v>751</v>
      </c>
      <c r="C106">
        <v>195</v>
      </c>
      <c r="D106">
        <v>0.38407508665723</v>
      </c>
      <c r="E106">
        <v>97.136345789555406</v>
      </c>
      <c r="F106">
        <v>1.71455704788876</v>
      </c>
      <c r="G106">
        <v>-1615.05901951329</v>
      </c>
      <c r="H106">
        <v>-1340.8775768082592</v>
      </c>
      <c r="I106">
        <v>267.72181169803099</v>
      </c>
      <c r="J106">
        <v>143.87234276584601</v>
      </c>
      <c r="K106">
        <v>56.6539013147246</v>
      </c>
      <c r="L106">
        <v>6.3774408999052934E-4</v>
      </c>
      <c r="M106">
        <v>1.412675024556665E-4</v>
      </c>
      <c r="N106" s="1">
        <v>1.29774716490805E-5</v>
      </c>
      <c r="O106" s="1">
        <v>1.0130723524501099E-5</v>
      </c>
      <c r="P106" s="1">
        <v>-2.5371063358140299E-5</v>
      </c>
    </row>
    <row r="107" spans="1:16" x14ac:dyDescent="0.2">
      <c r="A107">
        <v>106</v>
      </c>
      <c r="B107">
        <v>750</v>
      </c>
      <c r="C107">
        <v>195</v>
      </c>
      <c r="D107">
        <v>0.38340468162048602</v>
      </c>
      <c r="E107">
        <v>100.96659153613</v>
      </c>
      <c r="F107">
        <v>1.7266917862464299</v>
      </c>
      <c r="G107">
        <v>-1677.0953513644715</v>
      </c>
      <c r="H107">
        <v>-1393.9829643511123</v>
      </c>
      <c r="I107">
        <v>276.71245721175302</v>
      </c>
      <c r="J107">
        <v>149.00191635156401</v>
      </c>
      <c r="K107">
        <v>58.474009282002001</v>
      </c>
      <c r="L107">
        <v>6.2983881966711746E-4</v>
      </c>
      <c r="M107">
        <v>1.3908839562380514E-4</v>
      </c>
      <c r="N107" s="1">
        <v>1.34908732353384E-5</v>
      </c>
      <c r="O107" s="1">
        <v>1.02954954026161E-5</v>
      </c>
      <c r="P107" s="1">
        <v>-2.58815500289708E-5</v>
      </c>
    </row>
    <row r="108" spans="1:16" x14ac:dyDescent="0.2">
      <c r="A108">
        <v>107</v>
      </c>
      <c r="B108">
        <v>765</v>
      </c>
      <c r="C108">
        <v>175</v>
      </c>
      <c r="D108">
        <v>0.41451668833983701</v>
      </c>
      <c r="E108">
        <v>5.7141064731692097</v>
      </c>
      <c r="F108">
        <v>0.40990071422263102</v>
      </c>
      <c r="G108">
        <v>-125.40492165383414</v>
      </c>
      <c r="H108">
        <v>-72.004854516744246</v>
      </c>
      <c r="I108">
        <v>51.440867986032998</v>
      </c>
      <c r="J108">
        <v>22.682203896200299</v>
      </c>
      <c r="K108">
        <v>13.9402208264162</v>
      </c>
      <c r="L108">
        <v>1.6546654349248423E-3</v>
      </c>
      <c r="M108">
        <v>4.3594582259703311E-4</v>
      </c>
      <c r="N108" s="1">
        <v>1.41328535137927E-6</v>
      </c>
      <c r="O108" s="1">
        <v>8.7069777796221099E-6</v>
      </c>
      <c r="P108" s="1">
        <v>-1.7643633843704401E-5</v>
      </c>
    </row>
    <row r="109" spans="1:16" x14ac:dyDescent="0.2">
      <c r="A109">
        <v>108</v>
      </c>
      <c r="B109">
        <v>764</v>
      </c>
      <c r="C109">
        <v>175</v>
      </c>
      <c r="D109">
        <v>0.41388468398978101</v>
      </c>
      <c r="E109">
        <v>6.0396506254234401</v>
      </c>
      <c r="F109">
        <v>0.42896265181041499</v>
      </c>
      <c r="G109">
        <v>-130.76095701849991</v>
      </c>
      <c r="H109">
        <v>-76.626721914566033</v>
      </c>
      <c r="I109">
        <v>52.198346266844503</v>
      </c>
      <c r="J109">
        <v>23.1350275087688</v>
      </c>
      <c r="K109">
        <v>14.079665443910701</v>
      </c>
      <c r="L109">
        <v>1.6431625341205938E-3</v>
      </c>
      <c r="M109">
        <v>4.3167172498546555E-4</v>
      </c>
      <c r="N109" s="1">
        <v>1.58654664233142E-6</v>
      </c>
      <c r="O109" s="1">
        <v>8.7123213817196993E-6</v>
      </c>
      <c r="P109" s="1">
        <v>-1.7723580176083099E-5</v>
      </c>
    </row>
    <row r="110" spans="1:16" x14ac:dyDescent="0.2">
      <c r="A110">
        <v>109</v>
      </c>
      <c r="B110">
        <v>763</v>
      </c>
      <c r="C110">
        <v>175</v>
      </c>
      <c r="D110">
        <v>0.41325145973073701</v>
      </c>
      <c r="E110">
        <v>8.2398980131886095</v>
      </c>
      <c r="F110">
        <v>0.54307338320910303</v>
      </c>
      <c r="G110">
        <v>-167.2414455022419</v>
      </c>
      <c r="H110">
        <v>-107.59030227557707</v>
      </c>
      <c r="I110">
        <v>57.573222520671997</v>
      </c>
      <c r="J110">
        <v>26.1333172555562</v>
      </c>
      <c r="K110">
        <v>15.172715636509</v>
      </c>
      <c r="L110">
        <v>1.5589411066130585E-3</v>
      </c>
      <c r="M110">
        <v>4.0820425536925537E-4</v>
      </c>
      <c r="N110" s="1">
        <v>1.7826856116483001E-6</v>
      </c>
      <c r="O110" s="1">
        <v>8.88123204201176E-6</v>
      </c>
      <c r="P110" s="1">
        <v>-1.81380331349752E-5</v>
      </c>
    </row>
    <row r="111" spans="1:16" x14ac:dyDescent="0.2">
      <c r="A111">
        <v>110</v>
      </c>
      <c r="B111">
        <v>762</v>
      </c>
      <c r="C111">
        <v>175</v>
      </c>
      <c r="D111">
        <v>0.41261701202724399</v>
      </c>
      <c r="E111">
        <v>10.5402006604878</v>
      </c>
      <c r="F111">
        <v>0.64604889840097202</v>
      </c>
      <c r="G111">
        <v>-205.34623557419408</v>
      </c>
      <c r="H111">
        <v>-139.94290692281135</v>
      </c>
      <c r="I111">
        <v>63.185774439614399</v>
      </c>
      <c r="J111">
        <v>29.266802458430298</v>
      </c>
      <c r="K111">
        <v>16.314865154287499</v>
      </c>
      <c r="L111">
        <v>1.4828652424630003E-3</v>
      </c>
      <c r="M111">
        <v>3.8700686835773063E-4</v>
      </c>
      <c r="N111" s="1">
        <v>1.9883247693708201E-6</v>
      </c>
      <c r="O111" s="1">
        <v>9.0568451784682996E-6</v>
      </c>
      <c r="P111" s="1">
        <v>-1.8569363620032899E-5</v>
      </c>
    </row>
    <row r="112" spans="1:16" x14ac:dyDescent="0.2">
      <c r="A112">
        <v>111</v>
      </c>
      <c r="B112">
        <v>761</v>
      </c>
      <c r="C112">
        <v>175</v>
      </c>
      <c r="D112">
        <v>0.411981337330175</v>
      </c>
      <c r="E112">
        <v>12.990047602295601</v>
      </c>
      <c r="F112">
        <v>0.74099600236413699</v>
      </c>
      <c r="G112">
        <v>-245.88460533119016</v>
      </c>
      <c r="H112">
        <v>-174.37222788590134</v>
      </c>
      <c r="I112">
        <v>69.154263859747701</v>
      </c>
      <c r="J112">
        <v>32.601071672451901</v>
      </c>
      <c r="K112">
        <v>17.530523188858002</v>
      </c>
      <c r="L112">
        <v>1.4125884598034098E-3</v>
      </c>
      <c r="M112">
        <v>3.6744535746414741E-4</v>
      </c>
      <c r="N112" s="1">
        <v>2.2046016279690299E-6</v>
      </c>
      <c r="O112" s="1">
        <v>9.2427482637452805E-6</v>
      </c>
      <c r="P112" s="1">
        <v>-1.9025144237805E-5</v>
      </c>
    </row>
    <row r="113" spans="1:16" x14ac:dyDescent="0.2">
      <c r="A113">
        <v>112</v>
      </c>
      <c r="B113">
        <v>760</v>
      </c>
      <c r="C113">
        <v>175</v>
      </c>
      <c r="D113">
        <v>0.41134443207665999</v>
      </c>
      <c r="E113">
        <v>15.689156193905299</v>
      </c>
      <c r="F113">
        <v>0.83148161546356203</v>
      </c>
      <c r="G113">
        <v>-290.48743857323393</v>
      </c>
      <c r="H113">
        <v>-212.26384512799143</v>
      </c>
      <c r="I113">
        <v>75.717159971513098</v>
      </c>
      <c r="J113">
        <v>36.268276605381097</v>
      </c>
      <c r="K113">
        <v>18.868915321908101</v>
      </c>
      <c r="L113">
        <v>1.3453769366587143E-3</v>
      </c>
      <c r="M113">
        <v>3.4879101052877348E-4</v>
      </c>
      <c r="N113" s="1">
        <v>2.43365521251646E-6</v>
      </c>
      <c r="O113" s="1">
        <v>9.4462057088483596E-6</v>
      </c>
      <c r="P113" s="1">
        <v>-1.9520663593038198E-5</v>
      </c>
    </row>
    <row r="114" spans="1:16" x14ac:dyDescent="0.2">
      <c r="A114">
        <v>113</v>
      </c>
      <c r="B114">
        <v>759</v>
      </c>
      <c r="C114">
        <v>175</v>
      </c>
      <c r="D114">
        <v>0.41070629269001901</v>
      </c>
      <c r="E114">
        <v>21.656402406819399</v>
      </c>
      <c r="F114">
        <v>0.99268259820527305</v>
      </c>
      <c r="G114">
        <v>-388.51573210197125</v>
      </c>
      <c r="H114">
        <v>-295.56103617868348</v>
      </c>
      <c r="I114">
        <v>90.062938954361599</v>
      </c>
      <c r="J114">
        <v>44.251101482864897</v>
      </c>
      <c r="K114">
        <v>21.816039130708202</v>
      </c>
      <c r="L114">
        <v>1.2224166160929835E-3</v>
      </c>
      <c r="M114">
        <v>3.1568460869614882E-4</v>
      </c>
      <c r="N114" s="1">
        <v>2.7252911073159501E-6</v>
      </c>
      <c r="O114" s="1">
        <v>9.8854347763274597E-6</v>
      </c>
      <c r="P114" s="1">
        <v>-2.0509050569893399E-5</v>
      </c>
    </row>
    <row r="115" spans="1:16" x14ac:dyDescent="0.2">
      <c r="A115">
        <v>114</v>
      </c>
      <c r="B115">
        <v>758</v>
      </c>
      <c r="C115">
        <v>175</v>
      </c>
      <c r="D115">
        <v>0.41006691557969399</v>
      </c>
      <c r="E115">
        <v>38.435667494533497</v>
      </c>
      <c r="F115">
        <v>1.27825360032914</v>
      </c>
      <c r="G115">
        <v>-663.13899687506478</v>
      </c>
      <c r="H115">
        <v>-529.02633010157774</v>
      </c>
      <c r="I115">
        <v>130.065367650415</v>
      </c>
      <c r="J115">
        <v>66.474264032556704</v>
      </c>
      <c r="K115">
        <v>30.068890464800202</v>
      </c>
      <c r="L115">
        <v>1.0011592203299691E-3</v>
      </c>
      <c r="M115">
        <v>2.571850729671029E-4</v>
      </c>
      <c r="N115" s="1">
        <v>3.2250549984823301E-6</v>
      </c>
      <c r="O115" s="1">
        <v>1.10931483992632E-5</v>
      </c>
      <c r="P115" s="1">
        <v>-2.3105597609620101E-5</v>
      </c>
    </row>
    <row r="116" spans="1:16" x14ac:dyDescent="0.2">
      <c r="A116">
        <v>115</v>
      </c>
      <c r="B116">
        <v>757</v>
      </c>
      <c r="C116">
        <v>175</v>
      </c>
      <c r="D116">
        <v>0.40942629714119499</v>
      </c>
      <c r="E116">
        <v>73.615554737451305</v>
      </c>
      <c r="F116">
        <v>1.55621145585162</v>
      </c>
      <c r="G116">
        <v>-1235.4122865161373</v>
      </c>
      <c r="H116">
        <v>-1015.2248708525539</v>
      </c>
      <c r="I116">
        <v>213.74813050484201</v>
      </c>
      <c r="J116">
        <v>112.918011778904</v>
      </c>
      <c r="K116">
        <v>47.304339304690203</v>
      </c>
      <c r="L116">
        <v>7.8824986360424463E-4</v>
      </c>
      <c r="M116">
        <v>2.0118637600175833E-4</v>
      </c>
      <c r="N116" s="1">
        <v>4.12668840758816E-6</v>
      </c>
      <c r="O116" s="1">
        <v>1.36353477287236E-5</v>
      </c>
      <c r="P116" s="1">
        <v>-2.8512899298360302E-5</v>
      </c>
    </row>
    <row r="117" spans="1:16" x14ac:dyDescent="0.2">
      <c r="A117">
        <v>116</v>
      </c>
      <c r="B117">
        <v>756</v>
      </c>
      <c r="C117">
        <v>175</v>
      </c>
      <c r="D117">
        <v>0.40878443375601398</v>
      </c>
      <c r="E117">
        <v>91.4828753874217</v>
      </c>
      <c r="F117">
        <v>1.63318590465409</v>
      </c>
      <c r="G117">
        <v>-1525.8453292080546</v>
      </c>
      <c r="H117">
        <v>-1262.2896131488419</v>
      </c>
      <c r="I117">
        <v>256.09622881645203</v>
      </c>
      <c r="J117">
        <v>136.51799128620399</v>
      </c>
      <c r="K117">
        <v>56.014979756268197</v>
      </c>
      <c r="L117">
        <v>7.3039519550502851E-4</v>
      </c>
      <c r="M117">
        <v>1.8563222153094433E-4</v>
      </c>
      <c r="N117" s="1">
        <v>4.7738475280344704E-6</v>
      </c>
      <c r="O117" s="1">
        <v>1.48957862897618E-5</v>
      </c>
      <c r="P117" s="1">
        <v>-3.12723934051238E-5</v>
      </c>
    </row>
    <row r="118" spans="1:16" x14ac:dyDescent="0.2">
      <c r="A118">
        <v>117</v>
      </c>
      <c r="B118">
        <v>755</v>
      </c>
      <c r="C118">
        <v>175</v>
      </c>
      <c r="D118">
        <v>0.40814132179156798</v>
      </c>
      <c r="E118">
        <v>98.479533793089203</v>
      </c>
      <c r="F118">
        <v>1.6580830868894401</v>
      </c>
      <c r="G118">
        <v>-1639.4032896564825</v>
      </c>
      <c r="H118">
        <v>-1359.175096165601</v>
      </c>
      <c r="I118">
        <v>272.56149867495998</v>
      </c>
      <c r="J118">
        <v>145.78455411837601</v>
      </c>
      <c r="K118">
        <v>59.393606129736298</v>
      </c>
      <c r="L118">
        <v>7.1257044110609863E-4</v>
      </c>
      <c r="M118">
        <v>1.8049458878655606E-4</v>
      </c>
      <c r="N118" s="1">
        <v>5.2351023409554698E-6</v>
      </c>
      <c r="O118" s="1">
        <v>1.5361403568299398E-5</v>
      </c>
      <c r="P118" s="1">
        <v>-3.2378527720501203E-5</v>
      </c>
    </row>
    <row r="119" spans="1:16" x14ac:dyDescent="0.2">
      <c r="A119">
        <v>118</v>
      </c>
      <c r="B119">
        <v>754</v>
      </c>
      <c r="C119">
        <v>175</v>
      </c>
      <c r="D119">
        <v>0.40749695760112897</v>
      </c>
      <c r="E119">
        <v>101.52018030727901</v>
      </c>
      <c r="F119">
        <v>1.66875901862231</v>
      </c>
      <c r="G119">
        <v>-1688.5846085780661</v>
      </c>
      <c r="H119">
        <v>-1401.3755206721751</v>
      </c>
      <c r="I119">
        <v>279.62331030246702</v>
      </c>
      <c r="J119">
        <v>149.83863089604799</v>
      </c>
      <c r="K119">
        <v>60.835734323756</v>
      </c>
      <c r="L119">
        <v>7.0566502960928926E-4</v>
      </c>
      <c r="M119">
        <v>1.781935087655381E-4</v>
      </c>
      <c r="N119" s="1">
        <v>5.6264764607784597E-6</v>
      </c>
      <c r="O119" s="1">
        <v>1.55401182138938E-5</v>
      </c>
      <c r="P119" s="1">
        <v>-3.2886173007144902E-5</v>
      </c>
    </row>
    <row r="120" spans="1:16" x14ac:dyDescent="0.2">
      <c r="A120">
        <v>119</v>
      </c>
      <c r="B120">
        <v>773</v>
      </c>
      <c r="C120">
        <v>155</v>
      </c>
      <c r="D120">
        <v>0.440558715289395</v>
      </c>
      <c r="E120">
        <v>6.0526395376058897</v>
      </c>
      <c r="F120">
        <v>0.36692437671280398</v>
      </c>
      <c r="G120">
        <v>-133.58499645572911</v>
      </c>
      <c r="H120">
        <v>-75.839984672546692</v>
      </c>
      <c r="I120">
        <v>55.2009515606753</v>
      </c>
      <c r="J120">
        <v>23.783263024090299</v>
      </c>
      <c r="K120">
        <v>16.495604875942401</v>
      </c>
      <c r="L120">
        <v>1.7330385330751191E-3</v>
      </c>
      <c r="M120">
        <v>5.4068871345087032E-4</v>
      </c>
      <c r="N120" s="1">
        <v>-7.55208264512033E-6</v>
      </c>
      <c r="O120" s="1">
        <v>1.43648490342367E-5</v>
      </c>
      <c r="P120" s="1">
        <v>-2.3207836340270099E-5</v>
      </c>
    </row>
    <row r="121" spans="1:16" x14ac:dyDescent="0.2">
      <c r="A121">
        <v>120</v>
      </c>
      <c r="B121">
        <v>772</v>
      </c>
      <c r="C121">
        <v>155</v>
      </c>
      <c r="D121">
        <v>0.43995646557910401</v>
      </c>
      <c r="E121">
        <v>6.1782254123822398</v>
      </c>
      <c r="F121">
        <v>0.37365938020000899</v>
      </c>
      <c r="G121">
        <v>-135.6186635224017</v>
      </c>
      <c r="H121">
        <v>-77.615953151266481</v>
      </c>
      <c r="I121">
        <v>55.5003383088373</v>
      </c>
      <c r="J121">
        <v>23.982437784820501</v>
      </c>
      <c r="K121">
        <v>16.534377938204599</v>
      </c>
      <c r="L121">
        <v>1.7317697211324647E-3</v>
      </c>
      <c r="M121">
        <v>5.3872292294338225E-4</v>
      </c>
      <c r="N121" s="1">
        <v>-7.4047800812659801E-6</v>
      </c>
      <c r="O121" s="1">
        <v>1.4356923814188001E-5</v>
      </c>
      <c r="P121" s="1">
        <v>-2.3286571640325099E-5</v>
      </c>
    </row>
    <row r="122" spans="1:16" x14ac:dyDescent="0.2">
      <c r="A122">
        <v>121</v>
      </c>
      <c r="B122">
        <v>771</v>
      </c>
      <c r="C122">
        <v>155</v>
      </c>
      <c r="D122">
        <v>0.43935306229947801</v>
      </c>
      <c r="E122">
        <v>6.6166446114276498</v>
      </c>
      <c r="F122">
        <v>0.39525478595117097</v>
      </c>
      <c r="G122">
        <v>-142.85177403521337</v>
      </c>
      <c r="H122">
        <v>-83.756785443145787</v>
      </c>
      <c r="I122">
        <v>56.599600089829998</v>
      </c>
      <c r="J122">
        <v>24.615446261922401</v>
      </c>
      <c r="K122">
        <v>16.740201122435099</v>
      </c>
      <c r="L122">
        <v>1.7189224522416544E-3</v>
      </c>
      <c r="M122">
        <v>5.3311578002163877E-4</v>
      </c>
      <c r="N122" s="1">
        <v>-7.2804422778453903E-6</v>
      </c>
      <c r="O122" s="1">
        <v>1.4394722623769501E-5</v>
      </c>
      <c r="P122" s="1">
        <v>-2.3440303636391399E-5</v>
      </c>
    </row>
    <row r="123" spans="1:16" x14ac:dyDescent="0.2">
      <c r="A123">
        <v>122</v>
      </c>
      <c r="B123">
        <v>770</v>
      </c>
      <c r="C123">
        <v>155</v>
      </c>
      <c r="D123">
        <v>0.43874850213296301</v>
      </c>
      <c r="E123">
        <v>7.0558137667386696</v>
      </c>
      <c r="F123">
        <v>0.41636713342772902</v>
      </c>
      <c r="G123">
        <v>-150.09347340926496</v>
      </c>
      <c r="H123">
        <v>-89.907825749084452</v>
      </c>
      <c r="I123">
        <v>57.699417282970501</v>
      </c>
      <c r="J123">
        <v>25.249870414210299</v>
      </c>
      <c r="K123">
        <v>16.946135274059401</v>
      </c>
      <c r="L123">
        <v>1.7063752731716587E-3</v>
      </c>
      <c r="M123">
        <v>5.2762726956552184E-4</v>
      </c>
      <c r="N123" s="1">
        <v>-7.1523543272433199E-6</v>
      </c>
      <c r="O123" s="1">
        <v>1.44322002326873E-5</v>
      </c>
      <c r="P123" s="1">
        <v>-2.35946566776531E-5</v>
      </c>
    </row>
    <row r="124" spans="1:16" x14ac:dyDescent="0.2">
      <c r="A124">
        <v>123</v>
      </c>
      <c r="B124">
        <v>769</v>
      </c>
      <c r="C124">
        <v>155</v>
      </c>
      <c r="D124">
        <v>0.43814278174927401</v>
      </c>
      <c r="E124">
        <v>8.7691624576789398</v>
      </c>
      <c r="F124">
        <v>0.49264295756617299</v>
      </c>
      <c r="G124">
        <v>-178.4838672835842</v>
      </c>
      <c r="H124">
        <v>-114.01408290929589</v>
      </c>
      <c r="I124">
        <v>61.865697157250104</v>
      </c>
      <c r="J124">
        <v>27.5765683106818</v>
      </c>
      <c r="K124">
        <v>17.800239144798901</v>
      </c>
      <c r="L124">
        <v>1.6499248354916926E-3</v>
      </c>
      <c r="M124">
        <v>5.0854720797337749E-4</v>
      </c>
      <c r="N124" s="1">
        <v>-7.0994292288231202E-6</v>
      </c>
      <c r="O124" s="1">
        <v>1.4620817304592799E-5</v>
      </c>
      <c r="P124" s="1">
        <v>-2.3998213370779801E-5</v>
      </c>
    </row>
    <row r="125" spans="1:16" x14ac:dyDescent="0.2">
      <c r="A125">
        <v>124</v>
      </c>
      <c r="B125">
        <v>768</v>
      </c>
      <c r="C125">
        <v>155</v>
      </c>
      <c r="D125">
        <v>0.43753589780531399</v>
      </c>
      <c r="E125">
        <v>11.028762082964301</v>
      </c>
      <c r="F125">
        <v>0.58257304087638895</v>
      </c>
      <c r="G125">
        <v>-215.91133387705477</v>
      </c>
      <c r="H125">
        <v>-145.80102964392208</v>
      </c>
      <c r="I125">
        <v>67.342769253682107</v>
      </c>
      <c r="J125">
        <v>30.629371991913299</v>
      </c>
      <c r="K125">
        <v>18.931123325537399</v>
      </c>
      <c r="L125">
        <v>1.5822685763958498E-3</v>
      </c>
      <c r="M125">
        <v>4.8610578496159347E-4</v>
      </c>
      <c r="N125" s="1">
        <v>-7.0723131356719402E-6</v>
      </c>
      <c r="O125" s="1">
        <v>1.4872667475794001E-5</v>
      </c>
      <c r="P125" s="1">
        <v>-2.4509106760853202E-5</v>
      </c>
    </row>
    <row r="126" spans="1:16" x14ac:dyDescent="0.2">
      <c r="A126">
        <v>125</v>
      </c>
      <c r="B126">
        <v>767</v>
      </c>
      <c r="C126">
        <v>155</v>
      </c>
      <c r="D126">
        <v>0.43692784694515202</v>
      </c>
      <c r="E126">
        <v>13.4173791901627</v>
      </c>
      <c r="F126">
        <v>0.66667171124268798</v>
      </c>
      <c r="G126">
        <v>-255.43565072916962</v>
      </c>
      <c r="H126">
        <v>-179.37900971403536</v>
      </c>
      <c r="I126">
        <v>73.124388284826495</v>
      </c>
      <c r="J126">
        <v>33.853767031579899</v>
      </c>
      <c r="K126">
        <v>20.125916495170401</v>
      </c>
      <c r="L126">
        <v>1.5188723782509714E-3</v>
      </c>
      <c r="M126">
        <v>4.6510132367650372E-4</v>
      </c>
      <c r="N126" s="1">
        <v>-7.0437202822020501E-6</v>
      </c>
      <c r="O126" s="1">
        <v>1.51373855466762E-5</v>
      </c>
      <c r="P126" s="1">
        <v>-2.5045297801106202E-5</v>
      </c>
    </row>
    <row r="127" spans="1:16" x14ac:dyDescent="0.2">
      <c r="A127">
        <v>126</v>
      </c>
      <c r="B127">
        <v>766</v>
      </c>
      <c r="C127">
        <v>155</v>
      </c>
      <c r="D127">
        <v>0.43631862579993802</v>
      </c>
      <c r="E127">
        <v>16.010552742479199</v>
      </c>
      <c r="F127">
        <v>0.74737702366215997</v>
      </c>
      <c r="G127">
        <v>-298.2921402762247</v>
      </c>
      <c r="H127">
        <v>-215.79764402275535</v>
      </c>
      <c r="I127">
        <v>79.390140588224398</v>
      </c>
      <c r="J127">
        <v>37.3489415307317</v>
      </c>
      <c r="K127">
        <v>21.4223239885368</v>
      </c>
      <c r="L127">
        <v>1.4578076304600626E-3</v>
      </c>
      <c r="M127">
        <v>4.4492825011191418E-4</v>
      </c>
      <c r="N127" s="1">
        <v>-7.0169757686161598E-6</v>
      </c>
      <c r="O127" s="1">
        <v>1.5422939955067301E-5</v>
      </c>
      <c r="P127" s="1">
        <v>-2.5620319203892799E-5</v>
      </c>
    </row>
    <row r="128" spans="1:16" x14ac:dyDescent="0.2">
      <c r="A128">
        <v>127</v>
      </c>
      <c r="B128">
        <v>765</v>
      </c>
      <c r="C128">
        <v>155</v>
      </c>
      <c r="D128">
        <v>0.43570823098781702</v>
      </c>
      <c r="E128">
        <v>18.9777714394783</v>
      </c>
      <c r="F128">
        <v>0.82854348305515202</v>
      </c>
      <c r="G128">
        <v>-347.25259080781996</v>
      </c>
      <c r="H128">
        <v>-257.41176318036526</v>
      </c>
      <c r="I128">
        <v>86.543064739677504</v>
      </c>
      <c r="J128">
        <v>41.337388410508602</v>
      </c>
      <c r="K128">
        <v>22.904979433909901</v>
      </c>
      <c r="L128">
        <v>1.395972060467768E-3</v>
      </c>
      <c r="M128">
        <v>4.2462721316024701E-4</v>
      </c>
      <c r="N128" s="1">
        <v>-6.9998036728738797E-6</v>
      </c>
      <c r="O128" s="1">
        <v>1.5747242724170698E-5</v>
      </c>
      <c r="P128" s="1">
        <v>-2.6264504125683199E-5</v>
      </c>
    </row>
    <row r="129" spans="1:16" x14ac:dyDescent="0.2">
      <c r="A129">
        <v>128</v>
      </c>
      <c r="B129">
        <v>764</v>
      </c>
      <c r="C129">
        <v>155</v>
      </c>
      <c r="D129">
        <v>0.43509665911391998</v>
      </c>
      <c r="E129">
        <v>28.604803994189201</v>
      </c>
      <c r="F129">
        <v>1.03257663324962</v>
      </c>
      <c r="G129">
        <v>-505.07683685140074</v>
      </c>
      <c r="H129">
        <v>-391.55255821640543</v>
      </c>
      <c r="I129">
        <v>109.46188240913899</v>
      </c>
      <c r="J129">
        <v>54.038139322285097</v>
      </c>
      <c r="K129">
        <v>27.702354549867199</v>
      </c>
      <c r="L129">
        <v>1.233902917617244E-3</v>
      </c>
      <c r="M129">
        <v>3.7373862076066063E-4</v>
      </c>
      <c r="N129" s="1">
        <v>-7.29442324340031E-6</v>
      </c>
      <c r="O129" s="1">
        <v>1.6767125639608601E-5</v>
      </c>
      <c r="P129" s="1">
        <v>-2.8078522676126001E-5</v>
      </c>
    </row>
    <row r="130" spans="1:16" x14ac:dyDescent="0.2">
      <c r="A130">
        <v>129</v>
      </c>
      <c r="B130">
        <v>763</v>
      </c>
      <c r="C130">
        <v>155</v>
      </c>
      <c r="D130">
        <v>0.43448390677026</v>
      </c>
      <c r="E130">
        <v>42.503296127385298</v>
      </c>
      <c r="F130">
        <v>1.22813726495969</v>
      </c>
      <c r="G130">
        <v>-732.53295358883065</v>
      </c>
      <c r="H130">
        <v>-584.98514346168884</v>
      </c>
      <c r="I130">
        <v>142.40436882318701</v>
      </c>
      <c r="J130">
        <v>72.302975018584206</v>
      </c>
      <c r="K130">
        <v>34.607936213693598</v>
      </c>
      <c r="L130">
        <v>1.0777666980765904E-3</v>
      </c>
      <c r="M130">
        <v>3.249606021374476E-4</v>
      </c>
      <c r="N130" s="1">
        <v>-7.7551897394028506E-6</v>
      </c>
      <c r="O130" s="1">
        <v>1.821509382527E-5</v>
      </c>
      <c r="P130" s="1">
        <v>-3.0626881176271498E-5</v>
      </c>
    </row>
    <row r="131" spans="1:16" x14ac:dyDescent="0.2">
      <c r="A131">
        <v>130</v>
      </c>
      <c r="B131">
        <v>762</v>
      </c>
      <c r="C131">
        <v>155</v>
      </c>
      <c r="D131">
        <v>0.433869970535674</v>
      </c>
      <c r="E131">
        <v>76.916888957135598</v>
      </c>
      <c r="F131">
        <v>1.4891900027746101</v>
      </c>
      <c r="G131">
        <v>-1291.9733331398581</v>
      </c>
      <c r="H131">
        <v>-1060.3120224459024</v>
      </c>
      <c r="I131">
        <v>223.800111464422</v>
      </c>
      <c r="J131">
        <v>117.34397493128</v>
      </c>
      <c r="K131">
        <v>51.650151299583101</v>
      </c>
      <c r="L131">
        <v>8.7089787007977356E-4</v>
      </c>
      <c r="M131">
        <v>2.6101910299585081E-4</v>
      </c>
      <c r="N131" s="1">
        <v>-9.1333911022141204E-6</v>
      </c>
      <c r="O131" s="1">
        <v>2.1826201940059198E-5</v>
      </c>
      <c r="P131" s="1">
        <v>-3.6847464006748898E-5</v>
      </c>
    </row>
    <row r="132" spans="1:16" x14ac:dyDescent="0.2">
      <c r="A132">
        <v>131</v>
      </c>
      <c r="B132">
        <v>761</v>
      </c>
      <c r="C132">
        <v>155</v>
      </c>
      <c r="D132">
        <v>0.43325484697577799</v>
      </c>
      <c r="E132">
        <v>92.045910292317302</v>
      </c>
      <c r="F132">
        <v>1.55756606274483</v>
      </c>
      <c r="G132">
        <v>-1537.8484353228951</v>
      </c>
      <c r="H132">
        <v>-1269.5609929024015</v>
      </c>
      <c r="I132">
        <v>259.43355338446497</v>
      </c>
      <c r="J132">
        <v>137.16618999279399</v>
      </c>
      <c r="K132">
        <v>59.095991171063801</v>
      </c>
      <c r="L132">
        <v>8.1805023384179908E-4</v>
      </c>
      <c r="M132">
        <v>2.4420602027005182E-4</v>
      </c>
      <c r="N132" s="1">
        <v>-9.5368988779230306E-6</v>
      </c>
      <c r="O132" s="1">
        <v>2.3372164808419901E-5</v>
      </c>
      <c r="P132" s="1">
        <v>-3.9618308416633797E-5</v>
      </c>
    </row>
    <row r="133" spans="1:16" x14ac:dyDescent="0.2">
      <c r="A133">
        <v>132</v>
      </c>
      <c r="B133">
        <v>760</v>
      </c>
      <c r="C133">
        <v>155</v>
      </c>
      <c r="D133">
        <v>0.43263853264288998</v>
      </c>
      <c r="E133">
        <v>98.166435526664998</v>
      </c>
      <c r="F133">
        <v>1.5814547902321101</v>
      </c>
      <c r="G133">
        <v>-1637.1408889039012</v>
      </c>
      <c r="H133">
        <v>-1354.3302224775266</v>
      </c>
      <c r="I133">
        <v>273.74204251605403</v>
      </c>
      <c r="J133">
        <v>145.213481117789</v>
      </c>
      <c r="K133">
        <v>62.073501015009697</v>
      </c>
      <c r="L133">
        <v>8.0072651844885208E-4</v>
      </c>
      <c r="M133">
        <v>2.3824087512329297E-4</v>
      </c>
      <c r="N133" s="1">
        <v>-9.5017750876251003E-6</v>
      </c>
      <c r="O133" s="1">
        <v>2.3964548701630301E-5</v>
      </c>
      <c r="P133" s="1">
        <v>-4.0788756151062801E-5</v>
      </c>
    </row>
    <row r="134" spans="1:16" x14ac:dyDescent="0.2">
      <c r="A134">
        <v>133</v>
      </c>
      <c r="B134">
        <v>759</v>
      </c>
      <c r="C134">
        <v>155</v>
      </c>
      <c r="D134">
        <v>0.43202102407596099</v>
      </c>
      <c r="E134">
        <v>101.36625875949299</v>
      </c>
      <c r="F134">
        <v>1.5937395052929</v>
      </c>
      <c r="G134">
        <v>-1688.9113285657204</v>
      </c>
      <c r="H134">
        <v>-1398.7419265300425</v>
      </c>
      <c r="I134">
        <v>281.13685897597799</v>
      </c>
      <c r="J134">
        <v>149.443972311723</v>
      </c>
      <c r="K134">
        <v>63.602777256163698</v>
      </c>
      <c r="L134">
        <v>7.926716558179053E-4</v>
      </c>
      <c r="M134">
        <v>2.3510374989475896E-4</v>
      </c>
      <c r="N134" s="1">
        <v>-9.3223111860401708E-6</v>
      </c>
      <c r="O134" s="1">
        <v>2.4248056605851499E-5</v>
      </c>
      <c r="P134" s="1">
        <v>-4.1440794752834503E-5</v>
      </c>
    </row>
    <row r="135" spans="1:16" x14ac:dyDescent="0.2">
      <c r="A135">
        <v>134</v>
      </c>
      <c r="B135">
        <v>783</v>
      </c>
      <c r="C135">
        <v>135</v>
      </c>
      <c r="D135">
        <v>0.46734886143066801</v>
      </c>
      <c r="E135">
        <v>6.4130873435067803</v>
      </c>
      <c r="F135">
        <v>0.31935079675014399</v>
      </c>
      <c r="G135">
        <v>-142.50366888655267</v>
      </c>
      <c r="H135">
        <v>-79.79016283832938</v>
      </c>
      <c r="I135">
        <v>59.382830100468603</v>
      </c>
      <c r="J135">
        <v>24.619807422183602</v>
      </c>
      <c r="K135">
        <v>20.081638777072701</v>
      </c>
      <c r="L135">
        <v>1.7730233971355682E-3</v>
      </c>
      <c r="M135">
        <v>6.7831610004687225E-4</v>
      </c>
      <c r="N135" s="1">
        <v>-2.15422099488333E-5</v>
      </c>
      <c r="O135" s="1">
        <v>2.4646772347524099E-5</v>
      </c>
      <c r="P135" s="1">
        <v>-3.01818078553401E-5</v>
      </c>
    </row>
    <row r="136" spans="1:16" x14ac:dyDescent="0.2">
      <c r="A136">
        <v>135</v>
      </c>
      <c r="B136">
        <v>782</v>
      </c>
      <c r="C136">
        <v>135</v>
      </c>
      <c r="D136">
        <v>0.466777709330429</v>
      </c>
      <c r="E136">
        <v>6.4436031048987301</v>
      </c>
      <c r="F136">
        <v>0.32118313339718702</v>
      </c>
      <c r="G136">
        <v>-142.95065163961678</v>
      </c>
      <c r="H136">
        <v>-80.24091554281847</v>
      </c>
      <c r="I136">
        <v>59.435537060314999</v>
      </c>
      <c r="J136">
        <v>24.6891943371308</v>
      </c>
      <c r="K136">
        <v>20.062084321626902</v>
      </c>
      <c r="L136">
        <v>1.7762616656979238E-3</v>
      </c>
      <c r="M136">
        <v>6.7763269796051193E-4</v>
      </c>
      <c r="N136" s="1">
        <v>-2.14655261577821E-5</v>
      </c>
      <c r="O136" s="1">
        <v>2.4618351462579099E-5</v>
      </c>
      <c r="P136" s="1">
        <v>-3.0259806737552601E-5</v>
      </c>
    </row>
    <row r="137" spans="1:16" x14ac:dyDescent="0.2">
      <c r="A137">
        <v>136</v>
      </c>
      <c r="B137">
        <v>781</v>
      </c>
      <c r="C137">
        <v>135</v>
      </c>
      <c r="D137">
        <v>0.46620547360432502</v>
      </c>
      <c r="E137">
        <v>6.8633126833043097</v>
      </c>
      <c r="F137">
        <v>0.33884747496470202</v>
      </c>
      <c r="G137">
        <v>-149.8702860992029</v>
      </c>
      <c r="H137">
        <v>-86.12177071320103</v>
      </c>
      <c r="I137">
        <v>60.477351212674797</v>
      </c>
      <c r="J137">
        <v>25.290212124878</v>
      </c>
      <c r="K137">
        <v>20.254873329126202</v>
      </c>
      <c r="L137">
        <v>1.7671521081071674E-3</v>
      </c>
      <c r="M137">
        <v>6.7217533068042901E-4</v>
      </c>
      <c r="N137" s="1">
        <v>-2.1462604739120399E-5</v>
      </c>
      <c r="O137" s="1">
        <v>2.4674811840651001E-5</v>
      </c>
      <c r="P137" s="1">
        <v>-3.0443147127660102E-5</v>
      </c>
    </row>
    <row r="138" spans="1:16" x14ac:dyDescent="0.2">
      <c r="A138">
        <v>137</v>
      </c>
      <c r="B138">
        <v>780</v>
      </c>
      <c r="C138">
        <v>135</v>
      </c>
      <c r="D138">
        <v>0.46563215116555001</v>
      </c>
      <c r="E138">
        <v>7.2835287470003198</v>
      </c>
      <c r="F138">
        <v>0.35620389169834199</v>
      </c>
      <c r="G138">
        <v>-156.79479633921397</v>
      </c>
      <c r="H138">
        <v>-92.009516198773241</v>
      </c>
      <c r="I138">
        <v>61.519230974753199</v>
      </c>
      <c r="J138">
        <v>25.892302715701199</v>
      </c>
      <c r="K138">
        <v>20.4476394468157</v>
      </c>
      <c r="L138">
        <v>1.7582222090475673E-3</v>
      </c>
      <c r="M138">
        <v>6.6680778390322798E-4</v>
      </c>
      <c r="N138" s="1">
        <v>-2.14566753562664E-5</v>
      </c>
      <c r="O138" s="1">
        <v>2.4730931772669301E-5</v>
      </c>
      <c r="P138" s="1">
        <v>-3.0627489902156897E-5</v>
      </c>
    </row>
    <row r="139" spans="1:16" x14ac:dyDescent="0.2">
      <c r="A139">
        <v>138</v>
      </c>
      <c r="B139">
        <v>779</v>
      </c>
      <c r="C139">
        <v>135</v>
      </c>
      <c r="D139">
        <v>0.46505773891555402</v>
      </c>
      <c r="E139">
        <v>7.70409188657234</v>
      </c>
      <c r="F139">
        <v>0.37325502004063899</v>
      </c>
      <c r="G139">
        <v>-163.72150444789079</v>
      </c>
      <c r="H139">
        <v>-97.901924082527117</v>
      </c>
      <c r="I139">
        <v>62.560748837105301</v>
      </c>
      <c r="J139">
        <v>26.4952491583084</v>
      </c>
      <c r="K139">
        <v>20.6402900776352</v>
      </c>
      <c r="L139">
        <v>1.7494715972429518E-3</v>
      </c>
      <c r="M139">
        <v>6.615293264886806E-4</v>
      </c>
      <c r="N139" s="1">
        <v>-2.14476375030269E-5</v>
      </c>
      <c r="O139" s="1">
        <v>2.4786667406229799E-5</v>
      </c>
      <c r="P139" s="1">
        <v>-3.0812790709939401E-5</v>
      </c>
    </row>
    <row r="140" spans="1:16" x14ac:dyDescent="0.2">
      <c r="A140">
        <v>139</v>
      </c>
      <c r="B140">
        <v>778</v>
      </c>
      <c r="C140">
        <v>135</v>
      </c>
      <c r="D140">
        <v>0.464482233743996</v>
      </c>
      <c r="E140">
        <v>8.1248462655445302</v>
      </c>
      <c r="F140">
        <v>0.39000382292716201</v>
      </c>
      <c r="G140">
        <v>-170.64779506579097</v>
      </c>
      <c r="H140">
        <v>-103.79681642481295</v>
      </c>
      <c r="I140">
        <v>63.601487626647</v>
      </c>
      <c r="J140">
        <v>27.098839540158998</v>
      </c>
      <c r="K140">
        <v>20.832734932093</v>
      </c>
      <c r="L140">
        <v>1.7408996304871876E-3</v>
      </c>
      <c r="M140">
        <v>6.5633912505996361E-4</v>
      </c>
      <c r="N140" s="1">
        <v>-2.14353911816446E-5</v>
      </c>
      <c r="O140" s="1">
        <v>2.4841976039879702E-5</v>
      </c>
      <c r="P140" s="1">
        <v>-3.0999005884247597E-5</v>
      </c>
    </row>
    <row r="141" spans="1:16" x14ac:dyDescent="0.2">
      <c r="A141">
        <v>140</v>
      </c>
      <c r="B141">
        <v>777</v>
      </c>
      <c r="C141">
        <v>135</v>
      </c>
      <c r="D141">
        <v>0.46390563252868899</v>
      </c>
      <c r="E141">
        <v>8.5456402065321004</v>
      </c>
      <c r="F141">
        <v>0.40645357433343499</v>
      </c>
      <c r="G141">
        <v>-177.57112503769125</v>
      </c>
      <c r="H141">
        <v>-109.6920734044607</v>
      </c>
      <c r="I141">
        <v>64.641041994521601</v>
      </c>
      <c r="J141">
        <v>27.702867806988898</v>
      </c>
      <c r="K141">
        <v>21.024886349065898</v>
      </c>
      <c r="L141">
        <v>1.7325054037935985E-3</v>
      </c>
      <c r="M141">
        <v>6.5123624862433447E-4</v>
      </c>
      <c r="N141" s="1">
        <v>-2.14198370461531E-5</v>
      </c>
      <c r="O141" s="1">
        <v>2.48968162488128E-5</v>
      </c>
      <c r="P141" s="1">
        <v>-3.1186092610612398E-5</v>
      </c>
    </row>
    <row r="142" spans="1:16" x14ac:dyDescent="0.2">
      <c r="A142">
        <v>141</v>
      </c>
      <c r="B142">
        <v>776</v>
      </c>
      <c r="C142">
        <v>135</v>
      </c>
      <c r="D142">
        <v>0.46332793213554102</v>
      </c>
      <c r="E142">
        <v>9.8378285177098004</v>
      </c>
      <c r="F142">
        <v>0.45401003774286203</v>
      </c>
      <c r="G142">
        <v>-198.95785358871109</v>
      </c>
      <c r="H142">
        <v>-127.86391047864615</v>
      </c>
      <c r="I142">
        <v>67.7669719202419</v>
      </c>
      <c r="J142">
        <v>29.452152670923301</v>
      </c>
      <c r="K142">
        <v>21.668746723352498</v>
      </c>
      <c r="L142">
        <v>1.6990385373820223E-3</v>
      </c>
      <c r="M142">
        <v>6.3669625397468348E-4</v>
      </c>
      <c r="N142" s="1">
        <v>-2.1536960509911501E-5</v>
      </c>
      <c r="O142" s="1">
        <v>2.51063802602295E-5</v>
      </c>
      <c r="P142" s="1">
        <v>-3.1569186892195E-5</v>
      </c>
    </row>
    <row r="143" spans="1:16" x14ac:dyDescent="0.2">
      <c r="A143">
        <v>142</v>
      </c>
      <c r="B143">
        <v>775</v>
      </c>
      <c r="C143">
        <v>135</v>
      </c>
      <c r="D143">
        <v>0.46274912941850099</v>
      </c>
      <c r="E143">
        <v>12.070801246428401</v>
      </c>
      <c r="F143">
        <v>0.52943746773102696</v>
      </c>
      <c r="G143">
        <v>-235.93614933183383</v>
      </c>
      <c r="H143">
        <v>-159.27567051845122</v>
      </c>
      <c r="I143">
        <v>73.142504599847499</v>
      </c>
      <c r="J143">
        <v>32.437941078281</v>
      </c>
      <c r="K143">
        <v>22.799295444954801</v>
      </c>
      <c r="L143">
        <v>1.6428727875374433E-3</v>
      </c>
      <c r="M143">
        <v>6.1369355498380469E-4</v>
      </c>
      <c r="N143" s="1">
        <v>-2.17950597113654E-5</v>
      </c>
      <c r="O143" s="1">
        <v>2.5481398486043102E-5</v>
      </c>
      <c r="P143" s="1">
        <v>-3.2164094327409001E-5</v>
      </c>
    </row>
    <row r="144" spans="1:16" x14ac:dyDescent="0.2">
      <c r="A144">
        <v>143</v>
      </c>
      <c r="B144">
        <v>774</v>
      </c>
      <c r="C144">
        <v>135</v>
      </c>
      <c r="D144">
        <v>0.46216922121950399</v>
      </c>
      <c r="E144">
        <v>14.424112180477399</v>
      </c>
      <c r="F144">
        <v>0.60125015288635497</v>
      </c>
      <c r="G144">
        <v>-274.86870134450226</v>
      </c>
      <c r="H144">
        <v>-192.35726613889432</v>
      </c>
      <c r="I144">
        <v>78.799921135311294</v>
      </c>
      <c r="J144">
        <v>35.581827960746203</v>
      </c>
      <c r="K144">
        <v>23.990201268528999</v>
      </c>
      <c r="L144">
        <v>1.589264887008937E-3</v>
      </c>
      <c r="M144">
        <v>5.9177296669171698E-4</v>
      </c>
      <c r="N144" s="1">
        <v>-2.20643376653294E-5</v>
      </c>
      <c r="O144" s="1">
        <v>2.5874507771950199E-5</v>
      </c>
      <c r="P144" s="1">
        <v>-3.2786554033844499E-5</v>
      </c>
    </row>
    <row r="145" spans="1:16" x14ac:dyDescent="0.2">
      <c r="A145">
        <v>144</v>
      </c>
      <c r="B145">
        <v>773</v>
      </c>
      <c r="C145">
        <v>135</v>
      </c>
      <c r="D145">
        <v>0.46158820436839998</v>
      </c>
      <c r="E145">
        <v>16.963723495096801</v>
      </c>
      <c r="F145">
        <v>0.67116821747628497</v>
      </c>
      <c r="G145">
        <v>-316.83424941216646</v>
      </c>
      <c r="H145">
        <v>-228.02514693135333</v>
      </c>
      <c r="I145">
        <v>84.895162291624899</v>
      </c>
      <c r="J145">
        <v>38.969495034640602</v>
      </c>
      <c r="K145">
        <v>25.274920732813399</v>
      </c>
      <c r="L145">
        <v>1.5368340774728727E-3</v>
      </c>
      <c r="M145">
        <v>5.7040896653396821E-4</v>
      </c>
      <c r="N145" s="1">
        <v>-2.23535076387939E-5</v>
      </c>
      <c r="O145" s="1">
        <v>2.62961149737793E-5</v>
      </c>
      <c r="P145" s="1">
        <v>-3.34501232564614E-5</v>
      </c>
    </row>
    <row r="146" spans="1:16" x14ac:dyDescent="0.2">
      <c r="A146">
        <v>145</v>
      </c>
      <c r="B146">
        <v>772</v>
      </c>
      <c r="C146">
        <v>135</v>
      </c>
      <c r="D146">
        <v>0.46100607568291702</v>
      </c>
      <c r="E146">
        <v>19.825725180211801</v>
      </c>
      <c r="F146">
        <v>0.741911109051692</v>
      </c>
      <c r="G146">
        <v>-364.05843594167925</v>
      </c>
      <c r="H146">
        <v>-268.1699429222034</v>
      </c>
      <c r="I146">
        <v>91.750027932496906</v>
      </c>
      <c r="J146">
        <v>42.777690337959598</v>
      </c>
      <c r="K146">
        <v>26.7225075057212</v>
      </c>
      <c r="L146">
        <v>1.483359656200657E-3</v>
      </c>
      <c r="M146">
        <v>5.4876815815005874E-4</v>
      </c>
      <c r="N146" s="1">
        <v>-2.2680738874869799E-5</v>
      </c>
      <c r="O146" s="1">
        <v>2.6767722478172099E-5</v>
      </c>
      <c r="P146" s="1">
        <v>-3.4182738621423002E-5</v>
      </c>
    </row>
    <row r="147" spans="1:16" x14ac:dyDescent="0.2">
      <c r="A147">
        <v>146</v>
      </c>
      <c r="B147">
        <v>771</v>
      </c>
      <c r="C147">
        <v>135</v>
      </c>
      <c r="D147">
        <v>0.46042283196858502</v>
      </c>
      <c r="E147">
        <v>23.374359761926598</v>
      </c>
      <c r="F147">
        <v>0.81964315610467597</v>
      </c>
      <c r="G147">
        <v>-422.49727909038171</v>
      </c>
      <c r="H147">
        <v>-317.85100743374301</v>
      </c>
      <c r="I147">
        <v>100.22545991966101</v>
      </c>
      <c r="J147">
        <v>47.479180258762</v>
      </c>
      <c r="K147">
        <v>28.517726998432298</v>
      </c>
      <c r="L147">
        <v>1.4237497798213173E-3</v>
      </c>
      <c r="M147">
        <v>5.249571824445813E-4</v>
      </c>
      <c r="N147" s="1">
        <v>-2.3094858509291001E-5</v>
      </c>
      <c r="O147" s="1">
        <v>2.7346772543820601E-5</v>
      </c>
      <c r="P147" s="1">
        <v>-3.5058846013031097E-5</v>
      </c>
    </row>
    <row r="148" spans="1:16" x14ac:dyDescent="0.2">
      <c r="A148">
        <v>147</v>
      </c>
      <c r="B148">
        <v>770</v>
      </c>
      <c r="C148">
        <v>135</v>
      </c>
      <c r="D148">
        <v>0.45983847001869499</v>
      </c>
      <c r="E148">
        <v>36.076981843763697</v>
      </c>
      <c r="F148">
        <v>1.0325843890547901</v>
      </c>
      <c r="G148">
        <v>-630.53655977821938</v>
      </c>
      <c r="H148">
        <v>-494.68817112050658</v>
      </c>
      <c r="I148">
        <v>130.23327504523601</v>
      </c>
      <c r="J148">
        <v>64.026227328421001</v>
      </c>
      <c r="K148">
        <v>34.9385311517132</v>
      </c>
      <c r="L148">
        <v>1.2520573455943624E-3</v>
      </c>
      <c r="M148">
        <v>4.5965759000798456E-4</v>
      </c>
      <c r="N148" s="1">
        <v>-2.4720000102209799E-5</v>
      </c>
      <c r="O148" s="1">
        <v>2.9349381021692299E-5</v>
      </c>
      <c r="P148" s="1">
        <v>-3.7773927071458899E-5</v>
      </c>
    </row>
    <row r="149" spans="1:16" x14ac:dyDescent="0.2">
      <c r="A149">
        <v>148</v>
      </c>
      <c r="B149">
        <v>769</v>
      </c>
      <c r="C149">
        <v>135</v>
      </c>
      <c r="D149">
        <v>0.45925298661421299</v>
      </c>
      <c r="E149">
        <v>61.661106650446698</v>
      </c>
      <c r="F149">
        <v>1.28909128289062</v>
      </c>
      <c r="G149">
        <v>-1047.2227532833092</v>
      </c>
      <c r="H149">
        <v>-848.69568227825187</v>
      </c>
      <c r="I149">
        <v>190.502463759839</v>
      </c>
      <c r="J149">
        <v>97.216722124566104</v>
      </c>
      <c r="K149">
        <v>47.8330025723075</v>
      </c>
      <c r="L149">
        <v>1.0454916508814683E-3</v>
      </c>
      <c r="M149">
        <v>3.8182460328596535E-4</v>
      </c>
      <c r="N149" s="1">
        <v>-2.8061428766882501E-5</v>
      </c>
      <c r="O149" s="1">
        <v>3.3383132870138701E-5</v>
      </c>
      <c r="P149" s="1">
        <v>-4.3134775611082098E-5</v>
      </c>
    </row>
    <row r="150" spans="1:16" x14ac:dyDescent="0.2">
      <c r="A150">
        <v>149</v>
      </c>
      <c r="B150">
        <v>768</v>
      </c>
      <c r="C150">
        <v>135</v>
      </c>
      <c r="D150">
        <v>0.45866637852374798</v>
      </c>
      <c r="E150">
        <v>80.376963936489702</v>
      </c>
      <c r="F150">
        <v>1.4046721013023</v>
      </c>
      <c r="G150">
        <v>-1351.4786940104461</v>
      </c>
      <c r="H150">
        <v>-1107.3854389498042</v>
      </c>
      <c r="I150">
        <v>234.45111383074101</v>
      </c>
      <c r="J150">
        <v>121.481578071889</v>
      </c>
      <c r="K150">
        <v>57.2211577790791</v>
      </c>
      <c r="L150">
        <v>9.5379342014589332E-4</v>
      </c>
      <c r="M150">
        <v>3.468538621958625E-4</v>
      </c>
      <c r="N150" s="1">
        <v>-3.0417724746029199E-5</v>
      </c>
      <c r="O150" s="1">
        <v>3.6294527255381697E-5</v>
      </c>
      <c r="P150" s="1">
        <v>-4.7082257089498298E-5</v>
      </c>
    </row>
    <row r="151" spans="1:16" x14ac:dyDescent="0.2">
      <c r="A151">
        <v>150</v>
      </c>
      <c r="B151">
        <v>767</v>
      </c>
      <c r="C151">
        <v>135</v>
      </c>
      <c r="D151">
        <v>0.45807864250348701</v>
      </c>
      <c r="E151">
        <v>92.934465549424303</v>
      </c>
      <c r="F151">
        <v>1.4639237413651101</v>
      </c>
      <c r="G151">
        <v>-1555.5171104785775</v>
      </c>
      <c r="H151">
        <v>-1281.0935272496215</v>
      </c>
      <c r="I151">
        <v>263.83637551740702</v>
      </c>
      <c r="J151">
        <v>137.777888690818</v>
      </c>
      <c r="K151">
        <v>63.483132982570801</v>
      </c>
      <c r="L151">
        <v>9.0795500027897509E-4</v>
      </c>
      <c r="M151">
        <v>3.2895921897972425E-4</v>
      </c>
      <c r="N151" s="1">
        <v>-3.1910062954928798E-5</v>
      </c>
      <c r="O151" s="1">
        <v>3.8213516695398701E-5</v>
      </c>
      <c r="P151" s="1">
        <v>-4.9768741728292002E-5</v>
      </c>
    </row>
    <row r="152" spans="1:16" x14ac:dyDescent="0.2">
      <c r="A152">
        <v>151</v>
      </c>
      <c r="B152">
        <v>766</v>
      </c>
      <c r="C152">
        <v>135</v>
      </c>
      <c r="D152">
        <v>0.45748977529712298</v>
      </c>
      <c r="E152">
        <v>98.335604309639507</v>
      </c>
      <c r="F152">
        <v>1.48682049356257</v>
      </c>
      <c r="G152">
        <v>-1643.1031772250885</v>
      </c>
      <c r="H152">
        <v>-1355.9137346205596</v>
      </c>
      <c r="I152">
        <v>276.37530112635898</v>
      </c>
      <c r="J152">
        <v>144.81553803700601</v>
      </c>
      <c r="K152">
        <v>66.138181936151</v>
      </c>
      <c r="L152">
        <v>8.9163803955420479E-4</v>
      </c>
      <c r="M152">
        <v>3.219988584608947E-4</v>
      </c>
      <c r="N152" s="1">
        <v>-3.2430494363458E-5</v>
      </c>
      <c r="O152" s="1">
        <v>3.9000148584616601E-5</v>
      </c>
      <c r="P152" s="1">
        <v>-5.0996123470128799E-5</v>
      </c>
    </row>
    <row r="153" spans="1:16" x14ac:dyDescent="0.2">
      <c r="A153">
        <v>152</v>
      </c>
      <c r="B153">
        <v>765</v>
      </c>
      <c r="C153">
        <v>135</v>
      </c>
      <c r="D153">
        <v>0.45689977363579698</v>
      </c>
      <c r="E153">
        <v>101.255418371345</v>
      </c>
      <c r="F153">
        <v>1.49912102433386</v>
      </c>
      <c r="G153">
        <v>-1690.3139586040015</v>
      </c>
      <c r="H153">
        <v>-1396.446046882596</v>
      </c>
      <c r="I153">
        <v>283.07463526530103</v>
      </c>
      <c r="J153">
        <v>148.64419983141599</v>
      </c>
      <c r="K153">
        <v>67.543191462036305</v>
      </c>
      <c r="L153">
        <v>8.8393248398288288E-4</v>
      </c>
      <c r="M153">
        <v>3.1822452371807854E-4</v>
      </c>
      <c r="N153" s="1">
        <v>-3.2611630165937197E-5</v>
      </c>
      <c r="O153" s="1">
        <v>3.9394856104002802E-5</v>
      </c>
      <c r="P153" s="1">
        <v>-5.1718859252997301E-5</v>
      </c>
    </row>
    <row r="154" spans="1:16" x14ac:dyDescent="0.2">
      <c r="A154">
        <v>153</v>
      </c>
      <c r="B154">
        <v>794</v>
      </c>
      <c r="C154">
        <v>115</v>
      </c>
      <c r="D154">
        <v>0.49417654500304597</v>
      </c>
      <c r="E154">
        <v>6.8041282215059198</v>
      </c>
      <c r="F154">
        <v>0.26881087978783602</v>
      </c>
      <c r="G154">
        <v>-152.35545199451397</v>
      </c>
      <c r="H154">
        <v>-83.965101659136835</v>
      </c>
      <c r="I154">
        <v>64.090562784394706</v>
      </c>
      <c r="J154">
        <v>25.132914235892599</v>
      </c>
      <c r="K154">
        <v>25.311952503098802</v>
      </c>
      <c r="L154">
        <v>1.7594193885841715E-3</v>
      </c>
      <c r="M154">
        <v>8.5762276767328935E-4</v>
      </c>
      <c r="N154" s="1">
        <v>-3.9419650356385102E-5</v>
      </c>
      <c r="O154" s="1">
        <v>4.4427393523924303E-5</v>
      </c>
      <c r="P154" s="1">
        <v>-3.9285007564636201E-5</v>
      </c>
    </row>
    <row r="155" spans="1:16" x14ac:dyDescent="0.2">
      <c r="A155">
        <v>154</v>
      </c>
      <c r="B155">
        <v>793</v>
      </c>
      <c r="C155">
        <v>115</v>
      </c>
      <c r="D155">
        <v>0.49363644890494002</v>
      </c>
      <c r="E155">
        <v>7.0964191057485504</v>
      </c>
      <c r="F155">
        <v>0.279057730513316</v>
      </c>
      <c r="G155">
        <v>-157.15242741407656</v>
      </c>
      <c r="H155">
        <v>-88.06835870484646</v>
      </c>
      <c r="I155">
        <v>64.801360773735794</v>
      </c>
      <c r="J155">
        <v>25.553345013751098</v>
      </c>
      <c r="K155">
        <v>25.4299319810812</v>
      </c>
      <c r="L155">
        <v>1.7566929333185234E-3</v>
      </c>
      <c r="M155">
        <v>8.5393017847774813E-4</v>
      </c>
      <c r="N155" s="1">
        <v>-3.9559821257504797E-5</v>
      </c>
      <c r="O155" s="1">
        <v>4.4476080867765398E-5</v>
      </c>
      <c r="P155" s="1">
        <v>-3.94566554230036E-5</v>
      </c>
    </row>
    <row r="156" spans="1:16" x14ac:dyDescent="0.2">
      <c r="A156">
        <v>155</v>
      </c>
      <c r="B156">
        <v>792</v>
      </c>
      <c r="C156">
        <v>115</v>
      </c>
      <c r="D156">
        <v>0.49309533868469302</v>
      </c>
      <c r="E156">
        <v>7.4989730681937203</v>
      </c>
      <c r="F156">
        <v>0.29281921807759898</v>
      </c>
      <c r="G156">
        <v>-163.78148312805317</v>
      </c>
      <c r="H156">
        <v>-93.709625102951179</v>
      </c>
      <c r="I156">
        <v>65.7895805180422</v>
      </c>
      <c r="J156">
        <v>26.122119263617702</v>
      </c>
      <c r="K156">
        <v>25.609565920657701</v>
      </c>
      <c r="L156">
        <v>1.7512783577048464E-3</v>
      </c>
      <c r="M156">
        <v>8.4892129705543015E-4</v>
      </c>
      <c r="N156" s="1">
        <v>-3.97323944231746E-5</v>
      </c>
      <c r="O156" s="1">
        <v>4.4561439172781599E-5</v>
      </c>
      <c r="P156" s="1">
        <v>-3.9662251263630203E-5</v>
      </c>
    </row>
    <row r="157" spans="1:16" x14ac:dyDescent="0.2">
      <c r="A157">
        <v>156</v>
      </c>
      <c r="B157">
        <v>791</v>
      </c>
      <c r="C157">
        <v>115</v>
      </c>
      <c r="D157">
        <v>0.49255321148334702</v>
      </c>
      <c r="E157">
        <v>7.9016542396215597</v>
      </c>
      <c r="F157">
        <v>0.30639684697758401</v>
      </c>
      <c r="G157">
        <v>-170.40937839713871</v>
      </c>
      <c r="H157">
        <v>-99.352553294588347</v>
      </c>
      <c r="I157">
        <v>66.777005445217</v>
      </c>
      <c r="J157">
        <v>26.6914216145552</v>
      </c>
      <c r="K157">
        <v>25.7889541539558</v>
      </c>
      <c r="L157">
        <v>1.7459648488868827E-3</v>
      </c>
      <c r="M157">
        <v>8.4397647386545032E-4</v>
      </c>
      <c r="N157" s="1">
        <v>-3.9903985898134697E-5</v>
      </c>
      <c r="O157" s="1">
        <v>4.4646384007806902E-5</v>
      </c>
      <c r="P157" s="1">
        <v>-3.98690196542346E-5</v>
      </c>
    </row>
    <row r="158" spans="1:16" x14ac:dyDescent="0.2">
      <c r="A158">
        <v>157</v>
      </c>
      <c r="B158">
        <v>790</v>
      </c>
      <c r="C158">
        <v>115</v>
      </c>
      <c r="D158">
        <v>0.49201006443117301</v>
      </c>
      <c r="E158">
        <v>8.3043251059574903</v>
      </c>
      <c r="F158">
        <v>0.31979052618050902</v>
      </c>
      <c r="G158">
        <v>-177.03381060212254</v>
      </c>
      <c r="H158">
        <v>-104.99522430116865</v>
      </c>
      <c r="I158">
        <v>67.763272455269103</v>
      </c>
      <c r="J158">
        <v>27.2610690838487</v>
      </c>
      <c r="K158">
        <v>25.968014766234901</v>
      </c>
      <c r="L158">
        <v>1.7407534747856019E-3</v>
      </c>
      <c r="M158">
        <v>8.3909583466746783E-4</v>
      </c>
      <c r="N158" s="1">
        <v>-4.0074502099491199E-5</v>
      </c>
      <c r="O158" s="1">
        <v>4.4730860640090201E-5</v>
      </c>
      <c r="P158" s="1">
        <v>-4.0076925826012697E-5</v>
      </c>
    </row>
    <row r="159" spans="1:16" x14ac:dyDescent="0.2">
      <c r="A159">
        <v>158</v>
      </c>
      <c r="B159">
        <v>789</v>
      </c>
      <c r="C159">
        <v>115</v>
      </c>
      <c r="D159">
        <v>0.49146589464765</v>
      </c>
      <c r="E159">
        <v>8.7068518385913407</v>
      </c>
      <c r="F159">
        <v>0.33300043264016999</v>
      </c>
      <c r="G159">
        <v>-183.6525411351206</v>
      </c>
      <c r="H159">
        <v>-110.63577068123043</v>
      </c>
      <c r="I159">
        <v>68.748028825207498</v>
      </c>
      <c r="J159">
        <v>27.830883799252899</v>
      </c>
      <c r="K159">
        <v>26.146668247724701</v>
      </c>
      <c r="L159">
        <v>1.7356451064838229E-3</v>
      </c>
      <c r="M159">
        <v>8.3427940297086918E-4</v>
      </c>
      <c r="N159" s="1">
        <v>-4.0243849463177399E-5</v>
      </c>
      <c r="O159" s="1">
        <v>4.4814816021155502E-5</v>
      </c>
      <c r="P159" s="1">
        <v>-4.0285936058296797E-5</v>
      </c>
    </row>
    <row r="160" spans="1:16" x14ac:dyDescent="0.2">
      <c r="A160">
        <v>159</v>
      </c>
      <c r="B160">
        <v>788</v>
      </c>
      <c r="C160">
        <v>115</v>
      </c>
      <c r="D160">
        <v>0.49092069924139198</v>
      </c>
      <c r="E160">
        <v>9.1091046919356398</v>
      </c>
      <c r="F160">
        <v>0.34602700274336801</v>
      </c>
      <c r="G160">
        <v>-190.26340191591996</v>
      </c>
      <c r="H160">
        <v>-116.27238204665616</v>
      </c>
      <c r="I160">
        <v>69.730933200442095</v>
      </c>
      <c r="J160">
        <v>28.4006935440852</v>
      </c>
      <c r="K160">
        <v>26.324837714157798</v>
      </c>
      <c r="L160">
        <v>1.7306404215928512E-3</v>
      </c>
      <c r="M160">
        <v>8.2952710301075568E-4</v>
      </c>
      <c r="N160" s="1">
        <v>-4.0411934574343102E-5</v>
      </c>
      <c r="O160" s="1">
        <v>4.4898198913471499E-5</v>
      </c>
      <c r="P160" s="1">
        <v>-4.0496017807115103E-5</v>
      </c>
    </row>
    <row r="161" spans="1:16" x14ac:dyDescent="0.2">
      <c r="A161">
        <v>160</v>
      </c>
      <c r="B161">
        <v>787</v>
      </c>
      <c r="C161">
        <v>115</v>
      </c>
      <c r="D161">
        <v>0.49037447531009798</v>
      </c>
      <c r="E161">
        <v>9.5109583502353203</v>
      </c>
      <c r="F161">
        <v>0.35887092227255002</v>
      </c>
      <c r="G161">
        <v>-196.86430105617245</v>
      </c>
      <c r="H161">
        <v>-121.90330987275948</v>
      </c>
      <c r="I161">
        <v>70.711656454057604</v>
      </c>
      <c r="J161">
        <v>28.970332234443902</v>
      </c>
      <c r="K161">
        <v>26.5024490978738</v>
      </c>
      <c r="L161">
        <v>1.7257399088636955E-3</v>
      </c>
      <c r="M161">
        <v>8.2483876330284849E-4</v>
      </c>
      <c r="N161" s="1">
        <v>-4.0578664283539102E-5</v>
      </c>
      <c r="O161" s="1">
        <v>4.49809599993801E-5</v>
      </c>
      <c r="P161" s="1">
        <v>-4.0707139820323202E-5</v>
      </c>
    </row>
    <row r="162" spans="1:16" x14ac:dyDescent="0.2">
      <c r="A162">
        <v>161</v>
      </c>
      <c r="B162">
        <v>786</v>
      </c>
      <c r="C162">
        <v>115</v>
      </c>
      <c r="D162">
        <v>0.48982721994052197</v>
      </c>
      <c r="E162">
        <v>9.9122922170626495</v>
      </c>
      <c r="F162">
        <v>0.37153311492887298</v>
      </c>
      <c r="G162">
        <v>-203.45322756179399</v>
      </c>
      <c r="H162">
        <v>-127.52687151214897</v>
      </c>
      <c r="I162">
        <v>71.689882394628199</v>
      </c>
      <c r="J162">
        <v>29.539640318565102</v>
      </c>
      <c r="K162">
        <v>26.679431304421499</v>
      </c>
      <c r="L162">
        <v>1.7209438740349262E-3</v>
      </c>
      <c r="M162">
        <v>8.2021412076153358E-4</v>
      </c>
      <c r="N162" s="1">
        <v>-4.0743945803774701E-5</v>
      </c>
      <c r="O162" s="1">
        <v>4.5063051967295402E-5</v>
      </c>
      <c r="P162" s="1">
        <v>-4.0919272234477602E-5</v>
      </c>
    </row>
    <row r="163" spans="1:16" x14ac:dyDescent="0.2">
      <c r="A163">
        <v>162</v>
      </c>
      <c r="B163">
        <v>785</v>
      </c>
      <c r="C163">
        <v>115</v>
      </c>
      <c r="D163">
        <v>0.48927893020838498</v>
      </c>
      <c r="E163">
        <v>10.4652407459487</v>
      </c>
      <c r="F163">
        <v>0.38851081988809699</v>
      </c>
      <c r="G163">
        <v>-212.55673546956638</v>
      </c>
      <c r="H163">
        <v>-135.28588892997126</v>
      </c>
      <c r="I163">
        <v>73.028251769331504</v>
      </c>
      <c r="J163">
        <v>30.305967099185899</v>
      </c>
      <c r="K163">
        <v>26.936806416261401</v>
      </c>
      <c r="L163">
        <v>1.7127151260148195E-3</v>
      </c>
      <c r="M163">
        <v>8.1396012462279729E-4</v>
      </c>
      <c r="N163" s="1">
        <v>-4.0946274712050699E-5</v>
      </c>
      <c r="O163" s="1">
        <v>4.5186596336306599E-5</v>
      </c>
      <c r="P163" s="1">
        <v>-4.1170804059179603E-5</v>
      </c>
    </row>
    <row r="164" spans="1:16" x14ac:dyDescent="0.2">
      <c r="A164">
        <v>163</v>
      </c>
      <c r="B164">
        <v>784</v>
      </c>
      <c r="C164">
        <v>115</v>
      </c>
      <c r="D164">
        <v>0.48872960317835601</v>
      </c>
      <c r="E164">
        <v>12.641474050791601</v>
      </c>
      <c r="F164">
        <v>0.450555279203876</v>
      </c>
      <c r="G164">
        <v>-248.5988171511859</v>
      </c>
      <c r="H164">
        <v>-165.89912030201918</v>
      </c>
      <c r="I164">
        <v>78.232748205645706</v>
      </c>
      <c r="J164">
        <v>33.178324725764902</v>
      </c>
      <c r="K164">
        <v>28.0575428460829</v>
      </c>
      <c r="L164">
        <v>1.668850618039661E-3</v>
      </c>
      <c r="M164">
        <v>7.9072300909106439E-4</v>
      </c>
      <c r="N164" s="1">
        <v>-4.1558249082309897E-5</v>
      </c>
      <c r="O164" s="1">
        <v>4.5757512040197097E-5</v>
      </c>
      <c r="P164" s="1">
        <v>-4.1833228476553998E-5</v>
      </c>
    </row>
    <row r="165" spans="1:16" x14ac:dyDescent="0.2">
      <c r="A165">
        <v>164</v>
      </c>
      <c r="B165">
        <v>783</v>
      </c>
      <c r="C165">
        <v>115</v>
      </c>
      <c r="D165">
        <v>0.48817923590399198</v>
      </c>
      <c r="E165">
        <v>14.9186878510233</v>
      </c>
      <c r="F165">
        <v>0.51039301735759202</v>
      </c>
      <c r="G165">
        <v>-286.27829468344044</v>
      </c>
      <c r="H165">
        <v>-197.91250014611313</v>
      </c>
      <c r="I165">
        <v>83.671736514423898</v>
      </c>
      <c r="J165">
        <v>36.181554755448602</v>
      </c>
      <c r="K165">
        <v>29.229803981763698</v>
      </c>
      <c r="L165">
        <v>1.626431101352415E-3</v>
      </c>
      <c r="M165">
        <v>7.6828990301407477E-4</v>
      </c>
      <c r="N165" s="1">
        <v>-4.2193096607578302E-5</v>
      </c>
      <c r="O165" s="1">
        <v>4.63520503252511E-5</v>
      </c>
      <c r="P165" s="1">
        <v>-4.2522058933006503E-5</v>
      </c>
    </row>
    <row r="166" spans="1:16" x14ac:dyDescent="0.2">
      <c r="A166">
        <v>165</v>
      </c>
      <c r="B166">
        <v>782</v>
      </c>
      <c r="C166">
        <v>115</v>
      </c>
      <c r="D166">
        <v>0.48762782542766497</v>
      </c>
      <c r="E166">
        <v>17.3458586356594</v>
      </c>
      <c r="F166">
        <v>0.56910864374159897</v>
      </c>
      <c r="G166">
        <v>-326.39624315251763</v>
      </c>
      <c r="H166">
        <v>-232.00632545864423</v>
      </c>
      <c r="I166">
        <v>89.460349745170404</v>
      </c>
      <c r="J166">
        <v>39.378472583009902</v>
      </c>
      <c r="K166">
        <v>30.478993468837899</v>
      </c>
      <c r="L166">
        <v>1.5846038180962678E-3</v>
      </c>
      <c r="M166">
        <v>7.462497743355933E-4</v>
      </c>
      <c r="N166" s="1">
        <v>-4.2861904456373398E-5</v>
      </c>
      <c r="O166" s="1">
        <v>4.6982200135467103E-5</v>
      </c>
      <c r="P166" s="1">
        <v>-4.3248612761123299E-5</v>
      </c>
    </row>
    <row r="167" spans="1:16" x14ac:dyDescent="0.2">
      <c r="A167">
        <v>166</v>
      </c>
      <c r="B167">
        <v>781</v>
      </c>
      <c r="C167">
        <v>115</v>
      </c>
      <c r="D167">
        <v>0.48707536878053398</v>
      </c>
      <c r="E167">
        <v>20.013079124958701</v>
      </c>
      <c r="F167">
        <v>0.62831733636193798</v>
      </c>
      <c r="G167">
        <v>-370.42628251693037</v>
      </c>
      <c r="H167">
        <v>-269.43195005356711</v>
      </c>
      <c r="I167">
        <v>95.810433454292706</v>
      </c>
      <c r="J167">
        <v>42.884628338156197</v>
      </c>
      <c r="K167">
        <v>31.851865238730699</v>
      </c>
      <c r="L167">
        <v>1.5420773344330459E-3</v>
      </c>
      <c r="M167">
        <v>7.2398809071730125E-4</v>
      </c>
      <c r="N167" s="1">
        <v>-4.3585159623606498E-5</v>
      </c>
      <c r="O167" s="1">
        <v>4.7670051025116799E-5</v>
      </c>
      <c r="P167" s="1">
        <v>-4.4033694302564602E-5</v>
      </c>
    </row>
    <row r="168" spans="1:16" x14ac:dyDescent="0.2">
      <c r="A168">
        <v>167</v>
      </c>
      <c r="B168">
        <v>780</v>
      </c>
      <c r="C168">
        <v>115</v>
      </c>
      <c r="D168">
        <v>0.48652186298248101</v>
      </c>
      <c r="E168">
        <v>23.1139784015764</v>
      </c>
      <c r="F168">
        <v>0.69102374924152998</v>
      </c>
      <c r="G168">
        <v>-421.53521959884529</v>
      </c>
      <c r="H168">
        <v>-312.87847599137183</v>
      </c>
      <c r="I168">
        <v>103.177187194898</v>
      </c>
      <c r="J168">
        <v>46.948275713799603</v>
      </c>
      <c r="K168">
        <v>33.448891484477002</v>
      </c>
      <c r="L168">
        <v>1.4964205667066983E-3</v>
      </c>
      <c r="M168">
        <v>7.0035832436924717E-4</v>
      </c>
      <c r="N168" s="1">
        <v>-4.4406911119395298E-5</v>
      </c>
      <c r="O168" s="1">
        <v>4.8463027570888498E-5</v>
      </c>
      <c r="P168" s="1">
        <v>-4.4921880966337897E-5</v>
      </c>
    </row>
    <row r="169" spans="1:16" x14ac:dyDescent="0.2">
      <c r="A169">
        <v>168</v>
      </c>
      <c r="B169">
        <v>779</v>
      </c>
      <c r="C169">
        <v>115</v>
      </c>
      <c r="D169">
        <v>0.48596730504205599</v>
      </c>
      <c r="E169">
        <v>27.190147401718299</v>
      </c>
      <c r="F169">
        <v>0.764824166753172</v>
      </c>
      <c r="G169">
        <v>-488.5783226080685</v>
      </c>
      <c r="H169">
        <v>-369.86577885125013</v>
      </c>
      <c r="I169">
        <v>112.83272467082701</v>
      </c>
      <c r="J169">
        <v>52.263227690107698</v>
      </c>
      <c r="K169">
        <v>35.550847611348097</v>
      </c>
      <c r="L169">
        <v>1.4414484212016863E-3</v>
      </c>
      <c r="M169">
        <v>6.7245705160913006E-4</v>
      </c>
      <c r="N169" s="1">
        <v>-4.5449868007330602E-5</v>
      </c>
      <c r="O169" s="1">
        <v>4.9493202506703398E-5</v>
      </c>
      <c r="P169" s="1">
        <v>-4.6037108278008101E-5</v>
      </c>
    </row>
    <row r="170" spans="1:16" x14ac:dyDescent="0.2">
      <c r="A170">
        <v>169</v>
      </c>
      <c r="B170">
        <v>778</v>
      </c>
      <c r="C170">
        <v>115</v>
      </c>
      <c r="D170">
        <v>0.48541169195642903</v>
      </c>
      <c r="E170">
        <v>38.178296584937101</v>
      </c>
      <c r="F170">
        <v>0.92614785978927605</v>
      </c>
      <c r="G170">
        <v>-668.57475617199475</v>
      </c>
      <c r="H170">
        <v>-522.83575438184789</v>
      </c>
      <c r="I170">
        <v>138.65162376715401</v>
      </c>
      <c r="J170">
        <v>66.4130108852641</v>
      </c>
      <c r="K170">
        <v>41.222679706481998</v>
      </c>
      <c r="L170">
        <v>1.3150650104297187E-3</v>
      </c>
      <c r="M170">
        <v>6.1113937799942757E-4</v>
      </c>
      <c r="N170" s="1">
        <v>-4.8036617038544099E-5</v>
      </c>
      <c r="O170" s="1">
        <v>5.2187894345891399E-5</v>
      </c>
      <c r="P170" s="1">
        <v>-4.8714031494763803E-5</v>
      </c>
    </row>
    <row r="171" spans="1:16" x14ac:dyDescent="0.2">
      <c r="A171">
        <v>170</v>
      </c>
      <c r="B171">
        <v>777</v>
      </c>
      <c r="C171">
        <v>115</v>
      </c>
      <c r="D171">
        <v>0.48485502071132902</v>
      </c>
      <c r="E171">
        <v>59.753355200430697</v>
      </c>
      <c r="F171">
        <v>1.1416642636699099</v>
      </c>
      <c r="G171">
        <v>-1020.0394029695933</v>
      </c>
      <c r="H171">
        <v>-821.34444392803755</v>
      </c>
      <c r="I171">
        <v>189.211149843464</v>
      </c>
      <c r="J171">
        <v>94.075446553040905</v>
      </c>
      <c r="K171">
        <v>52.3388154485556</v>
      </c>
      <c r="L171">
        <v>1.1454893570001837E-3</v>
      </c>
      <c r="M171">
        <v>5.299185339376288E-4</v>
      </c>
      <c r="N171" s="1">
        <v>-5.3043947294905997E-5</v>
      </c>
      <c r="O171" s="1">
        <v>5.7480596630545199E-5</v>
      </c>
      <c r="P171" s="1">
        <v>-5.3843592581060603E-5</v>
      </c>
    </row>
    <row r="172" spans="1:16" x14ac:dyDescent="0.2">
      <c r="A172">
        <v>171</v>
      </c>
      <c r="B172">
        <v>776</v>
      </c>
      <c r="C172">
        <v>115</v>
      </c>
      <c r="D172">
        <v>0.484297288280991</v>
      </c>
      <c r="E172">
        <v>78.021127182470295</v>
      </c>
      <c r="F172">
        <v>1.2643628515563301</v>
      </c>
      <c r="G172">
        <v>-1317.0439991213257</v>
      </c>
      <c r="H172">
        <v>-1073.7597746633801</v>
      </c>
      <c r="I172">
        <v>231.89225212485201</v>
      </c>
      <c r="J172">
        <v>117.475893391147</v>
      </c>
      <c r="K172">
        <v>61.707861067281399</v>
      </c>
      <c r="L172">
        <v>1.0501796399418812E-3</v>
      </c>
      <c r="M172">
        <v>4.838680605333678E-4</v>
      </c>
      <c r="N172" s="1">
        <v>-5.7270163594713201E-5</v>
      </c>
      <c r="O172" s="1">
        <v>6.1915972353471604E-5</v>
      </c>
      <c r="P172" s="1">
        <v>-5.82038796233009E-5</v>
      </c>
    </row>
    <row r="173" spans="1:16" x14ac:dyDescent="0.2">
      <c r="A173">
        <v>172</v>
      </c>
      <c r="B173">
        <v>775</v>
      </c>
      <c r="C173">
        <v>115</v>
      </c>
      <c r="D173">
        <v>0.483738491628109</v>
      </c>
      <c r="E173">
        <v>89.800363318479498</v>
      </c>
      <c r="F173">
        <v>1.32628514613312</v>
      </c>
      <c r="G173">
        <v>-1508.4323913178168</v>
      </c>
      <c r="H173">
        <v>-1236.6393345795393</v>
      </c>
      <c r="I173">
        <v>259.312928788541</v>
      </c>
      <c r="J173">
        <v>132.57803767599901</v>
      </c>
      <c r="K173">
        <v>67.708187474087794</v>
      </c>
      <c r="L173">
        <v>1.00344029267461E-3</v>
      </c>
      <c r="M173">
        <v>4.6070537475682144E-4</v>
      </c>
      <c r="N173" s="1">
        <v>-5.9998138741342E-5</v>
      </c>
      <c r="O173" s="1">
        <v>6.4729366593038406E-5</v>
      </c>
      <c r="P173" s="1">
        <v>-6.1065391238223404E-5</v>
      </c>
    </row>
    <row r="174" spans="1:16" x14ac:dyDescent="0.2">
      <c r="A174">
        <v>173</v>
      </c>
      <c r="B174">
        <v>774</v>
      </c>
      <c r="C174">
        <v>115</v>
      </c>
      <c r="D174">
        <v>0.48317862770377201</v>
      </c>
      <c r="E174">
        <v>96.598173565096204</v>
      </c>
      <c r="F174">
        <v>1.35798567113392</v>
      </c>
      <c r="G174">
        <v>-1618.7515498892051</v>
      </c>
      <c r="H174">
        <v>-1330.7354771465712</v>
      </c>
      <c r="I174">
        <v>275.05324968434599</v>
      </c>
      <c r="J174">
        <v>141.314169424163</v>
      </c>
      <c r="K174">
        <v>71.133426234487402</v>
      </c>
      <c r="L174">
        <v>9.8086700985118244E-4</v>
      </c>
      <c r="M174">
        <v>4.4889586195301232E-4</v>
      </c>
      <c r="N174" s="1">
        <v>-6.1584647039688307E-5</v>
      </c>
      <c r="O174" s="1">
        <v>6.6312040870327804E-5</v>
      </c>
      <c r="P174" s="1">
        <v>-6.2782504059051602E-5</v>
      </c>
    </row>
    <row r="175" spans="1:16" x14ac:dyDescent="0.2">
      <c r="A175">
        <v>174</v>
      </c>
      <c r="B175">
        <v>773</v>
      </c>
      <c r="C175">
        <v>115</v>
      </c>
      <c r="D175">
        <v>0.48261769344740202</v>
      </c>
      <c r="E175">
        <v>99.977832065692695</v>
      </c>
      <c r="F175">
        <v>1.3733582756538101</v>
      </c>
      <c r="G175">
        <v>-1673.4444892102383</v>
      </c>
      <c r="H175">
        <v>-1377.6023954174366</v>
      </c>
      <c r="I175">
        <v>282.79702227813198</v>
      </c>
      <c r="J175">
        <v>145.68312420373999</v>
      </c>
      <c r="K175">
        <v>72.798070130750403</v>
      </c>
      <c r="L175">
        <v>9.7135376660758773E-4</v>
      </c>
      <c r="M175">
        <v>4.4319763261120544E-4</v>
      </c>
      <c r="N175" s="1">
        <v>-6.2391282478742199E-5</v>
      </c>
      <c r="O175" s="1">
        <v>6.7057654894796099E-5</v>
      </c>
      <c r="P175" s="1">
        <v>-6.37169340264447E-5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81B3-C495-402D-951B-B4680AAA41C1}">
  <sheetPr codeName="Sheet6"/>
  <dimension ref="A1:AN1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26</v>
      </c>
      <c r="B2">
        <v>738</v>
      </c>
      <c r="C2">
        <v>275</v>
      </c>
      <c r="D2">
        <v>0.28822677149780002</v>
      </c>
      <c r="E2">
        <v>2.3371201583182101E-2</v>
      </c>
      <c r="F2">
        <v>4.6577549989315497</v>
      </c>
      <c r="G2">
        <v>-0.22137645484645482</v>
      </c>
      <c r="H2">
        <v>-0.17991771499710349</v>
      </c>
      <c r="I2">
        <v>4.1001572318005497E-2</v>
      </c>
      <c r="J2">
        <v>2.1424529725169401E-2</v>
      </c>
      <c r="K2">
        <v>5.01769663465409E-3</v>
      </c>
      <c r="L2">
        <v>3.1680632845857486E-5</v>
      </c>
      <c r="M2">
        <v>5.5280913412421867E-7</v>
      </c>
      <c r="N2" s="1">
        <v>2.4471427340214401E-11</v>
      </c>
      <c r="O2" s="1">
        <v>1.09591092637293E-14</v>
      </c>
      <c r="P2" s="1">
        <v>4.0193532277625603E-14</v>
      </c>
      <c r="R2">
        <v>47.316391721984402</v>
      </c>
      <c r="S2">
        <v>2.2291375172833101</v>
      </c>
      <c r="T2">
        <v>9.8094717436480696</v>
      </c>
      <c r="V2">
        <v>37.5951909326822</v>
      </c>
      <c r="W2">
        <v>0.62879491319963299</v>
      </c>
      <c r="X2">
        <v>2.42101317120231</v>
      </c>
      <c r="AJ2">
        <v>8.8924862197582805E-2</v>
      </c>
      <c r="AK2">
        <v>9.09369586989658E-2</v>
      </c>
      <c r="AL2">
        <v>0.77465047574573798</v>
      </c>
      <c r="AM2">
        <v>1.3122369487659999E-2</v>
      </c>
      <c r="AN2">
        <v>3.2365333870052498E-2</v>
      </c>
    </row>
    <row r="3" spans="1:40" x14ac:dyDescent="0.2">
      <c r="A3">
        <v>27</v>
      </c>
      <c r="B3">
        <v>737</v>
      </c>
      <c r="C3">
        <v>275</v>
      </c>
      <c r="D3">
        <v>0.28745285353660599</v>
      </c>
      <c r="E3">
        <v>4.0730725257820698E-2</v>
      </c>
      <c r="F3">
        <v>4.6607588271761902</v>
      </c>
      <c r="G3">
        <v>-0.38631862517996562</v>
      </c>
      <c r="H3">
        <v>-0.3140586779595978</v>
      </c>
      <c r="I3">
        <v>7.1533878355063904E-2</v>
      </c>
      <c r="J3">
        <v>3.7289600887731998E-2</v>
      </c>
      <c r="K3">
        <v>8.7390759247884496E-3</v>
      </c>
      <c r="L3">
        <v>3.1572160312089187E-5</v>
      </c>
      <c r="M3">
        <v>5.5251195987404925E-7</v>
      </c>
      <c r="N3" s="1">
        <v>4.7649701459652899E-11</v>
      </c>
      <c r="O3" s="1">
        <v>1.90816219831923E-14</v>
      </c>
      <c r="P3" s="1">
        <v>6.32422213932083E-14</v>
      </c>
      <c r="R3">
        <v>47.2649443154381</v>
      </c>
      <c r="S3">
        <v>2.2934466482964702</v>
      </c>
      <c r="T3">
        <v>9.8535885368775293</v>
      </c>
      <c r="V3">
        <v>37.136438497604303</v>
      </c>
      <c r="W3">
        <v>1.0233359468523999</v>
      </c>
      <c r="X3">
        <v>2.4282460549310798</v>
      </c>
      <c r="AJ3">
        <v>8.9155806858012596E-2</v>
      </c>
      <c r="AK3">
        <v>9.1310374163303898E-2</v>
      </c>
      <c r="AL3">
        <v>0.76489996758968204</v>
      </c>
      <c r="AM3">
        <v>2.13477626947071E-2</v>
      </c>
      <c r="AN3">
        <v>3.32860886942941E-2</v>
      </c>
    </row>
    <row r="4" spans="1:40" x14ac:dyDescent="0.2">
      <c r="A4">
        <v>28</v>
      </c>
      <c r="B4">
        <v>736</v>
      </c>
      <c r="C4">
        <v>275</v>
      </c>
      <c r="D4">
        <v>0.28667740177377199</v>
      </c>
      <c r="E4">
        <v>4.7925828286769001E-2</v>
      </c>
      <c r="F4">
        <v>4.6630973679196703</v>
      </c>
      <c r="G4">
        <v>-0.45498508213371774</v>
      </c>
      <c r="H4">
        <v>-0.36998509146987918</v>
      </c>
      <c r="I4">
        <v>8.4229292636217104E-2</v>
      </c>
      <c r="J4">
        <v>4.3835849781824601E-2</v>
      </c>
      <c r="K4">
        <v>1.0277681228893099E-2</v>
      </c>
      <c r="L4">
        <v>3.1483690629612387E-5</v>
      </c>
      <c r="M4">
        <v>5.5223243608563536E-7</v>
      </c>
      <c r="N4" s="1">
        <v>5.8878273495482905E-11</v>
      </c>
      <c r="O4" s="1">
        <v>2.2426506824834199E-14</v>
      </c>
      <c r="P4" s="1">
        <v>7.0953443996116597E-14</v>
      </c>
      <c r="R4">
        <v>47.210147017927802</v>
      </c>
      <c r="S4">
        <v>2.3552066239640701</v>
      </c>
      <c r="T4">
        <v>9.9004157321697495</v>
      </c>
      <c r="V4">
        <v>36.784964144288502</v>
      </c>
      <c r="W4">
        <v>1.32011026984802</v>
      </c>
      <c r="X4">
        <v>2.42915621180176</v>
      </c>
      <c r="AJ4">
        <v>8.91611046820006E-2</v>
      </c>
      <c r="AK4">
        <v>9.1715383143847404E-2</v>
      </c>
      <c r="AL4">
        <v>0.75742176771754</v>
      </c>
      <c r="AM4">
        <v>2.75300753520261E-2</v>
      </c>
      <c r="AN4">
        <v>3.4171669104584801E-2</v>
      </c>
    </row>
    <row r="5" spans="1:40" x14ac:dyDescent="0.2">
      <c r="A5">
        <v>51</v>
      </c>
      <c r="B5">
        <v>741</v>
      </c>
      <c r="C5">
        <v>255</v>
      </c>
      <c r="D5">
        <v>0.31223241137898899</v>
      </c>
      <c r="E5">
        <v>2.20067218237089E-2</v>
      </c>
      <c r="F5">
        <v>4.6556142471972199</v>
      </c>
      <c r="G5">
        <v>-0.2089536699146459</v>
      </c>
      <c r="H5">
        <v>-0.16970189204880454</v>
      </c>
      <c r="I5">
        <v>3.8704114643633901E-2</v>
      </c>
      <c r="J5">
        <v>2.0185479773502601E-2</v>
      </c>
      <c r="K5">
        <v>4.7269212299875197E-3</v>
      </c>
      <c r="L5">
        <v>3.1636300325117233E-5</v>
      </c>
      <c r="M5">
        <v>5.5296474362619203E-7</v>
      </c>
      <c r="N5" s="1">
        <v>2.32122126433829E-11</v>
      </c>
      <c r="O5" s="1">
        <v>1.03129877204008E-14</v>
      </c>
      <c r="P5" s="1">
        <v>3.8723000686969902E-14</v>
      </c>
      <c r="R5">
        <v>47.3116871580797</v>
      </c>
      <c r="S5">
        <v>2.2138046622341601</v>
      </c>
      <c r="T5">
        <v>9.9104712646795896</v>
      </c>
      <c r="V5">
        <v>37.289134693775203</v>
      </c>
      <c r="W5">
        <v>0.75795610691132798</v>
      </c>
      <c r="X5">
        <v>2.5169461143199801</v>
      </c>
      <c r="AJ5">
        <v>9.23906371879024E-2</v>
      </c>
      <c r="AK5">
        <v>9.1815733377938705E-2</v>
      </c>
      <c r="AL5">
        <v>0.76786310114240097</v>
      </c>
      <c r="AM5">
        <v>1.58079405751037E-2</v>
      </c>
      <c r="AN5">
        <v>3.2122587716653897E-2</v>
      </c>
    </row>
    <row r="6" spans="1:40" x14ac:dyDescent="0.2">
      <c r="A6">
        <v>52</v>
      </c>
      <c r="B6">
        <v>740</v>
      </c>
      <c r="C6">
        <v>255</v>
      </c>
      <c r="D6">
        <v>0.31148447909983901</v>
      </c>
      <c r="E6">
        <v>3.7552869791085297E-2</v>
      </c>
      <c r="F6">
        <v>4.6585622898009804</v>
      </c>
      <c r="G6">
        <v>-0.3570021151212151</v>
      </c>
      <c r="H6">
        <v>-0.29001941734108699</v>
      </c>
      <c r="I6">
        <v>6.6113307782784597E-2</v>
      </c>
      <c r="J6">
        <v>3.4401541782271797E-2</v>
      </c>
      <c r="K6">
        <v>8.0610427541776292E-3</v>
      </c>
      <c r="L6">
        <v>3.1528794453436055E-5</v>
      </c>
      <c r="M6">
        <v>5.5265781684870752E-7</v>
      </c>
      <c r="N6" s="1">
        <v>4.3513551568120299E-11</v>
      </c>
      <c r="O6" s="1">
        <v>1.7579047248504E-14</v>
      </c>
      <c r="P6" s="1">
        <v>6.0949604093303E-14</v>
      </c>
      <c r="R6">
        <v>47.2558976237544</v>
      </c>
      <c r="S6">
        <v>2.2771532847887301</v>
      </c>
      <c r="T6">
        <v>9.9628856866760103</v>
      </c>
      <c r="V6">
        <v>36.841277637598701</v>
      </c>
      <c r="W6">
        <v>1.1395570817678999</v>
      </c>
      <c r="X6">
        <v>2.5232286854141099</v>
      </c>
      <c r="AJ6">
        <v>9.2586835427664396E-2</v>
      </c>
      <c r="AK6">
        <v>9.2267027755867495E-2</v>
      </c>
      <c r="AL6">
        <v>0.75835884845262902</v>
      </c>
      <c r="AM6">
        <v>2.3757782666162301E-2</v>
      </c>
      <c r="AN6">
        <v>3.3029505697676202E-2</v>
      </c>
    </row>
    <row r="7" spans="1:40" x14ac:dyDescent="0.2">
      <c r="A7">
        <v>72</v>
      </c>
      <c r="B7">
        <v>744</v>
      </c>
      <c r="C7">
        <v>235</v>
      </c>
      <c r="D7">
        <v>0.336096445951927</v>
      </c>
      <c r="E7">
        <v>2.2409233028166099E-2</v>
      </c>
      <c r="F7">
        <v>4.6537484429569398</v>
      </c>
      <c r="G7">
        <v>-0.21332285378497565</v>
      </c>
      <c r="H7">
        <v>-0.17312829854374706</v>
      </c>
      <c r="I7">
        <v>3.9516841411029402E-2</v>
      </c>
      <c r="J7">
        <v>2.0564105803400901E-2</v>
      </c>
      <c r="K7">
        <v>4.8153081978637201E-3</v>
      </c>
      <c r="L7">
        <v>3.1578511427400553E-5</v>
      </c>
      <c r="M7">
        <v>5.5307071684294984E-7</v>
      </c>
      <c r="N7" s="1">
        <v>2.3951531324688699E-11</v>
      </c>
      <c r="O7" s="1">
        <v>1.0493020207079E-14</v>
      </c>
      <c r="P7" s="1">
        <v>4.0205785018182999E-14</v>
      </c>
      <c r="R7">
        <v>47.298144866651903</v>
      </c>
      <c r="S7">
        <v>2.2063348420827298</v>
      </c>
      <c r="T7">
        <v>10.0227140915016</v>
      </c>
      <c r="V7">
        <v>36.928120618151397</v>
      </c>
      <c r="W7">
        <v>0.92953455010100605</v>
      </c>
      <c r="X7">
        <v>2.6151510315111701</v>
      </c>
      <c r="AJ7">
        <v>9.5930185537973306E-2</v>
      </c>
      <c r="AK7">
        <v>9.27924426317943E-2</v>
      </c>
      <c r="AL7">
        <v>0.75991175574363201</v>
      </c>
      <c r="AM7">
        <v>1.9373194533129998E-2</v>
      </c>
      <c r="AN7">
        <v>3.1992421553469499E-2</v>
      </c>
    </row>
    <row r="8" spans="1:40" x14ac:dyDescent="0.2">
      <c r="A8">
        <v>73</v>
      </c>
      <c r="B8">
        <v>743</v>
      </c>
      <c r="C8">
        <v>235</v>
      </c>
      <c r="D8">
        <v>0.33537420656399403</v>
      </c>
      <c r="E8">
        <v>3.5333420216093897E-2</v>
      </c>
      <c r="F8">
        <v>4.65655147748154</v>
      </c>
      <c r="G8">
        <v>-0.33672278173081649</v>
      </c>
      <c r="H8">
        <v>-0.27335094623930623</v>
      </c>
      <c r="I8">
        <v>6.2364646451321497E-2</v>
      </c>
      <c r="J8">
        <v>3.2386827707584297E-2</v>
      </c>
      <c r="K8">
        <v>7.5878942575770001E-3</v>
      </c>
      <c r="L8">
        <v>3.147743517049353E-5</v>
      </c>
      <c r="M8">
        <v>5.5276570379343537E-7</v>
      </c>
      <c r="N8" s="1">
        <v>4.0541189583518502E-11</v>
      </c>
      <c r="O8" s="1">
        <v>1.6523986825316399E-14</v>
      </c>
      <c r="P8" s="1">
        <v>5.9940625480182602E-14</v>
      </c>
      <c r="R8">
        <v>47.239243013488803</v>
      </c>
      <c r="S8">
        <v>2.2680787498308201</v>
      </c>
      <c r="T8">
        <v>10.081051871732001</v>
      </c>
      <c r="V8">
        <v>36.5055711448897</v>
      </c>
      <c r="W8">
        <v>1.2862488020929701</v>
      </c>
      <c r="X8">
        <v>2.6198064179656102</v>
      </c>
      <c r="AJ8">
        <v>9.6067767714233407E-2</v>
      </c>
      <c r="AK8">
        <v>9.3300313556760703E-2</v>
      </c>
      <c r="AL8">
        <v>0.75095704093409799</v>
      </c>
      <c r="AM8">
        <v>2.6798511645171001E-2</v>
      </c>
      <c r="AN8">
        <v>3.2876366149736401E-2</v>
      </c>
    </row>
    <row r="9" spans="1:40" x14ac:dyDescent="0.2">
      <c r="A9">
        <v>90</v>
      </c>
      <c r="B9">
        <v>747</v>
      </c>
      <c r="C9">
        <v>215</v>
      </c>
      <c r="D9">
        <v>0.35982012449149797</v>
      </c>
      <c r="E9">
        <v>2.45784823660933E-2</v>
      </c>
      <c r="F9">
        <v>4.6523344636431503</v>
      </c>
      <c r="G9">
        <v>-0.23462995628848252</v>
      </c>
      <c r="H9">
        <v>-0.19028560325410959</v>
      </c>
      <c r="I9">
        <v>4.3468463494949601E-2</v>
      </c>
      <c r="J9">
        <v>2.25615412660242E-2</v>
      </c>
      <c r="K9">
        <v>5.2830428590567103E-3</v>
      </c>
      <c r="L9">
        <v>3.1501949689888052E-5</v>
      </c>
      <c r="M9">
        <v>5.530987719766286E-7</v>
      </c>
      <c r="N9" s="1">
        <v>2.6689746446362099E-11</v>
      </c>
      <c r="O9" s="1">
        <v>1.14948474984163E-14</v>
      </c>
      <c r="P9" s="1">
        <v>4.4995242188648698E-14</v>
      </c>
      <c r="R9">
        <v>47.268876847918399</v>
      </c>
      <c r="S9">
        <v>2.2117210572458501</v>
      </c>
      <c r="T9">
        <v>10.1547903403221</v>
      </c>
      <c r="V9">
        <v>36.482422518107199</v>
      </c>
      <c r="W9">
        <v>1.16629346574384</v>
      </c>
      <c r="X9">
        <v>2.71589577066245</v>
      </c>
      <c r="AJ9">
        <v>9.9550161442907001E-2</v>
      </c>
      <c r="AK9">
        <v>9.39439004011378E-2</v>
      </c>
      <c r="AL9">
        <v>0.75017050921903505</v>
      </c>
      <c r="AM9">
        <v>2.4289238875177199E-2</v>
      </c>
      <c r="AN9">
        <v>3.2046190061742003E-2</v>
      </c>
    </row>
    <row r="10" spans="1:40" x14ac:dyDescent="0.2">
      <c r="A10">
        <v>91</v>
      </c>
      <c r="B10">
        <v>746</v>
      </c>
      <c r="C10">
        <v>215</v>
      </c>
      <c r="D10">
        <v>0.35912328901535701</v>
      </c>
      <c r="E10">
        <v>3.4431232268991599E-2</v>
      </c>
      <c r="F10">
        <v>4.6548940255712203</v>
      </c>
      <c r="G10">
        <v>-0.32899185802041458</v>
      </c>
      <c r="H10">
        <v>-0.26688503834139382</v>
      </c>
      <c r="I10">
        <v>6.0939822086072501E-2</v>
      </c>
      <c r="J10">
        <v>3.1575723942337201E-2</v>
      </c>
      <c r="K10">
        <v>7.3967811253804801E-3</v>
      </c>
      <c r="L10">
        <v>3.1413778253252477E-5</v>
      </c>
      <c r="M10">
        <v>5.5281086170874522E-7</v>
      </c>
      <c r="N10" s="1">
        <v>3.9063707378471901E-11</v>
      </c>
      <c r="O10" s="1">
        <v>1.60808844246181E-14</v>
      </c>
      <c r="P10" s="1">
        <v>6.1169811385857297E-14</v>
      </c>
      <c r="R10">
        <v>47.208881922404998</v>
      </c>
      <c r="S10">
        <v>2.2710728812262699</v>
      </c>
      <c r="T10">
        <v>10.2152979709855</v>
      </c>
      <c r="V10">
        <v>36.101097290983098</v>
      </c>
      <c r="W10">
        <v>1.4854199819628999</v>
      </c>
      <c r="X10">
        <v>2.7182299524370301</v>
      </c>
      <c r="AJ10">
        <v>9.9604801241541904E-2</v>
      </c>
      <c r="AK10">
        <v>9.4474341814486801E-2</v>
      </c>
      <c r="AL10">
        <v>0.74209914361015095</v>
      </c>
      <c r="AM10">
        <v>3.0925770946607801E-2</v>
      </c>
      <c r="AN10">
        <v>3.2895942387211399E-2</v>
      </c>
    </row>
    <row r="11" spans="1:40" x14ac:dyDescent="0.2">
      <c r="A11">
        <v>105</v>
      </c>
      <c r="B11">
        <v>751</v>
      </c>
      <c r="C11">
        <v>195</v>
      </c>
      <c r="D11">
        <v>0.38407508665723</v>
      </c>
      <c r="E11">
        <v>1.56123523086663E-2</v>
      </c>
      <c r="F11">
        <v>4.6487609815329796</v>
      </c>
      <c r="G11">
        <v>-0.14935087246499121</v>
      </c>
      <c r="H11">
        <v>-0.12100506629409601</v>
      </c>
      <c r="I11">
        <v>2.7677397032558799E-2</v>
      </c>
      <c r="J11">
        <v>1.43488689973249E-2</v>
      </c>
      <c r="K11">
        <v>3.3583899819082498E-3</v>
      </c>
      <c r="L11">
        <v>3.1498839797935351E-5</v>
      </c>
      <c r="M11">
        <v>5.5332170654304492E-7</v>
      </c>
      <c r="N11" s="1">
        <v>1.6226195987694399E-11</v>
      </c>
      <c r="O11" s="1">
        <v>7.2985632425799296E-15</v>
      </c>
      <c r="P11" s="1">
        <v>3.0441811818218398E-14</v>
      </c>
      <c r="R11">
        <v>47.277760302699299</v>
      </c>
      <c r="S11">
        <v>2.1768313677110598</v>
      </c>
      <c r="T11">
        <v>10.2499746864309</v>
      </c>
      <c r="V11">
        <v>36.338461731078603</v>
      </c>
      <c r="W11">
        <v>1.14207647675974</v>
      </c>
      <c r="X11">
        <v>2.81489543532029</v>
      </c>
      <c r="AJ11">
        <v>0.103123343395759</v>
      </c>
      <c r="AK11">
        <v>9.4773357692758201E-2</v>
      </c>
      <c r="AL11">
        <v>0.74680755979070501</v>
      </c>
      <c r="AM11">
        <v>2.37720753608338E-2</v>
      </c>
      <c r="AN11">
        <v>3.1523663759942498E-2</v>
      </c>
    </row>
    <row r="12" spans="1:40" x14ac:dyDescent="0.2">
      <c r="A12">
        <v>106</v>
      </c>
      <c r="B12">
        <v>750</v>
      </c>
      <c r="C12">
        <v>195</v>
      </c>
      <c r="D12">
        <v>0.38340468162048602</v>
      </c>
      <c r="E12">
        <v>2.7868097887177801E-2</v>
      </c>
      <c r="F12">
        <v>4.6514939910817903</v>
      </c>
      <c r="G12">
        <v>-0.26685289860737349</v>
      </c>
      <c r="H12">
        <v>-0.21626300369132359</v>
      </c>
      <c r="I12">
        <v>4.9445237664125299E-2</v>
      </c>
      <c r="J12">
        <v>2.5586458141998E-2</v>
      </c>
      <c r="K12">
        <v>5.9912144228518299E-3</v>
      </c>
      <c r="L12">
        <v>3.1406814776002002E-5</v>
      </c>
      <c r="M12">
        <v>5.5302587916623255E-7</v>
      </c>
      <c r="N12" s="1">
        <v>3.0473199082859597E-11</v>
      </c>
      <c r="O12" s="1">
        <v>1.3009596081526801E-14</v>
      </c>
      <c r="P12" s="1">
        <v>5.2644764960776798E-14</v>
      </c>
      <c r="R12">
        <v>47.216049683396903</v>
      </c>
      <c r="S12">
        <v>2.2354918672017901</v>
      </c>
      <c r="T12">
        <v>10.3157720972055</v>
      </c>
      <c r="V12">
        <v>35.931551567911598</v>
      </c>
      <c r="W12">
        <v>1.4825423476825501</v>
      </c>
      <c r="X12">
        <v>2.8185924366015001</v>
      </c>
      <c r="AJ12">
        <v>0.103226014528409</v>
      </c>
      <c r="AK12">
        <v>9.5351465627253204E-2</v>
      </c>
      <c r="AL12">
        <v>0.73821063427781297</v>
      </c>
      <c r="AM12">
        <v>3.0849006275499299E-2</v>
      </c>
      <c r="AN12">
        <v>3.2362879291024903E-2</v>
      </c>
    </row>
    <row r="13" spans="1:40" x14ac:dyDescent="0.2">
      <c r="A13">
        <v>117</v>
      </c>
      <c r="B13">
        <v>755</v>
      </c>
      <c r="C13">
        <v>175</v>
      </c>
      <c r="D13">
        <v>0.40814132179156798</v>
      </c>
      <c r="E13">
        <v>1.37094055087216E-2</v>
      </c>
      <c r="F13">
        <v>4.6464638598595096</v>
      </c>
      <c r="G13">
        <v>-0.1315090601377456</v>
      </c>
      <c r="H13">
        <v>-0.10644337485947751</v>
      </c>
      <c r="I13">
        <v>2.4379405026764601E-2</v>
      </c>
      <c r="J13">
        <v>1.2609707331298599E-2</v>
      </c>
      <c r="K13">
        <v>2.9505029894144399E-3</v>
      </c>
      <c r="L13">
        <v>3.144823450190787E-5</v>
      </c>
      <c r="M13">
        <v>5.5336757384977624E-7</v>
      </c>
      <c r="N13" s="1">
        <v>1.4041212375705E-11</v>
      </c>
      <c r="O13" s="1">
        <v>6.4013622068222E-15</v>
      </c>
      <c r="P13" s="1">
        <v>2.7909540102531901E-14</v>
      </c>
      <c r="R13">
        <v>47.252640568899601</v>
      </c>
      <c r="S13">
        <v>2.1726920928224698</v>
      </c>
      <c r="T13">
        <v>10.386163659221101</v>
      </c>
      <c r="V13">
        <v>35.970588685181099</v>
      </c>
      <c r="W13">
        <v>1.29779719753943</v>
      </c>
      <c r="X13">
        <v>2.9201177963361298</v>
      </c>
      <c r="AJ13">
        <v>0.106899572766413</v>
      </c>
      <c r="AK13">
        <v>9.59620498675504E-2</v>
      </c>
      <c r="AL13">
        <v>0.73870424093695597</v>
      </c>
      <c r="AM13">
        <v>2.6993526411876901E-2</v>
      </c>
      <c r="AN13">
        <v>3.1440610017202997E-2</v>
      </c>
    </row>
    <row r="14" spans="1:40" x14ac:dyDescent="0.2">
      <c r="A14">
        <v>118</v>
      </c>
      <c r="B14">
        <v>754</v>
      </c>
      <c r="C14">
        <v>175</v>
      </c>
      <c r="D14">
        <v>0.40749695760112897</v>
      </c>
      <c r="E14">
        <v>2.4817515982200399E-2</v>
      </c>
      <c r="F14">
        <v>4.6490896293961104</v>
      </c>
      <c r="G14">
        <v>-0.23827644251500391</v>
      </c>
      <c r="H14">
        <v>-0.19291141243424106</v>
      </c>
      <c r="I14">
        <v>4.4165925211276602E-2</v>
      </c>
      <c r="J14">
        <v>2.2805926932127799E-2</v>
      </c>
      <c r="K14">
        <v>5.3381453059712404E-3</v>
      </c>
      <c r="L14">
        <v>3.1364485549052421E-5</v>
      </c>
      <c r="M14">
        <v>5.5308493596048659E-7</v>
      </c>
      <c r="N14" s="1">
        <v>2.6393135792266901E-11</v>
      </c>
      <c r="O14" s="1">
        <v>1.15712186671479E-14</v>
      </c>
      <c r="P14" s="1">
        <v>4.95369577371064E-14</v>
      </c>
      <c r="R14">
        <v>47.190605431781897</v>
      </c>
      <c r="S14">
        <v>2.2293099913768599</v>
      </c>
      <c r="T14">
        <v>10.4535066715636</v>
      </c>
      <c r="V14">
        <v>35.583680198096197</v>
      </c>
      <c r="W14">
        <v>1.62020992265826</v>
      </c>
      <c r="X14">
        <v>2.9226877845230201</v>
      </c>
      <c r="AJ14">
        <v>0.106962000870558</v>
      </c>
      <c r="AK14">
        <v>9.6555685404907193E-2</v>
      </c>
      <c r="AL14">
        <v>0.73054236269548301</v>
      </c>
      <c r="AM14">
        <v>3.3689578330215297E-2</v>
      </c>
      <c r="AN14">
        <v>3.2250372698835399E-2</v>
      </c>
    </row>
    <row r="15" spans="1:40" x14ac:dyDescent="0.2">
      <c r="A15">
        <v>133</v>
      </c>
      <c r="B15">
        <v>759</v>
      </c>
      <c r="C15">
        <v>155</v>
      </c>
      <c r="D15">
        <v>0.43202102407596099</v>
      </c>
      <c r="E15">
        <v>1.8605041639205198E-2</v>
      </c>
      <c r="F15">
        <v>4.6457837816749796</v>
      </c>
      <c r="G15">
        <v>-0.1790977316503318</v>
      </c>
      <c r="H15">
        <v>-0.14481348173311112</v>
      </c>
      <c r="I15">
        <v>3.3216344443366401E-2</v>
      </c>
      <c r="J15">
        <v>1.7118921096592601E-2</v>
      </c>
      <c r="K15">
        <v>4.0047153534333102E-3</v>
      </c>
      <c r="L15">
        <v>3.1346562771355424E-5</v>
      </c>
      <c r="M15">
        <v>5.5318311989070831E-7</v>
      </c>
      <c r="N15" s="1">
        <v>1.8997690904577799E-11</v>
      </c>
      <c r="O15" s="1">
        <v>8.6662488094566493E-15</v>
      </c>
      <c r="P15" s="1">
        <v>3.9461547901399798E-14</v>
      </c>
      <c r="R15">
        <v>47.176794028042202</v>
      </c>
      <c r="S15">
        <v>2.2093962569258201</v>
      </c>
      <c r="T15">
        <v>10.5851214083016</v>
      </c>
      <c r="V15">
        <v>35.324772756310701</v>
      </c>
      <c r="W15">
        <v>1.6728762832167099</v>
      </c>
      <c r="X15">
        <v>3.0310392672028299</v>
      </c>
      <c r="AJ15">
        <v>0.110852792317416</v>
      </c>
      <c r="AK15">
        <v>9.77056491392225E-2</v>
      </c>
      <c r="AL15">
        <v>0.72473944602366003</v>
      </c>
      <c r="AM15">
        <v>3.4761306603256298E-2</v>
      </c>
      <c r="AN15">
        <v>3.1940805916443799E-2</v>
      </c>
    </row>
    <row r="16" spans="1:40" x14ac:dyDescent="0.2">
      <c r="A16">
        <v>152</v>
      </c>
      <c r="B16">
        <v>765</v>
      </c>
      <c r="C16">
        <v>135</v>
      </c>
      <c r="D16">
        <v>0.45689977363579698</v>
      </c>
      <c r="E16">
        <v>1.1565506840101899E-2</v>
      </c>
      <c r="F16">
        <v>4.6422872822086001</v>
      </c>
      <c r="G16">
        <v>-0.11165763880493705</v>
      </c>
      <c r="H16">
        <v>-9.0140526242553601E-2</v>
      </c>
      <c r="I16">
        <v>2.07264003875966E-2</v>
      </c>
      <c r="J16">
        <v>1.0657493717946E-2</v>
      </c>
      <c r="K16">
        <v>2.4913380273612899E-3</v>
      </c>
      <c r="L16">
        <v>3.1328823083142498E-5</v>
      </c>
      <c r="M16">
        <v>5.5321454403935705E-7</v>
      </c>
      <c r="N16" s="1">
        <v>1.12638750671937E-11</v>
      </c>
      <c r="O16" s="1">
        <v>5.3805732720690102E-15</v>
      </c>
      <c r="P16" s="1">
        <v>2.61420057875118E-14</v>
      </c>
      <c r="R16">
        <v>47.152192351141103</v>
      </c>
      <c r="S16">
        <v>2.19536980404036</v>
      </c>
      <c r="T16">
        <v>10.7362804872115</v>
      </c>
      <c r="V16">
        <v>35.033537936090397</v>
      </c>
      <c r="W16">
        <v>1.73710755244796</v>
      </c>
      <c r="X16">
        <v>3.1455118690685002</v>
      </c>
      <c r="AJ16">
        <v>0.114954437870608</v>
      </c>
      <c r="AK16">
        <v>9.9027774519475198E-2</v>
      </c>
      <c r="AL16">
        <v>0.71823383444086997</v>
      </c>
      <c r="AM16">
        <v>3.6069349993608703E-2</v>
      </c>
      <c r="AN16">
        <v>3.1714603175436597E-2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1B53-55F2-497F-92F4-CC7189EFB1D6}">
  <sheetPr codeName="Sheet7"/>
  <dimension ref="A1:AN3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26</v>
      </c>
      <c r="B2">
        <v>738</v>
      </c>
      <c r="C2">
        <v>275</v>
      </c>
      <c r="D2">
        <v>0.28822677149780002</v>
      </c>
      <c r="E2">
        <v>0.44963690626664599</v>
      </c>
      <c r="F2">
        <v>4.9390974414145603</v>
      </c>
      <c r="G2">
        <v>-3.003257081333865</v>
      </c>
      <c r="H2">
        <v>-2.2035628822301181</v>
      </c>
      <c r="I2">
        <v>0.79087593245685295</v>
      </c>
      <c r="J2">
        <v>0.39844779972968702</v>
      </c>
      <c r="K2">
        <v>9.1036249355280999E-2</v>
      </c>
      <c r="L2">
        <v>3.5632593164197773E-5</v>
      </c>
      <c r="M2">
        <v>4.1457906461667412E-7</v>
      </c>
      <c r="N2" s="1">
        <v>1.7717864878307201E-9</v>
      </c>
      <c r="O2" s="1">
        <v>2.18926345413053E-13</v>
      </c>
      <c r="P2">
        <v>0</v>
      </c>
      <c r="R2">
        <v>9.0485837926214892</v>
      </c>
      <c r="S2">
        <v>1.80496749788871</v>
      </c>
      <c r="T2">
        <v>49.871046654582202</v>
      </c>
      <c r="V2">
        <v>38.371989277654102</v>
      </c>
      <c r="X2">
        <v>0.90341277725334701</v>
      </c>
      <c r="AJ2">
        <v>0</v>
      </c>
      <c r="AK2">
        <v>-1.0631215397799701E-2</v>
      </c>
      <c r="AL2">
        <v>0.70456024362999603</v>
      </c>
      <c r="AM2">
        <v>5.0569321060311499E-2</v>
      </c>
      <c r="AN2">
        <v>0.25550165070749098</v>
      </c>
    </row>
    <row r="3" spans="1:40" x14ac:dyDescent="0.2">
      <c r="A3">
        <v>27</v>
      </c>
      <c r="B3">
        <v>737</v>
      </c>
      <c r="C3">
        <v>275</v>
      </c>
      <c r="D3">
        <v>0.28745285353660599</v>
      </c>
      <c r="E3">
        <v>0.50662361459661498</v>
      </c>
      <c r="F3">
        <v>4.9396995304157496</v>
      </c>
      <c r="G3">
        <v>-3.3820343616711268</v>
      </c>
      <c r="H3">
        <v>-2.4824123516852747</v>
      </c>
      <c r="I3">
        <v>0.89058259663005601</v>
      </c>
      <c r="J3">
        <v>0.44896198307290203</v>
      </c>
      <c r="K3">
        <v>0.10256162575823199</v>
      </c>
      <c r="L3">
        <v>3.5744491111944496E-5</v>
      </c>
      <c r="M3">
        <v>4.1603263350210289E-7</v>
      </c>
      <c r="N3" s="1">
        <v>2.0037494532781702E-9</v>
      </c>
      <c r="O3" s="1">
        <v>2.4765167581399698E-13</v>
      </c>
      <c r="P3">
        <v>0</v>
      </c>
      <c r="R3">
        <v>8.9057635609774994</v>
      </c>
      <c r="S3">
        <v>1.8681049060546</v>
      </c>
      <c r="T3">
        <v>50.068922872209299</v>
      </c>
      <c r="V3">
        <v>38.260369555215803</v>
      </c>
      <c r="X3">
        <v>0.896839105542657</v>
      </c>
      <c r="AJ3">
        <v>0</v>
      </c>
      <c r="AK3">
        <v>-8.8648048052595296E-3</v>
      </c>
      <c r="AL3">
        <v>0.70724275957493499</v>
      </c>
      <c r="AM3">
        <v>5.0193333787875001E-2</v>
      </c>
      <c r="AN3">
        <v>0.25142871144244899</v>
      </c>
    </row>
    <row r="4" spans="1:40" x14ac:dyDescent="0.2">
      <c r="A4">
        <v>28</v>
      </c>
      <c r="B4">
        <v>736</v>
      </c>
      <c r="C4">
        <v>275</v>
      </c>
      <c r="D4">
        <v>0.28667740177377199</v>
      </c>
      <c r="E4">
        <v>0.52501187112472902</v>
      </c>
      <c r="F4">
        <v>4.9401837397586004</v>
      </c>
      <c r="G4">
        <v>-3.5032154772968038</v>
      </c>
      <c r="H4">
        <v>-2.5723939142455041</v>
      </c>
      <c r="I4">
        <v>0.92238176985710696</v>
      </c>
      <c r="J4">
        <v>0.465270635746311</v>
      </c>
      <c r="K4">
        <v>0.106273753929319</v>
      </c>
      <c r="L4">
        <v>3.5833119824878414E-5</v>
      </c>
      <c r="M4">
        <v>4.172268449275903E-7</v>
      </c>
      <c r="N4" s="1">
        <v>2.0828186785236902E-9</v>
      </c>
      <c r="O4" s="1">
        <v>2.5748103023110202E-13</v>
      </c>
      <c r="P4">
        <v>0</v>
      </c>
      <c r="R4">
        <v>8.7841016536901293</v>
      </c>
      <c r="S4">
        <v>1.92564648237734</v>
      </c>
      <c r="T4">
        <v>50.232931246518298</v>
      </c>
      <c r="V4">
        <v>38.166331791785097</v>
      </c>
      <c r="X4">
        <v>0.89098882562899495</v>
      </c>
      <c r="AJ4">
        <v>0</v>
      </c>
      <c r="AK4">
        <v>-7.2632514455053298E-3</v>
      </c>
      <c r="AL4">
        <v>0.70944953862455995</v>
      </c>
      <c r="AM4">
        <v>4.98581879372395E-2</v>
      </c>
      <c r="AN4">
        <v>0.24795552488370501</v>
      </c>
    </row>
    <row r="5" spans="1:40" x14ac:dyDescent="0.2">
      <c r="A5">
        <v>50</v>
      </c>
      <c r="B5">
        <v>742</v>
      </c>
      <c r="C5">
        <v>255</v>
      </c>
      <c r="D5">
        <v>0.31297887011771702</v>
      </c>
      <c r="E5">
        <v>0.25012700453728398</v>
      </c>
      <c r="F5">
        <v>4.9463078436153403</v>
      </c>
      <c r="G5">
        <v>-1.6615053123312844</v>
      </c>
      <c r="H5">
        <v>-1.2148167176673659</v>
      </c>
      <c r="I5">
        <v>0.440022257463348</v>
      </c>
      <c r="J5">
        <v>0.221592083909075</v>
      </c>
      <c r="K5">
        <v>5.0568426479994898E-2</v>
      </c>
      <c r="L5">
        <v>3.6546116006804889E-5</v>
      </c>
      <c r="M5">
        <v>4.2405411099078203E-7</v>
      </c>
      <c r="N5" s="1">
        <v>1.0085645857997401E-9</v>
      </c>
      <c r="O5" s="1">
        <v>1.2491807667524101E-13</v>
      </c>
      <c r="P5">
        <v>0</v>
      </c>
      <c r="R5">
        <v>8.3612758971630807</v>
      </c>
      <c r="S5">
        <v>1.80868176371818</v>
      </c>
      <c r="T5">
        <v>51.153707210144297</v>
      </c>
      <c r="V5">
        <v>37.846163839242003</v>
      </c>
      <c r="X5">
        <v>0.83017128973241405</v>
      </c>
      <c r="AJ5">
        <v>0</v>
      </c>
      <c r="AK5">
        <v>-6.4570493424266203E-3</v>
      </c>
      <c r="AL5">
        <v>0.72355245305011595</v>
      </c>
      <c r="AM5">
        <v>4.6525586914435701E-2</v>
      </c>
      <c r="AN5">
        <v>0.23637900937787301</v>
      </c>
    </row>
    <row r="6" spans="1:40" x14ac:dyDescent="0.2">
      <c r="A6">
        <v>51</v>
      </c>
      <c r="B6">
        <v>741</v>
      </c>
      <c r="C6">
        <v>255</v>
      </c>
      <c r="D6">
        <v>0.31223241137898899</v>
      </c>
      <c r="E6">
        <v>0.48352764214077198</v>
      </c>
      <c r="F6">
        <v>4.9365177290106503</v>
      </c>
      <c r="G6">
        <v>-3.2372997674003341</v>
      </c>
      <c r="H6">
        <v>-2.3731872932754117</v>
      </c>
      <c r="I6">
        <v>0.85205588337516402</v>
      </c>
      <c r="J6">
        <v>0.42866207999590999</v>
      </c>
      <c r="K6">
        <v>9.7949135136131293E-2</v>
      </c>
      <c r="L6">
        <v>3.5690489697365075E-5</v>
      </c>
      <c r="M6">
        <v>4.1535036335678782E-7</v>
      </c>
      <c r="N6" s="1">
        <v>1.9052247885808602E-9</v>
      </c>
      <c r="O6" s="1">
        <v>2.35177049208235E-13</v>
      </c>
      <c r="P6">
        <v>0</v>
      </c>
      <c r="R6">
        <v>9.0908536509261193</v>
      </c>
      <c r="S6">
        <v>1.7985612840809599</v>
      </c>
      <c r="T6">
        <v>49.817971147638097</v>
      </c>
      <c r="V6">
        <v>38.350337245605203</v>
      </c>
      <c r="X6">
        <v>0.94227667174955398</v>
      </c>
      <c r="AJ6">
        <v>0</v>
      </c>
      <c r="AK6">
        <v>-1.29444957923418E-2</v>
      </c>
      <c r="AL6">
        <v>0.70359794050699598</v>
      </c>
      <c r="AM6">
        <v>5.2728838603549898E-2</v>
      </c>
      <c r="AN6">
        <v>0.25661771668179501</v>
      </c>
    </row>
    <row r="7" spans="1:40" x14ac:dyDescent="0.2">
      <c r="A7">
        <v>52</v>
      </c>
      <c r="B7">
        <v>740</v>
      </c>
      <c r="C7">
        <v>255</v>
      </c>
      <c r="D7">
        <v>0.31148447909983901</v>
      </c>
      <c r="E7">
        <v>0.52330027908257204</v>
      </c>
      <c r="F7">
        <v>4.9371394851826098</v>
      </c>
      <c r="G7">
        <v>-3.5015979090742011</v>
      </c>
      <c r="H7">
        <v>-2.5678849932612451</v>
      </c>
      <c r="I7">
        <v>0.92159395530075106</v>
      </c>
      <c r="J7">
        <v>0.46393551127548999</v>
      </c>
      <c r="K7">
        <v>0.105992605769617</v>
      </c>
      <c r="L7">
        <v>3.5802084399927768E-5</v>
      </c>
      <c r="M7">
        <v>4.1679875998654623E-7</v>
      </c>
      <c r="N7" s="1">
        <v>2.0695590893616601E-9</v>
      </c>
      <c r="O7" s="1">
        <v>2.5552941090019401E-13</v>
      </c>
      <c r="P7">
        <v>0</v>
      </c>
      <c r="R7">
        <v>8.9493671367045309</v>
      </c>
      <c r="S7">
        <v>1.8599641540373899</v>
      </c>
      <c r="T7">
        <v>50.015237332424299</v>
      </c>
      <c r="V7">
        <v>38.239867578538501</v>
      </c>
      <c r="X7">
        <v>0.93556379829515701</v>
      </c>
      <c r="AJ7">
        <v>0</v>
      </c>
      <c r="AK7">
        <v>-1.12089272099982E-2</v>
      </c>
      <c r="AL7">
        <v>0.70627777853561502</v>
      </c>
      <c r="AM7">
        <v>5.2345320165467099E-2</v>
      </c>
      <c r="AN7">
        <v>0.25258582850891598</v>
      </c>
    </row>
    <row r="8" spans="1:40" x14ac:dyDescent="0.2">
      <c r="A8">
        <v>71</v>
      </c>
      <c r="B8">
        <v>745</v>
      </c>
      <c r="C8">
        <v>235</v>
      </c>
      <c r="D8">
        <v>0.33681726661101002</v>
      </c>
      <c r="E8">
        <v>0.38059054306493301</v>
      </c>
      <c r="F8">
        <v>4.9394352266055899</v>
      </c>
      <c r="G8">
        <v>-2.5407948288654465</v>
      </c>
      <c r="H8">
        <v>-1.8573650045040577</v>
      </c>
      <c r="I8">
        <v>0.67124669681421101</v>
      </c>
      <c r="J8">
        <v>0.337467704113803</v>
      </c>
      <c r="K8">
        <v>7.7051429081392703E-2</v>
      </c>
      <c r="L8">
        <v>3.6640482322730558E-5</v>
      </c>
      <c r="M8">
        <v>4.2599412299482674E-7</v>
      </c>
      <c r="N8" s="1">
        <v>1.53521794479468E-9</v>
      </c>
      <c r="O8" s="1">
        <v>1.8948914603805399E-13</v>
      </c>
      <c r="P8">
        <v>0</v>
      </c>
      <c r="R8">
        <v>8.4820118906780007</v>
      </c>
      <c r="S8">
        <v>1.8075219193627701</v>
      </c>
      <c r="T8">
        <v>50.996309996167703</v>
      </c>
      <c r="V8">
        <v>37.7463866591333</v>
      </c>
      <c r="X8">
        <v>0.96776953465815196</v>
      </c>
      <c r="AJ8">
        <v>0</v>
      </c>
      <c r="AK8">
        <v>-1.41777475246761E-2</v>
      </c>
      <c r="AL8">
        <v>0.72048944338645404</v>
      </c>
      <c r="AM8">
        <v>5.4174144218588398E-2</v>
      </c>
      <c r="AN8">
        <v>0.23951415991963301</v>
      </c>
    </row>
    <row r="9" spans="1:40" x14ac:dyDescent="0.2">
      <c r="A9">
        <v>72</v>
      </c>
      <c r="B9">
        <v>744</v>
      </c>
      <c r="C9">
        <v>235</v>
      </c>
      <c r="D9">
        <v>0.336096445951927</v>
      </c>
      <c r="E9">
        <v>0.51400390206601598</v>
      </c>
      <c r="F9">
        <v>4.9339182969156798</v>
      </c>
      <c r="G9">
        <v>-3.4495543390242385</v>
      </c>
      <c r="H9">
        <v>-2.5265673535522613</v>
      </c>
      <c r="I9">
        <v>0.907424652678539</v>
      </c>
      <c r="J9">
        <v>0.45588189057369799</v>
      </c>
      <c r="K9">
        <v>0.10417762742186699</v>
      </c>
      <c r="L9">
        <v>3.5761752271328643E-5</v>
      </c>
      <c r="M9">
        <v>4.1627757491580239E-7</v>
      </c>
      <c r="N9" s="1">
        <v>2.0259597299659799E-9</v>
      </c>
      <c r="O9" s="1">
        <v>2.4982681874991002E-13</v>
      </c>
      <c r="P9">
        <v>0</v>
      </c>
      <c r="R9">
        <v>9.1192571428665392</v>
      </c>
      <c r="S9">
        <v>1.7993849324662501</v>
      </c>
      <c r="T9">
        <v>49.783456696378799</v>
      </c>
      <c r="V9">
        <v>38.3162086615786</v>
      </c>
      <c r="X9">
        <v>0.98169256670973004</v>
      </c>
      <c r="AJ9">
        <v>0</v>
      </c>
      <c r="AK9">
        <v>-1.51269195305997E-2</v>
      </c>
      <c r="AL9">
        <v>0.70287674824295998</v>
      </c>
      <c r="AM9">
        <v>5.4916250143322999E-2</v>
      </c>
      <c r="AN9">
        <v>0.25733392114431602</v>
      </c>
    </row>
    <row r="10" spans="1:40" x14ac:dyDescent="0.2">
      <c r="A10">
        <v>73</v>
      </c>
      <c r="B10">
        <v>743</v>
      </c>
      <c r="C10">
        <v>235</v>
      </c>
      <c r="D10">
        <v>0.33537420656399403</v>
      </c>
      <c r="E10">
        <v>0.53946939032088503</v>
      </c>
      <c r="F10">
        <v>4.93454053771136</v>
      </c>
      <c r="G10">
        <v>-3.6183935765998148</v>
      </c>
      <c r="H10">
        <v>-2.6512032521163698</v>
      </c>
      <c r="I10">
        <v>0.95181845641238505</v>
      </c>
      <c r="J10">
        <v>0.478479866482525</v>
      </c>
      <c r="K10">
        <v>0.109325151186434</v>
      </c>
      <c r="L10">
        <v>3.5869670835044806E-5</v>
      </c>
      <c r="M10">
        <v>4.1768332158338541E-7</v>
      </c>
      <c r="N10" s="1">
        <v>2.13395603945211E-9</v>
      </c>
      <c r="O10" s="1">
        <v>2.6321379342224E-13</v>
      </c>
      <c r="P10">
        <v>0</v>
      </c>
      <c r="R10">
        <v>8.9821439542668706</v>
      </c>
      <c r="S10">
        <v>1.8583323680319099</v>
      </c>
      <c r="T10">
        <v>49.975165743111098</v>
      </c>
      <c r="V10">
        <v>38.209383990015503</v>
      </c>
      <c r="X10">
        <v>0.97497394457450703</v>
      </c>
      <c r="AJ10">
        <v>0</v>
      </c>
      <c r="AK10">
        <v>-1.34456920533444E-2</v>
      </c>
      <c r="AL10">
        <v>0.70548394885466903</v>
      </c>
      <c r="AM10">
        <v>5.4532718399685903E-2</v>
      </c>
      <c r="AN10">
        <v>0.25342902479898799</v>
      </c>
    </row>
    <row r="11" spans="1:40" x14ac:dyDescent="0.2">
      <c r="A11">
        <v>88</v>
      </c>
      <c r="B11">
        <v>749</v>
      </c>
      <c r="C11">
        <v>215</v>
      </c>
      <c r="D11">
        <v>0.36120970503350902</v>
      </c>
      <c r="E11">
        <v>0.25384419031586503</v>
      </c>
      <c r="F11">
        <v>4.9479730635935804</v>
      </c>
      <c r="G11">
        <v>-1.6845221271767181</v>
      </c>
      <c r="H11">
        <v>-1.226913899293643</v>
      </c>
      <c r="I11">
        <v>0.44769185333177602</v>
      </c>
      <c r="J11">
        <v>0.22497219427039</v>
      </c>
      <c r="K11">
        <v>5.1302662131209001E-2</v>
      </c>
      <c r="L11">
        <v>3.7394286272987772E-5</v>
      </c>
      <c r="M11">
        <v>4.3317057581030796E-7</v>
      </c>
      <c r="N11" s="1">
        <v>1.0431251150945599E-9</v>
      </c>
      <c r="O11" s="1">
        <v>1.29232676371115E-13</v>
      </c>
      <c r="P11">
        <v>0</v>
      </c>
      <c r="R11">
        <v>7.8372387428814099</v>
      </c>
      <c r="S11">
        <v>1.8277258503306499</v>
      </c>
      <c r="T11">
        <v>52.145581743856603</v>
      </c>
      <c r="V11">
        <v>37.354038520403002</v>
      </c>
      <c r="X11">
        <v>0.83541514252820004</v>
      </c>
      <c r="AJ11">
        <v>0</v>
      </c>
      <c r="AK11">
        <v>-6.3313401828914602E-3</v>
      </c>
      <c r="AL11">
        <v>0.73785022317887405</v>
      </c>
      <c r="AM11">
        <v>4.6836483721174001E-2</v>
      </c>
      <c r="AN11">
        <v>0.22164463328284201</v>
      </c>
    </row>
    <row r="12" spans="1:40" x14ac:dyDescent="0.2">
      <c r="A12">
        <v>89</v>
      </c>
      <c r="B12">
        <v>748</v>
      </c>
      <c r="C12">
        <v>215</v>
      </c>
      <c r="D12">
        <v>0.36051559516231801</v>
      </c>
      <c r="E12">
        <v>0.49782824003932602</v>
      </c>
      <c r="F12">
        <v>4.9303158933820601</v>
      </c>
      <c r="G12">
        <v>-3.3519893620849661</v>
      </c>
      <c r="H12">
        <v>-2.452288287103638</v>
      </c>
      <c r="I12">
        <v>0.88106651812302506</v>
      </c>
      <c r="J12">
        <v>0.44173623318293398</v>
      </c>
      <c r="K12">
        <v>0.100972889122086</v>
      </c>
      <c r="L12">
        <v>3.569432568813684E-5</v>
      </c>
      <c r="M12">
        <v>4.1546800182228318E-7</v>
      </c>
      <c r="N12" s="1">
        <v>1.9541848750328501E-9</v>
      </c>
      <c r="O12" s="1">
        <v>2.4064498168031398E-13</v>
      </c>
      <c r="P12">
        <v>0</v>
      </c>
      <c r="R12">
        <v>9.3044232801538609</v>
      </c>
      <c r="S12">
        <v>1.7487447360983399</v>
      </c>
      <c r="T12">
        <v>49.511910782436999</v>
      </c>
      <c r="V12">
        <v>38.404498436784202</v>
      </c>
      <c r="X12">
        <v>1.03042276452653</v>
      </c>
      <c r="AJ12">
        <v>0</v>
      </c>
      <c r="AK12">
        <v>-1.89675490241718E-2</v>
      </c>
      <c r="AL12">
        <v>0.69885314579037605</v>
      </c>
      <c r="AM12">
        <v>5.7626590577418001E-2</v>
      </c>
      <c r="AN12">
        <v>0.262487812656376</v>
      </c>
    </row>
    <row r="13" spans="1:40" x14ac:dyDescent="0.2">
      <c r="A13">
        <v>90</v>
      </c>
      <c r="B13">
        <v>747</v>
      </c>
      <c r="C13">
        <v>215</v>
      </c>
      <c r="D13">
        <v>0.35982012449149797</v>
      </c>
      <c r="E13">
        <v>0.54088700188121697</v>
      </c>
      <c r="F13">
        <v>4.9313043111772297</v>
      </c>
      <c r="G13">
        <v>-3.638662453690539</v>
      </c>
      <c r="H13">
        <v>-2.6627547580259594</v>
      </c>
      <c r="I13">
        <v>0.95663156953838002</v>
      </c>
      <c r="J13">
        <v>0.47995045014653098</v>
      </c>
      <c r="K13">
        <v>0.10968436903300501</v>
      </c>
      <c r="L13">
        <v>3.5853547062601061E-5</v>
      </c>
      <c r="M13">
        <v>4.1744072372492721E-7</v>
      </c>
      <c r="N13" s="1">
        <v>2.1338442282201801E-9</v>
      </c>
      <c r="O13" s="1">
        <v>2.6286525530695802E-13</v>
      </c>
      <c r="P13">
        <v>0</v>
      </c>
      <c r="R13">
        <v>9.1254972400114802</v>
      </c>
      <c r="S13">
        <v>1.81187758502128</v>
      </c>
      <c r="T13">
        <v>49.778183900971101</v>
      </c>
      <c r="V13">
        <v>38.262992514597101</v>
      </c>
      <c r="X13">
        <v>1.0214487593989201</v>
      </c>
      <c r="AJ13">
        <v>0</v>
      </c>
      <c r="AK13">
        <v>-1.7068199183636199E-2</v>
      </c>
      <c r="AL13">
        <v>0.70253682202450596</v>
      </c>
      <c r="AM13">
        <v>5.7118641927799099E-2</v>
      </c>
      <c r="AN13">
        <v>0.25741273523133001</v>
      </c>
    </row>
    <row r="14" spans="1:40" x14ac:dyDescent="0.2">
      <c r="A14">
        <v>91</v>
      </c>
      <c r="B14">
        <v>746</v>
      </c>
      <c r="C14">
        <v>215</v>
      </c>
      <c r="D14">
        <v>0.35912328901535701</v>
      </c>
      <c r="E14">
        <v>0.555219329848881</v>
      </c>
      <c r="F14">
        <v>4.9319035063148204</v>
      </c>
      <c r="G14">
        <v>-3.7330141392319875</v>
      </c>
      <c r="H14">
        <v>-2.7328128940221119</v>
      </c>
      <c r="I14">
        <v>0.98140729550103001</v>
      </c>
      <c r="J14">
        <v>0.49267809968019799</v>
      </c>
      <c r="K14">
        <v>0.112577086947864</v>
      </c>
      <c r="L14">
        <v>3.5953811226064818E-5</v>
      </c>
      <c r="M14">
        <v>4.1875972847074522E-7</v>
      </c>
      <c r="N14" s="1">
        <v>2.19775364554704E-9</v>
      </c>
      <c r="O14" s="1">
        <v>2.7080815551535601E-13</v>
      </c>
      <c r="P14">
        <v>0</v>
      </c>
      <c r="R14">
        <v>8.9962816885158894</v>
      </c>
      <c r="S14">
        <v>1.8676049720427299</v>
      </c>
      <c r="T14">
        <v>49.958520470320103</v>
      </c>
      <c r="V14">
        <v>38.162705600180203</v>
      </c>
      <c r="X14">
        <v>1.01488726894098</v>
      </c>
      <c r="AJ14">
        <v>0</v>
      </c>
      <c r="AK14">
        <v>-1.5467423414717E-2</v>
      </c>
      <c r="AL14">
        <v>0.70498888088351097</v>
      </c>
      <c r="AM14">
        <v>5.6744235262050302E-2</v>
      </c>
      <c r="AN14">
        <v>0.25373430726915502</v>
      </c>
    </row>
    <row r="15" spans="1:40" x14ac:dyDescent="0.2">
      <c r="A15">
        <v>103</v>
      </c>
      <c r="B15">
        <v>753</v>
      </c>
      <c r="C15">
        <v>195</v>
      </c>
      <c r="D15">
        <v>0.38541197680651201</v>
      </c>
      <c r="E15">
        <v>0.23592393215697</v>
      </c>
      <c r="F15">
        <v>4.94943169494627</v>
      </c>
      <c r="G15">
        <v>-1.5641500909613479</v>
      </c>
      <c r="H15">
        <v>-1.1366131021329953</v>
      </c>
      <c r="I15">
        <v>0.41664180561160902</v>
      </c>
      <c r="J15">
        <v>0.20911881311900499</v>
      </c>
      <c r="K15">
        <v>4.7666873026627699E-2</v>
      </c>
      <c r="L15">
        <v>3.7862268277966551E-5</v>
      </c>
      <c r="M15">
        <v>4.3799346402752766E-7</v>
      </c>
      <c r="N15" s="1">
        <v>9.794729464646421E-10</v>
      </c>
      <c r="O15" s="1">
        <v>1.2140745185052299E-13</v>
      </c>
      <c r="P15">
        <v>0</v>
      </c>
      <c r="R15">
        <v>7.5337114153052802</v>
      </c>
      <c r="S15">
        <v>1.84128313253651</v>
      </c>
      <c r="T15">
        <v>52.709118430793801</v>
      </c>
      <c r="V15">
        <v>37.092248372726203</v>
      </c>
      <c r="X15">
        <v>0.82363864863810698</v>
      </c>
      <c r="AJ15">
        <v>0</v>
      </c>
      <c r="AK15">
        <v>-5.37231996513179E-3</v>
      </c>
      <c r="AL15">
        <v>0.74605518213829902</v>
      </c>
      <c r="AM15">
        <v>4.6190552793272097E-2</v>
      </c>
      <c r="AN15">
        <v>0.21312658503356</v>
      </c>
    </row>
    <row r="16" spans="1:40" x14ac:dyDescent="0.2">
      <c r="A16">
        <v>104</v>
      </c>
      <c r="B16">
        <v>752</v>
      </c>
      <c r="C16">
        <v>195</v>
      </c>
      <c r="D16">
        <v>0.38474418377798603</v>
      </c>
      <c r="E16">
        <v>0.48577275409170301</v>
      </c>
      <c r="F16">
        <v>4.9316573271542898</v>
      </c>
      <c r="G16">
        <v>-3.267042891747781</v>
      </c>
      <c r="H16">
        <v>-2.3845359107990758</v>
      </c>
      <c r="I16">
        <v>0.860856441446329</v>
      </c>
      <c r="J16">
        <v>0.43117266533140702</v>
      </c>
      <c r="K16">
        <v>9.8500913965976503E-2</v>
      </c>
      <c r="L16">
        <v>3.6356594868783941E-5</v>
      </c>
      <c r="M16">
        <v>4.2276522048568974E-7</v>
      </c>
      <c r="N16" s="1">
        <v>1.9374383459193702E-9</v>
      </c>
      <c r="O16" s="1">
        <v>2.3856654178349799E-13</v>
      </c>
      <c r="P16">
        <v>0</v>
      </c>
      <c r="R16">
        <v>8.88739174854258</v>
      </c>
      <c r="S16">
        <v>1.76979861707057</v>
      </c>
      <c r="T16">
        <v>50.302409593178197</v>
      </c>
      <c r="V16">
        <v>37.990807314233599</v>
      </c>
      <c r="X16">
        <v>1.0495927269749299</v>
      </c>
      <c r="AJ16">
        <v>0</v>
      </c>
      <c r="AK16">
        <v>-1.95769743772145E-2</v>
      </c>
      <c r="AL16">
        <v>0.71011154362103801</v>
      </c>
      <c r="AM16">
        <v>5.8706993484190201E-2</v>
      </c>
      <c r="AN16">
        <v>0.25075843727198499</v>
      </c>
    </row>
    <row r="17" spans="1:40" x14ac:dyDescent="0.2">
      <c r="A17">
        <v>105</v>
      </c>
      <c r="B17">
        <v>751</v>
      </c>
      <c r="C17">
        <v>195</v>
      </c>
      <c r="D17">
        <v>0.38407508665723</v>
      </c>
      <c r="E17">
        <v>0.54734137774033198</v>
      </c>
      <c r="F17">
        <v>4.9279973301199602</v>
      </c>
      <c r="G17">
        <v>-3.6932433542084393</v>
      </c>
      <c r="H17">
        <v>-2.6994188552159968</v>
      </c>
      <c r="I17">
        <v>0.970389590384652</v>
      </c>
      <c r="J17">
        <v>0.48591555409391401</v>
      </c>
      <c r="K17">
        <v>0.111067709877799</v>
      </c>
      <c r="L17">
        <v>3.5863082467655777E-5</v>
      </c>
      <c r="M17">
        <v>4.1749573565662991E-7</v>
      </c>
      <c r="N17" s="1">
        <v>2.1551273194827001E-9</v>
      </c>
      <c r="O17" s="1">
        <v>2.6514922857829098E-13</v>
      </c>
      <c r="P17">
        <v>0</v>
      </c>
      <c r="R17">
        <v>9.2376347033882293</v>
      </c>
      <c r="S17">
        <v>1.7850905332567</v>
      </c>
      <c r="T17">
        <v>49.618598523376299</v>
      </c>
      <c r="V17">
        <v>38.290251296765597</v>
      </c>
      <c r="X17">
        <v>1.06842494321301</v>
      </c>
      <c r="AJ17">
        <v>0</v>
      </c>
      <c r="AK17">
        <v>-2.0280717967275302E-2</v>
      </c>
      <c r="AL17">
        <v>0.70006136762891202</v>
      </c>
      <c r="AM17">
        <v>5.97264745672485E-2</v>
      </c>
      <c r="AN17">
        <v>0.26049287577111402</v>
      </c>
    </row>
    <row r="18" spans="1:40" x14ac:dyDescent="0.2">
      <c r="A18">
        <v>106</v>
      </c>
      <c r="B18">
        <v>750</v>
      </c>
      <c r="C18">
        <v>195</v>
      </c>
      <c r="D18">
        <v>0.38340468162048602</v>
      </c>
      <c r="E18">
        <v>0.56295835939255601</v>
      </c>
      <c r="F18">
        <v>4.9286627263731297</v>
      </c>
      <c r="G18">
        <v>-3.7963000604842314</v>
      </c>
      <c r="H18">
        <v>-2.7757233186949404</v>
      </c>
      <c r="I18">
        <v>0.99748496485294502</v>
      </c>
      <c r="J18">
        <v>0.49978866428868102</v>
      </c>
      <c r="K18">
        <v>0.11422131938145801</v>
      </c>
      <c r="L18">
        <v>3.5971235472432133E-5</v>
      </c>
      <c r="M18">
        <v>4.1889968386090929E-7</v>
      </c>
      <c r="N18" s="1">
        <v>2.2245529155541701E-9</v>
      </c>
      <c r="O18" s="1">
        <v>2.7376770296264499E-13</v>
      </c>
      <c r="P18">
        <v>0</v>
      </c>
      <c r="R18">
        <v>9.10250471239255</v>
      </c>
      <c r="S18">
        <v>1.8407335647868901</v>
      </c>
      <c r="T18">
        <v>49.810206964803399</v>
      </c>
      <c r="V18">
        <v>38.185140862900298</v>
      </c>
      <c r="X18">
        <v>1.06141389511679</v>
      </c>
      <c r="AJ18">
        <v>0</v>
      </c>
      <c r="AK18">
        <v>-1.86569437636614E-2</v>
      </c>
      <c r="AL18">
        <v>0.70267873778913303</v>
      </c>
      <c r="AM18">
        <v>5.93272856186043E-2</v>
      </c>
      <c r="AN18">
        <v>0.25665092035592302</v>
      </c>
    </row>
    <row r="19" spans="1:40" x14ac:dyDescent="0.2">
      <c r="A19">
        <v>115</v>
      </c>
      <c r="B19">
        <v>757</v>
      </c>
      <c r="C19">
        <v>175</v>
      </c>
      <c r="D19">
        <v>0.40942629714119499</v>
      </c>
      <c r="E19">
        <v>0.375263871332426</v>
      </c>
      <c r="F19">
        <v>4.9409687835693603</v>
      </c>
      <c r="G19">
        <v>-2.5042713561954519</v>
      </c>
      <c r="H19">
        <v>-1.8192661322392327</v>
      </c>
      <c r="I19">
        <v>0.66495677712587398</v>
      </c>
      <c r="J19">
        <v>0.33298865679594702</v>
      </c>
      <c r="K19">
        <v>7.5949451973937598E-2</v>
      </c>
      <c r="L19">
        <v>3.7811501621818553E-5</v>
      </c>
      <c r="M19">
        <v>4.381274198521301E-7</v>
      </c>
      <c r="N19" s="1">
        <v>1.55190517690826E-9</v>
      </c>
      <c r="O19" s="1">
        <v>1.9163875798928501E-13</v>
      </c>
      <c r="P19">
        <v>0</v>
      </c>
      <c r="R19">
        <v>7.7890982717050097</v>
      </c>
      <c r="S19">
        <v>1.8327847405694799</v>
      </c>
      <c r="T19">
        <v>52.306902105983198</v>
      </c>
      <c r="V19">
        <v>37.098046517695501</v>
      </c>
      <c r="X19">
        <v>0.97316836404663598</v>
      </c>
      <c r="AJ19">
        <v>0</v>
      </c>
      <c r="AK19">
        <v>-1.39277944594871E-2</v>
      </c>
      <c r="AL19">
        <v>0.73936888122385902</v>
      </c>
      <c r="AM19">
        <v>5.4503123822208399E-2</v>
      </c>
      <c r="AN19">
        <v>0.220055789413419</v>
      </c>
    </row>
    <row r="20" spans="1:40" x14ac:dyDescent="0.2">
      <c r="A20">
        <v>116</v>
      </c>
      <c r="B20">
        <v>756</v>
      </c>
      <c r="C20">
        <v>175</v>
      </c>
      <c r="D20">
        <v>0.40878443375601398</v>
      </c>
      <c r="E20">
        <v>0.52567069834605296</v>
      </c>
      <c r="F20">
        <v>4.9270201130566198</v>
      </c>
      <c r="G20">
        <v>-3.5504392780985952</v>
      </c>
      <c r="H20">
        <v>-2.5891110360505607</v>
      </c>
      <c r="I20">
        <v>0.93409924894139096</v>
      </c>
      <c r="J20">
        <v>0.46687269423408101</v>
      </c>
      <c r="K20">
        <v>0.106691405004218</v>
      </c>
      <c r="L20">
        <v>3.6227911360889354E-5</v>
      </c>
      <c r="M20">
        <v>4.2129338807535564E-7</v>
      </c>
      <c r="N20" s="1">
        <v>2.08481025636514E-9</v>
      </c>
      <c r="O20" s="1">
        <v>2.5631584076883798E-13</v>
      </c>
      <c r="P20">
        <v>0</v>
      </c>
      <c r="R20">
        <v>9.0941899028389805</v>
      </c>
      <c r="S20">
        <v>1.7608799346033199</v>
      </c>
      <c r="T20">
        <v>49.942937678806103</v>
      </c>
      <c r="V20">
        <v>38.098338920038202</v>
      </c>
      <c r="X20">
        <v>1.10365356371329</v>
      </c>
      <c r="AJ20">
        <v>0</v>
      </c>
      <c r="AK20">
        <v>-2.2785127865924602E-2</v>
      </c>
      <c r="AL20">
        <v>0.70464020344133704</v>
      </c>
      <c r="AM20">
        <v>6.1696048275709001E-2</v>
      </c>
      <c r="AN20">
        <v>0.25644887614887701</v>
      </c>
    </row>
    <row r="21" spans="1:40" x14ac:dyDescent="0.2">
      <c r="A21">
        <v>117</v>
      </c>
      <c r="B21">
        <v>755</v>
      </c>
      <c r="C21">
        <v>175</v>
      </c>
      <c r="D21">
        <v>0.40814132179156798</v>
      </c>
      <c r="E21">
        <v>0.56375366374356095</v>
      </c>
      <c r="F21">
        <v>4.9247124636894402</v>
      </c>
      <c r="G21">
        <v>-3.8154836363919733</v>
      </c>
      <c r="H21">
        <v>-2.7853962548741977</v>
      </c>
      <c r="I21">
        <v>1.00188433741941</v>
      </c>
      <c r="J21">
        <v>0.50076135967776303</v>
      </c>
      <c r="K21">
        <v>0.114474432345074</v>
      </c>
      <c r="L21">
        <v>3.592366900017879E-5</v>
      </c>
      <c r="M21">
        <v>4.1813021666005952E-7</v>
      </c>
      <c r="N21" s="1">
        <v>2.2186734869357601E-9</v>
      </c>
      <c r="O21" s="1">
        <v>2.7263265772938798E-13</v>
      </c>
      <c r="P21">
        <v>0</v>
      </c>
      <c r="R21">
        <v>9.2932195434823495</v>
      </c>
      <c r="S21">
        <v>1.78742032916438</v>
      </c>
      <c r="T21">
        <v>49.5337156270189</v>
      </c>
      <c r="V21">
        <v>38.270643892575301</v>
      </c>
      <c r="X21">
        <v>1.11500060775898</v>
      </c>
      <c r="AJ21">
        <v>0</v>
      </c>
      <c r="AK21">
        <v>-2.2823265598665501E-2</v>
      </c>
      <c r="AL21">
        <v>0.69856944346479</v>
      </c>
      <c r="AM21">
        <v>6.2303870368172802E-2</v>
      </c>
      <c r="AN21">
        <v>0.26194995176570202</v>
      </c>
    </row>
    <row r="22" spans="1:40" x14ac:dyDescent="0.2">
      <c r="A22">
        <v>118</v>
      </c>
      <c r="B22">
        <v>754</v>
      </c>
      <c r="C22">
        <v>175</v>
      </c>
      <c r="D22">
        <v>0.40749695760112897</v>
      </c>
      <c r="E22">
        <v>0.57476156815689605</v>
      </c>
      <c r="F22">
        <v>4.9253835858751502</v>
      </c>
      <c r="G22">
        <v>-3.8875827713050017</v>
      </c>
      <c r="H22">
        <v>-2.8390229793743971</v>
      </c>
      <c r="I22">
        <v>1.02084388057304</v>
      </c>
      <c r="J22">
        <v>0.51054614595293701</v>
      </c>
      <c r="K22">
        <v>0.116693767731142</v>
      </c>
      <c r="L22">
        <v>3.6029133256656337E-5</v>
      </c>
      <c r="M22">
        <v>4.195015553838163E-7</v>
      </c>
      <c r="N22" s="1">
        <v>2.2699086192400399E-9</v>
      </c>
      <c r="O22" s="1">
        <v>2.79007932879575E-13</v>
      </c>
      <c r="P22">
        <v>0</v>
      </c>
      <c r="R22">
        <v>9.1615753955013908</v>
      </c>
      <c r="S22">
        <v>1.8408604431612601</v>
      </c>
      <c r="T22">
        <v>49.721158264585299</v>
      </c>
      <c r="V22">
        <v>38.168467841224398</v>
      </c>
      <c r="X22">
        <v>1.10793805552751</v>
      </c>
      <c r="AJ22">
        <v>0</v>
      </c>
      <c r="AK22">
        <v>-2.1245833126781199E-2</v>
      </c>
      <c r="AL22">
        <v>0.70113356710753105</v>
      </c>
      <c r="AM22">
        <v>6.1902223088418501E-2</v>
      </c>
      <c r="AN22">
        <v>0.258210042930831</v>
      </c>
    </row>
    <row r="23" spans="1:40" x14ac:dyDescent="0.2">
      <c r="A23">
        <v>130</v>
      </c>
      <c r="B23">
        <v>762</v>
      </c>
      <c r="C23">
        <v>155</v>
      </c>
      <c r="D23">
        <v>0.433869970535674</v>
      </c>
      <c r="E23">
        <v>0.408735635548371</v>
      </c>
      <c r="F23">
        <v>4.9379620284007899</v>
      </c>
      <c r="G23">
        <v>-2.7346304889429769</v>
      </c>
      <c r="H23">
        <v>-1.9828974178447889</v>
      </c>
      <c r="I23">
        <v>0.72620689861197696</v>
      </c>
      <c r="J23">
        <v>0.36291457232268898</v>
      </c>
      <c r="K23">
        <v>8.2774155248161105E-2</v>
      </c>
      <c r="L23">
        <v>3.8075777746460513E-5</v>
      </c>
      <c r="M23">
        <v>4.4090325576320277E-7</v>
      </c>
      <c r="N23" s="1">
        <v>1.69738149173841E-9</v>
      </c>
      <c r="O23" s="1">
        <v>2.0933395247053301E-13</v>
      </c>
      <c r="P23">
        <v>0</v>
      </c>
      <c r="R23">
        <v>7.7211784738162397</v>
      </c>
      <c r="S23">
        <v>1.8418245218864699</v>
      </c>
      <c r="T23">
        <v>52.457740070902503</v>
      </c>
      <c r="V23">
        <v>36.949812597689998</v>
      </c>
      <c r="X23">
        <v>1.0294443357046801</v>
      </c>
      <c r="AJ23">
        <v>0</v>
      </c>
      <c r="AK23">
        <v>-1.6872474841834899E-2</v>
      </c>
      <c r="AL23">
        <v>0.74119459733360704</v>
      </c>
      <c r="AM23">
        <v>5.76310829080156E-2</v>
      </c>
      <c r="AN23">
        <v>0.21804679460021201</v>
      </c>
    </row>
    <row r="24" spans="1:40" x14ac:dyDescent="0.2">
      <c r="A24">
        <v>131</v>
      </c>
      <c r="B24">
        <v>761</v>
      </c>
      <c r="C24">
        <v>155</v>
      </c>
      <c r="D24">
        <v>0.43325484697577799</v>
      </c>
      <c r="E24">
        <v>0.53327084534384905</v>
      </c>
      <c r="F24">
        <v>4.9254662373259102</v>
      </c>
      <c r="G24">
        <v>-3.6071655686359865</v>
      </c>
      <c r="H24">
        <v>-2.6248499797765312</v>
      </c>
      <c r="I24">
        <v>0.94987727975579395</v>
      </c>
      <c r="J24">
        <v>0.47387270021836903</v>
      </c>
      <c r="K24">
        <v>0.108268094764845</v>
      </c>
      <c r="L24">
        <v>3.6582375137683798E-5</v>
      </c>
      <c r="M24">
        <v>4.2497673992162491E-7</v>
      </c>
      <c r="N24" s="1">
        <v>2.1296881505292899E-9</v>
      </c>
      <c r="O24" s="1">
        <v>2.6163560873293298E-13</v>
      </c>
      <c r="P24">
        <v>0</v>
      </c>
      <c r="R24">
        <v>8.9356057068126002</v>
      </c>
      <c r="S24">
        <v>1.7745792374648801</v>
      </c>
      <c r="T24">
        <v>50.252933320938901</v>
      </c>
      <c r="V24">
        <v>37.896134560087503</v>
      </c>
      <c r="X24">
        <v>1.1407471746959901</v>
      </c>
      <c r="AJ24">
        <v>0</v>
      </c>
      <c r="AK24">
        <v>-2.4550982338230901E-2</v>
      </c>
      <c r="AL24">
        <v>0.70886895939833405</v>
      </c>
      <c r="AM24">
        <v>6.3756605703907801E-2</v>
      </c>
      <c r="AN24">
        <v>0.25192541723598799</v>
      </c>
    </row>
    <row r="25" spans="1:40" x14ac:dyDescent="0.2">
      <c r="A25">
        <v>132</v>
      </c>
      <c r="B25">
        <v>760</v>
      </c>
      <c r="C25">
        <v>155</v>
      </c>
      <c r="D25">
        <v>0.43263853264288998</v>
      </c>
      <c r="E25">
        <v>0.57953303610996398</v>
      </c>
      <c r="F25">
        <v>4.9185316393923699</v>
      </c>
      <c r="G25">
        <v>-3.9443763547201098</v>
      </c>
      <c r="H25">
        <v>-2.8766024340838157</v>
      </c>
      <c r="I25">
        <v>1.03351296581938</v>
      </c>
      <c r="J25">
        <v>0.51513332168241399</v>
      </c>
      <c r="K25">
        <v>0.117826432480072</v>
      </c>
      <c r="L25">
        <v>3.5639614066595555E-5</v>
      </c>
      <c r="M25">
        <v>4.1477457418398993E-7</v>
      </c>
      <c r="N25" s="1">
        <v>2.2568970460296201E-9</v>
      </c>
      <c r="O25" s="1">
        <v>2.7675123902952401E-13</v>
      </c>
      <c r="P25">
        <v>0</v>
      </c>
      <c r="R25">
        <v>9.6541158803253992</v>
      </c>
      <c r="S25">
        <v>1.7539369688636399</v>
      </c>
      <c r="T25">
        <v>48.912941690228998</v>
      </c>
      <c r="V25">
        <v>38.4965316031942</v>
      </c>
      <c r="X25">
        <v>1.1824738573876801</v>
      </c>
      <c r="AJ25">
        <v>0</v>
      </c>
      <c r="AK25">
        <v>-2.73145802513384E-2</v>
      </c>
      <c r="AL25">
        <v>0.68934709865675603</v>
      </c>
      <c r="AM25">
        <v>6.6029340721662402E-2</v>
      </c>
      <c r="AN25">
        <v>0.27193814087291901</v>
      </c>
    </row>
    <row r="26" spans="1:40" x14ac:dyDescent="0.2">
      <c r="A26">
        <v>133</v>
      </c>
      <c r="B26">
        <v>759</v>
      </c>
      <c r="C26">
        <v>155</v>
      </c>
      <c r="D26">
        <v>0.43202102407596099</v>
      </c>
      <c r="E26">
        <v>0.58406036518334303</v>
      </c>
      <c r="F26">
        <v>4.92147109618403</v>
      </c>
      <c r="G26">
        <v>-3.9647855522978834</v>
      </c>
      <c r="H26">
        <v>-2.8908990445545837</v>
      </c>
      <c r="I26">
        <v>1.0404364750698001</v>
      </c>
      <c r="J26">
        <v>0.51912524554741701</v>
      </c>
      <c r="K26">
        <v>0.118675971832122</v>
      </c>
      <c r="L26">
        <v>3.6050919321334799E-5</v>
      </c>
      <c r="M26">
        <v>4.1951615306220426E-7</v>
      </c>
      <c r="N26" s="1">
        <v>2.3018279781705699E-9</v>
      </c>
      <c r="O26" s="1">
        <v>2.8252629751385398E-13</v>
      </c>
      <c r="P26">
        <v>0</v>
      </c>
      <c r="R26">
        <v>9.2748092091566097</v>
      </c>
      <c r="S26">
        <v>1.8276616307261599</v>
      </c>
      <c r="T26">
        <v>49.5465648009096</v>
      </c>
      <c r="V26">
        <v>38.190337239554303</v>
      </c>
      <c r="X26">
        <v>1.1606271196531399</v>
      </c>
      <c r="AJ26">
        <v>0</v>
      </c>
      <c r="AK26">
        <v>-2.4470440744600499E-2</v>
      </c>
      <c r="AL26">
        <v>0.698365766624785</v>
      </c>
      <c r="AM26">
        <v>6.4817660432586799E-2</v>
      </c>
      <c r="AN26">
        <v>0.26128701368722701</v>
      </c>
    </row>
    <row r="27" spans="1:40" x14ac:dyDescent="0.2">
      <c r="A27">
        <v>148</v>
      </c>
      <c r="B27">
        <v>769</v>
      </c>
      <c r="C27">
        <v>135</v>
      </c>
      <c r="D27">
        <v>0.45925298661421299</v>
      </c>
      <c r="E27">
        <v>0.23187095398212501</v>
      </c>
      <c r="F27">
        <v>4.9490705793689003</v>
      </c>
      <c r="G27">
        <v>-1.5390644929880606</v>
      </c>
      <c r="H27">
        <v>-1.1094870794881391</v>
      </c>
      <c r="I27">
        <v>0.412203054742524</v>
      </c>
      <c r="J27">
        <v>0.20572992596956999</v>
      </c>
      <c r="K27">
        <v>4.6851413869246697E-2</v>
      </c>
      <c r="L27">
        <v>3.9156572492660302E-5</v>
      </c>
      <c r="M27">
        <v>4.5062619694891881E-7</v>
      </c>
      <c r="N27" s="1">
        <v>9.8706822315671903E-10</v>
      </c>
      <c r="O27" s="1">
        <v>1.22351698242228E-13</v>
      </c>
      <c r="P27">
        <v>0</v>
      </c>
      <c r="R27">
        <v>6.81392360413889</v>
      </c>
      <c r="S27">
        <v>1.89365483985883</v>
      </c>
      <c r="T27">
        <v>54.0475559140801</v>
      </c>
      <c r="V27">
        <v>36.4012887321515</v>
      </c>
      <c r="X27">
        <v>0.84357690977055999</v>
      </c>
      <c r="AJ27">
        <v>0</v>
      </c>
      <c r="AK27">
        <v>-5.3308548873690596E-3</v>
      </c>
      <c r="AL27">
        <v>0.76519641595715404</v>
      </c>
      <c r="AM27">
        <v>4.7320878128428501E-2</v>
      </c>
      <c r="AN27">
        <v>0.19281356080178499</v>
      </c>
    </row>
    <row r="28" spans="1:40" x14ac:dyDescent="0.2">
      <c r="A28">
        <v>149</v>
      </c>
      <c r="B28">
        <v>768</v>
      </c>
      <c r="C28">
        <v>135</v>
      </c>
      <c r="D28">
        <v>0.45866637852374798</v>
      </c>
      <c r="E28">
        <v>0.44260457114116403</v>
      </c>
      <c r="F28">
        <v>4.9339837207922201</v>
      </c>
      <c r="G28">
        <v>-2.9712735051375918</v>
      </c>
      <c r="H28">
        <v>-2.1498393739571986</v>
      </c>
      <c r="I28">
        <v>0.78896809410785496</v>
      </c>
      <c r="J28">
        <v>0.39328954000975302</v>
      </c>
      <c r="K28">
        <v>8.9705316471959798E-2</v>
      </c>
      <c r="L28">
        <v>3.8334573674324329E-5</v>
      </c>
      <c r="M28">
        <v>4.4347499813592042E-7</v>
      </c>
      <c r="N28" s="1">
        <v>1.8444120888801001E-9</v>
      </c>
      <c r="O28" s="1">
        <v>2.27100190846899E-13</v>
      </c>
      <c r="P28">
        <v>0</v>
      </c>
      <c r="R28">
        <v>7.6817198914605402</v>
      </c>
      <c r="S28">
        <v>1.85568409906923</v>
      </c>
      <c r="T28">
        <v>52.554996419742999</v>
      </c>
      <c r="V28">
        <v>36.808878145011803</v>
      </c>
      <c r="X28">
        <v>1.09872144471529</v>
      </c>
      <c r="AJ28">
        <v>0</v>
      </c>
      <c r="AK28">
        <v>-2.0432513658114701E-2</v>
      </c>
      <c r="AL28">
        <v>0.74214829508740199</v>
      </c>
      <c r="AM28">
        <v>6.1474574020668402E-2</v>
      </c>
      <c r="AN28">
        <v>0.21680964455004301</v>
      </c>
    </row>
    <row r="29" spans="1:40" x14ac:dyDescent="0.2">
      <c r="A29">
        <v>150</v>
      </c>
      <c r="B29">
        <v>767</v>
      </c>
      <c r="C29">
        <v>135</v>
      </c>
      <c r="D29">
        <v>0.45807864250348701</v>
      </c>
      <c r="E29">
        <v>0.54235314500065401</v>
      </c>
      <c r="F29">
        <v>4.9231757679182797</v>
      </c>
      <c r="G29">
        <v>-3.6767035923739919</v>
      </c>
      <c r="H29">
        <v>-2.6688703314428746</v>
      </c>
      <c r="I29">
        <v>0.96893069358372996</v>
      </c>
      <c r="J29">
        <v>0.48225013691099</v>
      </c>
      <c r="K29">
        <v>0.110163270735707</v>
      </c>
      <c r="L29">
        <v>3.6913105572981174E-5</v>
      </c>
      <c r="M29">
        <v>4.2819540877345061E-7</v>
      </c>
      <c r="N29" s="1">
        <v>2.1784346598577199E-9</v>
      </c>
      <c r="O29" s="1">
        <v>2.6737948637440199E-13</v>
      </c>
      <c r="P29">
        <v>0</v>
      </c>
      <c r="R29">
        <v>8.8105704008988308</v>
      </c>
      <c r="S29">
        <v>1.79241102958948</v>
      </c>
      <c r="T29">
        <v>50.496157104941702</v>
      </c>
      <c r="V29">
        <v>37.717761343000397</v>
      </c>
      <c r="X29">
        <v>1.1831001215694501</v>
      </c>
      <c r="AJ29">
        <v>0</v>
      </c>
      <c r="AK29">
        <v>-2.6516194517135501E-2</v>
      </c>
      <c r="AL29">
        <v>0.71208646601950798</v>
      </c>
      <c r="AM29">
        <v>6.6103909607655498E-2</v>
      </c>
      <c r="AN29">
        <v>0.24832581888997099</v>
      </c>
    </row>
    <row r="30" spans="1:40" x14ac:dyDescent="0.2">
      <c r="A30">
        <v>151</v>
      </c>
      <c r="B30">
        <v>766</v>
      </c>
      <c r="C30">
        <v>135</v>
      </c>
      <c r="D30">
        <v>0.45748977529712298</v>
      </c>
      <c r="E30">
        <v>0.58349826372034297</v>
      </c>
      <c r="F30">
        <v>4.9167215818812799</v>
      </c>
      <c r="G30">
        <v>-3.9785750103258244</v>
      </c>
      <c r="H30">
        <v>-2.8941345425575387</v>
      </c>
      <c r="I30">
        <v>1.0435841483599899</v>
      </c>
      <c r="J30">
        <v>0.51898645005181498</v>
      </c>
      <c r="K30">
        <v>0.118676287441331</v>
      </c>
      <c r="L30">
        <v>3.602780849750967E-5</v>
      </c>
      <c r="M30">
        <v>4.1865566871137583E-7</v>
      </c>
      <c r="N30" s="1">
        <v>2.2895108245107298E-9</v>
      </c>
      <c r="O30" s="1">
        <v>2.8051766313790202E-13</v>
      </c>
      <c r="P30">
        <v>0</v>
      </c>
      <c r="R30">
        <v>9.4830872881942092</v>
      </c>
      <c r="S30">
        <v>1.7737064922746</v>
      </c>
      <c r="T30">
        <v>49.241701464754698</v>
      </c>
      <c r="V30">
        <v>38.278450231561997</v>
      </c>
      <c r="X30">
        <v>1.2230545232143699</v>
      </c>
      <c r="AJ30">
        <v>0</v>
      </c>
      <c r="AK30">
        <v>-2.9136883897673899E-2</v>
      </c>
      <c r="AL30">
        <v>0.69380548242704998</v>
      </c>
      <c r="AM30">
        <v>6.8278148880751205E-2</v>
      </c>
      <c r="AN30">
        <v>0.267053252589872</v>
      </c>
    </row>
    <row r="31" spans="1:40" x14ac:dyDescent="0.2">
      <c r="A31">
        <v>152</v>
      </c>
      <c r="B31">
        <v>765</v>
      </c>
      <c r="C31">
        <v>135</v>
      </c>
      <c r="D31">
        <v>0.45689977363579698</v>
      </c>
      <c r="E31">
        <v>0.59381783585652703</v>
      </c>
      <c r="F31">
        <v>4.9169211378907196</v>
      </c>
      <c r="G31">
        <v>-4.0481328100918965</v>
      </c>
      <c r="H31">
        <v>-2.9460932408986245</v>
      </c>
      <c r="I31">
        <v>1.06154175137819</v>
      </c>
      <c r="J31">
        <v>0.52817824747993103</v>
      </c>
      <c r="K31">
        <v>0.120770258298522</v>
      </c>
      <c r="L31">
        <v>3.6063409209785079E-5</v>
      </c>
      <c r="M31">
        <v>4.1924932723638852E-7</v>
      </c>
      <c r="N31" s="1">
        <v>2.3336579348687198E-9</v>
      </c>
      <c r="O31" s="1">
        <v>2.8597115677831199E-13</v>
      </c>
      <c r="P31">
        <v>0</v>
      </c>
      <c r="R31">
        <v>9.4102598807593392</v>
      </c>
      <c r="S31">
        <v>1.8191862202339699</v>
      </c>
      <c r="T31">
        <v>49.326624934357604</v>
      </c>
      <c r="V31">
        <v>38.224893148333997</v>
      </c>
      <c r="X31">
        <v>1.21903581631494</v>
      </c>
      <c r="AJ31">
        <v>0</v>
      </c>
      <c r="AK31">
        <v>-2.7904746286008999E-2</v>
      </c>
      <c r="AL31">
        <v>0.69489829865116204</v>
      </c>
      <c r="AM31">
        <v>6.8043642943197896E-2</v>
      </c>
      <c r="AN31">
        <v>0.26496280469164801</v>
      </c>
    </row>
    <row r="32" spans="1:40" x14ac:dyDescent="0.2">
      <c r="A32">
        <v>170</v>
      </c>
      <c r="B32">
        <v>777</v>
      </c>
      <c r="C32">
        <v>115</v>
      </c>
      <c r="D32">
        <v>0.48485502071132902</v>
      </c>
      <c r="E32">
        <v>0.196836439318961</v>
      </c>
      <c r="F32">
        <v>4.9494783589157496</v>
      </c>
      <c r="G32">
        <v>-1.3067596752138024</v>
      </c>
      <c r="H32">
        <v>-0.93812791859762301</v>
      </c>
      <c r="I32">
        <v>0.35102771662731902</v>
      </c>
      <c r="J32">
        <v>0.17471001439540701</v>
      </c>
      <c r="K32">
        <v>3.9769128187900703E-2</v>
      </c>
      <c r="L32">
        <v>3.9740034692966201E-5</v>
      </c>
      <c r="M32">
        <v>4.5574274775392792E-7</v>
      </c>
      <c r="N32" s="1">
        <v>8.4693923152624796E-10</v>
      </c>
      <c r="O32" s="1">
        <v>1.05036050080564E-13</v>
      </c>
      <c r="P32">
        <v>0</v>
      </c>
      <c r="R32">
        <v>6.4722395684638396</v>
      </c>
      <c r="S32">
        <v>1.9304437594974</v>
      </c>
      <c r="T32">
        <v>54.656936741593597</v>
      </c>
      <c r="V32">
        <v>36.109483847536801</v>
      </c>
      <c r="X32">
        <v>0.83089608290831296</v>
      </c>
      <c r="AJ32">
        <v>0</v>
      </c>
      <c r="AK32">
        <v>-3.8046149687309102E-3</v>
      </c>
      <c r="AL32">
        <v>0.77399835623053503</v>
      </c>
      <c r="AM32">
        <v>4.6620046857050901E-2</v>
      </c>
      <c r="AN32">
        <v>0.18318621188114401</v>
      </c>
    </row>
    <row r="33" spans="1:40" x14ac:dyDescent="0.2">
      <c r="A33">
        <v>171</v>
      </c>
      <c r="B33">
        <v>776</v>
      </c>
      <c r="C33">
        <v>115</v>
      </c>
      <c r="D33">
        <v>0.484297288280991</v>
      </c>
      <c r="E33">
        <v>0.40822794104511201</v>
      </c>
      <c r="F33">
        <v>4.93574349653999</v>
      </c>
      <c r="G33">
        <v>-2.7388472216611324</v>
      </c>
      <c r="H33">
        <v>-1.9731165075977519</v>
      </c>
      <c r="I33">
        <v>0.72985818430479898</v>
      </c>
      <c r="J33">
        <v>0.36284676301816998</v>
      </c>
      <c r="K33">
        <v>8.2708500012467101E-2</v>
      </c>
      <c r="L33">
        <v>3.8919203544856674E-5</v>
      </c>
      <c r="M33">
        <v>4.484427226428324E-7</v>
      </c>
      <c r="N33" s="1">
        <v>1.7202706748686E-9</v>
      </c>
      <c r="O33" s="1">
        <v>2.1207581962229601E-13</v>
      </c>
      <c r="P33">
        <v>0</v>
      </c>
      <c r="R33">
        <v>7.3116943474661102</v>
      </c>
      <c r="S33">
        <v>1.8876155636669401</v>
      </c>
      <c r="T33">
        <v>53.2109281281855</v>
      </c>
      <c r="V33">
        <v>36.5294022329578</v>
      </c>
      <c r="X33">
        <v>1.0603597277235199</v>
      </c>
      <c r="AJ33">
        <v>0</v>
      </c>
      <c r="AK33">
        <v>-1.7588260688493999E-2</v>
      </c>
      <c r="AL33">
        <v>0.75176785636961596</v>
      </c>
      <c r="AM33">
        <v>5.93563773249733E-2</v>
      </c>
      <c r="AN33">
        <v>0.20646402699390401</v>
      </c>
    </row>
    <row r="34" spans="1:40" x14ac:dyDescent="0.2">
      <c r="A34">
        <v>172</v>
      </c>
      <c r="B34">
        <v>775</v>
      </c>
      <c r="C34">
        <v>115</v>
      </c>
      <c r="D34">
        <v>0.483738491628109</v>
      </c>
      <c r="E34">
        <v>0.51920458570538897</v>
      </c>
      <c r="F34">
        <v>4.9243711682908797</v>
      </c>
      <c r="G34">
        <v>-3.5163738151813293</v>
      </c>
      <c r="H34">
        <v>-2.5413074893737306</v>
      </c>
      <c r="I34">
        <v>0.930273649580307</v>
      </c>
      <c r="J34">
        <v>0.46191968932294902</v>
      </c>
      <c r="K34">
        <v>0.105435713101535</v>
      </c>
      <c r="L34">
        <v>3.7860998960986583E-5</v>
      </c>
      <c r="M34">
        <v>4.3778250852551924E-7</v>
      </c>
      <c r="N34" s="1">
        <v>2.12947911164886E-9</v>
      </c>
      <c r="O34" s="1">
        <v>2.6139689125498099E-13</v>
      </c>
      <c r="P34">
        <v>0</v>
      </c>
      <c r="R34">
        <v>8.2320610760036992</v>
      </c>
      <c r="S34">
        <v>1.8406888970811</v>
      </c>
      <c r="T34">
        <v>51.567289600839302</v>
      </c>
      <c r="V34">
        <v>37.155882997756798</v>
      </c>
      <c r="X34">
        <v>1.2040774283189899</v>
      </c>
      <c r="AJ34">
        <v>0</v>
      </c>
      <c r="AK34">
        <v>-2.6625561021434901E-2</v>
      </c>
      <c r="AL34">
        <v>0.727288892387422</v>
      </c>
      <c r="AM34">
        <v>6.72850079945531E-2</v>
      </c>
      <c r="AN34">
        <v>0.23205166063945901</v>
      </c>
    </row>
    <row r="35" spans="1:40" x14ac:dyDescent="0.2">
      <c r="A35">
        <v>173</v>
      </c>
      <c r="B35">
        <v>774</v>
      </c>
      <c r="C35">
        <v>115</v>
      </c>
      <c r="D35">
        <v>0.48317862770377201</v>
      </c>
      <c r="E35">
        <v>0.57172001218472401</v>
      </c>
      <c r="F35">
        <v>4.9170119937979599</v>
      </c>
      <c r="G35">
        <v>-3.8983113026164418</v>
      </c>
      <c r="H35">
        <v>-2.8241549670091306</v>
      </c>
      <c r="I35">
        <v>1.0257903219283799</v>
      </c>
      <c r="J35">
        <v>0.50883831858974005</v>
      </c>
      <c r="K35">
        <v>0.11627386976193201</v>
      </c>
      <c r="L35">
        <v>3.6814432405697298E-5</v>
      </c>
      <c r="M35">
        <v>4.2650460624290781E-7</v>
      </c>
      <c r="N35" s="1">
        <v>2.2821418725107401E-9</v>
      </c>
      <c r="O35" s="1">
        <v>2.7956502879676098E-13</v>
      </c>
      <c r="P35">
        <v>0</v>
      </c>
      <c r="R35">
        <v>9.0335226311927492</v>
      </c>
      <c r="S35">
        <v>1.80694100854769</v>
      </c>
      <c r="T35">
        <v>50.085481842708802</v>
      </c>
      <c r="V35">
        <v>37.8229173101453</v>
      </c>
      <c r="X35">
        <v>1.2511372074053999</v>
      </c>
      <c r="AJ35">
        <v>0</v>
      </c>
      <c r="AK35">
        <v>-2.9972364904479298E-2</v>
      </c>
      <c r="AL35">
        <v>0.70572106057866002</v>
      </c>
      <c r="AM35">
        <v>6.9848551664043398E-2</v>
      </c>
      <c r="AN35">
        <v>0.25440275266177498</v>
      </c>
    </row>
    <row r="36" spans="1:40" x14ac:dyDescent="0.2">
      <c r="A36">
        <v>174</v>
      </c>
      <c r="B36">
        <v>773</v>
      </c>
      <c r="C36">
        <v>115</v>
      </c>
      <c r="D36">
        <v>0.48261769344740202</v>
      </c>
      <c r="E36">
        <v>0.598091097020505</v>
      </c>
      <c r="F36">
        <v>4.9121917830174899</v>
      </c>
      <c r="G36">
        <v>-4.0956330459899037</v>
      </c>
      <c r="H36">
        <v>-2.9722119703662564</v>
      </c>
      <c r="I36">
        <v>1.0738623291341001</v>
      </c>
      <c r="J36">
        <v>0.53242182541780703</v>
      </c>
      <c r="K36">
        <v>0.121756462988321</v>
      </c>
      <c r="L36">
        <v>3.6158602511799338E-5</v>
      </c>
      <c r="M36">
        <v>4.1952043725492773E-7</v>
      </c>
      <c r="N36" s="1">
        <v>2.3466879981120501E-9</v>
      </c>
      <c r="O36" s="1">
        <v>2.8707964794565901E-13</v>
      </c>
      <c r="P36">
        <v>0</v>
      </c>
      <c r="R36">
        <v>9.5224849956111601</v>
      </c>
      <c r="S36">
        <v>1.80207416088766</v>
      </c>
      <c r="T36">
        <v>49.164029869299803</v>
      </c>
      <c r="V36">
        <v>38.229587538385204</v>
      </c>
      <c r="X36">
        <v>1.28182343581608</v>
      </c>
      <c r="AJ36">
        <v>0</v>
      </c>
      <c r="AK36">
        <v>-3.17713404846841E-2</v>
      </c>
      <c r="AL36">
        <v>0.69226728913889601</v>
      </c>
      <c r="AM36">
        <v>7.1513130262939095E-2</v>
      </c>
      <c r="AN36">
        <v>0.267990921082848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0D853-3291-4CF9-83D4-0E2B321449C1}">
  <sheetPr codeName="Sheet8"/>
  <dimension ref="A1:AP26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26</v>
      </c>
      <c r="B2">
        <v>738</v>
      </c>
      <c r="C2">
        <v>275</v>
      </c>
      <c r="D2">
        <v>0.28822677149780002</v>
      </c>
      <c r="E2">
        <v>0.16891111067037201</v>
      </c>
      <c r="F2">
        <v>3.5812285101780499</v>
      </c>
      <c r="G2">
        <v>-2.1556905964797082</v>
      </c>
      <c r="H2">
        <v>-1.8323452278998493</v>
      </c>
      <c r="I2">
        <v>0.319779823547306</v>
      </c>
      <c r="J2">
        <v>0.18893517342048399</v>
      </c>
      <c r="K2">
        <v>4.7165689145587199E-2</v>
      </c>
      <c r="L2">
        <v>4.4433660521149576E-5</v>
      </c>
      <c r="M2">
        <v>9.1362265532614638E-7</v>
      </c>
      <c r="N2" s="1">
        <v>2.43923892855514E-10</v>
      </c>
      <c r="O2" s="1">
        <v>4.64248247312069E-14</v>
      </c>
      <c r="P2" s="1">
        <v>-2.4140040517071801E-13</v>
      </c>
      <c r="Q2">
        <v>49.894008424194801</v>
      </c>
      <c r="R2">
        <v>1.57410238221867E-2</v>
      </c>
      <c r="S2">
        <v>1.99437556593464</v>
      </c>
      <c r="T2">
        <v>0.53335220598932198</v>
      </c>
      <c r="V2">
        <v>32.039259348176898</v>
      </c>
      <c r="X2">
        <v>15.3374740855986</v>
      </c>
      <c r="AA2">
        <v>0.168615013564865</v>
      </c>
      <c r="AB2">
        <v>1.7174332718521E-2</v>
      </c>
      <c r="AJ2">
        <v>-1.0917565099137601</v>
      </c>
      <c r="AK2">
        <v>0.99165298932517298</v>
      </c>
      <c r="AL2">
        <v>1.0453131631279999</v>
      </c>
      <c r="AM2">
        <v>3.7833531224156003E-2</v>
      </c>
      <c r="AN2">
        <v>-3.69099147335782E-2</v>
      </c>
      <c r="AO2">
        <v>5.2567664589181502E-2</v>
      </c>
      <c r="AP2">
        <v>1.2990763808224399E-3</v>
      </c>
    </row>
    <row r="3" spans="1:42" x14ac:dyDescent="0.2">
      <c r="A3">
        <v>27</v>
      </c>
      <c r="B3">
        <v>737</v>
      </c>
      <c r="C3">
        <v>275</v>
      </c>
      <c r="D3">
        <v>0.28745285353660599</v>
      </c>
      <c r="E3">
        <v>0.25350888686226802</v>
      </c>
      <c r="F3">
        <v>3.5836284417628002</v>
      </c>
      <c r="G3">
        <v>-3.2320915525760543</v>
      </c>
      <c r="H3">
        <v>-2.7476676518692886</v>
      </c>
      <c r="I3">
        <v>0.479556403214142</v>
      </c>
      <c r="J3">
        <v>0.28343201118699601</v>
      </c>
      <c r="K3">
        <v>7.0740840179727399E-2</v>
      </c>
      <c r="L3">
        <v>4.4410625219234204E-5</v>
      </c>
      <c r="M3">
        <v>9.137109111000669E-7</v>
      </c>
      <c r="N3" s="1">
        <v>3.7763855312700199E-10</v>
      </c>
      <c r="O3" s="1">
        <v>6.9738528090806903E-14</v>
      </c>
      <c r="P3" s="1">
        <v>-4.6692034353859304E-13</v>
      </c>
      <c r="Q3">
        <v>49.801903052477499</v>
      </c>
      <c r="R3">
        <v>1.5991367749146501E-2</v>
      </c>
      <c r="S3">
        <v>2.0971488026468399</v>
      </c>
      <c r="T3">
        <v>0.54672554446050203</v>
      </c>
      <c r="V3">
        <v>32.132228495286697</v>
      </c>
      <c r="X3">
        <v>15.234277470810801</v>
      </c>
      <c r="AA3">
        <v>0.15482031964169801</v>
      </c>
      <c r="AB3">
        <v>1.6904946926613901E-2</v>
      </c>
      <c r="AJ3">
        <v>-1.09850133006466</v>
      </c>
      <c r="AK3">
        <v>0.992246027993821</v>
      </c>
      <c r="AL3">
        <v>1.0488795903079799</v>
      </c>
      <c r="AM3">
        <v>4.00378437001798E-2</v>
      </c>
      <c r="AN3">
        <v>-3.9099060844656801E-2</v>
      </c>
      <c r="AO3">
        <v>5.5157578643920097E-2</v>
      </c>
      <c r="AP3">
        <v>1.27935026341549E-3</v>
      </c>
    </row>
    <row r="4" spans="1:42" x14ac:dyDescent="0.2">
      <c r="A4">
        <v>28</v>
      </c>
      <c r="B4">
        <v>736</v>
      </c>
      <c r="C4">
        <v>275</v>
      </c>
      <c r="D4">
        <v>0.28667740177377199</v>
      </c>
      <c r="E4">
        <v>0.284295010506252</v>
      </c>
      <c r="F4">
        <v>3.5857716546892799</v>
      </c>
      <c r="G4">
        <v>-3.6213733481722366</v>
      </c>
      <c r="H4">
        <v>-3.0790755967836065</v>
      </c>
      <c r="I4">
        <v>0.53738071782057095</v>
      </c>
      <c r="J4">
        <v>0.31771686394270399</v>
      </c>
      <c r="K4">
        <v>7.9284192604530804E-2</v>
      </c>
      <c r="L4">
        <v>4.4385906726838221E-5</v>
      </c>
      <c r="M4">
        <v>9.1377228978118069E-7</v>
      </c>
      <c r="N4" s="1">
        <v>4.3574563881093199E-10</v>
      </c>
      <c r="O4" s="1">
        <v>7.8253110901335194E-14</v>
      </c>
      <c r="P4" s="1">
        <v>-6.2807841865666004E-13</v>
      </c>
      <c r="Q4">
        <v>49.717787348692397</v>
      </c>
      <c r="R4">
        <v>1.6225458629186802E-2</v>
      </c>
      <c r="S4">
        <v>2.1929253552206198</v>
      </c>
      <c r="T4">
        <v>0.55855274787433995</v>
      </c>
      <c r="V4">
        <v>32.212327873712802</v>
      </c>
      <c r="X4">
        <v>15.141304815596101</v>
      </c>
      <c r="AA4">
        <v>0.144221612452233</v>
      </c>
      <c r="AB4">
        <v>1.6654787822213201E-2</v>
      </c>
      <c r="AJ4">
        <v>-1.1044438590833301</v>
      </c>
      <c r="AK4">
        <v>0.99270495303699102</v>
      </c>
      <c r="AL4">
        <v>1.05196248999692</v>
      </c>
      <c r="AM4">
        <v>4.21022220110535E-2</v>
      </c>
      <c r="AN4">
        <v>-4.1149272534741599E-2</v>
      </c>
      <c r="AO4">
        <v>5.7562486827371702E-2</v>
      </c>
      <c r="AP4">
        <v>1.2609797457308199E-3</v>
      </c>
    </row>
    <row r="5" spans="1:42" x14ac:dyDescent="0.2">
      <c r="A5">
        <v>51</v>
      </c>
      <c r="B5">
        <v>741</v>
      </c>
      <c r="C5">
        <v>255</v>
      </c>
      <c r="D5">
        <v>0.31223241137898899</v>
      </c>
      <c r="E5">
        <v>0.18177551724072699</v>
      </c>
      <c r="F5">
        <v>3.5734892540145902</v>
      </c>
      <c r="G5">
        <v>-2.3307790213162161</v>
      </c>
      <c r="H5">
        <v>-1.9808034847815914</v>
      </c>
      <c r="I5">
        <v>0.34509247797133002</v>
      </c>
      <c r="J5">
        <v>0.203819157596071</v>
      </c>
      <c r="K5">
        <v>5.0867794561439798E-2</v>
      </c>
      <c r="L5">
        <v>4.4452840861659761E-5</v>
      </c>
      <c r="M5">
        <v>9.1223676516132503E-7</v>
      </c>
      <c r="N5" s="1">
        <v>2.4791263905449099E-10</v>
      </c>
      <c r="O5" s="1">
        <v>5.0573268429226802E-14</v>
      </c>
      <c r="P5" s="1">
        <v>-1.8003131157747399E-13</v>
      </c>
      <c r="Q5">
        <v>50.048489150849697</v>
      </c>
      <c r="R5">
        <v>1.5849536417339501E-2</v>
      </c>
      <c r="S5">
        <v>1.9263127705534999</v>
      </c>
      <c r="T5">
        <v>0.52273701549740303</v>
      </c>
      <c r="V5">
        <v>31.6263139647345</v>
      </c>
      <c r="X5">
        <v>15.670277904977301</v>
      </c>
      <c r="AA5">
        <v>0.17311623867361101</v>
      </c>
      <c r="AB5">
        <v>1.6903418296412301E-2</v>
      </c>
      <c r="AJ5">
        <v>-1.0740686954152201</v>
      </c>
      <c r="AK5">
        <v>0.99150368522927301</v>
      </c>
      <c r="AL5">
        <v>1.02961663429183</v>
      </c>
      <c r="AM5">
        <v>3.6359503193888101E-2</v>
      </c>
      <c r="AN5">
        <v>-3.5431523897059898E-2</v>
      </c>
      <c r="AO5">
        <v>5.0744567877429002E-2</v>
      </c>
      <c r="AP5">
        <v>1.2758287198549501E-3</v>
      </c>
    </row>
    <row r="6" spans="1:42" x14ac:dyDescent="0.2">
      <c r="A6">
        <v>52</v>
      </c>
      <c r="B6">
        <v>740</v>
      </c>
      <c r="C6">
        <v>255</v>
      </c>
      <c r="D6">
        <v>0.31148447909983901</v>
      </c>
      <c r="E6">
        <v>0.248388337014154</v>
      </c>
      <c r="F6">
        <v>3.5758131230899699</v>
      </c>
      <c r="G6">
        <v>-3.1817489766968245</v>
      </c>
      <c r="H6">
        <v>-2.7043703786717237</v>
      </c>
      <c r="I6">
        <v>0.47118254752514499</v>
      </c>
      <c r="J6">
        <v>0.27838593161737002</v>
      </c>
      <c r="K6">
        <v>6.94634558529484E-2</v>
      </c>
      <c r="L6">
        <v>4.4435700593956469E-5</v>
      </c>
      <c r="M6">
        <v>9.1236447059902076E-7</v>
      </c>
      <c r="N6" s="1">
        <v>3.4828666431674E-10</v>
      </c>
      <c r="O6" s="1">
        <v>6.9197892965262294E-14</v>
      </c>
      <c r="P6" s="1">
        <v>-3.4320312529686199E-13</v>
      </c>
      <c r="Q6">
        <v>49.960574778258497</v>
      </c>
      <c r="R6">
        <v>1.6091156951548901E-2</v>
      </c>
      <c r="S6">
        <v>2.0230691634581102</v>
      </c>
      <c r="T6">
        <v>0.53540140625434995</v>
      </c>
      <c r="V6">
        <v>31.7179757940043</v>
      </c>
      <c r="X6">
        <v>15.569809018130901</v>
      </c>
      <c r="AA6">
        <v>0.16044179036954201</v>
      </c>
      <c r="AB6">
        <v>1.6636892572624198E-2</v>
      </c>
      <c r="AJ6">
        <v>-1.0805440438624301</v>
      </c>
      <c r="AK6">
        <v>0.99204846267607205</v>
      </c>
      <c r="AL6">
        <v>1.0331173929806201</v>
      </c>
      <c r="AM6">
        <v>3.8429966383737101E-2</v>
      </c>
      <c r="AN6">
        <v>-3.74873689966072E-2</v>
      </c>
      <c r="AO6">
        <v>5.3179250535268202E-2</v>
      </c>
      <c r="AP6">
        <v>1.2563402833427001E-3</v>
      </c>
    </row>
    <row r="7" spans="1:42" x14ac:dyDescent="0.2">
      <c r="A7">
        <v>72</v>
      </c>
      <c r="B7">
        <v>744</v>
      </c>
      <c r="C7">
        <v>235</v>
      </c>
      <c r="D7">
        <v>0.336096445951927</v>
      </c>
      <c r="E7">
        <v>0.19689164966474801</v>
      </c>
      <c r="F7">
        <v>3.56601449995786</v>
      </c>
      <c r="G7">
        <v>-2.5361842225783251</v>
      </c>
      <c r="H7">
        <v>-2.1549355644534129</v>
      </c>
      <c r="I7">
        <v>0.374820486776691</v>
      </c>
      <c r="J7">
        <v>0.22127829984074099</v>
      </c>
      <c r="K7">
        <v>5.52133620508483E-2</v>
      </c>
      <c r="L7">
        <v>4.4454611208608294E-5</v>
      </c>
      <c r="M7">
        <v>9.1080558413414689E-7</v>
      </c>
      <c r="N7" s="1">
        <v>2.5612012932176799E-10</v>
      </c>
      <c r="O7" s="1">
        <v>5.5418982878413499E-14</v>
      </c>
      <c r="P7" s="1">
        <v>-1.1713899938431501E-13</v>
      </c>
      <c r="Q7">
        <v>50.191871001734498</v>
      </c>
      <c r="R7">
        <v>1.60081082376476E-2</v>
      </c>
      <c r="S7">
        <v>1.8705063506167401</v>
      </c>
      <c r="T7">
        <v>0.51418742367846304</v>
      </c>
      <c r="V7">
        <v>31.222998343267101</v>
      </c>
      <c r="X7">
        <v>15.990586494742599</v>
      </c>
      <c r="AA7">
        <v>0.17722768324386701</v>
      </c>
      <c r="AB7">
        <v>1.66145944788538E-2</v>
      </c>
      <c r="AJ7">
        <v>-1.0571613991127899</v>
      </c>
      <c r="AK7">
        <v>0.99137208436458801</v>
      </c>
      <c r="AL7">
        <v>1.0143604208756301</v>
      </c>
      <c r="AM7">
        <v>3.514639880118E-2</v>
      </c>
      <c r="AN7">
        <v>-3.4211095532451899E-2</v>
      </c>
      <c r="AO7">
        <v>4.9242184416253297E-2</v>
      </c>
      <c r="AP7">
        <v>1.2514061875948E-3</v>
      </c>
    </row>
    <row r="8" spans="1:42" x14ac:dyDescent="0.2">
      <c r="A8">
        <v>73</v>
      </c>
      <c r="B8">
        <v>743</v>
      </c>
      <c r="C8">
        <v>235</v>
      </c>
      <c r="D8">
        <v>0.33537420656399403</v>
      </c>
      <c r="E8">
        <v>0.245806545412317</v>
      </c>
      <c r="F8">
        <v>3.5682342873955402</v>
      </c>
      <c r="G8">
        <v>-3.1632201755306841</v>
      </c>
      <c r="H8">
        <v>-2.6880924784920603</v>
      </c>
      <c r="I8">
        <v>0.46757633916116897</v>
      </c>
      <c r="J8">
        <v>0.27613416953034198</v>
      </c>
      <c r="K8">
        <v>6.8887445614377305E-2</v>
      </c>
      <c r="L8">
        <v>4.4442893171192584E-5</v>
      </c>
      <c r="M8">
        <v>9.1096448023583912E-7</v>
      </c>
      <c r="N8" s="1">
        <v>3.2747609052006799E-10</v>
      </c>
      <c r="O8" s="1">
        <v>6.9304530436654905E-14</v>
      </c>
      <c r="P8" s="1">
        <v>-2.3664210822277098E-13</v>
      </c>
      <c r="Q8">
        <v>50.109022200479203</v>
      </c>
      <c r="R8">
        <v>1.6240075914522999E-2</v>
      </c>
      <c r="S8">
        <v>1.96071781634562</v>
      </c>
      <c r="T8">
        <v>0.52599032322616901</v>
      </c>
      <c r="V8">
        <v>31.311759625564299</v>
      </c>
      <c r="X8">
        <v>15.8944798453944</v>
      </c>
      <c r="AA8">
        <v>0.165431831338756</v>
      </c>
      <c r="AB8">
        <v>1.6358281736854101E-2</v>
      </c>
      <c r="AJ8">
        <v>-1.06330279804679</v>
      </c>
      <c r="AK8">
        <v>0.99187843651910701</v>
      </c>
      <c r="AL8">
        <v>1.01773480160199</v>
      </c>
      <c r="AM8">
        <v>3.7073327435693797E-2</v>
      </c>
      <c r="AN8">
        <v>-3.6124013279625201E-2</v>
      </c>
      <c r="AO8">
        <v>5.1507550589002901E-2</v>
      </c>
      <c r="AP8">
        <v>1.23269518062356E-3</v>
      </c>
    </row>
    <row r="9" spans="1:42" x14ac:dyDescent="0.2">
      <c r="A9">
        <v>89</v>
      </c>
      <c r="B9">
        <v>748</v>
      </c>
      <c r="C9">
        <v>215</v>
      </c>
      <c r="D9">
        <v>0.36051559516231801</v>
      </c>
      <c r="E9">
        <v>0.12561715485329999</v>
      </c>
      <c r="F9">
        <v>3.5564286678457599</v>
      </c>
      <c r="G9">
        <v>-1.62709918032235</v>
      </c>
      <c r="H9">
        <v>-1.3820427887721585</v>
      </c>
      <c r="I9">
        <v>0.23998079767927399</v>
      </c>
      <c r="J9">
        <v>0.14155442256786899</v>
      </c>
      <c r="K9">
        <v>3.5321151240575999E-2</v>
      </c>
      <c r="L9">
        <v>4.4444976918531357E-5</v>
      </c>
      <c r="M9">
        <v>9.0907498897628913E-7</v>
      </c>
      <c r="N9" s="1">
        <v>1.5447801075888299E-10</v>
      </c>
      <c r="O9" s="1">
        <v>3.5693622855399399E-14</v>
      </c>
      <c r="P9" s="1">
        <v>1.27512957213666E-14</v>
      </c>
      <c r="Q9">
        <v>50.407133275778797</v>
      </c>
      <c r="R9">
        <v>1.6072567590077899E-2</v>
      </c>
      <c r="S9">
        <v>1.74275096872395</v>
      </c>
      <c r="T9">
        <v>0.49580370480229702</v>
      </c>
      <c r="V9">
        <v>30.726519777749999</v>
      </c>
      <c r="X9">
        <v>16.402708446538899</v>
      </c>
      <c r="AA9">
        <v>0.19243885720374901</v>
      </c>
      <c r="AB9">
        <v>1.6572401612136099E-2</v>
      </c>
      <c r="AJ9">
        <v>-1.03453346944538</v>
      </c>
      <c r="AK9">
        <v>0.99076602964041705</v>
      </c>
      <c r="AL9">
        <v>0.99565598503489305</v>
      </c>
      <c r="AM9">
        <v>3.2410151301066399E-2</v>
      </c>
      <c r="AN9">
        <v>-3.1473504299032597E-2</v>
      </c>
      <c r="AO9">
        <v>4.5929799463632501E-2</v>
      </c>
      <c r="AP9">
        <v>1.2450083044088401E-3</v>
      </c>
    </row>
    <row r="10" spans="1:42" x14ac:dyDescent="0.2">
      <c r="A10">
        <v>90</v>
      </c>
      <c r="B10">
        <v>747</v>
      </c>
      <c r="C10">
        <v>215</v>
      </c>
      <c r="D10">
        <v>0.35982012449149797</v>
      </c>
      <c r="E10">
        <v>0.213717042960893</v>
      </c>
      <c r="F10">
        <v>3.5589276389464501</v>
      </c>
      <c r="G10">
        <v>-2.7650965590590055</v>
      </c>
      <c r="H10">
        <v>-2.3489186565841895</v>
      </c>
      <c r="I10">
        <v>0.40795755768741399</v>
      </c>
      <c r="J10">
        <v>0.24071122171401799</v>
      </c>
      <c r="K10">
        <v>6.0050966089369502E-2</v>
      </c>
      <c r="L10">
        <v>4.4440627883237294E-5</v>
      </c>
      <c r="M10">
        <v>9.0934367321801712E-7</v>
      </c>
      <c r="N10" s="1">
        <v>2.6829472015217998E-10</v>
      </c>
      <c r="O10" s="1">
        <v>6.0840416871574104E-14</v>
      </c>
      <c r="P10" s="1">
        <v>-5.6761237639668199E-14</v>
      </c>
      <c r="Q10">
        <v>50.319118720374902</v>
      </c>
      <c r="R10">
        <v>1.6243297311418301E-2</v>
      </c>
      <c r="S10">
        <v>1.8324094109390701</v>
      </c>
      <c r="T10">
        <v>0.50856344434400103</v>
      </c>
      <c r="V10">
        <v>30.8345488508917</v>
      </c>
      <c r="X10">
        <v>16.2928017404728</v>
      </c>
      <c r="AA10">
        <v>0.18002055120483201</v>
      </c>
      <c r="AB10">
        <v>1.6293984461133899E-2</v>
      </c>
      <c r="AJ10">
        <v>-1.0414030830507599</v>
      </c>
      <c r="AK10">
        <v>0.99129742817301802</v>
      </c>
      <c r="AL10">
        <v>0.99973722387288799</v>
      </c>
      <c r="AM10">
        <v>3.4306674943499697E-2</v>
      </c>
      <c r="AN10">
        <v>-3.3359528334682399E-2</v>
      </c>
      <c r="AO10">
        <v>4.8196480877837899E-2</v>
      </c>
      <c r="AP10">
        <v>1.2248035182077701E-3</v>
      </c>
    </row>
    <row r="11" spans="1:42" x14ac:dyDescent="0.2">
      <c r="A11">
        <v>91</v>
      </c>
      <c r="B11">
        <v>746</v>
      </c>
      <c r="C11">
        <v>215</v>
      </c>
      <c r="D11">
        <v>0.35912328901535701</v>
      </c>
      <c r="E11">
        <v>0.24643995085814099</v>
      </c>
      <c r="F11">
        <v>3.56101198500162</v>
      </c>
      <c r="G11">
        <v>-3.1855598981094815</v>
      </c>
      <c r="H11">
        <v>-2.7064948326822424</v>
      </c>
      <c r="I11">
        <v>0.47006335223199602</v>
      </c>
      <c r="J11">
        <v>0.2774567217726</v>
      </c>
      <c r="K11">
        <v>6.9205032697475896E-2</v>
      </c>
      <c r="L11">
        <v>4.4433532125330879E-5</v>
      </c>
      <c r="M11">
        <v>9.0952337253881853E-7</v>
      </c>
      <c r="N11" s="1">
        <v>3.1555948048291999E-10</v>
      </c>
      <c r="O11" s="1">
        <v>7.0295871218899794E-14</v>
      </c>
      <c r="P11" s="1">
        <v>-1.49776943149332E-13</v>
      </c>
      <c r="Q11">
        <v>50.242228805227398</v>
      </c>
      <c r="R11">
        <v>1.6464350239506299E-2</v>
      </c>
      <c r="S11">
        <v>1.9155989348412099</v>
      </c>
      <c r="T11">
        <v>0.51934227997648896</v>
      </c>
      <c r="V11">
        <v>30.9185603920413</v>
      </c>
      <c r="X11">
        <v>16.202748012364601</v>
      </c>
      <c r="AA11">
        <v>0.16900254105895399</v>
      </c>
      <c r="AB11">
        <v>1.60546842504149E-2</v>
      </c>
      <c r="AJ11">
        <v>-1.04713314684249</v>
      </c>
      <c r="AK11">
        <v>0.99176935115577702</v>
      </c>
      <c r="AL11">
        <v>1.00291629511879</v>
      </c>
      <c r="AM11">
        <v>3.60818402083872E-2</v>
      </c>
      <c r="AN11">
        <v>-3.51213680723639E-2</v>
      </c>
      <c r="AO11">
        <v>5.0279664896987299E-2</v>
      </c>
      <c r="AP11">
        <v>1.2073635349093099E-3</v>
      </c>
    </row>
    <row r="12" spans="1:42" x14ac:dyDescent="0.2">
      <c r="A12">
        <v>104</v>
      </c>
      <c r="B12">
        <v>752</v>
      </c>
      <c r="C12">
        <v>195</v>
      </c>
      <c r="D12">
        <v>0.38474418377798603</v>
      </c>
      <c r="E12">
        <v>9.3153050437779605E-2</v>
      </c>
      <c r="F12">
        <v>3.5515805611209599</v>
      </c>
      <c r="G12">
        <v>-1.210116812368246</v>
      </c>
      <c r="H12">
        <v>-1.0271493346019351</v>
      </c>
      <c r="I12">
        <v>0.17847873751773899</v>
      </c>
      <c r="J12">
        <v>0.105113731809585</v>
      </c>
      <c r="K12">
        <v>2.6228618170040401E-2</v>
      </c>
      <c r="L12">
        <v>4.4435056606786442E-5</v>
      </c>
      <c r="M12">
        <v>9.0822826833220282E-7</v>
      </c>
      <c r="N12" s="1">
        <v>1.1168295302196E-10</v>
      </c>
      <c r="O12" s="1">
        <v>2.65239982650286E-14</v>
      </c>
      <c r="P12" s="1">
        <v>5.2522165711819798E-14</v>
      </c>
      <c r="Q12">
        <v>50.500762655436503</v>
      </c>
      <c r="R12">
        <v>1.50623323150787E-2</v>
      </c>
      <c r="S12">
        <v>1.67914708899279</v>
      </c>
      <c r="T12">
        <v>0.49706477536154497</v>
      </c>
      <c r="V12">
        <v>30.509883167578899</v>
      </c>
      <c r="X12">
        <v>16.581958887398098</v>
      </c>
      <c r="AA12">
        <v>0.19983274449185101</v>
      </c>
      <c r="AB12">
        <v>1.6288348425041801E-2</v>
      </c>
      <c r="AJ12">
        <v>-1.02463960435127</v>
      </c>
      <c r="AK12">
        <v>0.99049075960755095</v>
      </c>
      <c r="AL12">
        <v>0.98756205590221302</v>
      </c>
      <c r="AM12">
        <v>3.0887130640251E-2</v>
      </c>
      <c r="AN12">
        <v>-3.0010309874959999E-2</v>
      </c>
      <c r="AO12">
        <v>4.4487628806496503E-2</v>
      </c>
      <c r="AP12">
        <v>1.2223392697226199E-3</v>
      </c>
    </row>
    <row r="13" spans="1:42" x14ac:dyDescent="0.2">
      <c r="A13">
        <v>105</v>
      </c>
      <c r="B13">
        <v>751</v>
      </c>
      <c r="C13">
        <v>195</v>
      </c>
      <c r="D13">
        <v>0.38407508665723</v>
      </c>
      <c r="E13">
        <v>0.19081151119745601</v>
      </c>
      <c r="F13">
        <v>3.5502575284104498</v>
      </c>
      <c r="G13">
        <v>-2.4814707869278729</v>
      </c>
      <c r="H13">
        <v>-2.1071589304441538</v>
      </c>
      <c r="I13">
        <v>0.36548538444926898</v>
      </c>
      <c r="J13">
        <v>0.21543811145542099</v>
      </c>
      <c r="K13">
        <v>5.3745822569352397E-2</v>
      </c>
      <c r="L13">
        <v>4.4414960818185497E-5</v>
      </c>
      <c r="M13">
        <v>9.0764522755787364E-7</v>
      </c>
      <c r="N13" s="1">
        <v>2.30440875827266E-10</v>
      </c>
      <c r="O13" s="1">
        <v>5.4810645805677703E-14</v>
      </c>
      <c r="P13" s="1">
        <v>5.8659117387162798E-14</v>
      </c>
      <c r="Q13">
        <v>50.500627578681403</v>
      </c>
      <c r="R13">
        <v>1.63711256406836E-2</v>
      </c>
      <c r="S13">
        <v>1.7377527761773699</v>
      </c>
      <c r="T13">
        <v>0.49608929914639999</v>
      </c>
      <c r="V13">
        <v>30.379368308617401</v>
      </c>
      <c r="X13">
        <v>16.661838610099199</v>
      </c>
      <c r="AA13">
        <v>0.19178238974903</v>
      </c>
      <c r="AB13">
        <v>1.6169911888324999E-2</v>
      </c>
      <c r="AJ13">
        <v>-1.02141942970953</v>
      </c>
      <c r="AK13">
        <v>0.99083971727418196</v>
      </c>
      <c r="AL13">
        <v>0.98266935512428599</v>
      </c>
      <c r="AM13">
        <v>3.2258640005969702E-2</v>
      </c>
      <c r="AN13">
        <v>-3.1306278208877103E-2</v>
      </c>
      <c r="AO13">
        <v>4.57453686364694E-2</v>
      </c>
      <c r="AP13">
        <v>1.2126268775084501E-3</v>
      </c>
    </row>
    <row r="14" spans="1:42" x14ac:dyDescent="0.2">
      <c r="A14">
        <v>106</v>
      </c>
      <c r="B14">
        <v>750</v>
      </c>
      <c r="C14">
        <v>195</v>
      </c>
      <c r="D14">
        <v>0.38340468162048602</v>
      </c>
      <c r="E14">
        <v>0.22939363803294599</v>
      </c>
      <c r="F14">
        <v>3.5523436416370702</v>
      </c>
      <c r="G14">
        <v>-2.9804478358742044</v>
      </c>
      <c r="H14">
        <v>-2.5312310844787151</v>
      </c>
      <c r="I14">
        <v>0.43905268181155199</v>
      </c>
      <c r="J14">
        <v>0.25889656314645298</v>
      </c>
      <c r="K14">
        <v>6.4575294840347006E-2</v>
      </c>
      <c r="L14">
        <v>4.4413366787114383E-5</v>
      </c>
      <c r="M14">
        <v>9.0787075475779456E-7</v>
      </c>
      <c r="N14" s="1">
        <v>2.8138248446543998E-10</v>
      </c>
      <c r="O14" s="1">
        <v>6.6053102346911595E-14</v>
      </c>
      <c r="P14" s="1">
        <v>-5.1315641656181697E-15</v>
      </c>
      <c r="Q14">
        <v>50.425440790414697</v>
      </c>
      <c r="R14">
        <v>1.6587187784961099E-2</v>
      </c>
      <c r="S14">
        <v>1.8172954648566499</v>
      </c>
      <c r="T14">
        <v>0.50667489073927996</v>
      </c>
      <c r="V14">
        <v>30.465831236585899</v>
      </c>
      <c r="X14">
        <v>16.571740762951698</v>
      </c>
      <c r="AA14">
        <v>0.18049928606035001</v>
      </c>
      <c r="AB14">
        <v>1.5930380606274101E-2</v>
      </c>
      <c r="AJ14">
        <v>-1.02714158567792</v>
      </c>
      <c r="AK14">
        <v>0.99132124615618999</v>
      </c>
      <c r="AL14">
        <v>0.98592252642114098</v>
      </c>
      <c r="AM14">
        <v>3.39485734977958E-2</v>
      </c>
      <c r="AN14">
        <v>-3.2983195781755702E-2</v>
      </c>
      <c r="AO14">
        <v>4.7737218354254297E-2</v>
      </c>
      <c r="AP14">
        <v>1.1952170303009501E-3</v>
      </c>
    </row>
    <row r="15" spans="1:42" x14ac:dyDescent="0.2">
      <c r="A15">
        <v>116</v>
      </c>
      <c r="B15">
        <v>756</v>
      </c>
      <c r="C15">
        <v>175</v>
      </c>
      <c r="D15">
        <v>0.40878443375601398</v>
      </c>
      <c r="E15">
        <v>0.123546490171068</v>
      </c>
      <c r="F15">
        <v>3.5428408999412602</v>
      </c>
      <c r="G15">
        <v>-1.6136290967669826</v>
      </c>
      <c r="H15">
        <v>-1.3691681966920735</v>
      </c>
      <c r="I15">
        <v>0.23753670512064201</v>
      </c>
      <c r="J15">
        <v>0.13976780211995599</v>
      </c>
      <c r="K15">
        <v>3.4872153071597599E-2</v>
      </c>
      <c r="L15">
        <v>4.4387539505678536E-5</v>
      </c>
      <c r="M15">
        <v>9.0626412532270843E-7</v>
      </c>
      <c r="N15" s="1">
        <v>1.4514834057502901E-10</v>
      </c>
      <c r="O15" s="1">
        <v>3.5567017124622498E-14</v>
      </c>
      <c r="P15" s="1">
        <v>1.2183974987443601E-13</v>
      </c>
      <c r="Q15">
        <v>50.663427433068797</v>
      </c>
      <c r="R15">
        <v>1.5694451842398299E-2</v>
      </c>
      <c r="S15">
        <v>1.62552409348271</v>
      </c>
      <c r="T15">
        <v>0.48809692579312403</v>
      </c>
      <c r="V15">
        <v>30.025592419812298</v>
      </c>
      <c r="X15">
        <v>16.9580177319468</v>
      </c>
      <c r="AA15">
        <v>0.20754782884377099</v>
      </c>
      <c r="AB15">
        <v>1.6099115209910302E-2</v>
      </c>
      <c r="AJ15">
        <v>-1.00481983255463</v>
      </c>
      <c r="AK15">
        <v>0.99020934114981995</v>
      </c>
      <c r="AL15">
        <v>0.96947815681087601</v>
      </c>
      <c r="AM15">
        <v>2.97462887501917E-2</v>
      </c>
      <c r="AN15">
        <v>-2.8834934242314699E-2</v>
      </c>
      <c r="AO15">
        <v>4.3015835053677398E-2</v>
      </c>
      <c r="AP15">
        <v>1.20514503238148E-3</v>
      </c>
    </row>
    <row r="16" spans="1:42" x14ac:dyDescent="0.2">
      <c r="A16">
        <v>117</v>
      </c>
      <c r="B16">
        <v>755</v>
      </c>
      <c r="C16">
        <v>175</v>
      </c>
      <c r="D16">
        <v>0.40814132179156798</v>
      </c>
      <c r="E16">
        <v>0.19218937543289499</v>
      </c>
      <c r="F16">
        <v>3.5425184700446901</v>
      </c>
      <c r="G16">
        <v>-2.5113495364324767</v>
      </c>
      <c r="H16">
        <v>-2.1315961267134425</v>
      </c>
      <c r="I16">
        <v>0.36935603726988597</v>
      </c>
      <c r="J16">
        <v>0.217481764003292</v>
      </c>
      <c r="K16">
        <v>5.4252187266780903E-2</v>
      </c>
      <c r="L16">
        <v>4.4372648702756267E-5</v>
      </c>
      <c r="M16">
        <v>9.0594259206944781E-7</v>
      </c>
      <c r="N16" s="1">
        <v>2.2780166340080601E-10</v>
      </c>
      <c r="O16" s="1">
        <v>5.5713140545128703E-14</v>
      </c>
      <c r="P16" s="1">
        <v>1.38859448681024E-13</v>
      </c>
      <c r="Q16">
        <v>50.643471098862101</v>
      </c>
      <c r="R16">
        <v>1.66708591617519E-2</v>
      </c>
      <c r="S16">
        <v>1.6856113536571899</v>
      </c>
      <c r="T16">
        <v>0.490361255372257</v>
      </c>
      <c r="V16">
        <v>29.9611917468768</v>
      </c>
      <c r="X16">
        <v>16.987879650449301</v>
      </c>
      <c r="AA16">
        <v>0.19886382532192601</v>
      </c>
      <c r="AB16">
        <v>1.5950210298522699E-2</v>
      </c>
      <c r="AJ16">
        <v>-1.0042004752212901</v>
      </c>
      <c r="AK16">
        <v>0.99058283785377699</v>
      </c>
      <c r="AL16">
        <v>0.96707797641312698</v>
      </c>
      <c r="AM16">
        <v>3.1104095297594302E-2</v>
      </c>
      <c r="AN16">
        <v>-3.01363632077771E-2</v>
      </c>
      <c r="AO16">
        <v>4.43783264583444E-2</v>
      </c>
      <c r="AP16">
        <v>1.1936024062264199E-3</v>
      </c>
    </row>
    <row r="17" spans="1:42" x14ac:dyDescent="0.2">
      <c r="A17">
        <v>118</v>
      </c>
      <c r="B17">
        <v>754</v>
      </c>
      <c r="C17">
        <v>175</v>
      </c>
      <c r="D17">
        <v>0.40749695760112897</v>
      </c>
      <c r="E17">
        <v>0.22396255730824499</v>
      </c>
      <c r="F17">
        <v>3.5445125036476099</v>
      </c>
      <c r="G17">
        <v>-2.9238930407518393</v>
      </c>
      <c r="H17">
        <v>-2.4821195852912319</v>
      </c>
      <c r="I17">
        <v>0.43009633983411</v>
      </c>
      <c r="J17">
        <v>0.253339689795053</v>
      </c>
      <c r="K17">
        <v>6.3185715123805705E-2</v>
      </c>
      <c r="L17">
        <v>4.4375088839271173E-5</v>
      </c>
      <c r="M17">
        <v>9.0619270476612871E-7</v>
      </c>
      <c r="N17" s="1">
        <v>2.6844934507171001E-10</v>
      </c>
      <c r="O17" s="1">
        <v>6.51000674324276E-14</v>
      </c>
      <c r="P17" s="1">
        <v>9.2880891958772395E-14</v>
      </c>
      <c r="Q17">
        <v>50.572752803093103</v>
      </c>
      <c r="R17">
        <v>1.6877996341691001E-2</v>
      </c>
      <c r="S17">
        <v>1.7595465951556799</v>
      </c>
      <c r="T17">
        <v>0.50023636242345504</v>
      </c>
      <c r="V17">
        <v>30.044954998652901</v>
      </c>
      <c r="X17">
        <v>16.902076205824699</v>
      </c>
      <c r="AA17">
        <v>0.187831856471083</v>
      </c>
      <c r="AB17">
        <v>1.57231820372432E-2</v>
      </c>
      <c r="AJ17">
        <v>-1.0096491472878</v>
      </c>
      <c r="AK17">
        <v>0.99105204733307395</v>
      </c>
      <c r="AL17">
        <v>0.97021338284591996</v>
      </c>
      <c r="AM17">
        <v>3.2671338203397703E-2</v>
      </c>
      <c r="AN17">
        <v>-3.1691145777664298E-2</v>
      </c>
      <c r="AO17">
        <v>4.6226387688679198E-2</v>
      </c>
      <c r="AP17">
        <v>1.17713699439483E-3</v>
      </c>
    </row>
    <row r="18" spans="1:42" x14ac:dyDescent="0.2">
      <c r="A18">
        <v>131</v>
      </c>
      <c r="B18">
        <v>761</v>
      </c>
      <c r="C18">
        <v>155</v>
      </c>
      <c r="D18">
        <v>0.43325484697577799</v>
      </c>
      <c r="E18">
        <v>0.116729906489283</v>
      </c>
      <c r="F18">
        <v>3.5362967382852601</v>
      </c>
      <c r="G18">
        <v>-1.5308020164683831</v>
      </c>
      <c r="H18">
        <v>-1.297846888629707</v>
      </c>
      <c r="I18">
        <v>0.22526241632130301</v>
      </c>
      <c r="J18">
        <v>0.132306012852344</v>
      </c>
      <c r="K18">
        <v>3.3009081287076802E-2</v>
      </c>
      <c r="L18">
        <v>4.4347814173726784E-5</v>
      </c>
      <c r="M18">
        <v>9.0483038192460866E-7</v>
      </c>
      <c r="N18" s="1">
        <v>1.35900789022476E-10</v>
      </c>
      <c r="O18" s="1">
        <v>3.3740270115364002E-14</v>
      </c>
      <c r="P18" s="1">
        <v>1.7006901144638199E-13</v>
      </c>
      <c r="Q18">
        <v>50.780572687576999</v>
      </c>
      <c r="R18">
        <v>1.54293874387933E-2</v>
      </c>
      <c r="S18">
        <v>1.5718952430064499</v>
      </c>
      <c r="T18">
        <v>0.48806647761813798</v>
      </c>
      <c r="V18">
        <v>29.696347915175</v>
      </c>
      <c r="X18">
        <v>17.215190408877699</v>
      </c>
      <c r="AA18">
        <v>0.21660446168556699</v>
      </c>
      <c r="AB18">
        <v>1.58934186212434E-2</v>
      </c>
      <c r="AJ18">
        <v>-0.99095760885661699</v>
      </c>
      <c r="AK18">
        <v>0.98986682985775598</v>
      </c>
      <c r="AL18">
        <v>0.95726679541968795</v>
      </c>
      <c r="AM18">
        <v>2.8479556218723501E-2</v>
      </c>
      <c r="AN18">
        <v>-2.7585070548412E-2</v>
      </c>
      <c r="AO18">
        <v>4.1741712084515298E-2</v>
      </c>
      <c r="AP18">
        <v>1.18778582434467E-3</v>
      </c>
    </row>
    <row r="19" spans="1:42" x14ac:dyDescent="0.2">
      <c r="A19">
        <v>132</v>
      </c>
      <c r="B19">
        <v>760</v>
      </c>
      <c r="C19">
        <v>155</v>
      </c>
      <c r="D19">
        <v>0.43263853264288998</v>
      </c>
      <c r="E19">
        <v>0.17523484690753599</v>
      </c>
      <c r="F19">
        <v>3.53224021091795</v>
      </c>
      <c r="G19">
        <v>-2.3041058124840585</v>
      </c>
      <c r="H19">
        <v>-1.9547010931055311</v>
      </c>
      <c r="I19">
        <v>0.338193601489161</v>
      </c>
      <c r="J19">
        <v>0.19886743082061401</v>
      </c>
      <c r="K19">
        <v>4.9610116086073602E-2</v>
      </c>
      <c r="L19">
        <v>4.4297373436094154E-5</v>
      </c>
      <c r="M19">
        <v>9.0357160023372595E-7</v>
      </c>
      <c r="N19" s="1">
        <v>2.06245574888022E-10</v>
      </c>
      <c r="O19" s="1">
        <v>5.1303840781323897E-14</v>
      </c>
      <c r="P19" s="1">
        <v>2.2326142229165201E-13</v>
      </c>
      <c r="Q19">
        <v>50.846491762629498</v>
      </c>
      <c r="R19">
        <v>1.7567601558358101E-2</v>
      </c>
      <c r="S19">
        <v>1.6020180784965401</v>
      </c>
      <c r="T19">
        <v>0.477443264203537</v>
      </c>
      <c r="V19">
        <v>29.396564255439799</v>
      </c>
      <c r="X19">
        <v>17.431719430009</v>
      </c>
      <c r="AA19">
        <v>0.212284840851479</v>
      </c>
      <c r="AB19">
        <v>1.59107668115572E-2</v>
      </c>
      <c r="AJ19">
        <v>-0.980528220641251</v>
      </c>
      <c r="AK19">
        <v>0.99005949478268296</v>
      </c>
      <c r="AL19">
        <v>0.94612141740800304</v>
      </c>
      <c r="AM19">
        <v>2.9333231657677102E-2</v>
      </c>
      <c r="AN19">
        <v>-2.83163801835585E-2</v>
      </c>
      <c r="AO19">
        <v>4.2143234055310903E-2</v>
      </c>
      <c r="AP19">
        <v>1.18722292113493E-3</v>
      </c>
    </row>
    <row r="20" spans="1:42" x14ac:dyDescent="0.2">
      <c r="A20">
        <v>133</v>
      </c>
      <c r="B20">
        <v>759</v>
      </c>
      <c r="C20">
        <v>155</v>
      </c>
      <c r="D20">
        <v>0.43202102407596099</v>
      </c>
      <c r="E20">
        <v>0.21115565301539799</v>
      </c>
      <c r="F20">
        <v>3.5359271899423299</v>
      </c>
      <c r="G20">
        <v>-2.7711032206557107</v>
      </c>
      <c r="H20">
        <v>-2.3508952054949672</v>
      </c>
      <c r="I20">
        <v>0.407119134971412</v>
      </c>
      <c r="J20">
        <v>0.23942986733368701</v>
      </c>
      <c r="K20">
        <v>5.9717194860803097E-2</v>
      </c>
      <c r="L20">
        <v>4.432089152205265E-5</v>
      </c>
      <c r="M20">
        <v>9.0430599629912768E-7</v>
      </c>
      <c r="N20" s="1">
        <v>2.4968898868200602E-10</v>
      </c>
      <c r="O20" s="1">
        <v>6.1835970562890195E-14</v>
      </c>
      <c r="P20" s="1">
        <v>2.0237125010156201E-13</v>
      </c>
      <c r="Q20">
        <v>50.739750548935497</v>
      </c>
      <c r="R20">
        <v>1.7201006656217099E-2</v>
      </c>
      <c r="S20">
        <v>1.68339728196168</v>
      </c>
      <c r="T20">
        <v>0.49279483036315702</v>
      </c>
      <c r="V20">
        <v>29.590820955683199</v>
      </c>
      <c r="X20">
        <v>17.260924154677099</v>
      </c>
      <c r="AA20">
        <v>0.199498869493419</v>
      </c>
      <c r="AB20">
        <v>1.56123522295036E-2</v>
      </c>
      <c r="AJ20">
        <v>-0.99038591486922201</v>
      </c>
      <c r="AK20">
        <v>0.99059938765991196</v>
      </c>
      <c r="AL20">
        <v>0.95334572767335402</v>
      </c>
      <c r="AM20">
        <v>3.09886474202676E-2</v>
      </c>
      <c r="AN20">
        <v>-2.9991998902534501E-2</v>
      </c>
      <c r="AO20">
        <v>4.4278005857504299E-2</v>
      </c>
      <c r="AP20">
        <v>1.1661451607182401E-3</v>
      </c>
    </row>
    <row r="21" spans="1:42" x14ac:dyDescent="0.2">
      <c r="A21">
        <v>150</v>
      </c>
      <c r="B21">
        <v>767</v>
      </c>
      <c r="C21">
        <v>135</v>
      </c>
      <c r="D21">
        <v>0.45807864250348701</v>
      </c>
      <c r="E21">
        <v>0.113033867046252</v>
      </c>
      <c r="F21">
        <v>3.5294561298763401</v>
      </c>
      <c r="G21">
        <v>-1.488743163817698</v>
      </c>
      <c r="H21">
        <v>-1.2608820634795737</v>
      </c>
      <c r="I21">
        <v>0.219065615861293</v>
      </c>
      <c r="J21">
        <v>0.12837499739184499</v>
      </c>
      <c r="K21">
        <v>3.2025859760498702E-2</v>
      </c>
      <c r="L21">
        <v>4.4298226035395345E-5</v>
      </c>
      <c r="M21">
        <v>9.0323948741727582E-7</v>
      </c>
      <c r="N21" s="1">
        <v>1.31782783130164E-10</v>
      </c>
      <c r="O21" s="1">
        <v>3.2772367688805302E-14</v>
      </c>
      <c r="P21" s="1">
        <v>2.2075983104441799E-13</v>
      </c>
      <c r="Q21">
        <v>50.896737258185702</v>
      </c>
      <c r="R21">
        <v>1.53171029995083E-2</v>
      </c>
      <c r="S21">
        <v>1.52380748329602</v>
      </c>
      <c r="T21">
        <v>0.49041299326601001</v>
      </c>
      <c r="V21">
        <v>29.351593309702501</v>
      </c>
      <c r="X21">
        <v>17.479470483822499</v>
      </c>
      <c r="AA21">
        <v>0.22693680467219601</v>
      </c>
      <c r="AB21">
        <v>1.5724564055380402E-2</v>
      </c>
      <c r="AJ21">
        <v>-0.97669115515924698</v>
      </c>
      <c r="AK21">
        <v>0.98947075926126704</v>
      </c>
      <c r="AL21">
        <v>0.94453726629658397</v>
      </c>
      <c r="AM21">
        <v>2.7309566960324098E-2</v>
      </c>
      <c r="AN21">
        <v>-2.6423107662000501E-2</v>
      </c>
      <c r="AO21">
        <v>4.0623511258141599E-2</v>
      </c>
      <c r="AP21">
        <v>1.17315904493132E-3</v>
      </c>
    </row>
    <row r="22" spans="1:42" x14ac:dyDescent="0.2">
      <c r="A22">
        <v>151</v>
      </c>
      <c r="B22">
        <v>766</v>
      </c>
      <c r="C22">
        <v>135</v>
      </c>
      <c r="D22">
        <v>0.45748977529712298</v>
      </c>
      <c r="E22">
        <v>0.16662114223278299</v>
      </c>
      <c r="F22">
        <v>3.5256780336226599</v>
      </c>
      <c r="G22">
        <v>-2.1999064556954333</v>
      </c>
      <c r="H22">
        <v>-1.8643260750820205</v>
      </c>
      <c r="I22">
        <v>0.32293738210403899</v>
      </c>
      <c r="J22">
        <v>0.18945173130836501</v>
      </c>
      <c r="K22">
        <v>4.7259318815784997E-2</v>
      </c>
      <c r="L22">
        <v>4.4245672326606667E-5</v>
      </c>
      <c r="M22">
        <v>9.0204596409849053E-7</v>
      </c>
      <c r="N22" s="1">
        <v>1.9681659804952399E-10</v>
      </c>
      <c r="O22" s="1">
        <v>4.8891471170538703E-14</v>
      </c>
      <c r="P22" s="1">
        <v>2.9600245901838601E-13</v>
      </c>
      <c r="Q22">
        <v>50.9583016258876</v>
      </c>
      <c r="R22">
        <v>1.7330322041334199E-2</v>
      </c>
      <c r="S22">
        <v>1.5520801277754599</v>
      </c>
      <c r="T22">
        <v>0.48059489195530802</v>
      </c>
      <c r="V22">
        <v>29.070932795362499</v>
      </c>
      <c r="X22">
        <v>17.682063135109601</v>
      </c>
      <c r="AA22">
        <v>0.22296498497506201</v>
      </c>
      <c r="AB22">
        <v>1.57321168930292E-2</v>
      </c>
      <c r="AJ22">
        <v>-0.96696552189257901</v>
      </c>
      <c r="AK22">
        <v>0.98964908762196102</v>
      </c>
      <c r="AL22">
        <v>0.93413898283602304</v>
      </c>
      <c r="AM22">
        <v>2.8109661778302701E-2</v>
      </c>
      <c r="AN22">
        <v>-2.71081549540764E-2</v>
      </c>
      <c r="AO22">
        <v>4.1003936662668099E-2</v>
      </c>
      <c r="AP22">
        <v>1.1720079477006899E-3</v>
      </c>
    </row>
    <row r="23" spans="1:42" x14ac:dyDescent="0.2">
      <c r="A23">
        <v>152</v>
      </c>
      <c r="B23">
        <v>765</v>
      </c>
      <c r="C23">
        <v>135</v>
      </c>
      <c r="D23">
        <v>0.45689977363579698</v>
      </c>
      <c r="E23">
        <v>0.19858045402010499</v>
      </c>
      <c r="F23">
        <v>3.5271295854646501</v>
      </c>
      <c r="G23">
        <v>-2.6202248499045102</v>
      </c>
      <c r="H23">
        <v>-2.2209312774932353</v>
      </c>
      <c r="I23">
        <v>0.38462030767353</v>
      </c>
      <c r="J23">
        <v>0.22573268792588</v>
      </c>
      <c r="K23">
        <v>5.6300867095571999E-2</v>
      </c>
      <c r="L23">
        <v>4.425064176406474E-5</v>
      </c>
      <c r="M23">
        <v>9.0224424962671779E-7</v>
      </c>
      <c r="N23" s="1">
        <v>2.3529144468839E-10</v>
      </c>
      <c r="O23" s="1">
        <v>5.8499858161718004E-14</v>
      </c>
      <c r="P23" s="1">
        <v>3.0163018381180098E-13</v>
      </c>
      <c r="Q23">
        <v>50.903778541133597</v>
      </c>
      <c r="R23">
        <v>1.7665222443263701E-2</v>
      </c>
      <c r="S23">
        <v>1.6138065057700499</v>
      </c>
      <c r="T23">
        <v>0.48814005922464099</v>
      </c>
      <c r="V23">
        <v>29.125497331303599</v>
      </c>
      <c r="X23">
        <v>17.623092988075999</v>
      </c>
      <c r="AA23">
        <v>0.212483976715098</v>
      </c>
      <c r="AB23">
        <v>1.5535375333605699E-2</v>
      </c>
      <c r="AJ23">
        <v>-0.97095137040274404</v>
      </c>
      <c r="AK23">
        <v>0.99009239117769199</v>
      </c>
      <c r="AL23">
        <v>0.93615970006938998</v>
      </c>
      <c r="AM23">
        <v>2.9423624428848199E-2</v>
      </c>
      <c r="AN23">
        <v>-2.8402472285852801E-2</v>
      </c>
      <c r="AO23">
        <v>4.2520445214410701E-2</v>
      </c>
      <c r="AP23">
        <v>1.15768179825477E-3</v>
      </c>
    </row>
    <row r="24" spans="1:42" x14ac:dyDescent="0.2">
      <c r="A24">
        <v>172</v>
      </c>
      <c r="B24">
        <v>775</v>
      </c>
      <c r="C24">
        <v>115</v>
      </c>
      <c r="D24">
        <v>0.483738491628109</v>
      </c>
      <c r="E24">
        <v>6.7311179042325697E-2</v>
      </c>
      <c r="F24">
        <v>3.5251974591408</v>
      </c>
      <c r="G24">
        <v>-0.88902699589859469</v>
      </c>
      <c r="H24">
        <v>-0.75161408855220879</v>
      </c>
      <c r="I24">
        <v>0.13110042202584099</v>
      </c>
      <c r="J24">
        <v>7.6549333971266495E-2</v>
      </c>
      <c r="K24">
        <v>1.9094300339911E-2</v>
      </c>
      <c r="L24">
        <v>4.4278794647686403E-5</v>
      </c>
      <c r="M24">
        <v>9.0233931405505811E-7</v>
      </c>
      <c r="N24" s="1">
        <v>7.8851267352400104E-11</v>
      </c>
      <c r="O24" s="1">
        <v>1.94035889842902E-14</v>
      </c>
      <c r="P24" s="1">
        <v>1.71831495970209E-13</v>
      </c>
      <c r="Q24">
        <v>50.956496358342903</v>
      </c>
      <c r="R24">
        <v>1.40973044469145E-2</v>
      </c>
      <c r="S24">
        <v>1.47494688432608</v>
      </c>
      <c r="T24">
        <v>0.50504055076614895</v>
      </c>
      <c r="V24">
        <v>29.198391479379399</v>
      </c>
      <c r="X24">
        <v>17.597004515352701</v>
      </c>
      <c r="AA24">
        <v>0.23844999677475801</v>
      </c>
      <c r="AB24">
        <v>1.5572910611015499E-2</v>
      </c>
      <c r="AJ24">
        <v>-0.969694601513854</v>
      </c>
      <c r="AK24">
        <v>0.98901495637639503</v>
      </c>
      <c r="AL24">
        <v>0.93896228506026802</v>
      </c>
      <c r="AM24">
        <v>2.59423912202103E-2</v>
      </c>
      <c r="AN24">
        <v>-2.5127086322701799E-2</v>
      </c>
      <c r="AO24">
        <v>3.9741007980255698E-2</v>
      </c>
      <c r="AP24">
        <v>1.1610471994253301E-3</v>
      </c>
    </row>
    <row r="25" spans="1:42" x14ac:dyDescent="0.2">
      <c r="A25">
        <v>173</v>
      </c>
      <c r="B25">
        <v>774</v>
      </c>
      <c r="C25">
        <v>115</v>
      </c>
      <c r="D25">
        <v>0.48317862770377201</v>
      </c>
      <c r="E25">
        <v>0.13798463751346901</v>
      </c>
      <c r="F25">
        <v>3.5204809762648002</v>
      </c>
      <c r="G25">
        <v>-1.8278880533920927</v>
      </c>
      <c r="H25">
        <v>-1.5464141636767452</v>
      </c>
      <c r="I25">
        <v>0.26879997107897302</v>
      </c>
      <c r="J25">
        <v>0.157136270559389</v>
      </c>
      <c r="K25">
        <v>3.9194825492245601E-2</v>
      </c>
      <c r="L25">
        <v>4.421277175801433E-5</v>
      </c>
      <c r="M25">
        <v>9.008998866096123E-7</v>
      </c>
      <c r="N25" s="1">
        <v>1.6418604747185001E-10</v>
      </c>
      <c r="O25" s="1">
        <v>4.0286673488524599E-14</v>
      </c>
      <c r="P25" s="1">
        <v>3.3342976145395902E-13</v>
      </c>
      <c r="Q25">
        <v>51.040657733425903</v>
      </c>
      <c r="R25">
        <v>1.6300189869512701E-2</v>
      </c>
      <c r="S25">
        <v>1.49354466741712</v>
      </c>
      <c r="T25">
        <v>0.49163149417198199</v>
      </c>
      <c r="V25">
        <v>28.859249986274499</v>
      </c>
      <c r="X25">
        <v>17.845185778522801</v>
      </c>
      <c r="AA25">
        <v>0.23782385196331299</v>
      </c>
      <c r="AB25">
        <v>1.5606298354729899E-2</v>
      </c>
      <c r="AJ25">
        <v>-0.95741615921563505</v>
      </c>
      <c r="AK25">
        <v>0.98905755631498804</v>
      </c>
      <c r="AL25">
        <v>0.92642281165857099</v>
      </c>
      <c r="AM25">
        <v>2.65734244815879E-2</v>
      </c>
      <c r="AN25">
        <v>-2.5632376832236299E-2</v>
      </c>
      <c r="AO25">
        <v>3.9833254947181498E-2</v>
      </c>
      <c r="AP25">
        <v>1.1614886455424899E-3</v>
      </c>
    </row>
    <row r="26" spans="1:42" x14ac:dyDescent="0.2">
      <c r="A26">
        <v>174</v>
      </c>
      <c r="B26">
        <v>773</v>
      </c>
      <c r="C26">
        <v>115</v>
      </c>
      <c r="D26">
        <v>0.48261769344740202</v>
      </c>
      <c r="E26">
        <v>0.172790801321272</v>
      </c>
      <c r="F26">
        <v>3.51792716566389</v>
      </c>
      <c r="G26">
        <v>-2.2928646685463883</v>
      </c>
      <c r="H26">
        <v>-1.9407677723245633</v>
      </c>
      <c r="I26">
        <v>0.33656444699309301</v>
      </c>
      <c r="J26">
        <v>0.19692781772733201</v>
      </c>
      <c r="K26">
        <v>4.9117219653597902E-2</v>
      </c>
      <c r="L26">
        <v>4.4170005057047065E-5</v>
      </c>
      <c r="M26">
        <v>9.0003071921365041E-7</v>
      </c>
      <c r="N26" s="1">
        <v>2.0813433628321499E-10</v>
      </c>
      <c r="O26" s="1">
        <v>5.0947068777826702E-14</v>
      </c>
      <c r="P26" s="1">
        <v>3.8543298767496598E-13</v>
      </c>
      <c r="Q26">
        <v>51.077270556170298</v>
      </c>
      <c r="R26">
        <v>1.7931078849555498E-2</v>
      </c>
      <c r="S26">
        <v>1.5254155113832</v>
      </c>
      <c r="T26">
        <v>0.48568253227647301</v>
      </c>
      <c r="V26">
        <v>28.658772270938702</v>
      </c>
      <c r="X26">
        <v>17.987156234062802</v>
      </c>
      <c r="AA26">
        <v>0.23219596130075701</v>
      </c>
      <c r="AB26">
        <v>1.55758550180073E-2</v>
      </c>
      <c r="AJ26">
        <v>-0.950902175337627</v>
      </c>
      <c r="AK26">
        <v>0.98930245121512195</v>
      </c>
      <c r="AL26">
        <v>0.91902744464669694</v>
      </c>
      <c r="AM26">
        <v>2.73998601333275E-2</v>
      </c>
      <c r="AN26">
        <v>-2.6365737435614801E-2</v>
      </c>
      <c r="AO26">
        <v>4.0380143181792297E-2</v>
      </c>
      <c r="AP26">
        <v>1.1580135963027199E-3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3EC9F-0766-41DA-8BAF-BC7E712DBBF5}">
  <sheetPr codeName="Sheet9"/>
  <dimension ref="A1:AL97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24</v>
      </c>
      <c r="B2">
        <v>740</v>
      </c>
      <c r="C2">
        <v>275</v>
      </c>
      <c r="D2">
        <v>0.28977002418201098</v>
      </c>
      <c r="E2">
        <v>6.5544281105174802</v>
      </c>
      <c r="F2">
        <v>2.5262570318264199</v>
      </c>
      <c r="G2">
        <v>-103.27150378081582</v>
      </c>
      <c r="H2">
        <v>-89.638152192999044</v>
      </c>
      <c r="I2">
        <v>13.4563999287536</v>
      </c>
      <c r="J2">
        <v>7.8274482227847297</v>
      </c>
      <c r="K2">
        <v>2.5945214710708799</v>
      </c>
      <c r="L2">
        <v>2.9021359857580924E-5</v>
      </c>
      <c r="M2">
        <v>1.7958068865273792E-6</v>
      </c>
      <c r="N2" s="1">
        <v>-7.8075740046959798E-8</v>
      </c>
      <c r="O2" s="1">
        <v>2.45127120416087E-11</v>
      </c>
      <c r="P2" s="1">
        <v>2.7774355072872902E-10</v>
      </c>
      <c r="Q2">
        <v>66.071758924919095</v>
      </c>
      <c r="S2">
        <v>18.9959345802305</v>
      </c>
      <c r="AA2">
        <v>0.25489884517954597</v>
      </c>
      <c r="AB2">
        <v>4.7026071367524001</v>
      </c>
      <c r="AC2">
        <v>9.9748005129183301</v>
      </c>
      <c r="AJ2">
        <v>0.41228688486921999</v>
      </c>
      <c r="AK2">
        <v>1.2349218630154001E-2</v>
      </c>
      <c r="AL2">
        <v>0.57536389650062403</v>
      </c>
    </row>
    <row r="3" spans="1:38" x14ac:dyDescent="0.2">
      <c r="A3">
        <v>25</v>
      </c>
      <c r="B3">
        <v>739</v>
      </c>
      <c r="C3">
        <v>275</v>
      </c>
      <c r="D3">
        <v>0.28899916020352701</v>
      </c>
      <c r="E3">
        <v>13.7745648446578</v>
      </c>
      <c r="F3">
        <v>2.52630582762152</v>
      </c>
      <c r="G3">
        <v>-217.01763501305305</v>
      </c>
      <c r="H3">
        <v>-188.40848034684791</v>
      </c>
      <c r="I3">
        <v>28.265726094161099</v>
      </c>
      <c r="J3">
        <v>16.4568495018625</v>
      </c>
      <c r="K3">
        <v>5.4524534179721202</v>
      </c>
      <c r="L3">
        <v>2.9069165636848298E-5</v>
      </c>
      <c r="M3">
        <v>1.7962425580649277E-6</v>
      </c>
      <c r="N3" s="1">
        <v>-1.7071960695058901E-7</v>
      </c>
      <c r="O3" s="1">
        <v>5.1458886494854597E-11</v>
      </c>
      <c r="P3" s="1">
        <v>6.0263964104464396E-10</v>
      </c>
      <c r="Q3">
        <v>66.081363673884795</v>
      </c>
      <c r="S3">
        <v>18.9943666758459</v>
      </c>
      <c r="AA3">
        <v>0.25136417114236898</v>
      </c>
      <c r="AB3">
        <v>4.7199003396506498</v>
      </c>
      <c r="AC3">
        <v>9.9530051394761596</v>
      </c>
      <c r="AJ3">
        <v>0.41376673186134999</v>
      </c>
      <c r="AK3">
        <v>1.21769046468857E-2</v>
      </c>
      <c r="AL3">
        <v>0.57405636349176303</v>
      </c>
    </row>
    <row r="4" spans="1:38" x14ac:dyDescent="0.2">
      <c r="A4">
        <v>26</v>
      </c>
      <c r="B4">
        <v>738</v>
      </c>
      <c r="C4">
        <v>275</v>
      </c>
      <c r="D4">
        <v>0.28822677149780002</v>
      </c>
      <c r="E4">
        <v>32.0372777058464</v>
      </c>
      <c r="F4">
        <v>2.5264443499520399</v>
      </c>
      <c r="G4">
        <v>-504.86411967490858</v>
      </c>
      <c r="H4">
        <v>-438.39744907417395</v>
      </c>
      <c r="I4">
        <v>65.733739406353706</v>
      </c>
      <c r="J4">
        <v>38.312300515623797</v>
      </c>
      <c r="K4">
        <v>12.6807771192167</v>
      </c>
      <c r="L4">
        <v>2.9182337278401401E-5</v>
      </c>
      <c r="M4">
        <v>1.7975807665304972E-6</v>
      </c>
      <c r="N4" s="1">
        <v>-4.2052870634081597E-7</v>
      </c>
      <c r="O4" s="1">
        <v>1.1944023194971699E-10</v>
      </c>
      <c r="P4" s="1">
        <v>1.4689610872679401E-9</v>
      </c>
      <c r="Q4">
        <v>66.117306220496204</v>
      </c>
      <c r="S4">
        <v>18.997495070184399</v>
      </c>
      <c r="AA4">
        <v>0.245558426618189</v>
      </c>
      <c r="AB4">
        <v>4.8081978700891304</v>
      </c>
      <c r="AC4">
        <v>9.8314424126119899</v>
      </c>
      <c r="AJ4">
        <v>0.42131854036934901</v>
      </c>
      <c r="AK4">
        <v>1.18903290012803E-2</v>
      </c>
      <c r="AL4">
        <v>0.56679113062937003</v>
      </c>
    </row>
    <row r="5" spans="1:38" x14ac:dyDescent="0.2">
      <c r="A5">
        <v>27</v>
      </c>
      <c r="B5">
        <v>737</v>
      </c>
      <c r="C5">
        <v>275</v>
      </c>
      <c r="D5">
        <v>0.28745285353660599</v>
      </c>
      <c r="E5">
        <v>35.750632216863401</v>
      </c>
      <c r="F5">
        <v>2.52648127443593</v>
      </c>
      <c r="G5">
        <v>-563.31945069983783</v>
      </c>
      <c r="H5">
        <v>-489.26265114915913</v>
      </c>
      <c r="I5">
        <v>73.312675890391205</v>
      </c>
      <c r="J5">
        <v>42.769276262435397</v>
      </c>
      <c r="K5">
        <v>14.150365007096701</v>
      </c>
      <c r="L5">
        <v>2.92240484663593E-5</v>
      </c>
      <c r="M5">
        <v>1.797895789457156E-6</v>
      </c>
      <c r="N5" s="1">
        <v>-4.8676605591870003E-7</v>
      </c>
      <c r="O5" s="1">
        <v>1.3314481024541701E-10</v>
      </c>
      <c r="P5" s="1">
        <v>1.68897282145166E-9</v>
      </c>
      <c r="Q5">
        <v>66.123076091533704</v>
      </c>
      <c r="S5">
        <v>18.995182970706399</v>
      </c>
      <c r="AA5">
        <v>0.242304600347411</v>
      </c>
      <c r="AB5">
        <v>4.8149942489530204</v>
      </c>
      <c r="AC5">
        <v>9.8244420884593904</v>
      </c>
      <c r="AJ5">
        <v>0.42189955881588598</v>
      </c>
      <c r="AK5">
        <v>1.17323699389974E-2</v>
      </c>
      <c r="AL5">
        <v>0.56636807124511501</v>
      </c>
    </row>
    <row r="6" spans="1:38" x14ac:dyDescent="0.2">
      <c r="A6">
        <v>28</v>
      </c>
      <c r="B6">
        <v>736</v>
      </c>
      <c r="C6">
        <v>275</v>
      </c>
      <c r="D6">
        <v>0.28667740177377199</v>
      </c>
      <c r="E6">
        <v>36.993755385028003</v>
      </c>
      <c r="F6">
        <v>2.5265017276461599</v>
      </c>
      <c r="G6">
        <v>-582.81148110049128</v>
      </c>
      <c r="H6">
        <v>-506.30250464767471</v>
      </c>
      <c r="I6">
        <v>75.815266761944599</v>
      </c>
      <c r="J6">
        <v>44.269735503716397</v>
      </c>
      <c r="K6">
        <v>14.6422838267732</v>
      </c>
      <c r="L6">
        <v>2.9255298593447006E-5</v>
      </c>
      <c r="M6">
        <v>1.7980510655117312E-6</v>
      </c>
      <c r="N6" s="1">
        <v>-5.2077464763102895E-7</v>
      </c>
      <c r="O6" s="1">
        <v>1.3764890545380901E-10</v>
      </c>
      <c r="P6" s="1">
        <v>1.7961252988747E-9</v>
      </c>
      <c r="Q6">
        <v>66.124075472142707</v>
      </c>
      <c r="S6">
        <v>18.992038073673701</v>
      </c>
      <c r="AA6">
        <v>0.23947683629153099</v>
      </c>
      <c r="AB6">
        <v>4.8089765586196602</v>
      </c>
      <c r="AC6">
        <v>9.8354330592723809</v>
      </c>
      <c r="AJ6">
        <v>0.42138516473716697</v>
      </c>
      <c r="AK6">
        <v>1.15958044829275E-2</v>
      </c>
      <c r="AL6">
        <v>0.56701903077990401</v>
      </c>
    </row>
    <row r="7" spans="1:38" x14ac:dyDescent="0.2">
      <c r="A7">
        <v>49</v>
      </c>
      <c r="B7">
        <v>743</v>
      </c>
      <c r="C7">
        <v>255</v>
      </c>
      <c r="D7">
        <v>0.31372385966638899</v>
      </c>
      <c r="E7">
        <v>8.0759635968410706</v>
      </c>
      <c r="F7">
        <v>2.5255321171088698</v>
      </c>
      <c r="G7">
        <v>-127.44768899286443</v>
      </c>
      <c r="H7">
        <v>-110.55458581609209</v>
      </c>
      <c r="I7">
        <v>16.624615634278701</v>
      </c>
      <c r="J7">
        <v>9.6450835016085303</v>
      </c>
      <c r="K7">
        <v>3.1977275371520899</v>
      </c>
      <c r="L7">
        <v>2.9033225477116546E-5</v>
      </c>
      <c r="M7">
        <v>1.7982838174813483E-6</v>
      </c>
      <c r="N7" s="1">
        <v>-8.8313017807991597E-8</v>
      </c>
      <c r="O7" s="1">
        <v>3.0233300799718197E-11</v>
      </c>
      <c r="P7" s="1">
        <v>3.19882185041973E-10</v>
      </c>
      <c r="Q7">
        <v>66.115131677711602</v>
      </c>
      <c r="S7">
        <v>19.018700277171298</v>
      </c>
      <c r="AA7">
        <v>0.26356033933717699</v>
      </c>
      <c r="AB7">
        <v>4.8589442250689903</v>
      </c>
      <c r="AC7">
        <v>9.7436634807108895</v>
      </c>
      <c r="AJ7">
        <v>0.42565545720119102</v>
      </c>
      <c r="AK7">
        <v>1.2758720986327099E-2</v>
      </c>
      <c r="AL7">
        <v>0.56158582181248096</v>
      </c>
    </row>
    <row r="8" spans="1:38" x14ac:dyDescent="0.2">
      <c r="A8">
        <v>50</v>
      </c>
      <c r="B8">
        <v>742</v>
      </c>
      <c r="C8">
        <v>255</v>
      </c>
      <c r="D8">
        <v>0.31297887011771702</v>
      </c>
      <c r="E8">
        <v>21.653727457713298</v>
      </c>
      <c r="F8">
        <v>2.5255891033235698</v>
      </c>
      <c r="G8">
        <v>-341.70257917204538</v>
      </c>
      <c r="H8">
        <v>-296.47355888738252</v>
      </c>
      <c r="I8">
        <v>44.5540267789616</v>
      </c>
      <c r="J8">
        <v>25.871648263689</v>
      </c>
      <c r="K8">
        <v>8.5737333239274598</v>
      </c>
      <c r="L8">
        <v>2.9081235241581729E-5</v>
      </c>
      <c r="M8">
        <v>1.798759708241051E-6</v>
      </c>
      <c r="N8" s="1">
        <v>-2.4657089943279799E-7</v>
      </c>
      <c r="O8" s="1">
        <v>8.0978187339623901E-11</v>
      </c>
      <c r="P8" s="1">
        <v>8.85690005938461E-10</v>
      </c>
      <c r="Q8">
        <v>66.126108438049599</v>
      </c>
      <c r="S8">
        <v>19.017355221983401</v>
      </c>
      <c r="AA8">
        <v>0.25988937807196699</v>
      </c>
      <c r="AB8">
        <v>4.8798791098879502</v>
      </c>
      <c r="AC8">
        <v>9.7167678520069192</v>
      </c>
      <c r="AJ8">
        <v>0.42744406008096297</v>
      </c>
      <c r="AK8">
        <v>1.2579678536962201E-2</v>
      </c>
      <c r="AL8">
        <v>0.55997626138207401</v>
      </c>
    </row>
    <row r="9" spans="1:38" x14ac:dyDescent="0.2">
      <c r="A9">
        <v>51</v>
      </c>
      <c r="B9">
        <v>741</v>
      </c>
      <c r="C9">
        <v>255</v>
      </c>
      <c r="D9">
        <v>0.31223241137898899</v>
      </c>
      <c r="E9">
        <v>33.527957029568199</v>
      </c>
      <c r="F9">
        <v>2.52564438803878</v>
      </c>
      <c r="G9">
        <v>-529.05146615886281</v>
      </c>
      <c r="H9">
        <v>-459.12257736477915</v>
      </c>
      <c r="I9">
        <v>68.953200999934694</v>
      </c>
      <c r="J9">
        <v>40.075586349634797</v>
      </c>
      <c r="K9">
        <v>13.2750109985212</v>
      </c>
      <c r="L9">
        <v>2.9129275234420726E-5</v>
      </c>
      <c r="M9">
        <v>1.7992214378765453E-6</v>
      </c>
      <c r="N9" s="1">
        <v>-3.9734644996740599E-7</v>
      </c>
      <c r="O9" s="1">
        <v>1.25250283845405E-10</v>
      </c>
      <c r="P9" s="1">
        <v>1.4158857845017799E-9</v>
      </c>
      <c r="Q9">
        <v>66.136555044700998</v>
      </c>
      <c r="S9">
        <v>19.015893641221901</v>
      </c>
      <c r="AA9">
        <v>0.25624598613049798</v>
      </c>
      <c r="AB9">
        <v>4.89932708870115</v>
      </c>
      <c r="AC9">
        <v>9.6919782392452998</v>
      </c>
      <c r="AJ9">
        <v>0.429105289197318</v>
      </c>
      <c r="AK9">
        <v>1.24021018774378E-2</v>
      </c>
      <c r="AL9">
        <v>0.55849260892524399</v>
      </c>
    </row>
    <row r="10" spans="1:38" x14ac:dyDescent="0.2">
      <c r="A10">
        <v>52</v>
      </c>
      <c r="B10">
        <v>740</v>
      </c>
      <c r="C10">
        <v>255</v>
      </c>
      <c r="D10">
        <v>0.31148447909983901</v>
      </c>
      <c r="E10">
        <v>36.424460045700599</v>
      </c>
      <c r="F10">
        <v>2.5256629464189002</v>
      </c>
      <c r="G10">
        <v>-574.66311311345976</v>
      </c>
      <c r="H10">
        <v>-498.81403428352093</v>
      </c>
      <c r="I10">
        <v>74.864609218712701</v>
      </c>
      <c r="J10">
        <v>43.5488883703132</v>
      </c>
      <c r="K10">
        <v>14.421742258738901</v>
      </c>
      <c r="L10">
        <v>2.9156662586444607E-5</v>
      </c>
      <c r="M10">
        <v>1.7993722122327781E-6</v>
      </c>
      <c r="N10" s="1">
        <v>-4.4644227748944599E-7</v>
      </c>
      <c r="O10" s="1">
        <v>1.3596262830067199E-10</v>
      </c>
      <c r="P10" s="1">
        <v>1.5802474202060499E-9</v>
      </c>
      <c r="Q10">
        <v>66.137849159649903</v>
      </c>
      <c r="S10">
        <v>19.012685997756201</v>
      </c>
      <c r="AA10">
        <v>0.25329768339603798</v>
      </c>
      <c r="AB10">
        <v>4.8938017001096901</v>
      </c>
      <c r="AC10">
        <v>9.7023654590880195</v>
      </c>
      <c r="AJ10">
        <v>0.428633386088978</v>
      </c>
      <c r="AK10">
        <v>1.2259750608947901E-2</v>
      </c>
      <c r="AL10">
        <v>0.55910686330207404</v>
      </c>
    </row>
    <row r="11" spans="1:38" x14ac:dyDescent="0.2">
      <c r="A11">
        <v>68</v>
      </c>
      <c r="B11">
        <v>748</v>
      </c>
      <c r="C11">
        <v>235</v>
      </c>
      <c r="D11">
        <v>0.33897125789551102</v>
      </c>
      <c r="E11">
        <v>1.0375412942284701</v>
      </c>
      <c r="F11">
        <v>2.5684978574822099</v>
      </c>
      <c r="G11">
        <v>-16.77558338878849</v>
      </c>
      <c r="H11">
        <v>-14.555052419756219</v>
      </c>
      <c r="I11">
        <v>2.1745394594645902</v>
      </c>
      <c r="J11">
        <v>1.2714413042916901</v>
      </c>
      <c r="K11">
        <v>0.40394867031173198</v>
      </c>
      <c r="L11">
        <v>3.1913916631163954E-5</v>
      </c>
      <c r="M11">
        <v>1.8207671315103601E-6</v>
      </c>
      <c r="N11" s="1">
        <v>-1.97423783633666E-8</v>
      </c>
      <c r="O11" s="1">
        <v>3.5552078283113701E-12</v>
      </c>
      <c r="P11" s="1">
        <v>6.5959738313352199E-11</v>
      </c>
      <c r="Q11">
        <v>65.620618689313901</v>
      </c>
      <c r="S11">
        <v>21.051308745094499</v>
      </c>
      <c r="AA11">
        <v>2.0558709830367801</v>
      </c>
      <c r="AB11">
        <v>9.0856959009409497</v>
      </c>
      <c r="AC11">
        <v>2.1865056816136899</v>
      </c>
      <c r="AJ11">
        <v>0.77919710821516497</v>
      </c>
      <c r="AK11">
        <v>9.7430690949837001E-2</v>
      </c>
      <c r="AL11">
        <v>0.123372200834997</v>
      </c>
    </row>
    <row r="12" spans="1:38" x14ac:dyDescent="0.2">
      <c r="A12">
        <v>69</v>
      </c>
      <c r="B12">
        <v>747</v>
      </c>
      <c r="C12">
        <v>235</v>
      </c>
      <c r="D12">
        <v>0.33825466843111501</v>
      </c>
      <c r="E12">
        <v>3.02648366910925</v>
      </c>
      <c r="F12">
        <v>2.566356558646</v>
      </c>
      <c r="G12">
        <v>-48.894298671362385</v>
      </c>
      <c r="H12">
        <v>-42.426855337873896</v>
      </c>
      <c r="I12">
        <v>6.3396984105165801</v>
      </c>
      <c r="J12">
        <v>3.7086961401181102</v>
      </c>
      <c r="K12">
        <v>1.1792919650674001</v>
      </c>
      <c r="L12">
        <v>3.194221194884804E-5</v>
      </c>
      <c r="M12">
        <v>1.8226976515052505E-6</v>
      </c>
      <c r="N12" s="1">
        <v>-5.8896225520097899E-8</v>
      </c>
      <c r="O12" s="1">
        <v>1.0398556636392E-11</v>
      </c>
      <c r="P12" s="1">
        <v>1.96083731016197E-10</v>
      </c>
      <c r="Q12">
        <v>65.738281748722002</v>
      </c>
      <c r="S12">
        <v>20.923412858529598</v>
      </c>
      <c r="AA12">
        <v>1.92290050071577</v>
      </c>
      <c r="AB12">
        <v>9.0126060257610803</v>
      </c>
      <c r="AC12">
        <v>2.4027988662714401</v>
      </c>
      <c r="AJ12">
        <v>0.773211626754571</v>
      </c>
      <c r="AK12">
        <v>9.1162366768139699E-2</v>
      </c>
      <c r="AL12">
        <v>0.13562600647728801</v>
      </c>
    </row>
    <row r="13" spans="1:38" x14ac:dyDescent="0.2">
      <c r="A13">
        <v>70</v>
      </c>
      <c r="B13">
        <v>746</v>
      </c>
      <c r="C13">
        <v>235</v>
      </c>
      <c r="D13">
        <v>0.33753667271746202</v>
      </c>
      <c r="E13">
        <v>7.0015789909177197</v>
      </c>
      <c r="F13">
        <v>2.56664874922091</v>
      </c>
      <c r="G13">
        <v>-113.10642986193287</v>
      </c>
      <c r="H13">
        <v>-98.167694775205348</v>
      </c>
      <c r="I13">
        <v>14.6580337405951</v>
      </c>
      <c r="J13">
        <v>8.58424426864471</v>
      </c>
      <c r="K13">
        <v>2.7279069615750799</v>
      </c>
      <c r="L13">
        <v>3.1996015049413664E-5</v>
      </c>
      <c r="M13">
        <v>1.8227621697495266E-6</v>
      </c>
      <c r="N13" s="1">
        <v>-1.4074225094534601E-7</v>
      </c>
      <c r="O13" s="1">
        <v>2.4010478910811E-11</v>
      </c>
      <c r="P13" s="1">
        <v>4.6647527351264299E-10</v>
      </c>
      <c r="Q13">
        <v>65.727119054377098</v>
      </c>
      <c r="S13">
        <v>20.9354775974648</v>
      </c>
      <c r="AA13">
        <v>1.93545869599195</v>
      </c>
      <c r="AB13">
        <v>9.01935984157479</v>
      </c>
      <c r="AC13">
        <v>2.3825848105912901</v>
      </c>
      <c r="AJ13">
        <v>0.77376488987462499</v>
      </c>
      <c r="AK13">
        <v>9.1754633159805699E-2</v>
      </c>
      <c r="AL13">
        <v>0.134480476965568</v>
      </c>
    </row>
    <row r="14" spans="1:38" x14ac:dyDescent="0.2">
      <c r="A14">
        <v>71</v>
      </c>
      <c r="B14">
        <v>745</v>
      </c>
      <c r="C14">
        <v>235</v>
      </c>
      <c r="D14">
        <v>0.33681726661101002</v>
      </c>
      <c r="E14">
        <v>14.576557937264299</v>
      </c>
      <c r="F14">
        <v>2.5667297344863802</v>
      </c>
      <c r="G14">
        <v>-235.45092426957828</v>
      </c>
      <c r="H14">
        <v>-204.3979218554299</v>
      </c>
      <c r="I14">
        <v>30.499437621321299</v>
      </c>
      <c r="J14">
        <v>17.881129833202099</v>
      </c>
      <c r="K14">
        <v>5.6790388724667196</v>
      </c>
      <c r="L14">
        <v>3.2057788504899525E-5</v>
      </c>
      <c r="M14">
        <v>1.8231878864202925E-6</v>
      </c>
      <c r="N14" s="1">
        <v>-3.0273627472114798E-7</v>
      </c>
      <c r="O14" s="1">
        <v>4.99079910309447E-11</v>
      </c>
      <c r="P14" s="1">
        <v>9.98951276914611E-10</v>
      </c>
      <c r="Q14">
        <v>65.733613409302805</v>
      </c>
      <c r="S14">
        <v>20.933024296839701</v>
      </c>
      <c r="AA14">
        <v>1.9319193289180701</v>
      </c>
      <c r="AB14">
        <v>9.0274005167739606</v>
      </c>
      <c r="AC14">
        <v>2.3740424481653202</v>
      </c>
      <c r="AJ14">
        <v>0.77442382912561103</v>
      </c>
      <c r="AK14">
        <v>9.1583191677887296E-2</v>
      </c>
      <c r="AL14">
        <v>0.13399297919649999</v>
      </c>
    </row>
    <row r="15" spans="1:38" x14ac:dyDescent="0.2">
      <c r="A15">
        <v>72</v>
      </c>
      <c r="B15">
        <v>744</v>
      </c>
      <c r="C15">
        <v>235</v>
      </c>
      <c r="D15">
        <v>0.336096445951927</v>
      </c>
      <c r="E15">
        <v>18.800208309744601</v>
      </c>
      <c r="F15">
        <v>2.5668484441221202</v>
      </c>
      <c r="G15">
        <v>-303.64437731694659</v>
      </c>
      <c r="H15">
        <v>-263.65546597995217</v>
      </c>
      <c r="I15">
        <v>39.314664835072698</v>
      </c>
      <c r="J15">
        <v>23.075118236244499</v>
      </c>
      <c r="K15">
        <v>7.3242377643275596</v>
      </c>
      <c r="L15">
        <v>3.2120217058608911E-5</v>
      </c>
      <c r="M15">
        <v>1.8235547967572846E-6</v>
      </c>
      <c r="N15" s="1">
        <v>-4.03423159158273E-7</v>
      </c>
      <c r="O15" s="1">
        <v>6.4259084223955294E-11</v>
      </c>
      <c r="P15" s="1">
        <v>1.3254397337252399E-9</v>
      </c>
      <c r="Q15">
        <v>65.736944045307496</v>
      </c>
      <c r="S15">
        <v>20.9331586197661</v>
      </c>
      <c r="AA15">
        <v>1.9312529883287299</v>
      </c>
      <c r="AB15">
        <v>9.0351748055435301</v>
      </c>
      <c r="AC15">
        <v>2.3634695410540298</v>
      </c>
      <c r="AJ15">
        <v>0.77506084205361703</v>
      </c>
      <c r="AK15">
        <v>9.1548070538585199E-2</v>
      </c>
      <c r="AL15">
        <v>0.13339108740779701</v>
      </c>
    </row>
    <row r="16" spans="1:38" x14ac:dyDescent="0.2">
      <c r="A16">
        <v>73</v>
      </c>
      <c r="B16">
        <v>743</v>
      </c>
      <c r="C16">
        <v>235</v>
      </c>
      <c r="D16">
        <v>0.33537420656399403</v>
      </c>
      <c r="E16">
        <v>19.892104227319098</v>
      </c>
      <c r="F16">
        <v>2.5669768095191499</v>
      </c>
      <c r="G16">
        <v>-321.24858975419983</v>
      </c>
      <c r="H16">
        <v>-279.00268988483231</v>
      </c>
      <c r="I16">
        <v>41.574472144238101</v>
      </c>
      <c r="J16">
        <v>24.429319846965601</v>
      </c>
      <c r="K16">
        <v>7.7492341004223499</v>
      </c>
      <c r="L16">
        <v>3.2184194006991172E-5</v>
      </c>
      <c r="M16">
        <v>1.8239104648378889E-6</v>
      </c>
      <c r="N16" s="1">
        <v>-4.4104760627106599E-7</v>
      </c>
      <c r="O16" s="1">
        <v>6.7869820662472299E-11</v>
      </c>
      <c r="P16" s="1">
        <v>1.44292732489193E-9</v>
      </c>
      <c r="Q16">
        <v>65.739459121034997</v>
      </c>
      <c r="S16">
        <v>20.933951348250201</v>
      </c>
      <c r="AA16">
        <v>1.9313201389073</v>
      </c>
      <c r="AB16">
        <v>9.0428577577322393</v>
      </c>
      <c r="AC16">
        <v>2.3524116340750698</v>
      </c>
      <c r="AJ16">
        <v>0.77569031063069604</v>
      </c>
      <c r="AK16">
        <v>9.1547760866176095E-2</v>
      </c>
      <c r="AL16">
        <v>0.13276192850312701</v>
      </c>
    </row>
    <row r="17" spans="1:38" x14ac:dyDescent="0.2">
      <c r="A17">
        <v>84</v>
      </c>
      <c r="B17">
        <v>753</v>
      </c>
      <c r="C17">
        <v>215</v>
      </c>
      <c r="D17">
        <v>0.36397261608926701</v>
      </c>
      <c r="E17">
        <v>0.51384154058940801</v>
      </c>
      <c r="F17">
        <v>2.5685169625249999</v>
      </c>
      <c r="G17">
        <v>-8.3217539659258151</v>
      </c>
      <c r="H17">
        <v>-7.2133486420534911</v>
      </c>
      <c r="I17">
        <v>1.0801591617914701</v>
      </c>
      <c r="J17">
        <v>0.62850938349308105</v>
      </c>
      <c r="K17">
        <v>0.20005378515556699</v>
      </c>
      <c r="L17">
        <v>3.1685032841078495E-5</v>
      </c>
      <c r="M17">
        <v>1.8204855643810275E-6</v>
      </c>
      <c r="N17" s="1">
        <v>-8.29195139742837E-9</v>
      </c>
      <c r="O17" s="1">
        <v>1.7693751516764599E-12</v>
      </c>
      <c r="P17" s="1">
        <v>2.8405300585981202E-11</v>
      </c>
      <c r="Q17">
        <v>65.572554456262097</v>
      </c>
      <c r="S17">
        <v>21.121196548556998</v>
      </c>
      <c r="AA17">
        <v>2.1247442681897302</v>
      </c>
      <c r="AB17">
        <v>9.1618072974975195</v>
      </c>
      <c r="AC17">
        <v>2.0196974294934602</v>
      </c>
      <c r="AJ17">
        <v>0.78542654888283003</v>
      </c>
      <c r="AK17">
        <v>0.100656512919781</v>
      </c>
      <c r="AL17">
        <v>0.113916938197387</v>
      </c>
    </row>
    <row r="18" spans="1:38" x14ac:dyDescent="0.2">
      <c r="A18">
        <v>85</v>
      </c>
      <c r="B18">
        <v>752</v>
      </c>
      <c r="C18">
        <v>215</v>
      </c>
      <c r="D18">
        <v>0.363283909671757</v>
      </c>
      <c r="E18">
        <v>1.8948652537834301</v>
      </c>
      <c r="F18">
        <v>2.5665152693898801</v>
      </c>
      <c r="G18">
        <v>-30.665286257145109</v>
      </c>
      <c r="H18">
        <v>-26.583845661302213</v>
      </c>
      <c r="I18">
        <v>3.9813106334125701</v>
      </c>
      <c r="J18">
        <v>2.3177877310624599</v>
      </c>
      <c r="K18">
        <v>0.73830273927569001</v>
      </c>
      <c r="L18">
        <v>3.1723157182141043E-5</v>
      </c>
      <c r="M18">
        <v>1.8226474324432577E-6</v>
      </c>
      <c r="N18" s="1">
        <v>-3.1329328303607102E-8</v>
      </c>
      <c r="O18" s="1">
        <v>6.5418574844953996E-12</v>
      </c>
      <c r="P18" s="1">
        <v>1.06876886576858E-10</v>
      </c>
      <c r="Q18">
        <v>65.694496092159795</v>
      </c>
      <c r="S18">
        <v>20.996474362095601</v>
      </c>
      <c r="AA18">
        <v>1.9933937736181999</v>
      </c>
      <c r="AB18">
        <v>9.1065722680468895</v>
      </c>
      <c r="AC18">
        <v>2.2090635040794599</v>
      </c>
      <c r="AJ18">
        <v>0.780907595785299</v>
      </c>
      <c r="AK18">
        <v>9.4460142517452703E-2</v>
      </c>
      <c r="AL18">
        <v>0.124632261697247</v>
      </c>
    </row>
    <row r="19" spans="1:38" x14ac:dyDescent="0.2">
      <c r="A19">
        <v>86</v>
      </c>
      <c r="B19">
        <v>751</v>
      </c>
      <c r="C19">
        <v>215</v>
      </c>
      <c r="D19">
        <v>0.36259385832153801</v>
      </c>
      <c r="E19">
        <v>3.4299990072963902</v>
      </c>
      <c r="F19">
        <v>2.5641194653875301</v>
      </c>
      <c r="G19">
        <v>-55.458724606368008</v>
      </c>
      <c r="H19">
        <v>-48.081914839130476</v>
      </c>
      <c r="I19">
        <v>7.2028606817727203</v>
      </c>
      <c r="J19">
        <v>4.1948849431984199</v>
      </c>
      <c r="K19">
        <v>1.33769079545518</v>
      </c>
      <c r="L19">
        <v>3.1738196605982871E-5</v>
      </c>
      <c r="M19">
        <v>1.8245898647661876E-6</v>
      </c>
      <c r="N19" s="1">
        <v>-5.7869321542080599E-8</v>
      </c>
      <c r="O19" s="1">
        <v>1.18807444121688E-11</v>
      </c>
      <c r="P19" s="1">
        <v>1.9671365822432E-10</v>
      </c>
      <c r="Q19">
        <v>65.819819495845906</v>
      </c>
      <c r="S19">
        <v>20.8565484729899</v>
      </c>
      <c r="AA19">
        <v>1.8487109794100101</v>
      </c>
      <c r="AB19">
        <v>9.0190148436917905</v>
      </c>
      <c r="AC19">
        <v>2.4559062080623</v>
      </c>
      <c r="AJ19">
        <v>0.77373805838595</v>
      </c>
      <c r="AK19">
        <v>8.7642482066697405E-2</v>
      </c>
      <c r="AL19">
        <v>0.138619459547351</v>
      </c>
    </row>
    <row r="20" spans="1:38" x14ac:dyDescent="0.2">
      <c r="A20">
        <v>87</v>
      </c>
      <c r="B20">
        <v>750</v>
      </c>
      <c r="C20">
        <v>215</v>
      </c>
      <c r="D20">
        <v>0.36190245809509802</v>
      </c>
      <c r="E20">
        <v>6.61841697435898</v>
      </c>
      <c r="F20">
        <v>2.5638378143539899</v>
      </c>
      <c r="G20">
        <v>-106.9799367265388</v>
      </c>
      <c r="H20">
        <v>-92.768352770990646</v>
      </c>
      <c r="I20">
        <v>13.890029766454701</v>
      </c>
      <c r="J20">
        <v>8.0960559229396303</v>
      </c>
      <c r="K20">
        <v>2.5814491608263501</v>
      </c>
      <c r="L20">
        <v>3.1761872303442535E-5</v>
      </c>
      <c r="M20">
        <v>1.8246441030340834E-6</v>
      </c>
      <c r="N20" s="1">
        <v>-1.1477776786531599E-7</v>
      </c>
      <c r="O20" s="1">
        <v>2.29108022561702E-11</v>
      </c>
      <c r="P20" s="1">
        <v>3.8847150372816999E-10</v>
      </c>
      <c r="Q20">
        <v>65.824567246863097</v>
      </c>
      <c r="S20">
        <v>20.841159826542199</v>
      </c>
      <c r="AA20">
        <v>1.8349073657296</v>
      </c>
      <c r="AB20">
        <v>8.9892516149461503</v>
      </c>
      <c r="AC20">
        <v>2.5101139459188802</v>
      </c>
      <c r="AJ20">
        <v>0.77129891535958495</v>
      </c>
      <c r="AK20">
        <v>8.7000974704991699E-2</v>
      </c>
      <c r="AL20">
        <v>0.14170010993542301</v>
      </c>
    </row>
    <row r="21" spans="1:38" x14ac:dyDescent="0.2">
      <c r="A21">
        <v>88</v>
      </c>
      <c r="B21">
        <v>749</v>
      </c>
      <c r="C21">
        <v>215</v>
      </c>
      <c r="D21">
        <v>0.36120970503350902</v>
      </c>
      <c r="E21">
        <v>12.480531653608001</v>
      </c>
      <c r="F21">
        <v>2.5646157726271599</v>
      </c>
      <c r="G21">
        <v>-201.74139285894591</v>
      </c>
      <c r="H21">
        <v>-174.98470222664506</v>
      </c>
      <c r="I21">
        <v>26.176872897618601</v>
      </c>
      <c r="J21">
        <v>15.2738930641527</v>
      </c>
      <c r="K21">
        <v>4.8664333218317202</v>
      </c>
      <c r="L21">
        <v>3.1798063817760785E-5</v>
      </c>
      <c r="M21">
        <v>1.8239359376276754E-6</v>
      </c>
      <c r="N21" s="1">
        <v>-2.2349943515061799E-7</v>
      </c>
      <c r="O21" s="1">
        <v>4.3091844885621002E-11</v>
      </c>
      <c r="P21" s="1">
        <v>7.5283432468073797E-10</v>
      </c>
      <c r="Q21">
        <v>65.774908443118704</v>
      </c>
      <c r="S21">
        <v>20.885679718109198</v>
      </c>
      <c r="AA21">
        <v>1.8832239350940401</v>
      </c>
      <c r="AB21">
        <v>8.99530431712415</v>
      </c>
      <c r="AC21">
        <v>2.4608835865538299</v>
      </c>
      <c r="AJ21">
        <v>0.77179424863611501</v>
      </c>
      <c r="AK21">
        <v>8.9289097457714101E-2</v>
      </c>
      <c r="AL21">
        <v>0.13891665390617</v>
      </c>
    </row>
    <row r="22" spans="1:38" x14ac:dyDescent="0.2">
      <c r="A22">
        <v>89</v>
      </c>
      <c r="B22">
        <v>748</v>
      </c>
      <c r="C22">
        <v>215</v>
      </c>
      <c r="D22">
        <v>0.36051559516231801</v>
      </c>
      <c r="E22">
        <v>17.3661864793422</v>
      </c>
      <c r="F22">
        <v>2.5652025376154799</v>
      </c>
      <c r="G22">
        <v>-280.71324618916304</v>
      </c>
      <c r="H22">
        <v>-243.54097358135107</v>
      </c>
      <c r="I22">
        <v>36.402362638017898</v>
      </c>
      <c r="J22">
        <v>21.262969515207299</v>
      </c>
      <c r="K22">
        <v>6.7699085061272202</v>
      </c>
      <c r="L22">
        <v>3.1839925024871647E-5</v>
      </c>
      <c r="M22">
        <v>1.8235150794279E-6</v>
      </c>
      <c r="N22" s="1">
        <v>-3.2115044897179801E-7</v>
      </c>
      <c r="O22" s="1">
        <v>5.9822808483099998E-11</v>
      </c>
      <c r="P22" s="1">
        <v>1.0766886692272601E-9</v>
      </c>
      <c r="Q22">
        <v>65.739921922116594</v>
      </c>
      <c r="S22">
        <v>20.9176474114585</v>
      </c>
      <c r="AA22">
        <v>1.9177612358096801</v>
      </c>
      <c r="AB22">
        <v>9.0011461951721792</v>
      </c>
      <c r="AC22">
        <v>2.4235232354429401</v>
      </c>
      <c r="AJ22">
        <v>0.77227249997542702</v>
      </c>
      <c r="AK22">
        <v>9.0923905292360496E-2</v>
      </c>
      <c r="AL22">
        <v>0.13680359473221099</v>
      </c>
    </row>
    <row r="23" spans="1:38" x14ac:dyDescent="0.2">
      <c r="A23">
        <v>90</v>
      </c>
      <c r="B23">
        <v>747</v>
      </c>
      <c r="C23">
        <v>215</v>
      </c>
      <c r="D23">
        <v>0.35982012449149797</v>
      </c>
      <c r="E23">
        <v>19.091585226753299</v>
      </c>
      <c r="F23">
        <v>2.5655162610322702</v>
      </c>
      <c r="G23">
        <v>-308.58429735994594</v>
      </c>
      <c r="H23">
        <v>-267.78237400456595</v>
      </c>
      <c r="I23">
        <v>39.996003877253401</v>
      </c>
      <c r="J23">
        <v>23.386918515477198</v>
      </c>
      <c r="K23">
        <v>7.4416153648044201</v>
      </c>
      <c r="L23">
        <v>3.189064383429984E-5</v>
      </c>
      <c r="M23">
        <v>1.8235392497184747E-6</v>
      </c>
      <c r="N23" s="1">
        <v>-3.6466573537895802E-7</v>
      </c>
      <c r="O23" s="1">
        <v>6.5643722342882502E-11</v>
      </c>
      <c r="P23" s="1">
        <v>1.21691680595875E-9</v>
      </c>
      <c r="Q23">
        <v>65.727086830122502</v>
      </c>
      <c r="S23">
        <v>20.931151112627798</v>
      </c>
      <c r="AA23">
        <v>1.9318968207911</v>
      </c>
      <c r="AB23">
        <v>9.0079455890698004</v>
      </c>
      <c r="AC23">
        <v>2.4019196473886599</v>
      </c>
      <c r="AJ23">
        <v>0.77282953564186296</v>
      </c>
      <c r="AK23">
        <v>9.1590973545809695E-2</v>
      </c>
      <c r="AL23">
        <v>0.13557949081232601</v>
      </c>
    </row>
    <row r="24" spans="1:38" x14ac:dyDescent="0.2">
      <c r="A24">
        <v>91</v>
      </c>
      <c r="B24">
        <v>746</v>
      </c>
      <c r="C24">
        <v>215</v>
      </c>
      <c r="D24">
        <v>0.35912328901535701</v>
      </c>
      <c r="E24">
        <v>19.762854377678199</v>
      </c>
      <c r="F24">
        <v>2.5657046341146801</v>
      </c>
      <c r="G24">
        <v>-319.40700943830933</v>
      </c>
      <c r="H24">
        <v>-277.23580473180806</v>
      </c>
      <c r="I24">
        <v>41.378800673601702</v>
      </c>
      <c r="J24">
        <v>24.221487109961501</v>
      </c>
      <c r="K24">
        <v>7.7027005037536496</v>
      </c>
      <c r="L24">
        <v>3.1946517449208646E-5</v>
      </c>
      <c r="M24">
        <v>1.8237751326800021E-6</v>
      </c>
      <c r="N24" s="1">
        <v>-3.8995367363248798E-7</v>
      </c>
      <c r="O24" s="1">
        <v>6.7836641316658905E-11</v>
      </c>
      <c r="P24" s="1">
        <v>1.2953799886551E-9</v>
      </c>
      <c r="Q24">
        <v>65.724578273351398</v>
      </c>
      <c r="S24">
        <v>20.9361025135366</v>
      </c>
      <c r="AA24">
        <v>1.9365671146674801</v>
      </c>
      <c r="AB24">
        <v>9.0153361460173596</v>
      </c>
      <c r="AC24">
        <v>2.3874159524270002</v>
      </c>
      <c r="AJ24">
        <v>0.77343513634029504</v>
      </c>
      <c r="AK24">
        <v>9.1809012533954598E-2</v>
      </c>
      <c r="AL24">
        <v>0.13475585112575</v>
      </c>
    </row>
    <row r="25" spans="1:38" x14ac:dyDescent="0.2">
      <c r="A25">
        <v>98</v>
      </c>
      <c r="B25">
        <v>758</v>
      </c>
      <c r="C25">
        <v>195</v>
      </c>
      <c r="D25">
        <v>0.38873151335887302</v>
      </c>
      <c r="E25">
        <v>0.56019453789887996</v>
      </c>
      <c r="F25">
        <v>2.5674840913859902</v>
      </c>
      <c r="G25">
        <v>-9.084518199291427</v>
      </c>
      <c r="H25">
        <v>-7.86659967503667</v>
      </c>
      <c r="I25">
        <v>1.1811264357802</v>
      </c>
      <c r="J25">
        <v>0.68406689599200199</v>
      </c>
      <c r="K25">
        <v>0.218188124233506</v>
      </c>
      <c r="L25">
        <v>3.1487631026019583E-5</v>
      </c>
      <c r="M25">
        <v>1.8212343854141279E-6</v>
      </c>
      <c r="N25" s="1">
        <v>-7.6518712145750894E-9</v>
      </c>
      <c r="O25" s="1">
        <v>1.9400771038828701E-12</v>
      </c>
      <c r="P25" s="1">
        <v>2.6965588180990699E-11</v>
      </c>
      <c r="Q25">
        <v>65.5840251056716</v>
      </c>
      <c r="S25">
        <v>21.128691826944099</v>
      </c>
      <c r="AA25">
        <v>2.1282514303786999</v>
      </c>
      <c r="AB25">
        <v>9.2070188714191499</v>
      </c>
      <c r="AC25">
        <v>1.9520127655863599</v>
      </c>
      <c r="AJ25">
        <v>0.78912534810150203</v>
      </c>
      <c r="AK25">
        <v>0.100800035457062</v>
      </c>
      <c r="AL25">
        <v>0.110074616441435</v>
      </c>
    </row>
    <row r="26" spans="1:38" x14ac:dyDescent="0.2">
      <c r="A26">
        <v>99</v>
      </c>
      <c r="B26">
        <v>757</v>
      </c>
      <c r="C26">
        <v>195</v>
      </c>
      <c r="D26">
        <v>0.388070183953793</v>
      </c>
      <c r="E26">
        <v>1.87902643858968</v>
      </c>
      <c r="F26">
        <v>2.5657184508800901</v>
      </c>
      <c r="G26">
        <v>-30.451894959613</v>
      </c>
      <c r="H26">
        <v>-26.372604191678054</v>
      </c>
      <c r="I26">
        <v>3.95989978928792</v>
      </c>
      <c r="J26">
        <v>2.2946064230846899</v>
      </c>
      <c r="K26">
        <v>0.73235878159005896</v>
      </c>
      <c r="L26">
        <v>3.1525597231108949E-5</v>
      </c>
      <c r="M26">
        <v>1.8232737417849413E-6</v>
      </c>
      <c r="N26" s="1">
        <v>-2.63220219445675E-8</v>
      </c>
      <c r="O26" s="1">
        <v>6.5225796119640496E-12</v>
      </c>
      <c r="P26" s="1">
        <v>9.2315508658945895E-11</v>
      </c>
      <c r="Q26">
        <v>65.695876250539996</v>
      </c>
      <c r="S26">
        <v>21.016597340893</v>
      </c>
      <c r="AA26">
        <v>2.00967339607883</v>
      </c>
      <c r="AB26">
        <v>9.1624028820791494</v>
      </c>
      <c r="AC26">
        <v>2.1154501304089699</v>
      </c>
      <c r="AJ26">
        <v>0.78547722350746396</v>
      </c>
      <c r="AK26">
        <v>9.5205159665667796E-2</v>
      </c>
      <c r="AL26">
        <v>0.11931761682686701</v>
      </c>
    </row>
    <row r="27" spans="1:38" x14ac:dyDescent="0.2">
      <c r="A27">
        <v>100</v>
      </c>
      <c r="B27">
        <v>756</v>
      </c>
      <c r="C27">
        <v>195</v>
      </c>
      <c r="D27">
        <v>0.38740756935335302</v>
      </c>
      <c r="E27">
        <v>3.3072663838756302</v>
      </c>
      <c r="F27">
        <v>2.56370597872652</v>
      </c>
      <c r="G27">
        <v>-53.557359335066401</v>
      </c>
      <c r="H27">
        <v>-46.388101114971782</v>
      </c>
      <c r="I27">
        <v>6.9661936744834199</v>
      </c>
      <c r="J27">
        <v>4.0383792244454497</v>
      </c>
      <c r="K27">
        <v>1.2900334169827199</v>
      </c>
      <c r="L27">
        <v>3.1547802246651802E-5</v>
      </c>
      <c r="M27">
        <v>1.8251201872371118E-6</v>
      </c>
      <c r="N27" s="1">
        <v>-4.7378645713149E-8</v>
      </c>
      <c r="O27" s="1">
        <v>1.15115493633107E-11</v>
      </c>
      <c r="P27" s="1">
        <v>1.65453552840217E-10</v>
      </c>
      <c r="Q27">
        <v>65.807906827699298</v>
      </c>
      <c r="S27">
        <v>20.895837159950599</v>
      </c>
      <c r="AA27">
        <v>1.88390420669199</v>
      </c>
      <c r="AB27">
        <v>9.0954685022041204</v>
      </c>
      <c r="AC27">
        <v>2.31688330345388</v>
      </c>
      <c r="AJ27">
        <v>0.780000249031783</v>
      </c>
      <c r="AK27">
        <v>8.92769352905423E-2</v>
      </c>
      <c r="AL27">
        <v>0.13072281567767399</v>
      </c>
    </row>
    <row r="28" spans="1:38" x14ac:dyDescent="0.2">
      <c r="A28">
        <v>101</v>
      </c>
      <c r="B28">
        <v>755</v>
      </c>
      <c r="C28">
        <v>195</v>
      </c>
      <c r="D28">
        <v>0.38674366580751801</v>
      </c>
      <c r="E28">
        <v>4.9181443029226699</v>
      </c>
      <c r="F28">
        <v>2.5612534200183301</v>
      </c>
      <c r="G28">
        <v>-79.567221287276311</v>
      </c>
      <c r="H28">
        <v>-68.922647786038169</v>
      </c>
      <c r="I28">
        <v>10.3531328125644</v>
      </c>
      <c r="J28">
        <v>6.0035800257930401</v>
      </c>
      <c r="K28">
        <v>1.9202099505200301</v>
      </c>
      <c r="L28">
        <v>3.1544234364881521E-5</v>
      </c>
      <c r="M28">
        <v>1.8267110852877347E-6</v>
      </c>
      <c r="N28" s="1">
        <v>-7.1709620163949894E-8</v>
      </c>
      <c r="O28" s="1">
        <v>1.7177757898379599E-11</v>
      </c>
      <c r="P28" s="1">
        <v>2.4954326518454298E-10</v>
      </c>
      <c r="Q28">
        <v>65.923263097547903</v>
      </c>
      <c r="S28">
        <v>20.758217188693099</v>
      </c>
      <c r="AA28">
        <v>1.7434495127408201</v>
      </c>
      <c r="AB28">
        <v>8.9917451179371692</v>
      </c>
      <c r="AC28">
        <v>2.58332508308093</v>
      </c>
      <c r="AJ28">
        <v>0.771504822706367</v>
      </c>
      <c r="AK28">
        <v>8.2663696757196703E-2</v>
      </c>
      <c r="AL28">
        <v>0.14583148053643599</v>
      </c>
    </row>
    <row r="29" spans="1:38" x14ac:dyDescent="0.2">
      <c r="A29">
        <v>102</v>
      </c>
      <c r="B29">
        <v>754</v>
      </c>
      <c r="C29">
        <v>195</v>
      </c>
      <c r="D29">
        <v>0.38607846955167302</v>
      </c>
      <c r="E29">
        <v>7.5488849954526502</v>
      </c>
      <c r="F29">
        <v>2.5610251703592799</v>
      </c>
      <c r="G29">
        <v>-122.08961268564468</v>
      </c>
      <c r="H29">
        <v>-105.77735368740782</v>
      </c>
      <c r="I29">
        <v>15.8810874733357</v>
      </c>
      <c r="J29">
        <v>9.2158113603474892</v>
      </c>
      <c r="K29">
        <v>2.94760281266334</v>
      </c>
      <c r="L29">
        <v>3.1550820473727961E-5</v>
      </c>
      <c r="M29">
        <v>1.8264084047860095E-6</v>
      </c>
      <c r="N29" s="1">
        <v>-1.1293886764814799E-7</v>
      </c>
      <c r="O29" s="1">
        <v>2.63522692351445E-11</v>
      </c>
      <c r="P29" s="1">
        <v>3.9124451441863202E-10</v>
      </c>
      <c r="Q29">
        <v>65.915069638248099</v>
      </c>
      <c r="S29">
        <v>20.7496797798605</v>
      </c>
      <c r="AA29">
        <v>1.7383178947537199</v>
      </c>
      <c r="AB29">
        <v>8.9511045060099796</v>
      </c>
      <c r="AC29">
        <v>2.6458281811275399</v>
      </c>
      <c r="AJ29">
        <v>0.76817294417922999</v>
      </c>
      <c r="AK29">
        <v>8.2437036378844197E-2</v>
      </c>
      <c r="AL29">
        <v>0.14939001944192401</v>
      </c>
    </row>
    <row r="30" spans="1:38" x14ac:dyDescent="0.2">
      <c r="A30">
        <v>103</v>
      </c>
      <c r="B30">
        <v>753</v>
      </c>
      <c r="C30">
        <v>195</v>
      </c>
      <c r="D30">
        <v>0.38541197680651201</v>
      </c>
      <c r="E30">
        <v>12.4297553938327</v>
      </c>
      <c r="F30">
        <v>2.56239594942187</v>
      </c>
      <c r="G30">
        <v>-201.06123386441752</v>
      </c>
      <c r="H30">
        <v>-174.24512862865734</v>
      </c>
      <c r="I30">
        <v>26.132734235501701</v>
      </c>
      <c r="J30">
        <v>15.1807297779548</v>
      </c>
      <c r="K30">
        <v>4.8508332198375097</v>
      </c>
      <c r="L30">
        <v>3.1570279053183431E-5</v>
      </c>
      <c r="M30">
        <v>1.8248706258410514E-6</v>
      </c>
      <c r="N30" s="1">
        <v>-1.9205250100834301E-7</v>
      </c>
      <c r="O30" s="1">
        <v>4.3242887741229099E-11</v>
      </c>
      <c r="P30" s="1">
        <v>6.6180962049666403E-10</v>
      </c>
      <c r="Q30">
        <v>65.822190544757404</v>
      </c>
      <c r="S30">
        <v>20.832147023668</v>
      </c>
      <c r="AA30">
        <v>1.8280262820194699</v>
      </c>
      <c r="AB30">
        <v>8.9603270272583906</v>
      </c>
      <c r="AC30">
        <v>2.55730912229662</v>
      </c>
      <c r="AJ30">
        <v>0.76892770000873101</v>
      </c>
      <c r="AK30">
        <v>8.6687179258005703E-2</v>
      </c>
      <c r="AL30">
        <v>0.14438512073326301</v>
      </c>
    </row>
    <row r="31" spans="1:38" x14ac:dyDescent="0.2">
      <c r="A31">
        <v>104</v>
      </c>
      <c r="B31">
        <v>752</v>
      </c>
      <c r="C31">
        <v>195</v>
      </c>
      <c r="D31">
        <v>0.38474418377798603</v>
      </c>
      <c r="E31">
        <v>16.725197080647899</v>
      </c>
      <c r="F31">
        <v>2.5634860847140901</v>
      </c>
      <c r="G31">
        <v>-270.56928296411206</v>
      </c>
      <c r="H31">
        <v>-234.54388237419641</v>
      </c>
      <c r="I31">
        <v>35.1415896111941</v>
      </c>
      <c r="J31">
        <v>20.435132084423401</v>
      </c>
      <c r="K31">
        <v>6.52439550203888</v>
      </c>
      <c r="L31">
        <v>3.1594308471174591E-5</v>
      </c>
      <c r="M31">
        <v>1.8236744894924549E-6</v>
      </c>
      <c r="N31" s="1">
        <v>-2.66800953858613E-7</v>
      </c>
      <c r="O31" s="1">
        <v>5.8013625277008002E-11</v>
      </c>
      <c r="P31" s="1">
        <v>9.1468003972608303E-10</v>
      </c>
      <c r="Q31">
        <v>65.748272775762103</v>
      </c>
      <c r="S31">
        <v>20.8973409519113</v>
      </c>
      <c r="AA31">
        <v>1.89905964122698</v>
      </c>
      <c r="AB31">
        <v>8.9665196010434798</v>
      </c>
      <c r="AC31">
        <v>2.4888070300560301</v>
      </c>
      <c r="AJ31">
        <v>0.76943427124249197</v>
      </c>
      <c r="AK31">
        <v>9.0052758072601893E-2</v>
      </c>
      <c r="AL31">
        <v>0.14051297068490501</v>
      </c>
    </row>
    <row r="32" spans="1:38" x14ac:dyDescent="0.2">
      <c r="A32">
        <v>105</v>
      </c>
      <c r="B32">
        <v>751</v>
      </c>
      <c r="C32">
        <v>195</v>
      </c>
      <c r="D32">
        <v>0.38407508665723</v>
      </c>
      <c r="E32">
        <v>18.492757590616701</v>
      </c>
      <c r="F32">
        <v>2.5640181103040902</v>
      </c>
      <c r="G32">
        <v>-299.15842453569303</v>
      </c>
      <c r="H32">
        <v>-259.38803170766863</v>
      </c>
      <c r="I32">
        <v>38.832585879045403</v>
      </c>
      <c r="J32">
        <v>22.604172149760299</v>
      </c>
      <c r="K32">
        <v>7.2124130154539001</v>
      </c>
      <c r="L32">
        <v>3.1632742813546693E-5</v>
      </c>
      <c r="M32">
        <v>1.8233346116929454E-6</v>
      </c>
      <c r="N32" s="1">
        <v>-3.0460558035711002E-7</v>
      </c>
      <c r="O32" s="1">
        <v>6.4013837855456701E-11</v>
      </c>
      <c r="P32" s="1">
        <v>1.0389834027528799E-9</v>
      </c>
      <c r="Q32">
        <v>65.7180142951145</v>
      </c>
      <c r="S32">
        <v>20.925519281911299</v>
      </c>
      <c r="AA32">
        <v>1.9293674547992501</v>
      </c>
      <c r="AB32">
        <v>8.9729633548430598</v>
      </c>
      <c r="AC32">
        <v>2.45413561333178</v>
      </c>
      <c r="AJ32">
        <v>0.76996207552973095</v>
      </c>
      <c r="AK32">
        <v>9.1486956295194294E-2</v>
      </c>
      <c r="AL32">
        <v>0.13855096817507301</v>
      </c>
    </row>
    <row r="33" spans="1:38" x14ac:dyDescent="0.2">
      <c r="A33">
        <v>106</v>
      </c>
      <c r="B33">
        <v>750</v>
      </c>
      <c r="C33">
        <v>195</v>
      </c>
      <c r="D33">
        <v>0.38340468162048602</v>
      </c>
      <c r="E33">
        <v>19.196137865320701</v>
      </c>
      <c r="F33">
        <v>2.5642950123412702</v>
      </c>
      <c r="G33">
        <v>-310.515985177424</v>
      </c>
      <c r="H33">
        <v>-269.29668888407213</v>
      </c>
      <c r="I33">
        <v>40.286660111764498</v>
      </c>
      <c r="J33">
        <v>23.474089861502598</v>
      </c>
      <c r="K33">
        <v>7.4859319122545198</v>
      </c>
      <c r="L33">
        <v>3.1679204183932592E-5</v>
      </c>
      <c r="M33">
        <v>1.823406564794164E-6</v>
      </c>
      <c r="N33" s="1">
        <v>-3.2654587442871798E-7</v>
      </c>
      <c r="O33" s="1">
        <v>6.6340123923400394E-11</v>
      </c>
      <c r="P33" s="1">
        <v>1.1082406764474901E-9</v>
      </c>
      <c r="Q33">
        <v>65.708310601463097</v>
      </c>
      <c r="S33">
        <v>20.936502609276499</v>
      </c>
      <c r="AA33">
        <v>1.94069303659133</v>
      </c>
      <c r="AB33">
        <v>8.9801334144499005</v>
      </c>
      <c r="AC33">
        <v>2.4343603382191001</v>
      </c>
      <c r="AJ33">
        <v>0.770549700948572</v>
      </c>
      <c r="AK33">
        <v>9.20206942050798E-2</v>
      </c>
      <c r="AL33">
        <v>0.137429604846347</v>
      </c>
    </row>
    <row r="34" spans="1:38" x14ac:dyDescent="0.2">
      <c r="A34">
        <v>108</v>
      </c>
      <c r="B34">
        <v>764</v>
      </c>
      <c r="C34">
        <v>175</v>
      </c>
      <c r="D34">
        <v>0.41388468398978101</v>
      </c>
      <c r="E34">
        <v>0.11514784563969301</v>
      </c>
      <c r="F34">
        <v>2.5668943217790998</v>
      </c>
      <c r="G34">
        <v>-1.8702894778893542</v>
      </c>
      <c r="H34">
        <v>-1.6176126913246043</v>
      </c>
      <c r="I34">
        <v>0.243626077775394</v>
      </c>
      <c r="J34">
        <v>0.14039456182644899</v>
      </c>
      <c r="K34">
        <v>4.4858818168986597E-2</v>
      </c>
      <c r="L34">
        <v>3.1285027155947395E-5</v>
      </c>
      <c r="M34">
        <v>1.8212312623579228E-6</v>
      </c>
      <c r="N34" s="1">
        <v>-1.2941946651020601E-9</v>
      </c>
      <c r="O34" s="1">
        <v>4.0065825732902599E-13</v>
      </c>
      <c r="P34" s="1">
        <v>4.7365374017041302E-12</v>
      </c>
      <c r="Q34">
        <v>65.558823449028495</v>
      </c>
      <c r="S34">
        <v>21.169885020246902</v>
      </c>
      <c r="AA34">
        <v>2.1681166986870499</v>
      </c>
      <c r="AB34">
        <v>9.2588516425726404</v>
      </c>
      <c r="AC34">
        <v>1.84432318946481</v>
      </c>
      <c r="AJ34">
        <v>0.79336318210262002</v>
      </c>
      <c r="AK34">
        <v>0.102661678710139</v>
      </c>
      <c r="AL34">
        <v>0.103975139187239</v>
      </c>
    </row>
    <row r="35" spans="1:38" x14ac:dyDescent="0.2">
      <c r="A35">
        <v>109</v>
      </c>
      <c r="B35">
        <v>763</v>
      </c>
      <c r="C35">
        <v>175</v>
      </c>
      <c r="D35">
        <v>0.41325145973073701</v>
      </c>
      <c r="E35">
        <v>1.35470360013872</v>
      </c>
      <c r="F35">
        <v>2.5653628540143698</v>
      </c>
      <c r="G35">
        <v>-21.991428020587023</v>
      </c>
      <c r="H35">
        <v>-19.02293231870809</v>
      </c>
      <c r="I35">
        <v>2.8649285353268601</v>
      </c>
      <c r="J35">
        <v>1.6518126486339799</v>
      </c>
      <c r="K35">
        <v>0.52807484836651397</v>
      </c>
      <c r="L35">
        <v>3.1324690597915761E-5</v>
      </c>
      <c r="M35">
        <v>1.8232130991983979E-6</v>
      </c>
      <c r="N35" s="1">
        <v>-1.5636066609822899E-8</v>
      </c>
      <c r="O35" s="1">
        <v>4.7233869671504603E-12</v>
      </c>
      <c r="P35" s="1">
        <v>5.6898347643874701E-11</v>
      </c>
      <c r="Q35">
        <v>65.662873041504099</v>
      </c>
      <c r="S35">
        <v>21.069338706415</v>
      </c>
      <c r="AA35">
        <v>2.0608864103086701</v>
      </c>
      <c r="AB35">
        <v>9.2271253468653001</v>
      </c>
      <c r="AC35">
        <v>1.9797764949068499</v>
      </c>
      <c r="AJ35">
        <v>0.79077091170893199</v>
      </c>
      <c r="AK35">
        <v>9.7599841180029595E-2</v>
      </c>
      <c r="AL35">
        <v>0.111629247111037</v>
      </c>
    </row>
    <row r="36" spans="1:38" x14ac:dyDescent="0.2">
      <c r="A36">
        <v>110</v>
      </c>
      <c r="B36">
        <v>762</v>
      </c>
      <c r="C36">
        <v>175</v>
      </c>
      <c r="D36">
        <v>0.41261701202724399</v>
      </c>
      <c r="E36">
        <v>2.6650911792307501</v>
      </c>
      <c r="F36">
        <v>2.5636915040962198</v>
      </c>
      <c r="G36">
        <v>-43.236131970034499</v>
      </c>
      <c r="H36">
        <v>-37.404723668787774</v>
      </c>
      <c r="I36">
        <v>5.6333944850956099</v>
      </c>
      <c r="J36">
        <v>3.2495159244398799</v>
      </c>
      <c r="K36">
        <v>1.03955221405247</v>
      </c>
      <c r="L36">
        <v>3.1354070215041868E-5</v>
      </c>
      <c r="M36">
        <v>1.8250319265726426E-6</v>
      </c>
      <c r="N36" s="1">
        <v>-3.1528917823577302E-8</v>
      </c>
      <c r="O36" s="1">
        <v>9.3132007211751103E-12</v>
      </c>
      <c r="P36" s="1">
        <v>1.1412678099278701E-10</v>
      </c>
      <c r="Q36">
        <v>65.765168177922405</v>
      </c>
      <c r="S36">
        <v>20.964704875845602</v>
      </c>
      <c r="AA36">
        <v>1.9506932571050799</v>
      </c>
      <c r="AB36">
        <v>9.1807733833637499</v>
      </c>
      <c r="AC36">
        <v>2.13866030576306</v>
      </c>
      <c r="AJ36">
        <v>0.78698134455628199</v>
      </c>
      <c r="AK36">
        <v>9.2402759927746103E-2</v>
      </c>
      <c r="AL36">
        <v>0.120615895515971</v>
      </c>
    </row>
    <row r="37" spans="1:38" x14ac:dyDescent="0.2">
      <c r="A37">
        <v>111</v>
      </c>
      <c r="B37">
        <v>761</v>
      </c>
      <c r="C37">
        <v>175</v>
      </c>
      <c r="D37">
        <v>0.411981337330175</v>
      </c>
      <c r="E37">
        <v>4.0775332659404198</v>
      </c>
      <c r="F37">
        <v>2.5618050519077098</v>
      </c>
      <c r="G37">
        <v>-66.101797796801563</v>
      </c>
      <c r="H37">
        <v>-57.193189227379214</v>
      </c>
      <c r="I37">
        <v>8.6144259241138492</v>
      </c>
      <c r="J37">
        <v>4.9710410253014903</v>
      </c>
      <c r="K37">
        <v>1.5916641521586401</v>
      </c>
      <c r="L37">
        <v>3.1369219487524907E-5</v>
      </c>
      <c r="M37">
        <v>1.826658943842329E-6</v>
      </c>
      <c r="N37" s="1">
        <v>-4.9311412306779501E-8</v>
      </c>
      <c r="O37" s="1">
        <v>1.42858321493893E-11</v>
      </c>
      <c r="P37" s="1">
        <v>1.7765442132777599E-10</v>
      </c>
      <c r="Q37">
        <v>65.866764726720703</v>
      </c>
      <c r="S37">
        <v>20.8528679998008</v>
      </c>
      <c r="AA37">
        <v>1.8347205235018</v>
      </c>
      <c r="AB37">
        <v>9.1139809346341796</v>
      </c>
      <c r="AC37">
        <v>2.3316658153424301</v>
      </c>
      <c r="AJ37">
        <v>0.78151682211543905</v>
      </c>
      <c r="AK37">
        <v>8.6938256075800996E-2</v>
      </c>
      <c r="AL37">
        <v>0.13154492180875799</v>
      </c>
    </row>
    <row r="38" spans="1:38" x14ac:dyDescent="0.2">
      <c r="A38">
        <v>112</v>
      </c>
      <c r="B38">
        <v>760</v>
      </c>
      <c r="C38">
        <v>175</v>
      </c>
      <c r="D38">
        <v>0.41134443207665999</v>
      </c>
      <c r="E38">
        <v>5.6550687447607402</v>
      </c>
      <c r="F38">
        <v>2.55955322453425</v>
      </c>
      <c r="G38">
        <v>-91.592883924896938</v>
      </c>
      <c r="H38">
        <v>-79.256930523532105</v>
      </c>
      <c r="I38">
        <v>11.940137832226499</v>
      </c>
      <c r="J38">
        <v>6.89214289010825</v>
      </c>
      <c r="K38">
        <v>2.2093968160360302</v>
      </c>
      <c r="L38">
        <v>3.1362264652424286E-5</v>
      </c>
      <c r="M38">
        <v>1.8280367239337831E-6</v>
      </c>
      <c r="N38" s="1">
        <v>-6.96132408536197E-8</v>
      </c>
      <c r="O38" s="1">
        <v>1.9875768591413701E-11</v>
      </c>
      <c r="P38" s="1">
        <v>2.49815739132957E-10</v>
      </c>
      <c r="Q38">
        <v>65.969778857517198</v>
      </c>
      <c r="S38">
        <v>20.727581710984801</v>
      </c>
      <c r="AA38">
        <v>1.7073211132716599</v>
      </c>
      <c r="AB38">
        <v>9.0150881072574602</v>
      </c>
      <c r="AC38">
        <v>2.5802302109687001</v>
      </c>
      <c r="AJ38">
        <v>0.77341861349101004</v>
      </c>
      <c r="AK38">
        <v>8.0941387639039797E-2</v>
      </c>
      <c r="AL38">
        <v>0.14563999886994899</v>
      </c>
    </row>
    <row r="39" spans="1:38" x14ac:dyDescent="0.2">
      <c r="A39">
        <v>113</v>
      </c>
      <c r="B39">
        <v>759</v>
      </c>
      <c r="C39">
        <v>175</v>
      </c>
      <c r="D39">
        <v>0.41070629269001901</v>
      </c>
      <c r="E39">
        <v>7.5947076782841298</v>
      </c>
      <c r="F39">
        <v>2.5573667154321802</v>
      </c>
      <c r="G39">
        <v>-122.88956778355478</v>
      </c>
      <c r="H39">
        <v>-106.34991300325326</v>
      </c>
      <c r="I39">
        <v>16.024468129924401</v>
      </c>
      <c r="J39">
        <v>9.2518994234334802</v>
      </c>
      <c r="K39">
        <v>2.9697374383011201</v>
      </c>
      <c r="L39">
        <v>3.1328207027424388E-5</v>
      </c>
      <c r="M39">
        <v>1.8286450980443056E-6</v>
      </c>
      <c r="N39" s="1">
        <v>-9.4815047538411494E-8</v>
      </c>
      <c r="O39" s="1">
        <v>2.6773817659681199E-11</v>
      </c>
      <c r="P39" s="1">
        <v>3.3916636105551498E-10</v>
      </c>
      <c r="Q39">
        <v>66.0451899407025</v>
      </c>
      <c r="S39">
        <v>20.6155998826071</v>
      </c>
      <c r="AA39">
        <v>1.59733881293207</v>
      </c>
      <c r="AB39">
        <v>8.8895627410320603</v>
      </c>
      <c r="AC39">
        <v>2.8523086227261101</v>
      </c>
      <c r="AJ39">
        <v>0.76312712517398495</v>
      </c>
      <c r="AK39">
        <v>7.5774717527847202E-2</v>
      </c>
      <c r="AL39">
        <v>0.16109815729816701</v>
      </c>
    </row>
    <row r="40" spans="1:38" x14ac:dyDescent="0.2">
      <c r="A40">
        <v>114</v>
      </c>
      <c r="B40">
        <v>758</v>
      </c>
      <c r="C40">
        <v>175</v>
      </c>
      <c r="D40">
        <v>0.41006691557969399</v>
      </c>
      <c r="E40">
        <v>9.5792388392227696</v>
      </c>
      <c r="F40">
        <v>2.5587029453727301</v>
      </c>
      <c r="G40">
        <v>-155.02861126023342</v>
      </c>
      <c r="H40">
        <v>-134.19966476220952</v>
      </c>
      <c r="I40">
        <v>20.199725062332199</v>
      </c>
      <c r="J40">
        <v>11.674071103879401</v>
      </c>
      <c r="K40">
        <v>3.7437870060478402</v>
      </c>
      <c r="L40">
        <v>3.1350426487195904E-5</v>
      </c>
      <c r="M40">
        <v>1.8273767829994298E-6</v>
      </c>
      <c r="N40" s="1">
        <v>-1.2363234938088801E-7</v>
      </c>
      <c r="O40" s="1">
        <v>3.3665003066686599E-11</v>
      </c>
      <c r="P40" s="1">
        <v>4.3952857297470999E-10</v>
      </c>
      <c r="Q40">
        <v>65.962934722770598</v>
      </c>
      <c r="S40">
        <v>20.692371202081201</v>
      </c>
      <c r="AA40">
        <v>1.67986906817719</v>
      </c>
      <c r="AB40">
        <v>8.9075273931729697</v>
      </c>
      <c r="AC40">
        <v>2.7572976137979901</v>
      </c>
      <c r="AJ40">
        <v>0.76459969280572404</v>
      </c>
      <c r="AK40">
        <v>7.9682541266187804E-2</v>
      </c>
      <c r="AL40">
        <v>0.155717765928087</v>
      </c>
    </row>
    <row r="41" spans="1:38" x14ac:dyDescent="0.2">
      <c r="A41">
        <v>115</v>
      </c>
      <c r="B41">
        <v>757</v>
      </c>
      <c r="C41">
        <v>175</v>
      </c>
      <c r="D41">
        <v>0.40942629714119499</v>
      </c>
      <c r="E41">
        <v>14.480974138039199</v>
      </c>
      <c r="F41">
        <v>2.5608981233942401</v>
      </c>
      <c r="G41">
        <v>-234.43814398485378</v>
      </c>
      <c r="H41">
        <v>-203.00240182057874</v>
      </c>
      <c r="I41">
        <v>30.515693990462601</v>
      </c>
      <c r="J41">
        <v>17.654777261544201</v>
      </c>
      <c r="K41">
        <v>5.6546467060727803</v>
      </c>
      <c r="L41">
        <v>3.1351317893807359E-5</v>
      </c>
      <c r="M41">
        <v>1.8247322654612271E-6</v>
      </c>
      <c r="N41" s="1">
        <v>-1.9312233572652901E-7</v>
      </c>
      <c r="O41" s="1">
        <v>5.0654967231010503E-11</v>
      </c>
      <c r="P41" s="1">
        <v>6.8255812295320102E-10</v>
      </c>
      <c r="Q41">
        <v>65.811292815883405</v>
      </c>
      <c r="S41">
        <v>20.827060603043201</v>
      </c>
      <c r="AA41">
        <v>1.82637276897446</v>
      </c>
      <c r="AB41">
        <v>8.9227073098279508</v>
      </c>
      <c r="AC41">
        <v>2.61256650227083</v>
      </c>
      <c r="AJ41">
        <v>0.765842523983436</v>
      </c>
      <c r="AK41">
        <v>8.6624959317508396E-2</v>
      </c>
      <c r="AL41">
        <v>0.14753251669905501</v>
      </c>
    </row>
    <row r="42" spans="1:38" x14ac:dyDescent="0.2">
      <c r="A42">
        <v>116</v>
      </c>
      <c r="B42">
        <v>756</v>
      </c>
      <c r="C42">
        <v>175</v>
      </c>
      <c r="D42">
        <v>0.40878443375601398</v>
      </c>
      <c r="E42">
        <v>17.147556150432202</v>
      </c>
      <c r="F42">
        <v>2.56207105572215</v>
      </c>
      <c r="G42">
        <v>-277.64067592040772</v>
      </c>
      <c r="H42">
        <v>-240.47554121782775</v>
      </c>
      <c r="I42">
        <v>36.112456592896898</v>
      </c>
      <c r="J42">
        <v>20.9132603212189</v>
      </c>
      <c r="K42">
        <v>6.6928495648607003</v>
      </c>
      <c r="L42">
        <v>3.1369123640650368E-5</v>
      </c>
      <c r="M42">
        <v>1.8234279647667499E-6</v>
      </c>
      <c r="N42" s="1">
        <v>-2.3610008636452701E-7</v>
      </c>
      <c r="O42" s="1">
        <v>5.9806530924412603E-11</v>
      </c>
      <c r="P42" s="1">
        <v>8.2971836246029399E-10</v>
      </c>
      <c r="Q42">
        <v>65.732126410282007</v>
      </c>
      <c r="S42">
        <v>20.8972655170591</v>
      </c>
      <c r="AA42">
        <v>1.90276494035141</v>
      </c>
      <c r="AB42">
        <v>8.9303405290325397</v>
      </c>
      <c r="AC42">
        <v>2.5375026032747798</v>
      </c>
      <c r="AJ42">
        <v>0.76646736290523998</v>
      </c>
      <c r="AK42">
        <v>9.0244673539736295E-2</v>
      </c>
      <c r="AL42">
        <v>0.14328796355502299</v>
      </c>
    </row>
    <row r="43" spans="1:38" x14ac:dyDescent="0.2">
      <c r="A43">
        <v>117</v>
      </c>
      <c r="B43">
        <v>755</v>
      </c>
      <c r="C43">
        <v>175</v>
      </c>
      <c r="D43">
        <v>0.40814132179156798</v>
      </c>
      <c r="E43">
        <v>18.2521878331134</v>
      </c>
      <c r="F43">
        <v>2.5626238997067201</v>
      </c>
      <c r="G43">
        <v>-295.52249586413132</v>
      </c>
      <c r="H43">
        <v>-256.02470225387088</v>
      </c>
      <c r="I43">
        <v>38.416372718241902</v>
      </c>
      <c r="J43">
        <v>22.268474146249002</v>
      </c>
      <c r="K43">
        <v>7.1224606292020596</v>
      </c>
      <c r="L43">
        <v>3.1401713840301329E-5</v>
      </c>
      <c r="M43">
        <v>1.8230511519107448E-6</v>
      </c>
      <c r="N43" s="1">
        <v>-2.59465465041048E-7</v>
      </c>
      <c r="O43" s="1">
        <v>6.3538546317671097E-11</v>
      </c>
      <c r="P43" s="1">
        <v>9.0671008803055901E-10</v>
      </c>
      <c r="Q43">
        <v>65.700662558828597</v>
      </c>
      <c r="S43">
        <v>20.926682891540398</v>
      </c>
      <c r="AA43">
        <v>1.9343762351065199</v>
      </c>
      <c r="AB43">
        <v>8.9373464948151806</v>
      </c>
      <c r="AC43">
        <v>2.5009318197091601</v>
      </c>
      <c r="AJ43">
        <v>0.76704144657058904</v>
      </c>
      <c r="AK43">
        <v>9.1740684071970502E-2</v>
      </c>
      <c r="AL43">
        <v>0.14121786935743899</v>
      </c>
    </row>
    <row r="44" spans="1:38" x14ac:dyDescent="0.2">
      <c r="A44">
        <v>118</v>
      </c>
      <c r="B44">
        <v>754</v>
      </c>
      <c r="C44">
        <v>175</v>
      </c>
      <c r="D44">
        <v>0.40749695760112897</v>
      </c>
      <c r="E44">
        <v>18.781975612347399</v>
      </c>
      <c r="F44">
        <v>2.5629345620900299</v>
      </c>
      <c r="G44">
        <v>-304.08190703901136</v>
      </c>
      <c r="H44">
        <v>-263.50017591569474</v>
      </c>
      <c r="I44">
        <v>39.509060140502001</v>
      </c>
      <c r="J44">
        <v>22.923344877240101</v>
      </c>
      <c r="K44">
        <v>7.3283086857399402</v>
      </c>
      <c r="L44">
        <v>3.1441415262596342E-5</v>
      </c>
      <c r="M44">
        <v>1.8230552580073955E-6</v>
      </c>
      <c r="N44" s="1">
        <v>-2.75691643578313E-7</v>
      </c>
      <c r="O44" s="1">
        <v>6.5284228124619998E-11</v>
      </c>
      <c r="P44" s="1">
        <v>9.5808556817225703E-10</v>
      </c>
      <c r="Q44">
        <v>65.688373722629393</v>
      </c>
      <c r="S44">
        <v>20.939920992508</v>
      </c>
      <c r="AA44">
        <v>1.9481652358800301</v>
      </c>
      <c r="AB44">
        <v>8.9446668850033202</v>
      </c>
      <c r="AC44">
        <v>2.4788731639791699</v>
      </c>
      <c r="AJ44">
        <v>0.76764156830901398</v>
      </c>
      <c r="AK44">
        <v>9.2391260517418097E-2</v>
      </c>
      <c r="AL44">
        <v>0.139967171173567</v>
      </c>
    </row>
    <row r="45" spans="1:38" x14ac:dyDescent="0.2">
      <c r="A45">
        <v>120</v>
      </c>
      <c r="B45">
        <v>772</v>
      </c>
      <c r="C45">
        <v>155</v>
      </c>
      <c r="D45">
        <v>0.43995646557910401</v>
      </c>
      <c r="E45">
        <v>0.117686813137831</v>
      </c>
      <c r="F45">
        <v>2.5654427778138098</v>
      </c>
      <c r="G45">
        <v>-1.9145921481659838</v>
      </c>
      <c r="H45">
        <v>-1.6531659599254489</v>
      </c>
      <c r="I45">
        <v>0.250132696972237</v>
      </c>
      <c r="J45">
        <v>0.14324774411027</v>
      </c>
      <c r="K45">
        <v>4.5873879610801499E-2</v>
      </c>
      <c r="L45">
        <v>3.1056712761937256E-5</v>
      </c>
      <c r="M45">
        <v>1.8213618849296837E-6</v>
      </c>
      <c r="N45" s="1">
        <v>-1.02016600149443E-9</v>
      </c>
      <c r="O45" s="1">
        <v>4.1206371909923101E-13</v>
      </c>
      <c r="P45" s="1">
        <v>3.9606825718117397E-12</v>
      </c>
      <c r="Q45">
        <v>65.563048649569197</v>
      </c>
      <c r="S45">
        <v>21.1730375217846</v>
      </c>
      <c r="AA45">
        <v>2.1697316519507002</v>
      </c>
      <c r="AB45">
        <v>9.2765319680657896</v>
      </c>
      <c r="AC45">
        <v>1.8176502086295401</v>
      </c>
      <c r="AJ45">
        <v>0.79480842499316495</v>
      </c>
      <c r="AK45">
        <v>0.10272913499927699</v>
      </c>
      <c r="AL45">
        <v>0.102462440007556</v>
      </c>
    </row>
    <row r="46" spans="1:38" x14ac:dyDescent="0.2">
      <c r="A46">
        <v>121</v>
      </c>
      <c r="B46">
        <v>771</v>
      </c>
      <c r="C46">
        <v>155</v>
      </c>
      <c r="D46">
        <v>0.43935306229947801</v>
      </c>
      <c r="E46">
        <v>0.52879439884406998</v>
      </c>
      <c r="F46">
        <v>2.5650056331473499</v>
      </c>
      <c r="G46">
        <v>-8.6006574858163329</v>
      </c>
      <c r="H46">
        <v>-7.4277153551253461</v>
      </c>
      <c r="I46">
        <v>1.12334638767513</v>
      </c>
      <c r="J46">
        <v>0.64375193451275103</v>
      </c>
      <c r="K46">
        <v>0.20615720761409001</v>
      </c>
      <c r="L46">
        <v>3.1092827958002593E-5</v>
      </c>
      <c r="M46">
        <v>1.8223354793094452E-6</v>
      </c>
      <c r="N46" s="1">
        <v>-4.7266661077020501E-9</v>
      </c>
      <c r="O46" s="1">
        <v>1.85198565086037E-12</v>
      </c>
      <c r="P46" s="1">
        <v>1.8210836578703701E-11</v>
      </c>
      <c r="Q46">
        <v>65.604695995959204</v>
      </c>
      <c r="S46">
        <v>21.1376321261241</v>
      </c>
      <c r="AA46">
        <v>2.1308039990841201</v>
      </c>
      <c r="AB46">
        <v>9.2765209987149504</v>
      </c>
      <c r="AC46">
        <v>1.8503468801174701</v>
      </c>
      <c r="AJ46">
        <v>0.79480819132462099</v>
      </c>
      <c r="AK46">
        <v>0.100886137679306</v>
      </c>
      <c r="AL46">
        <v>0.10430567099607101</v>
      </c>
    </row>
    <row r="47" spans="1:38" x14ac:dyDescent="0.2">
      <c r="A47">
        <v>122</v>
      </c>
      <c r="B47">
        <v>770</v>
      </c>
      <c r="C47">
        <v>155</v>
      </c>
      <c r="D47">
        <v>0.43874850213296301</v>
      </c>
      <c r="E47">
        <v>0.94063894063630604</v>
      </c>
      <c r="F47">
        <v>2.5645746352021699</v>
      </c>
      <c r="G47">
        <v>-15.295499921674885</v>
      </c>
      <c r="H47">
        <v>-13.212069521520272</v>
      </c>
      <c r="I47">
        <v>1.9972491014279901</v>
      </c>
      <c r="J47">
        <v>1.14532262610584</v>
      </c>
      <c r="K47">
        <v>0.36678165950984398</v>
      </c>
      <c r="L47">
        <v>3.1128684024538255E-5</v>
      </c>
      <c r="M47">
        <v>1.8232780618494738E-6</v>
      </c>
      <c r="N47" s="1">
        <v>-8.6686760637956304E-9</v>
      </c>
      <c r="O47" s="1">
        <v>3.29513690900307E-12</v>
      </c>
      <c r="P47" s="1">
        <v>3.3150407743261898E-11</v>
      </c>
      <c r="Q47">
        <v>65.645074984114999</v>
      </c>
      <c r="S47">
        <v>21.102987107404399</v>
      </c>
      <c r="AA47">
        <v>2.0927996190336802</v>
      </c>
      <c r="AB47">
        <v>9.2756769880516803</v>
      </c>
      <c r="AC47">
        <v>1.88346130139515</v>
      </c>
      <c r="AJ47">
        <v>0.79473985090912802</v>
      </c>
      <c r="AK47">
        <v>9.9087258312178197E-2</v>
      </c>
      <c r="AL47">
        <v>0.106172890778693</v>
      </c>
    </row>
    <row r="48" spans="1:38" x14ac:dyDescent="0.2">
      <c r="A48">
        <v>123</v>
      </c>
      <c r="B48">
        <v>769</v>
      </c>
      <c r="C48">
        <v>155</v>
      </c>
      <c r="D48">
        <v>0.43814278174927401</v>
      </c>
      <c r="E48">
        <v>1.9496754619794201</v>
      </c>
      <c r="F48">
        <v>2.5634009954213299</v>
      </c>
      <c r="G48">
        <v>-31.688434322261635</v>
      </c>
      <c r="H48">
        <v>-27.376279452038748</v>
      </c>
      <c r="I48">
        <v>4.1377487599893303</v>
      </c>
      <c r="J48">
        <v>2.37401917408959</v>
      </c>
      <c r="K48">
        <v>0.76058153424371699</v>
      </c>
      <c r="L48">
        <v>3.1160943019581043E-5</v>
      </c>
      <c r="M48">
        <v>1.8248187757991626E-6</v>
      </c>
      <c r="N48" s="1">
        <v>-1.8464479900571299E-8</v>
      </c>
      <c r="O48" s="1">
        <v>6.84025556461555E-12</v>
      </c>
      <c r="P48" s="1">
        <v>7.01412337924208E-11</v>
      </c>
      <c r="Q48">
        <v>65.725190284263505</v>
      </c>
      <c r="S48">
        <v>21.0252954257322</v>
      </c>
      <c r="AA48">
        <v>2.01000937611161</v>
      </c>
      <c r="AB48">
        <v>9.2505307947106701</v>
      </c>
      <c r="AC48">
        <v>1.98897411918185</v>
      </c>
      <c r="AJ48">
        <v>0.79268559606534195</v>
      </c>
      <c r="AK48">
        <v>9.5179449162176896E-2</v>
      </c>
      <c r="AL48">
        <v>0.11213495477248001</v>
      </c>
    </row>
    <row r="49" spans="1:38" x14ac:dyDescent="0.2">
      <c r="A49">
        <v>124</v>
      </c>
      <c r="B49">
        <v>768</v>
      </c>
      <c r="C49">
        <v>155</v>
      </c>
      <c r="D49">
        <v>0.43753589780531399</v>
      </c>
      <c r="E49">
        <v>3.2334647059314099</v>
      </c>
      <c r="F49">
        <v>2.5618492076584101</v>
      </c>
      <c r="G49">
        <v>-52.522438449832002</v>
      </c>
      <c r="H49">
        <v>-45.381271011954766</v>
      </c>
      <c r="I49">
        <v>6.8589227660541097</v>
      </c>
      <c r="J49">
        <v>3.9369659914383401</v>
      </c>
      <c r="K49">
        <v>1.26216043327814</v>
      </c>
      <c r="L49">
        <v>3.1183909899322483E-5</v>
      </c>
      <c r="M49">
        <v>1.8264489560924879E-6</v>
      </c>
      <c r="N49" s="1">
        <v>-3.1383277355940102E-8</v>
      </c>
      <c r="O49" s="1">
        <v>1.13686203469558E-11</v>
      </c>
      <c r="P49" s="1">
        <v>1.18502728083082E-10</v>
      </c>
      <c r="Q49">
        <v>65.818311707348201</v>
      </c>
      <c r="S49">
        <v>20.9288170941301</v>
      </c>
      <c r="AA49">
        <v>1.90868515365534</v>
      </c>
      <c r="AB49">
        <v>9.2051164037498303</v>
      </c>
      <c r="AC49">
        <v>2.1390696411164098</v>
      </c>
      <c r="AJ49">
        <v>0.78897344956367599</v>
      </c>
      <c r="AK49">
        <v>9.0402031427731303E-2</v>
      </c>
      <c r="AL49">
        <v>0.120624519008592</v>
      </c>
    </row>
    <row r="50" spans="1:38" x14ac:dyDescent="0.2">
      <c r="A50">
        <v>125</v>
      </c>
      <c r="B50">
        <v>767</v>
      </c>
      <c r="C50">
        <v>155</v>
      </c>
      <c r="D50">
        <v>0.43692784694515202</v>
      </c>
      <c r="E50">
        <v>4.60549131363637</v>
      </c>
      <c r="F50">
        <v>2.56012402126118</v>
      </c>
      <c r="G50">
        <v>-74.75732921603192</v>
      </c>
      <c r="H50">
        <v>-64.60116387663254</v>
      </c>
      <c r="I50">
        <v>9.7641353068301306</v>
      </c>
      <c r="J50">
        <v>5.6066383091794902</v>
      </c>
      <c r="K50">
        <v>1.7989328936367599</v>
      </c>
      <c r="L50">
        <v>3.1194811835465647E-5</v>
      </c>
      <c r="M50">
        <v>1.8278977818376847E-6</v>
      </c>
      <c r="N50" s="1">
        <v>-4.5700584748777297E-8</v>
      </c>
      <c r="O50" s="1">
        <v>1.6231355940842801E-11</v>
      </c>
      <c r="P50" s="1">
        <v>1.7163441198949299E-10</v>
      </c>
      <c r="Q50">
        <v>65.909917501564806</v>
      </c>
      <c r="S50">
        <v>20.826928351762501</v>
      </c>
      <c r="AA50">
        <v>1.80325093819578</v>
      </c>
      <c r="AB50">
        <v>9.1421404198982597</v>
      </c>
      <c r="AC50">
        <v>2.3177627885785301</v>
      </c>
      <c r="AJ50">
        <v>0.78382244313346106</v>
      </c>
      <c r="AK50">
        <v>8.5435184960511501E-2</v>
      </c>
      <c r="AL50">
        <v>0.130742371906027</v>
      </c>
    </row>
    <row r="51" spans="1:38" x14ac:dyDescent="0.2">
      <c r="A51">
        <v>126</v>
      </c>
      <c r="B51">
        <v>766</v>
      </c>
      <c r="C51">
        <v>155</v>
      </c>
      <c r="D51">
        <v>0.43631862579993802</v>
      </c>
      <c r="E51">
        <v>6.1132811580504702</v>
      </c>
      <c r="F51">
        <v>2.5581220817646</v>
      </c>
      <c r="G51">
        <v>-99.150793461786535</v>
      </c>
      <c r="H51">
        <v>-85.690425516659616</v>
      </c>
      <c r="I51">
        <v>12.9532482751546</v>
      </c>
      <c r="J51">
        <v>7.4400347263010298</v>
      </c>
      <c r="K51">
        <v>2.3897534842565</v>
      </c>
      <c r="L51">
        <v>3.1188186831975441E-5</v>
      </c>
      <c r="M51">
        <v>1.82911994469132E-6</v>
      </c>
      <c r="N51" s="1">
        <v>-6.1800607378704304E-8</v>
      </c>
      <c r="O51" s="1">
        <v>2.1606146517903599E-11</v>
      </c>
      <c r="P51" s="1">
        <v>2.31033723151795E-10</v>
      </c>
      <c r="Q51">
        <v>66.001240398346695</v>
      </c>
      <c r="S51">
        <v>20.7154167774958</v>
      </c>
      <c r="AA51">
        <v>1.6899437981384799</v>
      </c>
      <c r="AB51">
        <v>9.0533065094045995</v>
      </c>
      <c r="AC51">
        <v>2.5400925166143602</v>
      </c>
      <c r="AJ51">
        <v>0.77655032783693001</v>
      </c>
      <c r="AK51">
        <v>8.0102382811049699E-2</v>
      </c>
      <c r="AL51">
        <v>0.14334728935202001</v>
      </c>
    </row>
    <row r="52" spans="1:38" x14ac:dyDescent="0.2">
      <c r="A52">
        <v>127</v>
      </c>
      <c r="B52">
        <v>765</v>
      </c>
      <c r="C52">
        <v>155</v>
      </c>
      <c r="D52">
        <v>0.43570823098781702</v>
      </c>
      <c r="E52">
        <v>7.8635788589881503</v>
      </c>
      <c r="F52">
        <v>2.5556176985014898</v>
      </c>
      <c r="G52">
        <v>-127.40468267673633</v>
      </c>
      <c r="H52">
        <v>-110.11886285030556</v>
      </c>
      <c r="I52">
        <v>16.6505994571408</v>
      </c>
      <c r="J52">
        <v>9.5651286408508192</v>
      </c>
      <c r="K52">
        <v>3.0769777747270202</v>
      </c>
      <c r="L52">
        <v>3.1151959102379988E-5</v>
      </c>
      <c r="M52">
        <v>1.830012618629742E-6</v>
      </c>
      <c r="N52" s="1">
        <v>-8.0487188729836296E-8</v>
      </c>
      <c r="O52" s="1">
        <v>2.7893093459087E-11</v>
      </c>
      <c r="P52" s="1">
        <v>2.9989452899090402E-10</v>
      </c>
      <c r="Q52">
        <v>66.094843346997493</v>
      </c>
      <c r="S52">
        <v>20.585097877382701</v>
      </c>
      <c r="AA52">
        <v>1.5605884027530199</v>
      </c>
      <c r="AB52">
        <v>8.9202477224240297</v>
      </c>
      <c r="AC52">
        <v>2.8392226504426699</v>
      </c>
      <c r="AJ52">
        <v>0.76564514035652398</v>
      </c>
      <c r="AK52">
        <v>7.4020119284471594E-2</v>
      </c>
      <c r="AL52">
        <v>0.160334740359004</v>
      </c>
    </row>
    <row r="53" spans="1:38" x14ac:dyDescent="0.2">
      <c r="A53">
        <v>128</v>
      </c>
      <c r="B53">
        <v>764</v>
      </c>
      <c r="C53">
        <v>155</v>
      </c>
      <c r="D53">
        <v>0.43509665911391998</v>
      </c>
      <c r="E53">
        <v>9.6019227816908401</v>
      </c>
      <c r="F53">
        <v>2.5545542471747198</v>
      </c>
      <c r="G53">
        <v>-155.46680461797763</v>
      </c>
      <c r="H53">
        <v>-134.39508403145365</v>
      </c>
      <c r="I53">
        <v>20.3169460410972</v>
      </c>
      <c r="J53">
        <v>11.675816723550099</v>
      </c>
      <c r="K53">
        <v>3.7587468703435598</v>
      </c>
      <c r="L53">
        <v>3.1114790772724402E-5</v>
      </c>
      <c r="M53">
        <v>1.8295635711574856E-6</v>
      </c>
      <c r="N53" s="1">
        <v>-9.9964920031332698E-8</v>
      </c>
      <c r="O53" s="1">
        <v>3.4098836931307702E-11</v>
      </c>
      <c r="P53" s="1">
        <v>3.7095851157477198E-10</v>
      </c>
      <c r="Q53">
        <v>66.104785886805203</v>
      </c>
      <c r="S53">
        <v>20.539063434741401</v>
      </c>
      <c r="AA53">
        <v>1.52028956047807</v>
      </c>
      <c r="AB53">
        <v>8.8217188630179706</v>
      </c>
      <c r="AC53">
        <v>3.0141422549572101</v>
      </c>
      <c r="AJ53">
        <v>0.75755970683507901</v>
      </c>
      <c r="AK53">
        <v>7.2144089658278607E-2</v>
      </c>
      <c r="AL53">
        <v>0.17029620350664099</v>
      </c>
    </row>
    <row r="54" spans="1:38" x14ac:dyDescent="0.2">
      <c r="A54">
        <v>129</v>
      </c>
      <c r="B54">
        <v>763</v>
      </c>
      <c r="C54">
        <v>155</v>
      </c>
      <c r="D54">
        <v>0.43448390677026</v>
      </c>
      <c r="E54">
        <v>10.7699001152235</v>
      </c>
      <c r="F54">
        <v>2.55605509399104</v>
      </c>
      <c r="G54">
        <v>-174.41840877915391</v>
      </c>
      <c r="H54">
        <v>-150.81978554817644</v>
      </c>
      <c r="I54">
        <v>22.775296270788399</v>
      </c>
      <c r="J54">
        <v>13.101089001434399</v>
      </c>
      <c r="K54">
        <v>4.2134851242221503</v>
      </c>
      <c r="L54">
        <v>3.1135303965706479E-5</v>
      </c>
      <c r="M54">
        <v>1.8282439035703694E-6</v>
      </c>
      <c r="N54" s="1">
        <v>-1.16047614558559E-7</v>
      </c>
      <c r="O54" s="1">
        <v>3.8124581866154598E-11</v>
      </c>
      <c r="P54" s="1">
        <v>4.2753904400026402E-10</v>
      </c>
      <c r="Q54">
        <v>66.016995619506602</v>
      </c>
      <c r="S54">
        <v>20.623688681701601</v>
      </c>
      <c r="AA54">
        <v>1.61059091441772</v>
      </c>
      <c r="AB54">
        <v>8.8479390464077792</v>
      </c>
      <c r="AC54">
        <v>2.9007857379662298</v>
      </c>
      <c r="AJ54">
        <v>0.75971085297313501</v>
      </c>
      <c r="AK54">
        <v>7.6419157199725196E-2</v>
      </c>
      <c r="AL54">
        <v>0.16386998982713899</v>
      </c>
    </row>
    <row r="55" spans="1:38" x14ac:dyDescent="0.2">
      <c r="A55">
        <v>130</v>
      </c>
      <c r="B55">
        <v>762</v>
      </c>
      <c r="C55">
        <v>155</v>
      </c>
      <c r="D55">
        <v>0.433869970535674</v>
      </c>
      <c r="E55">
        <v>14.7565629307271</v>
      </c>
      <c r="F55">
        <v>2.5590037063553202</v>
      </c>
      <c r="G55">
        <v>-239.10926984069698</v>
      </c>
      <c r="H55">
        <v>-206.82802040681759</v>
      </c>
      <c r="I55">
        <v>31.185093400839801</v>
      </c>
      <c r="J55">
        <v>17.958168242051599</v>
      </c>
      <c r="K55">
        <v>5.7665265955180098</v>
      </c>
      <c r="L55">
        <v>3.1124926037824326E-5</v>
      </c>
      <c r="M55">
        <v>1.8247659795681681E-6</v>
      </c>
      <c r="N55" s="1">
        <v>-1.64558118412395E-7</v>
      </c>
      <c r="O55" s="1">
        <v>5.1938136431726002E-11</v>
      </c>
      <c r="P55" s="1">
        <v>6.0210584134319695E-10</v>
      </c>
      <c r="Q55">
        <v>65.817793225623006</v>
      </c>
      <c r="S55">
        <v>20.8035177207095</v>
      </c>
      <c r="AA55">
        <v>1.80543286824287</v>
      </c>
      <c r="AB55">
        <v>8.8754723975731409</v>
      </c>
      <c r="AC55">
        <v>2.6977837878513999</v>
      </c>
      <c r="AJ55">
        <v>0.76196748489705501</v>
      </c>
      <c r="AK55">
        <v>8.5651918783290898E-2</v>
      </c>
      <c r="AL55">
        <v>0.15238059631965301</v>
      </c>
    </row>
    <row r="56" spans="1:38" x14ac:dyDescent="0.2">
      <c r="A56">
        <v>131</v>
      </c>
      <c r="B56">
        <v>761</v>
      </c>
      <c r="C56">
        <v>155</v>
      </c>
      <c r="D56">
        <v>0.43325484697577799</v>
      </c>
      <c r="E56">
        <v>16.7489953397052</v>
      </c>
      <c r="F56">
        <v>2.5603787614831899</v>
      </c>
      <c r="G56">
        <v>-271.4383963181678</v>
      </c>
      <c r="H56">
        <v>-234.85671126255093</v>
      </c>
      <c r="I56">
        <v>35.373674085593798</v>
      </c>
      <c r="J56">
        <v>20.3893074230478</v>
      </c>
      <c r="K56">
        <v>6.5416084493696998</v>
      </c>
      <c r="L56">
        <v>3.113480201803976E-5</v>
      </c>
      <c r="M56">
        <v>1.8232065975165335E-6</v>
      </c>
      <c r="N56" s="1">
        <v>-1.92880167766707E-7</v>
      </c>
      <c r="O56" s="1">
        <v>5.8768033349251103E-11</v>
      </c>
      <c r="P56" s="1">
        <v>7.0117446267363405E-10</v>
      </c>
      <c r="Q56">
        <v>65.725274367342294</v>
      </c>
      <c r="S56">
        <v>20.886130251598299</v>
      </c>
      <c r="AA56">
        <v>1.8951770628767799</v>
      </c>
      <c r="AB56">
        <v>8.8858785726444491</v>
      </c>
      <c r="AC56">
        <v>2.60753974553803</v>
      </c>
      <c r="AJ56">
        <v>0.76281994497886196</v>
      </c>
      <c r="AK56">
        <v>8.9904669195114403E-2</v>
      </c>
      <c r="AL56">
        <v>0.14727538582602201</v>
      </c>
    </row>
    <row r="57" spans="1:38" x14ac:dyDescent="0.2">
      <c r="A57">
        <v>132</v>
      </c>
      <c r="B57">
        <v>760</v>
      </c>
      <c r="C57">
        <v>155</v>
      </c>
      <c r="D57">
        <v>0.43263853264288998</v>
      </c>
      <c r="E57">
        <v>17.633853856578298</v>
      </c>
      <c r="F57">
        <v>2.5610150647630099</v>
      </c>
      <c r="G57">
        <v>-285.78065694799403</v>
      </c>
      <c r="H57">
        <v>-247.32593043525722</v>
      </c>
      <c r="I57">
        <v>37.220855164048501</v>
      </c>
      <c r="J57">
        <v>21.472987258479801</v>
      </c>
      <c r="K57">
        <v>6.8854939977520599</v>
      </c>
      <c r="L57">
        <v>3.1160179891050996E-5</v>
      </c>
      <c r="M57">
        <v>1.8227044334515677E-6</v>
      </c>
      <c r="N57" s="1">
        <v>-2.0965662344184599E-7</v>
      </c>
      <c r="O57" s="1">
        <v>6.1757835459495301E-11</v>
      </c>
      <c r="P57" s="1">
        <v>7.5731584530385397E-10</v>
      </c>
      <c r="Q57">
        <v>65.687981869836904</v>
      </c>
      <c r="S57">
        <v>20.920832022256398</v>
      </c>
      <c r="AA57">
        <v>1.9325080734592199</v>
      </c>
      <c r="AB57">
        <v>8.8937494448154606</v>
      </c>
      <c r="AC57">
        <v>2.5649285896319798</v>
      </c>
      <c r="AJ57">
        <v>0.76346515633863299</v>
      </c>
      <c r="AK57">
        <v>9.16719433651456E-2</v>
      </c>
      <c r="AL57">
        <v>0.14486290029622001</v>
      </c>
    </row>
    <row r="58" spans="1:38" x14ac:dyDescent="0.2">
      <c r="A58">
        <v>133</v>
      </c>
      <c r="B58">
        <v>759</v>
      </c>
      <c r="C58">
        <v>155</v>
      </c>
      <c r="D58">
        <v>0.43202102407596099</v>
      </c>
      <c r="E58">
        <v>18.136675712042699</v>
      </c>
      <c r="F58">
        <v>2.5614186237835099</v>
      </c>
      <c r="G58">
        <v>-293.91750541380134</v>
      </c>
      <c r="H58">
        <v>-254.4269225527799</v>
      </c>
      <c r="I58">
        <v>38.260507543497901</v>
      </c>
      <c r="J58">
        <v>22.092103339345702</v>
      </c>
      <c r="K58">
        <v>7.0807151723027397</v>
      </c>
      <c r="L58">
        <v>3.1191656969252518E-5</v>
      </c>
      <c r="M58">
        <v>1.8225522221572936E-6</v>
      </c>
      <c r="N58" s="1">
        <v>-2.2263061941638599E-7</v>
      </c>
      <c r="O58" s="1">
        <v>6.3424593000813695E-11</v>
      </c>
      <c r="P58" s="1">
        <v>7.9915865300235E-10</v>
      </c>
      <c r="Q58">
        <v>65.668579154009507</v>
      </c>
      <c r="S58">
        <v>20.9402155456239</v>
      </c>
      <c r="AA58">
        <v>1.95302703719503</v>
      </c>
      <c r="AB58">
        <v>8.9013279594643908</v>
      </c>
      <c r="AC58">
        <v>2.5368503037069701</v>
      </c>
      <c r="AJ58">
        <v>0.76408660615937796</v>
      </c>
      <c r="AK58">
        <v>9.26417670925858E-2</v>
      </c>
      <c r="AL58">
        <v>0.14327162674803501</v>
      </c>
    </row>
    <row r="59" spans="1:38" x14ac:dyDescent="0.2">
      <c r="A59">
        <v>135</v>
      </c>
      <c r="B59">
        <v>782</v>
      </c>
      <c r="C59">
        <v>135</v>
      </c>
      <c r="D59">
        <v>0.466777709330429</v>
      </c>
      <c r="E59">
        <v>2.8995465876554299E-2</v>
      </c>
      <c r="F59">
        <v>2.5638424157013802</v>
      </c>
      <c r="G59">
        <v>-0.47258587378943928</v>
      </c>
      <c r="H59">
        <v>-0.40719774936032782</v>
      </c>
      <c r="I59">
        <v>6.1970453896708001E-2</v>
      </c>
      <c r="J59">
        <v>3.5242837363406297E-2</v>
      </c>
      <c r="K59">
        <v>1.1309379117445501E-2</v>
      </c>
      <c r="L59">
        <v>3.0837180367256039E-5</v>
      </c>
      <c r="M59">
        <v>1.8212220391416811E-6</v>
      </c>
      <c r="N59" s="1">
        <v>-1.8158376798901001E-10</v>
      </c>
      <c r="O59" s="1">
        <v>1.02121295669734E-13</v>
      </c>
      <c r="P59" s="1">
        <v>7.7160303161696103E-13</v>
      </c>
      <c r="Q59">
        <v>65.561557484431802</v>
      </c>
      <c r="S59">
        <v>21.178502080100898</v>
      </c>
      <c r="AA59">
        <v>2.1745879115134601</v>
      </c>
      <c r="AB59">
        <v>9.2875350365772196</v>
      </c>
      <c r="AC59">
        <v>1.79781748737652</v>
      </c>
      <c r="AJ59">
        <v>0.79570765519378595</v>
      </c>
      <c r="AK59">
        <v>0.10295343255428401</v>
      </c>
      <c r="AL59">
        <v>0.10133891225192899</v>
      </c>
    </row>
    <row r="60" spans="1:38" x14ac:dyDescent="0.2">
      <c r="A60">
        <v>136</v>
      </c>
      <c r="B60">
        <v>781</v>
      </c>
      <c r="C60">
        <v>135</v>
      </c>
      <c r="D60">
        <v>0.46620547360432502</v>
      </c>
      <c r="E60">
        <v>0.42500530483715099</v>
      </c>
      <c r="F60">
        <v>2.5634333224161101</v>
      </c>
      <c r="G60">
        <v>-6.9253947376172738</v>
      </c>
      <c r="H60">
        <v>-5.9683358581330692</v>
      </c>
      <c r="I60">
        <v>0.90789629510430503</v>
      </c>
      <c r="J60">
        <v>0.51662945682794004</v>
      </c>
      <c r="K60">
        <v>0.165795342176706</v>
      </c>
      <c r="L60">
        <v>3.0866767277153785E-5</v>
      </c>
      <c r="M60">
        <v>1.8221437672455448E-6</v>
      </c>
      <c r="N60" s="1">
        <v>-2.7465779075947799E-9</v>
      </c>
      <c r="O60" s="1">
        <v>1.4974220370366E-12</v>
      </c>
      <c r="P60" s="1">
        <v>1.15580445784488E-11</v>
      </c>
      <c r="Q60">
        <v>65.6013104267779</v>
      </c>
      <c r="S60">
        <v>21.144902920132399</v>
      </c>
      <c r="AA60">
        <v>2.1375924548726402</v>
      </c>
      <c r="AB60">
        <v>9.2880377710817399</v>
      </c>
      <c r="AC60">
        <v>1.82815642713518</v>
      </c>
      <c r="AJ60">
        <v>0.79574937354964503</v>
      </c>
      <c r="AK60">
        <v>0.101201751923957</v>
      </c>
      <c r="AL60">
        <v>0.10304887452639599</v>
      </c>
    </row>
    <row r="61" spans="1:38" x14ac:dyDescent="0.2">
      <c r="A61">
        <v>137</v>
      </c>
      <c r="B61">
        <v>780</v>
      </c>
      <c r="C61">
        <v>135</v>
      </c>
      <c r="D61">
        <v>0.46563215116555001</v>
      </c>
      <c r="E61">
        <v>0.82151580109704703</v>
      </c>
      <c r="F61">
        <v>2.5630303054102499</v>
      </c>
      <c r="G61">
        <v>-13.383365096634078</v>
      </c>
      <c r="H61">
        <v>-11.536080709476284</v>
      </c>
      <c r="I61">
        <v>1.7540562950745799</v>
      </c>
      <c r="J61">
        <v>0.99872453522056204</v>
      </c>
      <c r="K61">
        <v>0.32052519994122702</v>
      </c>
      <c r="L61">
        <v>3.0896034133203131E-5</v>
      </c>
      <c r="M61">
        <v>1.8230368506660409E-6</v>
      </c>
      <c r="N61" s="1">
        <v>-5.4773264702354002E-9</v>
      </c>
      <c r="O61" s="1">
        <v>2.8954592968309401E-12</v>
      </c>
      <c r="P61" s="1">
        <v>2.2832389518055301E-11</v>
      </c>
      <c r="Q61">
        <v>65.639891112513894</v>
      </c>
      <c r="S61">
        <v>21.112019228843401</v>
      </c>
      <c r="AA61">
        <v>2.10146079727244</v>
      </c>
      <c r="AB61">
        <v>9.2878038887450707</v>
      </c>
      <c r="AC61">
        <v>1.8588249726250601</v>
      </c>
      <c r="AJ61">
        <v>0.79573087476762705</v>
      </c>
      <c r="AK61">
        <v>9.9491334338613499E-2</v>
      </c>
      <c r="AL61">
        <v>0.10477779089375799</v>
      </c>
    </row>
    <row r="62" spans="1:38" x14ac:dyDescent="0.2">
      <c r="A62">
        <v>138</v>
      </c>
      <c r="B62">
        <v>779</v>
      </c>
      <c r="C62">
        <v>135</v>
      </c>
      <c r="D62">
        <v>0.46505773891555402</v>
      </c>
      <c r="E62">
        <v>1.2183782754810499</v>
      </c>
      <c r="F62">
        <v>2.5626332866643602</v>
      </c>
      <c r="G62">
        <v>-19.84405692826142</v>
      </c>
      <c r="H62">
        <v>-17.108337539095572</v>
      </c>
      <c r="I62">
        <v>2.6001229759690498</v>
      </c>
      <c r="J62">
        <v>1.48135087202904</v>
      </c>
      <c r="K62">
        <v>0.47543996318995202</v>
      </c>
      <c r="L62">
        <v>3.0925002460754385E-5</v>
      </c>
      <c r="M62">
        <v>1.8239017877959853E-6</v>
      </c>
      <c r="N62" s="1">
        <v>-8.3791576940207307E-9</v>
      </c>
      <c r="O62" s="1">
        <v>4.2955953154476401E-12</v>
      </c>
      <c r="P62" s="1">
        <v>3.4608553412691603E-11</v>
      </c>
      <c r="Q62">
        <v>65.677316909280606</v>
      </c>
      <c r="S62">
        <v>21.079840156358699</v>
      </c>
      <c r="AA62">
        <v>2.0661799349531602</v>
      </c>
      <c r="AB62">
        <v>9.2868436480650907</v>
      </c>
      <c r="AC62">
        <v>1.88981935134234</v>
      </c>
      <c r="AJ62">
        <v>0.79565299693716096</v>
      </c>
      <c r="AK62">
        <v>9.7821540784955793E-2</v>
      </c>
      <c r="AL62">
        <v>0.106525462277882</v>
      </c>
    </row>
    <row r="63" spans="1:38" x14ac:dyDescent="0.2">
      <c r="A63">
        <v>139</v>
      </c>
      <c r="B63">
        <v>778</v>
      </c>
      <c r="C63">
        <v>135</v>
      </c>
      <c r="D63">
        <v>0.464482233743996</v>
      </c>
      <c r="E63">
        <v>1.61544736800315</v>
      </c>
      <c r="F63">
        <v>2.56224217814946</v>
      </c>
      <c r="G63">
        <v>-26.30508673766343</v>
      </c>
      <c r="H63">
        <v>-22.683058561521555</v>
      </c>
      <c r="I63">
        <v>3.4457766980372599</v>
      </c>
      <c r="J63">
        <v>1.9643355303477199</v>
      </c>
      <c r="K63">
        <v>0.63048192000721903</v>
      </c>
      <c r="L63">
        <v>3.0953694780124268E-5</v>
      </c>
      <c r="M63">
        <v>1.8247391050962394E-6</v>
      </c>
      <c r="N63" s="1">
        <v>-1.14575709748856E-8</v>
      </c>
      <c r="O63" s="1">
        <v>5.6972025838891198E-12</v>
      </c>
      <c r="P63" s="1">
        <v>4.6900944514463001E-11</v>
      </c>
      <c r="Q63">
        <v>65.713606397668997</v>
      </c>
      <c r="S63">
        <v>21.0483539879719</v>
      </c>
      <c r="AA63">
        <v>2.0317358676350699</v>
      </c>
      <c r="AB63">
        <v>9.2851677432666495</v>
      </c>
      <c r="AC63">
        <v>1.9211360034573499</v>
      </c>
      <c r="AJ63">
        <v>0.79551661252208605</v>
      </c>
      <c r="AK63">
        <v>9.6191686070288704E-2</v>
      </c>
      <c r="AL63">
        <v>0.10829170140762399</v>
      </c>
    </row>
    <row r="64" spans="1:38" x14ac:dyDescent="0.2">
      <c r="A64">
        <v>140</v>
      </c>
      <c r="B64">
        <v>777</v>
      </c>
      <c r="C64">
        <v>135</v>
      </c>
      <c r="D64">
        <v>0.46390563252868899</v>
      </c>
      <c r="E64">
        <v>2.0125815894938901</v>
      </c>
      <c r="F64">
        <v>2.5618568827038799</v>
      </c>
      <c r="G64">
        <v>-32.764136456504474</v>
      </c>
      <c r="H64">
        <v>-28.258250676472329</v>
      </c>
      <c r="I64">
        <v>4.2907068323878796</v>
      </c>
      <c r="J64">
        <v>2.4475105200115101</v>
      </c>
      <c r="K64">
        <v>0.78559485624729397</v>
      </c>
      <c r="L64">
        <v>3.0982134535689246E-5</v>
      </c>
      <c r="M64">
        <v>1.8255493536318077E-6</v>
      </c>
      <c r="N64" s="1">
        <v>-1.47182504583367E-8</v>
      </c>
      <c r="O64" s="1">
        <v>7.0996659787396596E-12</v>
      </c>
      <c r="P64" s="1">
        <v>5.9724506425592405E-11</v>
      </c>
      <c r="Q64">
        <v>65.748779229268905</v>
      </c>
      <c r="S64">
        <v>21.0175482375958</v>
      </c>
      <c r="AA64">
        <v>1.99811370873871</v>
      </c>
      <c r="AB64">
        <v>9.2827872329636794</v>
      </c>
      <c r="AC64">
        <v>1.9527715914327599</v>
      </c>
      <c r="AJ64">
        <v>0.79532262259203801</v>
      </c>
      <c r="AK64">
        <v>9.4601044045155097E-2</v>
      </c>
      <c r="AL64">
        <v>0.11007633336280601</v>
      </c>
    </row>
    <row r="65" spans="1:38" x14ac:dyDescent="0.2">
      <c r="A65">
        <v>141</v>
      </c>
      <c r="B65">
        <v>776</v>
      </c>
      <c r="C65">
        <v>135</v>
      </c>
      <c r="D65">
        <v>0.46332793213554102</v>
      </c>
      <c r="E65">
        <v>2.82160023288455</v>
      </c>
      <c r="F65">
        <v>2.5609771755691901</v>
      </c>
      <c r="G65">
        <v>-45.91678911724582</v>
      </c>
      <c r="H65">
        <v>-39.60876639077177</v>
      </c>
      <c r="I65">
        <v>6.0125079602287901</v>
      </c>
      <c r="J65">
        <v>3.4314255986629401</v>
      </c>
      <c r="K65">
        <v>1.1017670363490899</v>
      </c>
      <c r="L65">
        <v>3.1006820557781866E-5</v>
      </c>
      <c r="M65">
        <v>1.8267060525587812E-6</v>
      </c>
      <c r="N65" s="1">
        <v>-2.1221055580863802E-8</v>
      </c>
      <c r="O65" s="1">
        <v>9.9645489197741493E-12</v>
      </c>
      <c r="P65" s="1">
        <v>8.5430346434232096E-11</v>
      </c>
      <c r="Q65">
        <v>65.808597698463004</v>
      </c>
      <c r="S65">
        <v>20.958878349956699</v>
      </c>
      <c r="AA65">
        <v>1.9357526286892699</v>
      </c>
      <c r="AB65">
        <v>9.2622787461726208</v>
      </c>
      <c r="AC65">
        <v>2.0344925767183799</v>
      </c>
      <c r="AJ65">
        <v>0.79364730063511302</v>
      </c>
      <c r="AK65">
        <v>9.1657993253873596E-2</v>
      </c>
      <c r="AL65">
        <v>0.114694706111012</v>
      </c>
    </row>
    <row r="66" spans="1:38" x14ac:dyDescent="0.2">
      <c r="A66">
        <v>142</v>
      </c>
      <c r="B66">
        <v>775</v>
      </c>
      <c r="C66">
        <v>135</v>
      </c>
      <c r="D66">
        <v>0.46274912941850099</v>
      </c>
      <c r="E66">
        <v>4.0903836668358702</v>
      </c>
      <c r="F66">
        <v>2.5595137402032999</v>
      </c>
      <c r="G66">
        <v>-66.524892677294716</v>
      </c>
      <c r="H66">
        <v>-57.393681041101772</v>
      </c>
      <c r="I66">
        <v>8.7117412929379796</v>
      </c>
      <c r="J66">
        <v>4.9738223812131102</v>
      </c>
      <c r="K66">
        <v>1.59810967317212</v>
      </c>
      <c r="L66">
        <v>3.1021387848845291E-5</v>
      </c>
      <c r="M66">
        <v>1.8281142977011383E-6</v>
      </c>
      <c r="N66" s="1">
        <v>-3.1514962611826498E-8</v>
      </c>
      <c r="O66" s="1">
        <v>1.4475175547368301E-11</v>
      </c>
      <c r="P66" s="1">
        <v>1.2600071159634401E-10</v>
      </c>
      <c r="Q66">
        <v>65.892237053893695</v>
      </c>
      <c r="S66">
        <v>20.869582164044601</v>
      </c>
      <c r="AA66">
        <v>1.84256626082551</v>
      </c>
      <c r="AB66">
        <v>9.2145630045222902</v>
      </c>
      <c r="AC66">
        <v>2.18105151671381</v>
      </c>
      <c r="AJ66">
        <v>0.78974722440002898</v>
      </c>
      <c r="AK66">
        <v>8.7266441965444502E-2</v>
      </c>
      <c r="AL66">
        <v>0.12298633363452501</v>
      </c>
    </row>
    <row r="67" spans="1:38" x14ac:dyDescent="0.2">
      <c r="A67">
        <v>143</v>
      </c>
      <c r="B67">
        <v>774</v>
      </c>
      <c r="C67">
        <v>135</v>
      </c>
      <c r="D67">
        <v>0.46216922121950399</v>
      </c>
      <c r="E67">
        <v>5.4411199135751502</v>
      </c>
      <c r="F67">
        <v>2.5578980337852899</v>
      </c>
      <c r="G67">
        <v>-88.433937758914126</v>
      </c>
      <c r="H67">
        <v>-76.305534968943789</v>
      </c>
      <c r="I67">
        <v>11.5822974645183</v>
      </c>
      <c r="J67">
        <v>6.6149615090944103</v>
      </c>
      <c r="K67">
        <v>2.1271840557002699</v>
      </c>
      <c r="L67">
        <v>3.1025059379495456E-5</v>
      </c>
      <c r="M67">
        <v>1.8293472986408711E-6</v>
      </c>
      <c r="N67" s="1">
        <v>-4.2845387014373499E-8</v>
      </c>
      <c r="O67" s="1">
        <v>1.9299136350020199E-11</v>
      </c>
      <c r="P67" s="1">
        <v>1.7024354904635101E-10</v>
      </c>
      <c r="Q67">
        <v>65.973959414430098</v>
      </c>
      <c r="S67">
        <v>20.775760705307501</v>
      </c>
      <c r="AA67">
        <v>1.74609380109753</v>
      </c>
      <c r="AB67">
        <v>9.1507117514987506</v>
      </c>
      <c r="AC67">
        <v>2.35347432766598</v>
      </c>
      <c r="AJ67">
        <v>0.78452491309895001</v>
      </c>
      <c r="AK67">
        <v>8.2723752210453097E-2</v>
      </c>
      <c r="AL67">
        <v>0.132751334690596</v>
      </c>
    </row>
    <row r="68" spans="1:38" x14ac:dyDescent="0.2">
      <c r="A68">
        <v>144</v>
      </c>
      <c r="B68">
        <v>773</v>
      </c>
      <c r="C68">
        <v>135</v>
      </c>
      <c r="D68">
        <v>0.46158820436839998</v>
      </c>
      <c r="E68">
        <v>6.9151401346632504</v>
      </c>
      <c r="F68">
        <v>2.55604827744521</v>
      </c>
      <c r="G68">
        <v>-112.30332741797632</v>
      </c>
      <c r="H68">
        <v>-96.913098654407193</v>
      </c>
      <c r="I68">
        <v>14.7113021684931</v>
      </c>
      <c r="J68">
        <v>8.4043165496425001</v>
      </c>
      <c r="K68">
        <v>2.70540278745242</v>
      </c>
      <c r="L68">
        <v>3.1013473789647397E-5</v>
      </c>
      <c r="M68">
        <v>1.8303643100552717E-6</v>
      </c>
      <c r="N68" s="1">
        <v>-5.5466325585641203E-8</v>
      </c>
      <c r="O68" s="1">
        <v>2.4591783796983199E-11</v>
      </c>
      <c r="P68" s="1">
        <v>2.1922804846077301E-10</v>
      </c>
      <c r="Q68">
        <v>66.054552585738804</v>
      </c>
      <c r="S68">
        <v>20.674146047925099</v>
      </c>
      <c r="AA68">
        <v>1.6434553535605201</v>
      </c>
      <c r="AB68">
        <v>9.06391327739213</v>
      </c>
      <c r="AC68">
        <v>2.5639327353833901</v>
      </c>
      <c r="AJ68">
        <v>0.77741995823290999</v>
      </c>
      <c r="AK68">
        <v>7.7894832003330403E-2</v>
      </c>
      <c r="AL68">
        <v>0.14468520976375801</v>
      </c>
    </row>
    <row r="69" spans="1:38" x14ac:dyDescent="0.2">
      <c r="A69">
        <v>145</v>
      </c>
      <c r="B69">
        <v>772</v>
      </c>
      <c r="C69">
        <v>135</v>
      </c>
      <c r="D69">
        <v>0.46100607568291702</v>
      </c>
      <c r="E69">
        <v>8.5978272823338102</v>
      </c>
      <c r="F69">
        <v>2.55380224991382</v>
      </c>
      <c r="G69">
        <v>-139.49533392703972</v>
      </c>
      <c r="H69">
        <v>-120.39127934644527</v>
      </c>
      <c r="I69">
        <v>18.278768196521501</v>
      </c>
      <c r="J69">
        <v>10.444069052939</v>
      </c>
      <c r="K69">
        <v>3.3666769941266699</v>
      </c>
      <c r="L69">
        <v>3.0977813982378542E-5</v>
      </c>
      <c r="M69">
        <v>1.8310802189883296E-6</v>
      </c>
      <c r="N69" s="1">
        <v>-6.9868766527799001E-8</v>
      </c>
      <c r="O69" s="1">
        <v>3.0674747296840603E-11</v>
      </c>
      <c r="P69" s="1">
        <v>2.7506595712855801E-10</v>
      </c>
      <c r="Q69">
        <v>66.135436286289007</v>
      </c>
      <c r="S69">
        <v>20.5582843715735</v>
      </c>
      <c r="AA69">
        <v>1.52899517846941</v>
      </c>
      <c r="AB69">
        <v>8.9404118196563296</v>
      </c>
      <c r="AC69">
        <v>2.8368723440116601</v>
      </c>
      <c r="AJ69">
        <v>0.76729951659075801</v>
      </c>
      <c r="AK69">
        <v>7.2514408167129604E-2</v>
      </c>
      <c r="AL69">
        <v>0.16018607524211201</v>
      </c>
    </row>
    <row r="70" spans="1:38" x14ac:dyDescent="0.2">
      <c r="A70">
        <v>146</v>
      </c>
      <c r="B70">
        <v>771</v>
      </c>
      <c r="C70">
        <v>135</v>
      </c>
      <c r="D70">
        <v>0.46042283196858502</v>
      </c>
      <c r="E70">
        <v>10.7176663662712</v>
      </c>
      <c r="F70">
        <v>2.5507507975572201</v>
      </c>
      <c r="G70">
        <v>-173.65464721989957</v>
      </c>
      <c r="H70">
        <v>-149.88320135536475</v>
      </c>
      <c r="I70">
        <v>22.766313139428998</v>
      </c>
      <c r="J70">
        <v>13.0075166632306</v>
      </c>
      <c r="K70">
        <v>4.2017692894716498</v>
      </c>
      <c r="L70">
        <v>3.0895169786127765E-5</v>
      </c>
      <c r="M70">
        <v>1.8312640347226393E-6</v>
      </c>
      <c r="N70" s="1">
        <v>-8.72818593209446E-8</v>
      </c>
      <c r="O70" s="1">
        <v>3.8410285083176199E-11</v>
      </c>
      <c r="P70" s="1">
        <v>3.4316264753768298E-10</v>
      </c>
      <c r="Q70">
        <v>66.219639645300902</v>
      </c>
      <c r="S70">
        <v>20.412003347428801</v>
      </c>
      <c r="AA70">
        <v>1.3886641330604399</v>
      </c>
      <c r="AB70">
        <v>8.7445597677849101</v>
      </c>
      <c r="AC70">
        <v>3.2351331064247901</v>
      </c>
      <c r="AJ70">
        <v>0.75122398298760495</v>
      </c>
      <c r="AK70">
        <v>6.5923385554176497E-2</v>
      </c>
      <c r="AL70">
        <v>0.18285263145821701</v>
      </c>
    </row>
    <row r="71" spans="1:38" x14ac:dyDescent="0.2">
      <c r="A71">
        <v>147</v>
      </c>
      <c r="B71">
        <v>770</v>
      </c>
      <c r="C71">
        <v>135</v>
      </c>
      <c r="D71">
        <v>0.45983847001869499</v>
      </c>
      <c r="E71">
        <v>11.3125100813677</v>
      </c>
      <c r="F71">
        <v>2.5517229422994201</v>
      </c>
      <c r="G71">
        <v>-183.29629140674817</v>
      </c>
      <c r="H71">
        <v>-158.24469668088199</v>
      </c>
      <c r="I71">
        <v>24.015333102493599</v>
      </c>
      <c r="J71">
        <v>13.7312802272548</v>
      </c>
      <c r="K71">
        <v>4.4332830550850399</v>
      </c>
      <c r="L71">
        <v>3.0890481957460023E-5</v>
      </c>
      <c r="M71">
        <v>1.8299331536709061E-6</v>
      </c>
      <c r="N71" s="1">
        <v>-9.4897276509617996E-8</v>
      </c>
      <c r="O71" s="1">
        <v>4.0457107125701699E-11</v>
      </c>
      <c r="P71" s="1">
        <v>3.7032091348939399E-10</v>
      </c>
      <c r="Q71">
        <v>66.146054092663206</v>
      </c>
      <c r="S71">
        <v>20.4713866105003</v>
      </c>
      <c r="AA71">
        <v>1.45482611585944</v>
      </c>
      <c r="AB71">
        <v>8.7362592537242101</v>
      </c>
      <c r="AC71">
        <v>3.1914739272527299</v>
      </c>
      <c r="AJ71">
        <v>0.75054082028299296</v>
      </c>
      <c r="AK71">
        <v>6.9067014404057603E-2</v>
      </c>
      <c r="AL71">
        <v>0.18039216531294799</v>
      </c>
    </row>
    <row r="72" spans="1:38" x14ac:dyDescent="0.2">
      <c r="A72">
        <v>148</v>
      </c>
      <c r="B72">
        <v>769</v>
      </c>
      <c r="C72">
        <v>135</v>
      </c>
      <c r="D72">
        <v>0.45925298661421299</v>
      </c>
      <c r="E72">
        <v>12.954636226370299</v>
      </c>
      <c r="F72">
        <v>2.5548521835329101</v>
      </c>
      <c r="G72">
        <v>-210.03886287773108</v>
      </c>
      <c r="H72">
        <v>-181.39467679527507</v>
      </c>
      <c r="I72">
        <v>27.485665290462901</v>
      </c>
      <c r="J72">
        <v>15.7323838454728</v>
      </c>
      <c r="K72">
        <v>5.0706010742493701</v>
      </c>
      <c r="L72">
        <v>3.0895148491689683E-5</v>
      </c>
      <c r="M72">
        <v>1.8268924879077224E-6</v>
      </c>
      <c r="N72" s="1">
        <v>-1.1296750743941199E-7</v>
      </c>
      <c r="O72" s="1">
        <v>4.6065074609596603E-11</v>
      </c>
      <c r="P72" s="1">
        <v>4.3680124652259998E-10</v>
      </c>
      <c r="Q72">
        <v>65.957474384717102</v>
      </c>
      <c r="S72">
        <v>20.6528214317844</v>
      </c>
      <c r="AA72">
        <v>1.6485141979622799</v>
      </c>
      <c r="AB72">
        <v>8.7916744579384805</v>
      </c>
      <c r="AC72">
        <v>2.9495155275976601</v>
      </c>
      <c r="AJ72">
        <v>0.75509035788918</v>
      </c>
      <c r="AK72">
        <v>7.8240354286285105E-2</v>
      </c>
      <c r="AL72">
        <v>0.166669287824534</v>
      </c>
    </row>
    <row r="73" spans="1:38" x14ac:dyDescent="0.2">
      <c r="A73">
        <v>149</v>
      </c>
      <c r="B73">
        <v>768</v>
      </c>
      <c r="C73">
        <v>135</v>
      </c>
      <c r="D73">
        <v>0.45866637852374798</v>
      </c>
      <c r="E73">
        <v>14.777607983365501</v>
      </c>
      <c r="F73">
        <v>2.55707461858499</v>
      </c>
      <c r="G73">
        <v>-239.68650283452592</v>
      </c>
      <c r="H73">
        <v>-207.06300016465252</v>
      </c>
      <c r="I73">
        <v>31.334104278800599</v>
      </c>
      <c r="J73">
        <v>17.9524465113034</v>
      </c>
      <c r="K73">
        <v>5.7791070608424597</v>
      </c>
      <c r="L73">
        <v>3.0894156613372728E-5</v>
      </c>
      <c r="M73">
        <v>1.8244542615310577E-6</v>
      </c>
      <c r="N73" s="1">
        <v>-1.33387941091116E-7</v>
      </c>
      <c r="O73" s="1">
        <v>5.23213705423567E-11</v>
      </c>
      <c r="P73" s="1">
        <v>5.1159503668222003E-10</v>
      </c>
      <c r="Q73">
        <v>65.813430202206902</v>
      </c>
      <c r="S73">
        <v>20.785378972603802</v>
      </c>
      <c r="AA73">
        <v>1.79148626719758</v>
      </c>
      <c r="AB73">
        <v>8.8181965474692294</v>
      </c>
      <c r="AC73">
        <v>2.79150801052235</v>
      </c>
      <c r="AJ73">
        <v>0.75726607932843004</v>
      </c>
      <c r="AK73">
        <v>8.5014499592683895E-2</v>
      </c>
      <c r="AL73">
        <v>0.15771942107888501</v>
      </c>
    </row>
    <row r="74" spans="1:38" x14ac:dyDescent="0.2">
      <c r="A74">
        <v>150</v>
      </c>
      <c r="B74">
        <v>767</v>
      </c>
      <c r="C74">
        <v>135</v>
      </c>
      <c r="D74">
        <v>0.45807864250348701</v>
      </c>
      <c r="E74">
        <v>16.219326585013</v>
      </c>
      <c r="F74">
        <v>2.5585886244251301</v>
      </c>
      <c r="G74">
        <v>-263.12369015672624</v>
      </c>
      <c r="H74">
        <v>-227.3737475012191</v>
      </c>
      <c r="I74">
        <v>34.369987651307099</v>
      </c>
      <c r="J74">
        <v>19.709400613641801</v>
      </c>
      <c r="K74">
        <v>6.3391693491395902</v>
      </c>
      <c r="L74">
        <v>3.0898371888361538E-5</v>
      </c>
      <c r="M74">
        <v>1.8227564183858767E-6</v>
      </c>
      <c r="N74" s="1">
        <v>-1.5127426061804601E-7</v>
      </c>
      <c r="O74" s="1">
        <v>5.7244589235891199E-11</v>
      </c>
      <c r="P74" s="1">
        <v>5.7579053198586804E-10</v>
      </c>
      <c r="Q74">
        <v>65.713192506018004</v>
      </c>
      <c r="S74">
        <v>20.8759428495012</v>
      </c>
      <c r="AA74">
        <v>1.88959148900643</v>
      </c>
      <c r="AB74">
        <v>8.8322471934366398</v>
      </c>
      <c r="AC74">
        <v>2.6890259620375701</v>
      </c>
      <c r="AJ74">
        <v>0.75841811236138801</v>
      </c>
      <c r="AK74">
        <v>8.9663604830534899E-2</v>
      </c>
      <c r="AL74">
        <v>0.15191828280807601</v>
      </c>
    </row>
    <row r="75" spans="1:38" x14ac:dyDescent="0.2">
      <c r="A75">
        <v>151</v>
      </c>
      <c r="B75">
        <v>766</v>
      </c>
      <c r="C75">
        <v>135</v>
      </c>
      <c r="D75">
        <v>0.45748977529712298</v>
      </c>
      <c r="E75">
        <v>16.9279327559187</v>
      </c>
      <c r="F75">
        <v>2.5593151630916098</v>
      </c>
      <c r="G75">
        <v>-274.62719917602936</v>
      </c>
      <c r="H75">
        <v>-237.37273732310587</v>
      </c>
      <c r="I75">
        <v>35.850899151155701</v>
      </c>
      <c r="J75">
        <v>20.575645866854099</v>
      </c>
      <c r="K75">
        <v>6.61424313818</v>
      </c>
      <c r="L75">
        <v>3.0916924957285928E-5</v>
      </c>
      <c r="M75">
        <v>1.8221297902114372E-6</v>
      </c>
      <c r="N75" s="1">
        <v>-1.6304055751134499E-7</v>
      </c>
      <c r="O75" s="1">
        <v>5.9635664769312302E-11</v>
      </c>
      <c r="P75" s="1">
        <v>6.1598282526429697E-10</v>
      </c>
      <c r="Q75">
        <v>65.669921293444901</v>
      </c>
      <c r="S75">
        <v>20.916228861278199</v>
      </c>
      <c r="AA75">
        <v>1.9329246071167501</v>
      </c>
      <c r="AB75">
        <v>8.8414346337392207</v>
      </c>
      <c r="AC75">
        <v>2.6394906044208799</v>
      </c>
      <c r="AJ75">
        <v>0.75917165374278595</v>
      </c>
      <c r="AK75">
        <v>9.1715544474442703E-2</v>
      </c>
      <c r="AL75">
        <v>0.14911280178277</v>
      </c>
    </row>
    <row r="76" spans="1:38" x14ac:dyDescent="0.2">
      <c r="A76">
        <v>152</v>
      </c>
      <c r="B76">
        <v>765</v>
      </c>
      <c r="C76">
        <v>135</v>
      </c>
      <c r="D76">
        <v>0.45689977363579698</v>
      </c>
      <c r="E76">
        <v>17.358305640934301</v>
      </c>
      <c r="F76">
        <v>2.5597722951959598</v>
      </c>
      <c r="G76">
        <v>-281.60124111293021</v>
      </c>
      <c r="H76">
        <v>-243.45782839189357</v>
      </c>
      <c r="I76">
        <v>36.741716246242497</v>
      </c>
      <c r="J76">
        <v>21.104046194013101</v>
      </c>
      <c r="K76">
        <v>6.7811913088955</v>
      </c>
      <c r="L76">
        <v>3.094162928000642E-5</v>
      </c>
      <c r="M76">
        <v>1.8218916057140581E-6</v>
      </c>
      <c r="N76" s="1">
        <v>-1.72627415463921E-7</v>
      </c>
      <c r="O76" s="1">
        <v>6.1066246766091302E-11</v>
      </c>
      <c r="P76" s="1">
        <v>6.4747330138349903E-10</v>
      </c>
      <c r="Q76">
        <v>65.646815006052094</v>
      </c>
      <c r="S76">
        <v>20.939011478342799</v>
      </c>
      <c r="AA76">
        <v>1.95711203575033</v>
      </c>
      <c r="AB76">
        <v>8.8496711037713691</v>
      </c>
      <c r="AC76">
        <v>2.6073903760832402</v>
      </c>
      <c r="AJ76">
        <v>0.75984737732909002</v>
      </c>
      <c r="AK76">
        <v>9.2859366464527998E-2</v>
      </c>
      <c r="AL76">
        <v>0.14729325620638101</v>
      </c>
    </row>
    <row r="77" spans="1:38" x14ac:dyDescent="0.2">
      <c r="A77">
        <v>154</v>
      </c>
      <c r="B77">
        <v>793</v>
      </c>
      <c r="C77">
        <v>115</v>
      </c>
      <c r="D77">
        <v>0.49363644890494002</v>
      </c>
      <c r="E77">
        <v>0.27771765152619099</v>
      </c>
      <c r="F77">
        <v>2.5616102831674601</v>
      </c>
      <c r="G77">
        <v>-4.5348731579395984</v>
      </c>
      <c r="H77">
        <v>-3.8982173228781929</v>
      </c>
      <c r="I77">
        <v>0.59715409188332202</v>
      </c>
      <c r="J77">
        <v>0.33724818205284102</v>
      </c>
      <c r="K77">
        <v>0.10841526259911401</v>
      </c>
      <c r="L77">
        <v>3.0675701100910902E-5</v>
      </c>
      <c r="M77">
        <v>1.8220433786473709E-6</v>
      </c>
      <c r="N77" s="1">
        <v>-1.20141743542954E-9</v>
      </c>
      <c r="O77" s="1">
        <v>9.8376368285918592E-13</v>
      </c>
      <c r="P77" s="1">
        <v>5.80363641148884E-12</v>
      </c>
      <c r="Q77">
        <v>65.605275316728907</v>
      </c>
      <c r="S77">
        <v>21.145618221881701</v>
      </c>
      <c r="AA77">
        <v>2.13725743327339</v>
      </c>
      <c r="AB77">
        <v>9.2987485722800507</v>
      </c>
      <c r="AC77">
        <v>1.8131004558358099</v>
      </c>
      <c r="AJ77">
        <v>0.79662470633506499</v>
      </c>
      <c r="AK77">
        <v>0.101180516699671</v>
      </c>
      <c r="AL77">
        <v>0.102194776965263</v>
      </c>
    </row>
    <row r="78" spans="1:38" x14ac:dyDescent="0.2">
      <c r="A78">
        <v>155</v>
      </c>
      <c r="B78">
        <v>792</v>
      </c>
      <c r="C78">
        <v>115</v>
      </c>
      <c r="D78">
        <v>0.49309533868469302</v>
      </c>
      <c r="E78">
        <v>0.66002911255209595</v>
      </c>
      <c r="F78">
        <v>2.56123465896041</v>
      </c>
      <c r="G78">
        <v>-10.775240052226533</v>
      </c>
      <c r="H78">
        <v>-9.2643042660629682</v>
      </c>
      <c r="I78">
        <v>1.4185192565963101</v>
      </c>
      <c r="J78">
        <v>0.80154831710550201</v>
      </c>
      <c r="K78">
        <v>0.25769958650333002</v>
      </c>
      <c r="L78">
        <v>3.0699069447476895E-5</v>
      </c>
      <c r="M78">
        <v>1.8228850595578496E-6</v>
      </c>
      <c r="N78" s="1">
        <v>-2.9518776194040301E-9</v>
      </c>
      <c r="O78" s="1">
        <v>2.33905473365246E-12</v>
      </c>
      <c r="P78" s="1">
        <v>1.4076793166589001E-11</v>
      </c>
      <c r="Q78">
        <v>65.6419344379987</v>
      </c>
      <c r="S78">
        <v>21.1145283902481</v>
      </c>
      <c r="AA78">
        <v>2.10305409905525</v>
      </c>
      <c r="AB78">
        <v>9.2989354228649503</v>
      </c>
      <c r="AC78">
        <v>1.84154764983283</v>
      </c>
      <c r="AJ78">
        <v>0.79664055940522904</v>
      </c>
      <c r="AK78">
        <v>9.9561267550478602E-2</v>
      </c>
      <c r="AL78">
        <v>0.10379817304429199</v>
      </c>
    </row>
    <row r="79" spans="1:38" x14ac:dyDescent="0.2">
      <c r="A79">
        <v>156</v>
      </c>
      <c r="B79">
        <v>791</v>
      </c>
      <c r="C79">
        <v>115</v>
      </c>
      <c r="D79">
        <v>0.49255321148334702</v>
      </c>
      <c r="E79">
        <v>1.0424777704547501</v>
      </c>
      <c r="F79">
        <v>2.56086490902074</v>
      </c>
      <c r="G79">
        <v>-17.015027154895911</v>
      </c>
      <c r="H79">
        <v>-14.631996770930108</v>
      </c>
      <c r="I79">
        <v>2.2393745092005801</v>
      </c>
      <c r="J79">
        <v>1.26606051439539</v>
      </c>
      <c r="K79">
        <v>0.40708034491885298</v>
      </c>
      <c r="L79">
        <v>3.0722093352712105E-5</v>
      </c>
      <c r="M79">
        <v>1.8237008471443414E-6</v>
      </c>
      <c r="N79" s="1">
        <v>-4.8183366477572101E-9</v>
      </c>
      <c r="O79" s="1">
        <v>3.6959335785763396E-12</v>
      </c>
      <c r="P79" s="1">
        <v>2.2691718385373199E-11</v>
      </c>
      <c r="Q79">
        <v>65.677530203040803</v>
      </c>
      <c r="S79">
        <v>21.084098469921202</v>
      </c>
      <c r="AA79">
        <v>2.06964331806084</v>
      </c>
      <c r="AB79">
        <v>9.2984826843959603</v>
      </c>
      <c r="AC79">
        <v>1.8702453245810799</v>
      </c>
      <c r="AJ79">
        <v>0.79660413204458103</v>
      </c>
      <c r="AK79">
        <v>9.7979848621109103E-2</v>
      </c>
      <c r="AL79">
        <v>0.105416019334309</v>
      </c>
    </row>
    <row r="80" spans="1:38" x14ac:dyDescent="0.2">
      <c r="A80">
        <v>157</v>
      </c>
      <c r="B80">
        <v>790</v>
      </c>
      <c r="C80">
        <v>115</v>
      </c>
      <c r="D80">
        <v>0.49201006443117301</v>
      </c>
      <c r="E80">
        <v>1.4249342941940899</v>
      </c>
      <c r="F80">
        <v>2.5605009549571398</v>
      </c>
      <c r="G80">
        <v>-23.252114226451546</v>
      </c>
      <c r="H80">
        <v>-19.999476629933817</v>
      </c>
      <c r="I80">
        <v>3.05943431925667</v>
      </c>
      <c r="J80">
        <v>1.7306297374308901</v>
      </c>
      <c r="K80">
        <v>0.55650605848649004</v>
      </c>
      <c r="L80">
        <v>3.0744791416746444E-5</v>
      </c>
      <c r="M80">
        <v>1.8244912316749467E-6</v>
      </c>
      <c r="N80" s="1">
        <v>-6.80423441667403E-9</v>
      </c>
      <c r="O80" s="1">
        <v>5.0538499500410697E-12</v>
      </c>
      <c r="P80" s="1">
        <v>3.1657202132038399E-11</v>
      </c>
      <c r="Q80">
        <v>65.712080123589601</v>
      </c>
      <c r="S80">
        <v>21.0543176690834</v>
      </c>
      <c r="AA80">
        <v>2.0370121008062299</v>
      </c>
      <c r="AB80">
        <v>9.2974010886817897</v>
      </c>
      <c r="AC80">
        <v>1.89918901783883</v>
      </c>
      <c r="AJ80">
        <v>0.79651630067644796</v>
      </c>
      <c r="AK80">
        <v>9.6435625229762206E-2</v>
      </c>
      <c r="AL80">
        <v>0.107048074093789</v>
      </c>
    </row>
    <row r="81" spans="1:38" x14ac:dyDescent="0.2">
      <c r="A81">
        <v>158</v>
      </c>
      <c r="B81">
        <v>789</v>
      </c>
      <c r="C81">
        <v>115</v>
      </c>
      <c r="D81">
        <v>0.49146589464765</v>
      </c>
      <c r="E81">
        <v>1.80727280798199</v>
      </c>
      <c r="F81">
        <v>2.5601427108650001</v>
      </c>
      <c r="G81">
        <v>-29.484439586270248</v>
      </c>
      <c r="H81">
        <v>-25.364974446219527</v>
      </c>
      <c r="I81">
        <v>3.8784212588153402</v>
      </c>
      <c r="J81">
        <v>2.1951053392232001</v>
      </c>
      <c r="K81">
        <v>0.70592658772969896</v>
      </c>
      <c r="L81">
        <v>3.0767182914484637E-5</v>
      </c>
      <c r="M81">
        <v>1.8252567228405856E-6</v>
      </c>
      <c r="N81" s="1">
        <v>-8.9131153392186798E-9</v>
      </c>
      <c r="O81" s="1">
        <v>6.4122651838481201E-12</v>
      </c>
      <c r="P81" s="1">
        <v>4.0982347768062998E-11</v>
      </c>
      <c r="Q81">
        <v>65.745602572495798</v>
      </c>
      <c r="S81">
        <v>21.025174573482602</v>
      </c>
      <c r="AA81">
        <v>2.0051467433630799</v>
      </c>
      <c r="AB81">
        <v>9.2957016546888305</v>
      </c>
      <c r="AC81">
        <v>1.9283744559695699</v>
      </c>
      <c r="AJ81">
        <v>0.79637796427563001</v>
      </c>
      <c r="AK81">
        <v>9.4927929749447595E-2</v>
      </c>
      <c r="AL81">
        <v>0.108694105974921</v>
      </c>
    </row>
    <row r="82" spans="1:38" x14ac:dyDescent="0.2">
      <c r="A82">
        <v>159</v>
      </c>
      <c r="B82">
        <v>788</v>
      </c>
      <c r="C82">
        <v>115</v>
      </c>
      <c r="D82">
        <v>0.49092069924139198</v>
      </c>
      <c r="E82">
        <v>2.18937126810023</v>
      </c>
      <c r="F82">
        <v>2.5597900840982302</v>
      </c>
      <c r="G82">
        <v>-35.710006176811</v>
      </c>
      <c r="H82">
        <v>-30.726774889507638</v>
      </c>
      <c r="I82">
        <v>4.6960668023402503</v>
      </c>
      <c r="J82">
        <v>2.6593415275024799</v>
      </c>
      <c r="K82">
        <v>0.855293284281747</v>
      </c>
      <c r="L82">
        <v>3.0789287739100443E-5</v>
      </c>
      <c r="M82">
        <v>1.825997846975898E-6</v>
      </c>
      <c r="N82" s="1">
        <v>-1.11486365752753E-8</v>
      </c>
      <c r="O82" s="1">
        <v>7.7706537056643296E-12</v>
      </c>
      <c r="P82" s="1">
        <v>5.0676598292390097E-11</v>
      </c>
      <c r="Q82">
        <v>65.778116667890799</v>
      </c>
      <c r="S82">
        <v>20.996657224340499</v>
      </c>
      <c r="AA82">
        <v>1.97403291866234</v>
      </c>
      <c r="AB82">
        <v>9.2933956346561306</v>
      </c>
      <c r="AC82">
        <v>1.95779755445012</v>
      </c>
      <c r="AJ82">
        <v>0.79619004001976201</v>
      </c>
      <c r="AK82">
        <v>9.3456065924670997E-2</v>
      </c>
      <c r="AL82">
        <v>0.110353894055566</v>
      </c>
    </row>
    <row r="83" spans="1:38" x14ac:dyDescent="0.2">
      <c r="A83">
        <v>160</v>
      </c>
      <c r="B83">
        <v>787</v>
      </c>
      <c r="C83">
        <v>115</v>
      </c>
      <c r="D83">
        <v>0.49037447531009798</v>
      </c>
      <c r="E83">
        <v>2.5711117915689399</v>
      </c>
      <c r="F83">
        <v>2.5594429760480599</v>
      </c>
      <c r="G83">
        <v>-41.926886834855253</v>
      </c>
      <c r="H83">
        <v>-36.083221277514575</v>
      </c>
      <c r="I83">
        <v>5.51211201937525</v>
      </c>
      <c r="J83">
        <v>3.1231977711175798</v>
      </c>
      <c r="K83">
        <v>1.0045591230709401</v>
      </c>
      <c r="L83">
        <v>3.0811126348791361E-5</v>
      </c>
      <c r="M83">
        <v>1.8267151443837365E-6</v>
      </c>
      <c r="N83" s="1">
        <v>-1.35145766200059E-8</v>
      </c>
      <c r="O83" s="1">
        <v>9.1285043276847603E-12</v>
      </c>
      <c r="P83" s="1">
        <v>6.0749763297695901E-11</v>
      </c>
      <c r="Q83">
        <v>65.809642160526394</v>
      </c>
      <c r="S83">
        <v>20.968753194899001</v>
      </c>
      <c r="AA83">
        <v>1.9436557659332601</v>
      </c>
      <c r="AB83">
        <v>9.2904944637131202</v>
      </c>
      <c r="AC83">
        <v>1.98745441492803</v>
      </c>
      <c r="AJ83">
        <v>0.79595345922731497</v>
      </c>
      <c r="AK83">
        <v>9.20193130948226E-2</v>
      </c>
      <c r="AL83">
        <v>0.112027227677862</v>
      </c>
    </row>
    <row r="84" spans="1:38" x14ac:dyDescent="0.2">
      <c r="A84">
        <v>161</v>
      </c>
      <c r="B84">
        <v>786</v>
      </c>
      <c r="C84">
        <v>115</v>
      </c>
      <c r="D84">
        <v>0.48982721994052197</v>
      </c>
      <c r="E84">
        <v>2.9523809308898201</v>
      </c>
      <c r="F84">
        <v>2.5591012829403201</v>
      </c>
      <c r="G84">
        <v>-48.133228677607008</v>
      </c>
      <c r="H84">
        <v>-41.432719402661704</v>
      </c>
      <c r="I84">
        <v>6.3263081479915897</v>
      </c>
      <c r="J84">
        <v>3.5865391406662801</v>
      </c>
      <c r="K84">
        <v>1.1536788131721101</v>
      </c>
      <c r="L84">
        <v>3.0832719717429377E-5</v>
      </c>
      <c r="M84">
        <v>1.8274091667695672E-6</v>
      </c>
      <c r="N84" s="1">
        <v>-1.60148442086573E-8</v>
      </c>
      <c r="O84" s="1">
        <v>1.04853213338709E-11</v>
      </c>
      <c r="P84" s="1">
        <v>7.1212046365950504E-11</v>
      </c>
      <c r="Q84">
        <v>65.840199324214495</v>
      </c>
      <c r="S84">
        <v>20.9414496660563</v>
      </c>
      <c r="AA84">
        <v>1.9139999786688</v>
      </c>
      <c r="AB84">
        <v>9.2870097140201295</v>
      </c>
      <c r="AC84">
        <v>2.0173413170401702</v>
      </c>
      <c r="AJ84">
        <v>0.79566916366502205</v>
      </c>
      <c r="AK84">
        <v>9.0616930343030894E-2</v>
      </c>
      <c r="AL84">
        <v>0.113713905991946</v>
      </c>
    </row>
    <row r="85" spans="1:38" x14ac:dyDescent="0.2">
      <c r="A85">
        <v>162</v>
      </c>
      <c r="B85">
        <v>785</v>
      </c>
      <c r="C85">
        <v>115</v>
      </c>
      <c r="D85">
        <v>0.48927893020838498</v>
      </c>
      <c r="E85">
        <v>3.4054954260565902</v>
      </c>
      <c r="F85">
        <v>2.5586804383623099</v>
      </c>
      <c r="G85">
        <v>-55.506270858476832</v>
      </c>
      <c r="H85">
        <v>-47.788612052257143</v>
      </c>
      <c r="I85">
        <v>7.2935394851577602</v>
      </c>
      <c r="J85">
        <v>4.1371542412811397</v>
      </c>
      <c r="K85">
        <v>1.33095769795945</v>
      </c>
      <c r="L85">
        <v>3.0853346145495721E-5</v>
      </c>
      <c r="M85">
        <v>1.8281371587158606E-6</v>
      </c>
      <c r="N85" s="1">
        <v>-1.9049627895445299E-8</v>
      </c>
      <c r="O85" s="1">
        <v>1.2099632395520701E-11</v>
      </c>
      <c r="P85" s="1">
        <v>8.38287216399553E-11</v>
      </c>
      <c r="Q85">
        <v>65.873932879350505</v>
      </c>
      <c r="S85">
        <v>20.910013172598401</v>
      </c>
      <c r="AA85">
        <v>1.8801932857583801</v>
      </c>
      <c r="AB85">
        <v>9.2797682782968902</v>
      </c>
      <c r="AC85">
        <v>2.0560923839957401</v>
      </c>
      <c r="AJ85">
        <v>0.795077880718708</v>
      </c>
      <c r="AK85">
        <v>8.9019638738601595E-2</v>
      </c>
      <c r="AL85">
        <v>0.11590248054268899</v>
      </c>
    </row>
    <row r="86" spans="1:38" x14ac:dyDescent="0.2">
      <c r="A86">
        <v>163</v>
      </c>
      <c r="B86">
        <v>784</v>
      </c>
      <c r="C86">
        <v>115</v>
      </c>
      <c r="D86">
        <v>0.48872960317835601</v>
      </c>
      <c r="E86">
        <v>4.6403173209324198</v>
      </c>
      <c r="F86">
        <v>2.5573336709813099</v>
      </c>
      <c r="G86">
        <v>-75.590244383235131</v>
      </c>
      <c r="H86">
        <v>-65.089471313334201</v>
      </c>
      <c r="I86">
        <v>9.9330965992535898</v>
      </c>
      <c r="J86">
        <v>5.6363673350314096</v>
      </c>
      <c r="K86">
        <v>1.8145138327419801</v>
      </c>
      <c r="L86">
        <v>3.0861959330455042E-5</v>
      </c>
      <c r="M86">
        <v>1.8293638981663487E-6</v>
      </c>
      <c r="N86" s="1">
        <v>-2.66041240913697E-8</v>
      </c>
      <c r="O86" s="1">
        <v>1.6519063208715699E-11</v>
      </c>
      <c r="P86" s="1">
        <v>1.16087481001855E-10</v>
      </c>
      <c r="Q86">
        <v>65.948700460481803</v>
      </c>
      <c r="S86">
        <v>20.828608918809302</v>
      </c>
      <c r="AA86">
        <v>1.7955879499507701</v>
      </c>
      <c r="AB86">
        <v>9.2329719893873694</v>
      </c>
      <c r="AC86">
        <v>2.1941306813706398</v>
      </c>
      <c r="AJ86">
        <v>0.79125352128910698</v>
      </c>
      <c r="AK86">
        <v>8.5033804499308904E-2</v>
      </c>
      <c r="AL86">
        <v>0.123712674211583</v>
      </c>
    </row>
    <row r="87" spans="1:38" x14ac:dyDescent="0.2">
      <c r="A87">
        <v>164</v>
      </c>
      <c r="B87">
        <v>783</v>
      </c>
      <c r="C87">
        <v>115</v>
      </c>
      <c r="D87">
        <v>0.48817923590399198</v>
      </c>
      <c r="E87">
        <v>5.9442194555242498</v>
      </c>
      <c r="F87">
        <v>2.5558662527785998</v>
      </c>
      <c r="G87">
        <v>-96.770175623042974</v>
      </c>
      <c r="H87">
        <v>-83.338726469855416</v>
      </c>
      <c r="I87">
        <v>12.7173688900132</v>
      </c>
      <c r="J87">
        <v>7.2185285476348904</v>
      </c>
      <c r="K87">
        <v>2.32571616337983</v>
      </c>
      <c r="L87">
        <v>3.0861461927623168E-5</v>
      </c>
      <c r="M87">
        <v>1.8304302166690997E-6</v>
      </c>
      <c r="N87" s="1">
        <v>-3.4852552403942003E-8</v>
      </c>
      <c r="O87" s="1">
        <v>2.12054270798303E-11</v>
      </c>
      <c r="P87" s="1">
        <v>1.5092117709807899E-10</v>
      </c>
      <c r="Q87">
        <v>66.021177809774301</v>
      </c>
      <c r="S87">
        <v>20.743930346378502</v>
      </c>
      <c r="AA87">
        <v>1.7088156620275701</v>
      </c>
      <c r="AB87">
        <v>9.1724879896127796</v>
      </c>
      <c r="AC87">
        <v>2.3535881922066801</v>
      </c>
      <c r="AJ87">
        <v>0.78630752071157495</v>
      </c>
      <c r="AK87">
        <v>8.0948961952907503E-2</v>
      </c>
      <c r="AL87">
        <v>0.13274351733551601</v>
      </c>
    </row>
    <row r="88" spans="1:38" x14ac:dyDescent="0.2">
      <c r="A88">
        <v>165</v>
      </c>
      <c r="B88">
        <v>782</v>
      </c>
      <c r="C88">
        <v>115</v>
      </c>
      <c r="D88">
        <v>0.48762782542766497</v>
      </c>
      <c r="E88">
        <v>7.3477637172206203</v>
      </c>
      <c r="F88">
        <v>2.5542228152734401</v>
      </c>
      <c r="G88">
        <v>-119.53408869772251</v>
      </c>
      <c r="H88">
        <v>-102.95658978965021</v>
      </c>
      <c r="I88">
        <v>15.7110353106878</v>
      </c>
      <c r="J88">
        <v>8.9201564931411497</v>
      </c>
      <c r="K88">
        <v>2.87671211504466</v>
      </c>
      <c r="L88">
        <v>3.084888539391434E-5</v>
      </c>
      <c r="M88">
        <v>1.8313053454946244E-6</v>
      </c>
      <c r="N88" s="1">
        <v>-4.3929419251352303E-8</v>
      </c>
      <c r="O88" s="1">
        <v>2.6274106916599301E-11</v>
      </c>
      <c r="P88" s="1">
        <v>1.8896447806877699E-10</v>
      </c>
      <c r="Q88">
        <v>66.091774173162307</v>
      </c>
      <c r="S88">
        <v>20.6538067929603</v>
      </c>
      <c r="AA88">
        <v>1.6179901113836901</v>
      </c>
      <c r="AB88">
        <v>9.0935375880498697</v>
      </c>
      <c r="AC88">
        <v>2.5428913344437598</v>
      </c>
      <c r="AJ88">
        <v>0.77984658219430603</v>
      </c>
      <c r="AK88">
        <v>7.6676619963731193E-2</v>
      </c>
      <c r="AL88">
        <v>0.14347679784196199</v>
      </c>
    </row>
    <row r="89" spans="1:38" x14ac:dyDescent="0.2">
      <c r="A89">
        <v>166</v>
      </c>
      <c r="B89">
        <v>781</v>
      </c>
      <c r="C89">
        <v>115</v>
      </c>
      <c r="D89">
        <v>0.48707536878053398</v>
      </c>
      <c r="E89">
        <v>8.9072758317388896</v>
      </c>
      <c r="F89">
        <v>2.5523062354607302</v>
      </c>
      <c r="G89">
        <v>-144.78148763812641</v>
      </c>
      <c r="H89">
        <v>-124.71751662893116</v>
      </c>
      <c r="I89">
        <v>19.033316899108499</v>
      </c>
      <c r="J89">
        <v>10.808551767012901</v>
      </c>
      <c r="K89">
        <v>3.4898930653323301</v>
      </c>
      <c r="L89">
        <v>3.0818892836832091E-5</v>
      </c>
      <c r="M89">
        <v>1.8319318994097661E-6</v>
      </c>
      <c r="N89" s="1">
        <v>-5.4067149763201403E-8</v>
      </c>
      <c r="O89" s="1">
        <v>3.1938183413215102E-11</v>
      </c>
      <c r="P89" s="1">
        <v>2.31342435045171E-10</v>
      </c>
      <c r="Q89">
        <v>66.161093303946501</v>
      </c>
      <c r="S89">
        <v>20.554459101851499</v>
      </c>
      <c r="AA89">
        <v>1.5198525774646801</v>
      </c>
      <c r="AB89">
        <v>8.9875586659365503</v>
      </c>
      <c r="AC89">
        <v>2.7770363508006599</v>
      </c>
      <c r="AJ89">
        <v>0.77116535412231701</v>
      </c>
      <c r="AK89">
        <v>7.2063943889979901E-2</v>
      </c>
      <c r="AL89">
        <v>0.15677070198770199</v>
      </c>
    </row>
    <row r="90" spans="1:38" x14ac:dyDescent="0.2">
      <c r="A90">
        <v>167</v>
      </c>
      <c r="B90">
        <v>780</v>
      </c>
      <c r="C90">
        <v>115</v>
      </c>
      <c r="D90">
        <v>0.48652186298248101</v>
      </c>
      <c r="E90">
        <v>10.7438730682259</v>
      </c>
      <c r="F90">
        <v>2.5499207428816399</v>
      </c>
      <c r="G90">
        <v>-174.44633049811895</v>
      </c>
      <c r="H90">
        <v>-150.28650601965865</v>
      </c>
      <c r="I90">
        <v>22.940535041029499</v>
      </c>
      <c r="J90">
        <v>13.028386443063001</v>
      </c>
      <c r="K90">
        <v>4.21341451424267</v>
      </c>
      <c r="L90">
        <v>3.0760369079375823E-5</v>
      </c>
      <c r="M90">
        <v>1.832185281729384E-6</v>
      </c>
      <c r="N90" s="1">
        <v>-6.5734706425189805E-8</v>
      </c>
      <c r="O90" s="1">
        <v>3.8656574102113597E-11</v>
      </c>
      <c r="P90" s="1">
        <v>2.8038468716135201E-10</v>
      </c>
      <c r="Q90">
        <v>66.2300504001674</v>
      </c>
      <c r="S90">
        <v>20.438337375385</v>
      </c>
      <c r="AA90">
        <v>1.4079607684391899</v>
      </c>
      <c r="AB90">
        <v>8.8367976547468103</v>
      </c>
      <c r="AC90">
        <v>3.0868538012614701</v>
      </c>
      <c r="AJ90">
        <v>0.75879954123839399</v>
      </c>
      <c r="AK90">
        <v>6.6808772610313302E-2</v>
      </c>
      <c r="AL90">
        <v>0.174391686151291</v>
      </c>
    </row>
    <row r="91" spans="1:38" x14ac:dyDescent="0.2">
      <c r="A91">
        <v>168</v>
      </c>
      <c r="B91">
        <v>779</v>
      </c>
      <c r="C91">
        <v>115</v>
      </c>
      <c r="D91">
        <v>0.48596730504205599</v>
      </c>
      <c r="E91">
        <v>13.1960599634287</v>
      </c>
      <c r="F91">
        <v>2.5465757323171001</v>
      </c>
      <c r="G91">
        <v>-213.93162424719915</v>
      </c>
      <c r="H91">
        <v>-184.31500968892504</v>
      </c>
      <c r="I91">
        <v>28.148661843153601</v>
      </c>
      <c r="J91">
        <v>15.983736140756401</v>
      </c>
      <c r="K91">
        <v>5.1818839691139997</v>
      </c>
      <c r="L91">
        <v>3.0643934033044801E-5</v>
      </c>
      <c r="M91">
        <v>1.831717105077911E-6</v>
      </c>
      <c r="N91" s="1">
        <v>-8.0153090869672906E-8</v>
      </c>
      <c r="O91" s="1">
        <v>4.7713640280470098E-11</v>
      </c>
      <c r="P91" s="1">
        <v>3.4233933338346302E-10</v>
      </c>
      <c r="Q91">
        <v>66.299711215218295</v>
      </c>
      <c r="S91">
        <v>20.286773503704399</v>
      </c>
      <c r="AA91">
        <v>1.2666646235449699</v>
      </c>
      <c r="AB91">
        <v>8.5946886517657504</v>
      </c>
      <c r="AC91">
        <v>3.55216200576647</v>
      </c>
      <c r="AJ91">
        <v>0.73890156514411598</v>
      </c>
      <c r="AK91">
        <v>6.0176769487737897E-2</v>
      </c>
      <c r="AL91">
        <v>0.20092166536814501</v>
      </c>
    </row>
    <row r="92" spans="1:38" x14ac:dyDescent="0.2">
      <c r="A92">
        <v>169</v>
      </c>
      <c r="B92">
        <v>778</v>
      </c>
      <c r="C92">
        <v>115</v>
      </c>
      <c r="D92">
        <v>0.48541169195642903</v>
      </c>
      <c r="E92">
        <v>12.774285319772799</v>
      </c>
      <c r="F92">
        <v>2.5476352262654198</v>
      </c>
      <c r="G92">
        <v>-207.10438029525926</v>
      </c>
      <c r="H92">
        <v>-178.47820815612477</v>
      </c>
      <c r="I92">
        <v>27.2331942530889</v>
      </c>
      <c r="J92">
        <v>15.474581103335201</v>
      </c>
      <c r="K92">
        <v>5.0141736101281102</v>
      </c>
      <c r="L92">
        <v>3.0637260016773363E-5</v>
      </c>
      <c r="M92">
        <v>1.8303961313134004E-6</v>
      </c>
      <c r="N92" s="1">
        <v>-8.0045475051807105E-8</v>
      </c>
      <c r="O92" s="1">
        <v>4.6093270277565101E-11</v>
      </c>
      <c r="P92" s="1">
        <v>3.38644415689866E-10</v>
      </c>
      <c r="Q92">
        <v>66.2246396402182</v>
      </c>
      <c r="S92">
        <v>20.349500856648099</v>
      </c>
      <c r="AA92">
        <v>1.33593225773235</v>
      </c>
      <c r="AB92">
        <v>8.5918435829093003</v>
      </c>
      <c r="AC92">
        <v>3.4980836624919101</v>
      </c>
      <c r="AJ92">
        <v>0.73866632804836596</v>
      </c>
      <c r="AK92">
        <v>6.3468344029868701E-2</v>
      </c>
      <c r="AL92">
        <v>0.19786532792176401</v>
      </c>
    </row>
    <row r="93" spans="1:38" x14ac:dyDescent="0.2">
      <c r="A93">
        <v>170</v>
      </c>
      <c r="B93">
        <v>777</v>
      </c>
      <c r="C93">
        <v>115</v>
      </c>
      <c r="D93">
        <v>0.48485502071132902</v>
      </c>
      <c r="E93">
        <v>12.7687869275677</v>
      </c>
      <c r="F93">
        <v>2.55124377494012</v>
      </c>
      <c r="G93">
        <v>-207.19047088168685</v>
      </c>
      <c r="H93">
        <v>-178.61699003532661</v>
      </c>
      <c r="I93">
        <v>27.208951908165702</v>
      </c>
      <c r="J93">
        <v>15.4776843568569</v>
      </c>
      <c r="K93">
        <v>5.0049262453829702</v>
      </c>
      <c r="L93">
        <v>3.0657208523358521E-5</v>
      </c>
      <c r="M93">
        <v>1.8275394839933941E-6</v>
      </c>
      <c r="N93" s="1">
        <v>-8.3778052176601196E-8</v>
      </c>
      <c r="O93" s="1">
        <v>4.5787193119781497E-11</v>
      </c>
      <c r="P93" s="1">
        <v>3.4978507944746402E-10</v>
      </c>
      <c r="Q93">
        <v>66.030392726829504</v>
      </c>
      <c r="S93">
        <v>20.549896407543699</v>
      </c>
      <c r="AA93">
        <v>1.54658550082137</v>
      </c>
      <c r="AB93">
        <v>8.6843377413976803</v>
      </c>
      <c r="AC93">
        <v>3.1887876234076602</v>
      </c>
      <c r="AJ93">
        <v>0.74627141915089301</v>
      </c>
      <c r="AK93">
        <v>7.3442056399952202E-2</v>
      </c>
      <c r="AL93">
        <v>0.180286524449154</v>
      </c>
    </row>
    <row r="94" spans="1:38" x14ac:dyDescent="0.2">
      <c r="A94">
        <v>171</v>
      </c>
      <c r="B94">
        <v>776</v>
      </c>
      <c r="C94">
        <v>115</v>
      </c>
      <c r="D94">
        <v>0.484297288280991</v>
      </c>
      <c r="E94">
        <v>13.904858267159099</v>
      </c>
      <c r="F94">
        <v>2.55410546984267</v>
      </c>
      <c r="G94">
        <v>-225.75378060628361</v>
      </c>
      <c r="H94">
        <v>-194.68543442223807</v>
      </c>
      <c r="I94">
        <v>29.6128734537916</v>
      </c>
      <c r="J94">
        <v>16.861690448192199</v>
      </c>
      <c r="K94">
        <v>5.4441206251422303</v>
      </c>
      <c r="L94">
        <v>3.0655688708199049E-5</v>
      </c>
      <c r="M94">
        <v>1.8246904715227992E-6</v>
      </c>
      <c r="N94" s="1">
        <v>-9.4837905232245295E-8</v>
      </c>
      <c r="O94" s="1">
        <v>4.9605301791699701E-11</v>
      </c>
      <c r="P94" s="1">
        <v>3.9166670256815601E-10</v>
      </c>
      <c r="Q94">
        <v>65.856251681284704</v>
      </c>
      <c r="S94">
        <v>20.7166476673335</v>
      </c>
      <c r="AA94">
        <v>1.72479042986155</v>
      </c>
      <c r="AB94">
        <v>8.7334338651526409</v>
      </c>
      <c r="AC94">
        <v>2.96887635636751</v>
      </c>
      <c r="AJ94">
        <v>0.75030427922020504</v>
      </c>
      <c r="AK94">
        <v>8.1884087112758006E-2</v>
      </c>
      <c r="AL94">
        <v>0.167811633667036</v>
      </c>
    </row>
    <row r="95" spans="1:38" x14ac:dyDescent="0.2">
      <c r="A95">
        <v>172</v>
      </c>
      <c r="B95">
        <v>775</v>
      </c>
      <c r="C95">
        <v>115</v>
      </c>
      <c r="D95">
        <v>0.483738491628109</v>
      </c>
      <c r="E95">
        <v>14.985989878927301</v>
      </c>
      <c r="F95">
        <v>2.5559538865974401</v>
      </c>
      <c r="G95">
        <v>-243.37853013419243</v>
      </c>
      <c r="H95">
        <v>-209.94637666780784</v>
      </c>
      <c r="I95">
        <v>31.896344479687599</v>
      </c>
      <c r="J95">
        <v>18.1776889813449</v>
      </c>
      <c r="K95">
        <v>5.8631691117390003</v>
      </c>
      <c r="L95">
        <v>3.06547606047944E-5</v>
      </c>
      <c r="M95">
        <v>1.8227097252454883E-6</v>
      </c>
      <c r="N95" s="1">
        <v>-1.05826775587736E-7</v>
      </c>
      <c r="O95" s="1">
        <v>5.32740214920451E-11</v>
      </c>
      <c r="P95" s="1">
        <v>4.3282811520791399E-10</v>
      </c>
      <c r="Q95">
        <v>65.738282512222597</v>
      </c>
      <c r="S95">
        <v>20.8259339654306</v>
      </c>
      <c r="AA95">
        <v>1.84247923765267</v>
      </c>
      <c r="AB95">
        <v>8.75705413580169</v>
      </c>
      <c r="AC95">
        <v>2.83625014889226</v>
      </c>
      <c r="AJ95">
        <v>0.75224326957056997</v>
      </c>
      <c r="AK95">
        <v>8.7460845045679705E-2</v>
      </c>
      <c r="AL95">
        <v>0.160295885383749</v>
      </c>
    </row>
    <row r="96" spans="1:38" x14ac:dyDescent="0.2">
      <c r="A96">
        <v>173</v>
      </c>
      <c r="B96">
        <v>774</v>
      </c>
      <c r="C96">
        <v>115</v>
      </c>
      <c r="D96">
        <v>0.48317862770377201</v>
      </c>
      <c r="E96">
        <v>15.736651008016899</v>
      </c>
      <c r="F96">
        <v>2.5570667919648802</v>
      </c>
      <c r="G96">
        <v>-255.59994478481539</v>
      </c>
      <c r="H96">
        <v>-220.54700108337704</v>
      </c>
      <c r="I96">
        <v>33.474615576983503</v>
      </c>
      <c r="J96">
        <v>19.092377578391702</v>
      </c>
      <c r="K96">
        <v>6.1541806641369297</v>
      </c>
      <c r="L96">
        <v>3.0662190993766713E-5</v>
      </c>
      <c r="M96">
        <v>1.8215853378867634E-6</v>
      </c>
      <c r="N96" s="1">
        <v>-1.1488327350361599E-7</v>
      </c>
      <c r="O96" s="1">
        <v>5.5812920100669701E-11</v>
      </c>
      <c r="P96" s="1">
        <v>4.6556476701809898E-10</v>
      </c>
      <c r="Q96">
        <v>65.668643766526699</v>
      </c>
      <c r="S96">
        <v>20.890310988703899</v>
      </c>
      <c r="AA96">
        <v>1.91184019030667</v>
      </c>
      <c r="AB96">
        <v>8.7706406609936103</v>
      </c>
      <c r="AC96">
        <v>2.7585643934689998</v>
      </c>
      <c r="AJ96">
        <v>0.75335835103195703</v>
      </c>
      <c r="AK96">
        <v>9.0747081386347198E-2</v>
      </c>
      <c r="AL96">
        <v>0.15589456758169401</v>
      </c>
    </row>
    <row r="97" spans="1:38" x14ac:dyDescent="0.2">
      <c r="A97">
        <v>174</v>
      </c>
      <c r="B97">
        <v>773</v>
      </c>
      <c r="C97">
        <v>115</v>
      </c>
      <c r="D97">
        <v>0.48261769344740202</v>
      </c>
      <c r="E97">
        <v>16.1815107999142</v>
      </c>
      <c r="F97">
        <v>2.5576835376155902</v>
      </c>
      <c r="G97">
        <v>-262.82768095276583</v>
      </c>
      <c r="H97">
        <v>-226.83838295099318</v>
      </c>
      <c r="I97">
        <v>34.401661331331702</v>
      </c>
      <c r="J97">
        <v>19.6359835672496</v>
      </c>
      <c r="K97">
        <v>6.3266274196688004</v>
      </c>
      <c r="L97">
        <v>3.0678384110631316E-5</v>
      </c>
      <c r="M97">
        <v>1.8211246865674769E-6</v>
      </c>
      <c r="N97" s="1">
        <v>-1.22056770536376E-7</v>
      </c>
      <c r="O97" s="1">
        <v>5.7304901107830499E-11</v>
      </c>
      <c r="P97" s="1">
        <v>4.9023186380185898E-10</v>
      </c>
      <c r="Q97">
        <v>65.634458619331497</v>
      </c>
      <c r="S97">
        <v>20.923160963601202</v>
      </c>
      <c r="AA97">
        <v>1.94691839271085</v>
      </c>
      <c r="AB97">
        <v>8.7805813733849298</v>
      </c>
      <c r="AC97">
        <v>2.7148806509713501</v>
      </c>
      <c r="AJ97">
        <v>0.75417436746000799</v>
      </c>
      <c r="AK97">
        <v>9.2407460208800404E-2</v>
      </c>
      <c r="AL97">
        <v>0.15341817233119001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43405-6C42-4EB3-B10E-2F07955DF379}">
  <sheetPr codeName="Sheet10"/>
  <dimension ref="A1:AL4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24</v>
      </c>
      <c r="B2">
        <v>740</v>
      </c>
      <c r="C2">
        <v>275</v>
      </c>
      <c r="D2">
        <v>0.28977002418201098</v>
      </c>
      <c r="E2">
        <v>2.88588363832051</v>
      </c>
      <c r="F2">
        <v>2.57201803678897</v>
      </c>
      <c r="G2">
        <v>-46.571235691019439</v>
      </c>
      <c r="H2">
        <v>-40.474026017127549</v>
      </c>
      <c r="I2">
        <v>6.0180720267402501</v>
      </c>
      <c r="J2">
        <v>3.55307165844683</v>
      </c>
      <c r="K2">
        <v>1.12203087110671</v>
      </c>
      <c r="L2">
        <v>3.240428097493607E-5</v>
      </c>
      <c r="M2">
        <v>1.8179728051720272E-6</v>
      </c>
      <c r="N2" s="1">
        <v>-7.3002162473977905E-8</v>
      </c>
      <c r="O2" s="1">
        <v>9.7183417591734303E-12</v>
      </c>
      <c r="P2" s="1">
        <v>2.35165815619089E-10</v>
      </c>
      <c r="Q2">
        <v>65.507859025285299</v>
      </c>
      <c r="S2">
        <v>21.130969272377801</v>
      </c>
      <c r="AA2">
        <v>2.1479026597817898</v>
      </c>
      <c r="AB2">
        <v>9.0432574644328803</v>
      </c>
      <c r="AC2">
        <v>2.1700115781221698</v>
      </c>
      <c r="AJ2">
        <v>0.77571945356538496</v>
      </c>
      <c r="AK2">
        <v>0.101813454567812</v>
      </c>
      <c r="AL2">
        <v>0.12246709186680201</v>
      </c>
    </row>
    <row r="3" spans="1:38" x14ac:dyDescent="0.2">
      <c r="A3">
        <v>25</v>
      </c>
      <c r="B3">
        <v>739</v>
      </c>
      <c r="C3">
        <v>275</v>
      </c>
      <c r="D3">
        <v>0.28899916020352701</v>
      </c>
      <c r="E3">
        <v>6.8731189884846797</v>
      </c>
      <c r="F3">
        <v>2.5715952809078502</v>
      </c>
      <c r="G3">
        <v>-110.89426913852635</v>
      </c>
      <c r="H3">
        <v>-96.394694861353045</v>
      </c>
      <c r="I3">
        <v>14.3255192186665</v>
      </c>
      <c r="J3">
        <v>8.4682546181252505</v>
      </c>
      <c r="K3">
        <v>2.67270633116819</v>
      </c>
      <c r="L3">
        <v>3.2499091321195514E-5</v>
      </c>
      <c r="M3">
        <v>1.8193889274205437E-6</v>
      </c>
      <c r="N3" s="1">
        <v>-1.7983815460091501E-7</v>
      </c>
      <c r="O3" s="1">
        <v>2.3119566384248599E-11</v>
      </c>
      <c r="P3" s="1">
        <v>5.7705087186069195E-10</v>
      </c>
      <c r="Q3">
        <v>65.559779622480093</v>
      </c>
      <c r="S3">
        <v>21.0923073777751</v>
      </c>
      <c r="AA3">
        <v>2.1038912393130502</v>
      </c>
      <c r="AB3">
        <v>9.05760254832024</v>
      </c>
      <c r="AC3">
        <v>2.1864192121113701</v>
      </c>
      <c r="AJ3">
        <v>0.77689535141299304</v>
      </c>
      <c r="AK3">
        <v>9.9720245413377998E-2</v>
      </c>
      <c r="AL3">
        <v>0.123384403173628</v>
      </c>
    </row>
    <row r="4" spans="1:38" x14ac:dyDescent="0.2">
      <c r="A4">
        <v>26</v>
      </c>
      <c r="B4">
        <v>738</v>
      </c>
      <c r="C4">
        <v>275</v>
      </c>
      <c r="D4">
        <v>0.28822677149780002</v>
      </c>
      <c r="E4">
        <v>17.781006534064701</v>
      </c>
      <c r="F4">
        <v>2.5698943447891902</v>
      </c>
      <c r="G4">
        <v>-286.76726023970895</v>
      </c>
      <c r="H4">
        <v>-249.30761917095484</v>
      </c>
      <c r="I4">
        <v>37.046571793259297</v>
      </c>
      <c r="J4">
        <v>21.926149976058198</v>
      </c>
      <c r="K4">
        <v>6.9189640306101099</v>
      </c>
      <c r="L4">
        <v>3.2641394511763476E-5</v>
      </c>
      <c r="M4">
        <v>1.8231375437370392E-6</v>
      </c>
      <c r="N4" s="1">
        <v>-4.8208735083040301E-7</v>
      </c>
      <c r="O4" s="1">
        <v>5.9877792920925298E-11</v>
      </c>
      <c r="P4" s="1">
        <v>1.54060581163498E-9</v>
      </c>
      <c r="Q4">
        <v>65.724238752141304</v>
      </c>
      <c r="S4">
        <v>20.963266308682901</v>
      </c>
      <c r="AA4">
        <v>1.95905674643102</v>
      </c>
      <c r="AB4">
        <v>9.0857929617152298</v>
      </c>
      <c r="AC4">
        <v>2.2676452310294302</v>
      </c>
      <c r="AJ4">
        <v>0.77920667467984495</v>
      </c>
      <c r="AK4">
        <v>9.2842672685639796E-2</v>
      </c>
      <c r="AL4">
        <v>0.12795065263451499</v>
      </c>
    </row>
    <row r="5" spans="1:38" x14ac:dyDescent="0.2">
      <c r="A5">
        <v>27</v>
      </c>
      <c r="B5">
        <v>737</v>
      </c>
      <c r="C5">
        <v>275</v>
      </c>
      <c r="D5">
        <v>0.28745285353660599</v>
      </c>
      <c r="E5">
        <v>20.093770106715301</v>
      </c>
      <c r="F5">
        <v>2.5696671802598199</v>
      </c>
      <c r="G5">
        <v>-324.01454127245563</v>
      </c>
      <c r="H5">
        <v>-281.74724329969644</v>
      </c>
      <c r="I5">
        <v>41.842595627143702</v>
      </c>
      <c r="J5">
        <v>24.7967460672341</v>
      </c>
      <c r="K5">
        <v>7.8196002428157598</v>
      </c>
      <c r="L5">
        <v>3.2732613594570022E-5</v>
      </c>
      <c r="M5">
        <v>1.8241709188743731E-6</v>
      </c>
      <c r="N5" s="1">
        <v>-5.6328895144546195E-7</v>
      </c>
      <c r="O5" s="1">
        <v>6.7556436257449698E-11</v>
      </c>
      <c r="P5" s="1">
        <v>1.7934531178792899E-9</v>
      </c>
      <c r="Q5">
        <v>65.757642083258602</v>
      </c>
      <c r="S5">
        <v>20.939045607535299</v>
      </c>
      <c r="AA5">
        <v>1.93128020932071</v>
      </c>
      <c r="AB5">
        <v>9.0967327771307307</v>
      </c>
      <c r="AC5">
        <v>2.2752993227545302</v>
      </c>
      <c r="AJ5">
        <v>0.78010298077279805</v>
      </c>
      <c r="AK5">
        <v>9.1521384341821999E-2</v>
      </c>
      <c r="AL5">
        <v>0.12837563488537901</v>
      </c>
    </row>
    <row r="6" spans="1:38" x14ac:dyDescent="0.2">
      <c r="A6">
        <v>28</v>
      </c>
      <c r="B6">
        <v>736</v>
      </c>
      <c r="C6">
        <v>275</v>
      </c>
      <c r="D6">
        <v>0.28667740177377199</v>
      </c>
      <c r="E6">
        <v>20.9434016151172</v>
      </c>
      <c r="F6">
        <v>2.5696678406545299</v>
      </c>
      <c r="G6">
        <v>-337.67425657591531</v>
      </c>
      <c r="H6">
        <v>-293.68818866988209</v>
      </c>
      <c r="I6">
        <v>43.587244617780499</v>
      </c>
      <c r="J6">
        <v>25.8649908095284</v>
      </c>
      <c r="K6">
        <v>8.1502368842280397</v>
      </c>
      <c r="L6">
        <v>3.281858551281521E-5</v>
      </c>
      <c r="M6">
        <v>1.8248057013566783E-6</v>
      </c>
      <c r="N6" s="1">
        <v>-6.0688126527900702E-7</v>
      </c>
      <c r="O6" s="1">
        <v>7.0264740277421302E-11</v>
      </c>
      <c r="P6" s="1">
        <v>1.9253301270049899E-9</v>
      </c>
      <c r="Q6">
        <v>65.771279071913</v>
      </c>
      <c r="S6">
        <v>20.930787142195701</v>
      </c>
      <c r="AA6">
        <v>1.9212848859826701</v>
      </c>
      <c r="AB6">
        <v>9.1054714345994903</v>
      </c>
      <c r="AC6">
        <v>2.2711774653089698</v>
      </c>
      <c r="AJ6">
        <v>0.78081867125568505</v>
      </c>
      <c r="AK6">
        <v>9.1043786194508994E-2</v>
      </c>
      <c r="AL6">
        <v>0.128137542549805</v>
      </c>
    </row>
    <row r="7" spans="1:38" x14ac:dyDescent="0.2">
      <c r="A7">
        <v>49</v>
      </c>
      <c r="B7">
        <v>743</v>
      </c>
      <c r="C7">
        <v>255</v>
      </c>
      <c r="D7">
        <v>0.31372385966638899</v>
      </c>
      <c r="E7">
        <v>4.8319524116106196</v>
      </c>
      <c r="F7">
        <v>2.5692207619529599</v>
      </c>
      <c r="G7">
        <v>-78.015792628451209</v>
      </c>
      <c r="H7">
        <v>-67.756386222557481</v>
      </c>
      <c r="I7">
        <v>10.096350347777101</v>
      </c>
      <c r="J7">
        <v>5.9360324961576199</v>
      </c>
      <c r="K7">
        <v>1.8807073658931699</v>
      </c>
      <c r="L7">
        <v>3.2195332395674508E-5</v>
      </c>
      <c r="M7">
        <v>1.8206246496445962E-6</v>
      </c>
      <c r="N7" s="1">
        <v>-1.08986316119693E-7</v>
      </c>
      <c r="O7" s="1">
        <v>1.6430265110505601E-11</v>
      </c>
      <c r="P7" s="1">
        <v>3.5590657147703003E-10</v>
      </c>
      <c r="Q7">
        <v>65.630314456802395</v>
      </c>
      <c r="S7">
        <v>21.023978863487901</v>
      </c>
      <c r="AA7">
        <v>2.0310611760819599</v>
      </c>
      <c r="AB7">
        <v>9.0356535611639401</v>
      </c>
      <c r="AC7">
        <v>2.2789919424636902</v>
      </c>
      <c r="AJ7">
        <v>0.77509840866927804</v>
      </c>
      <c r="AK7">
        <v>9.6278888769759693E-2</v>
      </c>
      <c r="AL7">
        <v>0.12862270256096101</v>
      </c>
    </row>
    <row r="8" spans="1:38" x14ac:dyDescent="0.2">
      <c r="A8">
        <v>50</v>
      </c>
      <c r="B8">
        <v>742</v>
      </c>
      <c r="C8">
        <v>255</v>
      </c>
      <c r="D8">
        <v>0.31297887011771702</v>
      </c>
      <c r="E8">
        <v>11.9435900005549</v>
      </c>
      <c r="F8">
        <v>2.5687494782309801</v>
      </c>
      <c r="G8">
        <v>-192.79932137734971</v>
      </c>
      <c r="H8">
        <v>-167.47800826849402</v>
      </c>
      <c r="I8">
        <v>24.9434202914404</v>
      </c>
      <c r="J8">
        <v>14.6820191502581</v>
      </c>
      <c r="K8">
        <v>4.64957369403733</v>
      </c>
      <c r="L8">
        <v>3.2282176054266211E-5</v>
      </c>
      <c r="M8">
        <v>1.8220528909373782E-6</v>
      </c>
      <c r="N8" s="1">
        <v>-2.78569567254509E-7</v>
      </c>
      <c r="O8" s="1">
        <v>4.0579550916210801E-11</v>
      </c>
      <c r="P8" s="1">
        <v>9.0587044709034705E-10</v>
      </c>
      <c r="Q8">
        <v>65.684703407191805</v>
      </c>
      <c r="S8">
        <v>20.982763195731099</v>
      </c>
      <c r="AA8">
        <v>1.98436691013908</v>
      </c>
      <c r="AB8">
        <v>9.0488041894609292</v>
      </c>
      <c r="AC8">
        <v>2.2993622974769599</v>
      </c>
      <c r="AJ8">
        <v>0.77617658979519399</v>
      </c>
      <c r="AK8">
        <v>9.4059380967911194E-2</v>
      </c>
      <c r="AL8">
        <v>0.12976402923689401</v>
      </c>
    </row>
    <row r="9" spans="1:38" x14ac:dyDescent="0.2">
      <c r="A9">
        <v>51</v>
      </c>
      <c r="B9">
        <v>741</v>
      </c>
      <c r="C9">
        <v>255</v>
      </c>
      <c r="D9">
        <v>0.31223241137898899</v>
      </c>
      <c r="E9">
        <v>18.3615836816609</v>
      </c>
      <c r="F9">
        <v>2.5683061248446499</v>
      </c>
      <c r="G9">
        <v>-296.34201973775055</v>
      </c>
      <c r="H9">
        <v>-257.47239726450238</v>
      </c>
      <c r="I9">
        <v>38.327291301334199</v>
      </c>
      <c r="J9">
        <v>22.586349482898498</v>
      </c>
      <c r="K9">
        <v>7.1492971589481398</v>
      </c>
      <c r="L9">
        <v>3.2369725369768091E-5</v>
      </c>
      <c r="M9">
        <v>1.8234257130652035E-6</v>
      </c>
      <c r="N9" s="1">
        <v>-4.4283315659616197E-7</v>
      </c>
      <c r="O9" s="1">
        <v>6.2328052034805995E-11</v>
      </c>
      <c r="P9" s="1">
        <v>1.43412180980061E-9</v>
      </c>
      <c r="Q9">
        <v>65.736299123479796</v>
      </c>
      <c r="S9">
        <v>20.943677634514799</v>
      </c>
      <c r="AA9">
        <v>1.94008176689433</v>
      </c>
      <c r="AB9">
        <v>9.0613145965587503</v>
      </c>
      <c r="AC9">
        <v>2.3186268785522</v>
      </c>
      <c r="AJ9">
        <v>0.77720215013411098</v>
      </c>
      <c r="AK9">
        <v>9.19546316602909E-2</v>
      </c>
      <c r="AL9">
        <v>0.130843218205597</v>
      </c>
    </row>
    <row r="10" spans="1:38" x14ac:dyDescent="0.2">
      <c r="A10">
        <v>52</v>
      </c>
      <c r="B10">
        <v>740</v>
      </c>
      <c r="C10">
        <v>255</v>
      </c>
      <c r="D10">
        <v>0.31148447909983901</v>
      </c>
      <c r="E10">
        <v>20.0037218284909</v>
      </c>
      <c r="F10">
        <v>2.5683004722093101</v>
      </c>
      <c r="G10">
        <v>-322.80557827340363</v>
      </c>
      <c r="H10">
        <v>-280.52506278257147</v>
      </c>
      <c r="I10">
        <v>41.7317430694686</v>
      </c>
      <c r="J10">
        <v>24.622438307135301</v>
      </c>
      <c r="K10">
        <v>7.7886999768696503</v>
      </c>
      <c r="L10">
        <v>3.2445147050880856E-5</v>
      </c>
      <c r="M10">
        <v>1.8240358312833165E-6</v>
      </c>
      <c r="N10" s="1">
        <v>-4.9862516282579697E-7</v>
      </c>
      <c r="O10" s="1">
        <v>6.7782188018387896E-11</v>
      </c>
      <c r="P10" s="1">
        <v>1.60843956874116E-9</v>
      </c>
      <c r="Q10">
        <v>65.750284047735093</v>
      </c>
      <c r="S10">
        <v>20.935111505624</v>
      </c>
      <c r="AA10">
        <v>1.92975143196049</v>
      </c>
      <c r="AB10">
        <v>9.0700220298601195</v>
      </c>
      <c r="AC10">
        <v>2.3148309848201398</v>
      </c>
      <c r="AJ10">
        <v>0.77791553972974503</v>
      </c>
      <c r="AK10">
        <v>9.1461067791520106E-2</v>
      </c>
      <c r="AL10">
        <v>0.130623392478733</v>
      </c>
    </row>
    <row r="11" spans="1:38" x14ac:dyDescent="0.2">
      <c r="A11">
        <v>69</v>
      </c>
      <c r="B11">
        <v>747</v>
      </c>
      <c r="C11">
        <v>235</v>
      </c>
      <c r="D11">
        <v>0.33825466843111501</v>
      </c>
      <c r="E11">
        <v>1.51716962976681</v>
      </c>
      <c r="F11">
        <v>2.5248567324551199</v>
      </c>
      <c r="G11">
        <v>-23.985607536744734</v>
      </c>
      <c r="H11">
        <v>-20.789018751629957</v>
      </c>
      <c r="I11">
        <v>3.13344977220485</v>
      </c>
      <c r="J11">
        <v>1.8118963322130699</v>
      </c>
      <c r="K11">
        <v>0.60089335377518704</v>
      </c>
      <c r="L11">
        <v>2.9034325031290843E-5</v>
      </c>
      <c r="M11">
        <v>1.8007325796035433E-6</v>
      </c>
      <c r="N11" s="1">
        <v>-1.47481373194427E-8</v>
      </c>
      <c r="O11" s="1">
        <v>5.6874981438062003E-12</v>
      </c>
      <c r="P11" s="1">
        <v>5.4850093847427498E-11</v>
      </c>
      <c r="Q11">
        <v>66.158764472195102</v>
      </c>
      <c r="S11">
        <v>19.046516503763002</v>
      </c>
      <c r="AA11">
        <v>0.27632789499650101</v>
      </c>
      <c r="AB11">
        <v>5.0291014224449597</v>
      </c>
      <c r="AC11">
        <v>9.4892897066003101</v>
      </c>
      <c r="AJ11">
        <v>0.44018169561908499</v>
      </c>
      <c r="AK11">
        <v>1.3365250526652E-2</v>
      </c>
      <c r="AL11">
        <v>0.54645305385426202</v>
      </c>
    </row>
    <row r="12" spans="1:38" x14ac:dyDescent="0.2">
      <c r="A12">
        <v>70</v>
      </c>
      <c r="B12">
        <v>746</v>
      </c>
      <c r="C12">
        <v>235</v>
      </c>
      <c r="D12">
        <v>0.33753667271746202</v>
      </c>
      <c r="E12">
        <v>10.5362855996541</v>
      </c>
      <c r="F12">
        <v>2.5248416461640901</v>
      </c>
      <c r="G12">
        <v>-166.53341527718084</v>
      </c>
      <c r="H12">
        <v>-144.37111348374836</v>
      </c>
      <c r="I12">
        <v>21.7458684133174</v>
      </c>
      <c r="J12">
        <v>12.584141884278599</v>
      </c>
      <c r="K12">
        <v>4.1730480862677197</v>
      </c>
      <c r="L12">
        <v>2.9042134811731413E-5</v>
      </c>
      <c r="M12">
        <v>1.8006561832466235E-6</v>
      </c>
      <c r="N12" s="1">
        <v>-1.05479330859274E-7</v>
      </c>
      <c r="O12" s="1">
        <v>3.9480441630822299E-11</v>
      </c>
      <c r="P12" s="1">
        <v>3.8964054204022799E-10</v>
      </c>
      <c r="Q12">
        <v>66.154032711891702</v>
      </c>
      <c r="S12">
        <v>19.041853555213098</v>
      </c>
      <c r="AA12">
        <v>0.27358500627759902</v>
      </c>
      <c r="AB12">
        <v>5.0063324224674197</v>
      </c>
      <c r="AC12">
        <v>9.5241963041500792</v>
      </c>
      <c r="AJ12">
        <v>0.43823937913355598</v>
      </c>
      <c r="AK12">
        <v>1.32341117870987E-2</v>
      </c>
      <c r="AL12">
        <v>0.54852650907934397</v>
      </c>
    </row>
    <row r="13" spans="1:38" x14ac:dyDescent="0.2">
      <c r="A13">
        <v>71</v>
      </c>
      <c r="B13">
        <v>745</v>
      </c>
      <c r="C13">
        <v>235</v>
      </c>
      <c r="D13">
        <v>0.33681726661101002</v>
      </c>
      <c r="E13">
        <v>26.4414852515653</v>
      </c>
      <c r="F13">
        <v>2.5248487240248001</v>
      </c>
      <c r="G13">
        <v>-417.84943358135172</v>
      </c>
      <c r="H13">
        <v>-362.32111669814941</v>
      </c>
      <c r="I13">
        <v>54.538444122381001</v>
      </c>
      <c r="J13">
        <v>31.5861967634889</v>
      </c>
      <c r="K13">
        <v>10.472502768171999</v>
      </c>
      <c r="L13">
        <v>2.9060928775971672E-5</v>
      </c>
      <c r="M13">
        <v>1.8007352531105495E-6</v>
      </c>
      <c r="N13" s="1">
        <v>-2.7345770728067099E-7</v>
      </c>
      <c r="O13" s="1">
        <v>9.9018785120158906E-11</v>
      </c>
      <c r="P13" s="1">
        <v>1.00283233386524E-9</v>
      </c>
      <c r="Q13">
        <v>66.153713799391895</v>
      </c>
      <c r="S13">
        <v>19.038154633035202</v>
      </c>
      <c r="AA13">
        <v>0.27060777147889598</v>
      </c>
      <c r="AB13">
        <v>4.9959245376790502</v>
      </c>
      <c r="AC13">
        <v>9.5415992584148093</v>
      </c>
      <c r="AJ13">
        <v>0.43735139850052601</v>
      </c>
      <c r="AK13">
        <v>1.30907854429044E-2</v>
      </c>
      <c r="AL13">
        <v>0.54955781605656895</v>
      </c>
    </row>
    <row r="14" spans="1:38" x14ac:dyDescent="0.2">
      <c r="A14">
        <v>72</v>
      </c>
      <c r="B14">
        <v>744</v>
      </c>
      <c r="C14">
        <v>235</v>
      </c>
      <c r="D14">
        <v>0.336096445951927</v>
      </c>
      <c r="E14">
        <v>35.120824894081899</v>
      </c>
      <c r="F14">
        <v>2.5248527194050499</v>
      </c>
      <c r="G14">
        <v>-554.90007763115909</v>
      </c>
      <c r="H14">
        <v>-481.26430037162743</v>
      </c>
      <c r="I14">
        <v>72.394216447457794</v>
      </c>
      <c r="J14">
        <v>41.9612970685235</v>
      </c>
      <c r="K14">
        <v>13.910048940342801</v>
      </c>
      <c r="L14">
        <v>2.90786266270293E-5</v>
      </c>
      <c r="M14">
        <v>1.8007885858119509E-6</v>
      </c>
      <c r="N14" s="1">
        <v>-3.7501149012430201E-7</v>
      </c>
      <c r="O14" s="1">
        <v>1.31442200614349E-10</v>
      </c>
      <c r="P14" s="1">
        <v>1.36566196289377E-9</v>
      </c>
      <c r="Q14">
        <v>66.152568336258994</v>
      </c>
      <c r="S14">
        <v>19.034315871173099</v>
      </c>
      <c r="AA14">
        <v>0.26770803179941099</v>
      </c>
      <c r="AB14">
        <v>4.9833081212100696</v>
      </c>
      <c r="AC14">
        <v>9.5620996395582694</v>
      </c>
      <c r="AJ14">
        <v>0.43627485767819102</v>
      </c>
      <c r="AK14">
        <v>1.2951337959604001E-2</v>
      </c>
      <c r="AL14">
        <v>0.55077380436220502</v>
      </c>
    </row>
    <row r="15" spans="1:38" x14ac:dyDescent="0.2">
      <c r="A15">
        <v>73</v>
      </c>
      <c r="B15">
        <v>743</v>
      </c>
      <c r="C15">
        <v>235</v>
      </c>
      <c r="D15">
        <v>0.33537420656399403</v>
      </c>
      <c r="E15">
        <v>37.209392723718999</v>
      </c>
      <c r="F15">
        <v>2.52485649321796</v>
      </c>
      <c r="G15">
        <v>-587.78403651672613</v>
      </c>
      <c r="H15">
        <v>-509.89612063365149</v>
      </c>
      <c r="I15">
        <v>76.6500180909064</v>
      </c>
      <c r="J15">
        <v>44.464307587514803</v>
      </c>
      <c r="K15">
        <v>14.737230739120101</v>
      </c>
      <c r="L15">
        <v>2.9096613065120395E-5</v>
      </c>
      <c r="M15">
        <v>1.8008366913629847E-6</v>
      </c>
      <c r="N15" s="1">
        <v>-4.1014731186770499E-7</v>
      </c>
      <c r="O15" s="1">
        <v>1.3917263747467399E-10</v>
      </c>
      <c r="P15" s="1">
        <v>1.4834678584746701E-9</v>
      </c>
      <c r="Q15">
        <v>66.151187393501004</v>
      </c>
      <c r="S15">
        <v>19.030462047355002</v>
      </c>
      <c r="AA15">
        <v>0.26485081180339298</v>
      </c>
      <c r="AB15">
        <v>4.9701274641466702</v>
      </c>
      <c r="AC15">
        <v>9.5833722831937909</v>
      </c>
      <c r="AJ15">
        <v>0.435150022175399</v>
      </c>
      <c r="AK15">
        <v>1.28139664316206E-2</v>
      </c>
      <c r="AL15">
        <v>0.55203601139297898</v>
      </c>
    </row>
    <row r="16" spans="1:38" x14ac:dyDescent="0.2">
      <c r="A16">
        <v>87</v>
      </c>
      <c r="B16">
        <v>750</v>
      </c>
      <c r="C16">
        <v>215</v>
      </c>
      <c r="D16">
        <v>0.36190245809509802</v>
      </c>
      <c r="E16">
        <v>7.1619157280179797</v>
      </c>
      <c r="F16">
        <v>2.5242218857168601</v>
      </c>
      <c r="G16">
        <v>-113.40295590271458</v>
      </c>
      <c r="H16">
        <v>-98.229733906648661</v>
      </c>
      <c r="I16">
        <v>14.829909589078699</v>
      </c>
      <c r="J16">
        <v>8.5543478209889408</v>
      </c>
      <c r="K16">
        <v>2.8372766152386202</v>
      </c>
      <c r="L16">
        <v>2.9049911890687116E-5</v>
      </c>
      <c r="M16">
        <v>1.8031196313582618E-6</v>
      </c>
      <c r="N16" s="1">
        <v>-6.3727784119916199E-8</v>
      </c>
      <c r="O16" s="1">
        <v>2.68667095521057E-11</v>
      </c>
      <c r="P16" s="1">
        <v>2.4210214748770502E-10</v>
      </c>
      <c r="Q16">
        <v>66.196349373710206</v>
      </c>
      <c r="S16">
        <v>19.071027609525501</v>
      </c>
      <c r="AA16">
        <v>0.28777988527419901</v>
      </c>
      <c r="AB16">
        <v>5.1771164106671304</v>
      </c>
      <c r="AC16">
        <v>9.26772672082277</v>
      </c>
      <c r="AJ16">
        <v>0.45279729908587901</v>
      </c>
      <c r="AK16">
        <v>1.39087186645008E-2</v>
      </c>
      <c r="AL16">
        <v>0.53329398224961899</v>
      </c>
    </row>
    <row r="17" spans="1:38" x14ac:dyDescent="0.2">
      <c r="A17">
        <v>88</v>
      </c>
      <c r="B17">
        <v>749</v>
      </c>
      <c r="C17">
        <v>215</v>
      </c>
      <c r="D17">
        <v>0.36120970503350902</v>
      </c>
      <c r="E17">
        <v>21.486583708898401</v>
      </c>
      <c r="F17">
        <v>2.5241403259518602</v>
      </c>
      <c r="G17">
        <v>-340.0984894118364</v>
      </c>
      <c r="H17">
        <v>-294.65945628558342</v>
      </c>
      <c r="I17">
        <v>44.454368856090497</v>
      </c>
      <c r="J17">
        <v>25.6609006594711</v>
      </c>
      <c r="K17">
        <v>8.5124362888959908</v>
      </c>
      <c r="L17">
        <v>2.9031995054863756E-5</v>
      </c>
      <c r="M17">
        <v>1.8026724248817054E-6</v>
      </c>
      <c r="N17" s="1">
        <v>-1.95440963541547E-7</v>
      </c>
      <c r="O17" s="1">
        <v>8.0598216295866597E-11</v>
      </c>
      <c r="P17" s="1">
        <v>7.3838461402534401E-10</v>
      </c>
      <c r="Q17">
        <v>66.181351813998404</v>
      </c>
      <c r="S17">
        <v>19.063765659152899</v>
      </c>
      <c r="AA17">
        <v>0.28528817738937801</v>
      </c>
      <c r="AB17">
        <v>5.1246570059664602</v>
      </c>
      <c r="AC17">
        <v>9.3449373434927701</v>
      </c>
      <c r="AJ17">
        <v>0.44832823172154002</v>
      </c>
      <c r="AK17">
        <v>1.37919555629583E-2</v>
      </c>
      <c r="AL17">
        <v>0.537879812715501</v>
      </c>
    </row>
    <row r="18" spans="1:38" x14ac:dyDescent="0.2">
      <c r="A18">
        <v>89</v>
      </c>
      <c r="B18">
        <v>748</v>
      </c>
      <c r="C18">
        <v>215</v>
      </c>
      <c r="D18">
        <v>0.36051559516231801</v>
      </c>
      <c r="E18">
        <v>32.8938030381576</v>
      </c>
      <c r="F18">
        <v>2.5240863538574598</v>
      </c>
      <c r="G18">
        <v>-520.49400309606176</v>
      </c>
      <c r="H18">
        <v>-451.05337407356183</v>
      </c>
      <c r="I18">
        <v>68.0023787127259</v>
      </c>
      <c r="J18">
        <v>39.282560383352298</v>
      </c>
      <c r="K18">
        <v>13.0319642146503</v>
      </c>
      <c r="L18">
        <v>2.9024043441958945E-5</v>
      </c>
      <c r="M18">
        <v>1.8023738654132041E-6</v>
      </c>
      <c r="N18" s="1">
        <v>-3.0676402373932202E-7</v>
      </c>
      <c r="O18" s="1">
        <v>1.2336248891700699E-10</v>
      </c>
      <c r="P18" s="1">
        <v>1.15190887675853E-9</v>
      </c>
      <c r="Q18">
        <v>66.170477613845094</v>
      </c>
      <c r="S18">
        <v>19.057548148985902</v>
      </c>
      <c r="AA18">
        <v>0.28269601378528297</v>
      </c>
      <c r="AB18">
        <v>5.0841244227419802</v>
      </c>
      <c r="AC18">
        <v>9.4051538006416102</v>
      </c>
      <c r="AJ18">
        <v>0.44487360147000599</v>
      </c>
      <c r="AK18">
        <v>1.3669446838513601E-2</v>
      </c>
      <c r="AL18">
        <v>0.541456951691479</v>
      </c>
    </row>
    <row r="19" spans="1:38" x14ac:dyDescent="0.2">
      <c r="A19">
        <v>90</v>
      </c>
      <c r="B19">
        <v>747</v>
      </c>
      <c r="C19">
        <v>215</v>
      </c>
      <c r="D19">
        <v>0.35982012449149797</v>
      </c>
      <c r="E19">
        <v>36.786984953026298</v>
      </c>
      <c r="F19">
        <v>2.5240655807037702</v>
      </c>
      <c r="G19">
        <v>-581.95648906288545</v>
      </c>
      <c r="H19">
        <v>-504.42704175113965</v>
      </c>
      <c r="I19">
        <v>75.998085881238794</v>
      </c>
      <c r="J19">
        <v>43.934829340032103</v>
      </c>
      <c r="K19">
        <v>14.5744964925868</v>
      </c>
      <c r="L19">
        <v>2.9029950890474619E-5</v>
      </c>
      <c r="M19">
        <v>1.8022794793903379E-6</v>
      </c>
      <c r="N19" s="1">
        <v>-3.5319863848631602E-7</v>
      </c>
      <c r="O19" s="1">
        <v>1.3790776199511899E-10</v>
      </c>
      <c r="P19" s="1">
        <v>1.3171564004870399E-9</v>
      </c>
      <c r="Q19">
        <v>66.165368123245798</v>
      </c>
      <c r="S19">
        <v>19.052687002511799</v>
      </c>
      <c r="AA19">
        <v>0.27987774795012998</v>
      </c>
      <c r="AB19">
        <v>5.0599940694274199</v>
      </c>
      <c r="AC19">
        <v>9.4420730568646896</v>
      </c>
      <c r="AJ19">
        <v>0.44281628717904298</v>
      </c>
      <c r="AK19">
        <v>1.3534827946397E-2</v>
      </c>
      <c r="AL19">
        <v>0.54364888487455798</v>
      </c>
    </row>
    <row r="20" spans="1:38" x14ac:dyDescent="0.2">
      <c r="A20">
        <v>91</v>
      </c>
      <c r="B20">
        <v>746</v>
      </c>
      <c r="C20">
        <v>215</v>
      </c>
      <c r="D20">
        <v>0.35912328901535701</v>
      </c>
      <c r="E20">
        <v>38.133817231105098</v>
      </c>
      <c r="F20">
        <v>2.5240596544507299</v>
      </c>
      <c r="G20">
        <v>-603.13576781442202</v>
      </c>
      <c r="H20">
        <v>-522.89940368327143</v>
      </c>
      <c r="I20">
        <v>78.728709347152503</v>
      </c>
      <c r="J20">
        <v>45.5489023515848</v>
      </c>
      <c r="K20">
        <v>15.108128353409899</v>
      </c>
      <c r="L20">
        <v>2.9042588087293937E-5</v>
      </c>
      <c r="M20">
        <v>1.8022786743851739E-6</v>
      </c>
      <c r="N20" s="1">
        <v>-3.7764172450223399E-7</v>
      </c>
      <c r="O20" s="1">
        <v>1.4288474395588501E-10</v>
      </c>
      <c r="P20" s="1">
        <v>1.3982706525389299E-9</v>
      </c>
      <c r="Q20">
        <v>66.162867902508907</v>
      </c>
      <c r="S20">
        <v>19.048446954017098</v>
      </c>
      <c r="AA20">
        <v>0.27696305685613998</v>
      </c>
      <c r="AB20">
        <v>5.0433066231988199</v>
      </c>
      <c r="AC20">
        <v>9.4684154634189497</v>
      </c>
      <c r="AJ20">
        <v>0.44139325788136502</v>
      </c>
      <c r="AK20">
        <v>1.3395007348190199E-2</v>
      </c>
      <c r="AL20">
        <v>0.54521173477044405</v>
      </c>
    </row>
    <row r="21" spans="1:38" x14ac:dyDescent="0.2">
      <c r="A21">
        <v>102</v>
      </c>
      <c r="B21">
        <v>754</v>
      </c>
      <c r="C21">
        <v>195</v>
      </c>
      <c r="D21">
        <v>0.38607846955167302</v>
      </c>
      <c r="E21">
        <v>6.5873364599689301</v>
      </c>
      <c r="F21">
        <v>2.52367873160143</v>
      </c>
      <c r="G21">
        <v>-104.49513143727563</v>
      </c>
      <c r="H21">
        <v>-90.438964219113288</v>
      </c>
      <c r="I21">
        <v>13.6846295265174</v>
      </c>
      <c r="J21">
        <v>7.8693773035343604</v>
      </c>
      <c r="K21">
        <v>2.6102119804246402</v>
      </c>
      <c r="L21">
        <v>2.9068621531226727E-5</v>
      </c>
      <c r="M21">
        <v>1.8056411554227139E-6</v>
      </c>
      <c r="N21" s="1">
        <v>-5.2143107669020599E-8</v>
      </c>
      <c r="O21" s="1">
        <v>2.4730855413752001E-11</v>
      </c>
      <c r="P21" s="1">
        <v>2.0414126760647799E-10</v>
      </c>
      <c r="Q21">
        <v>66.2381014338619</v>
      </c>
      <c r="S21">
        <v>19.102320708386301</v>
      </c>
      <c r="AA21">
        <v>0.30385473980086503</v>
      </c>
      <c r="AB21">
        <v>5.35219756510282</v>
      </c>
      <c r="AC21">
        <v>9.0035255528480498</v>
      </c>
      <c r="AJ21">
        <v>0.46769538131997901</v>
      </c>
      <c r="AK21">
        <v>1.4672622719042201E-2</v>
      </c>
      <c r="AL21">
        <v>0.51763199596097698</v>
      </c>
    </row>
    <row r="22" spans="1:38" x14ac:dyDescent="0.2">
      <c r="A22">
        <v>103</v>
      </c>
      <c r="B22">
        <v>753</v>
      </c>
      <c r="C22">
        <v>195</v>
      </c>
      <c r="D22">
        <v>0.38541197680651201</v>
      </c>
      <c r="E22">
        <v>20.695271875836099</v>
      </c>
      <c r="F22">
        <v>2.52349082132501</v>
      </c>
      <c r="G22">
        <v>-328.11631202392397</v>
      </c>
      <c r="H22">
        <v>-284.04413240764899</v>
      </c>
      <c r="I22">
        <v>42.949061654022202</v>
      </c>
      <c r="J22">
        <v>24.713841511165501</v>
      </c>
      <c r="K22">
        <v>8.2010489996431204</v>
      </c>
      <c r="L22">
        <v>2.9019274415168938E-5</v>
      </c>
      <c r="M22">
        <v>1.8047205206215853E-6</v>
      </c>
      <c r="N22" s="1">
        <v>-1.6586383774935999E-7</v>
      </c>
      <c r="O22" s="1">
        <v>7.7726992610926799E-11</v>
      </c>
      <c r="P22" s="1">
        <v>6.47014483352516E-10</v>
      </c>
      <c r="Q22">
        <v>66.210349441845594</v>
      </c>
      <c r="S22">
        <v>19.091253024155801</v>
      </c>
      <c r="AA22">
        <v>0.30119933492967998</v>
      </c>
      <c r="AB22">
        <v>5.2613383657896904</v>
      </c>
      <c r="AC22">
        <v>9.1358598332790901</v>
      </c>
      <c r="AJ22">
        <v>0.45996719004279801</v>
      </c>
      <c r="AK22">
        <v>1.45510864213269E-2</v>
      </c>
      <c r="AL22">
        <v>0.52548172353587397</v>
      </c>
    </row>
    <row r="23" spans="1:38" x14ac:dyDescent="0.2">
      <c r="A23">
        <v>104</v>
      </c>
      <c r="B23">
        <v>752</v>
      </c>
      <c r="C23">
        <v>195</v>
      </c>
      <c r="D23">
        <v>0.38474418377798603</v>
      </c>
      <c r="E23">
        <v>32.245689802740699</v>
      </c>
      <c r="F23">
        <v>2.52335705851445</v>
      </c>
      <c r="G23">
        <v>-511.01542628310904</v>
      </c>
      <c r="H23">
        <v>-442.476172677004</v>
      </c>
      <c r="I23">
        <v>66.857780428332504</v>
      </c>
      <c r="J23">
        <v>38.497196275476902</v>
      </c>
      <c r="K23">
        <v>12.7788850547074</v>
      </c>
      <c r="L23">
        <v>2.8984708315891504E-5</v>
      </c>
      <c r="M23">
        <v>1.8040335419760437E-6</v>
      </c>
      <c r="N23" s="1">
        <v>-2.62871512364078E-7</v>
      </c>
      <c r="O23" s="1">
        <v>1.21131094018669E-10</v>
      </c>
      <c r="P23" s="1">
        <v>1.02060823852224E-9</v>
      </c>
      <c r="Q23">
        <v>66.188910658758203</v>
      </c>
      <c r="S23">
        <v>19.082018823311401</v>
      </c>
      <c r="AA23">
        <v>0.29858347162884302</v>
      </c>
      <c r="AB23">
        <v>5.1893545291393499</v>
      </c>
      <c r="AC23">
        <v>9.2411325171621002</v>
      </c>
      <c r="AJ23">
        <v>0.45383943320070502</v>
      </c>
      <c r="AK23">
        <v>1.4429970382086601E-2</v>
      </c>
      <c r="AL23">
        <v>0.53173059641720799</v>
      </c>
    </row>
    <row r="24" spans="1:38" x14ac:dyDescent="0.2">
      <c r="A24">
        <v>105</v>
      </c>
      <c r="B24">
        <v>751</v>
      </c>
      <c r="C24">
        <v>195</v>
      </c>
      <c r="D24">
        <v>0.38407508665723</v>
      </c>
      <c r="E24">
        <v>36.772084881954598</v>
      </c>
      <c r="F24">
        <v>2.5233019645280899</v>
      </c>
      <c r="G24">
        <v>-582.57288888554638</v>
      </c>
      <c r="H24">
        <v>-504.5478901871366</v>
      </c>
      <c r="I24">
        <v>76.185127860576699</v>
      </c>
      <c r="J24">
        <v>43.899248112934103</v>
      </c>
      <c r="K24">
        <v>14.5730021213817</v>
      </c>
      <c r="L24">
        <v>2.8977634881325179E-5</v>
      </c>
      <c r="M24">
        <v>1.8037711548882377E-6</v>
      </c>
      <c r="N24" s="1">
        <v>-3.0758915722084201E-7</v>
      </c>
      <c r="O24" s="1">
        <v>1.38109344932255E-10</v>
      </c>
      <c r="P24" s="1">
        <v>1.1861924255981101E-9</v>
      </c>
      <c r="Q24">
        <v>66.179385338496004</v>
      </c>
      <c r="S24">
        <v>19.075821724229201</v>
      </c>
      <c r="AA24">
        <v>0.29569340469660199</v>
      </c>
      <c r="AB24">
        <v>5.1518813627406299</v>
      </c>
      <c r="AC24">
        <v>9.2972181698374108</v>
      </c>
      <c r="AJ24">
        <v>0.45064770756572198</v>
      </c>
      <c r="AK24">
        <v>1.4293011424110101E-2</v>
      </c>
      <c r="AL24">
        <v>0.53505928101016698</v>
      </c>
    </row>
    <row r="25" spans="1:38" x14ac:dyDescent="0.2">
      <c r="A25">
        <v>106</v>
      </c>
      <c r="B25">
        <v>750</v>
      </c>
      <c r="C25">
        <v>195</v>
      </c>
      <c r="D25">
        <v>0.38340468162048602</v>
      </c>
      <c r="E25">
        <v>38.3902000353294</v>
      </c>
      <c r="F25">
        <v>2.5232804922832002</v>
      </c>
      <c r="G25">
        <v>-608.06608303781468</v>
      </c>
      <c r="H25">
        <v>-526.74249533507282</v>
      </c>
      <c r="I25">
        <v>79.483543666854104</v>
      </c>
      <c r="J25">
        <v>45.833644158276002</v>
      </c>
      <c r="K25">
        <v>15.2144005205667</v>
      </c>
      <c r="L25">
        <v>2.8983309492297852E-5</v>
      </c>
      <c r="M25">
        <v>1.8036995413223806E-6</v>
      </c>
      <c r="N25" s="1">
        <v>-3.3079686338541198E-7</v>
      </c>
      <c r="O25" s="1">
        <v>1.4413453172786399E-10</v>
      </c>
      <c r="P25" s="1">
        <v>1.2660905789634E-9</v>
      </c>
      <c r="Q25">
        <v>66.175213676987596</v>
      </c>
      <c r="S25">
        <v>19.0709744019866</v>
      </c>
      <c r="AA25">
        <v>0.292667714396531</v>
      </c>
      <c r="AB25">
        <v>5.1298771532906402</v>
      </c>
      <c r="AC25">
        <v>9.33126705333855</v>
      </c>
      <c r="AJ25">
        <v>0.448772977505556</v>
      </c>
      <c r="AK25">
        <v>1.4148335169384799E-2</v>
      </c>
      <c r="AL25">
        <v>0.53707868732505804</v>
      </c>
    </row>
    <row r="26" spans="1:38" x14ac:dyDescent="0.2">
      <c r="A26">
        <v>113</v>
      </c>
      <c r="B26">
        <v>759</v>
      </c>
      <c r="C26">
        <v>175</v>
      </c>
      <c r="D26">
        <v>0.41070629269001901</v>
      </c>
      <c r="E26">
        <v>1.6874134122848601</v>
      </c>
      <c r="F26">
        <v>2.5233729797220401</v>
      </c>
      <c r="G26">
        <v>-26.827728646941019</v>
      </c>
      <c r="H26">
        <v>-23.194734143912921</v>
      </c>
      <c r="I26">
        <v>3.5198319072112598</v>
      </c>
      <c r="J26">
        <v>2.0167813049926102</v>
      </c>
      <c r="K26">
        <v>0.66871343469435796</v>
      </c>
      <c r="L26">
        <v>2.912377805443113E-5</v>
      </c>
      <c r="M26">
        <v>1.8087622504641878E-6</v>
      </c>
      <c r="N26" s="1">
        <v>-1.16548295017618E-8</v>
      </c>
      <c r="O26" s="1">
        <v>6.3372131523716403E-12</v>
      </c>
      <c r="P26" s="1">
        <v>4.7407670525011703E-11</v>
      </c>
      <c r="Q26">
        <v>66.295292420842998</v>
      </c>
      <c r="S26">
        <v>19.145367600003599</v>
      </c>
      <c r="AA26">
        <v>0.32602413118888202</v>
      </c>
      <c r="AB26">
        <v>5.5924976359845298</v>
      </c>
      <c r="AC26">
        <v>8.6408182119798695</v>
      </c>
      <c r="AJ26">
        <v>0.48810016963215302</v>
      </c>
      <c r="AK26">
        <v>1.5724023563851702E-2</v>
      </c>
      <c r="AL26">
        <v>0.49617580680399398</v>
      </c>
    </row>
    <row r="27" spans="1:38" x14ac:dyDescent="0.2">
      <c r="A27">
        <v>114</v>
      </c>
      <c r="B27">
        <v>758</v>
      </c>
      <c r="C27">
        <v>175</v>
      </c>
      <c r="D27">
        <v>0.41006691557969399</v>
      </c>
      <c r="E27">
        <v>10.086586351769199</v>
      </c>
      <c r="F27">
        <v>2.5231328526336401</v>
      </c>
      <c r="G27">
        <v>-160.2772081187394</v>
      </c>
      <c r="H27">
        <v>-138.60368767394596</v>
      </c>
      <c r="I27">
        <v>21.018785283221099</v>
      </c>
      <c r="J27">
        <v>12.0506999339238</v>
      </c>
      <c r="K27">
        <v>3.9976437789397101</v>
      </c>
      <c r="L27">
        <v>2.907262019038017E-5</v>
      </c>
      <c r="M27">
        <v>1.8078190310040236E-6</v>
      </c>
      <c r="N27" s="1">
        <v>-7.0514519227614901E-8</v>
      </c>
      <c r="O27" s="1">
        <v>3.78985351114409E-11</v>
      </c>
      <c r="P27" s="1">
        <v>2.8573367498394198E-10</v>
      </c>
      <c r="Q27">
        <v>66.268105778863202</v>
      </c>
      <c r="S27">
        <v>19.132979827780701</v>
      </c>
      <c r="AA27">
        <v>0.32214772350517001</v>
      </c>
      <c r="AB27">
        <v>5.4994375066195103</v>
      </c>
      <c r="AC27">
        <v>8.7773291632312898</v>
      </c>
      <c r="AJ27">
        <v>0.480203916026059</v>
      </c>
      <c r="AK27">
        <v>1.554437565465E-2</v>
      </c>
      <c r="AL27">
        <v>0.50425170831929</v>
      </c>
    </row>
    <row r="28" spans="1:38" x14ac:dyDescent="0.2">
      <c r="A28">
        <v>115</v>
      </c>
      <c r="B28">
        <v>757</v>
      </c>
      <c r="C28">
        <v>175</v>
      </c>
      <c r="D28">
        <v>0.40942629714119499</v>
      </c>
      <c r="E28">
        <v>26.593962486308801</v>
      </c>
      <c r="F28">
        <v>2.5227803705121401</v>
      </c>
      <c r="G28">
        <v>-422.2592313062267</v>
      </c>
      <c r="H28">
        <v>-365.24333943458163</v>
      </c>
      <c r="I28">
        <v>55.347174558700203</v>
      </c>
      <c r="J28">
        <v>31.7503214409201</v>
      </c>
      <c r="K28">
        <v>10.541529019789399</v>
      </c>
      <c r="L28">
        <v>2.8981396643452281E-5</v>
      </c>
      <c r="M28">
        <v>1.8062404250384927E-6</v>
      </c>
      <c r="N28" s="1">
        <v>-1.85653464420461E-7</v>
      </c>
      <c r="O28" s="1">
        <v>1.0002044826176799E-10</v>
      </c>
      <c r="P28" s="1">
        <v>7.5218168568531804E-10</v>
      </c>
      <c r="Q28">
        <v>66.222797451875095</v>
      </c>
      <c r="S28">
        <v>19.116092786246</v>
      </c>
      <c r="AA28">
        <v>0.31878782002772099</v>
      </c>
      <c r="AB28">
        <v>5.3541987544136704</v>
      </c>
      <c r="AC28">
        <v>8.9881231874373402</v>
      </c>
      <c r="AJ28">
        <v>0.46786536400378398</v>
      </c>
      <c r="AK28">
        <v>1.5393554625179001E-2</v>
      </c>
      <c r="AL28">
        <v>0.51674108137103603</v>
      </c>
    </row>
    <row r="29" spans="1:38" x14ac:dyDescent="0.2">
      <c r="A29">
        <v>116</v>
      </c>
      <c r="B29">
        <v>756</v>
      </c>
      <c r="C29">
        <v>175</v>
      </c>
      <c r="D29">
        <v>0.40878443375601398</v>
      </c>
      <c r="E29">
        <v>34.741962901716597</v>
      </c>
      <c r="F29">
        <v>2.5226157850681399</v>
      </c>
      <c r="G29">
        <v>-551.3715601900617</v>
      </c>
      <c r="H29">
        <v>-477.02965069798643</v>
      </c>
      <c r="I29">
        <v>72.236223574867793</v>
      </c>
      <c r="J29">
        <v>41.465475311818203</v>
      </c>
      <c r="K29">
        <v>13.772197536922199</v>
      </c>
      <c r="L29">
        <v>2.8941285342430202E-5</v>
      </c>
      <c r="M29">
        <v>1.8054836579499149E-6</v>
      </c>
      <c r="N29" s="1">
        <v>-2.4629394432561601E-7</v>
      </c>
      <c r="O29" s="1">
        <v>1.30704670115577E-10</v>
      </c>
      <c r="P29" s="1">
        <v>9.9320222019630692E-10</v>
      </c>
      <c r="Q29">
        <v>66.199911235741396</v>
      </c>
      <c r="S29">
        <v>19.1058021554073</v>
      </c>
      <c r="AA29">
        <v>0.31563812987832601</v>
      </c>
      <c r="AB29">
        <v>5.2762198222526404</v>
      </c>
      <c r="AC29">
        <v>9.1024286567201802</v>
      </c>
      <c r="AJ29">
        <v>0.46123330438820298</v>
      </c>
      <c r="AK29">
        <v>1.5247478501050101E-2</v>
      </c>
      <c r="AL29">
        <v>0.523519217110746</v>
      </c>
    </row>
    <row r="30" spans="1:38" x14ac:dyDescent="0.2">
      <c r="A30">
        <v>117</v>
      </c>
      <c r="B30">
        <v>755</v>
      </c>
      <c r="C30">
        <v>175</v>
      </c>
      <c r="D30">
        <v>0.40814132179156798</v>
      </c>
      <c r="E30">
        <v>37.861486369768301</v>
      </c>
      <c r="F30">
        <v>2.5225480773072202</v>
      </c>
      <c r="G30">
        <v>-600.69503354082019</v>
      </c>
      <c r="H30">
        <v>-519.81791705195815</v>
      </c>
      <c r="I30">
        <v>78.662759800478696</v>
      </c>
      <c r="J30">
        <v>45.185384632051601</v>
      </c>
      <c r="K30">
        <v>15.0092229005937</v>
      </c>
      <c r="L30">
        <v>2.893119174443697E-5</v>
      </c>
      <c r="M30">
        <v>1.8052006645187661E-6</v>
      </c>
      <c r="N30" s="1">
        <v>-2.7531230179598299E-7</v>
      </c>
      <c r="O30" s="1">
        <v>1.4242628387458199E-10</v>
      </c>
      <c r="P30" s="1">
        <v>1.10214742736112E-9</v>
      </c>
      <c r="Q30">
        <v>66.190190350104899</v>
      </c>
      <c r="S30">
        <v>19.099171901293801</v>
      </c>
      <c r="AA30">
        <v>0.31243633811656302</v>
      </c>
      <c r="AB30">
        <v>5.2371752766743898</v>
      </c>
      <c r="AC30">
        <v>9.1610261338101999</v>
      </c>
      <c r="AJ30">
        <v>0.45791063915800301</v>
      </c>
      <c r="AK30">
        <v>1.5095793781977399E-2</v>
      </c>
      <c r="AL30">
        <v>0.52699356706001799</v>
      </c>
    </row>
    <row r="31" spans="1:38" x14ac:dyDescent="0.2">
      <c r="A31">
        <v>118</v>
      </c>
      <c r="B31">
        <v>754</v>
      </c>
      <c r="C31">
        <v>175</v>
      </c>
      <c r="D31">
        <v>0.40749695760112897</v>
      </c>
      <c r="E31">
        <v>39.164895250614599</v>
      </c>
      <c r="F31">
        <v>2.5225161137189098</v>
      </c>
      <c r="G31">
        <v>-621.22299855957658</v>
      </c>
      <c r="H31">
        <v>-537.70022764579289</v>
      </c>
      <c r="I31">
        <v>81.315066848837802</v>
      </c>
      <c r="J31">
        <v>46.7418388171602</v>
      </c>
      <c r="K31">
        <v>15.526122920528801</v>
      </c>
      <c r="L31">
        <v>2.8932978864090753E-5</v>
      </c>
      <c r="M31">
        <v>1.8050996443134666E-6</v>
      </c>
      <c r="N31" s="1">
        <v>-2.9324166972426602E-7</v>
      </c>
      <c r="O31" s="1">
        <v>1.47290040504124E-10</v>
      </c>
      <c r="P31" s="1">
        <v>1.1643629764726499E-9</v>
      </c>
      <c r="Q31">
        <v>66.185525456949605</v>
      </c>
      <c r="S31">
        <v>19.093937855250601</v>
      </c>
      <c r="AA31">
        <v>0.30920668558318298</v>
      </c>
      <c r="AB31">
        <v>5.2130580802246396</v>
      </c>
      <c r="AC31">
        <v>9.1982719219918696</v>
      </c>
      <c r="AJ31">
        <v>0.45585763760743098</v>
      </c>
      <c r="AK31">
        <v>1.4941573579809599E-2</v>
      </c>
      <c r="AL31">
        <v>0.529200788812759</v>
      </c>
    </row>
    <row r="32" spans="1:38" x14ac:dyDescent="0.2">
      <c r="A32">
        <v>128</v>
      </c>
      <c r="B32">
        <v>764</v>
      </c>
      <c r="C32">
        <v>155</v>
      </c>
      <c r="D32">
        <v>0.43509665911391998</v>
      </c>
      <c r="E32">
        <v>4.1651128491031599</v>
      </c>
      <c r="F32">
        <v>2.5230425114475299</v>
      </c>
      <c r="G32">
        <v>-66.355372459951482</v>
      </c>
      <c r="H32">
        <v>-57.310156434912393</v>
      </c>
      <c r="I32">
        <v>8.7212226052538906</v>
      </c>
      <c r="J32">
        <v>4.9795583829739902</v>
      </c>
      <c r="K32">
        <v>1.65082943715979</v>
      </c>
      <c r="L32">
        <v>2.9149118049945529E-5</v>
      </c>
      <c r="M32">
        <v>1.8112526873721311E-6</v>
      </c>
      <c r="N32" s="1">
        <v>-2.4773323863301899E-8</v>
      </c>
      <c r="O32" s="1">
        <v>1.56498419697692E-11</v>
      </c>
      <c r="P32" s="1">
        <v>1.05480270439734E-10</v>
      </c>
      <c r="Q32">
        <v>66.331587488167003</v>
      </c>
      <c r="S32">
        <v>19.187066534650899</v>
      </c>
      <c r="AA32">
        <v>0.35195722146117497</v>
      </c>
      <c r="AB32">
        <v>5.7826984258614003</v>
      </c>
      <c r="AC32">
        <v>8.3466903298594506</v>
      </c>
      <c r="AJ32">
        <v>0.50421563783341705</v>
      </c>
      <c r="AK32">
        <v>1.69584610279758E-2</v>
      </c>
      <c r="AL32">
        <v>0.47882590113860601</v>
      </c>
    </row>
    <row r="33" spans="1:38" x14ac:dyDescent="0.2">
      <c r="A33">
        <v>129</v>
      </c>
      <c r="B33">
        <v>763</v>
      </c>
      <c r="C33">
        <v>155</v>
      </c>
      <c r="D33">
        <v>0.43448390677026</v>
      </c>
      <c r="E33">
        <v>11.5684226540374</v>
      </c>
      <c r="F33">
        <v>2.5227164568839302</v>
      </c>
      <c r="G33">
        <v>-184.18766986949831</v>
      </c>
      <c r="H33">
        <v>-159.11571492145006</v>
      </c>
      <c r="I33">
        <v>24.1972252550772</v>
      </c>
      <c r="J33">
        <v>13.823925343485801</v>
      </c>
      <c r="K33">
        <v>4.5857007126067399</v>
      </c>
      <c r="L33">
        <v>2.9087291501921998E-5</v>
      </c>
      <c r="M33">
        <v>1.810147770015987E-6</v>
      </c>
      <c r="N33" s="1">
        <v>-6.9398706205956502E-8</v>
      </c>
      <c r="O33" s="1">
        <v>4.34951982174517E-11</v>
      </c>
      <c r="P33" s="1">
        <v>2.9457295003011098E-10</v>
      </c>
      <c r="Q33">
        <v>66.301213341757403</v>
      </c>
      <c r="S33">
        <v>19.171958409563501</v>
      </c>
      <c r="AA33">
        <v>0.34658025539276099</v>
      </c>
      <c r="AB33">
        <v>5.6754033550774698</v>
      </c>
      <c r="AC33">
        <v>8.5048446382087803</v>
      </c>
      <c r="AJ33">
        <v>0.49512837313974201</v>
      </c>
      <c r="AK33">
        <v>1.6708431760005402E-2</v>
      </c>
      <c r="AL33">
        <v>0.48816319510025102</v>
      </c>
    </row>
    <row r="34" spans="1:38" x14ac:dyDescent="0.2">
      <c r="A34">
        <v>130</v>
      </c>
      <c r="B34">
        <v>762</v>
      </c>
      <c r="C34">
        <v>155</v>
      </c>
      <c r="D34">
        <v>0.433869970535674</v>
      </c>
      <c r="E34">
        <v>28.408109798959501</v>
      </c>
      <c r="F34">
        <v>2.52215907776336</v>
      </c>
      <c r="G34">
        <v>-451.85193038039534</v>
      </c>
      <c r="H34">
        <v>-390.43563807047036</v>
      </c>
      <c r="I34">
        <v>59.3308141911075</v>
      </c>
      <c r="J34">
        <v>33.913161260192801</v>
      </c>
      <c r="K34">
        <v>11.2634092153107</v>
      </c>
      <c r="L34">
        <v>2.8957708231614272E-5</v>
      </c>
      <c r="M34">
        <v>1.8079429294006312E-6</v>
      </c>
      <c r="N34" s="1">
        <v>-1.6780967210959401E-7</v>
      </c>
      <c r="O34" s="1">
        <v>1.0697347597875899E-10</v>
      </c>
      <c r="P34" s="1">
        <v>7.1527811042238695E-10</v>
      </c>
      <c r="Q34">
        <v>66.240160424417695</v>
      </c>
      <c r="S34">
        <v>19.148145147669599</v>
      </c>
      <c r="AA34">
        <v>0.34117993411637398</v>
      </c>
      <c r="AB34">
        <v>5.4769206403226196</v>
      </c>
      <c r="AC34">
        <v>8.7935938534735794</v>
      </c>
      <c r="AJ34">
        <v>0.47829201023284201</v>
      </c>
      <c r="AK34">
        <v>1.6464591096747899E-2</v>
      </c>
      <c r="AL34">
        <v>0.50524339867040902</v>
      </c>
    </row>
    <row r="35" spans="1:38" x14ac:dyDescent="0.2">
      <c r="A35">
        <v>131</v>
      </c>
      <c r="B35">
        <v>761</v>
      </c>
      <c r="C35">
        <v>155</v>
      </c>
      <c r="D35">
        <v>0.43325484697577799</v>
      </c>
      <c r="E35">
        <v>35.529705758193899</v>
      </c>
      <c r="F35">
        <v>2.5219342744846398</v>
      </c>
      <c r="G35">
        <v>-564.82278409814467</v>
      </c>
      <c r="H35">
        <v>-488.1614982081249</v>
      </c>
      <c r="I35">
        <v>74.129754764801703</v>
      </c>
      <c r="J35">
        <v>42.397946441431301</v>
      </c>
      <c r="K35">
        <v>14.0882758593914</v>
      </c>
      <c r="L35">
        <v>2.8906382050786282E-5</v>
      </c>
      <c r="M35">
        <v>1.807022675566708E-6</v>
      </c>
      <c r="N35" s="1">
        <v>-2.1232123083821899E-7</v>
      </c>
      <c r="O35" s="1">
        <v>1.3385614096391099E-10</v>
      </c>
      <c r="P35" s="1">
        <v>9.0137133962572904E-10</v>
      </c>
      <c r="Q35">
        <v>66.213432454326195</v>
      </c>
      <c r="S35">
        <v>19.135752349689099</v>
      </c>
      <c r="AA35">
        <v>0.33719235531645703</v>
      </c>
      <c r="AB35">
        <v>5.3848694609907097</v>
      </c>
      <c r="AC35">
        <v>8.9287533796773904</v>
      </c>
      <c r="AJ35">
        <v>0.47047227838571398</v>
      </c>
      <c r="AK35">
        <v>1.6279736423516801E-2</v>
      </c>
      <c r="AL35">
        <v>0.51324798519076797</v>
      </c>
    </row>
    <row r="36" spans="1:38" x14ac:dyDescent="0.2">
      <c r="A36">
        <v>132</v>
      </c>
      <c r="B36">
        <v>760</v>
      </c>
      <c r="C36">
        <v>155</v>
      </c>
      <c r="D36">
        <v>0.43263853264288998</v>
      </c>
      <c r="E36">
        <v>38.324367544988597</v>
      </c>
      <c r="F36">
        <v>2.5218407577422899</v>
      </c>
      <c r="G36">
        <v>-609.0472773783091</v>
      </c>
      <c r="H36">
        <v>-526.50025907240456</v>
      </c>
      <c r="I36">
        <v>79.898386784014207</v>
      </c>
      <c r="J36">
        <v>45.727006355440999</v>
      </c>
      <c r="K36">
        <v>15.1969815807477</v>
      </c>
      <c r="L36">
        <v>2.889028861838916E-5</v>
      </c>
      <c r="M36">
        <v>1.8066720600313659E-6</v>
      </c>
      <c r="N36" s="1">
        <v>-2.34601529593503E-7</v>
      </c>
      <c r="O36" s="1">
        <v>1.44387809637582E-10</v>
      </c>
      <c r="P36" s="1">
        <v>9.8827893592096504E-10</v>
      </c>
      <c r="Q36">
        <v>66.202291947376807</v>
      </c>
      <c r="S36">
        <v>19.128193094770999</v>
      </c>
      <c r="AA36">
        <v>0.33355537760454201</v>
      </c>
      <c r="AB36">
        <v>5.3402258690458497</v>
      </c>
      <c r="AC36">
        <v>8.9957337112017708</v>
      </c>
      <c r="AJ36">
        <v>0.46667720729435902</v>
      </c>
      <c r="AK36">
        <v>1.6107780436099301E-2</v>
      </c>
      <c r="AL36">
        <v>0.51721501226954003</v>
      </c>
    </row>
    <row r="37" spans="1:38" x14ac:dyDescent="0.2">
      <c r="A37">
        <v>133</v>
      </c>
      <c r="B37">
        <v>759</v>
      </c>
      <c r="C37">
        <v>155</v>
      </c>
      <c r="D37">
        <v>0.43202102407596099</v>
      </c>
      <c r="E37">
        <v>39.741309967286597</v>
      </c>
      <c r="F37">
        <v>2.5217868751766401</v>
      </c>
      <c r="G37">
        <v>-631.39492481305206</v>
      </c>
      <c r="H37">
        <v>-545.93928293238639</v>
      </c>
      <c r="I37">
        <v>82.793820549983593</v>
      </c>
      <c r="J37">
        <v>47.415719013990802</v>
      </c>
      <c r="K37">
        <v>15.759186614254499</v>
      </c>
      <c r="L37">
        <v>2.8885405332228507E-5</v>
      </c>
      <c r="M37">
        <v>1.8064979743367213E-6</v>
      </c>
      <c r="N37" s="1">
        <v>-2.5016994238702002E-7</v>
      </c>
      <c r="O37" s="1">
        <v>1.4970611318082501E-10</v>
      </c>
      <c r="P37" s="1">
        <v>1.0446701626719199E-9</v>
      </c>
      <c r="Q37">
        <v>66.195977895865497</v>
      </c>
      <c r="S37">
        <v>19.122133257746501</v>
      </c>
      <c r="AA37">
        <v>0.330029247613082</v>
      </c>
      <c r="AB37">
        <v>5.3102686932066803</v>
      </c>
      <c r="AC37">
        <v>9.0415909055681496</v>
      </c>
      <c r="AJ37">
        <v>0.46412965137307899</v>
      </c>
      <c r="AK37">
        <v>1.5939916346167302E-2</v>
      </c>
      <c r="AL37">
        <v>0.51993043228075198</v>
      </c>
    </row>
    <row r="38" spans="1:38" x14ac:dyDescent="0.2">
      <c r="A38">
        <v>147</v>
      </c>
      <c r="B38">
        <v>770</v>
      </c>
      <c r="C38">
        <v>135</v>
      </c>
      <c r="D38">
        <v>0.45983847001869499</v>
      </c>
      <c r="E38">
        <v>7.2128613795369496</v>
      </c>
      <c r="F38">
        <v>2.5228410548831901</v>
      </c>
      <c r="G38">
        <v>-115.16695660909642</v>
      </c>
      <c r="H38">
        <v>-99.343841579302165</v>
      </c>
      <c r="I38">
        <v>15.168590355935599</v>
      </c>
      <c r="J38">
        <v>8.6262756334353892</v>
      </c>
      <c r="K38">
        <v>2.8590233084941201</v>
      </c>
      <c r="L38">
        <v>2.9174143728099411E-5</v>
      </c>
      <c r="M38">
        <v>1.8136335430987072E-6</v>
      </c>
      <c r="N38" s="1">
        <v>-3.5669141348633198E-8</v>
      </c>
      <c r="O38" s="1">
        <v>2.7111027448982901E-11</v>
      </c>
      <c r="P38" s="1">
        <v>1.6168001977065E-10</v>
      </c>
      <c r="Q38">
        <v>66.361930598822497</v>
      </c>
      <c r="S38">
        <v>19.2373414449766</v>
      </c>
      <c r="AA38">
        <v>0.38635438719922399</v>
      </c>
      <c r="AB38">
        <v>5.9821186346276596</v>
      </c>
      <c r="AC38">
        <v>8.0322549343739293</v>
      </c>
      <c r="AJ38">
        <v>0.52107895875578003</v>
      </c>
      <c r="AK38">
        <v>1.8597096886612902E-2</v>
      </c>
      <c r="AL38">
        <v>0.46032394435760599</v>
      </c>
    </row>
    <row r="39" spans="1:38" x14ac:dyDescent="0.2">
      <c r="A39">
        <v>148</v>
      </c>
      <c r="B39">
        <v>769</v>
      </c>
      <c r="C39">
        <v>135</v>
      </c>
      <c r="D39">
        <v>0.45925298661421299</v>
      </c>
      <c r="E39">
        <v>21.083777574269</v>
      </c>
      <c r="F39">
        <v>2.5220633795652101</v>
      </c>
      <c r="G39">
        <v>-336.26824290459729</v>
      </c>
      <c r="H39">
        <v>-290.13293501722984</v>
      </c>
      <c r="I39">
        <v>44.269354591342299</v>
      </c>
      <c r="J39">
        <v>25.187487752782499</v>
      </c>
      <c r="K39">
        <v>8.3597334409191806</v>
      </c>
      <c r="L39">
        <v>2.9030248485336607E-5</v>
      </c>
      <c r="M39">
        <v>1.8111762337302646E-6</v>
      </c>
      <c r="N39" s="1">
        <v>-1.02017419113459E-7</v>
      </c>
      <c r="O39" s="1">
        <v>7.9391864476627505E-11</v>
      </c>
      <c r="P39" s="1">
        <v>4.65693728844154E-10</v>
      </c>
      <c r="Q39">
        <v>66.297738722658906</v>
      </c>
      <c r="S39">
        <v>19.206889417674201</v>
      </c>
      <c r="AA39">
        <v>0.37620944961455</v>
      </c>
      <c r="AB39">
        <v>5.7592365318213599</v>
      </c>
      <c r="AC39">
        <v>8.3599258782308201</v>
      </c>
      <c r="AJ39">
        <v>0.502229115293647</v>
      </c>
      <c r="AK39">
        <v>1.81291507792165E-2</v>
      </c>
      <c r="AL39">
        <v>0.47964173392713499</v>
      </c>
    </row>
    <row r="40" spans="1:38" x14ac:dyDescent="0.2">
      <c r="A40">
        <v>149</v>
      </c>
      <c r="B40">
        <v>768</v>
      </c>
      <c r="C40">
        <v>135</v>
      </c>
      <c r="D40">
        <v>0.45866637852374798</v>
      </c>
      <c r="E40">
        <v>30.548284303656299</v>
      </c>
      <c r="F40">
        <v>2.5215909844126099</v>
      </c>
      <c r="G40">
        <v>-486.82749761498673</v>
      </c>
      <c r="H40">
        <v>-420.13101063837468</v>
      </c>
      <c r="I40">
        <v>64.060401456669993</v>
      </c>
      <c r="J40">
        <v>36.467410359603903</v>
      </c>
      <c r="K40">
        <v>12.114686518349901</v>
      </c>
      <c r="L40">
        <v>2.8935541313264656E-5</v>
      </c>
      <c r="M40">
        <v>1.8095485735846523E-6</v>
      </c>
      <c r="N40" s="1">
        <v>-1.4712805570450899E-7</v>
      </c>
      <c r="O40" s="1">
        <v>1.15160295666908E-10</v>
      </c>
      <c r="P40" s="1">
        <v>6.7238759579704004E-10</v>
      </c>
      <c r="Q40">
        <v>66.253626002020795</v>
      </c>
      <c r="S40">
        <v>19.186119399141699</v>
      </c>
      <c r="AA40">
        <v>0.36936707195858598</v>
      </c>
      <c r="AB40">
        <v>5.6064823952390199</v>
      </c>
      <c r="AC40">
        <v>8.5844051316398708</v>
      </c>
      <c r="AJ40">
        <v>0.489285693285746</v>
      </c>
      <c r="AK40">
        <v>1.7813162157956801E-2</v>
      </c>
      <c r="AL40">
        <v>0.49290114455629602</v>
      </c>
    </row>
    <row r="41" spans="1:38" x14ac:dyDescent="0.2">
      <c r="A41">
        <v>150</v>
      </c>
      <c r="B41">
        <v>767</v>
      </c>
      <c r="C41">
        <v>135</v>
      </c>
      <c r="D41">
        <v>0.45807864250348701</v>
      </c>
      <c r="E41">
        <v>36.636079826572498</v>
      </c>
      <c r="F41">
        <v>2.52130429782195</v>
      </c>
      <c r="G41">
        <v>-583.50305361214271</v>
      </c>
      <c r="H41">
        <v>-503.67520772940708</v>
      </c>
      <c r="I41">
        <v>76.746474914902194</v>
      </c>
      <c r="J41">
        <v>43.714498331849903</v>
      </c>
      <c r="K41">
        <v>14.530606185941499</v>
      </c>
      <c r="L41">
        <v>2.887633027414745E-5</v>
      </c>
      <c r="M41">
        <v>1.8085153803835429E-6</v>
      </c>
      <c r="N41" s="1">
        <v>-1.7795569582740599E-7</v>
      </c>
      <c r="O41" s="1">
        <v>1.38198336800589E-10</v>
      </c>
      <c r="P41" s="1">
        <v>8.1048155948814001E-10</v>
      </c>
      <c r="Q41">
        <v>66.224722196329097</v>
      </c>
      <c r="S41">
        <v>19.1715741528207</v>
      </c>
      <c r="AA41">
        <v>0.36411140273024001</v>
      </c>
      <c r="AB41">
        <v>5.50393955977398</v>
      </c>
      <c r="AC41">
        <v>8.7356526883458496</v>
      </c>
      <c r="AJ41">
        <v>0.48058565277630799</v>
      </c>
      <c r="AK41">
        <v>1.7568804709302301E-2</v>
      </c>
      <c r="AL41">
        <v>0.50184554251438895</v>
      </c>
    </row>
    <row r="42" spans="1:38" x14ac:dyDescent="0.2">
      <c r="A42">
        <v>151</v>
      </c>
      <c r="B42">
        <v>766</v>
      </c>
      <c r="C42">
        <v>135</v>
      </c>
      <c r="D42">
        <v>0.45748977529712298</v>
      </c>
      <c r="E42">
        <v>39.1606274335156</v>
      </c>
      <c r="F42">
        <v>2.5211781143816201</v>
      </c>
      <c r="G42">
        <v>-623.48621253317742</v>
      </c>
      <c r="H42">
        <v>-538.30768557291253</v>
      </c>
      <c r="I42">
        <v>81.969424010263197</v>
      </c>
      <c r="J42">
        <v>46.718286878442797</v>
      </c>
      <c r="K42">
        <v>15.532669909408799</v>
      </c>
      <c r="L42">
        <v>2.8854123970007757E-5</v>
      </c>
      <c r="M42">
        <v>1.8080935635452501E-6</v>
      </c>
      <c r="N42" s="1">
        <v>-1.94586545923641E-7</v>
      </c>
      <c r="O42" s="1">
        <v>1.4774287796540099E-10</v>
      </c>
      <c r="P42" s="1">
        <v>8.7888981023977798E-10</v>
      </c>
      <c r="Q42">
        <v>66.212189832393193</v>
      </c>
      <c r="S42">
        <v>19.162831675428301</v>
      </c>
      <c r="AA42">
        <v>0.35982302516174502</v>
      </c>
      <c r="AB42">
        <v>5.4530923176175197</v>
      </c>
      <c r="AC42">
        <v>8.8120631493991208</v>
      </c>
      <c r="AJ42">
        <v>0.47626829198170401</v>
      </c>
      <c r="AK42">
        <v>1.7366350405096299E-2</v>
      </c>
      <c r="AL42">
        <v>0.50636535761319801</v>
      </c>
    </row>
    <row r="43" spans="1:38" x14ac:dyDescent="0.2">
      <c r="A43">
        <v>152</v>
      </c>
      <c r="B43">
        <v>765</v>
      </c>
      <c r="C43">
        <v>135</v>
      </c>
      <c r="D43">
        <v>0.45689977363579698</v>
      </c>
      <c r="E43">
        <v>40.475148401552403</v>
      </c>
      <c r="F43">
        <v>2.5211039662180399</v>
      </c>
      <c r="G43">
        <v>-644.23062666076589</v>
      </c>
      <c r="H43">
        <v>-556.34065249553942</v>
      </c>
      <c r="I43">
        <v>84.660187993282705</v>
      </c>
      <c r="J43">
        <v>48.282388024505899</v>
      </c>
      <c r="K43">
        <v>16.054533626500799</v>
      </c>
      <c r="L43">
        <v>2.8844567908289982E-5</v>
      </c>
      <c r="M43">
        <v>1.8078767386593192E-6</v>
      </c>
      <c r="N43" s="1">
        <v>-2.0671854404858499E-7</v>
      </c>
      <c r="O43" s="1">
        <v>1.52698092174307E-10</v>
      </c>
      <c r="P43" s="1">
        <v>9.2457504110580705E-10</v>
      </c>
      <c r="Q43">
        <v>66.205167092947306</v>
      </c>
      <c r="S43">
        <v>19.156021400213898</v>
      </c>
      <c r="AA43">
        <v>0.35584313862092998</v>
      </c>
      <c r="AB43">
        <v>5.4195884974358899</v>
      </c>
      <c r="AC43">
        <v>8.8633798707818503</v>
      </c>
      <c r="AJ43">
        <v>0.47342233244911303</v>
      </c>
      <c r="AK43">
        <v>1.7177177953310301E-2</v>
      </c>
      <c r="AL43">
        <v>0.509400489597575</v>
      </c>
    </row>
    <row r="44" spans="1:38" x14ac:dyDescent="0.2">
      <c r="A44">
        <v>169</v>
      </c>
      <c r="B44">
        <v>778</v>
      </c>
      <c r="C44">
        <v>115</v>
      </c>
      <c r="D44">
        <v>0.48541169195642903</v>
      </c>
      <c r="E44">
        <v>7.1607239455530296</v>
      </c>
      <c r="F44">
        <v>2.5232274220770199</v>
      </c>
      <c r="G44">
        <v>-114.67821633479238</v>
      </c>
      <c r="H44">
        <v>-98.75647612130355</v>
      </c>
      <c r="I44">
        <v>15.146972566702001</v>
      </c>
      <c r="J44">
        <v>8.5715228044861291</v>
      </c>
      <c r="K44">
        <v>2.8379225284649898</v>
      </c>
      <c r="L44">
        <v>2.9255850170540745E-5</v>
      </c>
      <c r="M44">
        <v>1.8167834116196164E-6</v>
      </c>
      <c r="N44" s="1">
        <v>-2.7981726169381E-8</v>
      </c>
      <c r="O44" s="1">
        <v>2.6898388495884601E-11</v>
      </c>
      <c r="P44" s="1">
        <v>1.38882986033155E-10</v>
      </c>
      <c r="Q44">
        <v>66.405178356577096</v>
      </c>
      <c r="S44">
        <v>19.316475280096402</v>
      </c>
      <c r="AA44">
        <v>0.44154933840136101</v>
      </c>
      <c r="AB44">
        <v>6.2859535807986902</v>
      </c>
      <c r="AC44">
        <v>7.5508434441263104</v>
      </c>
      <c r="AJ44">
        <v>0.54670659203238803</v>
      </c>
      <c r="AK44">
        <v>2.1221357889248501E-2</v>
      </c>
      <c r="AL44">
        <v>0.43207205007836302</v>
      </c>
    </row>
    <row r="45" spans="1:38" x14ac:dyDescent="0.2">
      <c r="A45">
        <v>170</v>
      </c>
      <c r="B45">
        <v>777</v>
      </c>
      <c r="C45">
        <v>115</v>
      </c>
      <c r="D45">
        <v>0.48485502071132902</v>
      </c>
      <c r="E45">
        <v>20.215571680285301</v>
      </c>
      <c r="F45">
        <v>2.5220848697053002</v>
      </c>
      <c r="G45">
        <v>-323.31943611405632</v>
      </c>
      <c r="H45">
        <v>-278.49081427153322</v>
      </c>
      <c r="I45">
        <v>42.687827303264299</v>
      </c>
      <c r="J45">
        <v>24.166476128678099</v>
      </c>
      <c r="K45">
        <v>8.0154208619662608</v>
      </c>
      <c r="L45">
        <v>2.9084291566385325E-5</v>
      </c>
      <c r="M45">
        <v>1.8138697728772368E-6</v>
      </c>
      <c r="N45" s="1">
        <v>-7.6245773304264694E-8</v>
      </c>
      <c r="O45" s="1">
        <v>7.6116185821903994E-11</v>
      </c>
      <c r="P45" s="1">
        <v>3.8367686730847901E-10</v>
      </c>
      <c r="Q45">
        <v>66.334617540609699</v>
      </c>
      <c r="S45">
        <v>19.273782235641601</v>
      </c>
      <c r="AA45">
        <v>0.422791541362255</v>
      </c>
      <c r="AB45">
        <v>6.0167872192224996</v>
      </c>
      <c r="AC45">
        <v>7.9520214631638204</v>
      </c>
      <c r="AJ45">
        <v>0.52400678480712004</v>
      </c>
      <c r="AK45">
        <v>2.0347419425019199E-2</v>
      </c>
      <c r="AL45">
        <v>0.45564579576786002</v>
      </c>
    </row>
    <row r="46" spans="1:38" x14ac:dyDescent="0.2">
      <c r="A46">
        <v>171</v>
      </c>
      <c r="B46">
        <v>776</v>
      </c>
      <c r="C46">
        <v>115</v>
      </c>
      <c r="D46">
        <v>0.484297288280991</v>
      </c>
      <c r="E46">
        <v>30.064687114853999</v>
      </c>
      <c r="F46">
        <v>2.5213300236082401</v>
      </c>
      <c r="G46">
        <v>-480.34595851151403</v>
      </c>
      <c r="H46">
        <v>-413.83798435623459</v>
      </c>
      <c r="I46">
        <v>63.392245298841303</v>
      </c>
      <c r="J46">
        <v>35.905007507537</v>
      </c>
      <c r="K46">
        <v>11.924137988024601</v>
      </c>
      <c r="L46">
        <v>2.8956835409129107E-5</v>
      </c>
      <c r="M46">
        <v>1.8116988699330783E-6</v>
      </c>
      <c r="N46" s="1">
        <v>-1.11181150130685E-7</v>
      </c>
      <c r="O46" s="1">
        <v>1.13388194774217E-10</v>
      </c>
      <c r="P46" s="1">
        <v>5.6374044151545005E-10</v>
      </c>
      <c r="Q46">
        <v>66.279249061036197</v>
      </c>
      <c r="S46">
        <v>19.243405411386298</v>
      </c>
      <c r="AA46">
        <v>0.41064982809062001</v>
      </c>
      <c r="AB46">
        <v>5.8137647371903496</v>
      </c>
      <c r="AC46">
        <v>8.2529309622964195</v>
      </c>
      <c r="AJ46">
        <v>0.50684430364510302</v>
      </c>
      <c r="AK46">
        <v>1.9783337141058701E-2</v>
      </c>
      <c r="AL46">
        <v>0.47337235921383702</v>
      </c>
    </row>
    <row r="47" spans="1:38" x14ac:dyDescent="0.2">
      <c r="A47">
        <v>172</v>
      </c>
      <c r="B47">
        <v>775</v>
      </c>
      <c r="C47">
        <v>115</v>
      </c>
      <c r="D47">
        <v>0.483738491628109</v>
      </c>
      <c r="E47">
        <v>36.035848714059703</v>
      </c>
      <c r="F47">
        <v>2.5209028387877299</v>
      </c>
      <c r="G47">
        <v>-575.34455383168665</v>
      </c>
      <c r="H47">
        <v>-495.79431070795658</v>
      </c>
      <c r="I47">
        <v>75.895857581195401</v>
      </c>
      <c r="J47">
        <v>43.010193346875802</v>
      </c>
      <c r="K47">
        <v>14.294818570393099</v>
      </c>
      <c r="L47">
        <v>2.8880371440583032E-5</v>
      </c>
      <c r="M47">
        <v>1.8103932035844799E-6</v>
      </c>
      <c r="N47" s="1">
        <v>-1.3338848580066E-7</v>
      </c>
      <c r="O47" s="1">
        <v>1.36035276912784E-10</v>
      </c>
      <c r="P47" s="1">
        <v>6.7578359403593703E-10</v>
      </c>
      <c r="Q47">
        <v>66.244736425775898</v>
      </c>
      <c r="S47">
        <v>19.223977340920701</v>
      </c>
      <c r="AA47">
        <v>0.40267452264902298</v>
      </c>
      <c r="AB47">
        <v>5.6859219674592696</v>
      </c>
      <c r="AC47">
        <v>8.4426897431950199</v>
      </c>
      <c r="AJ47">
        <v>0.49601907223724101</v>
      </c>
      <c r="AK47">
        <v>1.94116487093525E-2</v>
      </c>
      <c r="AL47">
        <v>0.48456927905340602</v>
      </c>
    </row>
    <row r="48" spans="1:38" x14ac:dyDescent="0.2">
      <c r="A48">
        <v>173</v>
      </c>
      <c r="B48">
        <v>774</v>
      </c>
      <c r="C48">
        <v>115</v>
      </c>
      <c r="D48">
        <v>0.48317862770377201</v>
      </c>
      <c r="E48">
        <v>39.340956043302597</v>
      </c>
      <c r="F48">
        <v>2.52066703806278</v>
      </c>
      <c r="G48">
        <v>-627.8135258740175</v>
      </c>
      <c r="H48">
        <v>-541.12901468429209</v>
      </c>
      <c r="I48">
        <v>82.781369612496107</v>
      </c>
      <c r="J48">
        <v>46.939046026200003</v>
      </c>
      <c r="K48">
        <v>15.607359262148799</v>
      </c>
      <c r="L48">
        <v>2.8838678997723323E-5</v>
      </c>
      <c r="M48">
        <v>1.8096749114230626E-6</v>
      </c>
      <c r="N48" s="1">
        <v>-1.4792736063792199E-7</v>
      </c>
      <c r="O48" s="1">
        <v>1.48579782276002E-10</v>
      </c>
      <c r="P48" s="1">
        <v>7.4432083141704502E-10</v>
      </c>
      <c r="Q48">
        <v>66.225155611554797</v>
      </c>
      <c r="S48">
        <v>19.211247448959099</v>
      </c>
      <c r="AA48">
        <v>0.39674114674869099</v>
      </c>
      <c r="AB48">
        <v>5.6089141060726799</v>
      </c>
      <c r="AC48">
        <v>8.55794168666465</v>
      </c>
      <c r="AJ48">
        <v>0.48949160635939998</v>
      </c>
      <c r="AK48">
        <v>1.9133062682926701E-2</v>
      </c>
      <c r="AL48">
        <v>0.491375330957672</v>
      </c>
    </row>
    <row r="49" spans="1:38" x14ac:dyDescent="0.2">
      <c r="A49">
        <v>174</v>
      </c>
      <c r="B49">
        <v>773</v>
      </c>
      <c r="C49">
        <v>115</v>
      </c>
      <c r="D49">
        <v>0.48261769344740202</v>
      </c>
      <c r="E49">
        <v>40.910502361861802</v>
      </c>
      <c r="F49">
        <v>2.52054366044608</v>
      </c>
      <c r="G49">
        <v>-652.64257342253893</v>
      </c>
      <c r="H49">
        <v>-562.6539851543173</v>
      </c>
      <c r="I49">
        <v>86.018819737343094</v>
      </c>
      <c r="J49">
        <v>48.803613054577603</v>
      </c>
      <c r="K49">
        <v>16.2308247239888</v>
      </c>
      <c r="L49">
        <v>2.8819721286480534E-5</v>
      </c>
      <c r="M49">
        <v>1.8093372430932241E-6</v>
      </c>
      <c r="N49" s="1">
        <v>-1.57791381257623E-7</v>
      </c>
      <c r="O49" s="1">
        <v>1.54530263120355E-10</v>
      </c>
      <c r="P49" s="1">
        <v>7.8549460806534501E-10</v>
      </c>
      <c r="Q49">
        <v>66.215524380881902</v>
      </c>
      <c r="S49">
        <v>19.202605478214402</v>
      </c>
      <c r="AA49">
        <v>0.39185874840774798</v>
      </c>
      <c r="AB49">
        <v>5.5647953750839303</v>
      </c>
      <c r="AC49">
        <v>8.6252160174119794</v>
      </c>
      <c r="AJ49">
        <v>0.48574966865042402</v>
      </c>
      <c r="AK49">
        <v>1.8901821213268201E-2</v>
      </c>
      <c r="AL49">
        <v>0.49534851013630699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997AA-2127-4F31-B9AD-50122576B747}">
  <sheetPr codeName="Sheet11"/>
  <dimension ref="A1:AL14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24</v>
      </c>
      <c r="B2">
        <v>740</v>
      </c>
      <c r="C2">
        <v>275</v>
      </c>
      <c r="D2">
        <v>0.28977002418201098</v>
      </c>
      <c r="E2">
        <v>6.5544281105174802</v>
      </c>
      <c r="F2">
        <v>2.5262570318264199</v>
      </c>
      <c r="G2">
        <v>-103.27150378081582</v>
      </c>
      <c r="H2">
        <v>-89.638152192999044</v>
      </c>
      <c r="I2">
        <v>13.4563999287536</v>
      </c>
      <c r="J2">
        <v>7.8274482227847297</v>
      </c>
      <c r="K2">
        <v>2.5945214710708799</v>
      </c>
      <c r="L2">
        <v>2.9021359857580924E-5</v>
      </c>
      <c r="M2">
        <v>1.7958068865273792E-6</v>
      </c>
      <c r="N2" s="1">
        <v>-7.8075740046959798E-8</v>
      </c>
      <c r="O2" s="1">
        <v>2.45127120416087E-11</v>
      </c>
      <c r="P2" s="1">
        <v>2.7774355072872902E-10</v>
      </c>
      <c r="Q2">
        <v>66.071758924919095</v>
      </c>
      <c r="S2">
        <v>18.9959345802305</v>
      </c>
      <c r="AA2">
        <v>0.25489884517954597</v>
      </c>
      <c r="AB2">
        <v>4.7026071367524001</v>
      </c>
      <c r="AC2">
        <v>9.9748005129183301</v>
      </c>
      <c r="AJ2">
        <v>0.41228688486921999</v>
      </c>
      <c r="AK2">
        <v>1.2349218630154001E-2</v>
      </c>
      <c r="AL2">
        <v>0.57536389650062403</v>
      </c>
    </row>
    <row r="3" spans="1:38" x14ac:dyDescent="0.2">
      <c r="A3">
        <v>24</v>
      </c>
      <c r="B3">
        <v>740</v>
      </c>
      <c r="C3">
        <v>275</v>
      </c>
      <c r="D3">
        <v>0.28977002418201098</v>
      </c>
      <c r="E3">
        <v>2.88588363832051</v>
      </c>
      <c r="F3">
        <v>2.57201803678897</v>
      </c>
      <c r="G3">
        <v>-46.571235691019439</v>
      </c>
      <c r="H3">
        <v>-40.474026017127549</v>
      </c>
      <c r="I3">
        <v>6.0180720267402501</v>
      </c>
      <c r="J3">
        <v>3.55307165844683</v>
      </c>
      <c r="K3">
        <v>1.12203087110671</v>
      </c>
      <c r="L3">
        <v>3.240428097493607E-5</v>
      </c>
      <c r="M3">
        <v>1.8179728051720272E-6</v>
      </c>
      <c r="N3" s="1">
        <v>-7.3002162473977905E-8</v>
      </c>
      <c r="O3" s="1">
        <v>9.7183417591734303E-12</v>
      </c>
      <c r="P3" s="1">
        <v>2.35165815619089E-10</v>
      </c>
      <c r="Q3">
        <v>65.507859025285299</v>
      </c>
      <c r="S3">
        <v>21.130969272377801</v>
      </c>
      <c r="AA3">
        <v>2.1479026597817898</v>
      </c>
      <c r="AB3">
        <v>9.0432574644328803</v>
      </c>
      <c r="AC3">
        <v>2.1700115781221698</v>
      </c>
      <c r="AJ3">
        <v>0.77571945356538496</v>
      </c>
      <c r="AK3">
        <v>0.101813454567812</v>
      </c>
      <c r="AL3">
        <v>0.12246709186680201</v>
      </c>
    </row>
    <row r="4" spans="1:38" x14ac:dyDescent="0.2">
      <c r="A4">
        <v>25</v>
      </c>
      <c r="B4">
        <v>739</v>
      </c>
      <c r="C4">
        <v>275</v>
      </c>
      <c r="D4">
        <v>0.28899916020352701</v>
      </c>
      <c r="E4">
        <v>13.7745648446578</v>
      </c>
      <c r="F4">
        <v>2.52630582762152</v>
      </c>
      <c r="G4">
        <v>-217.01763501305305</v>
      </c>
      <c r="H4">
        <v>-188.40848034684791</v>
      </c>
      <c r="I4">
        <v>28.265726094161099</v>
      </c>
      <c r="J4">
        <v>16.4568495018625</v>
      </c>
      <c r="K4">
        <v>5.4524534179721202</v>
      </c>
      <c r="L4">
        <v>2.9069165636848298E-5</v>
      </c>
      <c r="M4">
        <v>1.7962425580649277E-6</v>
      </c>
      <c r="N4" s="1">
        <v>-1.7071960695058901E-7</v>
      </c>
      <c r="O4" s="1">
        <v>5.1458886494854597E-11</v>
      </c>
      <c r="P4" s="1">
        <v>6.0263964104464396E-10</v>
      </c>
      <c r="Q4">
        <v>66.081363673884795</v>
      </c>
      <c r="S4">
        <v>18.9943666758459</v>
      </c>
      <c r="AA4">
        <v>0.25136417114236898</v>
      </c>
      <c r="AB4">
        <v>4.7199003396506498</v>
      </c>
      <c r="AC4">
        <v>9.9530051394761596</v>
      </c>
      <c r="AJ4">
        <v>0.41376673186134999</v>
      </c>
      <c r="AK4">
        <v>1.21769046468857E-2</v>
      </c>
      <c r="AL4">
        <v>0.57405636349176303</v>
      </c>
    </row>
    <row r="5" spans="1:38" x14ac:dyDescent="0.2">
      <c r="A5">
        <v>25</v>
      </c>
      <c r="B5">
        <v>739</v>
      </c>
      <c r="C5">
        <v>275</v>
      </c>
      <c r="D5">
        <v>0.28899916020352701</v>
      </c>
      <c r="E5">
        <v>6.8731189884846797</v>
      </c>
      <c r="F5">
        <v>2.5715952809078502</v>
      </c>
      <c r="G5">
        <v>-110.89426913852635</v>
      </c>
      <c r="H5">
        <v>-96.394694861353045</v>
      </c>
      <c r="I5">
        <v>14.3255192186665</v>
      </c>
      <c r="J5">
        <v>8.4682546181252505</v>
      </c>
      <c r="K5">
        <v>2.67270633116819</v>
      </c>
      <c r="L5">
        <v>3.2499091321195514E-5</v>
      </c>
      <c r="M5">
        <v>1.8193889274205437E-6</v>
      </c>
      <c r="N5" s="1">
        <v>-1.7983815460091501E-7</v>
      </c>
      <c r="O5" s="1">
        <v>2.3119566384248599E-11</v>
      </c>
      <c r="P5" s="1">
        <v>5.7705087186069195E-10</v>
      </c>
      <c r="Q5">
        <v>65.559779622480093</v>
      </c>
      <c r="S5">
        <v>21.0923073777751</v>
      </c>
      <c r="AA5">
        <v>2.1038912393130502</v>
      </c>
      <c r="AB5">
        <v>9.05760254832024</v>
      </c>
      <c r="AC5">
        <v>2.1864192121113701</v>
      </c>
      <c r="AJ5">
        <v>0.77689535141299304</v>
      </c>
      <c r="AK5">
        <v>9.9720245413377998E-2</v>
      </c>
      <c r="AL5">
        <v>0.123384403173628</v>
      </c>
    </row>
    <row r="6" spans="1:38" x14ac:dyDescent="0.2">
      <c r="A6">
        <v>26</v>
      </c>
      <c r="B6">
        <v>738</v>
      </c>
      <c r="C6">
        <v>275</v>
      </c>
      <c r="D6">
        <v>0.28822677149780002</v>
      </c>
      <c r="E6">
        <v>32.0372777058464</v>
      </c>
      <c r="F6">
        <v>2.5264443499520399</v>
      </c>
      <c r="G6">
        <v>-504.86411967490858</v>
      </c>
      <c r="H6">
        <v>-438.39744907417395</v>
      </c>
      <c r="I6">
        <v>65.733739406353706</v>
      </c>
      <c r="J6">
        <v>38.312300515623797</v>
      </c>
      <c r="K6">
        <v>12.6807771192167</v>
      </c>
      <c r="L6">
        <v>2.9182337278401401E-5</v>
      </c>
      <c r="M6">
        <v>1.7975807665304972E-6</v>
      </c>
      <c r="N6" s="1">
        <v>-4.2052870634081597E-7</v>
      </c>
      <c r="O6" s="1">
        <v>1.1944023194971699E-10</v>
      </c>
      <c r="P6" s="1">
        <v>1.4689610872679401E-9</v>
      </c>
      <c r="Q6">
        <v>66.117306220496204</v>
      </c>
      <c r="S6">
        <v>18.997495070184399</v>
      </c>
      <c r="AA6">
        <v>0.245558426618189</v>
      </c>
      <c r="AB6">
        <v>4.8081978700891304</v>
      </c>
      <c r="AC6">
        <v>9.8314424126119899</v>
      </c>
      <c r="AJ6">
        <v>0.42131854036934901</v>
      </c>
      <c r="AK6">
        <v>1.18903290012803E-2</v>
      </c>
      <c r="AL6">
        <v>0.56679113062937003</v>
      </c>
    </row>
    <row r="7" spans="1:38" x14ac:dyDescent="0.2">
      <c r="A7">
        <v>26</v>
      </c>
      <c r="B7">
        <v>738</v>
      </c>
      <c r="C7">
        <v>275</v>
      </c>
      <c r="D7">
        <v>0.28822677149780002</v>
      </c>
      <c r="E7">
        <v>17.781006534064701</v>
      </c>
      <c r="F7">
        <v>2.5698943447891902</v>
      </c>
      <c r="G7">
        <v>-286.76726023970895</v>
      </c>
      <c r="H7">
        <v>-249.30761917095484</v>
      </c>
      <c r="I7">
        <v>37.046571793259297</v>
      </c>
      <c r="J7">
        <v>21.926149976058198</v>
      </c>
      <c r="K7">
        <v>6.9189640306101099</v>
      </c>
      <c r="L7">
        <v>3.2641394511763476E-5</v>
      </c>
      <c r="M7">
        <v>1.8231375437370392E-6</v>
      </c>
      <c r="N7" s="1">
        <v>-4.8208735083040301E-7</v>
      </c>
      <c r="O7" s="1">
        <v>5.9877792920925298E-11</v>
      </c>
      <c r="P7" s="1">
        <v>1.54060581163498E-9</v>
      </c>
      <c r="Q7">
        <v>65.724238752141304</v>
      </c>
      <c r="S7">
        <v>20.963266308682901</v>
      </c>
      <c r="AA7">
        <v>1.95905674643102</v>
      </c>
      <c r="AB7">
        <v>9.0857929617152298</v>
      </c>
      <c r="AC7">
        <v>2.2676452310294302</v>
      </c>
      <c r="AJ7">
        <v>0.77920667467984495</v>
      </c>
      <c r="AK7">
        <v>9.2842672685639796E-2</v>
      </c>
      <c r="AL7">
        <v>0.12795065263451499</v>
      </c>
    </row>
    <row r="8" spans="1:38" x14ac:dyDescent="0.2">
      <c r="A8">
        <v>27</v>
      </c>
      <c r="B8">
        <v>737</v>
      </c>
      <c r="C8">
        <v>275</v>
      </c>
      <c r="D8">
        <v>0.28745285353660599</v>
      </c>
      <c r="E8">
        <v>35.750632216863401</v>
      </c>
      <c r="F8">
        <v>2.52648127443593</v>
      </c>
      <c r="G8">
        <v>-563.31945069983783</v>
      </c>
      <c r="H8">
        <v>-489.26265114915913</v>
      </c>
      <c r="I8">
        <v>73.312675890391205</v>
      </c>
      <c r="J8">
        <v>42.769276262435397</v>
      </c>
      <c r="K8">
        <v>14.150365007096701</v>
      </c>
      <c r="L8">
        <v>2.92240484663593E-5</v>
      </c>
      <c r="M8">
        <v>1.797895789457156E-6</v>
      </c>
      <c r="N8" s="1">
        <v>-4.8676605591870003E-7</v>
      </c>
      <c r="O8" s="1">
        <v>1.3314481024541701E-10</v>
      </c>
      <c r="P8" s="1">
        <v>1.68897282145166E-9</v>
      </c>
      <c r="Q8">
        <v>66.123076091533704</v>
      </c>
      <c r="S8">
        <v>18.995182970706399</v>
      </c>
      <c r="AA8">
        <v>0.242304600347411</v>
      </c>
      <c r="AB8">
        <v>4.8149942489530204</v>
      </c>
      <c r="AC8">
        <v>9.8244420884593904</v>
      </c>
      <c r="AJ8">
        <v>0.42189955881588598</v>
      </c>
      <c r="AK8">
        <v>1.17323699389974E-2</v>
      </c>
      <c r="AL8">
        <v>0.56636807124511501</v>
      </c>
    </row>
    <row r="9" spans="1:38" x14ac:dyDescent="0.2">
      <c r="A9">
        <v>27</v>
      </c>
      <c r="B9">
        <v>737</v>
      </c>
      <c r="C9">
        <v>275</v>
      </c>
      <c r="D9">
        <v>0.28745285353660599</v>
      </c>
      <c r="E9">
        <v>20.093770106715301</v>
      </c>
      <c r="F9">
        <v>2.5696671802598199</v>
      </c>
      <c r="G9">
        <v>-324.01454127245563</v>
      </c>
      <c r="H9">
        <v>-281.74724329969644</v>
      </c>
      <c r="I9">
        <v>41.842595627143702</v>
      </c>
      <c r="J9">
        <v>24.7967460672341</v>
      </c>
      <c r="K9">
        <v>7.8196002428157598</v>
      </c>
      <c r="L9">
        <v>3.2732613594570022E-5</v>
      </c>
      <c r="M9">
        <v>1.8241709188743731E-6</v>
      </c>
      <c r="N9" s="1">
        <v>-5.6328895144546195E-7</v>
      </c>
      <c r="O9" s="1">
        <v>6.7556436257449698E-11</v>
      </c>
      <c r="P9" s="1">
        <v>1.7934531178792899E-9</v>
      </c>
      <c r="Q9">
        <v>65.757642083258602</v>
      </c>
      <c r="S9">
        <v>20.939045607535299</v>
      </c>
      <c r="AA9">
        <v>1.93128020932071</v>
      </c>
      <c r="AB9">
        <v>9.0967327771307307</v>
      </c>
      <c r="AC9">
        <v>2.2752993227545302</v>
      </c>
      <c r="AJ9">
        <v>0.78010298077279805</v>
      </c>
      <c r="AK9">
        <v>9.1521384341821999E-2</v>
      </c>
      <c r="AL9">
        <v>0.12837563488537901</v>
      </c>
    </row>
    <row r="10" spans="1:38" x14ac:dyDescent="0.2">
      <c r="A10">
        <v>28</v>
      </c>
      <c r="B10">
        <v>736</v>
      </c>
      <c r="C10">
        <v>275</v>
      </c>
      <c r="D10">
        <v>0.28667740177377199</v>
      </c>
      <c r="E10">
        <v>36.993755385028003</v>
      </c>
      <c r="F10">
        <v>2.5265017276461599</v>
      </c>
      <c r="G10">
        <v>-582.81148110049128</v>
      </c>
      <c r="H10">
        <v>-506.30250464767471</v>
      </c>
      <c r="I10">
        <v>75.815266761944599</v>
      </c>
      <c r="J10">
        <v>44.269735503716397</v>
      </c>
      <c r="K10">
        <v>14.6422838267732</v>
      </c>
      <c r="L10">
        <v>2.9255298593447006E-5</v>
      </c>
      <c r="M10">
        <v>1.7980510655117312E-6</v>
      </c>
      <c r="N10" s="1">
        <v>-5.2077464763102895E-7</v>
      </c>
      <c r="O10" s="1">
        <v>1.3764890545380901E-10</v>
      </c>
      <c r="P10" s="1">
        <v>1.7961252988747E-9</v>
      </c>
      <c r="Q10">
        <v>66.124075472142707</v>
      </c>
      <c r="S10">
        <v>18.992038073673701</v>
      </c>
      <c r="AA10">
        <v>0.23947683629153099</v>
      </c>
      <c r="AB10">
        <v>4.8089765586196602</v>
      </c>
      <c r="AC10">
        <v>9.8354330592723809</v>
      </c>
      <c r="AJ10">
        <v>0.42138516473716697</v>
      </c>
      <c r="AK10">
        <v>1.15958044829275E-2</v>
      </c>
      <c r="AL10">
        <v>0.56701903077990401</v>
      </c>
    </row>
    <row r="11" spans="1:38" x14ac:dyDescent="0.2">
      <c r="A11">
        <v>28</v>
      </c>
      <c r="B11">
        <v>736</v>
      </c>
      <c r="C11">
        <v>275</v>
      </c>
      <c r="D11">
        <v>0.28667740177377199</v>
      </c>
      <c r="E11">
        <v>20.9434016151172</v>
      </c>
      <c r="F11">
        <v>2.5696678406545299</v>
      </c>
      <c r="G11">
        <v>-337.67425657591531</v>
      </c>
      <c r="H11">
        <v>-293.68818866988209</v>
      </c>
      <c r="I11">
        <v>43.587244617780499</v>
      </c>
      <c r="J11">
        <v>25.8649908095284</v>
      </c>
      <c r="K11">
        <v>8.1502368842280397</v>
      </c>
      <c r="L11">
        <v>3.281858551281521E-5</v>
      </c>
      <c r="M11">
        <v>1.8248057013566783E-6</v>
      </c>
      <c r="N11" s="1">
        <v>-6.0688126527900702E-7</v>
      </c>
      <c r="O11" s="1">
        <v>7.0264740277421302E-11</v>
      </c>
      <c r="P11" s="1">
        <v>1.9253301270049899E-9</v>
      </c>
      <c r="Q11">
        <v>65.771279071913</v>
      </c>
      <c r="S11">
        <v>20.930787142195701</v>
      </c>
      <c r="AA11">
        <v>1.9212848859826701</v>
      </c>
      <c r="AB11">
        <v>9.1054714345994903</v>
      </c>
      <c r="AC11">
        <v>2.2711774653089698</v>
      </c>
      <c r="AJ11">
        <v>0.78081867125568505</v>
      </c>
      <c r="AK11">
        <v>9.1043786194508994E-2</v>
      </c>
      <c r="AL11">
        <v>0.128137542549805</v>
      </c>
    </row>
    <row r="12" spans="1:38" x14ac:dyDescent="0.2">
      <c r="A12">
        <v>49</v>
      </c>
      <c r="B12">
        <v>743</v>
      </c>
      <c r="C12">
        <v>255</v>
      </c>
      <c r="D12">
        <v>0.31372385966638899</v>
      </c>
      <c r="E12">
        <v>8.0759635968410706</v>
      </c>
      <c r="F12">
        <v>2.5255321171088698</v>
      </c>
      <c r="G12">
        <v>-127.44768899286443</v>
      </c>
      <c r="H12">
        <v>-110.55458581609209</v>
      </c>
      <c r="I12">
        <v>16.624615634278701</v>
      </c>
      <c r="J12">
        <v>9.6450835016085303</v>
      </c>
      <c r="K12">
        <v>3.1977275371520899</v>
      </c>
      <c r="L12">
        <v>2.9033225477116546E-5</v>
      </c>
      <c r="M12">
        <v>1.7982838174813483E-6</v>
      </c>
      <c r="N12" s="1">
        <v>-8.8313017807991597E-8</v>
      </c>
      <c r="O12" s="1">
        <v>3.0233300799718197E-11</v>
      </c>
      <c r="P12" s="1">
        <v>3.19882185041973E-10</v>
      </c>
      <c r="Q12">
        <v>66.115131677711602</v>
      </c>
      <c r="S12">
        <v>19.018700277171298</v>
      </c>
      <c r="AA12">
        <v>0.26356033933717699</v>
      </c>
      <c r="AB12">
        <v>4.8589442250689903</v>
      </c>
      <c r="AC12">
        <v>9.7436634807108895</v>
      </c>
      <c r="AJ12">
        <v>0.42565545720119102</v>
      </c>
      <c r="AK12">
        <v>1.2758720986327099E-2</v>
      </c>
      <c r="AL12">
        <v>0.56158582181248096</v>
      </c>
    </row>
    <row r="13" spans="1:38" x14ac:dyDescent="0.2">
      <c r="A13">
        <v>49</v>
      </c>
      <c r="B13">
        <v>743</v>
      </c>
      <c r="C13">
        <v>255</v>
      </c>
      <c r="D13">
        <v>0.31372385966638899</v>
      </c>
      <c r="E13">
        <v>4.8319524116106196</v>
      </c>
      <c r="F13">
        <v>2.5692207619529599</v>
      </c>
      <c r="G13">
        <v>-78.015792628451209</v>
      </c>
      <c r="H13">
        <v>-67.756386222557481</v>
      </c>
      <c r="I13">
        <v>10.096350347777101</v>
      </c>
      <c r="J13">
        <v>5.9360324961576199</v>
      </c>
      <c r="K13">
        <v>1.8807073658931699</v>
      </c>
      <c r="L13">
        <v>3.2195332395674508E-5</v>
      </c>
      <c r="M13">
        <v>1.8206246496445962E-6</v>
      </c>
      <c r="N13" s="1">
        <v>-1.08986316119693E-7</v>
      </c>
      <c r="O13" s="1">
        <v>1.6430265110505601E-11</v>
      </c>
      <c r="P13" s="1">
        <v>3.5590657147703003E-10</v>
      </c>
      <c r="Q13">
        <v>65.630314456802395</v>
      </c>
      <c r="S13">
        <v>21.023978863487901</v>
      </c>
      <c r="AA13">
        <v>2.0310611760819599</v>
      </c>
      <c r="AB13">
        <v>9.0356535611639401</v>
      </c>
      <c r="AC13">
        <v>2.2789919424636902</v>
      </c>
      <c r="AJ13">
        <v>0.77509840866927804</v>
      </c>
      <c r="AK13">
        <v>9.6278888769759693E-2</v>
      </c>
      <c r="AL13">
        <v>0.12862270256096101</v>
      </c>
    </row>
    <row r="14" spans="1:38" x14ac:dyDescent="0.2">
      <c r="A14">
        <v>50</v>
      </c>
      <c r="B14">
        <v>742</v>
      </c>
      <c r="C14">
        <v>255</v>
      </c>
      <c r="D14">
        <v>0.31297887011771702</v>
      </c>
      <c r="E14">
        <v>21.653727457713298</v>
      </c>
      <c r="F14">
        <v>2.5255891033235698</v>
      </c>
      <c r="G14">
        <v>-341.70257917204538</v>
      </c>
      <c r="H14">
        <v>-296.47355888738252</v>
      </c>
      <c r="I14">
        <v>44.5540267789616</v>
      </c>
      <c r="J14">
        <v>25.871648263689</v>
      </c>
      <c r="K14">
        <v>8.5737333239274598</v>
      </c>
      <c r="L14">
        <v>2.9081235241581729E-5</v>
      </c>
      <c r="M14">
        <v>1.798759708241051E-6</v>
      </c>
      <c r="N14" s="1">
        <v>-2.4657089943279799E-7</v>
      </c>
      <c r="O14" s="1">
        <v>8.0978187339623901E-11</v>
      </c>
      <c r="P14" s="1">
        <v>8.85690005938461E-10</v>
      </c>
      <c r="Q14">
        <v>66.126108438049599</v>
      </c>
      <c r="S14">
        <v>19.017355221983401</v>
      </c>
      <c r="AA14">
        <v>0.25988937807196699</v>
      </c>
      <c r="AB14">
        <v>4.8798791098879502</v>
      </c>
      <c r="AC14">
        <v>9.7167678520069192</v>
      </c>
      <c r="AJ14">
        <v>0.42744406008096297</v>
      </c>
      <c r="AK14">
        <v>1.2579678536962201E-2</v>
      </c>
      <c r="AL14">
        <v>0.55997626138207401</v>
      </c>
    </row>
    <row r="15" spans="1:38" x14ac:dyDescent="0.2">
      <c r="A15">
        <v>50</v>
      </c>
      <c r="B15">
        <v>742</v>
      </c>
      <c r="C15">
        <v>255</v>
      </c>
      <c r="D15">
        <v>0.31297887011771702</v>
      </c>
      <c r="E15">
        <v>11.9435900005549</v>
      </c>
      <c r="F15">
        <v>2.5687494782309801</v>
      </c>
      <c r="G15">
        <v>-192.79932137734971</v>
      </c>
      <c r="H15">
        <v>-167.47800826849402</v>
      </c>
      <c r="I15">
        <v>24.9434202914404</v>
      </c>
      <c r="J15">
        <v>14.6820191502581</v>
      </c>
      <c r="K15">
        <v>4.64957369403733</v>
      </c>
      <c r="L15">
        <v>3.2282176054266211E-5</v>
      </c>
      <c r="M15">
        <v>1.8220528909373782E-6</v>
      </c>
      <c r="N15" s="1">
        <v>-2.78569567254509E-7</v>
      </c>
      <c r="O15" s="1">
        <v>4.0579550916210801E-11</v>
      </c>
      <c r="P15" s="1">
        <v>9.0587044709034705E-10</v>
      </c>
      <c r="Q15">
        <v>65.684703407191805</v>
      </c>
      <c r="S15">
        <v>20.982763195731099</v>
      </c>
      <c r="AA15">
        <v>1.98436691013908</v>
      </c>
      <c r="AB15">
        <v>9.0488041894609292</v>
      </c>
      <c r="AC15">
        <v>2.2993622974769599</v>
      </c>
      <c r="AJ15">
        <v>0.77617658979519399</v>
      </c>
      <c r="AK15">
        <v>9.4059380967911194E-2</v>
      </c>
      <c r="AL15">
        <v>0.12976402923689401</v>
      </c>
    </row>
    <row r="16" spans="1:38" x14ac:dyDescent="0.2">
      <c r="A16">
        <v>51</v>
      </c>
      <c r="B16">
        <v>741</v>
      </c>
      <c r="C16">
        <v>255</v>
      </c>
      <c r="D16">
        <v>0.31223241137898899</v>
      </c>
      <c r="E16">
        <v>33.527957029568199</v>
      </c>
      <c r="F16">
        <v>2.52564438803878</v>
      </c>
      <c r="G16">
        <v>-529.05146615886281</v>
      </c>
      <c r="H16">
        <v>-459.12257736477915</v>
      </c>
      <c r="I16">
        <v>68.953200999934694</v>
      </c>
      <c r="J16">
        <v>40.075586349634797</v>
      </c>
      <c r="K16">
        <v>13.2750109985212</v>
      </c>
      <c r="L16">
        <v>2.9129275234420726E-5</v>
      </c>
      <c r="M16">
        <v>1.7992214378765453E-6</v>
      </c>
      <c r="N16" s="1">
        <v>-3.9734644996740599E-7</v>
      </c>
      <c r="O16" s="1">
        <v>1.25250283845405E-10</v>
      </c>
      <c r="P16" s="1">
        <v>1.4158857845017799E-9</v>
      </c>
      <c r="Q16">
        <v>66.136555044700998</v>
      </c>
      <c r="S16">
        <v>19.015893641221901</v>
      </c>
      <c r="AA16">
        <v>0.25624598613049798</v>
      </c>
      <c r="AB16">
        <v>4.89932708870115</v>
      </c>
      <c r="AC16">
        <v>9.6919782392452998</v>
      </c>
      <c r="AJ16">
        <v>0.429105289197318</v>
      </c>
      <c r="AK16">
        <v>1.24021018774378E-2</v>
      </c>
      <c r="AL16">
        <v>0.55849260892524399</v>
      </c>
    </row>
    <row r="17" spans="1:38" x14ac:dyDescent="0.2">
      <c r="A17">
        <v>51</v>
      </c>
      <c r="B17">
        <v>741</v>
      </c>
      <c r="C17">
        <v>255</v>
      </c>
      <c r="D17">
        <v>0.31223241137898899</v>
      </c>
      <c r="E17">
        <v>18.3615836816609</v>
      </c>
      <c r="F17">
        <v>2.5683061248446499</v>
      </c>
      <c r="G17">
        <v>-296.34201973775055</v>
      </c>
      <c r="H17">
        <v>-257.47239726450238</v>
      </c>
      <c r="I17">
        <v>38.327291301334199</v>
      </c>
      <c r="J17">
        <v>22.586349482898498</v>
      </c>
      <c r="K17">
        <v>7.1492971589481398</v>
      </c>
      <c r="L17">
        <v>3.2369725369768091E-5</v>
      </c>
      <c r="M17">
        <v>1.8234257130652035E-6</v>
      </c>
      <c r="N17" s="1">
        <v>-4.4283315659616197E-7</v>
      </c>
      <c r="O17" s="1">
        <v>6.2328052034805995E-11</v>
      </c>
      <c r="P17" s="1">
        <v>1.43412180980061E-9</v>
      </c>
      <c r="Q17">
        <v>65.736299123479796</v>
      </c>
      <c r="S17">
        <v>20.943677634514799</v>
      </c>
      <c r="AA17">
        <v>1.94008176689433</v>
      </c>
      <c r="AB17">
        <v>9.0613145965587503</v>
      </c>
      <c r="AC17">
        <v>2.3186268785522</v>
      </c>
      <c r="AJ17">
        <v>0.77720215013411098</v>
      </c>
      <c r="AK17">
        <v>9.19546316602909E-2</v>
      </c>
      <c r="AL17">
        <v>0.130843218205597</v>
      </c>
    </row>
    <row r="18" spans="1:38" x14ac:dyDescent="0.2">
      <c r="A18">
        <v>52</v>
      </c>
      <c r="B18">
        <v>740</v>
      </c>
      <c r="C18">
        <v>255</v>
      </c>
      <c r="D18">
        <v>0.31148447909983901</v>
      </c>
      <c r="E18">
        <v>36.424460045700599</v>
      </c>
      <c r="F18">
        <v>2.5256629464189002</v>
      </c>
      <c r="G18">
        <v>-574.66311311345976</v>
      </c>
      <c r="H18">
        <v>-498.81403428352093</v>
      </c>
      <c r="I18">
        <v>74.864609218712701</v>
      </c>
      <c r="J18">
        <v>43.5488883703132</v>
      </c>
      <c r="K18">
        <v>14.421742258738901</v>
      </c>
      <c r="L18">
        <v>2.9156662586444607E-5</v>
      </c>
      <c r="M18">
        <v>1.7993722122327781E-6</v>
      </c>
      <c r="N18" s="1">
        <v>-4.4644227748944599E-7</v>
      </c>
      <c r="O18" s="1">
        <v>1.3596262830067199E-10</v>
      </c>
      <c r="P18" s="1">
        <v>1.5802474202060499E-9</v>
      </c>
      <c r="Q18">
        <v>66.137849159649903</v>
      </c>
      <c r="S18">
        <v>19.012685997756201</v>
      </c>
      <c r="AA18">
        <v>0.25329768339603798</v>
      </c>
      <c r="AB18">
        <v>4.8938017001096901</v>
      </c>
      <c r="AC18">
        <v>9.7023654590880195</v>
      </c>
      <c r="AJ18">
        <v>0.428633386088978</v>
      </c>
      <c r="AK18">
        <v>1.2259750608947901E-2</v>
      </c>
      <c r="AL18">
        <v>0.55910686330207404</v>
      </c>
    </row>
    <row r="19" spans="1:38" x14ac:dyDescent="0.2">
      <c r="A19">
        <v>52</v>
      </c>
      <c r="B19">
        <v>740</v>
      </c>
      <c r="C19">
        <v>255</v>
      </c>
      <c r="D19">
        <v>0.31148447909983901</v>
      </c>
      <c r="E19">
        <v>20.0037218284909</v>
      </c>
      <c r="F19">
        <v>2.5683004722093101</v>
      </c>
      <c r="G19">
        <v>-322.80557827340363</v>
      </c>
      <c r="H19">
        <v>-280.52506278257147</v>
      </c>
      <c r="I19">
        <v>41.7317430694686</v>
      </c>
      <c r="J19">
        <v>24.622438307135301</v>
      </c>
      <c r="K19">
        <v>7.7886999768696503</v>
      </c>
      <c r="L19">
        <v>3.2445147050880856E-5</v>
      </c>
      <c r="M19">
        <v>1.8240358312833165E-6</v>
      </c>
      <c r="N19" s="1">
        <v>-4.9862516282579697E-7</v>
      </c>
      <c r="O19" s="1">
        <v>6.7782188018387896E-11</v>
      </c>
      <c r="P19" s="1">
        <v>1.60843956874116E-9</v>
      </c>
      <c r="Q19">
        <v>65.750284047735093</v>
      </c>
      <c r="S19">
        <v>20.935111505624</v>
      </c>
      <c r="AA19">
        <v>1.92975143196049</v>
      </c>
      <c r="AB19">
        <v>9.0700220298601195</v>
      </c>
      <c r="AC19">
        <v>2.3148309848201398</v>
      </c>
      <c r="AJ19">
        <v>0.77791553972974503</v>
      </c>
      <c r="AK19">
        <v>9.1461067791520106E-2</v>
      </c>
      <c r="AL19">
        <v>0.130623392478733</v>
      </c>
    </row>
    <row r="20" spans="1:38" x14ac:dyDescent="0.2">
      <c r="A20">
        <v>68</v>
      </c>
      <c r="B20">
        <v>748</v>
      </c>
      <c r="C20">
        <v>235</v>
      </c>
      <c r="D20">
        <v>0.33897125789551102</v>
      </c>
      <c r="E20">
        <v>1.0375412942284701</v>
      </c>
      <c r="F20">
        <v>2.5684978574822099</v>
      </c>
      <c r="G20">
        <v>-16.77558338878849</v>
      </c>
      <c r="H20">
        <v>-14.555052419756219</v>
      </c>
      <c r="I20">
        <v>2.1745394594645902</v>
      </c>
      <c r="J20">
        <v>1.2714413042916901</v>
      </c>
      <c r="K20">
        <v>0.40394867031173198</v>
      </c>
      <c r="L20">
        <v>3.1913916631163954E-5</v>
      </c>
      <c r="M20">
        <v>1.8207671315103601E-6</v>
      </c>
      <c r="N20" s="1">
        <v>-1.97423783633666E-8</v>
      </c>
      <c r="O20" s="1">
        <v>3.5552078283113701E-12</v>
      </c>
      <c r="P20" s="1">
        <v>6.5959738313352199E-11</v>
      </c>
      <c r="Q20">
        <v>65.620618689313901</v>
      </c>
      <c r="S20">
        <v>21.051308745094499</v>
      </c>
      <c r="AA20">
        <v>2.0558709830367801</v>
      </c>
      <c r="AB20">
        <v>9.0856959009409497</v>
      </c>
      <c r="AC20">
        <v>2.1865056816136899</v>
      </c>
      <c r="AJ20">
        <v>0.77919710821516497</v>
      </c>
      <c r="AK20">
        <v>9.7430690949837001E-2</v>
      </c>
      <c r="AL20">
        <v>0.123372200834997</v>
      </c>
    </row>
    <row r="21" spans="1:38" x14ac:dyDescent="0.2">
      <c r="A21">
        <v>69</v>
      </c>
      <c r="B21">
        <v>747</v>
      </c>
      <c r="C21">
        <v>235</v>
      </c>
      <c r="D21">
        <v>0.33825466843111501</v>
      </c>
      <c r="E21">
        <v>3.02648366910925</v>
      </c>
      <c r="F21">
        <v>2.566356558646</v>
      </c>
      <c r="G21">
        <v>-48.894298671362385</v>
      </c>
      <c r="H21">
        <v>-42.426855337873896</v>
      </c>
      <c r="I21">
        <v>6.3396984105165801</v>
      </c>
      <c r="J21">
        <v>3.7086961401181102</v>
      </c>
      <c r="K21">
        <v>1.1792919650674001</v>
      </c>
      <c r="L21">
        <v>3.194221194884804E-5</v>
      </c>
      <c r="M21">
        <v>1.8226976515052505E-6</v>
      </c>
      <c r="N21" s="1">
        <v>-5.8896225520097899E-8</v>
      </c>
      <c r="O21" s="1">
        <v>1.0398556636392E-11</v>
      </c>
      <c r="P21" s="1">
        <v>1.96083731016197E-10</v>
      </c>
      <c r="Q21">
        <v>65.738281748722002</v>
      </c>
      <c r="S21">
        <v>20.923412858529598</v>
      </c>
      <c r="AA21">
        <v>1.92290050071577</v>
      </c>
      <c r="AB21">
        <v>9.0126060257610803</v>
      </c>
      <c r="AC21">
        <v>2.4027988662714401</v>
      </c>
      <c r="AJ21">
        <v>0.773211626754571</v>
      </c>
      <c r="AK21">
        <v>9.1162366768139699E-2</v>
      </c>
      <c r="AL21">
        <v>0.13562600647728801</v>
      </c>
    </row>
    <row r="22" spans="1:38" x14ac:dyDescent="0.2">
      <c r="A22">
        <v>69</v>
      </c>
      <c r="B22">
        <v>747</v>
      </c>
      <c r="C22">
        <v>235</v>
      </c>
      <c r="D22">
        <v>0.33825466843111501</v>
      </c>
      <c r="E22">
        <v>1.51716962976681</v>
      </c>
      <c r="F22">
        <v>2.5248567324551199</v>
      </c>
      <c r="G22">
        <v>-23.985607536744734</v>
      </c>
      <c r="H22">
        <v>-20.789018751629957</v>
      </c>
      <c r="I22">
        <v>3.13344977220485</v>
      </c>
      <c r="J22">
        <v>1.8118963322130699</v>
      </c>
      <c r="K22">
        <v>0.60089335377518704</v>
      </c>
      <c r="L22">
        <v>2.9034325031290843E-5</v>
      </c>
      <c r="M22">
        <v>1.8007325796035433E-6</v>
      </c>
      <c r="N22" s="1">
        <v>-1.47481373194427E-8</v>
      </c>
      <c r="O22" s="1">
        <v>5.6874981438062003E-12</v>
      </c>
      <c r="P22" s="1">
        <v>5.4850093847427498E-11</v>
      </c>
      <c r="Q22">
        <v>66.158764472195102</v>
      </c>
      <c r="S22">
        <v>19.046516503763002</v>
      </c>
      <c r="AA22">
        <v>0.27632789499650101</v>
      </c>
      <c r="AB22">
        <v>5.0291014224449597</v>
      </c>
      <c r="AC22">
        <v>9.4892897066003101</v>
      </c>
      <c r="AJ22">
        <v>0.44018169561908499</v>
      </c>
      <c r="AK22">
        <v>1.3365250526652E-2</v>
      </c>
      <c r="AL22">
        <v>0.54645305385426202</v>
      </c>
    </row>
    <row r="23" spans="1:38" x14ac:dyDescent="0.2">
      <c r="A23">
        <v>70</v>
      </c>
      <c r="B23">
        <v>746</v>
      </c>
      <c r="C23">
        <v>235</v>
      </c>
      <c r="D23">
        <v>0.33753667271746202</v>
      </c>
      <c r="E23">
        <v>7.0015789909177197</v>
      </c>
      <c r="F23">
        <v>2.56664874922091</v>
      </c>
      <c r="G23">
        <v>-113.10642986193287</v>
      </c>
      <c r="H23">
        <v>-98.167694775205348</v>
      </c>
      <c r="I23">
        <v>14.6580337405951</v>
      </c>
      <c r="J23">
        <v>8.58424426864471</v>
      </c>
      <c r="K23">
        <v>2.7279069615750799</v>
      </c>
      <c r="L23">
        <v>3.1996015049413664E-5</v>
      </c>
      <c r="M23">
        <v>1.8227621697495266E-6</v>
      </c>
      <c r="N23" s="1">
        <v>-1.4074225094534601E-7</v>
      </c>
      <c r="O23" s="1">
        <v>2.4010478910811E-11</v>
      </c>
      <c r="P23" s="1">
        <v>4.6647527351264299E-10</v>
      </c>
      <c r="Q23">
        <v>65.727119054377098</v>
      </c>
      <c r="S23">
        <v>20.9354775974648</v>
      </c>
      <c r="AA23">
        <v>1.93545869599195</v>
      </c>
      <c r="AB23">
        <v>9.01935984157479</v>
      </c>
      <c r="AC23">
        <v>2.3825848105912901</v>
      </c>
      <c r="AJ23">
        <v>0.77376488987462499</v>
      </c>
      <c r="AK23">
        <v>9.1754633159805699E-2</v>
      </c>
      <c r="AL23">
        <v>0.134480476965568</v>
      </c>
    </row>
    <row r="24" spans="1:38" x14ac:dyDescent="0.2">
      <c r="A24">
        <v>70</v>
      </c>
      <c r="B24">
        <v>746</v>
      </c>
      <c r="C24">
        <v>235</v>
      </c>
      <c r="D24">
        <v>0.33753667271746202</v>
      </c>
      <c r="E24">
        <v>10.5362855996541</v>
      </c>
      <c r="F24">
        <v>2.5248416461640901</v>
      </c>
      <c r="G24">
        <v>-166.53341527718084</v>
      </c>
      <c r="H24">
        <v>-144.37111348374836</v>
      </c>
      <c r="I24">
        <v>21.7458684133174</v>
      </c>
      <c r="J24">
        <v>12.584141884278599</v>
      </c>
      <c r="K24">
        <v>4.1730480862677197</v>
      </c>
      <c r="L24">
        <v>2.9042134811731413E-5</v>
      </c>
      <c r="M24">
        <v>1.8006561832466235E-6</v>
      </c>
      <c r="N24" s="1">
        <v>-1.05479330859274E-7</v>
      </c>
      <c r="O24" s="1">
        <v>3.9480441630822299E-11</v>
      </c>
      <c r="P24" s="1">
        <v>3.8964054204022799E-10</v>
      </c>
      <c r="Q24">
        <v>66.154032711891702</v>
      </c>
      <c r="S24">
        <v>19.041853555213098</v>
      </c>
      <c r="AA24">
        <v>0.27358500627759902</v>
      </c>
      <c r="AB24">
        <v>5.0063324224674197</v>
      </c>
      <c r="AC24">
        <v>9.5241963041500792</v>
      </c>
      <c r="AJ24">
        <v>0.43823937913355598</v>
      </c>
      <c r="AK24">
        <v>1.32341117870987E-2</v>
      </c>
      <c r="AL24">
        <v>0.54852650907934397</v>
      </c>
    </row>
    <row r="25" spans="1:38" x14ac:dyDescent="0.2">
      <c r="A25">
        <v>71</v>
      </c>
      <c r="B25">
        <v>745</v>
      </c>
      <c r="C25">
        <v>235</v>
      </c>
      <c r="D25">
        <v>0.33681726661101002</v>
      </c>
      <c r="E25">
        <v>14.576557937264299</v>
      </c>
      <c r="F25">
        <v>2.5667297344863802</v>
      </c>
      <c r="G25">
        <v>-235.45092426957828</v>
      </c>
      <c r="H25">
        <v>-204.3979218554299</v>
      </c>
      <c r="I25">
        <v>30.499437621321299</v>
      </c>
      <c r="J25">
        <v>17.881129833202099</v>
      </c>
      <c r="K25">
        <v>5.6790388724667196</v>
      </c>
      <c r="L25">
        <v>3.2057788504899525E-5</v>
      </c>
      <c r="M25">
        <v>1.8231878864202925E-6</v>
      </c>
      <c r="N25" s="1">
        <v>-3.0273627472114798E-7</v>
      </c>
      <c r="O25" s="1">
        <v>4.99079910309447E-11</v>
      </c>
      <c r="P25" s="1">
        <v>9.98951276914611E-10</v>
      </c>
      <c r="Q25">
        <v>65.733613409302805</v>
      </c>
      <c r="S25">
        <v>20.933024296839701</v>
      </c>
      <c r="AA25">
        <v>1.9319193289180701</v>
      </c>
      <c r="AB25">
        <v>9.0274005167739606</v>
      </c>
      <c r="AC25">
        <v>2.3740424481653202</v>
      </c>
      <c r="AJ25">
        <v>0.77442382912561103</v>
      </c>
      <c r="AK25">
        <v>9.1583191677887296E-2</v>
      </c>
      <c r="AL25">
        <v>0.13399297919649999</v>
      </c>
    </row>
    <row r="26" spans="1:38" x14ac:dyDescent="0.2">
      <c r="A26">
        <v>71</v>
      </c>
      <c r="B26">
        <v>745</v>
      </c>
      <c r="C26">
        <v>235</v>
      </c>
      <c r="D26">
        <v>0.33681726661101002</v>
      </c>
      <c r="E26">
        <v>26.4414852515653</v>
      </c>
      <c r="F26">
        <v>2.5248487240248001</v>
      </c>
      <c r="G26">
        <v>-417.84943358135172</v>
      </c>
      <c r="H26">
        <v>-362.32111669814941</v>
      </c>
      <c r="I26">
        <v>54.538444122381001</v>
      </c>
      <c r="J26">
        <v>31.5861967634889</v>
      </c>
      <c r="K26">
        <v>10.472502768171999</v>
      </c>
      <c r="L26">
        <v>2.9060928775971672E-5</v>
      </c>
      <c r="M26">
        <v>1.8007352531105495E-6</v>
      </c>
      <c r="N26" s="1">
        <v>-2.7345770728067099E-7</v>
      </c>
      <c r="O26" s="1">
        <v>9.9018785120158906E-11</v>
      </c>
      <c r="P26" s="1">
        <v>1.00283233386524E-9</v>
      </c>
      <c r="Q26">
        <v>66.153713799391895</v>
      </c>
      <c r="S26">
        <v>19.038154633035202</v>
      </c>
      <c r="AA26">
        <v>0.27060777147889598</v>
      </c>
      <c r="AB26">
        <v>4.9959245376790502</v>
      </c>
      <c r="AC26">
        <v>9.5415992584148093</v>
      </c>
      <c r="AJ26">
        <v>0.43735139850052601</v>
      </c>
      <c r="AK26">
        <v>1.30907854429044E-2</v>
      </c>
      <c r="AL26">
        <v>0.54955781605656895</v>
      </c>
    </row>
    <row r="27" spans="1:38" x14ac:dyDescent="0.2">
      <c r="A27">
        <v>72</v>
      </c>
      <c r="B27">
        <v>744</v>
      </c>
      <c r="C27">
        <v>235</v>
      </c>
      <c r="D27">
        <v>0.336096445951927</v>
      </c>
      <c r="E27">
        <v>18.800208309744601</v>
      </c>
      <c r="F27">
        <v>2.5668484441221202</v>
      </c>
      <c r="G27">
        <v>-303.64437731694659</v>
      </c>
      <c r="H27">
        <v>-263.65546597995217</v>
      </c>
      <c r="I27">
        <v>39.314664835072698</v>
      </c>
      <c r="J27">
        <v>23.075118236244499</v>
      </c>
      <c r="K27">
        <v>7.3242377643275596</v>
      </c>
      <c r="L27">
        <v>3.2120217058608911E-5</v>
      </c>
      <c r="M27">
        <v>1.8235547967572846E-6</v>
      </c>
      <c r="N27" s="1">
        <v>-4.03423159158273E-7</v>
      </c>
      <c r="O27" s="1">
        <v>6.4259084223955294E-11</v>
      </c>
      <c r="P27" s="1">
        <v>1.3254397337252399E-9</v>
      </c>
      <c r="Q27">
        <v>65.736944045307496</v>
      </c>
      <c r="S27">
        <v>20.9331586197661</v>
      </c>
      <c r="AA27">
        <v>1.9312529883287299</v>
      </c>
      <c r="AB27">
        <v>9.0351748055435301</v>
      </c>
      <c r="AC27">
        <v>2.3634695410540298</v>
      </c>
      <c r="AJ27">
        <v>0.77506084205361703</v>
      </c>
      <c r="AK27">
        <v>9.1548070538585199E-2</v>
      </c>
      <c r="AL27">
        <v>0.13339108740779701</v>
      </c>
    </row>
    <row r="28" spans="1:38" x14ac:dyDescent="0.2">
      <c r="A28">
        <v>72</v>
      </c>
      <c r="B28">
        <v>744</v>
      </c>
      <c r="C28">
        <v>235</v>
      </c>
      <c r="D28">
        <v>0.336096445951927</v>
      </c>
      <c r="E28">
        <v>35.120824894081899</v>
      </c>
      <c r="F28">
        <v>2.5248527194050499</v>
      </c>
      <c r="G28">
        <v>-554.90007763115909</v>
      </c>
      <c r="H28">
        <v>-481.26430037162743</v>
      </c>
      <c r="I28">
        <v>72.394216447457794</v>
      </c>
      <c r="J28">
        <v>41.9612970685235</v>
      </c>
      <c r="K28">
        <v>13.910048940342801</v>
      </c>
      <c r="L28">
        <v>2.90786266270293E-5</v>
      </c>
      <c r="M28">
        <v>1.8007885858119509E-6</v>
      </c>
      <c r="N28" s="1">
        <v>-3.7501149012430201E-7</v>
      </c>
      <c r="O28" s="1">
        <v>1.31442200614349E-10</v>
      </c>
      <c r="P28" s="1">
        <v>1.36566196289377E-9</v>
      </c>
      <c r="Q28">
        <v>66.152568336258994</v>
      </c>
      <c r="S28">
        <v>19.034315871173099</v>
      </c>
      <c r="AA28">
        <v>0.26770803179941099</v>
      </c>
      <c r="AB28">
        <v>4.9833081212100696</v>
      </c>
      <c r="AC28">
        <v>9.5620996395582694</v>
      </c>
      <c r="AJ28">
        <v>0.43627485767819102</v>
      </c>
      <c r="AK28">
        <v>1.2951337959604001E-2</v>
      </c>
      <c r="AL28">
        <v>0.55077380436220502</v>
      </c>
    </row>
    <row r="29" spans="1:38" x14ac:dyDescent="0.2">
      <c r="A29">
        <v>73</v>
      </c>
      <c r="B29">
        <v>743</v>
      </c>
      <c r="C29">
        <v>235</v>
      </c>
      <c r="D29">
        <v>0.33537420656399403</v>
      </c>
      <c r="E29">
        <v>19.892104227319098</v>
      </c>
      <c r="F29">
        <v>2.5669768095191499</v>
      </c>
      <c r="G29">
        <v>-321.24858975419983</v>
      </c>
      <c r="H29">
        <v>-279.00268988483231</v>
      </c>
      <c r="I29">
        <v>41.574472144238101</v>
      </c>
      <c r="J29">
        <v>24.429319846965601</v>
      </c>
      <c r="K29">
        <v>7.7492341004223499</v>
      </c>
      <c r="L29">
        <v>3.2184194006991172E-5</v>
      </c>
      <c r="M29">
        <v>1.8239104648378889E-6</v>
      </c>
      <c r="N29" s="1">
        <v>-4.4104760627106599E-7</v>
      </c>
      <c r="O29" s="1">
        <v>6.7869820662472299E-11</v>
      </c>
      <c r="P29" s="1">
        <v>1.44292732489193E-9</v>
      </c>
      <c r="Q29">
        <v>65.739459121034997</v>
      </c>
      <c r="S29">
        <v>20.933951348250201</v>
      </c>
      <c r="AA29">
        <v>1.9313201389073</v>
      </c>
      <c r="AB29">
        <v>9.0428577577322393</v>
      </c>
      <c r="AC29">
        <v>2.3524116340750698</v>
      </c>
      <c r="AJ29">
        <v>0.77569031063069604</v>
      </c>
      <c r="AK29">
        <v>9.1547760866176095E-2</v>
      </c>
      <c r="AL29">
        <v>0.13276192850312701</v>
      </c>
    </row>
    <row r="30" spans="1:38" x14ac:dyDescent="0.2">
      <c r="A30">
        <v>73</v>
      </c>
      <c r="B30">
        <v>743</v>
      </c>
      <c r="C30">
        <v>235</v>
      </c>
      <c r="D30">
        <v>0.33537420656399403</v>
      </c>
      <c r="E30">
        <v>37.209392723718999</v>
      </c>
      <c r="F30">
        <v>2.52485649321796</v>
      </c>
      <c r="G30">
        <v>-587.78403651672613</v>
      </c>
      <c r="H30">
        <v>-509.89612063365149</v>
      </c>
      <c r="I30">
        <v>76.6500180909064</v>
      </c>
      <c r="J30">
        <v>44.464307587514803</v>
      </c>
      <c r="K30">
        <v>14.737230739120101</v>
      </c>
      <c r="L30">
        <v>2.9096613065120395E-5</v>
      </c>
      <c r="M30">
        <v>1.8008366913629847E-6</v>
      </c>
      <c r="N30" s="1">
        <v>-4.1014731186770499E-7</v>
      </c>
      <c r="O30" s="1">
        <v>1.3917263747467399E-10</v>
      </c>
      <c r="P30" s="1">
        <v>1.4834678584746701E-9</v>
      </c>
      <c r="Q30">
        <v>66.151187393501004</v>
      </c>
      <c r="S30">
        <v>19.030462047355002</v>
      </c>
      <c r="AA30">
        <v>0.26485081180339298</v>
      </c>
      <c r="AB30">
        <v>4.9701274641466702</v>
      </c>
      <c r="AC30">
        <v>9.5833722831937909</v>
      </c>
      <c r="AJ30">
        <v>0.435150022175399</v>
      </c>
      <c r="AK30">
        <v>1.28139664316206E-2</v>
      </c>
      <c r="AL30">
        <v>0.55203601139297898</v>
      </c>
    </row>
    <row r="31" spans="1:38" x14ac:dyDescent="0.2">
      <c r="A31">
        <v>84</v>
      </c>
      <c r="B31">
        <v>753</v>
      </c>
      <c r="C31">
        <v>215</v>
      </c>
      <c r="D31">
        <v>0.36397261608926701</v>
      </c>
      <c r="E31">
        <v>0.51384154058940801</v>
      </c>
      <c r="F31">
        <v>2.5685169625249999</v>
      </c>
      <c r="G31">
        <v>-8.3217539659258151</v>
      </c>
      <c r="H31">
        <v>-7.2133486420534911</v>
      </c>
      <c r="I31">
        <v>1.0801591617914701</v>
      </c>
      <c r="J31">
        <v>0.62850938349308105</v>
      </c>
      <c r="K31">
        <v>0.20005378515556699</v>
      </c>
      <c r="L31">
        <v>3.1685032841078495E-5</v>
      </c>
      <c r="M31">
        <v>1.8204855643810275E-6</v>
      </c>
      <c r="N31" s="1">
        <v>-8.29195139742837E-9</v>
      </c>
      <c r="O31" s="1">
        <v>1.7693751516764599E-12</v>
      </c>
      <c r="P31" s="1">
        <v>2.8405300585981202E-11</v>
      </c>
      <c r="Q31">
        <v>65.572554456262097</v>
      </c>
      <c r="S31">
        <v>21.121196548556998</v>
      </c>
      <c r="AA31">
        <v>2.1247442681897302</v>
      </c>
      <c r="AB31">
        <v>9.1618072974975195</v>
      </c>
      <c r="AC31">
        <v>2.0196974294934602</v>
      </c>
      <c r="AJ31">
        <v>0.78542654888283003</v>
      </c>
      <c r="AK31">
        <v>0.100656512919781</v>
      </c>
      <c r="AL31">
        <v>0.113916938197387</v>
      </c>
    </row>
    <row r="32" spans="1:38" x14ac:dyDescent="0.2">
      <c r="A32">
        <v>85</v>
      </c>
      <c r="B32">
        <v>752</v>
      </c>
      <c r="C32">
        <v>215</v>
      </c>
      <c r="D32">
        <v>0.363283909671757</v>
      </c>
      <c r="E32">
        <v>1.8948652537834301</v>
      </c>
      <c r="F32">
        <v>2.5665152693898801</v>
      </c>
      <c r="G32">
        <v>-30.665286257145109</v>
      </c>
      <c r="H32">
        <v>-26.583845661302213</v>
      </c>
      <c r="I32">
        <v>3.9813106334125701</v>
      </c>
      <c r="J32">
        <v>2.3177877310624599</v>
      </c>
      <c r="K32">
        <v>0.73830273927569001</v>
      </c>
      <c r="L32">
        <v>3.1723157182141043E-5</v>
      </c>
      <c r="M32">
        <v>1.8226474324432577E-6</v>
      </c>
      <c r="N32" s="1">
        <v>-3.1329328303607102E-8</v>
      </c>
      <c r="O32" s="1">
        <v>6.5418574844953996E-12</v>
      </c>
      <c r="P32" s="1">
        <v>1.06876886576858E-10</v>
      </c>
      <c r="Q32">
        <v>65.694496092159795</v>
      </c>
      <c r="S32">
        <v>20.996474362095601</v>
      </c>
      <c r="AA32">
        <v>1.9933937736181999</v>
      </c>
      <c r="AB32">
        <v>9.1065722680468895</v>
      </c>
      <c r="AC32">
        <v>2.2090635040794599</v>
      </c>
      <c r="AJ32">
        <v>0.780907595785299</v>
      </c>
      <c r="AK32">
        <v>9.4460142517452703E-2</v>
      </c>
      <c r="AL32">
        <v>0.124632261697247</v>
      </c>
    </row>
    <row r="33" spans="1:38" x14ac:dyDescent="0.2">
      <c r="A33">
        <v>86</v>
      </c>
      <c r="B33">
        <v>751</v>
      </c>
      <c r="C33">
        <v>215</v>
      </c>
      <c r="D33">
        <v>0.36259385832153801</v>
      </c>
      <c r="E33">
        <v>3.4299990072963902</v>
      </c>
      <c r="F33">
        <v>2.5641194653875301</v>
      </c>
      <c r="G33">
        <v>-55.458724606368008</v>
      </c>
      <c r="H33">
        <v>-48.081914839130476</v>
      </c>
      <c r="I33">
        <v>7.2028606817727203</v>
      </c>
      <c r="J33">
        <v>4.1948849431984199</v>
      </c>
      <c r="K33">
        <v>1.33769079545518</v>
      </c>
      <c r="L33">
        <v>3.1738196605982871E-5</v>
      </c>
      <c r="M33">
        <v>1.8245898647661876E-6</v>
      </c>
      <c r="N33" s="1">
        <v>-5.7869321542080599E-8</v>
      </c>
      <c r="O33" s="1">
        <v>1.18807444121688E-11</v>
      </c>
      <c r="P33" s="1">
        <v>1.9671365822432E-10</v>
      </c>
      <c r="Q33">
        <v>65.819819495845906</v>
      </c>
      <c r="S33">
        <v>20.8565484729899</v>
      </c>
      <c r="AA33">
        <v>1.8487109794100101</v>
      </c>
      <c r="AB33">
        <v>9.0190148436917905</v>
      </c>
      <c r="AC33">
        <v>2.4559062080623</v>
      </c>
      <c r="AJ33">
        <v>0.77373805838595</v>
      </c>
      <c r="AK33">
        <v>8.7642482066697405E-2</v>
      </c>
      <c r="AL33">
        <v>0.138619459547351</v>
      </c>
    </row>
    <row r="34" spans="1:38" x14ac:dyDescent="0.2">
      <c r="A34">
        <v>87</v>
      </c>
      <c r="B34">
        <v>750</v>
      </c>
      <c r="C34">
        <v>215</v>
      </c>
      <c r="D34">
        <v>0.36190245809509802</v>
      </c>
      <c r="E34">
        <v>6.61841697435898</v>
      </c>
      <c r="F34">
        <v>2.5638378143539899</v>
      </c>
      <c r="G34">
        <v>-106.9799367265388</v>
      </c>
      <c r="H34">
        <v>-92.768352770990646</v>
      </c>
      <c r="I34">
        <v>13.890029766454701</v>
      </c>
      <c r="J34">
        <v>8.0960559229396303</v>
      </c>
      <c r="K34">
        <v>2.5814491608263501</v>
      </c>
      <c r="L34">
        <v>3.1761872303442535E-5</v>
      </c>
      <c r="M34">
        <v>1.8246441030340834E-6</v>
      </c>
      <c r="N34" s="1">
        <v>-1.1477776786531599E-7</v>
      </c>
      <c r="O34" s="1">
        <v>2.29108022561702E-11</v>
      </c>
      <c r="P34" s="1">
        <v>3.8847150372816999E-10</v>
      </c>
      <c r="Q34">
        <v>65.824567246863097</v>
      </c>
      <c r="S34">
        <v>20.841159826542199</v>
      </c>
      <c r="AA34">
        <v>1.8349073657296</v>
      </c>
      <c r="AB34">
        <v>8.9892516149461503</v>
      </c>
      <c r="AC34">
        <v>2.5101139459188802</v>
      </c>
      <c r="AJ34">
        <v>0.77129891535958495</v>
      </c>
      <c r="AK34">
        <v>8.7000974704991699E-2</v>
      </c>
      <c r="AL34">
        <v>0.14170010993542301</v>
      </c>
    </row>
    <row r="35" spans="1:38" x14ac:dyDescent="0.2">
      <c r="A35">
        <v>87</v>
      </c>
      <c r="B35">
        <v>750</v>
      </c>
      <c r="C35">
        <v>215</v>
      </c>
      <c r="D35">
        <v>0.36190245809509802</v>
      </c>
      <c r="E35">
        <v>7.1619157280179797</v>
      </c>
      <c r="F35">
        <v>2.5242218857168601</v>
      </c>
      <c r="G35">
        <v>-113.40295590271458</v>
      </c>
      <c r="H35">
        <v>-98.229733906648661</v>
      </c>
      <c r="I35">
        <v>14.829909589078699</v>
      </c>
      <c r="J35">
        <v>8.5543478209889408</v>
      </c>
      <c r="K35">
        <v>2.8372766152386202</v>
      </c>
      <c r="L35">
        <v>2.9049911890687116E-5</v>
      </c>
      <c r="M35">
        <v>1.8031196313582618E-6</v>
      </c>
      <c r="N35" s="1">
        <v>-6.3727784119916199E-8</v>
      </c>
      <c r="O35" s="1">
        <v>2.68667095521057E-11</v>
      </c>
      <c r="P35" s="1">
        <v>2.4210214748770502E-10</v>
      </c>
      <c r="Q35">
        <v>66.196349373710206</v>
      </c>
      <c r="S35">
        <v>19.071027609525501</v>
      </c>
      <c r="AA35">
        <v>0.28777988527419901</v>
      </c>
      <c r="AB35">
        <v>5.1771164106671304</v>
      </c>
      <c r="AC35">
        <v>9.26772672082277</v>
      </c>
      <c r="AJ35">
        <v>0.45279729908587901</v>
      </c>
      <c r="AK35">
        <v>1.39087186645008E-2</v>
      </c>
      <c r="AL35">
        <v>0.53329398224961899</v>
      </c>
    </row>
    <row r="36" spans="1:38" x14ac:dyDescent="0.2">
      <c r="A36">
        <v>88</v>
      </c>
      <c r="B36">
        <v>749</v>
      </c>
      <c r="C36">
        <v>215</v>
      </c>
      <c r="D36">
        <v>0.36120970503350902</v>
      </c>
      <c r="E36">
        <v>12.480531653608001</v>
      </c>
      <c r="F36">
        <v>2.5646157726271599</v>
      </c>
      <c r="G36">
        <v>-201.74139285894591</v>
      </c>
      <c r="H36">
        <v>-174.98470222664506</v>
      </c>
      <c r="I36">
        <v>26.176872897618601</v>
      </c>
      <c r="J36">
        <v>15.2738930641527</v>
      </c>
      <c r="K36">
        <v>4.8664333218317202</v>
      </c>
      <c r="L36">
        <v>3.1798063817760785E-5</v>
      </c>
      <c r="M36">
        <v>1.8239359376276754E-6</v>
      </c>
      <c r="N36" s="1">
        <v>-2.2349943515061799E-7</v>
      </c>
      <c r="O36" s="1">
        <v>4.3091844885621002E-11</v>
      </c>
      <c r="P36" s="1">
        <v>7.5283432468073797E-10</v>
      </c>
      <c r="Q36">
        <v>65.774908443118704</v>
      </c>
      <c r="S36">
        <v>20.885679718109198</v>
      </c>
      <c r="AA36">
        <v>1.8832239350940401</v>
      </c>
      <c r="AB36">
        <v>8.99530431712415</v>
      </c>
      <c r="AC36">
        <v>2.4608835865538299</v>
      </c>
      <c r="AJ36">
        <v>0.77179424863611501</v>
      </c>
      <c r="AK36">
        <v>8.9289097457714101E-2</v>
      </c>
      <c r="AL36">
        <v>0.13891665390617</v>
      </c>
    </row>
    <row r="37" spans="1:38" x14ac:dyDescent="0.2">
      <c r="A37">
        <v>88</v>
      </c>
      <c r="B37">
        <v>749</v>
      </c>
      <c r="C37">
        <v>215</v>
      </c>
      <c r="D37">
        <v>0.36120970503350902</v>
      </c>
      <c r="E37">
        <v>21.486583708898401</v>
      </c>
      <c r="F37">
        <v>2.5241403259518602</v>
      </c>
      <c r="G37">
        <v>-340.0984894118364</v>
      </c>
      <c r="H37">
        <v>-294.65945628558342</v>
      </c>
      <c r="I37">
        <v>44.454368856090497</v>
      </c>
      <c r="J37">
        <v>25.6609006594711</v>
      </c>
      <c r="K37">
        <v>8.5124362888959908</v>
      </c>
      <c r="L37">
        <v>2.9031995054863756E-5</v>
      </c>
      <c r="M37">
        <v>1.8026724248817054E-6</v>
      </c>
      <c r="N37" s="1">
        <v>-1.95440963541547E-7</v>
      </c>
      <c r="O37" s="1">
        <v>8.0598216295866597E-11</v>
      </c>
      <c r="P37" s="1">
        <v>7.3838461402534401E-10</v>
      </c>
      <c r="Q37">
        <v>66.181351813998404</v>
      </c>
      <c r="S37">
        <v>19.063765659152899</v>
      </c>
      <c r="AA37">
        <v>0.28528817738937801</v>
      </c>
      <c r="AB37">
        <v>5.1246570059664602</v>
      </c>
      <c r="AC37">
        <v>9.3449373434927701</v>
      </c>
      <c r="AJ37">
        <v>0.44832823172154002</v>
      </c>
      <c r="AK37">
        <v>1.37919555629583E-2</v>
      </c>
      <c r="AL37">
        <v>0.537879812715501</v>
      </c>
    </row>
    <row r="38" spans="1:38" x14ac:dyDescent="0.2">
      <c r="A38">
        <v>89</v>
      </c>
      <c r="B38">
        <v>748</v>
      </c>
      <c r="C38">
        <v>215</v>
      </c>
      <c r="D38">
        <v>0.36051559516231801</v>
      </c>
      <c r="E38">
        <v>17.3661864793422</v>
      </c>
      <c r="F38">
        <v>2.5652025376154799</v>
      </c>
      <c r="G38">
        <v>-280.71324618916304</v>
      </c>
      <c r="H38">
        <v>-243.54097358135107</v>
      </c>
      <c r="I38">
        <v>36.402362638017898</v>
      </c>
      <c r="J38">
        <v>21.262969515207299</v>
      </c>
      <c r="K38">
        <v>6.7699085061272202</v>
      </c>
      <c r="L38">
        <v>3.1839925024871647E-5</v>
      </c>
      <c r="M38">
        <v>1.8235150794279E-6</v>
      </c>
      <c r="N38" s="1">
        <v>-3.2115044897179801E-7</v>
      </c>
      <c r="O38" s="1">
        <v>5.9822808483099998E-11</v>
      </c>
      <c r="P38" s="1">
        <v>1.0766886692272601E-9</v>
      </c>
      <c r="Q38">
        <v>65.739921922116594</v>
      </c>
      <c r="S38">
        <v>20.9176474114585</v>
      </c>
      <c r="AA38">
        <v>1.9177612358096801</v>
      </c>
      <c r="AB38">
        <v>9.0011461951721792</v>
      </c>
      <c r="AC38">
        <v>2.4235232354429401</v>
      </c>
      <c r="AJ38">
        <v>0.77227249997542702</v>
      </c>
      <c r="AK38">
        <v>9.0923905292360496E-2</v>
      </c>
      <c r="AL38">
        <v>0.13680359473221099</v>
      </c>
    </row>
    <row r="39" spans="1:38" x14ac:dyDescent="0.2">
      <c r="A39">
        <v>89</v>
      </c>
      <c r="B39">
        <v>748</v>
      </c>
      <c r="C39">
        <v>215</v>
      </c>
      <c r="D39">
        <v>0.36051559516231801</v>
      </c>
      <c r="E39">
        <v>32.8938030381576</v>
      </c>
      <c r="F39">
        <v>2.5240863538574598</v>
      </c>
      <c r="G39">
        <v>-520.49400309606176</v>
      </c>
      <c r="H39">
        <v>-451.05337407356183</v>
      </c>
      <c r="I39">
        <v>68.0023787127259</v>
      </c>
      <c r="J39">
        <v>39.282560383352298</v>
      </c>
      <c r="K39">
        <v>13.0319642146503</v>
      </c>
      <c r="L39">
        <v>2.9024043441958945E-5</v>
      </c>
      <c r="M39">
        <v>1.8023738654132041E-6</v>
      </c>
      <c r="N39" s="1">
        <v>-3.0676402373932202E-7</v>
      </c>
      <c r="O39" s="1">
        <v>1.2336248891700699E-10</v>
      </c>
      <c r="P39" s="1">
        <v>1.15190887675853E-9</v>
      </c>
      <c r="Q39">
        <v>66.170477613845094</v>
      </c>
      <c r="S39">
        <v>19.057548148985902</v>
      </c>
      <c r="AA39">
        <v>0.28269601378528297</v>
      </c>
      <c r="AB39">
        <v>5.0841244227419802</v>
      </c>
      <c r="AC39">
        <v>9.4051538006416102</v>
      </c>
      <c r="AJ39">
        <v>0.44487360147000599</v>
      </c>
      <c r="AK39">
        <v>1.3669446838513601E-2</v>
      </c>
      <c r="AL39">
        <v>0.541456951691479</v>
      </c>
    </row>
    <row r="40" spans="1:38" x14ac:dyDescent="0.2">
      <c r="A40">
        <v>90</v>
      </c>
      <c r="B40">
        <v>747</v>
      </c>
      <c r="C40">
        <v>215</v>
      </c>
      <c r="D40">
        <v>0.35982012449149797</v>
      </c>
      <c r="E40">
        <v>19.091585226753299</v>
      </c>
      <c r="F40">
        <v>2.5655162610322702</v>
      </c>
      <c r="G40">
        <v>-308.58429735994594</v>
      </c>
      <c r="H40">
        <v>-267.78237400456595</v>
      </c>
      <c r="I40">
        <v>39.996003877253401</v>
      </c>
      <c r="J40">
        <v>23.386918515477198</v>
      </c>
      <c r="K40">
        <v>7.4416153648044201</v>
      </c>
      <c r="L40">
        <v>3.189064383429984E-5</v>
      </c>
      <c r="M40">
        <v>1.8235392497184747E-6</v>
      </c>
      <c r="N40" s="1">
        <v>-3.6466573537895802E-7</v>
      </c>
      <c r="O40" s="1">
        <v>6.5643722342882502E-11</v>
      </c>
      <c r="P40" s="1">
        <v>1.21691680595875E-9</v>
      </c>
      <c r="Q40">
        <v>65.727086830122502</v>
      </c>
      <c r="S40">
        <v>20.931151112627798</v>
      </c>
      <c r="AA40">
        <v>1.9318968207911</v>
      </c>
      <c r="AB40">
        <v>9.0079455890698004</v>
      </c>
      <c r="AC40">
        <v>2.4019196473886599</v>
      </c>
      <c r="AJ40">
        <v>0.77282953564186296</v>
      </c>
      <c r="AK40">
        <v>9.1590973545809695E-2</v>
      </c>
      <c r="AL40">
        <v>0.13557949081232601</v>
      </c>
    </row>
    <row r="41" spans="1:38" x14ac:dyDescent="0.2">
      <c r="A41">
        <v>90</v>
      </c>
      <c r="B41">
        <v>747</v>
      </c>
      <c r="C41">
        <v>215</v>
      </c>
      <c r="D41">
        <v>0.35982012449149797</v>
      </c>
      <c r="E41">
        <v>36.786984953026298</v>
      </c>
      <c r="F41">
        <v>2.5240655807037702</v>
      </c>
      <c r="G41">
        <v>-581.95648906288545</v>
      </c>
      <c r="H41">
        <v>-504.42704175113965</v>
      </c>
      <c r="I41">
        <v>75.998085881238794</v>
      </c>
      <c r="J41">
        <v>43.934829340032103</v>
      </c>
      <c r="K41">
        <v>14.5744964925868</v>
      </c>
      <c r="L41">
        <v>2.9029950890474619E-5</v>
      </c>
      <c r="M41">
        <v>1.8022794793903379E-6</v>
      </c>
      <c r="N41" s="1">
        <v>-3.5319863848631602E-7</v>
      </c>
      <c r="O41" s="1">
        <v>1.3790776199511899E-10</v>
      </c>
      <c r="P41" s="1">
        <v>1.3171564004870399E-9</v>
      </c>
      <c r="Q41">
        <v>66.165368123245798</v>
      </c>
      <c r="S41">
        <v>19.052687002511799</v>
      </c>
      <c r="AA41">
        <v>0.27987774795012998</v>
      </c>
      <c r="AB41">
        <v>5.0599940694274199</v>
      </c>
      <c r="AC41">
        <v>9.4420730568646896</v>
      </c>
      <c r="AJ41">
        <v>0.44281628717904298</v>
      </c>
      <c r="AK41">
        <v>1.3534827946397E-2</v>
      </c>
      <c r="AL41">
        <v>0.54364888487455798</v>
      </c>
    </row>
    <row r="42" spans="1:38" x14ac:dyDescent="0.2">
      <c r="A42">
        <v>91</v>
      </c>
      <c r="B42">
        <v>746</v>
      </c>
      <c r="C42">
        <v>215</v>
      </c>
      <c r="D42">
        <v>0.35912328901535701</v>
      </c>
      <c r="E42">
        <v>19.762854377678199</v>
      </c>
      <c r="F42">
        <v>2.5657046341146801</v>
      </c>
      <c r="G42">
        <v>-319.40700943830933</v>
      </c>
      <c r="H42">
        <v>-277.23580473180806</v>
      </c>
      <c r="I42">
        <v>41.378800673601702</v>
      </c>
      <c r="J42">
        <v>24.221487109961501</v>
      </c>
      <c r="K42">
        <v>7.7027005037536496</v>
      </c>
      <c r="L42">
        <v>3.1946517449208646E-5</v>
      </c>
      <c r="M42">
        <v>1.8237751326800021E-6</v>
      </c>
      <c r="N42" s="1">
        <v>-3.8995367363248798E-7</v>
      </c>
      <c r="O42" s="1">
        <v>6.7836641316658905E-11</v>
      </c>
      <c r="P42" s="1">
        <v>1.2953799886551E-9</v>
      </c>
      <c r="Q42">
        <v>65.724578273351398</v>
      </c>
      <c r="S42">
        <v>20.9361025135366</v>
      </c>
      <c r="AA42">
        <v>1.9365671146674801</v>
      </c>
      <c r="AB42">
        <v>9.0153361460173596</v>
      </c>
      <c r="AC42">
        <v>2.3874159524270002</v>
      </c>
      <c r="AJ42">
        <v>0.77343513634029504</v>
      </c>
      <c r="AK42">
        <v>9.1809012533954598E-2</v>
      </c>
      <c r="AL42">
        <v>0.13475585112575</v>
      </c>
    </row>
    <row r="43" spans="1:38" x14ac:dyDescent="0.2">
      <c r="A43">
        <v>91</v>
      </c>
      <c r="B43">
        <v>746</v>
      </c>
      <c r="C43">
        <v>215</v>
      </c>
      <c r="D43">
        <v>0.35912328901535701</v>
      </c>
      <c r="E43">
        <v>38.133817231105098</v>
      </c>
      <c r="F43">
        <v>2.5240596544507299</v>
      </c>
      <c r="G43">
        <v>-603.13576781442202</v>
      </c>
      <c r="H43">
        <v>-522.89940368327143</v>
      </c>
      <c r="I43">
        <v>78.728709347152503</v>
      </c>
      <c r="J43">
        <v>45.5489023515848</v>
      </c>
      <c r="K43">
        <v>15.108128353409899</v>
      </c>
      <c r="L43">
        <v>2.9042588087293937E-5</v>
      </c>
      <c r="M43">
        <v>1.8022786743851739E-6</v>
      </c>
      <c r="N43" s="1">
        <v>-3.7764172450223399E-7</v>
      </c>
      <c r="O43" s="1">
        <v>1.4288474395588501E-10</v>
      </c>
      <c r="P43" s="1">
        <v>1.3982706525389299E-9</v>
      </c>
      <c r="Q43">
        <v>66.162867902508907</v>
      </c>
      <c r="S43">
        <v>19.048446954017098</v>
      </c>
      <c r="AA43">
        <v>0.27696305685613998</v>
      </c>
      <c r="AB43">
        <v>5.0433066231988199</v>
      </c>
      <c r="AC43">
        <v>9.4684154634189497</v>
      </c>
      <c r="AJ43">
        <v>0.44139325788136502</v>
      </c>
      <c r="AK43">
        <v>1.3395007348190199E-2</v>
      </c>
      <c r="AL43">
        <v>0.54521173477044405</v>
      </c>
    </row>
    <row r="44" spans="1:38" x14ac:dyDescent="0.2">
      <c r="A44">
        <v>98</v>
      </c>
      <c r="B44">
        <v>758</v>
      </c>
      <c r="C44">
        <v>195</v>
      </c>
      <c r="D44">
        <v>0.38873151335887302</v>
      </c>
      <c r="E44">
        <v>0.56019453789887996</v>
      </c>
      <c r="F44">
        <v>2.5674840913859902</v>
      </c>
      <c r="G44">
        <v>-9.084518199291427</v>
      </c>
      <c r="H44">
        <v>-7.86659967503667</v>
      </c>
      <c r="I44">
        <v>1.1811264357802</v>
      </c>
      <c r="J44">
        <v>0.68406689599200199</v>
      </c>
      <c r="K44">
        <v>0.218188124233506</v>
      </c>
      <c r="L44">
        <v>3.1487631026019583E-5</v>
      </c>
      <c r="M44">
        <v>1.8212343854141279E-6</v>
      </c>
      <c r="N44" s="1">
        <v>-7.6518712145750894E-9</v>
      </c>
      <c r="O44" s="1">
        <v>1.9400771038828701E-12</v>
      </c>
      <c r="P44" s="1">
        <v>2.6965588180990699E-11</v>
      </c>
      <c r="Q44">
        <v>65.5840251056716</v>
      </c>
      <c r="S44">
        <v>21.128691826944099</v>
      </c>
      <c r="AA44">
        <v>2.1282514303786999</v>
      </c>
      <c r="AB44">
        <v>9.2070188714191499</v>
      </c>
      <c r="AC44">
        <v>1.9520127655863599</v>
      </c>
      <c r="AJ44">
        <v>0.78912534810150203</v>
      </c>
      <c r="AK44">
        <v>0.100800035457062</v>
      </c>
      <c r="AL44">
        <v>0.110074616441435</v>
      </c>
    </row>
    <row r="45" spans="1:38" x14ac:dyDescent="0.2">
      <c r="A45">
        <v>99</v>
      </c>
      <c r="B45">
        <v>757</v>
      </c>
      <c r="C45">
        <v>195</v>
      </c>
      <c r="D45">
        <v>0.388070183953793</v>
      </c>
      <c r="E45">
        <v>1.87902643858968</v>
      </c>
      <c r="F45">
        <v>2.5657184508800901</v>
      </c>
      <c r="G45">
        <v>-30.451894959613</v>
      </c>
      <c r="H45">
        <v>-26.372604191678054</v>
      </c>
      <c r="I45">
        <v>3.95989978928792</v>
      </c>
      <c r="J45">
        <v>2.2946064230846899</v>
      </c>
      <c r="K45">
        <v>0.73235878159005896</v>
      </c>
      <c r="L45">
        <v>3.1525597231108949E-5</v>
      </c>
      <c r="M45">
        <v>1.8232737417849413E-6</v>
      </c>
      <c r="N45" s="1">
        <v>-2.63220219445675E-8</v>
      </c>
      <c r="O45" s="1">
        <v>6.5225796119640496E-12</v>
      </c>
      <c r="P45" s="1">
        <v>9.2315508658945895E-11</v>
      </c>
      <c r="Q45">
        <v>65.695876250539996</v>
      </c>
      <c r="S45">
        <v>21.016597340893</v>
      </c>
      <c r="AA45">
        <v>2.00967339607883</v>
      </c>
      <c r="AB45">
        <v>9.1624028820791494</v>
      </c>
      <c r="AC45">
        <v>2.1154501304089699</v>
      </c>
      <c r="AJ45">
        <v>0.78547722350746396</v>
      </c>
      <c r="AK45">
        <v>9.5205159665667796E-2</v>
      </c>
      <c r="AL45">
        <v>0.11931761682686701</v>
      </c>
    </row>
    <row r="46" spans="1:38" x14ac:dyDescent="0.2">
      <c r="A46">
        <v>100</v>
      </c>
      <c r="B46">
        <v>756</v>
      </c>
      <c r="C46">
        <v>195</v>
      </c>
      <c r="D46">
        <v>0.38740756935335302</v>
      </c>
      <c r="E46">
        <v>3.3072663838756302</v>
      </c>
      <c r="F46">
        <v>2.56370597872652</v>
      </c>
      <c r="G46">
        <v>-53.557359335066401</v>
      </c>
      <c r="H46">
        <v>-46.388101114971782</v>
      </c>
      <c r="I46">
        <v>6.9661936744834199</v>
      </c>
      <c r="J46">
        <v>4.0383792244454497</v>
      </c>
      <c r="K46">
        <v>1.2900334169827199</v>
      </c>
      <c r="L46">
        <v>3.1547802246651802E-5</v>
      </c>
      <c r="M46">
        <v>1.8251201872371118E-6</v>
      </c>
      <c r="N46" s="1">
        <v>-4.7378645713149E-8</v>
      </c>
      <c r="O46" s="1">
        <v>1.15115493633107E-11</v>
      </c>
      <c r="P46" s="1">
        <v>1.65453552840217E-10</v>
      </c>
      <c r="Q46">
        <v>65.807906827699298</v>
      </c>
      <c r="S46">
        <v>20.895837159950599</v>
      </c>
      <c r="AA46">
        <v>1.88390420669199</v>
      </c>
      <c r="AB46">
        <v>9.0954685022041204</v>
      </c>
      <c r="AC46">
        <v>2.31688330345388</v>
      </c>
      <c r="AJ46">
        <v>0.780000249031783</v>
      </c>
      <c r="AK46">
        <v>8.92769352905423E-2</v>
      </c>
      <c r="AL46">
        <v>0.13072281567767399</v>
      </c>
    </row>
    <row r="47" spans="1:38" x14ac:dyDescent="0.2">
      <c r="A47">
        <v>101</v>
      </c>
      <c r="B47">
        <v>755</v>
      </c>
      <c r="C47">
        <v>195</v>
      </c>
      <c r="D47">
        <v>0.38674366580751801</v>
      </c>
      <c r="E47">
        <v>4.9181443029226699</v>
      </c>
      <c r="F47">
        <v>2.5612534200183301</v>
      </c>
      <c r="G47">
        <v>-79.567221287276311</v>
      </c>
      <c r="H47">
        <v>-68.922647786038169</v>
      </c>
      <c r="I47">
        <v>10.3531328125644</v>
      </c>
      <c r="J47">
        <v>6.0035800257930401</v>
      </c>
      <c r="K47">
        <v>1.9202099505200301</v>
      </c>
      <c r="L47">
        <v>3.1544234364881521E-5</v>
      </c>
      <c r="M47">
        <v>1.8267110852877347E-6</v>
      </c>
      <c r="N47" s="1">
        <v>-7.1709620163949894E-8</v>
      </c>
      <c r="O47" s="1">
        <v>1.7177757898379599E-11</v>
      </c>
      <c r="P47" s="1">
        <v>2.4954326518454298E-10</v>
      </c>
      <c r="Q47">
        <v>65.923263097547903</v>
      </c>
      <c r="S47">
        <v>20.758217188693099</v>
      </c>
      <c r="AA47">
        <v>1.7434495127408201</v>
      </c>
      <c r="AB47">
        <v>8.9917451179371692</v>
      </c>
      <c r="AC47">
        <v>2.58332508308093</v>
      </c>
      <c r="AJ47">
        <v>0.771504822706367</v>
      </c>
      <c r="AK47">
        <v>8.2663696757196703E-2</v>
      </c>
      <c r="AL47">
        <v>0.14583148053643599</v>
      </c>
    </row>
    <row r="48" spans="1:38" x14ac:dyDescent="0.2">
      <c r="A48">
        <v>102</v>
      </c>
      <c r="B48">
        <v>754</v>
      </c>
      <c r="C48">
        <v>195</v>
      </c>
      <c r="D48">
        <v>0.38607846955167302</v>
      </c>
      <c r="E48">
        <v>7.5488849954526502</v>
      </c>
      <c r="F48">
        <v>2.5610251703592799</v>
      </c>
      <c r="G48">
        <v>-122.08961268564468</v>
      </c>
      <c r="H48">
        <v>-105.77735368740782</v>
      </c>
      <c r="I48">
        <v>15.8810874733357</v>
      </c>
      <c r="J48">
        <v>9.2158113603474892</v>
      </c>
      <c r="K48">
        <v>2.94760281266334</v>
      </c>
      <c r="L48">
        <v>3.1550820473727961E-5</v>
      </c>
      <c r="M48">
        <v>1.8264084047860095E-6</v>
      </c>
      <c r="N48" s="1">
        <v>-1.1293886764814799E-7</v>
      </c>
      <c r="O48" s="1">
        <v>2.63522692351445E-11</v>
      </c>
      <c r="P48" s="1">
        <v>3.9124451441863202E-10</v>
      </c>
      <c r="Q48">
        <v>65.915069638248099</v>
      </c>
      <c r="S48">
        <v>20.7496797798605</v>
      </c>
      <c r="AA48">
        <v>1.7383178947537199</v>
      </c>
      <c r="AB48">
        <v>8.9511045060099796</v>
      </c>
      <c r="AC48">
        <v>2.6458281811275399</v>
      </c>
      <c r="AJ48">
        <v>0.76817294417922999</v>
      </c>
      <c r="AK48">
        <v>8.2437036378844197E-2</v>
      </c>
      <c r="AL48">
        <v>0.14939001944192401</v>
      </c>
    </row>
    <row r="49" spans="1:38" x14ac:dyDescent="0.2">
      <c r="A49">
        <v>102</v>
      </c>
      <c r="B49">
        <v>754</v>
      </c>
      <c r="C49">
        <v>195</v>
      </c>
      <c r="D49">
        <v>0.38607846955167302</v>
      </c>
      <c r="E49">
        <v>6.5873364599689301</v>
      </c>
      <c r="F49">
        <v>2.52367873160143</v>
      </c>
      <c r="G49">
        <v>-104.49513143727563</v>
      </c>
      <c r="H49">
        <v>-90.438964219113288</v>
      </c>
      <c r="I49">
        <v>13.6846295265174</v>
      </c>
      <c r="J49">
        <v>7.8693773035343604</v>
      </c>
      <c r="K49">
        <v>2.6102119804246402</v>
      </c>
      <c r="L49">
        <v>2.9068621531226727E-5</v>
      </c>
      <c r="M49">
        <v>1.8056411554227139E-6</v>
      </c>
      <c r="N49" s="1">
        <v>-5.2143107669020599E-8</v>
      </c>
      <c r="O49" s="1">
        <v>2.4730855413752001E-11</v>
      </c>
      <c r="P49" s="1">
        <v>2.0414126760647799E-10</v>
      </c>
      <c r="Q49">
        <v>66.2381014338619</v>
      </c>
      <c r="S49">
        <v>19.102320708386301</v>
      </c>
      <c r="AA49">
        <v>0.30385473980086503</v>
      </c>
      <c r="AB49">
        <v>5.35219756510282</v>
      </c>
      <c r="AC49">
        <v>9.0035255528480498</v>
      </c>
      <c r="AJ49">
        <v>0.46769538131997901</v>
      </c>
      <c r="AK49">
        <v>1.4672622719042201E-2</v>
      </c>
      <c r="AL49">
        <v>0.51763199596097698</v>
      </c>
    </row>
    <row r="50" spans="1:38" x14ac:dyDescent="0.2">
      <c r="A50">
        <v>103</v>
      </c>
      <c r="B50">
        <v>753</v>
      </c>
      <c r="C50">
        <v>195</v>
      </c>
      <c r="D50">
        <v>0.38541197680651201</v>
      </c>
      <c r="E50">
        <v>12.4297553938327</v>
      </c>
      <c r="F50">
        <v>2.56239594942187</v>
      </c>
      <c r="G50">
        <v>-201.06123386441752</v>
      </c>
      <c r="H50">
        <v>-174.24512862865734</v>
      </c>
      <c r="I50">
        <v>26.132734235501701</v>
      </c>
      <c r="J50">
        <v>15.1807297779548</v>
      </c>
      <c r="K50">
        <v>4.8508332198375097</v>
      </c>
      <c r="L50">
        <v>3.1570279053183431E-5</v>
      </c>
      <c r="M50">
        <v>1.8248706258410514E-6</v>
      </c>
      <c r="N50" s="1">
        <v>-1.9205250100834301E-7</v>
      </c>
      <c r="O50" s="1">
        <v>4.3242887741229099E-11</v>
      </c>
      <c r="P50" s="1">
        <v>6.6180962049666403E-10</v>
      </c>
      <c r="Q50">
        <v>65.822190544757404</v>
      </c>
      <c r="S50">
        <v>20.832147023668</v>
      </c>
      <c r="AA50">
        <v>1.8280262820194699</v>
      </c>
      <c r="AB50">
        <v>8.9603270272583906</v>
      </c>
      <c r="AC50">
        <v>2.55730912229662</v>
      </c>
      <c r="AJ50">
        <v>0.76892770000873101</v>
      </c>
      <c r="AK50">
        <v>8.6687179258005703E-2</v>
      </c>
      <c r="AL50">
        <v>0.14438512073326301</v>
      </c>
    </row>
    <row r="51" spans="1:38" x14ac:dyDescent="0.2">
      <c r="A51">
        <v>103</v>
      </c>
      <c r="B51">
        <v>753</v>
      </c>
      <c r="C51">
        <v>195</v>
      </c>
      <c r="D51">
        <v>0.38541197680651201</v>
      </c>
      <c r="E51">
        <v>20.695271875836099</v>
      </c>
      <c r="F51">
        <v>2.52349082132501</v>
      </c>
      <c r="G51">
        <v>-328.11631202392397</v>
      </c>
      <c r="H51">
        <v>-284.04413240764899</v>
      </c>
      <c r="I51">
        <v>42.949061654022202</v>
      </c>
      <c r="J51">
        <v>24.713841511165501</v>
      </c>
      <c r="K51">
        <v>8.2010489996431204</v>
      </c>
      <c r="L51">
        <v>2.9019274415168938E-5</v>
      </c>
      <c r="M51">
        <v>1.8047205206215853E-6</v>
      </c>
      <c r="N51" s="1">
        <v>-1.6586383774935999E-7</v>
      </c>
      <c r="O51" s="1">
        <v>7.7726992610926799E-11</v>
      </c>
      <c r="P51" s="1">
        <v>6.47014483352516E-10</v>
      </c>
      <c r="Q51">
        <v>66.210349441845594</v>
      </c>
      <c r="S51">
        <v>19.091253024155801</v>
      </c>
      <c r="AA51">
        <v>0.30119933492967998</v>
      </c>
      <c r="AB51">
        <v>5.2613383657896904</v>
      </c>
      <c r="AC51">
        <v>9.1358598332790901</v>
      </c>
      <c r="AJ51">
        <v>0.45996719004279801</v>
      </c>
      <c r="AK51">
        <v>1.45510864213269E-2</v>
      </c>
      <c r="AL51">
        <v>0.52548172353587397</v>
      </c>
    </row>
    <row r="52" spans="1:38" x14ac:dyDescent="0.2">
      <c r="A52">
        <v>104</v>
      </c>
      <c r="B52">
        <v>752</v>
      </c>
      <c r="C52">
        <v>195</v>
      </c>
      <c r="D52">
        <v>0.38474418377798603</v>
      </c>
      <c r="E52">
        <v>16.725197080647899</v>
      </c>
      <c r="F52">
        <v>2.5634860847140901</v>
      </c>
      <c r="G52">
        <v>-270.56928296411206</v>
      </c>
      <c r="H52">
        <v>-234.54388237419641</v>
      </c>
      <c r="I52">
        <v>35.1415896111941</v>
      </c>
      <c r="J52">
        <v>20.435132084423401</v>
      </c>
      <c r="K52">
        <v>6.52439550203888</v>
      </c>
      <c r="L52">
        <v>3.1594308471174591E-5</v>
      </c>
      <c r="M52">
        <v>1.8236744894924549E-6</v>
      </c>
      <c r="N52" s="1">
        <v>-2.66800953858613E-7</v>
      </c>
      <c r="O52" s="1">
        <v>5.8013625277008002E-11</v>
      </c>
      <c r="P52" s="1">
        <v>9.1468003972608303E-10</v>
      </c>
      <c r="Q52">
        <v>65.748272775762103</v>
      </c>
      <c r="S52">
        <v>20.8973409519113</v>
      </c>
      <c r="AA52">
        <v>1.89905964122698</v>
      </c>
      <c r="AB52">
        <v>8.9665196010434798</v>
      </c>
      <c r="AC52">
        <v>2.4888070300560301</v>
      </c>
      <c r="AJ52">
        <v>0.76943427124249197</v>
      </c>
      <c r="AK52">
        <v>9.0052758072601893E-2</v>
      </c>
      <c r="AL52">
        <v>0.14051297068490501</v>
      </c>
    </row>
    <row r="53" spans="1:38" x14ac:dyDescent="0.2">
      <c r="A53">
        <v>104</v>
      </c>
      <c r="B53">
        <v>752</v>
      </c>
      <c r="C53">
        <v>195</v>
      </c>
      <c r="D53">
        <v>0.38474418377798603</v>
      </c>
      <c r="E53">
        <v>32.245689802740699</v>
      </c>
      <c r="F53">
        <v>2.52335705851445</v>
      </c>
      <c r="G53">
        <v>-511.01542628310904</v>
      </c>
      <c r="H53">
        <v>-442.476172677004</v>
      </c>
      <c r="I53">
        <v>66.857780428332504</v>
      </c>
      <c r="J53">
        <v>38.497196275476902</v>
      </c>
      <c r="K53">
        <v>12.7788850547074</v>
      </c>
      <c r="L53">
        <v>2.8984708315891504E-5</v>
      </c>
      <c r="M53">
        <v>1.8040335419760437E-6</v>
      </c>
      <c r="N53" s="1">
        <v>-2.62871512364078E-7</v>
      </c>
      <c r="O53" s="1">
        <v>1.21131094018669E-10</v>
      </c>
      <c r="P53" s="1">
        <v>1.02060823852224E-9</v>
      </c>
      <c r="Q53">
        <v>66.188910658758203</v>
      </c>
      <c r="S53">
        <v>19.082018823311401</v>
      </c>
      <c r="AA53">
        <v>0.29858347162884302</v>
      </c>
      <c r="AB53">
        <v>5.1893545291393499</v>
      </c>
      <c r="AC53">
        <v>9.2411325171621002</v>
      </c>
      <c r="AJ53">
        <v>0.45383943320070502</v>
      </c>
      <c r="AK53">
        <v>1.4429970382086601E-2</v>
      </c>
      <c r="AL53">
        <v>0.53173059641720799</v>
      </c>
    </row>
    <row r="54" spans="1:38" x14ac:dyDescent="0.2">
      <c r="A54">
        <v>105</v>
      </c>
      <c r="B54">
        <v>751</v>
      </c>
      <c r="C54">
        <v>195</v>
      </c>
      <c r="D54">
        <v>0.38407508665723</v>
      </c>
      <c r="E54">
        <v>18.492757590616701</v>
      </c>
      <c r="F54">
        <v>2.5640181103040902</v>
      </c>
      <c r="G54">
        <v>-299.15842453569303</v>
      </c>
      <c r="H54">
        <v>-259.38803170766863</v>
      </c>
      <c r="I54">
        <v>38.832585879045403</v>
      </c>
      <c r="J54">
        <v>22.604172149760299</v>
      </c>
      <c r="K54">
        <v>7.2124130154539001</v>
      </c>
      <c r="L54">
        <v>3.1632742813546693E-5</v>
      </c>
      <c r="M54">
        <v>1.8233346116929454E-6</v>
      </c>
      <c r="N54" s="1">
        <v>-3.0460558035711002E-7</v>
      </c>
      <c r="O54" s="1">
        <v>6.4013837855456701E-11</v>
      </c>
      <c r="P54" s="1">
        <v>1.0389834027528799E-9</v>
      </c>
      <c r="Q54">
        <v>65.7180142951145</v>
      </c>
      <c r="S54">
        <v>20.925519281911299</v>
      </c>
      <c r="AA54">
        <v>1.9293674547992501</v>
      </c>
      <c r="AB54">
        <v>8.9729633548430598</v>
      </c>
      <c r="AC54">
        <v>2.45413561333178</v>
      </c>
      <c r="AJ54">
        <v>0.76996207552973095</v>
      </c>
      <c r="AK54">
        <v>9.1486956295194294E-2</v>
      </c>
      <c r="AL54">
        <v>0.13855096817507301</v>
      </c>
    </row>
    <row r="55" spans="1:38" x14ac:dyDescent="0.2">
      <c r="A55">
        <v>105</v>
      </c>
      <c r="B55">
        <v>751</v>
      </c>
      <c r="C55">
        <v>195</v>
      </c>
      <c r="D55">
        <v>0.38407508665723</v>
      </c>
      <c r="E55">
        <v>36.772084881954598</v>
      </c>
      <c r="F55">
        <v>2.5233019645280899</v>
      </c>
      <c r="G55">
        <v>-582.57288888554638</v>
      </c>
      <c r="H55">
        <v>-504.5478901871366</v>
      </c>
      <c r="I55">
        <v>76.185127860576699</v>
      </c>
      <c r="J55">
        <v>43.899248112934103</v>
      </c>
      <c r="K55">
        <v>14.5730021213817</v>
      </c>
      <c r="L55">
        <v>2.8977634881325179E-5</v>
      </c>
      <c r="M55">
        <v>1.8037711548882377E-6</v>
      </c>
      <c r="N55" s="1">
        <v>-3.0758915722084201E-7</v>
      </c>
      <c r="O55" s="1">
        <v>1.38109344932255E-10</v>
      </c>
      <c r="P55" s="1">
        <v>1.1861924255981101E-9</v>
      </c>
      <c r="Q55">
        <v>66.179385338496004</v>
      </c>
      <c r="S55">
        <v>19.075821724229201</v>
      </c>
      <c r="AA55">
        <v>0.29569340469660199</v>
      </c>
      <c r="AB55">
        <v>5.1518813627406299</v>
      </c>
      <c r="AC55">
        <v>9.2972181698374108</v>
      </c>
      <c r="AJ55">
        <v>0.45064770756572198</v>
      </c>
      <c r="AK55">
        <v>1.4293011424110101E-2</v>
      </c>
      <c r="AL55">
        <v>0.53505928101016698</v>
      </c>
    </row>
    <row r="56" spans="1:38" x14ac:dyDescent="0.2">
      <c r="A56">
        <v>106</v>
      </c>
      <c r="B56">
        <v>750</v>
      </c>
      <c r="C56">
        <v>195</v>
      </c>
      <c r="D56">
        <v>0.38340468162048602</v>
      </c>
      <c r="E56">
        <v>19.196137865320701</v>
      </c>
      <c r="F56">
        <v>2.5642950123412702</v>
      </c>
      <c r="G56">
        <v>-310.515985177424</v>
      </c>
      <c r="H56">
        <v>-269.29668888407213</v>
      </c>
      <c r="I56">
        <v>40.286660111764498</v>
      </c>
      <c r="J56">
        <v>23.474089861502598</v>
      </c>
      <c r="K56">
        <v>7.4859319122545198</v>
      </c>
      <c r="L56">
        <v>3.1679204183932592E-5</v>
      </c>
      <c r="M56">
        <v>1.823406564794164E-6</v>
      </c>
      <c r="N56" s="1">
        <v>-3.2654587442871798E-7</v>
      </c>
      <c r="O56" s="1">
        <v>6.6340123923400394E-11</v>
      </c>
      <c r="P56" s="1">
        <v>1.1082406764474901E-9</v>
      </c>
      <c r="Q56">
        <v>65.708310601463097</v>
      </c>
      <c r="S56">
        <v>20.936502609276499</v>
      </c>
      <c r="AA56">
        <v>1.94069303659133</v>
      </c>
      <c r="AB56">
        <v>8.9801334144499005</v>
      </c>
      <c r="AC56">
        <v>2.4343603382191001</v>
      </c>
      <c r="AJ56">
        <v>0.770549700948572</v>
      </c>
      <c r="AK56">
        <v>9.20206942050798E-2</v>
      </c>
      <c r="AL56">
        <v>0.137429604846347</v>
      </c>
    </row>
    <row r="57" spans="1:38" x14ac:dyDescent="0.2">
      <c r="A57">
        <v>106</v>
      </c>
      <c r="B57">
        <v>750</v>
      </c>
      <c r="C57">
        <v>195</v>
      </c>
      <c r="D57">
        <v>0.38340468162048602</v>
      </c>
      <c r="E57">
        <v>38.3902000353294</v>
      </c>
      <c r="F57">
        <v>2.5232804922832002</v>
      </c>
      <c r="G57">
        <v>-608.06608303781468</v>
      </c>
      <c r="H57">
        <v>-526.74249533507282</v>
      </c>
      <c r="I57">
        <v>79.483543666854104</v>
      </c>
      <c r="J57">
        <v>45.833644158276002</v>
      </c>
      <c r="K57">
        <v>15.2144005205667</v>
      </c>
      <c r="L57">
        <v>2.8983309492297852E-5</v>
      </c>
      <c r="M57">
        <v>1.8036995413223806E-6</v>
      </c>
      <c r="N57" s="1">
        <v>-3.3079686338541198E-7</v>
      </c>
      <c r="O57" s="1">
        <v>1.4413453172786399E-10</v>
      </c>
      <c r="P57" s="1">
        <v>1.2660905789634E-9</v>
      </c>
      <c r="Q57">
        <v>66.175213676987596</v>
      </c>
      <c r="S57">
        <v>19.0709744019866</v>
      </c>
      <c r="AA57">
        <v>0.292667714396531</v>
      </c>
      <c r="AB57">
        <v>5.1298771532906402</v>
      </c>
      <c r="AC57">
        <v>9.33126705333855</v>
      </c>
      <c r="AJ57">
        <v>0.448772977505556</v>
      </c>
      <c r="AK57">
        <v>1.4148335169384799E-2</v>
      </c>
      <c r="AL57">
        <v>0.53707868732505804</v>
      </c>
    </row>
    <row r="58" spans="1:38" x14ac:dyDescent="0.2">
      <c r="A58">
        <v>108</v>
      </c>
      <c r="B58">
        <v>764</v>
      </c>
      <c r="C58">
        <v>175</v>
      </c>
      <c r="D58">
        <v>0.41388468398978101</v>
      </c>
      <c r="E58">
        <v>0.11514784563969301</v>
      </c>
      <c r="F58">
        <v>2.5668943217790998</v>
      </c>
      <c r="G58">
        <v>-1.8702894778893542</v>
      </c>
      <c r="H58">
        <v>-1.6176126913246043</v>
      </c>
      <c r="I58">
        <v>0.243626077775394</v>
      </c>
      <c r="J58">
        <v>0.14039456182644899</v>
      </c>
      <c r="K58">
        <v>4.4858818168986597E-2</v>
      </c>
      <c r="L58">
        <v>3.1285027155947395E-5</v>
      </c>
      <c r="M58">
        <v>1.8212312623579228E-6</v>
      </c>
      <c r="N58" s="1">
        <v>-1.2941946651020601E-9</v>
      </c>
      <c r="O58" s="1">
        <v>4.0065825732902599E-13</v>
      </c>
      <c r="P58" s="1">
        <v>4.7365374017041302E-12</v>
      </c>
      <c r="Q58">
        <v>65.558823449028495</v>
      </c>
      <c r="S58">
        <v>21.169885020246902</v>
      </c>
      <c r="AA58">
        <v>2.1681166986870499</v>
      </c>
      <c r="AB58">
        <v>9.2588516425726404</v>
      </c>
      <c r="AC58">
        <v>1.84432318946481</v>
      </c>
      <c r="AJ58">
        <v>0.79336318210262002</v>
      </c>
      <c r="AK58">
        <v>0.102661678710139</v>
      </c>
      <c r="AL58">
        <v>0.103975139187239</v>
      </c>
    </row>
    <row r="59" spans="1:38" x14ac:dyDescent="0.2">
      <c r="A59">
        <v>109</v>
      </c>
      <c r="B59">
        <v>763</v>
      </c>
      <c r="C59">
        <v>175</v>
      </c>
      <c r="D59">
        <v>0.41325145973073701</v>
      </c>
      <c r="E59">
        <v>1.35470360013872</v>
      </c>
      <c r="F59">
        <v>2.5653628540143698</v>
      </c>
      <c r="G59">
        <v>-21.991428020587023</v>
      </c>
      <c r="H59">
        <v>-19.02293231870809</v>
      </c>
      <c r="I59">
        <v>2.8649285353268601</v>
      </c>
      <c r="J59">
        <v>1.6518126486339799</v>
      </c>
      <c r="K59">
        <v>0.52807484836651397</v>
      </c>
      <c r="L59">
        <v>3.1324690597915761E-5</v>
      </c>
      <c r="M59">
        <v>1.8232130991983979E-6</v>
      </c>
      <c r="N59" s="1">
        <v>-1.5636066609822899E-8</v>
      </c>
      <c r="O59" s="1">
        <v>4.7233869671504603E-12</v>
      </c>
      <c r="P59" s="1">
        <v>5.6898347643874701E-11</v>
      </c>
      <c r="Q59">
        <v>65.662873041504099</v>
      </c>
      <c r="S59">
        <v>21.069338706415</v>
      </c>
      <c r="AA59">
        <v>2.0608864103086701</v>
      </c>
      <c r="AB59">
        <v>9.2271253468653001</v>
      </c>
      <c r="AC59">
        <v>1.9797764949068499</v>
      </c>
      <c r="AJ59">
        <v>0.79077091170893199</v>
      </c>
      <c r="AK59">
        <v>9.7599841180029595E-2</v>
      </c>
      <c r="AL59">
        <v>0.111629247111037</v>
      </c>
    </row>
    <row r="60" spans="1:38" x14ac:dyDescent="0.2">
      <c r="A60">
        <v>110</v>
      </c>
      <c r="B60">
        <v>762</v>
      </c>
      <c r="C60">
        <v>175</v>
      </c>
      <c r="D60">
        <v>0.41261701202724399</v>
      </c>
      <c r="E60">
        <v>2.6650911792307501</v>
      </c>
      <c r="F60">
        <v>2.5636915040962198</v>
      </c>
      <c r="G60">
        <v>-43.236131970034499</v>
      </c>
      <c r="H60">
        <v>-37.404723668787774</v>
      </c>
      <c r="I60">
        <v>5.6333944850956099</v>
      </c>
      <c r="J60">
        <v>3.2495159244398799</v>
      </c>
      <c r="K60">
        <v>1.03955221405247</v>
      </c>
      <c r="L60">
        <v>3.1354070215041868E-5</v>
      </c>
      <c r="M60">
        <v>1.8250319265726426E-6</v>
      </c>
      <c r="N60" s="1">
        <v>-3.1528917823577302E-8</v>
      </c>
      <c r="O60" s="1">
        <v>9.3132007211751103E-12</v>
      </c>
      <c r="P60" s="1">
        <v>1.1412678099278701E-10</v>
      </c>
      <c r="Q60">
        <v>65.765168177922405</v>
      </c>
      <c r="S60">
        <v>20.964704875845602</v>
      </c>
      <c r="AA60">
        <v>1.9506932571050799</v>
      </c>
      <c r="AB60">
        <v>9.1807733833637499</v>
      </c>
      <c r="AC60">
        <v>2.13866030576306</v>
      </c>
      <c r="AJ60">
        <v>0.78698134455628199</v>
      </c>
      <c r="AK60">
        <v>9.2402759927746103E-2</v>
      </c>
      <c r="AL60">
        <v>0.120615895515971</v>
      </c>
    </row>
    <row r="61" spans="1:38" x14ac:dyDescent="0.2">
      <c r="A61">
        <v>111</v>
      </c>
      <c r="B61">
        <v>761</v>
      </c>
      <c r="C61">
        <v>175</v>
      </c>
      <c r="D61">
        <v>0.411981337330175</v>
      </c>
      <c r="E61">
        <v>4.0775332659404198</v>
      </c>
      <c r="F61">
        <v>2.5618050519077098</v>
      </c>
      <c r="G61">
        <v>-66.101797796801563</v>
      </c>
      <c r="H61">
        <v>-57.193189227379214</v>
      </c>
      <c r="I61">
        <v>8.6144259241138492</v>
      </c>
      <c r="J61">
        <v>4.9710410253014903</v>
      </c>
      <c r="K61">
        <v>1.5916641521586401</v>
      </c>
      <c r="L61">
        <v>3.1369219487524907E-5</v>
      </c>
      <c r="M61">
        <v>1.826658943842329E-6</v>
      </c>
      <c r="N61" s="1">
        <v>-4.9311412306779501E-8</v>
      </c>
      <c r="O61" s="1">
        <v>1.42858321493893E-11</v>
      </c>
      <c r="P61" s="1">
        <v>1.7765442132777599E-10</v>
      </c>
      <c r="Q61">
        <v>65.866764726720703</v>
      </c>
      <c r="S61">
        <v>20.8528679998008</v>
      </c>
      <c r="AA61">
        <v>1.8347205235018</v>
      </c>
      <c r="AB61">
        <v>9.1139809346341796</v>
      </c>
      <c r="AC61">
        <v>2.3316658153424301</v>
      </c>
      <c r="AJ61">
        <v>0.78151682211543905</v>
      </c>
      <c r="AK61">
        <v>8.6938256075800996E-2</v>
      </c>
      <c r="AL61">
        <v>0.13154492180875799</v>
      </c>
    </row>
    <row r="62" spans="1:38" x14ac:dyDescent="0.2">
      <c r="A62">
        <v>112</v>
      </c>
      <c r="B62">
        <v>760</v>
      </c>
      <c r="C62">
        <v>175</v>
      </c>
      <c r="D62">
        <v>0.41134443207665999</v>
      </c>
      <c r="E62">
        <v>5.6550687447607402</v>
      </c>
      <c r="F62">
        <v>2.55955322453425</v>
      </c>
      <c r="G62">
        <v>-91.592883924896938</v>
      </c>
      <c r="H62">
        <v>-79.256930523532105</v>
      </c>
      <c r="I62">
        <v>11.940137832226499</v>
      </c>
      <c r="J62">
        <v>6.89214289010825</v>
      </c>
      <c r="K62">
        <v>2.2093968160360302</v>
      </c>
      <c r="L62">
        <v>3.1362264652424286E-5</v>
      </c>
      <c r="M62">
        <v>1.8280367239337831E-6</v>
      </c>
      <c r="N62" s="1">
        <v>-6.96132408536197E-8</v>
      </c>
      <c r="O62" s="1">
        <v>1.9875768591413701E-11</v>
      </c>
      <c r="P62" s="1">
        <v>2.49815739132957E-10</v>
      </c>
      <c r="Q62">
        <v>65.969778857517198</v>
      </c>
      <c r="S62">
        <v>20.727581710984801</v>
      </c>
      <c r="AA62">
        <v>1.7073211132716599</v>
      </c>
      <c r="AB62">
        <v>9.0150881072574602</v>
      </c>
      <c r="AC62">
        <v>2.5802302109687001</v>
      </c>
      <c r="AJ62">
        <v>0.77341861349101004</v>
      </c>
      <c r="AK62">
        <v>8.0941387639039797E-2</v>
      </c>
      <c r="AL62">
        <v>0.14563999886994899</v>
      </c>
    </row>
    <row r="63" spans="1:38" x14ac:dyDescent="0.2">
      <c r="A63">
        <v>113</v>
      </c>
      <c r="B63">
        <v>759</v>
      </c>
      <c r="C63">
        <v>175</v>
      </c>
      <c r="D63">
        <v>0.41070629269001901</v>
      </c>
      <c r="E63">
        <v>7.5947076782841298</v>
      </c>
      <c r="F63">
        <v>2.5573667154321802</v>
      </c>
      <c r="G63">
        <v>-122.88956778355478</v>
      </c>
      <c r="H63">
        <v>-106.34991300325326</v>
      </c>
      <c r="I63">
        <v>16.024468129924401</v>
      </c>
      <c r="J63">
        <v>9.2518994234334802</v>
      </c>
      <c r="K63">
        <v>2.9697374383011201</v>
      </c>
      <c r="L63">
        <v>3.1328207027424388E-5</v>
      </c>
      <c r="M63">
        <v>1.8286450980443056E-6</v>
      </c>
      <c r="N63" s="1">
        <v>-9.4815047538411494E-8</v>
      </c>
      <c r="O63" s="1">
        <v>2.6773817659681199E-11</v>
      </c>
      <c r="P63" s="1">
        <v>3.3916636105551498E-10</v>
      </c>
      <c r="Q63">
        <v>66.0451899407025</v>
      </c>
      <c r="S63">
        <v>20.6155998826071</v>
      </c>
      <c r="AA63">
        <v>1.59733881293207</v>
      </c>
      <c r="AB63">
        <v>8.8895627410320603</v>
      </c>
      <c r="AC63">
        <v>2.8523086227261101</v>
      </c>
      <c r="AJ63">
        <v>0.76312712517398495</v>
      </c>
      <c r="AK63">
        <v>7.5774717527847202E-2</v>
      </c>
      <c r="AL63">
        <v>0.16109815729816701</v>
      </c>
    </row>
    <row r="64" spans="1:38" x14ac:dyDescent="0.2">
      <c r="A64">
        <v>113</v>
      </c>
      <c r="B64">
        <v>759</v>
      </c>
      <c r="C64">
        <v>175</v>
      </c>
      <c r="D64">
        <v>0.41070629269001901</v>
      </c>
      <c r="E64">
        <v>1.6874134122848601</v>
      </c>
      <c r="F64">
        <v>2.5233729797220401</v>
      </c>
      <c r="G64">
        <v>-26.827728646941019</v>
      </c>
      <c r="H64">
        <v>-23.194734143912921</v>
      </c>
      <c r="I64">
        <v>3.5198319072112598</v>
      </c>
      <c r="J64">
        <v>2.0167813049926102</v>
      </c>
      <c r="K64">
        <v>0.66871343469435796</v>
      </c>
      <c r="L64">
        <v>2.912377805443113E-5</v>
      </c>
      <c r="M64">
        <v>1.8087622504641878E-6</v>
      </c>
      <c r="N64" s="1">
        <v>-1.16548295017618E-8</v>
      </c>
      <c r="O64" s="1">
        <v>6.3372131523716403E-12</v>
      </c>
      <c r="P64" s="1">
        <v>4.7407670525011703E-11</v>
      </c>
      <c r="Q64">
        <v>66.295292420842998</v>
      </c>
      <c r="S64">
        <v>19.145367600003599</v>
      </c>
      <c r="AA64">
        <v>0.32602413118888202</v>
      </c>
      <c r="AB64">
        <v>5.5924976359845298</v>
      </c>
      <c r="AC64">
        <v>8.6408182119798695</v>
      </c>
      <c r="AJ64">
        <v>0.48810016963215302</v>
      </c>
      <c r="AK64">
        <v>1.5724023563851702E-2</v>
      </c>
      <c r="AL64">
        <v>0.49617580680399398</v>
      </c>
    </row>
    <row r="65" spans="1:38" x14ac:dyDescent="0.2">
      <c r="A65">
        <v>114</v>
      </c>
      <c r="B65">
        <v>758</v>
      </c>
      <c r="C65">
        <v>175</v>
      </c>
      <c r="D65">
        <v>0.41006691557969399</v>
      </c>
      <c r="E65">
        <v>9.5792388392227696</v>
      </c>
      <c r="F65">
        <v>2.5587029453727301</v>
      </c>
      <c r="G65">
        <v>-155.02861126023342</v>
      </c>
      <c r="H65">
        <v>-134.19966476220952</v>
      </c>
      <c r="I65">
        <v>20.199725062332199</v>
      </c>
      <c r="J65">
        <v>11.674071103879401</v>
      </c>
      <c r="K65">
        <v>3.7437870060478402</v>
      </c>
      <c r="L65">
        <v>3.1350426487195904E-5</v>
      </c>
      <c r="M65">
        <v>1.8273767829994298E-6</v>
      </c>
      <c r="N65" s="1">
        <v>-1.2363234938088801E-7</v>
      </c>
      <c r="O65" s="1">
        <v>3.3665003066686599E-11</v>
      </c>
      <c r="P65" s="1">
        <v>4.3952857297470999E-10</v>
      </c>
      <c r="Q65">
        <v>65.962934722770598</v>
      </c>
      <c r="S65">
        <v>20.692371202081201</v>
      </c>
      <c r="AA65">
        <v>1.67986906817719</v>
      </c>
      <c r="AB65">
        <v>8.9075273931729697</v>
      </c>
      <c r="AC65">
        <v>2.7572976137979901</v>
      </c>
      <c r="AJ65">
        <v>0.76459969280572404</v>
      </c>
      <c r="AK65">
        <v>7.9682541266187804E-2</v>
      </c>
      <c r="AL65">
        <v>0.155717765928087</v>
      </c>
    </row>
    <row r="66" spans="1:38" x14ac:dyDescent="0.2">
      <c r="A66">
        <v>114</v>
      </c>
      <c r="B66">
        <v>758</v>
      </c>
      <c r="C66">
        <v>175</v>
      </c>
      <c r="D66">
        <v>0.41006691557969399</v>
      </c>
      <c r="E66">
        <v>10.086586351769199</v>
      </c>
      <c r="F66">
        <v>2.5231328526336401</v>
      </c>
      <c r="G66">
        <v>-160.2772081187394</v>
      </c>
      <c r="H66">
        <v>-138.60368767394596</v>
      </c>
      <c r="I66">
        <v>21.018785283221099</v>
      </c>
      <c r="J66">
        <v>12.0506999339238</v>
      </c>
      <c r="K66">
        <v>3.9976437789397101</v>
      </c>
      <c r="L66">
        <v>2.907262019038017E-5</v>
      </c>
      <c r="M66">
        <v>1.8078190310040236E-6</v>
      </c>
      <c r="N66" s="1">
        <v>-7.0514519227614901E-8</v>
      </c>
      <c r="O66" s="1">
        <v>3.78985351114409E-11</v>
      </c>
      <c r="P66" s="1">
        <v>2.8573367498394198E-10</v>
      </c>
      <c r="Q66">
        <v>66.268105778863202</v>
      </c>
      <c r="S66">
        <v>19.132979827780701</v>
      </c>
      <c r="AA66">
        <v>0.32214772350517001</v>
      </c>
      <c r="AB66">
        <v>5.4994375066195103</v>
      </c>
      <c r="AC66">
        <v>8.7773291632312898</v>
      </c>
      <c r="AJ66">
        <v>0.480203916026059</v>
      </c>
      <c r="AK66">
        <v>1.554437565465E-2</v>
      </c>
      <c r="AL66">
        <v>0.50425170831929</v>
      </c>
    </row>
    <row r="67" spans="1:38" x14ac:dyDescent="0.2">
      <c r="A67">
        <v>115</v>
      </c>
      <c r="B67">
        <v>757</v>
      </c>
      <c r="C67">
        <v>175</v>
      </c>
      <c r="D67">
        <v>0.40942629714119499</v>
      </c>
      <c r="E67">
        <v>14.480974138039199</v>
      </c>
      <c r="F67">
        <v>2.5608981233942401</v>
      </c>
      <c r="G67">
        <v>-234.43814398485378</v>
      </c>
      <c r="H67">
        <v>-203.00240182057874</v>
      </c>
      <c r="I67">
        <v>30.515693990462601</v>
      </c>
      <c r="J67">
        <v>17.654777261544201</v>
      </c>
      <c r="K67">
        <v>5.6546467060727803</v>
      </c>
      <c r="L67">
        <v>3.1351317893807359E-5</v>
      </c>
      <c r="M67">
        <v>1.8247322654612271E-6</v>
      </c>
      <c r="N67" s="1">
        <v>-1.9312233572652901E-7</v>
      </c>
      <c r="O67" s="1">
        <v>5.0654967231010503E-11</v>
      </c>
      <c r="P67" s="1">
        <v>6.8255812295320102E-10</v>
      </c>
      <c r="Q67">
        <v>65.811292815883405</v>
      </c>
      <c r="S67">
        <v>20.827060603043201</v>
      </c>
      <c r="AA67">
        <v>1.82637276897446</v>
      </c>
      <c r="AB67">
        <v>8.9227073098279508</v>
      </c>
      <c r="AC67">
        <v>2.61256650227083</v>
      </c>
      <c r="AJ67">
        <v>0.765842523983436</v>
      </c>
      <c r="AK67">
        <v>8.6624959317508396E-2</v>
      </c>
      <c r="AL67">
        <v>0.14753251669905501</v>
      </c>
    </row>
    <row r="68" spans="1:38" x14ac:dyDescent="0.2">
      <c r="A68">
        <v>115</v>
      </c>
      <c r="B68">
        <v>757</v>
      </c>
      <c r="C68">
        <v>175</v>
      </c>
      <c r="D68">
        <v>0.40942629714119499</v>
      </c>
      <c r="E68">
        <v>26.593962486308801</v>
      </c>
      <c r="F68">
        <v>2.5227803705121401</v>
      </c>
      <c r="G68">
        <v>-422.2592313062267</v>
      </c>
      <c r="H68">
        <v>-365.24333943458163</v>
      </c>
      <c r="I68">
        <v>55.347174558700203</v>
      </c>
      <c r="J68">
        <v>31.7503214409201</v>
      </c>
      <c r="K68">
        <v>10.541529019789399</v>
      </c>
      <c r="L68">
        <v>2.8981396643452281E-5</v>
      </c>
      <c r="M68">
        <v>1.8062404250384927E-6</v>
      </c>
      <c r="N68" s="1">
        <v>-1.85653464420461E-7</v>
      </c>
      <c r="O68" s="1">
        <v>1.0002044826176799E-10</v>
      </c>
      <c r="P68" s="1">
        <v>7.5218168568531804E-10</v>
      </c>
      <c r="Q68">
        <v>66.222797451875095</v>
      </c>
      <c r="S68">
        <v>19.116092786246</v>
      </c>
      <c r="AA68">
        <v>0.31878782002772099</v>
      </c>
      <c r="AB68">
        <v>5.3541987544136704</v>
      </c>
      <c r="AC68">
        <v>8.9881231874373402</v>
      </c>
      <c r="AJ68">
        <v>0.46786536400378398</v>
      </c>
      <c r="AK68">
        <v>1.5393554625179001E-2</v>
      </c>
      <c r="AL68">
        <v>0.51674108137103603</v>
      </c>
    </row>
    <row r="69" spans="1:38" x14ac:dyDescent="0.2">
      <c r="A69">
        <v>116</v>
      </c>
      <c r="B69">
        <v>756</v>
      </c>
      <c r="C69">
        <v>175</v>
      </c>
      <c r="D69">
        <v>0.40878443375601398</v>
      </c>
      <c r="E69">
        <v>17.147556150432202</v>
      </c>
      <c r="F69">
        <v>2.56207105572215</v>
      </c>
      <c r="G69">
        <v>-277.64067592040772</v>
      </c>
      <c r="H69">
        <v>-240.47554121782775</v>
      </c>
      <c r="I69">
        <v>36.112456592896898</v>
      </c>
      <c r="J69">
        <v>20.9132603212189</v>
      </c>
      <c r="K69">
        <v>6.6928495648607003</v>
      </c>
      <c r="L69">
        <v>3.1369123640650368E-5</v>
      </c>
      <c r="M69">
        <v>1.8234279647667499E-6</v>
      </c>
      <c r="N69" s="1">
        <v>-2.3610008636452701E-7</v>
      </c>
      <c r="O69" s="1">
        <v>5.9806530924412603E-11</v>
      </c>
      <c r="P69" s="1">
        <v>8.2971836246029399E-10</v>
      </c>
      <c r="Q69">
        <v>65.732126410282007</v>
      </c>
      <c r="S69">
        <v>20.8972655170591</v>
      </c>
      <c r="AA69">
        <v>1.90276494035141</v>
      </c>
      <c r="AB69">
        <v>8.9303405290325397</v>
      </c>
      <c r="AC69">
        <v>2.5375026032747798</v>
      </c>
      <c r="AJ69">
        <v>0.76646736290523998</v>
      </c>
      <c r="AK69">
        <v>9.0244673539736295E-2</v>
      </c>
      <c r="AL69">
        <v>0.14328796355502299</v>
      </c>
    </row>
    <row r="70" spans="1:38" x14ac:dyDescent="0.2">
      <c r="A70">
        <v>116</v>
      </c>
      <c r="B70">
        <v>756</v>
      </c>
      <c r="C70">
        <v>175</v>
      </c>
      <c r="D70">
        <v>0.40878443375601398</v>
      </c>
      <c r="E70">
        <v>34.741962901716597</v>
      </c>
      <c r="F70">
        <v>2.5226157850681399</v>
      </c>
      <c r="G70">
        <v>-551.3715601900617</v>
      </c>
      <c r="H70">
        <v>-477.02965069798643</v>
      </c>
      <c r="I70">
        <v>72.236223574867793</v>
      </c>
      <c r="J70">
        <v>41.465475311818203</v>
      </c>
      <c r="K70">
        <v>13.772197536922199</v>
      </c>
      <c r="L70">
        <v>2.8941285342430202E-5</v>
      </c>
      <c r="M70">
        <v>1.8054836579499149E-6</v>
      </c>
      <c r="N70" s="1">
        <v>-2.4629394432561601E-7</v>
      </c>
      <c r="O70" s="1">
        <v>1.30704670115577E-10</v>
      </c>
      <c r="P70" s="1">
        <v>9.9320222019630692E-10</v>
      </c>
      <c r="Q70">
        <v>66.199911235741396</v>
      </c>
      <c r="S70">
        <v>19.1058021554073</v>
      </c>
      <c r="AA70">
        <v>0.31563812987832601</v>
      </c>
      <c r="AB70">
        <v>5.2762198222526404</v>
      </c>
      <c r="AC70">
        <v>9.1024286567201802</v>
      </c>
      <c r="AJ70">
        <v>0.46123330438820298</v>
      </c>
      <c r="AK70">
        <v>1.5247478501050101E-2</v>
      </c>
      <c r="AL70">
        <v>0.523519217110746</v>
      </c>
    </row>
    <row r="71" spans="1:38" x14ac:dyDescent="0.2">
      <c r="A71">
        <v>117</v>
      </c>
      <c r="B71">
        <v>755</v>
      </c>
      <c r="C71">
        <v>175</v>
      </c>
      <c r="D71">
        <v>0.40814132179156798</v>
      </c>
      <c r="E71">
        <v>18.2521878331134</v>
      </c>
      <c r="F71">
        <v>2.5626238997067201</v>
      </c>
      <c r="G71">
        <v>-295.52249586413132</v>
      </c>
      <c r="H71">
        <v>-256.02470225387088</v>
      </c>
      <c r="I71">
        <v>38.416372718241902</v>
      </c>
      <c r="J71">
        <v>22.268474146249002</v>
      </c>
      <c r="K71">
        <v>7.1224606292020596</v>
      </c>
      <c r="L71">
        <v>3.1401713840301329E-5</v>
      </c>
      <c r="M71">
        <v>1.8230511519107448E-6</v>
      </c>
      <c r="N71" s="1">
        <v>-2.59465465041048E-7</v>
      </c>
      <c r="O71" s="1">
        <v>6.3538546317671097E-11</v>
      </c>
      <c r="P71" s="1">
        <v>9.0671008803055901E-10</v>
      </c>
      <c r="Q71">
        <v>65.700662558828597</v>
      </c>
      <c r="S71">
        <v>20.926682891540398</v>
      </c>
      <c r="AA71">
        <v>1.9343762351065199</v>
      </c>
      <c r="AB71">
        <v>8.9373464948151806</v>
      </c>
      <c r="AC71">
        <v>2.5009318197091601</v>
      </c>
      <c r="AJ71">
        <v>0.76704144657058904</v>
      </c>
      <c r="AK71">
        <v>9.1740684071970502E-2</v>
      </c>
      <c r="AL71">
        <v>0.14121786935743899</v>
      </c>
    </row>
    <row r="72" spans="1:38" x14ac:dyDescent="0.2">
      <c r="A72">
        <v>117</v>
      </c>
      <c r="B72">
        <v>755</v>
      </c>
      <c r="C72">
        <v>175</v>
      </c>
      <c r="D72">
        <v>0.40814132179156798</v>
      </c>
      <c r="E72">
        <v>37.861486369768301</v>
      </c>
      <c r="F72">
        <v>2.5225480773072202</v>
      </c>
      <c r="G72">
        <v>-600.69503354082019</v>
      </c>
      <c r="H72">
        <v>-519.81791705195815</v>
      </c>
      <c r="I72">
        <v>78.662759800478696</v>
      </c>
      <c r="J72">
        <v>45.185384632051601</v>
      </c>
      <c r="K72">
        <v>15.0092229005937</v>
      </c>
      <c r="L72">
        <v>2.893119174443697E-5</v>
      </c>
      <c r="M72">
        <v>1.8052006645187661E-6</v>
      </c>
      <c r="N72" s="1">
        <v>-2.7531230179598299E-7</v>
      </c>
      <c r="O72" s="1">
        <v>1.4242628387458199E-10</v>
      </c>
      <c r="P72" s="1">
        <v>1.10214742736112E-9</v>
      </c>
      <c r="Q72">
        <v>66.190190350104899</v>
      </c>
      <c r="S72">
        <v>19.099171901293801</v>
      </c>
      <c r="AA72">
        <v>0.31243633811656302</v>
      </c>
      <c r="AB72">
        <v>5.2371752766743898</v>
      </c>
      <c r="AC72">
        <v>9.1610261338101999</v>
      </c>
      <c r="AJ72">
        <v>0.45791063915800301</v>
      </c>
      <c r="AK72">
        <v>1.5095793781977399E-2</v>
      </c>
      <c r="AL72">
        <v>0.52699356706001799</v>
      </c>
    </row>
    <row r="73" spans="1:38" x14ac:dyDescent="0.2">
      <c r="A73">
        <v>118</v>
      </c>
      <c r="B73">
        <v>754</v>
      </c>
      <c r="C73">
        <v>175</v>
      </c>
      <c r="D73">
        <v>0.40749695760112897</v>
      </c>
      <c r="E73">
        <v>18.781975612347399</v>
      </c>
      <c r="F73">
        <v>2.5629345620900299</v>
      </c>
      <c r="G73">
        <v>-304.08190703901136</v>
      </c>
      <c r="H73">
        <v>-263.50017591569474</v>
      </c>
      <c r="I73">
        <v>39.509060140502001</v>
      </c>
      <c r="J73">
        <v>22.923344877240101</v>
      </c>
      <c r="K73">
        <v>7.3283086857399402</v>
      </c>
      <c r="L73">
        <v>3.1441415262596342E-5</v>
      </c>
      <c r="M73">
        <v>1.8230552580073955E-6</v>
      </c>
      <c r="N73" s="1">
        <v>-2.75691643578313E-7</v>
      </c>
      <c r="O73" s="1">
        <v>6.5284228124619998E-11</v>
      </c>
      <c r="P73" s="1">
        <v>9.5808556817225703E-10</v>
      </c>
      <c r="Q73">
        <v>65.688373722629393</v>
      </c>
      <c r="S73">
        <v>20.939920992508</v>
      </c>
      <c r="AA73">
        <v>1.9481652358800301</v>
      </c>
      <c r="AB73">
        <v>8.9446668850033202</v>
      </c>
      <c r="AC73">
        <v>2.4788731639791699</v>
      </c>
      <c r="AJ73">
        <v>0.76764156830901398</v>
      </c>
      <c r="AK73">
        <v>9.2391260517418097E-2</v>
      </c>
      <c r="AL73">
        <v>0.139967171173567</v>
      </c>
    </row>
    <row r="74" spans="1:38" x14ac:dyDescent="0.2">
      <c r="A74">
        <v>118</v>
      </c>
      <c r="B74">
        <v>754</v>
      </c>
      <c r="C74">
        <v>175</v>
      </c>
      <c r="D74">
        <v>0.40749695760112897</v>
      </c>
      <c r="E74">
        <v>39.164895250614599</v>
      </c>
      <c r="F74">
        <v>2.5225161137189098</v>
      </c>
      <c r="G74">
        <v>-621.22299855957658</v>
      </c>
      <c r="H74">
        <v>-537.70022764579289</v>
      </c>
      <c r="I74">
        <v>81.315066848837802</v>
      </c>
      <c r="J74">
        <v>46.7418388171602</v>
      </c>
      <c r="K74">
        <v>15.526122920528801</v>
      </c>
      <c r="L74">
        <v>2.8932978864090753E-5</v>
      </c>
      <c r="M74">
        <v>1.8050996443134666E-6</v>
      </c>
      <c r="N74" s="1">
        <v>-2.9324166972426602E-7</v>
      </c>
      <c r="O74" s="1">
        <v>1.47290040504124E-10</v>
      </c>
      <c r="P74" s="1">
        <v>1.1643629764726499E-9</v>
      </c>
      <c r="Q74">
        <v>66.185525456949605</v>
      </c>
      <c r="S74">
        <v>19.093937855250601</v>
      </c>
      <c r="AA74">
        <v>0.30920668558318298</v>
      </c>
      <c r="AB74">
        <v>5.2130580802246396</v>
      </c>
      <c r="AC74">
        <v>9.1982719219918696</v>
      </c>
      <c r="AJ74">
        <v>0.45585763760743098</v>
      </c>
      <c r="AK74">
        <v>1.4941573579809599E-2</v>
      </c>
      <c r="AL74">
        <v>0.529200788812759</v>
      </c>
    </row>
    <row r="75" spans="1:38" x14ac:dyDescent="0.2">
      <c r="A75">
        <v>120</v>
      </c>
      <c r="B75">
        <v>772</v>
      </c>
      <c r="C75">
        <v>155</v>
      </c>
      <c r="D75">
        <v>0.43995646557910401</v>
      </c>
      <c r="E75">
        <v>0.117686813137831</v>
      </c>
      <c r="F75">
        <v>2.5654427778138098</v>
      </c>
      <c r="G75">
        <v>-1.9145921481659838</v>
      </c>
      <c r="H75">
        <v>-1.6531659599254489</v>
      </c>
      <c r="I75">
        <v>0.250132696972237</v>
      </c>
      <c r="J75">
        <v>0.14324774411027</v>
      </c>
      <c r="K75">
        <v>4.5873879610801499E-2</v>
      </c>
      <c r="L75">
        <v>3.1056712761937256E-5</v>
      </c>
      <c r="M75">
        <v>1.8213618849296837E-6</v>
      </c>
      <c r="N75" s="1">
        <v>-1.02016600149443E-9</v>
      </c>
      <c r="O75" s="1">
        <v>4.1206371909923101E-13</v>
      </c>
      <c r="P75" s="1">
        <v>3.9606825718117397E-12</v>
      </c>
      <c r="Q75">
        <v>65.563048649569197</v>
      </c>
      <c r="S75">
        <v>21.1730375217846</v>
      </c>
      <c r="AA75">
        <v>2.1697316519507002</v>
      </c>
      <c r="AB75">
        <v>9.2765319680657896</v>
      </c>
      <c r="AC75">
        <v>1.8176502086295401</v>
      </c>
      <c r="AJ75">
        <v>0.79480842499316495</v>
      </c>
      <c r="AK75">
        <v>0.10272913499927699</v>
      </c>
      <c r="AL75">
        <v>0.102462440007556</v>
      </c>
    </row>
    <row r="76" spans="1:38" x14ac:dyDescent="0.2">
      <c r="A76">
        <v>121</v>
      </c>
      <c r="B76">
        <v>771</v>
      </c>
      <c r="C76">
        <v>155</v>
      </c>
      <c r="D76">
        <v>0.43935306229947801</v>
      </c>
      <c r="E76">
        <v>0.52879439884406998</v>
      </c>
      <c r="F76">
        <v>2.5650056331473499</v>
      </c>
      <c r="G76">
        <v>-8.6006574858163329</v>
      </c>
      <c r="H76">
        <v>-7.4277153551253461</v>
      </c>
      <c r="I76">
        <v>1.12334638767513</v>
      </c>
      <c r="J76">
        <v>0.64375193451275103</v>
      </c>
      <c r="K76">
        <v>0.20615720761409001</v>
      </c>
      <c r="L76">
        <v>3.1092827958002593E-5</v>
      </c>
      <c r="M76">
        <v>1.8223354793094452E-6</v>
      </c>
      <c r="N76" s="1">
        <v>-4.7266661077020501E-9</v>
      </c>
      <c r="O76" s="1">
        <v>1.85198565086037E-12</v>
      </c>
      <c r="P76" s="1">
        <v>1.8210836578703701E-11</v>
      </c>
      <c r="Q76">
        <v>65.604695995959204</v>
      </c>
      <c r="S76">
        <v>21.1376321261241</v>
      </c>
      <c r="AA76">
        <v>2.1308039990841201</v>
      </c>
      <c r="AB76">
        <v>9.2765209987149504</v>
      </c>
      <c r="AC76">
        <v>1.8503468801174701</v>
      </c>
      <c r="AJ76">
        <v>0.79480819132462099</v>
      </c>
      <c r="AK76">
        <v>0.100886137679306</v>
      </c>
      <c r="AL76">
        <v>0.10430567099607101</v>
      </c>
    </row>
    <row r="77" spans="1:38" x14ac:dyDescent="0.2">
      <c r="A77">
        <v>122</v>
      </c>
      <c r="B77">
        <v>770</v>
      </c>
      <c r="C77">
        <v>155</v>
      </c>
      <c r="D77">
        <v>0.43874850213296301</v>
      </c>
      <c r="E77">
        <v>0.94063894063630604</v>
      </c>
      <c r="F77">
        <v>2.5645746352021699</v>
      </c>
      <c r="G77">
        <v>-15.295499921674885</v>
      </c>
      <c r="H77">
        <v>-13.212069521520272</v>
      </c>
      <c r="I77">
        <v>1.9972491014279901</v>
      </c>
      <c r="J77">
        <v>1.14532262610584</v>
      </c>
      <c r="K77">
        <v>0.36678165950984398</v>
      </c>
      <c r="L77">
        <v>3.1128684024538255E-5</v>
      </c>
      <c r="M77">
        <v>1.8232780618494738E-6</v>
      </c>
      <c r="N77" s="1">
        <v>-8.6686760637956304E-9</v>
      </c>
      <c r="O77" s="1">
        <v>3.29513690900307E-12</v>
      </c>
      <c r="P77" s="1">
        <v>3.3150407743261898E-11</v>
      </c>
      <c r="Q77">
        <v>65.645074984114999</v>
      </c>
      <c r="S77">
        <v>21.102987107404399</v>
      </c>
      <c r="AA77">
        <v>2.0927996190336802</v>
      </c>
      <c r="AB77">
        <v>9.2756769880516803</v>
      </c>
      <c r="AC77">
        <v>1.88346130139515</v>
      </c>
      <c r="AJ77">
        <v>0.79473985090912802</v>
      </c>
      <c r="AK77">
        <v>9.9087258312178197E-2</v>
      </c>
      <c r="AL77">
        <v>0.106172890778693</v>
      </c>
    </row>
    <row r="78" spans="1:38" x14ac:dyDescent="0.2">
      <c r="A78">
        <v>123</v>
      </c>
      <c r="B78">
        <v>769</v>
      </c>
      <c r="C78">
        <v>155</v>
      </c>
      <c r="D78">
        <v>0.43814278174927401</v>
      </c>
      <c r="E78">
        <v>1.9496754619794201</v>
      </c>
      <c r="F78">
        <v>2.5634009954213299</v>
      </c>
      <c r="G78">
        <v>-31.688434322261635</v>
      </c>
      <c r="H78">
        <v>-27.376279452038748</v>
      </c>
      <c r="I78">
        <v>4.1377487599893303</v>
      </c>
      <c r="J78">
        <v>2.37401917408959</v>
      </c>
      <c r="K78">
        <v>0.76058153424371699</v>
      </c>
      <c r="L78">
        <v>3.1160943019581043E-5</v>
      </c>
      <c r="M78">
        <v>1.8248187757991626E-6</v>
      </c>
      <c r="N78" s="1">
        <v>-1.8464479900571299E-8</v>
      </c>
      <c r="O78" s="1">
        <v>6.84025556461555E-12</v>
      </c>
      <c r="P78" s="1">
        <v>7.01412337924208E-11</v>
      </c>
      <c r="Q78">
        <v>65.725190284263505</v>
      </c>
      <c r="S78">
        <v>21.0252954257322</v>
      </c>
      <c r="AA78">
        <v>2.01000937611161</v>
      </c>
      <c r="AB78">
        <v>9.2505307947106701</v>
      </c>
      <c r="AC78">
        <v>1.98897411918185</v>
      </c>
      <c r="AJ78">
        <v>0.79268559606534195</v>
      </c>
      <c r="AK78">
        <v>9.5179449162176896E-2</v>
      </c>
      <c r="AL78">
        <v>0.11213495477248001</v>
      </c>
    </row>
    <row r="79" spans="1:38" x14ac:dyDescent="0.2">
      <c r="A79">
        <v>124</v>
      </c>
      <c r="B79">
        <v>768</v>
      </c>
      <c r="C79">
        <v>155</v>
      </c>
      <c r="D79">
        <v>0.43753589780531399</v>
      </c>
      <c r="E79">
        <v>3.2334647059314099</v>
      </c>
      <c r="F79">
        <v>2.5618492076584101</v>
      </c>
      <c r="G79">
        <v>-52.522438449832002</v>
      </c>
      <c r="H79">
        <v>-45.381271011954766</v>
      </c>
      <c r="I79">
        <v>6.8589227660541097</v>
      </c>
      <c r="J79">
        <v>3.9369659914383401</v>
      </c>
      <c r="K79">
        <v>1.26216043327814</v>
      </c>
      <c r="L79">
        <v>3.1183909899322483E-5</v>
      </c>
      <c r="M79">
        <v>1.8264489560924879E-6</v>
      </c>
      <c r="N79" s="1">
        <v>-3.1383277355940102E-8</v>
      </c>
      <c r="O79" s="1">
        <v>1.13686203469558E-11</v>
      </c>
      <c r="P79" s="1">
        <v>1.18502728083082E-10</v>
      </c>
      <c r="Q79">
        <v>65.818311707348201</v>
      </c>
      <c r="S79">
        <v>20.9288170941301</v>
      </c>
      <c r="AA79">
        <v>1.90868515365534</v>
      </c>
      <c r="AB79">
        <v>9.2051164037498303</v>
      </c>
      <c r="AC79">
        <v>2.1390696411164098</v>
      </c>
      <c r="AJ79">
        <v>0.78897344956367599</v>
      </c>
      <c r="AK79">
        <v>9.0402031427731303E-2</v>
      </c>
      <c r="AL79">
        <v>0.120624519008592</v>
      </c>
    </row>
    <row r="80" spans="1:38" x14ac:dyDescent="0.2">
      <c r="A80">
        <v>125</v>
      </c>
      <c r="B80">
        <v>767</v>
      </c>
      <c r="C80">
        <v>155</v>
      </c>
      <c r="D80">
        <v>0.43692784694515202</v>
      </c>
      <c r="E80">
        <v>4.60549131363637</v>
      </c>
      <c r="F80">
        <v>2.56012402126118</v>
      </c>
      <c r="G80">
        <v>-74.75732921603192</v>
      </c>
      <c r="H80">
        <v>-64.60116387663254</v>
      </c>
      <c r="I80">
        <v>9.7641353068301306</v>
      </c>
      <c r="J80">
        <v>5.6066383091794902</v>
      </c>
      <c r="K80">
        <v>1.7989328936367599</v>
      </c>
      <c r="L80">
        <v>3.1194811835465647E-5</v>
      </c>
      <c r="M80">
        <v>1.8278977818376847E-6</v>
      </c>
      <c r="N80" s="1">
        <v>-4.5700584748777297E-8</v>
      </c>
      <c r="O80" s="1">
        <v>1.6231355940842801E-11</v>
      </c>
      <c r="P80" s="1">
        <v>1.7163441198949299E-10</v>
      </c>
      <c r="Q80">
        <v>65.909917501564806</v>
      </c>
      <c r="S80">
        <v>20.826928351762501</v>
      </c>
      <c r="AA80">
        <v>1.80325093819578</v>
      </c>
      <c r="AB80">
        <v>9.1421404198982597</v>
      </c>
      <c r="AC80">
        <v>2.3177627885785301</v>
      </c>
      <c r="AJ80">
        <v>0.78382244313346106</v>
      </c>
      <c r="AK80">
        <v>8.5435184960511501E-2</v>
      </c>
      <c r="AL80">
        <v>0.130742371906027</v>
      </c>
    </row>
    <row r="81" spans="1:38" x14ac:dyDescent="0.2">
      <c r="A81">
        <v>126</v>
      </c>
      <c r="B81">
        <v>766</v>
      </c>
      <c r="C81">
        <v>155</v>
      </c>
      <c r="D81">
        <v>0.43631862579993802</v>
      </c>
      <c r="E81">
        <v>6.1132811580504702</v>
      </c>
      <c r="F81">
        <v>2.5581220817646</v>
      </c>
      <c r="G81">
        <v>-99.150793461786535</v>
      </c>
      <c r="H81">
        <v>-85.690425516659616</v>
      </c>
      <c r="I81">
        <v>12.9532482751546</v>
      </c>
      <c r="J81">
        <v>7.4400347263010298</v>
      </c>
      <c r="K81">
        <v>2.3897534842565</v>
      </c>
      <c r="L81">
        <v>3.1188186831975441E-5</v>
      </c>
      <c r="M81">
        <v>1.82911994469132E-6</v>
      </c>
      <c r="N81" s="1">
        <v>-6.1800607378704304E-8</v>
      </c>
      <c r="O81" s="1">
        <v>2.1606146517903599E-11</v>
      </c>
      <c r="P81" s="1">
        <v>2.31033723151795E-10</v>
      </c>
      <c r="Q81">
        <v>66.001240398346695</v>
      </c>
      <c r="S81">
        <v>20.7154167774958</v>
      </c>
      <c r="AA81">
        <v>1.6899437981384799</v>
      </c>
      <c r="AB81">
        <v>9.0533065094045995</v>
      </c>
      <c r="AC81">
        <v>2.5400925166143602</v>
      </c>
      <c r="AJ81">
        <v>0.77655032783693001</v>
      </c>
      <c r="AK81">
        <v>8.0102382811049699E-2</v>
      </c>
      <c r="AL81">
        <v>0.14334728935202001</v>
      </c>
    </row>
    <row r="82" spans="1:38" x14ac:dyDescent="0.2">
      <c r="A82">
        <v>127</v>
      </c>
      <c r="B82">
        <v>765</v>
      </c>
      <c r="C82">
        <v>155</v>
      </c>
      <c r="D82">
        <v>0.43570823098781702</v>
      </c>
      <c r="E82">
        <v>7.8635788589881503</v>
      </c>
      <c r="F82">
        <v>2.5556176985014898</v>
      </c>
      <c r="G82">
        <v>-127.40468267673633</v>
      </c>
      <c r="H82">
        <v>-110.11886285030556</v>
      </c>
      <c r="I82">
        <v>16.6505994571408</v>
      </c>
      <c r="J82">
        <v>9.5651286408508192</v>
      </c>
      <c r="K82">
        <v>3.0769777747270202</v>
      </c>
      <c r="L82">
        <v>3.1151959102379988E-5</v>
      </c>
      <c r="M82">
        <v>1.830012618629742E-6</v>
      </c>
      <c r="N82" s="1">
        <v>-8.0487188729836296E-8</v>
      </c>
      <c r="O82" s="1">
        <v>2.7893093459087E-11</v>
      </c>
      <c r="P82" s="1">
        <v>2.9989452899090402E-10</v>
      </c>
      <c r="Q82">
        <v>66.094843346997493</v>
      </c>
      <c r="S82">
        <v>20.585097877382701</v>
      </c>
      <c r="AA82">
        <v>1.5605884027530199</v>
      </c>
      <c r="AB82">
        <v>8.9202477224240297</v>
      </c>
      <c r="AC82">
        <v>2.8392226504426699</v>
      </c>
      <c r="AJ82">
        <v>0.76564514035652398</v>
      </c>
      <c r="AK82">
        <v>7.4020119284471594E-2</v>
      </c>
      <c r="AL82">
        <v>0.160334740359004</v>
      </c>
    </row>
    <row r="83" spans="1:38" x14ac:dyDescent="0.2">
      <c r="A83">
        <v>128</v>
      </c>
      <c r="B83">
        <v>764</v>
      </c>
      <c r="C83">
        <v>155</v>
      </c>
      <c r="D83">
        <v>0.43509665911391998</v>
      </c>
      <c r="E83">
        <v>9.6019227816908401</v>
      </c>
      <c r="F83">
        <v>2.5545542471747198</v>
      </c>
      <c r="G83">
        <v>-155.46680461797763</v>
      </c>
      <c r="H83">
        <v>-134.39508403145365</v>
      </c>
      <c r="I83">
        <v>20.3169460410972</v>
      </c>
      <c r="J83">
        <v>11.675816723550099</v>
      </c>
      <c r="K83">
        <v>3.7587468703435598</v>
      </c>
      <c r="L83">
        <v>3.1114790772724402E-5</v>
      </c>
      <c r="M83">
        <v>1.8295635711574856E-6</v>
      </c>
      <c r="N83" s="1">
        <v>-9.9964920031332698E-8</v>
      </c>
      <c r="O83" s="1">
        <v>3.4098836931307702E-11</v>
      </c>
      <c r="P83" s="1">
        <v>3.7095851157477198E-10</v>
      </c>
      <c r="Q83">
        <v>66.104785886805203</v>
      </c>
      <c r="S83">
        <v>20.539063434741401</v>
      </c>
      <c r="AA83">
        <v>1.52028956047807</v>
      </c>
      <c r="AB83">
        <v>8.8217188630179706</v>
      </c>
      <c r="AC83">
        <v>3.0141422549572101</v>
      </c>
      <c r="AJ83">
        <v>0.75755970683507901</v>
      </c>
      <c r="AK83">
        <v>7.2144089658278607E-2</v>
      </c>
      <c r="AL83">
        <v>0.17029620350664099</v>
      </c>
    </row>
    <row r="84" spans="1:38" x14ac:dyDescent="0.2">
      <c r="A84">
        <v>128</v>
      </c>
      <c r="B84">
        <v>764</v>
      </c>
      <c r="C84">
        <v>155</v>
      </c>
      <c r="D84">
        <v>0.43509665911391998</v>
      </c>
      <c r="E84">
        <v>4.1651128491031599</v>
      </c>
      <c r="F84">
        <v>2.5230425114475299</v>
      </c>
      <c r="G84">
        <v>-66.355372459951482</v>
      </c>
      <c r="H84">
        <v>-57.310156434912393</v>
      </c>
      <c r="I84">
        <v>8.7212226052538906</v>
      </c>
      <c r="J84">
        <v>4.9795583829739902</v>
      </c>
      <c r="K84">
        <v>1.65082943715979</v>
      </c>
      <c r="L84">
        <v>2.9149118049945529E-5</v>
      </c>
      <c r="M84">
        <v>1.8112526873721311E-6</v>
      </c>
      <c r="N84" s="1">
        <v>-2.4773323863301899E-8</v>
      </c>
      <c r="O84" s="1">
        <v>1.56498419697692E-11</v>
      </c>
      <c r="P84" s="1">
        <v>1.05480270439734E-10</v>
      </c>
      <c r="Q84">
        <v>66.331587488167003</v>
      </c>
      <c r="S84">
        <v>19.187066534650899</v>
      </c>
      <c r="AA84">
        <v>0.35195722146117497</v>
      </c>
      <c r="AB84">
        <v>5.7826984258614003</v>
      </c>
      <c r="AC84">
        <v>8.3466903298594506</v>
      </c>
      <c r="AJ84">
        <v>0.50421563783341705</v>
      </c>
      <c r="AK84">
        <v>1.69584610279758E-2</v>
      </c>
      <c r="AL84">
        <v>0.47882590113860601</v>
      </c>
    </row>
    <row r="85" spans="1:38" x14ac:dyDescent="0.2">
      <c r="A85">
        <v>129</v>
      </c>
      <c r="B85">
        <v>763</v>
      </c>
      <c r="C85">
        <v>155</v>
      </c>
      <c r="D85">
        <v>0.43448390677026</v>
      </c>
      <c r="E85">
        <v>10.7699001152235</v>
      </c>
      <c r="F85">
        <v>2.55605509399104</v>
      </c>
      <c r="G85">
        <v>-174.41840877915391</v>
      </c>
      <c r="H85">
        <v>-150.81978554817644</v>
      </c>
      <c r="I85">
        <v>22.775296270788399</v>
      </c>
      <c r="J85">
        <v>13.101089001434399</v>
      </c>
      <c r="K85">
        <v>4.2134851242221503</v>
      </c>
      <c r="L85">
        <v>3.1135303965706479E-5</v>
      </c>
      <c r="M85">
        <v>1.8282439035703694E-6</v>
      </c>
      <c r="N85" s="1">
        <v>-1.16047614558559E-7</v>
      </c>
      <c r="O85" s="1">
        <v>3.8124581866154598E-11</v>
      </c>
      <c r="P85" s="1">
        <v>4.2753904400026402E-10</v>
      </c>
      <c r="Q85">
        <v>66.016995619506602</v>
      </c>
      <c r="S85">
        <v>20.623688681701601</v>
      </c>
      <c r="AA85">
        <v>1.61059091441772</v>
      </c>
      <c r="AB85">
        <v>8.8479390464077792</v>
      </c>
      <c r="AC85">
        <v>2.9007857379662298</v>
      </c>
      <c r="AJ85">
        <v>0.75971085297313501</v>
      </c>
      <c r="AK85">
        <v>7.6419157199725196E-2</v>
      </c>
      <c r="AL85">
        <v>0.16386998982713899</v>
      </c>
    </row>
    <row r="86" spans="1:38" x14ac:dyDescent="0.2">
      <c r="A86">
        <v>129</v>
      </c>
      <c r="B86">
        <v>763</v>
      </c>
      <c r="C86">
        <v>155</v>
      </c>
      <c r="D86">
        <v>0.43448390677026</v>
      </c>
      <c r="E86">
        <v>11.5684226540374</v>
      </c>
      <c r="F86">
        <v>2.5227164568839302</v>
      </c>
      <c r="G86">
        <v>-184.18766986949831</v>
      </c>
      <c r="H86">
        <v>-159.11571492145006</v>
      </c>
      <c r="I86">
        <v>24.1972252550772</v>
      </c>
      <c r="J86">
        <v>13.823925343485801</v>
      </c>
      <c r="K86">
        <v>4.5857007126067399</v>
      </c>
      <c r="L86">
        <v>2.9087291501921998E-5</v>
      </c>
      <c r="M86">
        <v>1.810147770015987E-6</v>
      </c>
      <c r="N86" s="1">
        <v>-6.9398706205956502E-8</v>
      </c>
      <c r="O86" s="1">
        <v>4.34951982174517E-11</v>
      </c>
      <c r="P86" s="1">
        <v>2.9457295003011098E-10</v>
      </c>
      <c r="Q86">
        <v>66.301213341757403</v>
      </c>
      <c r="S86">
        <v>19.171958409563501</v>
      </c>
      <c r="AA86">
        <v>0.34658025539276099</v>
      </c>
      <c r="AB86">
        <v>5.6754033550774698</v>
      </c>
      <c r="AC86">
        <v>8.5048446382087803</v>
      </c>
      <c r="AJ86">
        <v>0.49512837313974201</v>
      </c>
      <c r="AK86">
        <v>1.6708431760005402E-2</v>
      </c>
      <c r="AL86">
        <v>0.48816319510025102</v>
      </c>
    </row>
    <row r="87" spans="1:38" x14ac:dyDescent="0.2">
      <c r="A87">
        <v>130</v>
      </c>
      <c r="B87">
        <v>762</v>
      </c>
      <c r="C87">
        <v>155</v>
      </c>
      <c r="D87">
        <v>0.433869970535674</v>
      </c>
      <c r="E87">
        <v>14.7565629307271</v>
      </c>
      <c r="F87">
        <v>2.5590037063553202</v>
      </c>
      <c r="G87">
        <v>-239.10926984069698</v>
      </c>
      <c r="H87">
        <v>-206.82802040681759</v>
      </c>
      <c r="I87">
        <v>31.185093400839801</v>
      </c>
      <c r="J87">
        <v>17.958168242051599</v>
      </c>
      <c r="K87">
        <v>5.7665265955180098</v>
      </c>
      <c r="L87">
        <v>3.1124926037824326E-5</v>
      </c>
      <c r="M87">
        <v>1.8247659795681681E-6</v>
      </c>
      <c r="N87" s="1">
        <v>-1.64558118412395E-7</v>
      </c>
      <c r="O87" s="1">
        <v>5.1938136431726002E-11</v>
      </c>
      <c r="P87" s="1">
        <v>6.0210584134319695E-10</v>
      </c>
      <c r="Q87">
        <v>65.817793225623006</v>
      </c>
      <c r="S87">
        <v>20.8035177207095</v>
      </c>
      <c r="AA87">
        <v>1.80543286824287</v>
      </c>
      <c r="AB87">
        <v>8.8754723975731409</v>
      </c>
      <c r="AC87">
        <v>2.6977837878513999</v>
      </c>
      <c r="AJ87">
        <v>0.76196748489705501</v>
      </c>
      <c r="AK87">
        <v>8.5651918783290898E-2</v>
      </c>
      <c r="AL87">
        <v>0.15238059631965301</v>
      </c>
    </row>
    <row r="88" spans="1:38" x14ac:dyDescent="0.2">
      <c r="A88">
        <v>130</v>
      </c>
      <c r="B88">
        <v>762</v>
      </c>
      <c r="C88">
        <v>155</v>
      </c>
      <c r="D88">
        <v>0.433869970535674</v>
      </c>
      <c r="E88">
        <v>28.408109798959501</v>
      </c>
      <c r="F88">
        <v>2.52215907776336</v>
      </c>
      <c r="G88">
        <v>-451.85193038039534</v>
      </c>
      <c r="H88">
        <v>-390.43563807047036</v>
      </c>
      <c r="I88">
        <v>59.3308141911075</v>
      </c>
      <c r="J88">
        <v>33.913161260192801</v>
      </c>
      <c r="K88">
        <v>11.2634092153107</v>
      </c>
      <c r="L88">
        <v>2.8957708231614272E-5</v>
      </c>
      <c r="M88">
        <v>1.8079429294006312E-6</v>
      </c>
      <c r="N88" s="1">
        <v>-1.6780967210959401E-7</v>
      </c>
      <c r="O88" s="1">
        <v>1.0697347597875899E-10</v>
      </c>
      <c r="P88" s="1">
        <v>7.1527811042238695E-10</v>
      </c>
      <c r="Q88">
        <v>66.240160424417695</v>
      </c>
      <c r="S88">
        <v>19.148145147669599</v>
      </c>
      <c r="AA88">
        <v>0.34117993411637398</v>
      </c>
      <c r="AB88">
        <v>5.4769206403226196</v>
      </c>
      <c r="AC88">
        <v>8.7935938534735794</v>
      </c>
      <c r="AJ88">
        <v>0.47829201023284201</v>
      </c>
      <c r="AK88">
        <v>1.6464591096747899E-2</v>
      </c>
      <c r="AL88">
        <v>0.50524339867040902</v>
      </c>
    </row>
    <row r="89" spans="1:38" x14ac:dyDescent="0.2">
      <c r="A89">
        <v>131</v>
      </c>
      <c r="B89">
        <v>761</v>
      </c>
      <c r="C89">
        <v>155</v>
      </c>
      <c r="D89">
        <v>0.43325484697577799</v>
      </c>
      <c r="E89">
        <v>16.7489953397052</v>
      </c>
      <c r="F89">
        <v>2.5603787614831899</v>
      </c>
      <c r="G89">
        <v>-271.4383963181678</v>
      </c>
      <c r="H89">
        <v>-234.85671126255093</v>
      </c>
      <c r="I89">
        <v>35.373674085593798</v>
      </c>
      <c r="J89">
        <v>20.3893074230478</v>
      </c>
      <c r="K89">
        <v>6.5416084493696998</v>
      </c>
      <c r="L89">
        <v>3.113480201803976E-5</v>
      </c>
      <c r="M89">
        <v>1.8232065975165335E-6</v>
      </c>
      <c r="N89" s="1">
        <v>-1.92880167766707E-7</v>
      </c>
      <c r="O89" s="1">
        <v>5.8768033349251103E-11</v>
      </c>
      <c r="P89" s="1">
        <v>7.0117446267363405E-10</v>
      </c>
      <c r="Q89">
        <v>65.725274367342294</v>
      </c>
      <c r="S89">
        <v>20.886130251598299</v>
      </c>
      <c r="AA89">
        <v>1.8951770628767799</v>
      </c>
      <c r="AB89">
        <v>8.8858785726444491</v>
      </c>
      <c r="AC89">
        <v>2.60753974553803</v>
      </c>
      <c r="AJ89">
        <v>0.76281994497886196</v>
      </c>
      <c r="AK89">
        <v>8.9904669195114403E-2</v>
      </c>
      <c r="AL89">
        <v>0.14727538582602201</v>
      </c>
    </row>
    <row r="90" spans="1:38" x14ac:dyDescent="0.2">
      <c r="A90">
        <v>131</v>
      </c>
      <c r="B90">
        <v>761</v>
      </c>
      <c r="C90">
        <v>155</v>
      </c>
      <c r="D90">
        <v>0.43325484697577799</v>
      </c>
      <c r="E90">
        <v>35.529705758193899</v>
      </c>
      <c r="F90">
        <v>2.5219342744846398</v>
      </c>
      <c r="G90">
        <v>-564.82278409814467</v>
      </c>
      <c r="H90">
        <v>-488.1614982081249</v>
      </c>
      <c r="I90">
        <v>74.129754764801703</v>
      </c>
      <c r="J90">
        <v>42.397946441431301</v>
      </c>
      <c r="K90">
        <v>14.0882758593914</v>
      </c>
      <c r="L90">
        <v>2.8906382050786282E-5</v>
      </c>
      <c r="M90">
        <v>1.807022675566708E-6</v>
      </c>
      <c r="N90" s="1">
        <v>-2.1232123083821899E-7</v>
      </c>
      <c r="O90" s="1">
        <v>1.3385614096391099E-10</v>
      </c>
      <c r="P90" s="1">
        <v>9.0137133962572904E-10</v>
      </c>
      <c r="Q90">
        <v>66.213432454326195</v>
      </c>
      <c r="S90">
        <v>19.135752349689099</v>
      </c>
      <c r="AA90">
        <v>0.33719235531645703</v>
      </c>
      <c r="AB90">
        <v>5.3848694609907097</v>
      </c>
      <c r="AC90">
        <v>8.9287533796773904</v>
      </c>
      <c r="AJ90">
        <v>0.47047227838571398</v>
      </c>
      <c r="AK90">
        <v>1.6279736423516801E-2</v>
      </c>
      <c r="AL90">
        <v>0.51324798519076797</v>
      </c>
    </row>
    <row r="91" spans="1:38" x14ac:dyDescent="0.2">
      <c r="A91">
        <v>132</v>
      </c>
      <c r="B91">
        <v>760</v>
      </c>
      <c r="C91">
        <v>155</v>
      </c>
      <c r="D91">
        <v>0.43263853264288998</v>
      </c>
      <c r="E91">
        <v>17.633853856578298</v>
      </c>
      <c r="F91">
        <v>2.5610150647630099</v>
      </c>
      <c r="G91">
        <v>-285.78065694799403</v>
      </c>
      <c r="H91">
        <v>-247.32593043525722</v>
      </c>
      <c r="I91">
        <v>37.220855164048501</v>
      </c>
      <c r="J91">
        <v>21.472987258479801</v>
      </c>
      <c r="K91">
        <v>6.8854939977520599</v>
      </c>
      <c r="L91">
        <v>3.1160179891050996E-5</v>
      </c>
      <c r="M91">
        <v>1.8227044334515677E-6</v>
      </c>
      <c r="N91" s="1">
        <v>-2.0965662344184599E-7</v>
      </c>
      <c r="O91" s="1">
        <v>6.1757835459495301E-11</v>
      </c>
      <c r="P91" s="1">
        <v>7.5731584530385397E-10</v>
      </c>
      <c r="Q91">
        <v>65.687981869836904</v>
      </c>
      <c r="S91">
        <v>20.920832022256398</v>
      </c>
      <c r="AA91">
        <v>1.9325080734592199</v>
      </c>
      <c r="AB91">
        <v>8.8937494448154606</v>
      </c>
      <c r="AC91">
        <v>2.5649285896319798</v>
      </c>
      <c r="AJ91">
        <v>0.76346515633863299</v>
      </c>
      <c r="AK91">
        <v>9.16719433651456E-2</v>
      </c>
      <c r="AL91">
        <v>0.14486290029622001</v>
      </c>
    </row>
    <row r="92" spans="1:38" x14ac:dyDescent="0.2">
      <c r="A92">
        <v>132</v>
      </c>
      <c r="B92">
        <v>760</v>
      </c>
      <c r="C92">
        <v>155</v>
      </c>
      <c r="D92">
        <v>0.43263853264288998</v>
      </c>
      <c r="E92">
        <v>38.324367544988597</v>
      </c>
      <c r="F92">
        <v>2.5218407577422899</v>
      </c>
      <c r="G92">
        <v>-609.0472773783091</v>
      </c>
      <c r="H92">
        <v>-526.50025907240456</v>
      </c>
      <c r="I92">
        <v>79.898386784014207</v>
      </c>
      <c r="J92">
        <v>45.727006355440999</v>
      </c>
      <c r="K92">
        <v>15.1969815807477</v>
      </c>
      <c r="L92">
        <v>2.889028861838916E-5</v>
      </c>
      <c r="M92">
        <v>1.8066720600313659E-6</v>
      </c>
      <c r="N92" s="1">
        <v>-2.34601529593503E-7</v>
      </c>
      <c r="O92" s="1">
        <v>1.44387809637582E-10</v>
      </c>
      <c r="P92" s="1">
        <v>9.8827893592096504E-10</v>
      </c>
      <c r="Q92">
        <v>66.202291947376807</v>
      </c>
      <c r="S92">
        <v>19.128193094770999</v>
      </c>
      <c r="AA92">
        <v>0.33355537760454201</v>
      </c>
      <c r="AB92">
        <v>5.3402258690458497</v>
      </c>
      <c r="AC92">
        <v>8.9957337112017708</v>
      </c>
      <c r="AJ92">
        <v>0.46667720729435902</v>
      </c>
      <c r="AK92">
        <v>1.6107780436099301E-2</v>
      </c>
      <c r="AL92">
        <v>0.51721501226954003</v>
      </c>
    </row>
    <row r="93" spans="1:38" x14ac:dyDescent="0.2">
      <c r="A93">
        <v>133</v>
      </c>
      <c r="B93">
        <v>759</v>
      </c>
      <c r="C93">
        <v>155</v>
      </c>
      <c r="D93">
        <v>0.43202102407596099</v>
      </c>
      <c r="E93">
        <v>18.136675712042699</v>
      </c>
      <c r="F93">
        <v>2.5614186237835099</v>
      </c>
      <c r="G93">
        <v>-293.91750541380134</v>
      </c>
      <c r="H93">
        <v>-254.4269225527799</v>
      </c>
      <c r="I93">
        <v>38.260507543497901</v>
      </c>
      <c r="J93">
        <v>22.092103339345702</v>
      </c>
      <c r="K93">
        <v>7.0807151723027397</v>
      </c>
      <c r="L93">
        <v>3.1191656969252518E-5</v>
      </c>
      <c r="M93">
        <v>1.8225522221572936E-6</v>
      </c>
      <c r="N93" s="1">
        <v>-2.2263061941638599E-7</v>
      </c>
      <c r="O93" s="1">
        <v>6.3424593000813695E-11</v>
      </c>
      <c r="P93" s="1">
        <v>7.9915865300235E-10</v>
      </c>
      <c r="Q93">
        <v>65.668579154009507</v>
      </c>
      <c r="S93">
        <v>20.9402155456239</v>
      </c>
      <c r="AA93">
        <v>1.95302703719503</v>
      </c>
      <c r="AB93">
        <v>8.9013279594643908</v>
      </c>
      <c r="AC93">
        <v>2.5368503037069701</v>
      </c>
      <c r="AJ93">
        <v>0.76408660615937796</v>
      </c>
      <c r="AK93">
        <v>9.26417670925858E-2</v>
      </c>
      <c r="AL93">
        <v>0.14327162674803501</v>
      </c>
    </row>
    <row r="94" spans="1:38" x14ac:dyDescent="0.2">
      <c r="A94">
        <v>133</v>
      </c>
      <c r="B94">
        <v>759</v>
      </c>
      <c r="C94">
        <v>155</v>
      </c>
      <c r="D94">
        <v>0.43202102407596099</v>
      </c>
      <c r="E94">
        <v>39.741309967286597</v>
      </c>
      <c r="F94">
        <v>2.5217868751766401</v>
      </c>
      <c r="G94">
        <v>-631.39492481305206</v>
      </c>
      <c r="H94">
        <v>-545.93928293238639</v>
      </c>
      <c r="I94">
        <v>82.793820549983593</v>
      </c>
      <c r="J94">
        <v>47.415719013990802</v>
      </c>
      <c r="K94">
        <v>15.759186614254499</v>
      </c>
      <c r="L94">
        <v>2.8885405332228507E-5</v>
      </c>
      <c r="M94">
        <v>1.8064979743367213E-6</v>
      </c>
      <c r="N94" s="1">
        <v>-2.5016994238702002E-7</v>
      </c>
      <c r="O94" s="1">
        <v>1.4970611318082501E-10</v>
      </c>
      <c r="P94" s="1">
        <v>1.0446701626719199E-9</v>
      </c>
      <c r="Q94">
        <v>66.195977895865497</v>
      </c>
      <c r="S94">
        <v>19.122133257746501</v>
      </c>
      <c r="AA94">
        <v>0.330029247613082</v>
      </c>
      <c r="AB94">
        <v>5.3102686932066803</v>
      </c>
      <c r="AC94">
        <v>9.0415909055681496</v>
      </c>
      <c r="AJ94">
        <v>0.46412965137307899</v>
      </c>
      <c r="AK94">
        <v>1.5939916346167302E-2</v>
      </c>
      <c r="AL94">
        <v>0.51993043228075198</v>
      </c>
    </row>
    <row r="95" spans="1:38" x14ac:dyDescent="0.2">
      <c r="A95">
        <v>135</v>
      </c>
      <c r="B95">
        <v>782</v>
      </c>
      <c r="C95">
        <v>135</v>
      </c>
      <c r="D95">
        <v>0.466777709330429</v>
      </c>
      <c r="E95">
        <v>2.8995465876554299E-2</v>
      </c>
      <c r="F95">
        <v>2.5638424157013802</v>
      </c>
      <c r="G95">
        <v>-0.47258587378943928</v>
      </c>
      <c r="H95">
        <v>-0.40719774936032782</v>
      </c>
      <c r="I95">
        <v>6.1970453896708001E-2</v>
      </c>
      <c r="J95">
        <v>3.5242837363406297E-2</v>
      </c>
      <c r="K95">
        <v>1.1309379117445501E-2</v>
      </c>
      <c r="L95">
        <v>3.0837180367256039E-5</v>
      </c>
      <c r="M95">
        <v>1.8212220391416811E-6</v>
      </c>
      <c r="N95" s="1">
        <v>-1.8158376798901001E-10</v>
      </c>
      <c r="O95" s="1">
        <v>1.02121295669734E-13</v>
      </c>
      <c r="P95" s="1">
        <v>7.7160303161696103E-13</v>
      </c>
      <c r="Q95">
        <v>65.561557484431802</v>
      </c>
      <c r="S95">
        <v>21.178502080100898</v>
      </c>
      <c r="AA95">
        <v>2.1745879115134601</v>
      </c>
      <c r="AB95">
        <v>9.2875350365772196</v>
      </c>
      <c r="AC95">
        <v>1.79781748737652</v>
      </c>
      <c r="AJ95">
        <v>0.79570765519378595</v>
      </c>
      <c r="AK95">
        <v>0.10295343255428401</v>
      </c>
      <c r="AL95">
        <v>0.10133891225192899</v>
      </c>
    </row>
    <row r="96" spans="1:38" x14ac:dyDescent="0.2">
      <c r="A96">
        <v>136</v>
      </c>
      <c r="B96">
        <v>781</v>
      </c>
      <c r="C96">
        <v>135</v>
      </c>
      <c r="D96">
        <v>0.46620547360432502</v>
      </c>
      <c r="E96">
        <v>0.42500530483715099</v>
      </c>
      <c r="F96">
        <v>2.5634333224161101</v>
      </c>
      <c r="G96">
        <v>-6.9253947376172738</v>
      </c>
      <c r="H96">
        <v>-5.9683358581330692</v>
      </c>
      <c r="I96">
        <v>0.90789629510430503</v>
      </c>
      <c r="J96">
        <v>0.51662945682794004</v>
      </c>
      <c r="K96">
        <v>0.165795342176706</v>
      </c>
      <c r="L96">
        <v>3.0866767277153785E-5</v>
      </c>
      <c r="M96">
        <v>1.8221437672455448E-6</v>
      </c>
      <c r="N96" s="1">
        <v>-2.7465779075947799E-9</v>
      </c>
      <c r="O96" s="1">
        <v>1.4974220370366E-12</v>
      </c>
      <c r="P96" s="1">
        <v>1.15580445784488E-11</v>
      </c>
      <c r="Q96">
        <v>65.6013104267779</v>
      </c>
      <c r="S96">
        <v>21.144902920132399</v>
      </c>
      <c r="AA96">
        <v>2.1375924548726402</v>
      </c>
      <c r="AB96">
        <v>9.2880377710817399</v>
      </c>
      <c r="AC96">
        <v>1.82815642713518</v>
      </c>
      <c r="AJ96">
        <v>0.79574937354964503</v>
      </c>
      <c r="AK96">
        <v>0.101201751923957</v>
      </c>
      <c r="AL96">
        <v>0.10304887452639599</v>
      </c>
    </row>
    <row r="97" spans="1:38" x14ac:dyDescent="0.2">
      <c r="A97">
        <v>137</v>
      </c>
      <c r="B97">
        <v>780</v>
      </c>
      <c r="C97">
        <v>135</v>
      </c>
      <c r="D97">
        <v>0.46563215116555001</v>
      </c>
      <c r="E97">
        <v>0.82151580109704703</v>
      </c>
      <c r="F97">
        <v>2.5630303054102499</v>
      </c>
      <c r="G97">
        <v>-13.383365096634078</v>
      </c>
      <c r="H97">
        <v>-11.536080709476284</v>
      </c>
      <c r="I97">
        <v>1.7540562950745799</v>
      </c>
      <c r="J97">
        <v>0.99872453522056204</v>
      </c>
      <c r="K97">
        <v>0.32052519994122702</v>
      </c>
      <c r="L97">
        <v>3.0896034133203131E-5</v>
      </c>
      <c r="M97">
        <v>1.8230368506660409E-6</v>
      </c>
      <c r="N97" s="1">
        <v>-5.4773264702354002E-9</v>
      </c>
      <c r="O97" s="1">
        <v>2.8954592968309401E-12</v>
      </c>
      <c r="P97" s="1">
        <v>2.2832389518055301E-11</v>
      </c>
      <c r="Q97">
        <v>65.639891112513894</v>
      </c>
      <c r="S97">
        <v>21.112019228843401</v>
      </c>
      <c r="AA97">
        <v>2.10146079727244</v>
      </c>
      <c r="AB97">
        <v>9.2878038887450707</v>
      </c>
      <c r="AC97">
        <v>1.8588249726250601</v>
      </c>
      <c r="AJ97">
        <v>0.79573087476762705</v>
      </c>
      <c r="AK97">
        <v>9.9491334338613499E-2</v>
      </c>
      <c r="AL97">
        <v>0.10477779089375799</v>
      </c>
    </row>
    <row r="98" spans="1:38" x14ac:dyDescent="0.2">
      <c r="A98">
        <v>138</v>
      </c>
      <c r="B98">
        <v>779</v>
      </c>
      <c r="C98">
        <v>135</v>
      </c>
      <c r="D98">
        <v>0.46505773891555402</v>
      </c>
      <c r="E98">
        <v>1.2183782754810499</v>
      </c>
      <c r="F98">
        <v>2.5626332866643602</v>
      </c>
      <c r="G98">
        <v>-19.84405692826142</v>
      </c>
      <c r="H98">
        <v>-17.108337539095572</v>
      </c>
      <c r="I98">
        <v>2.6001229759690498</v>
      </c>
      <c r="J98">
        <v>1.48135087202904</v>
      </c>
      <c r="K98">
        <v>0.47543996318995202</v>
      </c>
      <c r="L98">
        <v>3.0925002460754385E-5</v>
      </c>
      <c r="M98">
        <v>1.8239017877959853E-6</v>
      </c>
      <c r="N98" s="1">
        <v>-8.3791576940207307E-9</v>
      </c>
      <c r="O98" s="1">
        <v>4.2955953154476401E-12</v>
      </c>
      <c r="P98" s="1">
        <v>3.4608553412691603E-11</v>
      </c>
      <c r="Q98">
        <v>65.677316909280606</v>
      </c>
      <c r="S98">
        <v>21.079840156358699</v>
      </c>
      <c r="AA98">
        <v>2.0661799349531602</v>
      </c>
      <c r="AB98">
        <v>9.2868436480650907</v>
      </c>
      <c r="AC98">
        <v>1.88981935134234</v>
      </c>
      <c r="AJ98">
        <v>0.79565299693716096</v>
      </c>
      <c r="AK98">
        <v>9.7821540784955793E-2</v>
      </c>
      <c r="AL98">
        <v>0.106525462277882</v>
      </c>
    </row>
    <row r="99" spans="1:38" x14ac:dyDescent="0.2">
      <c r="A99">
        <v>139</v>
      </c>
      <c r="B99">
        <v>778</v>
      </c>
      <c r="C99">
        <v>135</v>
      </c>
      <c r="D99">
        <v>0.464482233743996</v>
      </c>
      <c r="E99">
        <v>1.61544736800315</v>
      </c>
      <c r="F99">
        <v>2.56224217814946</v>
      </c>
      <c r="G99">
        <v>-26.30508673766343</v>
      </c>
      <c r="H99">
        <v>-22.683058561521555</v>
      </c>
      <c r="I99">
        <v>3.4457766980372599</v>
      </c>
      <c r="J99">
        <v>1.9643355303477199</v>
      </c>
      <c r="K99">
        <v>0.63048192000721903</v>
      </c>
      <c r="L99">
        <v>3.0953694780124268E-5</v>
      </c>
      <c r="M99">
        <v>1.8247391050962394E-6</v>
      </c>
      <c r="N99" s="1">
        <v>-1.14575709748856E-8</v>
      </c>
      <c r="O99" s="1">
        <v>5.6972025838891198E-12</v>
      </c>
      <c r="P99" s="1">
        <v>4.6900944514463001E-11</v>
      </c>
      <c r="Q99">
        <v>65.713606397668997</v>
      </c>
      <c r="S99">
        <v>21.0483539879719</v>
      </c>
      <c r="AA99">
        <v>2.0317358676350699</v>
      </c>
      <c r="AB99">
        <v>9.2851677432666495</v>
      </c>
      <c r="AC99">
        <v>1.9211360034573499</v>
      </c>
      <c r="AJ99">
        <v>0.79551661252208605</v>
      </c>
      <c r="AK99">
        <v>9.6191686070288704E-2</v>
      </c>
      <c r="AL99">
        <v>0.10829170140762399</v>
      </c>
    </row>
    <row r="100" spans="1:38" x14ac:dyDescent="0.2">
      <c r="A100">
        <v>140</v>
      </c>
      <c r="B100">
        <v>777</v>
      </c>
      <c r="C100">
        <v>135</v>
      </c>
      <c r="D100">
        <v>0.46390563252868899</v>
      </c>
      <c r="E100">
        <v>2.0125815894938901</v>
      </c>
      <c r="F100">
        <v>2.5618568827038799</v>
      </c>
      <c r="G100">
        <v>-32.764136456504474</v>
      </c>
      <c r="H100">
        <v>-28.258250676472329</v>
      </c>
      <c r="I100">
        <v>4.2907068323878796</v>
      </c>
      <c r="J100">
        <v>2.4475105200115101</v>
      </c>
      <c r="K100">
        <v>0.78559485624729397</v>
      </c>
      <c r="L100">
        <v>3.0982134535689246E-5</v>
      </c>
      <c r="M100">
        <v>1.8255493536318077E-6</v>
      </c>
      <c r="N100" s="1">
        <v>-1.47182504583367E-8</v>
      </c>
      <c r="O100" s="1">
        <v>7.0996659787396596E-12</v>
      </c>
      <c r="P100" s="1">
        <v>5.9724506425592405E-11</v>
      </c>
      <c r="Q100">
        <v>65.748779229268905</v>
      </c>
      <c r="S100">
        <v>21.0175482375958</v>
      </c>
      <c r="AA100">
        <v>1.99811370873871</v>
      </c>
      <c r="AB100">
        <v>9.2827872329636794</v>
      </c>
      <c r="AC100">
        <v>1.9527715914327599</v>
      </c>
      <c r="AJ100">
        <v>0.79532262259203801</v>
      </c>
      <c r="AK100">
        <v>9.4601044045155097E-2</v>
      </c>
      <c r="AL100">
        <v>0.11007633336280601</v>
      </c>
    </row>
    <row r="101" spans="1:38" x14ac:dyDescent="0.2">
      <c r="A101">
        <v>141</v>
      </c>
      <c r="B101">
        <v>776</v>
      </c>
      <c r="C101">
        <v>135</v>
      </c>
      <c r="D101">
        <v>0.46332793213554102</v>
      </c>
      <c r="E101">
        <v>2.82160023288455</v>
      </c>
      <c r="F101">
        <v>2.5609771755691901</v>
      </c>
      <c r="G101">
        <v>-45.91678911724582</v>
      </c>
      <c r="H101">
        <v>-39.60876639077177</v>
      </c>
      <c r="I101">
        <v>6.0125079602287901</v>
      </c>
      <c r="J101">
        <v>3.4314255986629401</v>
      </c>
      <c r="K101">
        <v>1.1017670363490899</v>
      </c>
      <c r="L101">
        <v>3.1006820557781866E-5</v>
      </c>
      <c r="M101">
        <v>1.8267060525587812E-6</v>
      </c>
      <c r="N101" s="1">
        <v>-2.1221055580863802E-8</v>
      </c>
      <c r="O101" s="1">
        <v>9.9645489197741493E-12</v>
      </c>
      <c r="P101" s="1">
        <v>8.5430346434232096E-11</v>
      </c>
      <c r="Q101">
        <v>65.808597698463004</v>
      </c>
      <c r="S101">
        <v>20.958878349956699</v>
      </c>
      <c r="AA101">
        <v>1.9357526286892699</v>
      </c>
      <c r="AB101">
        <v>9.2622787461726208</v>
      </c>
      <c r="AC101">
        <v>2.0344925767183799</v>
      </c>
      <c r="AJ101">
        <v>0.79364730063511302</v>
      </c>
      <c r="AK101">
        <v>9.1657993253873596E-2</v>
      </c>
      <c r="AL101">
        <v>0.114694706111012</v>
      </c>
    </row>
    <row r="102" spans="1:38" x14ac:dyDescent="0.2">
      <c r="A102">
        <v>142</v>
      </c>
      <c r="B102">
        <v>775</v>
      </c>
      <c r="C102">
        <v>135</v>
      </c>
      <c r="D102">
        <v>0.46274912941850099</v>
      </c>
      <c r="E102">
        <v>4.0903836668358702</v>
      </c>
      <c r="F102">
        <v>2.5595137402032999</v>
      </c>
      <c r="G102">
        <v>-66.524892677294716</v>
      </c>
      <c r="H102">
        <v>-57.393681041101772</v>
      </c>
      <c r="I102">
        <v>8.7117412929379796</v>
      </c>
      <c r="J102">
        <v>4.9738223812131102</v>
      </c>
      <c r="K102">
        <v>1.59810967317212</v>
      </c>
      <c r="L102">
        <v>3.1021387848845291E-5</v>
      </c>
      <c r="M102">
        <v>1.8281142977011383E-6</v>
      </c>
      <c r="N102" s="1">
        <v>-3.1514962611826498E-8</v>
      </c>
      <c r="O102" s="1">
        <v>1.4475175547368301E-11</v>
      </c>
      <c r="P102" s="1">
        <v>1.2600071159634401E-10</v>
      </c>
      <c r="Q102">
        <v>65.892237053893695</v>
      </c>
      <c r="S102">
        <v>20.869582164044601</v>
      </c>
      <c r="AA102">
        <v>1.84256626082551</v>
      </c>
      <c r="AB102">
        <v>9.2145630045222902</v>
      </c>
      <c r="AC102">
        <v>2.18105151671381</v>
      </c>
      <c r="AJ102">
        <v>0.78974722440002898</v>
      </c>
      <c r="AK102">
        <v>8.7266441965444502E-2</v>
      </c>
      <c r="AL102">
        <v>0.12298633363452501</v>
      </c>
    </row>
    <row r="103" spans="1:38" x14ac:dyDescent="0.2">
      <c r="A103">
        <v>143</v>
      </c>
      <c r="B103">
        <v>774</v>
      </c>
      <c r="C103">
        <v>135</v>
      </c>
      <c r="D103">
        <v>0.46216922121950399</v>
      </c>
      <c r="E103">
        <v>5.4411199135751502</v>
      </c>
      <c r="F103">
        <v>2.5578980337852899</v>
      </c>
      <c r="G103">
        <v>-88.433937758914126</v>
      </c>
      <c r="H103">
        <v>-76.305534968943789</v>
      </c>
      <c r="I103">
        <v>11.5822974645183</v>
      </c>
      <c r="J103">
        <v>6.6149615090944103</v>
      </c>
      <c r="K103">
        <v>2.1271840557002699</v>
      </c>
      <c r="L103">
        <v>3.1025059379495456E-5</v>
      </c>
      <c r="M103">
        <v>1.8293472986408711E-6</v>
      </c>
      <c r="N103" s="1">
        <v>-4.2845387014373499E-8</v>
      </c>
      <c r="O103" s="1">
        <v>1.9299136350020199E-11</v>
      </c>
      <c r="P103" s="1">
        <v>1.7024354904635101E-10</v>
      </c>
      <c r="Q103">
        <v>65.973959414430098</v>
      </c>
      <c r="S103">
        <v>20.775760705307501</v>
      </c>
      <c r="AA103">
        <v>1.74609380109753</v>
      </c>
      <c r="AB103">
        <v>9.1507117514987506</v>
      </c>
      <c r="AC103">
        <v>2.35347432766598</v>
      </c>
      <c r="AJ103">
        <v>0.78452491309895001</v>
      </c>
      <c r="AK103">
        <v>8.2723752210453097E-2</v>
      </c>
      <c r="AL103">
        <v>0.132751334690596</v>
      </c>
    </row>
    <row r="104" spans="1:38" x14ac:dyDescent="0.2">
      <c r="A104">
        <v>144</v>
      </c>
      <c r="B104">
        <v>773</v>
      </c>
      <c r="C104">
        <v>135</v>
      </c>
      <c r="D104">
        <v>0.46158820436839998</v>
      </c>
      <c r="E104">
        <v>6.9151401346632504</v>
      </c>
      <c r="F104">
        <v>2.55604827744521</v>
      </c>
      <c r="G104">
        <v>-112.30332741797632</v>
      </c>
      <c r="H104">
        <v>-96.913098654407193</v>
      </c>
      <c r="I104">
        <v>14.7113021684931</v>
      </c>
      <c r="J104">
        <v>8.4043165496425001</v>
      </c>
      <c r="K104">
        <v>2.70540278745242</v>
      </c>
      <c r="L104">
        <v>3.1013473789647397E-5</v>
      </c>
      <c r="M104">
        <v>1.8303643100552717E-6</v>
      </c>
      <c r="N104" s="1">
        <v>-5.5466325585641203E-8</v>
      </c>
      <c r="O104" s="1">
        <v>2.4591783796983199E-11</v>
      </c>
      <c r="P104" s="1">
        <v>2.1922804846077301E-10</v>
      </c>
      <c r="Q104">
        <v>66.054552585738804</v>
      </c>
      <c r="S104">
        <v>20.674146047925099</v>
      </c>
      <c r="AA104">
        <v>1.6434553535605201</v>
      </c>
      <c r="AB104">
        <v>9.06391327739213</v>
      </c>
      <c r="AC104">
        <v>2.5639327353833901</v>
      </c>
      <c r="AJ104">
        <v>0.77741995823290999</v>
      </c>
      <c r="AK104">
        <v>7.7894832003330403E-2</v>
      </c>
      <c r="AL104">
        <v>0.14468520976375801</v>
      </c>
    </row>
    <row r="105" spans="1:38" x14ac:dyDescent="0.2">
      <c r="A105">
        <v>145</v>
      </c>
      <c r="B105">
        <v>772</v>
      </c>
      <c r="C105">
        <v>135</v>
      </c>
      <c r="D105">
        <v>0.46100607568291702</v>
      </c>
      <c r="E105">
        <v>8.5978272823338102</v>
      </c>
      <c r="F105">
        <v>2.55380224991382</v>
      </c>
      <c r="G105">
        <v>-139.49533392703972</v>
      </c>
      <c r="H105">
        <v>-120.39127934644527</v>
      </c>
      <c r="I105">
        <v>18.278768196521501</v>
      </c>
      <c r="J105">
        <v>10.444069052939</v>
      </c>
      <c r="K105">
        <v>3.3666769941266699</v>
      </c>
      <c r="L105">
        <v>3.0977813982378542E-5</v>
      </c>
      <c r="M105">
        <v>1.8310802189883296E-6</v>
      </c>
      <c r="N105" s="1">
        <v>-6.9868766527799001E-8</v>
      </c>
      <c r="O105" s="1">
        <v>3.0674747296840603E-11</v>
      </c>
      <c r="P105" s="1">
        <v>2.7506595712855801E-10</v>
      </c>
      <c r="Q105">
        <v>66.135436286289007</v>
      </c>
      <c r="S105">
        <v>20.5582843715735</v>
      </c>
      <c r="AA105">
        <v>1.52899517846941</v>
      </c>
      <c r="AB105">
        <v>8.9404118196563296</v>
      </c>
      <c r="AC105">
        <v>2.8368723440116601</v>
      </c>
      <c r="AJ105">
        <v>0.76729951659075801</v>
      </c>
      <c r="AK105">
        <v>7.2514408167129604E-2</v>
      </c>
      <c r="AL105">
        <v>0.16018607524211201</v>
      </c>
    </row>
    <row r="106" spans="1:38" x14ac:dyDescent="0.2">
      <c r="A106">
        <v>146</v>
      </c>
      <c r="B106">
        <v>771</v>
      </c>
      <c r="C106">
        <v>135</v>
      </c>
      <c r="D106">
        <v>0.46042283196858502</v>
      </c>
      <c r="E106">
        <v>10.7176663662712</v>
      </c>
      <c r="F106">
        <v>2.5507507975572201</v>
      </c>
      <c r="G106">
        <v>-173.65464721989957</v>
      </c>
      <c r="H106">
        <v>-149.88320135536475</v>
      </c>
      <c r="I106">
        <v>22.766313139428998</v>
      </c>
      <c r="J106">
        <v>13.0075166632306</v>
      </c>
      <c r="K106">
        <v>4.2017692894716498</v>
      </c>
      <c r="L106">
        <v>3.0895169786127765E-5</v>
      </c>
      <c r="M106">
        <v>1.8312640347226393E-6</v>
      </c>
      <c r="N106" s="1">
        <v>-8.72818593209446E-8</v>
      </c>
      <c r="O106" s="1">
        <v>3.8410285083176199E-11</v>
      </c>
      <c r="P106" s="1">
        <v>3.4316264753768298E-10</v>
      </c>
      <c r="Q106">
        <v>66.219639645300902</v>
      </c>
      <c r="S106">
        <v>20.412003347428801</v>
      </c>
      <c r="AA106">
        <v>1.3886641330604399</v>
      </c>
      <c r="AB106">
        <v>8.7445597677849101</v>
      </c>
      <c r="AC106">
        <v>3.2351331064247901</v>
      </c>
      <c r="AJ106">
        <v>0.75122398298760495</v>
      </c>
      <c r="AK106">
        <v>6.5923385554176497E-2</v>
      </c>
      <c r="AL106">
        <v>0.18285263145821701</v>
      </c>
    </row>
    <row r="107" spans="1:38" x14ac:dyDescent="0.2">
      <c r="A107">
        <v>147</v>
      </c>
      <c r="B107">
        <v>770</v>
      </c>
      <c r="C107">
        <v>135</v>
      </c>
      <c r="D107">
        <v>0.45983847001869499</v>
      </c>
      <c r="E107">
        <v>11.3125100813677</v>
      </c>
      <c r="F107">
        <v>2.5517229422994201</v>
      </c>
      <c r="G107">
        <v>-183.29629140674817</v>
      </c>
      <c r="H107">
        <v>-158.24469668088199</v>
      </c>
      <c r="I107">
        <v>24.015333102493599</v>
      </c>
      <c r="J107">
        <v>13.7312802272548</v>
      </c>
      <c r="K107">
        <v>4.4332830550850399</v>
      </c>
      <c r="L107">
        <v>3.0890481957460023E-5</v>
      </c>
      <c r="M107">
        <v>1.8299331536709061E-6</v>
      </c>
      <c r="N107" s="1">
        <v>-9.4897276509617996E-8</v>
      </c>
      <c r="O107" s="1">
        <v>4.0457107125701699E-11</v>
      </c>
      <c r="P107" s="1">
        <v>3.7032091348939399E-10</v>
      </c>
      <c r="Q107">
        <v>66.146054092663206</v>
      </c>
      <c r="S107">
        <v>20.4713866105003</v>
      </c>
      <c r="AA107">
        <v>1.45482611585944</v>
      </c>
      <c r="AB107">
        <v>8.7362592537242101</v>
      </c>
      <c r="AC107">
        <v>3.1914739272527299</v>
      </c>
      <c r="AJ107">
        <v>0.75054082028299296</v>
      </c>
      <c r="AK107">
        <v>6.9067014404057603E-2</v>
      </c>
      <c r="AL107">
        <v>0.18039216531294799</v>
      </c>
    </row>
    <row r="108" spans="1:38" x14ac:dyDescent="0.2">
      <c r="A108">
        <v>147</v>
      </c>
      <c r="B108">
        <v>770</v>
      </c>
      <c r="C108">
        <v>135</v>
      </c>
      <c r="D108">
        <v>0.45983847001869499</v>
      </c>
      <c r="E108">
        <v>7.2128613795369496</v>
      </c>
      <c r="F108">
        <v>2.5228410548831901</v>
      </c>
      <c r="G108">
        <v>-115.16695660909642</v>
      </c>
      <c r="H108">
        <v>-99.343841579302165</v>
      </c>
      <c r="I108">
        <v>15.168590355935599</v>
      </c>
      <c r="J108">
        <v>8.6262756334353892</v>
      </c>
      <c r="K108">
        <v>2.8590233084941201</v>
      </c>
      <c r="L108">
        <v>2.9174143728099411E-5</v>
      </c>
      <c r="M108">
        <v>1.8136335430987072E-6</v>
      </c>
      <c r="N108" s="1">
        <v>-3.5669141348633198E-8</v>
      </c>
      <c r="O108" s="1">
        <v>2.7111027448982901E-11</v>
      </c>
      <c r="P108" s="1">
        <v>1.6168001977065E-10</v>
      </c>
      <c r="Q108">
        <v>66.361930598822497</v>
      </c>
      <c r="S108">
        <v>19.2373414449766</v>
      </c>
      <c r="AA108">
        <v>0.38635438719922399</v>
      </c>
      <c r="AB108">
        <v>5.9821186346276596</v>
      </c>
      <c r="AC108">
        <v>8.0322549343739293</v>
      </c>
      <c r="AJ108">
        <v>0.52107895875578003</v>
      </c>
      <c r="AK108">
        <v>1.8597096886612902E-2</v>
      </c>
      <c r="AL108">
        <v>0.46032394435760599</v>
      </c>
    </row>
    <row r="109" spans="1:38" x14ac:dyDescent="0.2">
      <c r="A109">
        <v>148</v>
      </c>
      <c r="B109">
        <v>769</v>
      </c>
      <c r="C109">
        <v>135</v>
      </c>
      <c r="D109">
        <v>0.45925298661421299</v>
      </c>
      <c r="E109">
        <v>12.954636226370299</v>
      </c>
      <c r="F109">
        <v>2.5548521835329101</v>
      </c>
      <c r="G109">
        <v>-210.03886287773108</v>
      </c>
      <c r="H109">
        <v>-181.39467679527507</v>
      </c>
      <c r="I109">
        <v>27.485665290462901</v>
      </c>
      <c r="J109">
        <v>15.7323838454728</v>
      </c>
      <c r="K109">
        <v>5.0706010742493701</v>
      </c>
      <c r="L109">
        <v>3.0895148491689683E-5</v>
      </c>
      <c r="M109">
        <v>1.8268924879077224E-6</v>
      </c>
      <c r="N109" s="1">
        <v>-1.1296750743941199E-7</v>
      </c>
      <c r="O109" s="1">
        <v>4.6065074609596603E-11</v>
      </c>
      <c r="P109" s="1">
        <v>4.3680124652259998E-10</v>
      </c>
      <c r="Q109">
        <v>65.957474384717102</v>
      </c>
      <c r="S109">
        <v>20.6528214317844</v>
      </c>
      <c r="AA109">
        <v>1.6485141979622799</v>
      </c>
      <c r="AB109">
        <v>8.7916744579384805</v>
      </c>
      <c r="AC109">
        <v>2.9495155275976601</v>
      </c>
      <c r="AJ109">
        <v>0.75509035788918</v>
      </c>
      <c r="AK109">
        <v>7.8240354286285105E-2</v>
      </c>
      <c r="AL109">
        <v>0.166669287824534</v>
      </c>
    </row>
    <row r="110" spans="1:38" x14ac:dyDescent="0.2">
      <c r="A110">
        <v>148</v>
      </c>
      <c r="B110">
        <v>769</v>
      </c>
      <c r="C110">
        <v>135</v>
      </c>
      <c r="D110">
        <v>0.45925298661421299</v>
      </c>
      <c r="E110">
        <v>21.083777574269</v>
      </c>
      <c r="F110">
        <v>2.5220633795652101</v>
      </c>
      <c r="G110">
        <v>-336.26824290459729</v>
      </c>
      <c r="H110">
        <v>-290.13293501722984</v>
      </c>
      <c r="I110">
        <v>44.269354591342299</v>
      </c>
      <c r="J110">
        <v>25.187487752782499</v>
      </c>
      <c r="K110">
        <v>8.3597334409191806</v>
      </c>
      <c r="L110">
        <v>2.9030248485336607E-5</v>
      </c>
      <c r="M110">
        <v>1.8111762337302646E-6</v>
      </c>
      <c r="N110" s="1">
        <v>-1.02017419113459E-7</v>
      </c>
      <c r="O110" s="1">
        <v>7.9391864476627505E-11</v>
      </c>
      <c r="P110" s="1">
        <v>4.65693728844154E-10</v>
      </c>
      <c r="Q110">
        <v>66.297738722658906</v>
      </c>
      <c r="S110">
        <v>19.206889417674201</v>
      </c>
      <c r="AA110">
        <v>0.37620944961455</v>
      </c>
      <c r="AB110">
        <v>5.7592365318213599</v>
      </c>
      <c r="AC110">
        <v>8.3599258782308201</v>
      </c>
      <c r="AJ110">
        <v>0.502229115293647</v>
      </c>
      <c r="AK110">
        <v>1.81291507792165E-2</v>
      </c>
      <c r="AL110">
        <v>0.47964173392713499</v>
      </c>
    </row>
    <row r="111" spans="1:38" x14ac:dyDescent="0.2">
      <c r="A111">
        <v>149</v>
      </c>
      <c r="B111">
        <v>768</v>
      </c>
      <c r="C111">
        <v>135</v>
      </c>
      <c r="D111">
        <v>0.45866637852374798</v>
      </c>
      <c r="E111">
        <v>14.777607983365501</v>
      </c>
      <c r="F111">
        <v>2.55707461858499</v>
      </c>
      <c r="G111">
        <v>-239.68650283452592</v>
      </c>
      <c r="H111">
        <v>-207.06300016465252</v>
      </c>
      <c r="I111">
        <v>31.334104278800599</v>
      </c>
      <c r="J111">
        <v>17.9524465113034</v>
      </c>
      <c r="K111">
        <v>5.7791070608424597</v>
      </c>
      <c r="L111">
        <v>3.0894156613372728E-5</v>
      </c>
      <c r="M111">
        <v>1.8244542615310577E-6</v>
      </c>
      <c r="N111" s="1">
        <v>-1.33387941091116E-7</v>
      </c>
      <c r="O111" s="1">
        <v>5.23213705423567E-11</v>
      </c>
      <c r="P111" s="1">
        <v>5.1159503668222003E-10</v>
      </c>
      <c r="Q111">
        <v>65.813430202206902</v>
      </c>
      <c r="S111">
        <v>20.785378972603802</v>
      </c>
      <c r="AA111">
        <v>1.79148626719758</v>
      </c>
      <c r="AB111">
        <v>8.8181965474692294</v>
      </c>
      <c r="AC111">
        <v>2.79150801052235</v>
      </c>
      <c r="AJ111">
        <v>0.75726607932843004</v>
      </c>
      <c r="AK111">
        <v>8.5014499592683895E-2</v>
      </c>
      <c r="AL111">
        <v>0.15771942107888501</v>
      </c>
    </row>
    <row r="112" spans="1:38" x14ac:dyDescent="0.2">
      <c r="A112">
        <v>149</v>
      </c>
      <c r="B112">
        <v>768</v>
      </c>
      <c r="C112">
        <v>135</v>
      </c>
      <c r="D112">
        <v>0.45866637852374798</v>
      </c>
      <c r="E112">
        <v>30.548284303656299</v>
      </c>
      <c r="F112">
        <v>2.5215909844126099</v>
      </c>
      <c r="G112">
        <v>-486.82749761498673</v>
      </c>
      <c r="H112">
        <v>-420.13101063837468</v>
      </c>
      <c r="I112">
        <v>64.060401456669993</v>
      </c>
      <c r="J112">
        <v>36.467410359603903</v>
      </c>
      <c r="K112">
        <v>12.114686518349901</v>
      </c>
      <c r="L112">
        <v>2.8935541313264656E-5</v>
      </c>
      <c r="M112">
        <v>1.8095485735846523E-6</v>
      </c>
      <c r="N112" s="1">
        <v>-1.4712805570450899E-7</v>
      </c>
      <c r="O112" s="1">
        <v>1.15160295666908E-10</v>
      </c>
      <c r="P112" s="1">
        <v>6.7238759579704004E-10</v>
      </c>
      <c r="Q112">
        <v>66.253626002020795</v>
      </c>
      <c r="S112">
        <v>19.186119399141699</v>
      </c>
      <c r="AA112">
        <v>0.36936707195858598</v>
      </c>
      <c r="AB112">
        <v>5.6064823952390199</v>
      </c>
      <c r="AC112">
        <v>8.5844051316398708</v>
      </c>
      <c r="AJ112">
        <v>0.489285693285746</v>
      </c>
      <c r="AK112">
        <v>1.7813162157956801E-2</v>
      </c>
      <c r="AL112">
        <v>0.49290114455629602</v>
      </c>
    </row>
    <row r="113" spans="1:38" x14ac:dyDescent="0.2">
      <c r="A113">
        <v>150</v>
      </c>
      <c r="B113">
        <v>767</v>
      </c>
      <c r="C113">
        <v>135</v>
      </c>
      <c r="D113">
        <v>0.45807864250348701</v>
      </c>
      <c r="E113">
        <v>16.219326585013</v>
      </c>
      <c r="F113">
        <v>2.5585886244251301</v>
      </c>
      <c r="G113">
        <v>-263.12369015672624</v>
      </c>
      <c r="H113">
        <v>-227.3737475012191</v>
      </c>
      <c r="I113">
        <v>34.369987651307099</v>
      </c>
      <c r="J113">
        <v>19.709400613641801</v>
      </c>
      <c r="K113">
        <v>6.3391693491395902</v>
      </c>
      <c r="L113">
        <v>3.0898371888361538E-5</v>
      </c>
      <c r="M113">
        <v>1.8227564183858767E-6</v>
      </c>
      <c r="N113" s="1">
        <v>-1.5127426061804601E-7</v>
      </c>
      <c r="O113" s="1">
        <v>5.7244589235891199E-11</v>
      </c>
      <c r="P113" s="1">
        <v>5.7579053198586804E-10</v>
      </c>
      <c r="Q113">
        <v>65.713192506018004</v>
      </c>
      <c r="S113">
        <v>20.8759428495012</v>
      </c>
      <c r="AA113">
        <v>1.88959148900643</v>
      </c>
      <c r="AB113">
        <v>8.8322471934366398</v>
      </c>
      <c r="AC113">
        <v>2.6890259620375701</v>
      </c>
      <c r="AJ113">
        <v>0.75841811236138801</v>
      </c>
      <c r="AK113">
        <v>8.9663604830534899E-2</v>
      </c>
      <c r="AL113">
        <v>0.15191828280807601</v>
      </c>
    </row>
    <row r="114" spans="1:38" x14ac:dyDescent="0.2">
      <c r="A114">
        <v>150</v>
      </c>
      <c r="B114">
        <v>767</v>
      </c>
      <c r="C114">
        <v>135</v>
      </c>
      <c r="D114">
        <v>0.45807864250348701</v>
      </c>
      <c r="E114">
        <v>36.636079826572498</v>
      </c>
      <c r="F114">
        <v>2.52130429782195</v>
      </c>
      <c r="G114">
        <v>-583.50305361214271</v>
      </c>
      <c r="H114">
        <v>-503.67520772940708</v>
      </c>
      <c r="I114">
        <v>76.746474914902194</v>
      </c>
      <c r="J114">
        <v>43.714498331849903</v>
      </c>
      <c r="K114">
        <v>14.530606185941499</v>
      </c>
      <c r="L114">
        <v>2.887633027414745E-5</v>
      </c>
      <c r="M114">
        <v>1.8085153803835429E-6</v>
      </c>
      <c r="N114" s="1">
        <v>-1.7795569582740599E-7</v>
      </c>
      <c r="O114" s="1">
        <v>1.38198336800589E-10</v>
      </c>
      <c r="P114" s="1">
        <v>8.1048155948814001E-10</v>
      </c>
      <c r="Q114">
        <v>66.224722196329097</v>
      </c>
      <c r="S114">
        <v>19.1715741528207</v>
      </c>
      <c r="AA114">
        <v>0.36411140273024001</v>
      </c>
      <c r="AB114">
        <v>5.50393955977398</v>
      </c>
      <c r="AC114">
        <v>8.7356526883458496</v>
      </c>
      <c r="AJ114">
        <v>0.48058565277630799</v>
      </c>
      <c r="AK114">
        <v>1.7568804709302301E-2</v>
      </c>
      <c r="AL114">
        <v>0.50184554251438895</v>
      </c>
    </row>
    <row r="115" spans="1:38" x14ac:dyDescent="0.2">
      <c r="A115">
        <v>151</v>
      </c>
      <c r="B115">
        <v>766</v>
      </c>
      <c r="C115">
        <v>135</v>
      </c>
      <c r="D115">
        <v>0.45748977529712298</v>
      </c>
      <c r="E115">
        <v>16.9279327559187</v>
      </c>
      <c r="F115">
        <v>2.5593151630916098</v>
      </c>
      <c r="G115">
        <v>-274.62719917602936</v>
      </c>
      <c r="H115">
        <v>-237.37273732310587</v>
      </c>
      <c r="I115">
        <v>35.850899151155701</v>
      </c>
      <c r="J115">
        <v>20.575645866854099</v>
      </c>
      <c r="K115">
        <v>6.61424313818</v>
      </c>
      <c r="L115">
        <v>3.0916924957285928E-5</v>
      </c>
      <c r="M115">
        <v>1.8221297902114372E-6</v>
      </c>
      <c r="N115" s="1">
        <v>-1.6304055751134499E-7</v>
      </c>
      <c r="O115" s="1">
        <v>5.9635664769312302E-11</v>
      </c>
      <c r="P115" s="1">
        <v>6.1598282526429697E-10</v>
      </c>
      <c r="Q115">
        <v>65.669921293444901</v>
      </c>
      <c r="S115">
        <v>20.916228861278199</v>
      </c>
      <c r="AA115">
        <v>1.9329246071167501</v>
      </c>
      <c r="AB115">
        <v>8.8414346337392207</v>
      </c>
      <c r="AC115">
        <v>2.6394906044208799</v>
      </c>
      <c r="AJ115">
        <v>0.75917165374278595</v>
      </c>
      <c r="AK115">
        <v>9.1715544474442703E-2</v>
      </c>
      <c r="AL115">
        <v>0.14911280178277</v>
      </c>
    </row>
    <row r="116" spans="1:38" x14ac:dyDescent="0.2">
      <c r="A116">
        <v>151</v>
      </c>
      <c r="B116">
        <v>766</v>
      </c>
      <c r="C116">
        <v>135</v>
      </c>
      <c r="D116">
        <v>0.45748977529712298</v>
      </c>
      <c r="E116">
        <v>39.1606274335156</v>
      </c>
      <c r="F116">
        <v>2.5211781143816201</v>
      </c>
      <c r="G116">
        <v>-623.48621253317742</v>
      </c>
      <c r="H116">
        <v>-538.30768557291253</v>
      </c>
      <c r="I116">
        <v>81.969424010263197</v>
      </c>
      <c r="J116">
        <v>46.718286878442797</v>
      </c>
      <c r="K116">
        <v>15.532669909408799</v>
      </c>
      <c r="L116">
        <v>2.8854123970007757E-5</v>
      </c>
      <c r="M116">
        <v>1.8080935635452501E-6</v>
      </c>
      <c r="N116" s="1">
        <v>-1.94586545923641E-7</v>
      </c>
      <c r="O116" s="1">
        <v>1.4774287796540099E-10</v>
      </c>
      <c r="P116" s="1">
        <v>8.7888981023977798E-10</v>
      </c>
      <c r="Q116">
        <v>66.212189832393193</v>
      </c>
      <c r="S116">
        <v>19.162831675428301</v>
      </c>
      <c r="AA116">
        <v>0.35982302516174502</v>
      </c>
      <c r="AB116">
        <v>5.4530923176175197</v>
      </c>
      <c r="AC116">
        <v>8.8120631493991208</v>
      </c>
      <c r="AJ116">
        <v>0.47626829198170401</v>
      </c>
      <c r="AK116">
        <v>1.7366350405096299E-2</v>
      </c>
      <c r="AL116">
        <v>0.50636535761319801</v>
      </c>
    </row>
    <row r="117" spans="1:38" x14ac:dyDescent="0.2">
      <c r="A117">
        <v>152</v>
      </c>
      <c r="B117">
        <v>765</v>
      </c>
      <c r="C117">
        <v>135</v>
      </c>
      <c r="D117">
        <v>0.45689977363579698</v>
      </c>
      <c r="E117">
        <v>17.358305640934301</v>
      </c>
      <c r="F117">
        <v>2.5597722951959598</v>
      </c>
      <c r="G117">
        <v>-281.60124111293021</v>
      </c>
      <c r="H117">
        <v>-243.45782839189357</v>
      </c>
      <c r="I117">
        <v>36.741716246242497</v>
      </c>
      <c r="J117">
        <v>21.104046194013101</v>
      </c>
      <c r="K117">
        <v>6.7811913088955</v>
      </c>
      <c r="L117">
        <v>3.094162928000642E-5</v>
      </c>
      <c r="M117">
        <v>1.8218916057140581E-6</v>
      </c>
      <c r="N117" s="1">
        <v>-1.72627415463921E-7</v>
      </c>
      <c r="O117" s="1">
        <v>6.1066246766091302E-11</v>
      </c>
      <c r="P117" s="1">
        <v>6.4747330138349903E-10</v>
      </c>
      <c r="Q117">
        <v>65.646815006052094</v>
      </c>
      <c r="S117">
        <v>20.939011478342799</v>
      </c>
      <c r="AA117">
        <v>1.95711203575033</v>
      </c>
      <c r="AB117">
        <v>8.8496711037713691</v>
      </c>
      <c r="AC117">
        <v>2.6073903760832402</v>
      </c>
      <c r="AJ117">
        <v>0.75984737732909002</v>
      </c>
      <c r="AK117">
        <v>9.2859366464527998E-2</v>
      </c>
      <c r="AL117">
        <v>0.14729325620638101</v>
      </c>
    </row>
    <row r="118" spans="1:38" x14ac:dyDescent="0.2">
      <c r="A118">
        <v>152</v>
      </c>
      <c r="B118">
        <v>765</v>
      </c>
      <c r="C118">
        <v>135</v>
      </c>
      <c r="D118">
        <v>0.45689977363579698</v>
      </c>
      <c r="E118">
        <v>40.475148401552403</v>
      </c>
      <c r="F118">
        <v>2.5211039662180399</v>
      </c>
      <c r="G118">
        <v>-644.23062666076589</v>
      </c>
      <c r="H118">
        <v>-556.34065249553942</v>
      </c>
      <c r="I118">
        <v>84.660187993282705</v>
      </c>
      <c r="J118">
        <v>48.282388024505899</v>
      </c>
      <c r="K118">
        <v>16.054533626500799</v>
      </c>
      <c r="L118">
        <v>2.8844567908289982E-5</v>
      </c>
      <c r="M118">
        <v>1.8078767386593192E-6</v>
      </c>
      <c r="N118" s="1">
        <v>-2.0671854404858499E-7</v>
      </c>
      <c r="O118" s="1">
        <v>1.52698092174307E-10</v>
      </c>
      <c r="P118" s="1">
        <v>9.2457504110580705E-10</v>
      </c>
      <c r="Q118">
        <v>66.205167092947306</v>
      </c>
      <c r="S118">
        <v>19.156021400213898</v>
      </c>
      <c r="AA118">
        <v>0.35584313862092998</v>
      </c>
      <c r="AB118">
        <v>5.4195884974358899</v>
      </c>
      <c r="AC118">
        <v>8.8633798707818503</v>
      </c>
      <c r="AJ118">
        <v>0.47342233244911303</v>
      </c>
      <c r="AK118">
        <v>1.7177177953310301E-2</v>
      </c>
      <c r="AL118">
        <v>0.509400489597575</v>
      </c>
    </row>
    <row r="119" spans="1:38" x14ac:dyDescent="0.2">
      <c r="A119">
        <v>154</v>
      </c>
      <c r="B119">
        <v>793</v>
      </c>
      <c r="C119">
        <v>115</v>
      </c>
      <c r="D119">
        <v>0.49363644890494002</v>
      </c>
      <c r="E119">
        <v>0.27771765152619099</v>
      </c>
      <c r="F119">
        <v>2.5616102831674601</v>
      </c>
      <c r="G119">
        <v>-4.5348731579395984</v>
      </c>
      <c r="H119">
        <v>-3.8982173228781929</v>
      </c>
      <c r="I119">
        <v>0.59715409188332202</v>
      </c>
      <c r="J119">
        <v>0.33724818205284102</v>
      </c>
      <c r="K119">
        <v>0.10841526259911401</v>
      </c>
      <c r="L119">
        <v>3.0675701100910902E-5</v>
      </c>
      <c r="M119">
        <v>1.8220433786473709E-6</v>
      </c>
      <c r="N119" s="1">
        <v>-1.20141743542954E-9</v>
      </c>
      <c r="O119" s="1">
        <v>9.8376368285918592E-13</v>
      </c>
      <c r="P119" s="1">
        <v>5.80363641148884E-12</v>
      </c>
      <c r="Q119">
        <v>65.605275316728907</v>
      </c>
      <c r="S119">
        <v>21.145618221881701</v>
      </c>
      <c r="AA119">
        <v>2.13725743327339</v>
      </c>
      <c r="AB119">
        <v>9.2987485722800507</v>
      </c>
      <c r="AC119">
        <v>1.8131004558358099</v>
      </c>
      <c r="AJ119">
        <v>0.79662470633506499</v>
      </c>
      <c r="AK119">
        <v>0.101180516699671</v>
      </c>
      <c r="AL119">
        <v>0.102194776965263</v>
      </c>
    </row>
    <row r="120" spans="1:38" x14ac:dyDescent="0.2">
      <c r="A120">
        <v>155</v>
      </c>
      <c r="B120">
        <v>792</v>
      </c>
      <c r="C120">
        <v>115</v>
      </c>
      <c r="D120">
        <v>0.49309533868469302</v>
      </c>
      <c r="E120">
        <v>0.66002911255209595</v>
      </c>
      <c r="F120">
        <v>2.56123465896041</v>
      </c>
      <c r="G120">
        <v>-10.775240052226533</v>
      </c>
      <c r="H120">
        <v>-9.2643042660629682</v>
      </c>
      <c r="I120">
        <v>1.4185192565963101</v>
      </c>
      <c r="J120">
        <v>0.80154831710550201</v>
      </c>
      <c r="K120">
        <v>0.25769958650333002</v>
      </c>
      <c r="L120">
        <v>3.0699069447476895E-5</v>
      </c>
      <c r="M120">
        <v>1.8228850595578496E-6</v>
      </c>
      <c r="N120" s="1">
        <v>-2.9518776194040301E-9</v>
      </c>
      <c r="O120" s="1">
        <v>2.33905473365246E-12</v>
      </c>
      <c r="P120" s="1">
        <v>1.4076793166589001E-11</v>
      </c>
      <c r="Q120">
        <v>65.6419344379987</v>
      </c>
      <c r="S120">
        <v>21.1145283902481</v>
      </c>
      <c r="AA120">
        <v>2.10305409905525</v>
      </c>
      <c r="AB120">
        <v>9.2989354228649503</v>
      </c>
      <c r="AC120">
        <v>1.84154764983283</v>
      </c>
      <c r="AJ120">
        <v>0.79664055940522904</v>
      </c>
      <c r="AK120">
        <v>9.9561267550478602E-2</v>
      </c>
      <c r="AL120">
        <v>0.10379817304429199</v>
      </c>
    </row>
    <row r="121" spans="1:38" x14ac:dyDescent="0.2">
      <c r="A121">
        <v>156</v>
      </c>
      <c r="B121">
        <v>791</v>
      </c>
      <c r="C121">
        <v>115</v>
      </c>
      <c r="D121">
        <v>0.49255321148334702</v>
      </c>
      <c r="E121">
        <v>1.0424777704547501</v>
      </c>
      <c r="F121">
        <v>2.56086490902074</v>
      </c>
      <c r="G121">
        <v>-17.015027154895911</v>
      </c>
      <c r="H121">
        <v>-14.631996770930108</v>
      </c>
      <c r="I121">
        <v>2.2393745092005801</v>
      </c>
      <c r="J121">
        <v>1.26606051439539</v>
      </c>
      <c r="K121">
        <v>0.40708034491885298</v>
      </c>
      <c r="L121">
        <v>3.0722093352712105E-5</v>
      </c>
      <c r="M121">
        <v>1.8237008471443414E-6</v>
      </c>
      <c r="N121" s="1">
        <v>-4.8183366477572101E-9</v>
      </c>
      <c r="O121" s="1">
        <v>3.6959335785763396E-12</v>
      </c>
      <c r="P121" s="1">
        <v>2.2691718385373199E-11</v>
      </c>
      <c r="Q121">
        <v>65.677530203040803</v>
      </c>
      <c r="S121">
        <v>21.084098469921202</v>
      </c>
      <c r="AA121">
        <v>2.06964331806084</v>
      </c>
      <c r="AB121">
        <v>9.2984826843959603</v>
      </c>
      <c r="AC121">
        <v>1.8702453245810799</v>
      </c>
      <c r="AJ121">
        <v>0.79660413204458103</v>
      </c>
      <c r="AK121">
        <v>9.7979848621109103E-2</v>
      </c>
      <c r="AL121">
        <v>0.105416019334309</v>
      </c>
    </row>
    <row r="122" spans="1:38" x14ac:dyDescent="0.2">
      <c r="A122">
        <v>157</v>
      </c>
      <c r="B122">
        <v>790</v>
      </c>
      <c r="C122">
        <v>115</v>
      </c>
      <c r="D122">
        <v>0.49201006443117301</v>
      </c>
      <c r="E122">
        <v>1.4249342941940899</v>
      </c>
      <c r="F122">
        <v>2.5605009549571398</v>
      </c>
      <c r="G122">
        <v>-23.252114226451546</v>
      </c>
      <c r="H122">
        <v>-19.999476629933817</v>
      </c>
      <c r="I122">
        <v>3.05943431925667</v>
      </c>
      <c r="J122">
        <v>1.7306297374308901</v>
      </c>
      <c r="K122">
        <v>0.55650605848649004</v>
      </c>
      <c r="L122">
        <v>3.0744791416746444E-5</v>
      </c>
      <c r="M122">
        <v>1.8244912316749467E-6</v>
      </c>
      <c r="N122" s="1">
        <v>-6.80423441667403E-9</v>
      </c>
      <c r="O122" s="1">
        <v>5.0538499500410697E-12</v>
      </c>
      <c r="P122" s="1">
        <v>3.1657202132038399E-11</v>
      </c>
      <c r="Q122">
        <v>65.712080123589601</v>
      </c>
      <c r="S122">
        <v>21.0543176690834</v>
      </c>
      <c r="AA122">
        <v>2.0370121008062299</v>
      </c>
      <c r="AB122">
        <v>9.2974010886817897</v>
      </c>
      <c r="AC122">
        <v>1.89918901783883</v>
      </c>
      <c r="AJ122">
        <v>0.79651630067644796</v>
      </c>
      <c r="AK122">
        <v>9.6435625229762206E-2</v>
      </c>
      <c r="AL122">
        <v>0.107048074093789</v>
      </c>
    </row>
    <row r="123" spans="1:38" x14ac:dyDescent="0.2">
      <c r="A123">
        <v>158</v>
      </c>
      <c r="B123">
        <v>789</v>
      </c>
      <c r="C123">
        <v>115</v>
      </c>
      <c r="D123">
        <v>0.49146589464765</v>
      </c>
      <c r="E123">
        <v>1.80727280798199</v>
      </c>
      <c r="F123">
        <v>2.5601427108650001</v>
      </c>
      <c r="G123">
        <v>-29.484439586270248</v>
      </c>
      <c r="H123">
        <v>-25.364974446219527</v>
      </c>
      <c r="I123">
        <v>3.8784212588153402</v>
      </c>
      <c r="J123">
        <v>2.1951053392232001</v>
      </c>
      <c r="K123">
        <v>0.70592658772969896</v>
      </c>
      <c r="L123">
        <v>3.0767182914484637E-5</v>
      </c>
      <c r="M123">
        <v>1.8252567228405856E-6</v>
      </c>
      <c r="N123" s="1">
        <v>-8.9131153392186798E-9</v>
      </c>
      <c r="O123" s="1">
        <v>6.4122651838481201E-12</v>
      </c>
      <c r="P123" s="1">
        <v>4.0982347768062998E-11</v>
      </c>
      <c r="Q123">
        <v>65.745602572495798</v>
      </c>
      <c r="S123">
        <v>21.025174573482602</v>
      </c>
      <c r="AA123">
        <v>2.0051467433630799</v>
      </c>
      <c r="AB123">
        <v>9.2957016546888305</v>
      </c>
      <c r="AC123">
        <v>1.9283744559695699</v>
      </c>
      <c r="AJ123">
        <v>0.79637796427563001</v>
      </c>
      <c r="AK123">
        <v>9.4927929749447595E-2</v>
      </c>
      <c r="AL123">
        <v>0.108694105974921</v>
      </c>
    </row>
    <row r="124" spans="1:38" x14ac:dyDescent="0.2">
      <c r="A124">
        <v>159</v>
      </c>
      <c r="B124">
        <v>788</v>
      </c>
      <c r="C124">
        <v>115</v>
      </c>
      <c r="D124">
        <v>0.49092069924139198</v>
      </c>
      <c r="E124">
        <v>2.18937126810023</v>
      </c>
      <c r="F124">
        <v>2.5597900840982302</v>
      </c>
      <c r="G124">
        <v>-35.710006176811</v>
      </c>
      <c r="H124">
        <v>-30.726774889507638</v>
      </c>
      <c r="I124">
        <v>4.6960668023402503</v>
      </c>
      <c r="J124">
        <v>2.6593415275024799</v>
      </c>
      <c r="K124">
        <v>0.855293284281747</v>
      </c>
      <c r="L124">
        <v>3.0789287739100443E-5</v>
      </c>
      <c r="M124">
        <v>1.825997846975898E-6</v>
      </c>
      <c r="N124" s="1">
        <v>-1.11486365752753E-8</v>
      </c>
      <c r="O124" s="1">
        <v>7.7706537056643296E-12</v>
      </c>
      <c r="P124" s="1">
        <v>5.0676598292390097E-11</v>
      </c>
      <c r="Q124">
        <v>65.778116667890799</v>
      </c>
      <c r="S124">
        <v>20.996657224340499</v>
      </c>
      <c r="AA124">
        <v>1.97403291866234</v>
      </c>
      <c r="AB124">
        <v>9.2933956346561306</v>
      </c>
      <c r="AC124">
        <v>1.95779755445012</v>
      </c>
      <c r="AJ124">
        <v>0.79619004001976201</v>
      </c>
      <c r="AK124">
        <v>9.3456065924670997E-2</v>
      </c>
      <c r="AL124">
        <v>0.110353894055566</v>
      </c>
    </row>
    <row r="125" spans="1:38" x14ac:dyDescent="0.2">
      <c r="A125">
        <v>160</v>
      </c>
      <c r="B125">
        <v>787</v>
      </c>
      <c r="C125">
        <v>115</v>
      </c>
      <c r="D125">
        <v>0.49037447531009798</v>
      </c>
      <c r="E125">
        <v>2.5711117915689399</v>
      </c>
      <c r="F125">
        <v>2.5594429760480599</v>
      </c>
      <c r="G125">
        <v>-41.926886834855253</v>
      </c>
      <c r="H125">
        <v>-36.083221277514575</v>
      </c>
      <c r="I125">
        <v>5.51211201937525</v>
      </c>
      <c r="J125">
        <v>3.1231977711175798</v>
      </c>
      <c r="K125">
        <v>1.0045591230709401</v>
      </c>
      <c r="L125">
        <v>3.0811126348791361E-5</v>
      </c>
      <c r="M125">
        <v>1.8267151443837365E-6</v>
      </c>
      <c r="N125" s="1">
        <v>-1.35145766200059E-8</v>
      </c>
      <c r="O125" s="1">
        <v>9.1285043276847603E-12</v>
      </c>
      <c r="P125" s="1">
        <v>6.0749763297695901E-11</v>
      </c>
      <c r="Q125">
        <v>65.809642160526394</v>
      </c>
      <c r="S125">
        <v>20.968753194899001</v>
      </c>
      <c r="AA125">
        <v>1.9436557659332601</v>
      </c>
      <c r="AB125">
        <v>9.2904944637131202</v>
      </c>
      <c r="AC125">
        <v>1.98745441492803</v>
      </c>
      <c r="AJ125">
        <v>0.79595345922731497</v>
      </c>
      <c r="AK125">
        <v>9.20193130948226E-2</v>
      </c>
      <c r="AL125">
        <v>0.112027227677862</v>
      </c>
    </row>
    <row r="126" spans="1:38" x14ac:dyDescent="0.2">
      <c r="A126">
        <v>161</v>
      </c>
      <c r="B126">
        <v>786</v>
      </c>
      <c r="C126">
        <v>115</v>
      </c>
      <c r="D126">
        <v>0.48982721994052197</v>
      </c>
      <c r="E126">
        <v>2.9523809308898201</v>
      </c>
      <c r="F126">
        <v>2.5591012829403201</v>
      </c>
      <c r="G126">
        <v>-48.133228677607008</v>
      </c>
      <c r="H126">
        <v>-41.432719402661704</v>
      </c>
      <c r="I126">
        <v>6.3263081479915897</v>
      </c>
      <c r="J126">
        <v>3.5865391406662801</v>
      </c>
      <c r="K126">
        <v>1.1536788131721101</v>
      </c>
      <c r="L126">
        <v>3.0832719717429377E-5</v>
      </c>
      <c r="M126">
        <v>1.8274091667695672E-6</v>
      </c>
      <c r="N126" s="1">
        <v>-1.60148442086573E-8</v>
      </c>
      <c r="O126" s="1">
        <v>1.04853213338709E-11</v>
      </c>
      <c r="P126" s="1">
        <v>7.1212046365950504E-11</v>
      </c>
      <c r="Q126">
        <v>65.840199324214495</v>
      </c>
      <c r="S126">
        <v>20.9414496660563</v>
      </c>
      <c r="AA126">
        <v>1.9139999786688</v>
      </c>
      <c r="AB126">
        <v>9.2870097140201295</v>
      </c>
      <c r="AC126">
        <v>2.0173413170401702</v>
      </c>
      <c r="AJ126">
        <v>0.79566916366502205</v>
      </c>
      <c r="AK126">
        <v>9.0616930343030894E-2</v>
      </c>
      <c r="AL126">
        <v>0.113713905991946</v>
      </c>
    </row>
    <row r="127" spans="1:38" x14ac:dyDescent="0.2">
      <c r="A127">
        <v>162</v>
      </c>
      <c r="B127">
        <v>785</v>
      </c>
      <c r="C127">
        <v>115</v>
      </c>
      <c r="D127">
        <v>0.48927893020838498</v>
      </c>
      <c r="E127">
        <v>3.4054954260565902</v>
      </c>
      <c r="F127">
        <v>2.5586804383623099</v>
      </c>
      <c r="G127">
        <v>-55.506270858476832</v>
      </c>
      <c r="H127">
        <v>-47.788612052257143</v>
      </c>
      <c r="I127">
        <v>7.2935394851577602</v>
      </c>
      <c r="J127">
        <v>4.1371542412811397</v>
      </c>
      <c r="K127">
        <v>1.33095769795945</v>
      </c>
      <c r="L127">
        <v>3.0853346145495721E-5</v>
      </c>
      <c r="M127">
        <v>1.8281371587158606E-6</v>
      </c>
      <c r="N127" s="1">
        <v>-1.9049627895445299E-8</v>
      </c>
      <c r="O127" s="1">
        <v>1.2099632395520701E-11</v>
      </c>
      <c r="P127" s="1">
        <v>8.38287216399553E-11</v>
      </c>
      <c r="Q127">
        <v>65.873932879350505</v>
      </c>
      <c r="S127">
        <v>20.910013172598401</v>
      </c>
      <c r="AA127">
        <v>1.8801932857583801</v>
      </c>
      <c r="AB127">
        <v>9.2797682782968902</v>
      </c>
      <c r="AC127">
        <v>2.0560923839957401</v>
      </c>
      <c r="AJ127">
        <v>0.795077880718708</v>
      </c>
      <c r="AK127">
        <v>8.9019638738601595E-2</v>
      </c>
      <c r="AL127">
        <v>0.11590248054268899</v>
      </c>
    </row>
    <row r="128" spans="1:38" x14ac:dyDescent="0.2">
      <c r="A128">
        <v>163</v>
      </c>
      <c r="B128">
        <v>784</v>
      </c>
      <c r="C128">
        <v>115</v>
      </c>
      <c r="D128">
        <v>0.48872960317835601</v>
      </c>
      <c r="E128">
        <v>4.6403173209324198</v>
      </c>
      <c r="F128">
        <v>2.5573336709813099</v>
      </c>
      <c r="G128">
        <v>-75.590244383235131</v>
      </c>
      <c r="H128">
        <v>-65.089471313334201</v>
      </c>
      <c r="I128">
        <v>9.9330965992535898</v>
      </c>
      <c r="J128">
        <v>5.6363673350314096</v>
      </c>
      <c r="K128">
        <v>1.8145138327419801</v>
      </c>
      <c r="L128">
        <v>3.0861959330455042E-5</v>
      </c>
      <c r="M128">
        <v>1.8293638981663487E-6</v>
      </c>
      <c r="N128" s="1">
        <v>-2.66041240913697E-8</v>
      </c>
      <c r="O128" s="1">
        <v>1.6519063208715699E-11</v>
      </c>
      <c r="P128" s="1">
        <v>1.16087481001855E-10</v>
      </c>
      <c r="Q128">
        <v>65.948700460481803</v>
      </c>
      <c r="S128">
        <v>20.828608918809302</v>
      </c>
      <c r="AA128">
        <v>1.7955879499507701</v>
      </c>
      <c r="AB128">
        <v>9.2329719893873694</v>
      </c>
      <c r="AC128">
        <v>2.1941306813706398</v>
      </c>
      <c r="AJ128">
        <v>0.79125352128910698</v>
      </c>
      <c r="AK128">
        <v>8.5033804499308904E-2</v>
      </c>
      <c r="AL128">
        <v>0.123712674211583</v>
      </c>
    </row>
    <row r="129" spans="1:38" x14ac:dyDescent="0.2">
      <c r="A129">
        <v>164</v>
      </c>
      <c r="B129">
        <v>783</v>
      </c>
      <c r="C129">
        <v>115</v>
      </c>
      <c r="D129">
        <v>0.48817923590399198</v>
      </c>
      <c r="E129">
        <v>5.9442194555242498</v>
      </c>
      <c r="F129">
        <v>2.5558662527785998</v>
      </c>
      <c r="G129">
        <v>-96.770175623042974</v>
      </c>
      <c r="H129">
        <v>-83.338726469855416</v>
      </c>
      <c r="I129">
        <v>12.7173688900132</v>
      </c>
      <c r="J129">
        <v>7.2185285476348904</v>
      </c>
      <c r="K129">
        <v>2.32571616337983</v>
      </c>
      <c r="L129">
        <v>3.0861461927623168E-5</v>
      </c>
      <c r="M129">
        <v>1.8304302166690997E-6</v>
      </c>
      <c r="N129" s="1">
        <v>-3.4852552403942003E-8</v>
      </c>
      <c r="O129" s="1">
        <v>2.12054270798303E-11</v>
      </c>
      <c r="P129" s="1">
        <v>1.5092117709807899E-10</v>
      </c>
      <c r="Q129">
        <v>66.021177809774301</v>
      </c>
      <c r="S129">
        <v>20.743930346378502</v>
      </c>
      <c r="AA129">
        <v>1.7088156620275701</v>
      </c>
      <c r="AB129">
        <v>9.1724879896127796</v>
      </c>
      <c r="AC129">
        <v>2.3535881922066801</v>
      </c>
      <c r="AJ129">
        <v>0.78630752071157495</v>
      </c>
      <c r="AK129">
        <v>8.0948961952907503E-2</v>
      </c>
      <c r="AL129">
        <v>0.13274351733551601</v>
      </c>
    </row>
    <row r="130" spans="1:38" x14ac:dyDescent="0.2">
      <c r="A130">
        <v>165</v>
      </c>
      <c r="B130">
        <v>782</v>
      </c>
      <c r="C130">
        <v>115</v>
      </c>
      <c r="D130">
        <v>0.48762782542766497</v>
      </c>
      <c r="E130">
        <v>7.3477637172206203</v>
      </c>
      <c r="F130">
        <v>2.5542228152734401</v>
      </c>
      <c r="G130">
        <v>-119.53408869772251</v>
      </c>
      <c r="H130">
        <v>-102.95658978965021</v>
      </c>
      <c r="I130">
        <v>15.7110353106878</v>
      </c>
      <c r="J130">
        <v>8.9201564931411497</v>
      </c>
      <c r="K130">
        <v>2.87671211504466</v>
      </c>
      <c r="L130">
        <v>3.084888539391434E-5</v>
      </c>
      <c r="M130">
        <v>1.8313053454946244E-6</v>
      </c>
      <c r="N130" s="1">
        <v>-4.3929419251352303E-8</v>
      </c>
      <c r="O130" s="1">
        <v>2.6274106916599301E-11</v>
      </c>
      <c r="P130" s="1">
        <v>1.8896447806877699E-10</v>
      </c>
      <c r="Q130">
        <v>66.091774173162307</v>
      </c>
      <c r="S130">
        <v>20.6538067929603</v>
      </c>
      <c r="AA130">
        <v>1.6179901113836901</v>
      </c>
      <c r="AB130">
        <v>9.0935375880498697</v>
      </c>
      <c r="AC130">
        <v>2.5428913344437598</v>
      </c>
      <c r="AJ130">
        <v>0.77984658219430603</v>
      </c>
      <c r="AK130">
        <v>7.6676619963731193E-2</v>
      </c>
      <c r="AL130">
        <v>0.14347679784196199</v>
      </c>
    </row>
    <row r="131" spans="1:38" x14ac:dyDescent="0.2">
      <c r="A131">
        <v>166</v>
      </c>
      <c r="B131">
        <v>781</v>
      </c>
      <c r="C131">
        <v>115</v>
      </c>
      <c r="D131">
        <v>0.48707536878053398</v>
      </c>
      <c r="E131">
        <v>8.9072758317388896</v>
      </c>
      <c r="F131">
        <v>2.5523062354607302</v>
      </c>
      <c r="G131">
        <v>-144.78148763812641</v>
      </c>
      <c r="H131">
        <v>-124.71751662893116</v>
      </c>
      <c r="I131">
        <v>19.033316899108499</v>
      </c>
      <c r="J131">
        <v>10.808551767012901</v>
      </c>
      <c r="K131">
        <v>3.4898930653323301</v>
      </c>
      <c r="L131">
        <v>3.0818892836832091E-5</v>
      </c>
      <c r="M131">
        <v>1.8319318994097661E-6</v>
      </c>
      <c r="N131" s="1">
        <v>-5.4067149763201403E-8</v>
      </c>
      <c r="O131" s="1">
        <v>3.1938183413215102E-11</v>
      </c>
      <c r="P131" s="1">
        <v>2.31342435045171E-10</v>
      </c>
      <c r="Q131">
        <v>66.161093303946501</v>
      </c>
      <c r="S131">
        <v>20.554459101851499</v>
      </c>
      <c r="AA131">
        <v>1.5198525774646801</v>
      </c>
      <c r="AB131">
        <v>8.9875586659365503</v>
      </c>
      <c r="AC131">
        <v>2.7770363508006599</v>
      </c>
      <c r="AJ131">
        <v>0.77116535412231701</v>
      </c>
      <c r="AK131">
        <v>7.2063943889979901E-2</v>
      </c>
      <c r="AL131">
        <v>0.15677070198770199</v>
      </c>
    </row>
    <row r="132" spans="1:38" x14ac:dyDescent="0.2">
      <c r="A132">
        <v>167</v>
      </c>
      <c r="B132">
        <v>780</v>
      </c>
      <c r="C132">
        <v>115</v>
      </c>
      <c r="D132">
        <v>0.48652186298248101</v>
      </c>
      <c r="E132">
        <v>10.7438730682259</v>
      </c>
      <c r="F132">
        <v>2.5499207428816399</v>
      </c>
      <c r="G132">
        <v>-174.44633049811895</v>
      </c>
      <c r="H132">
        <v>-150.28650601965865</v>
      </c>
      <c r="I132">
        <v>22.940535041029499</v>
      </c>
      <c r="J132">
        <v>13.028386443063001</v>
      </c>
      <c r="K132">
        <v>4.21341451424267</v>
      </c>
      <c r="L132">
        <v>3.0760369079375823E-5</v>
      </c>
      <c r="M132">
        <v>1.832185281729384E-6</v>
      </c>
      <c r="N132" s="1">
        <v>-6.5734706425189805E-8</v>
      </c>
      <c r="O132" s="1">
        <v>3.8656574102113597E-11</v>
      </c>
      <c r="P132" s="1">
        <v>2.8038468716135201E-10</v>
      </c>
      <c r="Q132">
        <v>66.2300504001674</v>
      </c>
      <c r="S132">
        <v>20.438337375385</v>
      </c>
      <c r="AA132">
        <v>1.4079607684391899</v>
      </c>
      <c r="AB132">
        <v>8.8367976547468103</v>
      </c>
      <c r="AC132">
        <v>3.0868538012614701</v>
      </c>
      <c r="AJ132">
        <v>0.75879954123839399</v>
      </c>
      <c r="AK132">
        <v>6.6808772610313302E-2</v>
      </c>
      <c r="AL132">
        <v>0.174391686151291</v>
      </c>
    </row>
    <row r="133" spans="1:38" x14ac:dyDescent="0.2">
      <c r="A133">
        <v>168</v>
      </c>
      <c r="B133">
        <v>779</v>
      </c>
      <c r="C133">
        <v>115</v>
      </c>
      <c r="D133">
        <v>0.48596730504205599</v>
      </c>
      <c r="E133">
        <v>13.1960599634287</v>
      </c>
      <c r="F133">
        <v>2.5465757323171001</v>
      </c>
      <c r="G133">
        <v>-213.93162424719915</v>
      </c>
      <c r="H133">
        <v>-184.31500968892504</v>
      </c>
      <c r="I133">
        <v>28.148661843153601</v>
      </c>
      <c r="J133">
        <v>15.983736140756401</v>
      </c>
      <c r="K133">
        <v>5.1818839691139997</v>
      </c>
      <c r="L133">
        <v>3.0643934033044801E-5</v>
      </c>
      <c r="M133">
        <v>1.831717105077911E-6</v>
      </c>
      <c r="N133" s="1">
        <v>-8.0153090869672906E-8</v>
      </c>
      <c r="O133" s="1">
        <v>4.7713640280470098E-11</v>
      </c>
      <c r="P133" s="1">
        <v>3.4233933338346302E-10</v>
      </c>
      <c r="Q133">
        <v>66.299711215218295</v>
      </c>
      <c r="S133">
        <v>20.286773503704399</v>
      </c>
      <c r="AA133">
        <v>1.2666646235449699</v>
      </c>
      <c r="AB133">
        <v>8.5946886517657504</v>
      </c>
      <c r="AC133">
        <v>3.55216200576647</v>
      </c>
      <c r="AJ133">
        <v>0.73890156514411598</v>
      </c>
      <c r="AK133">
        <v>6.0176769487737897E-2</v>
      </c>
      <c r="AL133">
        <v>0.20092166536814501</v>
      </c>
    </row>
    <row r="134" spans="1:38" x14ac:dyDescent="0.2">
      <c r="A134">
        <v>169</v>
      </c>
      <c r="B134">
        <v>778</v>
      </c>
      <c r="C134">
        <v>115</v>
      </c>
      <c r="D134">
        <v>0.48541169195642903</v>
      </c>
      <c r="E134">
        <v>12.774285319772799</v>
      </c>
      <c r="F134">
        <v>2.5476352262654198</v>
      </c>
      <c r="G134">
        <v>-207.10438029525926</v>
      </c>
      <c r="H134">
        <v>-178.47820815612477</v>
      </c>
      <c r="I134">
        <v>27.2331942530889</v>
      </c>
      <c r="J134">
        <v>15.474581103335201</v>
      </c>
      <c r="K134">
        <v>5.0141736101281102</v>
      </c>
      <c r="L134">
        <v>3.0637260016773363E-5</v>
      </c>
      <c r="M134">
        <v>1.8303961313134004E-6</v>
      </c>
      <c r="N134" s="1">
        <v>-8.0045475051807105E-8</v>
      </c>
      <c r="O134" s="1">
        <v>4.6093270277565101E-11</v>
      </c>
      <c r="P134" s="1">
        <v>3.38644415689866E-10</v>
      </c>
      <c r="Q134">
        <v>66.2246396402182</v>
      </c>
      <c r="S134">
        <v>20.349500856648099</v>
      </c>
      <c r="AA134">
        <v>1.33593225773235</v>
      </c>
      <c r="AB134">
        <v>8.5918435829093003</v>
      </c>
      <c r="AC134">
        <v>3.4980836624919101</v>
      </c>
      <c r="AJ134">
        <v>0.73866632804836596</v>
      </c>
      <c r="AK134">
        <v>6.3468344029868701E-2</v>
      </c>
      <c r="AL134">
        <v>0.19786532792176401</v>
      </c>
    </row>
    <row r="135" spans="1:38" x14ac:dyDescent="0.2">
      <c r="A135">
        <v>169</v>
      </c>
      <c r="B135">
        <v>778</v>
      </c>
      <c r="C135">
        <v>115</v>
      </c>
      <c r="D135">
        <v>0.48541169195642903</v>
      </c>
      <c r="E135">
        <v>7.1607239455530296</v>
      </c>
      <c r="F135">
        <v>2.5232274220770199</v>
      </c>
      <c r="G135">
        <v>-114.67821633479238</v>
      </c>
      <c r="H135">
        <v>-98.75647612130355</v>
      </c>
      <c r="I135">
        <v>15.146972566702001</v>
      </c>
      <c r="J135">
        <v>8.5715228044861291</v>
      </c>
      <c r="K135">
        <v>2.8379225284649898</v>
      </c>
      <c r="L135">
        <v>2.9255850170540745E-5</v>
      </c>
      <c r="M135">
        <v>1.8167834116196164E-6</v>
      </c>
      <c r="N135" s="1">
        <v>-2.7981726169381E-8</v>
      </c>
      <c r="O135" s="1">
        <v>2.6898388495884601E-11</v>
      </c>
      <c r="P135" s="1">
        <v>1.38882986033155E-10</v>
      </c>
      <c r="Q135">
        <v>66.405178356577096</v>
      </c>
      <c r="S135">
        <v>19.316475280096402</v>
      </c>
      <c r="AA135">
        <v>0.44154933840136101</v>
      </c>
      <c r="AB135">
        <v>6.2859535807986902</v>
      </c>
      <c r="AC135">
        <v>7.5508434441263104</v>
      </c>
      <c r="AJ135">
        <v>0.54670659203238803</v>
      </c>
      <c r="AK135">
        <v>2.1221357889248501E-2</v>
      </c>
      <c r="AL135">
        <v>0.43207205007836302</v>
      </c>
    </row>
    <row r="136" spans="1:38" x14ac:dyDescent="0.2">
      <c r="A136">
        <v>170</v>
      </c>
      <c r="B136">
        <v>777</v>
      </c>
      <c r="C136">
        <v>115</v>
      </c>
      <c r="D136">
        <v>0.48485502071132902</v>
      </c>
      <c r="E136">
        <v>12.7687869275677</v>
      </c>
      <c r="F136">
        <v>2.55124377494012</v>
      </c>
      <c r="G136">
        <v>-207.19047088168685</v>
      </c>
      <c r="H136">
        <v>-178.61699003532661</v>
      </c>
      <c r="I136">
        <v>27.208951908165702</v>
      </c>
      <c r="J136">
        <v>15.4776843568569</v>
      </c>
      <c r="K136">
        <v>5.0049262453829702</v>
      </c>
      <c r="L136">
        <v>3.0657208523358521E-5</v>
      </c>
      <c r="M136">
        <v>1.8275394839933941E-6</v>
      </c>
      <c r="N136" s="1">
        <v>-8.3778052176601196E-8</v>
      </c>
      <c r="O136" s="1">
        <v>4.5787193119781497E-11</v>
      </c>
      <c r="P136" s="1">
        <v>3.4978507944746402E-10</v>
      </c>
      <c r="Q136">
        <v>66.030392726829504</v>
      </c>
      <c r="S136">
        <v>20.549896407543699</v>
      </c>
      <c r="AA136">
        <v>1.54658550082137</v>
      </c>
      <c r="AB136">
        <v>8.6843377413976803</v>
      </c>
      <c r="AC136">
        <v>3.1887876234076602</v>
      </c>
      <c r="AJ136">
        <v>0.74627141915089301</v>
      </c>
      <c r="AK136">
        <v>7.3442056399952202E-2</v>
      </c>
      <c r="AL136">
        <v>0.180286524449154</v>
      </c>
    </row>
    <row r="137" spans="1:38" x14ac:dyDescent="0.2">
      <c r="A137">
        <v>170</v>
      </c>
      <c r="B137">
        <v>777</v>
      </c>
      <c r="C137">
        <v>115</v>
      </c>
      <c r="D137">
        <v>0.48485502071132902</v>
      </c>
      <c r="E137">
        <v>20.215571680285301</v>
      </c>
      <c r="F137">
        <v>2.5220848697053002</v>
      </c>
      <c r="G137">
        <v>-323.31943611405632</v>
      </c>
      <c r="H137">
        <v>-278.49081427153322</v>
      </c>
      <c r="I137">
        <v>42.687827303264299</v>
      </c>
      <c r="J137">
        <v>24.166476128678099</v>
      </c>
      <c r="K137">
        <v>8.0154208619662608</v>
      </c>
      <c r="L137">
        <v>2.9084291566385325E-5</v>
      </c>
      <c r="M137">
        <v>1.8138697728772368E-6</v>
      </c>
      <c r="N137" s="1">
        <v>-7.6245773304264694E-8</v>
      </c>
      <c r="O137" s="1">
        <v>7.6116185821903994E-11</v>
      </c>
      <c r="P137" s="1">
        <v>3.8367686730847901E-10</v>
      </c>
      <c r="Q137">
        <v>66.334617540609699</v>
      </c>
      <c r="S137">
        <v>19.273782235641601</v>
      </c>
      <c r="AA137">
        <v>0.422791541362255</v>
      </c>
      <c r="AB137">
        <v>6.0167872192224996</v>
      </c>
      <c r="AC137">
        <v>7.9520214631638204</v>
      </c>
      <c r="AJ137">
        <v>0.52400678480712004</v>
      </c>
      <c r="AK137">
        <v>2.0347419425019199E-2</v>
      </c>
      <c r="AL137">
        <v>0.45564579576786002</v>
      </c>
    </row>
    <row r="138" spans="1:38" x14ac:dyDescent="0.2">
      <c r="A138">
        <v>171</v>
      </c>
      <c r="B138">
        <v>776</v>
      </c>
      <c r="C138">
        <v>115</v>
      </c>
      <c r="D138">
        <v>0.484297288280991</v>
      </c>
      <c r="E138">
        <v>13.904858267159099</v>
      </c>
      <c r="F138">
        <v>2.55410546984267</v>
      </c>
      <c r="G138">
        <v>-225.75378060628361</v>
      </c>
      <c r="H138">
        <v>-194.68543442223807</v>
      </c>
      <c r="I138">
        <v>29.6128734537916</v>
      </c>
      <c r="J138">
        <v>16.861690448192199</v>
      </c>
      <c r="K138">
        <v>5.4441206251422303</v>
      </c>
      <c r="L138">
        <v>3.0655688708199049E-5</v>
      </c>
      <c r="M138">
        <v>1.8246904715227992E-6</v>
      </c>
      <c r="N138" s="1">
        <v>-9.4837905232245295E-8</v>
      </c>
      <c r="O138" s="1">
        <v>4.9605301791699701E-11</v>
      </c>
      <c r="P138" s="1">
        <v>3.9166670256815601E-10</v>
      </c>
      <c r="Q138">
        <v>65.856251681284704</v>
      </c>
      <c r="S138">
        <v>20.7166476673335</v>
      </c>
      <c r="AA138">
        <v>1.72479042986155</v>
      </c>
      <c r="AB138">
        <v>8.7334338651526409</v>
      </c>
      <c r="AC138">
        <v>2.96887635636751</v>
      </c>
      <c r="AJ138">
        <v>0.75030427922020504</v>
      </c>
      <c r="AK138">
        <v>8.1884087112758006E-2</v>
      </c>
      <c r="AL138">
        <v>0.167811633667036</v>
      </c>
    </row>
    <row r="139" spans="1:38" x14ac:dyDescent="0.2">
      <c r="A139">
        <v>171</v>
      </c>
      <c r="B139">
        <v>776</v>
      </c>
      <c r="C139">
        <v>115</v>
      </c>
      <c r="D139">
        <v>0.484297288280991</v>
      </c>
      <c r="E139">
        <v>30.064687114853999</v>
      </c>
      <c r="F139">
        <v>2.5213300236082401</v>
      </c>
      <c r="G139">
        <v>-480.34595851151403</v>
      </c>
      <c r="H139">
        <v>-413.83798435623459</v>
      </c>
      <c r="I139">
        <v>63.392245298841303</v>
      </c>
      <c r="J139">
        <v>35.905007507537</v>
      </c>
      <c r="K139">
        <v>11.924137988024601</v>
      </c>
      <c r="L139">
        <v>2.8956835409129107E-5</v>
      </c>
      <c r="M139">
        <v>1.8116988699330783E-6</v>
      </c>
      <c r="N139" s="1">
        <v>-1.11181150130685E-7</v>
      </c>
      <c r="O139" s="1">
        <v>1.13388194774217E-10</v>
      </c>
      <c r="P139" s="1">
        <v>5.6374044151545005E-10</v>
      </c>
      <c r="Q139">
        <v>66.279249061036197</v>
      </c>
      <c r="S139">
        <v>19.243405411386298</v>
      </c>
      <c r="AA139">
        <v>0.41064982809062001</v>
      </c>
      <c r="AB139">
        <v>5.8137647371903496</v>
      </c>
      <c r="AC139">
        <v>8.2529309622964195</v>
      </c>
      <c r="AJ139">
        <v>0.50684430364510302</v>
      </c>
      <c r="AK139">
        <v>1.9783337141058701E-2</v>
      </c>
      <c r="AL139">
        <v>0.47337235921383702</v>
      </c>
    </row>
    <row r="140" spans="1:38" x14ac:dyDescent="0.2">
      <c r="A140">
        <v>172</v>
      </c>
      <c r="B140">
        <v>775</v>
      </c>
      <c r="C140">
        <v>115</v>
      </c>
      <c r="D140">
        <v>0.483738491628109</v>
      </c>
      <c r="E140">
        <v>14.985989878927301</v>
      </c>
      <c r="F140">
        <v>2.5559538865974401</v>
      </c>
      <c r="G140">
        <v>-243.37853013419243</v>
      </c>
      <c r="H140">
        <v>-209.94637666780784</v>
      </c>
      <c r="I140">
        <v>31.896344479687599</v>
      </c>
      <c r="J140">
        <v>18.1776889813449</v>
      </c>
      <c r="K140">
        <v>5.8631691117390003</v>
      </c>
      <c r="L140">
        <v>3.06547606047944E-5</v>
      </c>
      <c r="M140">
        <v>1.8227097252454883E-6</v>
      </c>
      <c r="N140" s="1">
        <v>-1.05826775587736E-7</v>
      </c>
      <c r="O140" s="1">
        <v>5.32740214920451E-11</v>
      </c>
      <c r="P140" s="1">
        <v>4.3282811520791399E-10</v>
      </c>
      <c r="Q140">
        <v>65.738282512222597</v>
      </c>
      <c r="S140">
        <v>20.8259339654306</v>
      </c>
      <c r="AA140">
        <v>1.84247923765267</v>
      </c>
      <c r="AB140">
        <v>8.75705413580169</v>
      </c>
      <c r="AC140">
        <v>2.83625014889226</v>
      </c>
      <c r="AJ140">
        <v>0.75224326957056997</v>
      </c>
      <c r="AK140">
        <v>8.7460845045679705E-2</v>
      </c>
      <c r="AL140">
        <v>0.160295885383749</v>
      </c>
    </row>
    <row r="141" spans="1:38" x14ac:dyDescent="0.2">
      <c r="A141">
        <v>172</v>
      </c>
      <c r="B141">
        <v>775</v>
      </c>
      <c r="C141">
        <v>115</v>
      </c>
      <c r="D141">
        <v>0.483738491628109</v>
      </c>
      <c r="E141">
        <v>36.035848714059703</v>
      </c>
      <c r="F141">
        <v>2.5209028387877299</v>
      </c>
      <c r="G141">
        <v>-575.34455383168665</v>
      </c>
      <c r="H141">
        <v>-495.79431070795658</v>
      </c>
      <c r="I141">
        <v>75.895857581195401</v>
      </c>
      <c r="J141">
        <v>43.010193346875802</v>
      </c>
      <c r="K141">
        <v>14.294818570393099</v>
      </c>
      <c r="L141">
        <v>2.8880371440583032E-5</v>
      </c>
      <c r="M141">
        <v>1.8103932035844799E-6</v>
      </c>
      <c r="N141" s="1">
        <v>-1.3338848580066E-7</v>
      </c>
      <c r="O141" s="1">
        <v>1.36035276912784E-10</v>
      </c>
      <c r="P141" s="1">
        <v>6.7578359403593703E-10</v>
      </c>
      <c r="Q141">
        <v>66.244736425775898</v>
      </c>
      <c r="S141">
        <v>19.223977340920701</v>
      </c>
      <c r="AA141">
        <v>0.40267452264902298</v>
      </c>
      <c r="AB141">
        <v>5.6859219674592696</v>
      </c>
      <c r="AC141">
        <v>8.4426897431950199</v>
      </c>
      <c r="AJ141">
        <v>0.49601907223724101</v>
      </c>
      <c r="AK141">
        <v>1.94116487093525E-2</v>
      </c>
      <c r="AL141">
        <v>0.48456927905340602</v>
      </c>
    </row>
    <row r="142" spans="1:38" x14ac:dyDescent="0.2">
      <c r="A142">
        <v>173</v>
      </c>
      <c r="B142">
        <v>774</v>
      </c>
      <c r="C142">
        <v>115</v>
      </c>
      <c r="D142">
        <v>0.48317862770377201</v>
      </c>
      <c r="E142">
        <v>15.736651008016899</v>
      </c>
      <c r="F142">
        <v>2.5570667919648802</v>
      </c>
      <c r="G142">
        <v>-255.59994478481539</v>
      </c>
      <c r="H142">
        <v>-220.54700108337704</v>
      </c>
      <c r="I142">
        <v>33.474615576983503</v>
      </c>
      <c r="J142">
        <v>19.092377578391702</v>
      </c>
      <c r="K142">
        <v>6.1541806641369297</v>
      </c>
      <c r="L142">
        <v>3.0662190993766713E-5</v>
      </c>
      <c r="M142">
        <v>1.8215853378867634E-6</v>
      </c>
      <c r="N142" s="1">
        <v>-1.1488327350361599E-7</v>
      </c>
      <c r="O142" s="1">
        <v>5.5812920100669701E-11</v>
      </c>
      <c r="P142" s="1">
        <v>4.6556476701809898E-10</v>
      </c>
      <c r="Q142">
        <v>65.668643766526699</v>
      </c>
      <c r="S142">
        <v>20.890310988703899</v>
      </c>
      <c r="AA142">
        <v>1.91184019030667</v>
      </c>
      <c r="AB142">
        <v>8.7706406609936103</v>
      </c>
      <c r="AC142">
        <v>2.7585643934689998</v>
      </c>
      <c r="AJ142">
        <v>0.75335835103195703</v>
      </c>
      <c r="AK142">
        <v>9.0747081386347198E-2</v>
      </c>
      <c r="AL142">
        <v>0.15589456758169401</v>
      </c>
    </row>
    <row r="143" spans="1:38" x14ac:dyDescent="0.2">
      <c r="A143">
        <v>173</v>
      </c>
      <c r="B143">
        <v>774</v>
      </c>
      <c r="C143">
        <v>115</v>
      </c>
      <c r="D143">
        <v>0.48317862770377201</v>
      </c>
      <c r="E143">
        <v>39.340956043302597</v>
      </c>
      <c r="F143">
        <v>2.52066703806278</v>
      </c>
      <c r="G143">
        <v>-627.8135258740175</v>
      </c>
      <c r="H143">
        <v>-541.12901468429209</v>
      </c>
      <c r="I143">
        <v>82.781369612496107</v>
      </c>
      <c r="J143">
        <v>46.939046026200003</v>
      </c>
      <c r="K143">
        <v>15.607359262148799</v>
      </c>
      <c r="L143">
        <v>2.8838678997723323E-5</v>
      </c>
      <c r="M143">
        <v>1.8096749114230626E-6</v>
      </c>
      <c r="N143" s="1">
        <v>-1.4792736063792199E-7</v>
      </c>
      <c r="O143" s="1">
        <v>1.48579782276002E-10</v>
      </c>
      <c r="P143" s="1">
        <v>7.4432083141704502E-10</v>
      </c>
      <c r="Q143">
        <v>66.225155611554797</v>
      </c>
      <c r="S143">
        <v>19.211247448959099</v>
      </c>
      <c r="AA143">
        <v>0.39674114674869099</v>
      </c>
      <c r="AB143">
        <v>5.6089141060726799</v>
      </c>
      <c r="AC143">
        <v>8.55794168666465</v>
      </c>
      <c r="AJ143">
        <v>0.48949160635939998</v>
      </c>
      <c r="AK143">
        <v>1.9133062682926701E-2</v>
      </c>
      <c r="AL143">
        <v>0.491375330957672</v>
      </c>
    </row>
    <row r="144" spans="1:38" x14ac:dyDescent="0.2">
      <c r="A144">
        <v>174</v>
      </c>
      <c r="B144">
        <v>773</v>
      </c>
      <c r="C144">
        <v>115</v>
      </c>
      <c r="D144">
        <v>0.48261769344740202</v>
      </c>
      <c r="E144">
        <v>16.1815107999142</v>
      </c>
      <c r="F144">
        <v>2.5576835376155902</v>
      </c>
      <c r="G144">
        <v>-262.82768095276583</v>
      </c>
      <c r="H144">
        <v>-226.83838295099318</v>
      </c>
      <c r="I144">
        <v>34.401661331331702</v>
      </c>
      <c r="J144">
        <v>19.6359835672496</v>
      </c>
      <c r="K144">
        <v>6.3266274196688004</v>
      </c>
      <c r="L144">
        <v>3.0678384110631316E-5</v>
      </c>
      <c r="M144">
        <v>1.8211246865674769E-6</v>
      </c>
      <c r="N144" s="1">
        <v>-1.22056770536376E-7</v>
      </c>
      <c r="O144" s="1">
        <v>5.7304901107830499E-11</v>
      </c>
      <c r="P144" s="1">
        <v>4.9023186380185898E-10</v>
      </c>
      <c r="Q144">
        <v>65.634458619331497</v>
      </c>
      <c r="S144">
        <v>20.923160963601202</v>
      </c>
      <c r="AA144">
        <v>1.94691839271085</v>
      </c>
      <c r="AB144">
        <v>8.7805813733849298</v>
      </c>
      <c r="AC144">
        <v>2.7148806509713501</v>
      </c>
      <c r="AJ144">
        <v>0.75417436746000799</v>
      </c>
      <c r="AK144">
        <v>9.2407460208800404E-2</v>
      </c>
      <c r="AL144">
        <v>0.15341817233119001</v>
      </c>
    </row>
    <row r="145" spans="1:38" x14ac:dyDescent="0.2">
      <c r="A145">
        <v>174</v>
      </c>
      <c r="B145">
        <v>773</v>
      </c>
      <c r="C145">
        <v>115</v>
      </c>
      <c r="D145">
        <v>0.48261769344740202</v>
      </c>
      <c r="E145">
        <v>40.910502361861802</v>
      </c>
      <c r="F145">
        <v>2.52054366044608</v>
      </c>
      <c r="G145">
        <v>-652.64257342253893</v>
      </c>
      <c r="H145">
        <v>-562.6539851543173</v>
      </c>
      <c r="I145">
        <v>86.018819737343094</v>
      </c>
      <c r="J145">
        <v>48.803613054577603</v>
      </c>
      <c r="K145">
        <v>16.2308247239888</v>
      </c>
      <c r="L145">
        <v>2.8819721286480534E-5</v>
      </c>
      <c r="M145">
        <v>1.8093372430932241E-6</v>
      </c>
      <c r="N145" s="1">
        <v>-1.57791381257623E-7</v>
      </c>
      <c r="O145" s="1">
        <v>1.54530263120355E-10</v>
      </c>
      <c r="P145" s="1">
        <v>7.8549460806534501E-10</v>
      </c>
      <c r="Q145">
        <v>66.215524380881902</v>
      </c>
      <c r="S145">
        <v>19.202605478214402</v>
      </c>
      <c r="AA145">
        <v>0.39185874840774798</v>
      </c>
      <c r="AB145">
        <v>5.5647953750839303</v>
      </c>
      <c r="AC145">
        <v>8.6252160174119794</v>
      </c>
      <c r="AJ145">
        <v>0.48574966865042402</v>
      </c>
      <c r="AK145">
        <v>1.8901821213268201E-2</v>
      </c>
      <c r="AL145">
        <v>0.49534851013630699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5AC14-7A24-4937-AC51-B19081CFBE5F}">
  <sheetPr codeName="Sheet12"/>
  <dimension ref="A1:AJ149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762</v>
      </c>
      <c r="C2">
        <v>275</v>
      </c>
      <c r="D2">
        <v>0.306352219485102</v>
      </c>
      <c r="E2">
        <v>5.5785657675367702E-2</v>
      </c>
      <c r="F2">
        <v>2.54384628309294</v>
      </c>
      <c r="G2">
        <v>-0.91021732780016495</v>
      </c>
      <c r="H2">
        <v>-0.79619284720283356</v>
      </c>
      <c r="I2">
        <v>0.110152616140009</v>
      </c>
      <c r="J2">
        <v>6.4689676030785098E-2</v>
      </c>
      <c r="K2">
        <v>2.1929649620000002E-2</v>
      </c>
      <c r="L2">
        <v>0</v>
      </c>
      <c r="M2">
        <v>1.2383112330061072E-6</v>
      </c>
      <c r="N2">
        <v>0</v>
      </c>
      <c r="O2" s="1">
        <v>3.1189062886325802E-14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761</v>
      </c>
      <c r="C3">
        <v>275</v>
      </c>
      <c r="D3">
        <v>0.30561378910216402</v>
      </c>
      <c r="E3">
        <v>0.27117875260185298</v>
      </c>
      <c r="F3">
        <v>2.54384628309294</v>
      </c>
      <c r="G3">
        <v>-4.4241073290267119</v>
      </c>
      <c r="H3">
        <v>-3.8706745335666146</v>
      </c>
      <c r="I3">
        <v>0.53515717783696504</v>
      </c>
      <c r="J3">
        <v>0.31442254057782998</v>
      </c>
      <c r="K3">
        <v>0.10660186285790001</v>
      </c>
      <c r="L3">
        <v>0</v>
      </c>
      <c r="M3">
        <v>1.2383112330061072E-6</v>
      </c>
      <c r="N3">
        <v>0</v>
      </c>
      <c r="O3" s="1">
        <v>1.5161264598784401E-13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760</v>
      </c>
      <c r="C4">
        <v>275</v>
      </c>
      <c r="D4">
        <v>0.30487392924551299</v>
      </c>
      <c r="E4">
        <v>0.48550596820083403</v>
      </c>
      <c r="F4">
        <v>2.54384628309294</v>
      </c>
      <c r="G4">
        <v>-7.9197604658216365</v>
      </c>
      <c r="H4">
        <v>-6.9304405799427009</v>
      </c>
      <c r="I4">
        <v>0.95757623373076095</v>
      </c>
      <c r="J4">
        <v>0.56285698182939703</v>
      </c>
      <c r="K4">
        <v>0.19085507305517299</v>
      </c>
      <c r="L4">
        <v>0</v>
      </c>
      <c r="M4">
        <v>1.238311233006107E-6</v>
      </c>
      <c r="N4">
        <v>0</v>
      </c>
      <c r="O4" s="1">
        <v>2.7144030929993899E-13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759</v>
      </c>
      <c r="C5">
        <v>275</v>
      </c>
      <c r="D5">
        <v>0.30413263576031102</v>
      </c>
      <c r="E5">
        <v>0.69877624937390004</v>
      </c>
      <c r="F5">
        <v>2.54384628309294</v>
      </c>
      <c r="G5">
        <v>-11.397329663365779</v>
      </c>
      <c r="H5">
        <v>-9.9756148812377283</v>
      </c>
      <c r="I5">
        <v>1.37743039493101</v>
      </c>
      <c r="J5">
        <v>0.81000363145340204</v>
      </c>
      <c r="K5">
        <v>0.274692796501953</v>
      </c>
      <c r="L5">
        <v>0</v>
      </c>
      <c r="M5">
        <v>1.238311233006107E-6</v>
      </c>
      <c r="N5">
        <v>0</v>
      </c>
      <c r="O5" s="1">
        <v>3.9067705380511702E-13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758</v>
      </c>
      <c r="C6">
        <v>275</v>
      </c>
      <c r="D6">
        <v>0.303389904475587</v>
      </c>
      <c r="E6">
        <v>0.91099844546893005</v>
      </c>
      <c r="F6">
        <v>2.54384628309294</v>
      </c>
      <c r="G6">
        <v>-14.856966211631564</v>
      </c>
      <c r="H6">
        <v>-13.006320010272882</v>
      </c>
      <c r="I6">
        <v>1.7947400488373899</v>
      </c>
      <c r="J6">
        <v>1.0558730062839901</v>
      </c>
      <c r="K6">
        <v>0.358118511925685</v>
      </c>
      <c r="L6">
        <v>0</v>
      </c>
      <c r="M6">
        <v>1.2383112330061072E-6</v>
      </c>
      <c r="N6">
        <v>0</v>
      </c>
      <c r="O6" s="1">
        <v>5.0932782706300296E-13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757</v>
      </c>
      <c r="C7">
        <v>275</v>
      </c>
      <c r="D7">
        <v>0.30264573120419402</v>
      </c>
      <c r="E7">
        <v>1.1221813091424799</v>
      </c>
      <c r="F7">
        <v>2.54384628309294</v>
      </c>
      <c r="G7">
        <v>-18.298819747865817</v>
      </c>
      <c r="H7">
        <v>-16.022677200976553</v>
      </c>
      <c r="I7">
        <v>2.2095253573647202</v>
      </c>
      <c r="J7">
        <v>1.30047550705117</v>
      </c>
      <c r="K7">
        <v>0.44113566004392502</v>
      </c>
      <c r="L7">
        <v>0</v>
      </c>
      <c r="M7">
        <v>1.2383112330061072E-6</v>
      </c>
      <c r="N7">
        <v>0</v>
      </c>
      <c r="O7" s="1">
        <v>6.2739752257431599E-13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756</v>
      </c>
      <c r="C8">
        <v>275</v>
      </c>
      <c r="D8">
        <v>0.30190011174270298</v>
      </c>
      <c r="E8">
        <v>1.3323334993034499</v>
      </c>
      <c r="F8">
        <v>2.54384628309294</v>
      </c>
      <c r="G8">
        <v>-21.723038305626883</v>
      </c>
      <c r="H8">
        <v>-19.024806389846272</v>
      </c>
      <c r="I8">
        <v>2.6218062632080898</v>
      </c>
      <c r="J8">
        <v>1.54382142184078</v>
      </c>
      <c r="K8">
        <v>0.52374764472149304</v>
      </c>
      <c r="L8">
        <v>0</v>
      </c>
      <c r="M8">
        <v>1.2383112330061067E-6</v>
      </c>
      <c r="N8">
        <v>0</v>
      </c>
      <c r="O8" s="1">
        <v>7.4489098142661804E-13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755</v>
      </c>
      <c r="C9">
        <v>275</v>
      </c>
      <c r="D9">
        <v>0.30115304187132302</v>
      </c>
      <c r="E9">
        <v>1.54146358257788</v>
      </c>
      <c r="F9">
        <v>2.54384628309294</v>
      </c>
      <c r="G9">
        <v>-25.12976833967809</v>
      </c>
      <c r="H9">
        <v>-22.012826236314059</v>
      </c>
      <c r="I9">
        <v>3.03160249318098</v>
      </c>
      <c r="J9">
        <v>1.7859209278389201</v>
      </c>
      <c r="K9">
        <v>0.60595783354632904</v>
      </c>
      <c r="L9">
        <v>0</v>
      </c>
      <c r="M9">
        <v>1.238311233006107E-6</v>
      </c>
      <c r="N9">
        <v>0</v>
      </c>
      <c r="O9" s="1">
        <v>8.6181299311330201E-13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754</v>
      </c>
      <c r="C10">
        <v>275</v>
      </c>
      <c r="D10">
        <v>0.30040451735384299</v>
      </c>
      <c r="E10">
        <v>1.74958003454602</v>
      </c>
      <c r="F10">
        <v>2.54384628309294</v>
      </c>
      <c r="G10">
        <v>-28.519154747148292</v>
      </c>
      <c r="H10">
        <v>-24.986854139867869</v>
      </c>
      <c r="I10">
        <v>3.4389335610966398</v>
      </c>
      <c r="J10">
        <v>2.0267840928114902</v>
      </c>
      <c r="K10">
        <v>0.68776955831576003</v>
      </c>
      <c r="L10">
        <v>0</v>
      </c>
      <c r="M10">
        <v>1.2383112330061072E-6</v>
      </c>
      <c r="N10">
        <v>0</v>
      </c>
      <c r="O10" s="1">
        <v>9.7816829622518802E-13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753</v>
      </c>
      <c r="C11">
        <v>275</v>
      </c>
      <c r="D11">
        <v>0.29965453393753799</v>
      </c>
      <c r="E11">
        <v>1.95669123925694</v>
      </c>
      <c r="F11">
        <v>2.54384628309294</v>
      </c>
      <c r="G11">
        <v>-31.891340860603865</v>
      </c>
      <c r="H11">
        <v>-27.947006232581327</v>
      </c>
      <c r="I11">
        <v>3.8438187672587198</v>
      </c>
      <c r="J11">
        <v>2.26642087458784</v>
      </c>
      <c r="K11">
        <v>0.76918611484570498</v>
      </c>
      <c r="L11">
        <v>0</v>
      </c>
      <c r="M11">
        <v>1.2383112330061072E-6</v>
      </c>
      <c r="N11">
        <v>0</v>
      </c>
      <c r="O11" s="1">
        <v>1.0939615781791601E-12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752</v>
      </c>
      <c r="C12">
        <v>275</v>
      </c>
      <c r="D12">
        <v>0.29890308735307097</v>
      </c>
      <c r="E12">
        <v>2.16280549408122</v>
      </c>
      <c r="F12">
        <v>2.54384628309294</v>
      </c>
      <c r="G12">
        <v>-35.246468528117497</v>
      </c>
      <c r="H12">
        <v>-30.893397447888788</v>
      </c>
      <c r="I12">
        <v>4.2462772084365303</v>
      </c>
      <c r="J12">
        <v>2.5048411267274102</v>
      </c>
      <c r="K12">
        <v>0.85021076487828295</v>
      </c>
      <c r="L12">
        <v>0</v>
      </c>
      <c r="M12">
        <v>1.238311233006107E-6</v>
      </c>
      <c r="N12">
        <v>0</v>
      </c>
      <c r="O12" s="1">
        <v>1.20919747793124E-12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751</v>
      </c>
      <c r="C13">
        <v>275</v>
      </c>
      <c r="D13">
        <v>0.29815017331445698</v>
      </c>
      <c r="E13">
        <v>2.36793100615676</v>
      </c>
      <c r="F13">
        <v>2.54384628309294</v>
      </c>
      <c r="G13">
        <v>-38.584678056291295</v>
      </c>
      <c r="H13">
        <v>-33.82614146930139</v>
      </c>
      <c r="I13">
        <v>4.6463277713126896</v>
      </c>
      <c r="J13">
        <v>2.7420545944472701</v>
      </c>
      <c r="K13">
        <v>0.93084673468465595</v>
      </c>
      <c r="L13">
        <v>0</v>
      </c>
      <c r="M13">
        <v>1.238311233006107E-6</v>
      </c>
      <c r="N13">
        <v>0</v>
      </c>
      <c r="O13" s="1">
        <v>1.3238805839895E-12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750</v>
      </c>
      <c r="C14">
        <v>275</v>
      </c>
      <c r="D14">
        <v>0.29739578751893703</v>
      </c>
      <c r="E14">
        <v>2.5720758981042202</v>
      </c>
      <c r="F14">
        <v>2.54384628309294</v>
      </c>
      <c r="G14">
        <v>-41.906108304347732</v>
      </c>
      <c r="H14">
        <v>-36.745350811526855</v>
      </c>
      <c r="I14">
        <v>5.0439891441341702</v>
      </c>
      <c r="J14">
        <v>2.97807092128591</v>
      </c>
      <c r="K14">
        <v>1.01109721731179</v>
      </c>
      <c r="L14">
        <v>0</v>
      </c>
      <c r="M14">
        <v>1.2383112330061072E-6</v>
      </c>
      <c r="N14">
        <v>0</v>
      </c>
      <c r="O14" s="1">
        <v>1.43801543760946E-12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749</v>
      </c>
      <c r="C15">
        <v>275</v>
      </c>
      <c r="D15">
        <v>0.29663992564692099</v>
      </c>
      <c r="E15">
        <v>2.7752482057889298</v>
      </c>
      <c r="F15">
        <v>2.54384628309294</v>
      </c>
      <c r="G15">
        <v>-45.210896648582498</v>
      </c>
      <c r="H15">
        <v>-39.651136787993188</v>
      </c>
      <c r="I15">
        <v>5.4392798127371798</v>
      </c>
      <c r="J15">
        <v>3.2128996465543902</v>
      </c>
      <c r="K15">
        <v>1.0909653717026599</v>
      </c>
      <c r="L15">
        <v>0</v>
      </c>
      <c r="M15">
        <v>1.238311233006107E-6</v>
      </c>
      <c r="N15">
        <v>0</v>
      </c>
      <c r="O15" s="1">
        <v>1.55160653154284E-12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748</v>
      </c>
      <c r="C16">
        <v>275</v>
      </c>
      <c r="D16">
        <v>0.29588258336189799</v>
      </c>
      <c r="E16">
        <v>2.9774558828757298</v>
      </c>
      <c r="F16">
        <v>2.54384628309294</v>
      </c>
      <c r="G16">
        <v>-48.499179057491844</v>
      </c>
      <c r="H16">
        <v>-42.543609575419211</v>
      </c>
      <c r="I16">
        <v>5.8322180698943598</v>
      </c>
      <c r="J16">
        <v>3.4465502106529802</v>
      </c>
      <c r="K16">
        <v>1.17045432448677</v>
      </c>
      <c r="L16">
        <v>0</v>
      </c>
      <c r="M16">
        <v>1.2383112330061072E-6</v>
      </c>
      <c r="N16">
        <v>0</v>
      </c>
      <c r="O16" s="1">
        <v>1.6646583125840999E-12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747</v>
      </c>
      <c r="C17">
        <v>275</v>
      </c>
      <c r="D17">
        <v>0.29512375631034898</v>
      </c>
      <c r="E17">
        <v>3.1787067983053698</v>
      </c>
      <c r="F17">
        <v>2.54384628309294</v>
      </c>
      <c r="G17">
        <v>-51.771090051558417</v>
      </c>
      <c r="H17">
        <v>-45.422878177266618</v>
      </c>
      <c r="I17">
        <v>6.2228220107746797</v>
      </c>
      <c r="J17">
        <v>3.6790319521913801</v>
      </c>
      <c r="K17">
        <v>1.24956716898811</v>
      </c>
      <c r="L17">
        <v>0</v>
      </c>
      <c r="M17">
        <v>1.238311233006107E-6</v>
      </c>
      <c r="N17">
        <v>0</v>
      </c>
      <c r="O17" s="1">
        <v>1.7771751801595E-12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746</v>
      </c>
      <c r="C18">
        <v>275</v>
      </c>
      <c r="D18">
        <v>0.29436344012167098</v>
      </c>
      <c r="E18">
        <v>3.3790087405237599</v>
      </c>
      <c r="F18">
        <v>2.54384628309294</v>
      </c>
      <c r="G18">
        <v>-55.026762773036971</v>
      </c>
      <c r="H18">
        <v>-48.289050483680789</v>
      </c>
      <c r="I18">
        <v>6.6111095416338896</v>
      </c>
      <c r="J18">
        <v>3.9103541129262598</v>
      </c>
      <c r="K18">
        <v>1.3283069668877101</v>
      </c>
      <c r="L18">
        <v>0</v>
      </c>
      <c r="M18">
        <v>1.2383112330061067E-6</v>
      </c>
      <c r="N18">
        <v>0</v>
      </c>
      <c r="O18" s="1">
        <v>1.8891614886916499E-12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745</v>
      </c>
      <c r="C19">
        <v>275</v>
      </c>
      <c r="D19">
        <v>0.29360163040809401</v>
      </c>
      <c r="E19">
        <v>3.57836941578381</v>
      </c>
      <c r="F19">
        <v>2.54384628309294</v>
      </c>
      <c r="G19">
        <v>-58.266328959170693</v>
      </c>
      <c r="H19">
        <v>-51.1422332467438</v>
      </c>
      <c r="I19">
        <v>6.9970983768863997</v>
      </c>
      <c r="J19">
        <v>4.1405258358365797</v>
      </c>
      <c r="K19">
        <v>1.40667674755608</v>
      </c>
      <c r="L19">
        <v>0</v>
      </c>
      <c r="M19">
        <v>1.238311233006107E-6</v>
      </c>
      <c r="N19">
        <v>0</v>
      </c>
      <c r="O19" s="1">
        <v>2.0006215466500802E-12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744</v>
      </c>
      <c r="C20">
        <v>275</v>
      </c>
      <c r="D20">
        <v>0.29283832276459099</v>
      </c>
      <c r="E20">
        <v>3.77679645279692</v>
      </c>
      <c r="F20">
        <v>2.54384628309294</v>
      </c>
      <c r="G20">
        <v>-61.489919018807576</v>
      </c>
      <c r="H20">
        <v>-53.982532146475194</v>
      </c>
      <c r="I20">
        <v>7.3808060485989104</v>
      </c>
      <c r="J20">
        <v>4.3695561705471002</v>
      </c>
      <c r="K20">
        <v>1.48467950988174</v>
      </c>
      <c r="L20">
        <v>0</v>
      </c>
      <c r="M20">
        <v>1.2383112330061072E-6</v>
      </c>
      <c r="N20">
        <v>0</v>
      </c>
      <c r="O20" s="1">
        <v>2.1115596191518599E-12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743</v>
      </c>
      <c r="C21">
        <v>275</v>
      </c>
      <c r="D21">
        <v>0.29207351276878402</v>
      </c>
      <c r="E21">
        <v>3.9742974003835001</v>
      </c>
      <c r="F21">
        <v>2.54384628309294</v>
      </c>
      <c r="G21">
        <v>-64.697661994989389</v>
      </c>
      <c r="H21">
        <v>-56.81005175678839</v>
      </c>
      <c r="I21">
        <v>7.7622499022792004</v>
      </c>
      <c r="J21">
        <v>4.5974540706489799</v>
      </c>
      <c r="K21">
        <v>1.5623182213476099</v>
      </c>
      <c r="L21">
        <v>0</v>
      </c>
      <c r="M21">
        <v>1.2383112330061072E-6</v>
      </c>
      <c r="N21">
        <v>0</v>
      </c>
      <c r="O21" s="1">
        <v>2.2219799266479701E-12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742</v>
      </c>
      <c r="C22">
        <v>275</v>
      </c>
      <c r="D22">
        <v>0.291307195980888</v>
      </c>
      <c r="E22">
        <v>4.1708797294999203</v>
      </c>
      <c r="F22">
        <v>2.54384628309294</v>
      </c>
      <c r="G22">
        <v>-67.889685598805201</v>
      </c>
      <c r="H22">
        <v>-59.624895573996668</v>
      </c>
      <c r="I22">
        <v>8.1414471012249692</v>
      </c>
      <c r="J22">
        <v>4.8242283960850703</v>
      </c>
      <c r="K22">
        <v>1.6395958188278299</v>
      </c>
      <c r="L22">
        <v>0</v>
      </c>
      <c r="M22">
        <v>1.2383112330061072E-6</v>
      </c>
      <c r="N22">
        <v>0</v>
      </c>
      <c r="O22" s="1">
        <v>2.3318866460566E-12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741</v>
      </c>
      <c r="C23">
        <v>275</v>
      </c>
      <c r="D23">
        <v>0.29053936794360102</v>
      </c>
      <c r="E23">
        <v>4.36655083660626</v>
      </c>
      <c r="F23">
        <v>2.54384628309294</v>
      </c>
      <c r="G23">
        <v>-71.066116265038616</v>
      </c>
      <c r="H23">
        <v>-62.427166064499851</v>
      </c>
      <c r="I23">
        <v>8.5184146334750892</v>
      </c>
      <c r="J23">
        <v>5.0498879170839697</v>
      </c>
      <c r="K23">
        <v>1.7165152099116501</v>
      </c>
      <c r="L23">
        <v>0</v>
      </c>
      <c r="M23">
        <v>1.238311233006107E-6</v>
      </c>
      <c r="N23">
        <v>0</v>
      </c>
      <c r="O23" s="1">
        <v>2.4412839126459898E-12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740</v>
      </c>
      <c r="C24">
        <v>275</v>
      </c>
      <c r="D24">
        <v>0.28977002418201098</v>
      </c>
      <c r="E24">
        <v>9.0760623545856696</v>
      </c>
      <c r="F24">
        <v>2.54384628309294</v>
      </c>
      <c r="G24">
        <v>-147.69625628859868</v>
      </c>
      <c r="H24">
        <v>-129.7680258653123</v>
      </c>
      <c r="I24">
        <v>17.695534149223999</v>
      </c>
      <c r="J24">
        <v>10.4950274887603</v>
      </c>
      <c r="K24">
        <v>3.5678501546683501</v>
      </c>
      <c r="L24">
        <v>0</v>
      </c>
      <c r="M24">
        <v>1.2383112330061072E-6</v>
      </c>
      <c r="N24">
        <v>0</v>
      </c>
      <c r="O24" s="1">
        <v>5.0743128490959603E-12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739</v>
      </c>
      <c r="C25">
        <v>275</v>
      </c>
      <c r="D25">
        <v>0.28899916020352701</v>
      </c>
      <c r="E25">
        <v>14.529381990763</v>
      </c>
      <c r="F25">
        <v>2.54384628309294</v>
      </c>
      <c r="G25">
        <v>-236.41070460896634</v>
      </c>
      <c r="H25">
        <v>-207.75548035433062</v>
      </c>
      <c r="I25">
        <v>28.3112426563609</v>
      </c>
      <c r="J25">
        <v>16.798712942975001</v>
      </c>
      <c r="K25">
        <v>5.7115801718559096</v>
      </c>
      <c r="L25">
        <v>0</v>
      </c>
      <c r="M25">
        <v>1.238311233006107E-6</v>
      </c>
      <c r="N25">
        <v>0</v>
      </c>
      <c r="O25" s="1">
        <v>8.1231955935055803E-12</v>
      </c>
      <c r="P25">
        <v>0</v>
      </c>
      <c r="Q25">
        <v>100</v>
      </c>
      <c r="AJ25">
        <v>1</v>
      </c>
    </row>
    <row r="26" spans="1:36" x14ac:dyDescent="0.2">
      <c r="A26">
        <v>26</v>
      </c>
      <c r="B26">
        <v>738</v>
      </c>
      <c r="C26">
        <v>275</v>
      </c>
      <c r="D26">
        <v>0.28822677149780002</v>
      </c>
      <c r="E26">
        <v>28.689221762767499</v>
      </c>
      <c r="F26">
        <v>2.54384628309294</v>
      </c>
      <c r="G26">
        <v>-466.7526221388851</v>
      </c>
      <c r="H26">
        <v>-410.26004838225219</v>
      </c>
      <c r="I26">
        <v>55.869627411000103</v>
      </c>
      <c r="J26">
        <v>33.165783227385802</v>
      </c>
      <c r="K26">
        <v>11.2778912599568</v>
      </c>
      <c r="L26">
        <v>0</v>
      </c>
      <c r="M26">
        <v>1.238311233006107E-6</v>
      </c>
      <c r="N26">
        <v>0</v>
      </c>
      <c r="O26" s="1">
        <v>1.6039784758400401E-11</v>
      </c>
      <c r="P26">
        <v>0</v>
      </c>
      <c r="Q26">
        <v>100</v>
      </c>
      <c r="AJ26">
        <v>1</v>
      </c>
    </row>
    <row r="27" spans="1:36" x14ac:dyDescent="0.2">
      <c r="A27">
        <v>27</v>
      </c>
      <c r="B27">
        <v>737</v>
      </c>
      <c r="C27">
        <v>275</v>
      </c>
      <c r="D27">
        <v>0.28745285353660599</v>
      </c>
      <c r="E27">
        <v>31.586868509297201</v>
      </c>
      <c r="F27">
        <v>2.54384628309294</v>
      </c>
      <c r="G27">
        <v>-513.8337176019495</v>
      </c>
      <c r="H27">
        <v>-451.73333190888337</v>
      </c>
      <c r="I27">
        <v>61.476400230724302</v>
      </c>
      <c r="J27">
        <v>36.510732953248599</v>
      </c>
      <c r="K27">
        <v>12.416972172898801</v>
      </c>
      <c r="L27">
        <v>0</v>
      </c>
      <c r="M27">
        <v>1.2383112330061072E-6</v>
      </c>
      <c r="N27">
        <v>0</v>
      </c>
      <c r="O27" s="1">
        <v>1.7659822781897199E-11</v>
      </c>
      <c r="P27">
        <v>0</v>
      </c>
      <c r="Q27">
        <v>100</v>
      </c>
      <c r="AJ27">
        <v>1</v>
      </c>
    </row>
    <row r="28" spans="1:36" x14ac:dyDescent="0.2">
      <c r="A28">
        <v>28</v>
      </c>
      <c r="B28">
        <v>736</v>
      </c>
      <c r="C28">
        <v>275</v>
      </c>
      <c r="D28">
        <v>0.28667740177377199</v>
      </c>
      <c r="E28">
        <v>32.5936414700532</v>
      </c>
      <c r="F28">
        <v>2.54384628309294</v>
      </c>
      <c r="G28">
        <v>-530.14779895842582</v>
      </c>
      <c r="H28">
        <v>-466.16916756948171</v>
      </c>
      <c r="I28">
        <v>63.3985347955647</v>
      </c>
      <c r="J28">
        <v>37.669444560536697</v>
      </c>
      <c r="K28">
        <v>12.81274017486</v>
      </c>
      <c r="L28">
        <v>0</v>
      </c>
      <c r="M28">
        <v>1.238311233006107E-6</v>
      </c>
      <c r="N28">
        <v>0</v>
      </c>
      <c r="O28" s="1">
        <v>1.8222696941560199E-11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762</v>
      </c>
      <c r="C29">
        <v>255</v>
      </c>
      <c r="D29">
        <v>0.32760517799352901</v>
      </c>
      <c r="E29">
        <v>5.502004751062E-2</v>
      </c>
      <c r="F29">
        <v>2.54321635207668</v>
      </c>
      <c r="G29">
        <v>-0.8981580051964887</v>
      </c>
      <c r="H29">
        <v>-0.78569841251144834</v>
      </c>
      <c r="I29">
        <v>0.108640866236816</v>
      </c>
      <c r="J29">
        <v>6.3801865873349795E-2</v>
      </c>
      <c r="K29">
        <v>2.1634041266560999E-2</v>
      </c>
      <c r="L29">
        <v>0</v>
      </c>
      <c r="M29">
        <v>1.2382889668785757E-6</v>
      </c>
      <c r="N29">
        <v>0</v>
      </c>
      <c r="O29" s="1">
        <v>3.07610198270563E-14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761</v>
      </c>
      <c r="C30">
        <v>255</v>
      </c>
      <c r="D30">
        <v>0.32688729874776701</v>
      </c>
      <c r="E30">
        <v>0.26532206852553197</v>
      </c>
      <c r="F30">
        <v>2.54321635207668</v>
      </c>
      <c r="G30">
        <v>-4.3306455363394019</v>
      </c>
      <c r="H30">
        <v>-3.7891653035686228</v>
      </c>
      <c r="I30">
        <v>0.52359931612510602</v>
      </c>
      <c r="J30">
        <v>0.30763191458309302</v>
      </c>
      <c r="K30">
        <v>0.104325402087353</v>
      </c>
      <c r="L30">
        <v>0</v>
      </c>
      <c r="M30">
        <v>1.2382889668785759E-6</v>
      </c>
      <c r="N30">
        <v>0</v>
      </c>
      <c r="O30" s="1">
        <v>1.48338247234231E-13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760</v>
      </c>
      <c r="C31">
        <v>255</v>
      </c>
      <c r="D31">
        <v>0.32616802981174298</v>
      </c>
      <c r="E31">
        <v>0.47459879453120601</v>
      </c>
      <c r="F31">
        <v>2.54321635207668</v>
      </c>
      <c r="G31">
        <v>-7.7455702554823</v>
      </c>
      <c r="H31">
        <v>-6.7784760156651123</v>
      </c>
      <c r="I31">
        <v>0.93606372725856601</v>
      </c>
      <c r="J31">
        <v>0.55021207269526995</v>
      </c>
      <c r="K31">
        <v>0.186613613955284</v>
      </c>
      <c r="L31">
        <v>0</v>
      </c>
      <c r="M31">
        <v>1.2382889668785759E-6</v>
      </c>
      <c r="N31">
        <v>0</v>
      </c>
      <c r="O31" s="1">
        <v>2.6534224503629402E-13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759</v>
      </c>
      <c r="C32">
        <v>255</v>
      </c>
      <c r="D32">
        <v>0.325447367146249</v>
      </c>
      <c r="E32">
        <v>0.68285859362117896</v>
      </c>
      <c r="F32">
        <v>2.54321635207668</v>
      </c>
      <c r="G32">
        <v>-11.143075488419747</v>
      </c>
      <c r="H32">
        <v>-9.7537464184574212</v>
      </c>
      <c r="I32">
        <v>1.3460534514967</v>
      </c>
      <c r="J32">
        <v>0.79155229030452801</v>
      </c>
      <c r="K32">
        <v>0.268501967228853</v>
      </c>
      <c r="L32">
        <v>0</v>
      </c>
      <c r="M32">
        <v>1.2382889668785759E-6</v>
      </c>
      <c r="N32">
        <v>0</v>
      </c>
      <c r="O32" s="1">
        <v>3.8177769172958999E-13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758</v>
      </c>
      <c r="C33">
        <v>255</v>
      </c>
      <c r="D33">
        <v>0.32472530669640698</v>
      </c>
      <c r="E33">
        <v>0.89010974635077</v>
      </c>
      <c r="F33">
        <v>2.54321635207668</v>
      </c>
      <c r="G33">
        <v>-14.523303060570699</v>
      </c>
      <c r="H33">
        <v>-12.715091170561967</v>
      </c>
      <c r="I33">
        <v>1.7535876351730799</v>
      </c>
      <c r="J33">
        <v>1.0316624122429701</v>
      </c>
      <c r="K33">
        <v>0.34999371784627797</v>
      </c>
      <c r="L33">
        <v>0</v>
      </c>
      <c r="M33">
        <v>1.2382889668785757E-6</v>
      </c>
      <c r="N33">
        <v>0</v>
      </c>
      <c r="O33" s="1">
        <v>4.9764921686894298E-13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757</v>
      </c>
      <c r="C34">
        <v>255</v>
      </c>
      <c r="D34">
        <v>0.32400184439159502</v>
      </c>
      <c r="E34">
        <v>1.0963604437059999</v>
      </c>
      <c r="F34">
        <v>2.54321635207668</v>
      </c>
      <c r="G34">
        <v>-17.886393264790883</v>
      </c>
      <c r="H34">
        <v>-15.662623690021787</v>
      </c>
      <c r="I34">
        <v>2.15868521552113</v>
      </c>
      <c r="J34">
        <v>1.27055217576999</v>
      </c>
      <c r="K34">
        <v>0.43109208652687198</v>
      </c>
      <c r="L34">
        <v>0</v>
      </c>
      <c r="M34">
        <v>1.2382889668785761E-6</v>
      </c>
      <c r="N34">
        <v>0</v>
      </c>
      <c r="O34" s="1">
        <v>6.12961399932105E-13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756</v>
      </c>
      <c r="C35">
        <v>255</v>
      </c>
      <c r="D35">
        <v>0.32327697614536499</v>
      </c>
      <c r="E35">
        <v>1.3016187893737201</v>
      </c>
      <c r="F35">
        <v>2.54321635207668</v>
      </c>
      <c r="G35">
        <v>-21.232484899370576</v>
      </c>
      <c r="H35">
        <v>-18.596456186211274</v>
      </c>
      <c r="I35">
        <v>2.5613649255786801</v>
      </c>
      <c r="J35">
        <v>1.5082312132481599</v>
      </c>
      <c r="K35">
        <v>0.51180025966366405</v>
      </c>
      <c r="L35">
        <v>0</v>
      </c>
      <c r="M35">
        <v>1.2382889668785759E-6</v>
      </c>
      <c r="N35">
        <v>0</v>
      </c>
      <c r="O35" s="1">
        <v>7.2771877158895399E-13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755</v>
      </c>
      <c r="C36">
        <v>255</v>
      </c>
      <c r="D36">
        <v>0.322550697855369</v>
      </c>
      <c r="E36">
        <v>1.5058928002146099</v>
      </c>
      <c r="F36">
        <v>2.54321635207668</v>
      </c>
      <c r="G36">
        <v>-24.561715276691988</v>
      </c>
      <c r="H36">
        <v>-21.516699666078598</v>
      </c>
      <c r="I36">
        <v>2.9616452955438199</v>
      </c>
      <c r="J36">
        <v>1.7447090527351801</v>
      </c>
      <c r="K36">
        <v>0.59212138950937498</v>
      </c>
      <c r="L36">
        <v>0</v>
      </c>
      <c r="M36">
        <v>1.2382889668785759E-6</v>
      </c>
      <c r="N36">
        <v>0</v>
      </c>
      <c r="O36" s="1">
        <v>8.4192581396593402E-13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754</v>
      </c>
      <c r="C37">
        <v>255</v>
      </c>
      <c r="D37">
        <v>0.321823005403299</v>
      </c>
      <c r="E37">
        <v>1.7091904086413301</v>
      </c>
      <c r="F37">
        <v>2.54321635207668</v>
      </c>
      <c r="G37">
        <v>-27.874220262950931</v>
      </c>
      <c r="H37">
        <v>-24.423463967616197</v>
      </c>
      <c r="I37">
        <v>3.3595446578734598</v>
      </c>
      <c r="J37">
        <v>1.9799951207828601</v>
      </c>
      <c r="K37">
        <v>0.67205859511152999</v>
      </c>
      <c r="L37">
        <v>0</v>
      </c>
      <c r="M37">
        <v>1.2382889668785757E-6</v>
      </c>
      <c r="N37">
        <v>0</v>
      </c>
      <c r="O37" s="1">
        <v>9.5558696197567193E-13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753</v>
      </c>
      <c r="C38">
        <v>255</v>
      </c>
      <c r="D38">
        <v>0.321093894654779</v>
      </c>
      <c r="E38">
        <v>1.9115194642608899</v>
      </c>
      <c r="F38">
        <v>2.54321635207668</v>
      </c>
      <c r="G38">
        <v>-31.170134305849601</v>
      </c>
      <c r="H38">
        <v>-27.316857782831846</v>
      </c>
      <c r="I38">
        <v>3.7550811509211699</v>
      </c>
      <c r="J38">
        <v>2.2140987443818898</v>
      </c>
      <c r="K38">
        <v>0.75161496295823205</v>
      </c>
      <c r="L38">
        <v>0</v>
      </c>
      <c r="M38">
        <v>1.2382889668785759E-6</v>
      </c>
      <c r="N38">
        <v>0</v>
      </c>
      <c r="O38" s="1">
        <v>1.0687066042351799E-12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752</v>
      </c>
      <c r="C39">
        <v>255</v>
      </c>
      <c r="D39">
        <v>0.3203633614593</v>
      </c>
      <c r="E39">
        <v>2.1128877305401201</v>
      </c>
      <c r="F39">
        <v>2.54321635207668</v>
      </c>
      <c r="G39">
        <v>-34.449590381124018</v>
      </c>
      <c r="H39">
        <v>-30.196988609603427</v>
      </c>
      <c r="I39">
        <v>4.1482727127938199</v>
      </c>
      <c r="J39">
        <v>2.4470291471415502</v>
      </c>
      <c r="K39">
        <v>0.83079354566701602</v>
      </c>
      <c r="L39">
        <v>0</v>
      </c>
      <c r="M39">
        <v>1.2382889668785759E-6</v>
      </c>
      <c r="N39">
        <v>0</v>
      </c>
      <c r="O39" s="1">
        <v>1.1812890812016E-12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751</v>
      </c>
      <c r="C40">
        <v>255</v>
      </c>
      <c r="D40">
        <v>0.31963140165015202</v>
      </c>
      <c r="E40">
        <v>2.3133028927105799</v>
      </c>
      <c r="F40">
        <v>2.54321635207668</v>
      </c>
      <c r="G40">
        <v>-37.712720122339825</v>
      </c>
      <c r="H40">
        <v>-33.063962864154682</v>
      </c>
      <c r="I40">
        <v>4.5391370972856802</v>
      </c>
      <c r="J40">
        <v>2.67879545848781</v>
      </c>
      <c r="K40">
        <v>0.90959736509307798</v>
      </c>
      <c r="L40">
        <v>0</v>
      </c>
      <c r="M40">
        <v>1.2382889668785759E-6</v>
      </c>
      <c r="N40">
        <v>0</v>
      </c>
      <c r="O40" s="1">
        <v>1.29333868959167E-12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750</v>
      </c>
      <c r="C41">
        <v>255</v>
      </c>
      <c r="D41">
        <v>0.31889801104432502</v>
      </c>
      <c r="E41">
        <v>2.5127725529583498</v>
      </c>
      <c r="F41">
        <v>2.54321635207668</v>
      </c>
      <c r="G41">
        <v>-40.959653743331195</v>
      </c>
      <c r="H41">
        <v>-35.917885811835653</v>
      </c>
      <c r="I41">
        <v>4.9276918648248502</v>
      </c>
      <c r="J41">
        <v>2.90940670813261</v>
      </c>
      <c r="K41">
        <v>0.98802941043789805</v>
      </c>
      <c r="L41">
        <v>0</v>
      </c>
      <c r="M41">
        <v>1.2382889668785761E-6</v>
      </c>
      <c r="N41">
        <v>0</v>
      </c>
      <c r="O41" s="1">
        <v>1.40485967969248E-12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749</v>
      </c>
      <c r="C42">
        <v>255</v>
      </c>
      <c r="D42">
        <v>0.31816318544244998</v>
      </c>
      <c r="E42">
        <v>2.7113042356214798</v>
      </c>
      <c r="F42">
        <v>2.54321635207668</v>
      </c>
      <c r="G42">
        <v>-44.190520123805342</v>
      </c>
      <c r="H42">
        <v>-38.758861640931407</v>
      </c>
      <c r="I42">
        <v>5.3139543930674904</v>
      </c>
      <c r="J42">
        <v>3.1388718321334199</v>
      </c>
      <c r="K42">
        <v>1.0660926402928801</v>
      </c>
      <c r="L42">
        <v>0</v>
      </c>
      <c r="M42">
        <v>1.2382889668785759E-6</v>
      </c>
      <c r="N42">
        <v>0</v>
      </c>
      <c r="O42" s="1">
        <v>1.5158562582672401E-12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748</v>
      </c>
      <c r="C43">
        <v>255</v>
      </c>
      <c r="D43">
        <v>0.31742692062870498</v>
      </c>
      <c r="E43">
        <v>2.9089053849292399</v>
      </c>
      <c r="F43">
        <v>2.54321635207668</v>
      </c>
      <c r="G43">
        <v>-47.405446773340472</v>
      </c>
      <c r="H43">
        <v>-41.586993429881034</v>
      </c>
      <c r="I43">
        <v>5.6979418728486904</v>
      </c>
      <c r="J43">
        <v>3.36719967031528</v>
      </c>
      <c r="K43">
        <v>1.14378998175045</v>
      </c>
      <c r="L43">
        <v>0</v>
      </c>
      <c r="M43">
        <v>1.2382889668785759E-6</v>
      </c>
      <c r="N43">
        <v>0</v>
      </c>
      <c r="O43" s="1">
        <v>1.6263325872913399E-12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747</v>
      </c>
      <c r="C44">
        <v>255</v>
      </c>
      <c r="D44">
        <v>0.316689212370732</v>
      </c>
      <c r="E44">
        <v>3.10558336882182</v>
      </c>
      <c r="F44">
        <v>2.54321635207668</v>
      </c>
      <c r="G44">
        <v>-50.604559894489505</v>
      </c>
      <c r="H44">
        <v>-44.402383201417912</v>
      </c>
      <c r="I44">
        <v>6.0796713160531199</v>
      </c>
      <c r="J44">
        <v>3.59439897073262</v>
      </c>
      <c r="K44">
        <v>1.2211243319059</v>
      </c>
      <c r="L44">
        <v>0</v>
      </c>
      <c r="M44">
        <v>1.2382889668785757E-6</v>
      </c>
      <c r="N44">
        <v>0</v>
      </c>
      <c r="O44" s="1">
        <v>1.73629278608792E-12</v>
      </c>
      <c r="P44">
        <v>0</v>
      </c>
      <c r="Q44">
        <v>100</v>
      </c>
      <c r="AJ44">
        <v>1</v>
      </c>
    </row>
    <row r="45" spans="1:36" x14ac:dyDescent="0.2">
      <c r="A45">
        <v>46</v>
      </c>
      <c r="B45">
        <v>746</v>
      </c>
      <c r="C45">
        <v>255</v>
      </c>
      <c r="D45">
        <v>0.31595005641956603</v>
      </c>
      <c r="E45">
        <v>3.3013454781751501</v>
      </c>
      <c r="F45">
        <v>2.54321635207668</v>
      </c>
      <c r="G45">
        <v>-53.787984370973334</v>
      </c>
      <c r="H45">
        <v>-47.205131911034648</v>
      </c>
      <c r="I45">
        <v>6.4591595544705704</v>
      </c>
      <c r="J45">
        <v>3.8204783888104599</v>
      </c>
      <c r="K45">
        <v>1.29809855755268</v>
      </c>
      <c r="L45">
        <v>0</v>
      </c>
      <c r="M45">
        <v>1.2382889668785757E-6</v>
      </c>
      <c r="N45">
        <v>0</v>
      </c>
      <c r="O45" s="1">
        <v>1.8457409308944502E-12</v>
      </c>
      <c r="P45">
        <v>0</v>
      </c>
      <c r="Q45">
        <v>100</v>
      </c>
      <c r="AJ45">
        <v>1</v>
      </c>
    </row>
    <row r="46" spans="1:36" x14ac:dyDescent="0.2">
      <c r="A46">
        <v>47</v>
      </c>
      <c r="B46">
        <v>745</v>
      </c>
      <c r="C46">
        <v>255</v>
      </c>
      <c r="D46">
        <v>0.31520944850955201</v>
      </c>
      <c r="E46">
        <v>3.4961989284251298</v>
      </c>
      <c r="F46">
        <v>2.54321635207668</v>
      </c>
      <c r="G46">
        <v>-56.955843794970704</v>
      </c>
      <c r="H46">
        <v>-49.995339469754406</v>
      </c>
      <c r="I46">
        <v>6.8364232433495102</v>
      </c>
      <c r="J46">
        <v>4.0454464892629201</v>
      </c>
      <c r="K46">
        <v>1.37471549582098</v>
      </c>
      <c r="L46">
        <v>0</v>
      </c>
      <c r="M46">
        <v>1.2382889668785759E-6</v>
      </c>
      <c r="N46">
        <v>0</v>
      </c>
      <c r="O46" s="1">
        <v>1.9546810557707998E-12</v>
      </c>
      <c r="P46">
        <v>0</v>
      </c>
      <c r="Q46">
        <v>100</v>
      </c>
      <c r="AJ46">
        <v>1</v>
      </c>
    </row>
    <row r="47" spans="1:36" x14ac:dyDescent="0.2">
      <c r="A47">
        <v>48</v>
      </c>
      <c r="B47">
        <v>744</v>
      </c>
      <c r="C47">
        <v>255</v>
      </c>
      <c r="D47">
        <v>0.31446738435825899</v>
      </c>
      <c r="E47">
        <v>3.6901508609464102</v>
      </c>
      <c r="F47">
        <v>2.54321635207668</v>
      </c>
      <c r="G47">
        <v>-60.10826049039018</v>
      </c>
      <c r="H47">
        <v>-52.773104763403836</v>
      </c>
      <c r="I47">
        <v>7.2114788644608501</v>
      </c>
      <c r="J47">
        <v>4.2693117477265998</v>
      </c>
      <c r="K47">
        <v>1.45097795471989</v>
      </c>
      <c r="L47">
        <v>0</v>
      </c>
      <c r="M47">
        <v>1.2382889668785759E-6</v>
      </c>
      <c r="N47">
        <v>0</v>
      </c>
      <c r="O47" s="1">
        <v>2.0631171533701602E-12</v>
      </c>
      <c r="P47">
        <v>0</v>
      </c>
      <c r="Q47">
        <v>100</v>
      </c>
      <c r="AJ47">
        <v>1</v>
      </c>
    </row>
    <row r="48" spans="1:36" x14ac:dyDescent="0.2">
      <c r="A48">
        <v>49</v>
      </c>
      <c r="B48">
        <v>743</v>
      </c>
      <c r="C48">
        <v>255</v>
      </c>
      <c r="D48">
        <v>0.31372385966638899</v>
      </c>
      <c r="E48">
        <v>10.1183296847314</v>
      </c>
      <c r="F48">
        <v>2.54321635207668</v>
      </c>
      <c r="G48">
        <v>-164.79604017648961</v>
      </c>
      <c r="H48">
        <v>-144.71464395106372</v>
      </c>
      <c r="I48">
        <v>19.7622361122136</v>
      </c>
      <c r="J48">
        <v>11.704850269320101</v>
      </c>
      <c r="K48">
        <v>3.9785563963007902</v>
      </c>
      <c r="L48">
        <v>0</v>
      </c>
      <c r="M48">
        <v>1.2382889668785759E-6</v>
      </c>
      <c r="N48">
        <v>0</v>
      </c>
      <c r="O48" s="1">
        <v>5.6570314663694199E-12</v>
      </c>
      <c r="P48">
        <v>0</v>
      </c>
      <c r="Q48">
        <v>100</v>
      </c>
      <c r="AJ48">
        <v>1</v>
      </c>
    </row>
    <row r="49" spans="1:36" x14ac:dyDescent="0.2">
      <c r="A49">
        <v>50</v>
      </c>
      <c r="B49">
        <v>742</v>
      </c>
      <c r="C49">
        <v>255</v>
      </c>
      <c r="D49">
        <v>0.31297887011771702</v>
      </c>
      <c r="E49">
        <v>20.441756769491899</v>
      </c>
      <c r="F49">
        <v>2.54321635207668</v>
      </c>
      <c r="G49">
        <v>-332.89256406501067</v>
      </c>
      <c r="H49">
        <v>-292.38628280182127</v>
      </c>
      <c r="I49">
        <v>39.901769455931998</v>
      </c>
      <c r="J49">
        <v>23.643861695592701</v>
      </c>
      <c r="K49">
        <v>8.0377576814493299</v>
      </c>
      <c r="L49">
        <v>0</v>
      </c>
      <c r="M49">
        <v>1.2382889668785757E-6</v>
      </c>
      <c r="N49">
        <v>0</v>
      </c>
      <c r="O49" s="1">
        <v>1.1428730321703701E-11</v>
      </c>
      <c r="P49">
        <v>0</v>
      </c>
      <c r="Q49">
        <v>100</v>
      </c>
      <c r="AJ49">
        <v>1</v>
      </c>
    </row>
    <row r="50" spans="1:36" x14ac:dyDescent="0.2">
      <c r="A50">
        <v>51</v>
      </c>
      <c r="B50">
        <v>741</v>
      </c>
      <c r="C50">
        <v>255</v>
      </c>
      <c r="D50">
        <v>0.31223241137898899</v>
      </c>
      <c r="E50">
        <v>29.524765949006401</v>
      </c>
      <c r="F50">
        <v>2.54321635207668</v>
      </c>
      <c r="G50">
        <v>-480.75111178190576</v>
      </c>
      <c r="H50">
        <v>-422.338192235029</v>
      </c>
      <c r="I50">
        <v>57.597909132649697</v>
      </c>
      <c r="J50">
        <v>34.145201647646402</v>
      </c>
      <c r="K50">
        <v>11.6092230709737</v>
      </c>
      <c r="L50">
        <v>0</v>
      </c>
      <c r="M50">
        <v>1.2382889668785757E-6</v>
      </c>
      <c r="N50">
        <v>0</v>
      </c>
      <c r="O50" s="1">
        <v>1.65069270536576E-11</v>
      </c>
      <c r="P50">
        <v>0</v>
      </c>
      <c r="Q50">
        <v>100</v>
      </c>
      <c r="AJ50">
        <v>1</v>
      </c>
    </row>
    <row r="51" spans="1:36" x14ac:dyDescent="0.2">
      <c r="A51">
        <v>52</v>
      </c>
      <c r="B51">
        <v>740</v>
      </c>
      <c r="C51">
        <v>255</v>
      </c>
      <c r="D51">
        <v>0.31148447909983901</v>
      </c>
      <c r="E51">
        <v>31.773216138506601</v>
      </c>
      <c r="F51">
        <v>2.54321635207668</v>
      </c>
      <c r="G51">
        <v>-517.30061041202305</v>
      </c>
      <c r="H51">
        <v>-454.53798076435214</v>
      </c>
      <c r="I51">
        <v>61.948013273129199</v>
      </c>
      <c r="J51">
        <v>36.740688169850401</v>
      </c>
      <c r="K51">
        <v>12.493320166238201</v>
      </c>
      <c r="L51">
        <v>0</v>
      </c>
      <c r="M51">
        <v>1.2382889668785757E-6</v>
      </c>
      <c r="N51">
        <v>0</v>
      </c>
      <c r="O51" s="1">
        <v>1.7764007408704801E-11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762</v>
      </c>
      <c r="C52">
        <v>235</v>
      </c>
      <c r="D52">
        <v>0.34885813650195902</v>
      </c>
      <c r="E52">
        <v>8.5040366657781197E-2</v>
      </c>
      <c r="F52">
        <v>2.5425865883876502</v>
      </c>
      <c r="G52">
        <v>-1.3888844053885523</v>
      </c>
      <c r="H52">
        <v>-1.2150640357446587</v>
      </c>
      <c r="I52">
        <v>0.167918050180064</v>
      </c>
      <c r="J52">
        <v>9.8613765578318899E-2</v>
      </c>
      <c r="K52">
        <v>3.3446399444633297E-2</v>
      </c>
      <c r="L52">
        <v>0</v>
      </c>
      <c r="M52">
        <v>1.2382666413665599E-6</v>
      </c>
      <c r="N52">
        <v>0</v>
      </c>
      <c r="O52" s="1">
        <v>4.75450044705109E-14</v>
      </c>
      <c r="P52">
        <v>0</v>
      </c>
      <c r="Q52">
        <v>100</v>
      </c>
      <c r="AJ52">
        <v>1</v>
      </c>
    </row>
    <row r="53" spans="1:36" x14ac:dyDescent="0.2">
      <c r="A53">
        <v>55</v>
      </c>
      <c r="B53">
        <v>761</v>
      </c>
      <c r="C53">
        <v>235</v>
      </c>
      <c r="D53">
        <v>0.34816080839336999</v>
      </c>
      <c r="E53">
        <v>0.28994091610542599</v>
      </c>
      <c r="F53">
        <v>2.5425865883876502</v>
      </c>
      <c r="G53">
        <v>-4.7347602108118023</v>
      </c>
      <c r="H53">
        <v>-4.1430368173714598</v>
      </c>
      <c r="I53">
        <v>0.57218333263099397</v>
      </c>
      <c r="J53">
        <v>0.33617663104003997</v>
      </c>
      <c r="K53">
        <v>0.11403384153351</v>
      </c>
      <c r="L53">
        <v>0</v>
      </c>
      <c r="M53">
        <v>1.2382666413665599E-6</v>
      </c>
      <c r="N53">
        <v>0</v>
      </c>
      <c r="O53" s="1">
        <v>1.6210233673957401E-13</v>
      </c>
      <c r="P53">
        <v>0</v>
      </c>
      <c r="Q53">
        <v>100</v>
      </c>
      <c r="AJ53">
        <v>1</v>
      </c>
    </row>
    <row r="54" spans="1:36" x14ac:dyDescent="0.2">
      <c r="A54">
        <v>56</v>
      </c>
      <c r="B54">
        <v>760</v>
      </c>
      <c r="C54">
        <v>235</v>
      </c>
      <c r="D54">
        <v>0.34746213037796903</v>
      </c>
      <c r="E54">
        <v>0.49386141531549199</v>
      </c>
      <c r="F54">
        <v>2.5425865883876502</v>
      </c>
      <c r="G54">
        <v>-8.0638252486723356</v>
      </c>
      <c r="H54">
        <v>-7.0574793929241224</v>
      </c>
      <c r="I54">
        <v>0.97405590257775898</v>
      </c>
      <c r="J54">
        <v>0.57254362226807098</v>
      </c>
      <c r="K54">
        <v>0.194235829596138</v>
      </c>
      <c r="L54">
        <v>0</v>
      </c>
      <c r="M54">
        <v>1.2382666413665599E-6</v>
      </c>
      <c r="N54">
        <v>0</v>
      </c>
      <c r="O54" s="1">
        <v>2.7611173518899001E-13</v>
      </c>
      <c r="P54">
        <v>0</v>
      </c>
      <c r="Q54">
        <v>100</v>
      </c>
      <c r="AJ54">
        <v>1</v>
      </c>
    </row>
    <row r="55" spans="1:36" x14ac:dyDescent="0.2">
      <c r="A55">
        <v>57</v>
      </c>
      <c r="B55">
        <v>759</v>
      </c>
      <c r="C55">
        <v>235</v>
      </c>
      <c r="D55">
        <v>0.34676209853219198</v>
      </c>
      <c r="E55">
        <v>0.69680964602375395</v>
      </c>
      <c r="F55">
        <v>2.5425865883876599</v>
      </c>
      <c r="G55">
        <v>-11.376213051828902</v>
      </c>
      <c r="H55">
        <v>-9.9584994776068001</v>
      </c>
      <c r="I55">
        <v>1.37355381894308</v>
      </c>
      <c r="J55">
        <v>0.80772399493645697</v>
      </c>
      <c r="K55">
        <v>0.274055424191325</v>
      </c>
      <c r="L55">
        <v>0</v>
      </c>
      <c r="M55">
        <v>1.2382666413665602E-6</v>
      </c>
      <c r="N55">
        <v>0</v>
      </c>
      <c r="O55" s="1">
        <v>3.89577550489819E-13</v>
      </c>
      <c r="P55">
        <v>0</v>
      </c>
      <c r="Q55">
        <v>100</v>
      </c>
      <c r="AJ55">
        <v>1</v>
      </c>
    </row>
    <row r="56" spans="1:36" x14ac:dyDescent="0.2">
      <c r="A56">
        <v>58</v>
      </c>
      <c r="B56">
        <v>758</v>
      </c>
      <c r="C56">
        <v>235</v>
      </c>
      <c r="D56">
        <v>0.34606070891722801</v>
      </c>
      <c r="E56">
        <v>0.898793306921989</v>
      </c>
      <c r="F56">
        <v>2.5425865883876502</v>
      </c>
      <c r="G56">
        <v>-14.672055730347102</v>
      </c>
      <c r="H56">
        <v>-12.846203636378281</v>
      </c>
      <c r="I56">
        <v>1.7706949463888</v>
      </c>
      <c r="J56">
        <v>1.0417269049445601</v>
      </c>
      <c r="K56">
        <v>0.353495653216649</v>
      </c>
      <c r="L56">
        <v>0</v>
      </c>
      <c r="M56">
        <v>1.2382666413665599E-6</v>
      </c>
      <c r="N56">
        <v>0</v>
      </c>
      <c r="O56" s="1">
        <v>5.0250408688426205E-13</v>
      </c>
      <c r="P56">
        <v>0</v>
      </c>
      <c r="Q56">
        <v>100</v>
      </c>
      <c r="AJ56">
        <v>1</v>
      </c>
    </row>
    <row r="57" spans="1:36" x14ac:dyDescent="0.2">
      <c r="A57">
        <v>59</v>
      </c>
      <c r="B57">
        <v>757</v>
      </c>
      <c r="C57">
        <v>235</v>
      </c>
      <c r="D57">
        <v>0.34535795757899301</v>
      </c>
      <c r="E57">
        <v>1.0998200169350101</v>
      </c>
      <c r="F57">
        <v>2.5425865883876502</v>
      </c>
      <c r="G57">
        <v>-17.951484025885502</v>
      </c>
      <c r="H57">
        <v>-15.720697330303132</v>
      </c>
      <c r="I57">
        <v>2.1654969621728499</v>
      </c>
      <c r="J57">
        <v>1.27456141225659</v>
      </c>
      <c r="K57">
        <v>0.43255951319732699</v>
      </c>
      <c r="L57">
        <v>0</v>
      </c>
      <c r="M57">
        <v>1.2382666413665599E-6</v>
      </c>
      <c r="N57">
        <v>0</v>
      </c>
      <c r="O57" s="1">
        <v>6.1489560401781497E-13</v>
      </c>
      <c r="P57">
        <v>0</v>
      </c>
      <c r="Q57">
        <v>100</v>
      </c>
      <c r="AJ57">
        <v>1</v>
      </c>
    </row>
    <row r="58" spans="1:36" x14ac:dyDescent="0.2">
      <c r="A58">
        <v>60</v>
      </c>
      <c r="B58">
        <v>756</v>
      </c>
      <c r="C58">
        <v>235</v>
      </c>
      <c r="D58">
        <v>0.344653840548026</v>
      </c>
      <c r="E58">
        <v>1.2998973099872799</v>
      </c>
      <c r="F58">
        <v>2.5425865883876599</v>
      </c>
      <c r="G58">
        <v>-21.214627227148835</v>
      </c>
      <c r="H58">
        <v>-18.582084841268166</v>
      </c>
      <c r="I58">
        <v>2.5579773462378301</v>
      </c>
      <c r="J58">
        <v>1.50623647487715</v>
      </c>
      <c r="K58">
        <v>0.51124996722789795</v>
      </c>
      <c r="L58">
        <v>0</v>
      </c>
      <c r="M58">
        <v>1.2382666413665602E-6</v>
      </c>
      <c r="N58">
        <v>0</v>
      </c>
      <c r="O58" s="1">
        <v>7.26756314013322E-13</v>
      </c>
      <c r="P58">
        <v>0</v>
      </c>
      <c r="Q58">
        <v>100</v>
      </c>
      <c r="AJ58">
        <v>1</v>
      </c>
    </row>
    <row r="59" spans="1:36" x14ac:dyDescent="0.2">
      <c r="A59">
        <v>61</v>
      </c>
      <c r="B59">
        <v>755</v>
      </c>
      <c r="C59">
        <v>235</v>
      </c>
      <c r="D59">
        <v>0.34394835383941902</v>
      </c>
      <c r="E59">
        <v>1.4990326465716399</v>
      </c>
      <c r="F59">
        <v>2.5425865883876599</v>
      </c>
      <c r="G59">
        <v>-24.461613359585087</v>
      </c>
      <c r="H59">
        <v>-21.43046943687078</v>
      </c>
      <c r="I59">
        <v>2.9481534043809798</v>
      </c>
      <c r="J59">
        <v>1.7367609622985001</v>
      </c>
      <c r="K59">
        <v>0.58956994952224195</v>
      </c>
      <c r="L59">
        <v>0</v>
      </c>
      <c r="M59">
        <v>1.2382666413665602E-6</v>
      </c>
      <c r="N59">
        <v>0</v>
      </c>
      <c r="O59" s="1">
        <v>8.3809038793895102E-13</v>
      </c>
      <c r="P59">
        <v>0</v>
      </c>
      <c r="Q59">
        <v>100</v>
      </c>
      <c r="AJ59">
        <v>1</v>
      </c>
    </row>
    <row r="60" spans="1:36" x14ac:dyDescent="0.2">
      <c r="A60">
        <v>62</v>
      </c>
      <c r="B60">
        <v>754</v>
      </c>
      <c r="C60">
        <v>235</v>
      </c>
      <c r="D60">
        <v>0.34324149345275801</v>
      </c>
      <c r="E60">
        <v>1.69723340437575</v>
      </c>
      <c r="F60">
        <v>2.5425865883876599</v>
      </c>
      <c r="G60">
        <v>-27.692569033241959</v>
      </c>
      <c r="H60">
        <v>-24.265953235966524</v>
      </c>
      <c r="I60">
        <v>3.3360422501829601</v>
      </c>
      <c r="J60">
        <v>1.9661436446773699</v>
      </c>
      <c r="K60">
        <v>0.66752236172693202</v>
      </c>
      <c r="L60">
        <v>0</v>
      </c>
      <c r="M60">
        <v>1.2382666413665604E-6</v>
      </c>
      <c r="N60">
        <v>0</v>
      </c>
      <c r="O60" s="1">
        <v>9.4890195056751905E-13</v>
      </c>
      <c r="P60">
        <v>0</v>
      </c>
      <c r="Q60">
        <v>100</v>
      </c>
      <c r="AJ60">
        <v>1</v>
      </c>
    </row>
    <row r="61" spans="1:36" x14ac:dyDescent="0.2">
      <c r="A61">
        <v>63</v>
      </c>
      <c r="B61">
        <v>753</v>
      </c>
      <c r="C61">
        <v>235</v>
      </c>
      <c r="D61">
        <v>0.342533255372025</v>
      </c>
      <c r="E61">
        <v>1.89450688636876</v>
      </c>
      <c r="F61">
        <v>2.5425865883876599</v>
      </c>
      <c r="G61">
        <v>-30.907619575586015</v>
      </c>
      <c r="H61">
        <v>-27.088637323808161</v>
      </c>
      <c r="I61">
        <v>3.72166082130083</v>
      </c>
      <c r="J61">
        <v>2.1943932022443899</v>
      </c>
      <c r="K61">
        <v>0.74511007610172997</v>
      </c>
      <c r="L61">
        <v>0</v>
      </c>
      <c r="M61">
        <v>1.2382666413665602E-6</v>
      </c>
      <c r="N61">
        <v>0</v>
      </c>
      <c r="O61" s="1">
        <v>1.0591950848976601E-12</v>
      </c>
      <c r="P61">
        <v>0</v>
      </c>
      <c r="Q61">
        <v>100</v>
      </c>
      <c r="AJ61">
        <v>1</v>
      </c>
    </row>
    <row r="62" spans="1:36" x14ac:dyDescent="0.2">
      <c r="A62">
        <v>64</v>
      </c>
      <c r="B62">
        <v>752</v>
      </c>
      <c r="C62">
        <v>235</v>
      </c>
      <c r="D62">
        <v>0.34182363556552797</v>
      </c>
      <c r="E62">
        <v>2.0908603171053999</v>
      </c>
      <c r="F62">
        <v>2.5425865883876599</v>
      </c>
      <c r="G62">
        <v>-34.106888972022922</v>
      </c>
      <c r="H62">
        <v>-29.898621698753487</v>
      </c>
      <c r="I62">
        <v>4.1050258725741804</v>
      </c>
      <c r="J62">
        <v>2.42151822106071</v>
      </c>
      <c r="K62">
        <v>0.82233593406598005</v>
      </c>
      <c r="L62">
        <v>0</v>
      </c>
      <c r="M62">
        <v>1.2382666413665599E-6</v>
      </c>
      <c r="N62">
        <v>0</v>
      </c>
      <c r="O62" s="1">
        <v>1.16897383008747E-12</v>
      </c>
      <c r="P62">
        <v>0</v>
      </c>
      <c r="Q62">
        <v>100</v>
      </c>
      <c r="AJ62">
        <v>1</v>
      </c>
    </row>
    <row r="63" spans="1:36" x14ac:dyDescent="0.2">
      <c r="A63">
        <v>65</v>
      </c>
      <c r="B63">
        <v>751</v>
      </c>
      <c r="C63">
        <v>235</v>
      </c>
      <c r="D63">
        <v>0.34111262998584302</v>
      </c>
      <c r="E63">
        <v>2.2863008476491098</v>
      </c>
      <c r="F63">
        <v>2.5425865883876502</v>
      </c>
      <c r="G63">
        <v>-37.290499947041262</v>
      </c>
      <c r="H63">
        <v>-32.696005342208132</v>
      </c>
      <c r="I63">
        <v>4.4861539860695503</v>
      </c>
      <c r="J63">
        <v>2.6475271987590601</v>
      </c>
      <c r="K63">
        <v>0.89920274813489598</v>
      </c>
      <c r="L63">
        <v>0</v>
      </c>
      <c r="M63">
        <v>1.2382666413665599E-6</v>
      </c>
      <c r="N63">
        <v>0</v>
      </c>
      <c r="O63" s="1">
        <v>1.2782421842070401E-12</v>
      </c>
      <c r="P63">
        <v>0</v>
      </c>
      <c r="Q63">
        <v>100</v>
      </c>
      <c r="AJ63">
        <v>1</v>
      </c>
    </row>
    <row r="64" spans="1:36" x14ac:dyDescent="0.2">
      <c r="A64">
        <v>66</v>
      </c>
      <c r="B64">
        <v>750</v>
      </c>
      <c r="C64">
        <v>235</v>
      </c>
      <c r="D64">
        <v>0.34040023456971302</v>
      </c>
      <c r="E64">
        <v>2.48083555298268</v>
      </c>
      <c r="F64">
        <v>2.5425865883876599</v>
      </c>
      <c r="G64">
        <v>-40.458573922777752</v>
      </c>
      <c r="H64">
        <v>-35.480886181156912</v>
      </c>
      <c r="I64">
        <v>4.8650615663596097</v>
      </c>
      <c r="J64">
        <v>2.87242854158209</v>
      </c>
      <c r="K64">
        <v>0.97571330090113495</v>
      </c>
      <c r="L64">
        <v>0</v>
      </c>
      <c r="M64">
        <v>1.2382666413665602E-6</v>
      </c>
      <c r="N64">
        <v>0</v>
      </c>
      <c r="O64" s="1">
        <v>1.3870041027906501E-12</v>
      </c>
      <c r="P64">
        <v>0</v>
      </c>
      <c r="Q64">
        <v>100</v>
      </c>
      <c r="AJ64">
        <v>1</v>
      </c>
    </row>
    <row r="65" spans="1:36" x14ac:dyDescent="0.2">
      <c r="A65">
        <v>67</v>
      </c>
      <c r="B65">
        <v>749</v>
      </c>
      <c r="C65">
        <v>235</v>
      </c>
      <c r="D65">
        <v>0.33968644523797997</v>
      </c>
      <c r="E65">
        <v>2.6744714363259998</v>
      </c>
      <c r="F65">
        <v>2.5425865883876599</v>
      </c>
      <c r="G65">
        <v>-43.611231090245546</v>
      </c>
      <c r="H65">
        <v>-38.253361149473541</v>
      </c>
      <c r="I65">
        <v>5.2417648493587103</v>
      </c>
      <c r="J65">
        <v>3.0962305694199701</v>
      </c>
      <c r="K65">
        <v>1.05187034673299</v>
      </c>
      <c r="L65">
        <v>0</v>
      </c>
      <c r="M65">
        <v>1.2382666413665599E-6</v>
      </c>
      <c r="N65">
        <v>0</v>
      </c>
      <c r="O65" s="1">
        <v>1.49526350125089E-12</v>
      </c>
      <c r="P65">
        <v>0</v>
      </c>
      <c r="Q65">
        <v>100</v>
      </c>
      <c r="AJ65">
        <v>1</v>
      </c>
    </row>
    <row r="66" spans="1:36" x14ac:dyDescent="0.2">
      <c r="A66">
        <v>68</v>
      </c>
      <c r="B66">
        <v>748</v>
      </c>
      <c r="C66">
        <v>235</v>
      </c>
      <c r="D66">
        <v>0.33897125789551102</v>
      </c>
      <c r="E66">
        <v>3.3624507986802401</v>
      </c>
      <c r="F66">
        <v>2.5425865883876502</v>
      </c>
      <c r="G66">
        <v>-54.823168696818158</v>
      </c>
      <c r="H66">
        <v>-48.097524338235907</v>
      </c>
      <c r="I66">
        <v>6.5863431999042801</v>
      </c>
      <c r="J66">
        <v>3.8922005780682598</v>
      </c>
      <c r="K66">
        <v>1.3224528179441399</v>
      </c>
      <c r="L66">
        <v>0</v>
      </c>
      <c r="M66">
        <v>1.2382666413665599E-6</v>
      </c>
      <c r="N66">
        <v>0</v>
      </c>
      <c r="O66" s="1">
        <v>1.8799041506777999E-12</v>
      </c>
      <c r="P66">
        <v>0</v>
      </c>
      <c r="Q66">
        <v>100</v>
      </c>
      <c r="AJ66">
        <v>1</v>
      </c>
    </row>
    <row r="67" spans="1:36" x14ac:dyDescent="0.2">
      <c r="A67">
        <v>69</v>
      </c>
      <c r="B67">
        <v>747</v>
      </c>
      <c r="C67">
        <v>235</v>
      </c>
      <c r="D67">
        <v>0.33825466843111501</v>
      </c>
      <c r="E67">
        <v>5.2570828213008403</v>
      </c>
      <c r="F67">
        <v>2.5425865883876502</v>
      </c>
      <c r="G67">
        <v>-85.703952470765785</v>
      </c>
      <c r="H67">
        <v>-75.205005034623142</v>
      </c>
      <c r="I67">
        <v>10.2915722552003</v>
      </c>
      <c r="J67">
        <v>6.08454220602958</v>
      </c>
      <c r="K67">
        <v>2.0676121101679099</v>
      </c>
      <c r="L67">
        <v>0</v>
      </c>
      <c r="M67">
        <v>1.2382666413665599E-6</v>
      </c>
      <c r="N67">
        <v>0</v>
      </c>
      <c r="O67" s="1">
        <v>2.93916919768741E-12</v>
      </c>
      <c r="P67">
        <v>0</v>
      </c>
      <c r="Q67">
        <v>100</v>
      </c>
      <c r="AJ67">
        <v>1</v>
      </c>
    </row>
    <row r="68" spans="1:36" x14ac:dyDescent="0.2">
      <c r="A68">
        <v>70</v>
      </c>
      <c r="B68">
        <v>746</v>
      </c>
      <c r="C68">
        <v>235</v>
      </c>
      <c r="D68">
        <v>0.33753667271746202</v>
      </c>
      <c r="E68">
        <v>11.8427081879314</v>
      </c>
      <c r="F68">
        <v>2.5425865883876599</v>
      </c>
      <c r="G68">
        <v>-193.04338345055859</v>
      </c>
      <c r="H68">
        <v>-169.42913246027658</v>
      </c>
      <c r="I68">
        <v>23.1705352404278</v>
      </c>
      <c r="J68">
        <v>13.704960900363</v>
      </c>
      <c r="K68">
        <v>4.6577403664515202</v>
      </c>
      <c r="L68">
        <v>0</v>
      </c>
      <c r="M68">
        <v>1.2382666413665599E-6</v>
      </c>
      <c r="N68">
        <v>0</v>
      </c>
      <c r="O68" s="1">
        <v>6.6211099018895897E-12</v>
      </c>
      <c r="P68">
        <v>0</v>
      </c>
      <c r="Q68">
        <v>100</v>
      </c>
      <c r="AJ68">
        <v>1</v>
      </c>
    </row>
    <row r="69" spans="1:36" x14ac:dyDescent="0.2">
      <c r="A69">
        <v>71</v>
      </c>
      <c r="B69">
        <v>745</v>
      </c>
      <c r="C69">
        <v>235</v>
      </c>
      <c r="D69">
        <v>0.33681726661101002</v>
      </c>
      <c r="E69">
        <v>23.845354823751901</v>
      </c>
      <c r="F69">
        <v>2.5425865883876599</v>
      </c>
      <c r="G69">
        <v>-388.64722092767192</v>
      </c>
      <c r="H69">
        <v>-341.17403682547126</v>
      </c>
      <c r="I69">
        <v>46.626905762609297</v>
      </c>
      <c r="J69">
        <v>27.591423981251801</v>
      </c>
      <c r="K69">
        <v>9.3783845681625699</v>
      </c>
      <c r="L69">
        <v>0</v>
      </c>
      <c r="M69">
        <v>1.2382666413665602E-6</v>
      </c>
      <c r="N69">
        <v>0</v>
      </c>
      <c r="O69" s="1">
        <v>1.33316393878984E-11</v>
      </c>
      <c r="P69">
        <v>0</v>
      </c>
      <c r="Q69">
        <v>100</v>
      </c>
      <c r="AJ69">
        <v>1</v>
      </c>
    </row>
    <row r="70" spans="1:36" x14ac:dyDescent="0.2">
      <c r="A70">
        <v>72</v>
      </c>
      <c r="B70">
        <v>744</v>
      </c>
      <c r="C70">
        <v>235</v>
      </c>
      <c r="D70">
        <v>0.336096445951927</v>
      </c>
      <c r="E70">
        <v>30.406670578921901</v>
      </c>
      <c r="F70">
        <v>2.5425865883876599</v>
      </c>
      <c r="G70">
        <v>-495.52840579032431</v>
      </c>
      <c r="H70">
        <v>-435.08706551992572</v>
      </c>
      <c r="I70">
        <v>59.422248705106</v>
      </c>
      <c r="J70">
        <v>35.178929210105601</v>
      </c>
      <c r="K70">
        <v>11.958951847615801</v>
      </c>
      <c r="L70">
        <v>0</v>
      </c>
      <c r="M70">
        <v>1.2382666413665602E-6</v>
      </c>
      <c r="N70">
        <v>0</v>
      </c>
      <c r="O70" s="1">
        <v>1.6999988892638499E-11</v>
      </c>
      <c r="P70">
        <v>0</v>
      </c>
      <c r="Q70">
        <v>100</v>
      </c>
      <c r="AJ70">
        <v>1</v>
      </c>
    </row>
    <row r="71" spans="1:36" x14ac:dyDescent="0.2">
      <c r="A71">
        <v>73</v>
      </c>
      <c r="B71">
        <v>743</v>
      </c>
      <c r="C71">
        <v>235</v>
      </c>
      <c r="D71">
        <v>0.33537420656399403</v>
      </c>
      <c r="E71">
        <v>32.0273844409286</v>
      </c>
      <c r="F71">
        <v>2.5425865883876599</v>
      </c>
      <c r="G71">
        <v>-521.87812300131861</v>
      </c>
      <c r="H71">
        <v>-458.31480602491609</v>
      </c>
      <c r="I71">
        <v>62.553084659157101</v>
      </c>
      <c r="J71">
        <v>37.049172252680201</v>
      </c>
      <c r="K71">
        <v>12.5963790524193</v>
      </c>
      <c r="L71">
        <v>0</v>
      </c>
      <c r="M71">
        <v>1.2382666413665602E-6</v>
      </c>
      <c r="N71">
        <v>0</v>
      </c>
      <c r="O71" s="1">
        <v>1.7906109724932499E-11</v>
      </c>
      <c r="P71">
        <v>0</v>
      </c>
      <c r="Q71">
        <v>100</v>
      </c>
      <c r="AJ71">
        <v>1</v>
      </c>
    </row>
    <row r="72" spans="1:36" x14ac:dyDescent="0.2">
      <c r="A72">
        <v>75</v>
      </c>
      <c r="B72">
        <v>762</v>
      </c>
      <c r="C72">
        <v>215</v>
      </c>
      <c r="D72">
        <v>0.37011109501038603</v>
      </c>
      <c r="E72">
        <v>0.158465826670111</v>
      </c>
      <c r="F72">
        <v>2.5419569920089802</v>
      </c>
      <c r="G72">
        <v>-2.5893201012277598</v>
      </c>
      <c r="H72">
        <v>-2.2654199388664122</v>
      </c>
      <c r="I72">
        <v>0.31290166870632002</v>
      </c>
      <c r="J72">
        <v>0.183758754784143</v>
      </c>
      <c r="K72">
        <v>6.2340089611378803E-2</v>
      </c>
      <c r="L72">
        <v>0</v>
      </c>
      <c r="M72">
        <v>1.2382442565179703E-6</v>
      </c>
      <c r="N72">
        <v>0</v>
      </c>
      <c r="O72" s="1">
        <v>8.8596260029933006E-14</v>
      </c>
      <c r="P72">
        <v>0</v>
      </c>
      <c r="Q72">
        <v>100</v>
      </c>
      <c r="AJ72">
        <v>1</v>
      </c>
    </row>
    <row r="73" spans="1:36" x14ac:dyDescent="0.2">
      <c r="A73">
        <v>76</v>
      </c>
      <c r="B73">
        <v>761</v>
      </c>
      <c r="C73">
        <v>215</v>
      </c>
      <c r="D73">
        <v>0.36943431803897198</v>
      </c>
      <c r="E73">
        <v>0.35752891794755998</v>
      </c>
      <c r="F73">
        <v>2.5419569920089802</v>
      </c>
      <c r="G73">
        <v>-5.8412907931673512</v>
      </c>
      <c r="H73">
        <v>-5.1116310148142352</v>
      </c>
      <c r="I73">
        <v>0.70556474240014899</v>
      </c>
      <c r="J73">
        <v>0.414542620439601</v>
      </c>
      <c r="K73">
        <v>0.140651049200087</v>
      </c>
      <c r="L73">
        <v>0</v>
      </c>
      <c r="M73">
        <v>1.2382442565179705E-6</v>
      </c>
      <c r="N73">
        <v>0</v>
      </c>
      <c r="O73" s="1">
        <v>1.9988994250882901E-13</v>
      </c>
      <c r="P73">
        <v>0</v>
      </c>
      <c r="Q73">
        <v>100</v>
      </c>
      <c r="AJ73">
        <v>1</v>
      </c>
    </row>
    <row r="74" spans="1:36" x14ac:dyDescent="0.2">
      <c r="A74">
        <v>77</v>
      </c>
      <c r="B74">
        <v>760</v>
      </c>
      <c r="C74">
        <v>215</v>
      </c>
      <c r="D74">
        <v>0.36875623094420001</v>
      </c>
      <c r="E74">
        <v>0.55566225469239605</v>
      </c>
      <c r="F74">
        <v>2.5419569920089802</v>
      </c>
      <c r="G74">
        <v>-9.0772877527812916</v>
      </c>
      <c r="H74">
        <v>-7.945009769800631</v>
      </c>
      <c r="I74">
        <v>1.09594732902353</v>
      </c>
      <c r="J74">
        <v>0.644190597186036</v>
      </c>
      <c r="K74">
        <v>0.21859624550659301</v>
      </c>
      <c r="L74">
        <v>0</v>
      </c>
      <c r="M74">
        <v>1.2382442565179703E-6</v>
      </c>
      <c r="N74">
        <v>0</v>
      </c>
      <c r="O74" s="1">
        <v>3.1066381086712698E-13</v>
      </c>
      <c r="P74">
        <v>0</v>
      </c>
      <c r="Q74">
        <v>100</v>
      </c>
      <c r="AJ74">
        <v>1</v>
      </c>
    </row>
    <row r="75" spans="1:36" x14ac:dyDescent="0.2">
      <c r="A75">
        <v>78</v>
      </c>
      <c r="B75">
        <v>759</v>
      </c>
      <c r="C75">
        <v>215</v>
      </c>
      <c r="D75">
        <v>0.36807682991813401</v>
      </c>
      <c r="E75">
        <v>0.75287301162240405</v>
      </c>
      <c r="F75">
        <v>2.5419569920089802</v>
      </c>
      <c r="G75">
        <v>-12.297434342014309</v>
      </c>
      <c r="H75">
        <v>-10.765655477681294</v>
      </c>
      <c r="I75">
        <v>1.48406613799642</v>
      </c>
      <c r="J75">
        <v>0.87271122048554295</v>
      </c>
      <c r="K75">
        <v>0.29617850104827498</v>
      </c>
      <c r="L75">
        <v>0</v>
      </c>
      <c r="M75">
        <v>1.2382442565179703E-6</v>
      </c>
      <c r="N75">
        <v>0</v>
      </c>
      <c r="O75" s="1">
        <v>4.2092187639972799E-13</v>
      </c>
      <c r="P75">
        <v>0</v>
      </c>
      <c r="Q75">
        <v>100</v>
      </c>
      <c r="AJ75">
        <v>1</v>
      </c>
    </row>
    <row r="76" spans="1:36" x14ac:dyDescent="0.2">
      <c r="A76">
        <v>79</v>
      </c>
      <c r="B76">
        <v>758</v>
      </c>
      <c r="C76">
        <v>215</v>
      </c>
      <c r="D76">
        <v>0.36739611113805198</v>
      </c>
      <c r="E76">
        <v>0.94916829111247802</v>
      </c>
      <c r="F76">
        <v>2.5419569920089802</v>
      </c>
      <c r="G76">
        <v>-15.501852679237356</v>
      </c>
      <c r="H76">
        <v>-13.573666411594239</v>
      </c>
      <c r="I76">
        <v>1.86993770803774</v>
      </c>
      <c r="J76">
        <v>1.1001129387114299</v>
      </c>
      <c r="K76">
        <v>0.37340060988298701</v>
      </c>
      <c r="L76">
        <v>0</v>
      </c>
      <c r="M76">
        <v>1.2382442565179705E-6</v>
      </c>
      <c r="N76">
        <v>0</v>
      </c>
      <c r="O76" s="1">
        <v>5.3066810995552904E-13</v>
      </c>
      <c r="P76">
        <v>0</v>
      </c>
      <c r="Q76">
        <v>100</v>
      </c>
      <c r="AJ76">
        <v>1</v>
      </c>
    </row>
    <row r="77" spans="1:36" x14ac:dyDescent="0.2">
      <c r="A77">
        <v>80</v>
      </c>
      <c r="B77">
        <v>757</v>
      </c>
      <c r="C77">
        <v>215</v>
      </c>
      <c r="D77">
        <v>0.36671407076639501</v>
      </c>
      <c r="E77">
        <v>1.1445551191340999</v>
      </c>
      <c r="F77">
        <v>2.5419569920089802</v>
      </c>
      <c r="G77">
        <v>-18.690663573724866</v>
      </c>
      <c r="H77">
        <v>-16.36913978545951</v>
      </c>
      <c r="I77">
        <v>2.2535783995198302</v>
      </c>
      <c r="J77">
        <v>1.32640410847811</v>
      </c>
      <c r="K77">
        <v>0.45026533601165702</v>
      </c>
      <c r="L77">
        <v>0</v>
      </c>
      <c r="M77">
        <v>1.2382442565179703E-6</v>
      </c>
      <c r="N77">
        <v>0</v>
      </c>
      <c r="O77" s="1">
        <v>6.3990643966723704E-13</v>
      </c>
      <c r="P77">
        <v>0</v>
      </c>
      <c r="Q77">
        <v>100</v>
      </c>
      <c r="AJ77">
        <v>1</v>
      </c>
    </row>
    <row r="78" spans="1:36" x14ac:dyDescent="0.2">
      <c r="A78">
        <v>81</v>
      </c>
      <c r="B78">
        <v>756</v>
      </c>
      <c r="C78">
        <v>215</v>
      </c>
      <c r="D78">
        <v>0.36603070495068801</v>
      </c>
      <c r="E78">
        <v>1.3390404510214799</v>
      </c>
      <c r="F78">
        <v>2.5419569920089802</v>
      </c>
      <c r="G78">
        <v>-21.863986620629149</v>
      </c>
      <c r="H78">
        <v>-19.152171836000274</v>
      </c>
      <c r="I78">
        <v>2.6350044061884699</v>
      </c>
      <c r="J78">
        <v>1.55159300136119</v>
      </c>
      <c r="K78">
        <v>0.52677541564666597</v>
      </c>
      <c r="L78">
        <v>0</v>
      </c>
      <c r="M78">
        <v>1.2382442565179705E-6</v>
      </c>
      <c r="N78">
        <v>0</v>
      </c>
      <c r="O78" s="1">
        <v>7.4864075417513503E-13</v>
      </c>
      <c r="P78">
        <v>0</v>
      </c>
      <c r="Q78">
        <v>100</v>
      </c>
      <c r="AJ78">
        <v>1</v>
      </c>
    </row>
    <row r="79" spans="1:36" x14ac:dyDescent="0.2">
      <c r="A79">
        <v>82</v>
      </c>
      <c r="B79">
        <v>755</v>
      </c>
      <c r="C79">
        <v>215</v>
      </c>
      <c r="D79">
        <v>0.36534600982346799</v>
      </c>
      <c r="E79">
        <v>1.53263116898281</v>
      </c>
      <c r="F79">
        <v>2.5419569920089802</v>
      </c>
      <c r="G79">
        <v>-25.021940161116156</v>
      </c>
      <c r="H79">
        <v>-21.922857786726553</v>
      </c>
      <c r="I79">
        <v>3.0142317506099299</v>
      </c>
      <c r="J79">
        <v>1.7756878010488699</v>
      </c>
      <c r="K79">
        <v>0.60293355623280098</v>
      </c>
      <c r="L79">
        <v>0</v>
      </c>
      <c r="M79">
        <v>1.2382442565179705E-6</v>
      </c>
      <c r="N79">
        <v>0</v>
      </c>
      <c r="O79" s="1">
        <v>8.5687490123567805E-13</v>
      </c>
      <c r="P79">
        <v>0</v>
      </c>
      <c r="Q79">
        <v>100</v>
      </c>
      <c r="AJ79">
        <v>1</v>
      </c>
    </row>
    <row r="80" spans="1:36" x14ac:dyDescent="0.2">
      <c r="A80">
        <v>83</v>
      </c>
      <c r="B80">
        <v>754</v>
      </c>
      <c r="C80">
        <v>215</v>
      </c>
      <c r="D80">
        <v>0.36465998150221401</v>
      </c>
      <c r="E80">
        <v>1.72533408245173</v>
      </c>
      <c r="F80">
        <v>2.5419569920089802</v>
      </c>
      <c r="G80">
        <v>-28.164641288892497</v>
      </c>
      <c r="H80">
        <v>-24.681291852530624</v>
      </c>
      <c r="I80">
        <v>3.3912762852181899</v>
      </c>
      <c r="J80">
        <v>1.99869660378586</v>
      </c>
      <c r="K80">
        <v>0.67874243658550304</v>
      </c>
      <c r="L80">
        <v>0</v>
      </c>
      <c r="M80">
        <v>1.2382442565179703E-6</v>
      </c>
      <c r="N80">
        <v>0</v>
      </c>
      <c r="O80" s="1">
        <v>9.6461268791797501E-13</v>
      </c>
      <c r="P80">
        <v>0</v>
      </c>
      <c r="Q80">
        <v>100</v>
      </c>
      <c r="AJ80">
        <v>1</v>
      </c>
    </row>
    <row r="81" spans="1:36" x14ac:dyDescent="0.2">
      <c r="A81">
        <v>84</v>
      </c>
      <c r="B81">
        <v>753</v>
      </c>
      <c r="C81">
        <v>215</v>
      </c>
      <c r="D81">
        <v>0.36397261608926701</v>
      </c>
      <c r="E81">
        <v>2.1717124286953098</v>
      </c>
      <c r="F81">
        <v>2.5419569920089802</v>
      </c>
      <c r="G81">
        <v>-35.447128411556953</v>
      </c>
      <c r="H81">
        <v>-31.069350066792264</v>
      </c>
      <c r="I81">
        <v>4.2662167760704399</v>
      </c>
      <c r="J81">
        <v>2.5154783152532798</v>
      </c>
      <c r="K81">
        <v>0.85434664532972304</v>
      </c>
      <c r="L81">
        <v>0</v>
      </c>
      <c r="M81">
        <v>1.2382442565179703E-6</v>
      </c>
      <c r="N81">
        <v>0</v>
      </c>
      <c r="O81" s="1">
        <v>1.2141772335777501E-12</v>
      </c>
      <c r="P81">
        <v>0</v>
      </c>
      <c r="Q81">
        <v>100</v>
      </c>
      <c r="AJ81">
        <v>1</v>
      </c>
    </row>
    <row r="82" spans="1:36" x14ac:dyDescent="0.2">
      <c r="A82">
        <v>85</v>
      </c>
      <c r="B82">
        <v>752</v>
      </c>
      <c r="C82">
        <v>215</v>
      </c>
      <c r="D82">
        <v>0.363283909671757</v>
      </c>
      <c r="E82">
        <v>3.0373630215095102</v>
      </c>
      <c r="F82">
        <v>2.5419569920089802</v>
      </c>
      <c r="G82">
        <v>-49.570487007558285</v>
      </c>
      <c r="H82">
        <v>-43.457197039841674</v>
      </c>
      <c r="I82">
        <v>5.9633126544570096</v>
      </c>
      <c r="J82">
        <v>3.5177050520255002</v>
      </c>
      <c r="K82">
        <v>1.19489158591506</v>
      </c>
      <c r="L82">
        <v>0</v>
      </c>
      <c r="M82">
        <v>1.2382442565179701E-6</v>
      </c>
      <c r="N82">
        <v>0</v>
      </c>
      <c r="O82" s="1">
        <v>1.6981516438819401E-12</v>
      </c>
      <c r="P82">
        <v>0</v>
      </c>
      <c r="Q82">
        <v>100</v>
      </c>
      <c r="AJ82">
        <v>1</v>
      </c>
    </row>
    <row r="83" spans="1:36" x14ac:dyDescent="0.2">
      <c r="A83">
        <v>86</v>
      </c>
      <c r="B83">
        <v>751</v>
      </c>
      <c r="C83">
        <v>215</v>
      </c>
      <c r="D83">
        <v>0.36259385832153801</v>
      </c>
      <c r="E83">
        <v>3.96410116143876</v>
      </c>
      <c r="F83">
        <v>2.5419569920089802</v>
      </c>
      <c r="G83">
        <v>-64.687293338621672</v>
      </c>
      <c r="H83">
        <v>-56.721132009516332</v>
      </c>
      <c r="I83">
        <v>7.7783150213399699</v>
      </c>
      <c r="J83">
        <v>4.5904132233223098</v>
      </c>
      <c r="K83">
        <v>1.5594682262132999</v>
      </c>
      <c r="L83">
        <v>0</v>
      </c>
      <c r="M83">
        <v>1.2382442565179705E-6</v>
      </c>
      <c r="N83">
        <v>0</v>
      </c>
      <c r="O83" s="1">
        <v>2.2162793370895899E-12</v>
      </c>
      <c r="P83">
        <v>0</v>
      </c>
      <c r="Q83">
        <v>100</v>
      </c>
      <c r="AJ83">
        <v>1</v>
      </c>
    </row>
    <row r="84" spans="1:36" x14ac:dyDescent="0.2">
      <c r="A84">
        <v>87</v>
      </c>
      <c r="B84">
        <v>750</v>
      </c>
      <c r="C84">
        <v>215</v>
      </c>
      <c r="D84">
        <v>0.36190245809509802</v>
      </c>
      <c r="E84">
        <v>9.3431836135317905</v>
      </c>
      <c r="F84">
        <v>2.5419569920089802</v>
      </c>
      <c r="G84">
        <v>-152.44631285472482</v>
      </c>
      <c r="H84">
        <v>-133.69962467344874</v>
      </c>
      <c r="I84">
        <v>18.3225218015697</v>
      </c>
      <c r="J84">
        <v>10.8179791475836</v>
      </c>
      <c r="K84">
        <v>3.6755868187004999</v>
      </c>
      <c r="L84">
        <v>0</v>
      </c>
      <c r="M84">
        <v>1.2382442565179703E-6</v>
      </c>
      <c r="N84">
        <v>0</v>
      </c>
      <c r="O84" s="1">
        <v>5.2236570011722404E-12</v>
      </c>
      <c r="P84">
        <v>0</v>
      </c>
      <c r="Q84">
        <v>100</v>
      </c>
      <c r="AJ84">
        <v>1</v>
      </c>
    </row>
    <row r="85" spans="1:36" x14ac:dyDescent="0.2">
      <c r="A85">
        <v>88</v>
      </c>
      <c r="B85">
        <v>749</v>
      </c>
      <c r="C85">
        <v>215</v>
      </c>
      <c r="D85">
        <v>0.36120970503350902</v>
      </c>
      <c r="E85">
        <v>19.864546014704999</v>
      </c>
      <c r="F85">
        <v>2.5419569920089802</v>
      </c>
      <c r="G85">
        <v>-324.07721588150628</v>
      </c>
      <c r="H85">
        <v>-284.28181835597547</v>
      </c>
      <c r="I85">
        <v>38.933030891288702</v>
      </c>
      <c r="J85">
        <v>22.997147691684098</v>
      </c>
      <c r="K85">
        <v>7.8146664468172302</v>
      </c>
      <c r="L85">
        <v>0</v>
      </c>
      <c r="M85">
        <v>1.2382442565179703E-6</v>
      </c>
      <c r="N85">
        <v>0</v>
      </c>
      <c r="O85" s="1">
        <v>1.1106019014176E-11</v>
      </c>
      <c r="P85">
        <v>0</v>
      </c>
      <c r="Q85">
        <v>100</v>
      </c>
      <c r="AJ85">
        <v>1</v>
      </c>
    </row>
    <row r="86" spans="1:36" x14ac:dyDescent="0.2">
      <c r="A86">
        <v>89</v>
      </c>
      <c r="B86">
        <v>748</v>
      </c>
      <c r="C86">
        <v>215</v>
      </c>
      <c r="D86">
        <v>0.36051559516231801</v>
      </c>
      <c r="E86">
        <v>28.376521275155199</v>
      </c>
      <c r="F86">
        <v>2.5419569920089802</v>
      </c>
      <c r="G86">
        <v>-462.88898521907839</v>
      </c>
      <c r="H86">
        <v>-406.12967433032236</v>
      </c>
      <c r="I86">
        <v>55.583715309950499</v>
      </c>
      <c r="J86">
        <v>32.847205542479898</v>
      </c>
      <c r="K86">
        <v>11.1632578223632</v>
      </c>
      <c r="L86">
        <v>0</v>
      </c>
      <c r="M86">
        <v>1.2382442565179703E-6</v>
      </c>
      <c r="N86">
        <v>0</v>
      </c>
      <c r="O86" s="1">
        <v>1.5864957830133601E-11</v>
      </c>
      <c r="P86">
        <v>0</v>
      </c>
      <c r="Q86">
        <v>100</v>
      </c>
      <c r="AJ86">
        <v>1</v>
      </c>
    </row>
    <row r="87" spans="1:36" x14ac:dyDescent="0.2">
      <c r="A87">
        <v>90</v>
      </c>
      <c r="B87">
        <v>747</v>
      </c>
      <c r="C87">
        <v>215</v>
      </c>
      <c r="D87">
        <v>0.35982012449149797</v>
      </c>
      <c r="E87">
        <v>31.3113905505197</v>
      </c>
      <c r="F87">
        <v>2.5419569920089802</v>
      </c>
      <c r="G87">
        <v>-510.70241336226826</v>
      </c>
      <c r="H87">
        <v>-448.17027249310536</v>
      </c>
      <c r="I87">
        <v>61.2970061943467</v>
      </c>
      <c r="J87">
        <v>36.239770954753702</v>
      </c>
      <c r="K87">
        <v>12.317828605657599</v>
      </c>
      <c r="L87">
        <v>0</v>
      </c>
      <c r="M87">
        <v>1.2382442565179705E-6</v>
      </c>
      <c r="N87">
        <v>0</v>
      </c>
      <c r="O87" s="1">
        <v>1.7505806503553599E-11</v>
      </c>
      <c r="P87">
        <v>0</v>
      </c>
      <c r="Q87">
        <v>100</v>
      </c>
      <c r="AJ87">
        <v>1</v>
      </c>
    </row>
    <row r="88" spans="1:36" x14ac:dyDescent="0.2">
      <c r="A88">
        <v>91</v>
      </c>
      <c r="B88">
        <v>746</v>
      </c>
      <c r="C88">
        <v>215</v>
      </c>
      <c r="D88">
        <v>0.35912328901535701</v>
      </c>
      <c r="E88">
        <v>32.368095941805301</v>
      </c>
      <c r="F88">
        <v>2.5419569920089802</v>
      </c>
      <c r="G88">
        <v>-527.87439109293291</v>
      </c>
      <c r="H88">
        <v>-463.33270607309572</v>
      </c>
      <c r="I88">
        <v>63.328935897401898</v>
      </c>
      <c r="J88">
        <v>37.457943087182102</v>
      </c>
      <c r="K88">
        <v>12.733534061968401</v>
      </c>
      <c r="L88">
        <v>0</v>
      </c>
      <c r="M88">
        <v>1.2382442565179703E-6</v>
      </c>
      <c r="N88">
        <v>0</v>
      </c>
      <c r="O88" s="1">
        <v>1.8096597260075899E-11</v>
      </c>
      <c r="P88">
        <v>0</v>
      </c>
      <c r="Q88">
        <v>100</v>
      </c>
      <c r="AJ88">
        <v>1</v>
      </c>
    </row>
    <row r="89" spans="1:36" x14ac:dyDescent="0.2">
      <c r="A89">
        <v>93</v>
      </c>
      <c r="B89">
        <v>763</v>
      </c>
      <c r="C89">
        <v>195</v>
      </c>
      <c r="D89">
        <v>0.39201901269121803</v>
      </c>
      <c r="E89">
        <v>9.80978819679348E-2</v>
      </c>
      <c r="F89">
        <v>2.54132756292374</v>
      </c>
      <c r="G89">
        <v>-1.6038779493650033</v>
      </c>
      <c r="H89">
        <v>-1.4030608285213833</v>
      </c>
      <c r="I89">
        <v>0.19381085831551401</v>
      </c>
      <c r="J89">
        <v>0.113769625940266</v>
      </c>
      <c r="K89">
        <v>3.8601038055509497E-2</v>
      </c>
      <c r="L89">
        <v>0</v>
      </c>
      <c r="M89">
        <v>1.238221812380692E-6</v>
      </c>
      <c r="N89">
        <v>0</v>
      </c>
      <c r="O89" s="1">
        <v>5.4845297827585799E-14</v>
      </c>
      <c r="P89">
        <v>0</v>
      </c>
      <c r="Q89">
        <v>100</v>
      </c>
      <c r="AJ89">
        <v>1</v>
      </c>
    </row>
    <row r="90" spans="1:36" x14ac:dyDescent="0.2">
      <c r="A90">
        <v>94</v>
      </c>
      <c r="B90">
        <v>762</v>
      </c>
      <c r="C90">
        <v>195</v>
      </c>
      <c r="D90">
        <v>0.39136405351881698</v>
      </c>
      <c r="E90">
        <v>0.29162533865568602</v>
      </c>
      <c r="F90">
        <v>2.54132756292374</v>
      </c>
      <c r="G90">
        <v>-4.7674316368665535</v>
      </c>
      <c r="H90">
        <v>-4.1713567825959315</v>
      </c>
      <c r="I90">
        <v>0.57583427935141795</v>
      </c>
      <c r="J90">
        <v>0.33817202245397798</v>
      </c>
      <c r="K90">
        <v>0.114753148279782</v>
      </c>
      <c r="L90">
        <v>0</v>
      </c>
      <c r="M90">
        <v>1.238221812380692E-6</v>
      </c>
      <c r="N90">
        <v>0</v>
      </c>
      <c r="O90" s="1">
        <v>1.6304407630197101E-13</v>
      </c>
      <c r="P90">
        <v>0</v>
      </c>
      <c r="Q90">
        <v>100</v>
      </c>
      <c r="AJ90">
        <v>1</v>
      </c>
    </row>
    <row r="91" spans="1:36" x14ac:dyDescent="0.2">
      <c r="A91">
        <v>95</v>
      </c>
      <c r="B91">
        <v>761</v>
      </c>
      <c r="C91">
        <v>195</v>
      </c>
      <c r="D91">
        <v>0.39070782768457202</v>
      </c>
      <c r="E91">
        <v>0.484272118511683</v>
      </c>
      <c r="F91">
        <v>2.54132756292374</v>
      </c>
      <c r="G91">
        <v>-7.915825997580697</v>
      </c>
      <c r="H91">
        <v>-6.9275034622056566</v>
      </c>
      <c r="I91">
        <v>0.955685863148518</v>
      </c>
      <c r="J91">
        <v>0.56149705082908696</v>
      </c>
      <c r="K91">
        <v>0.190558716466498</v>
      </c>
      <c r="L91">
        <v>0</v>
      </c>
      <c r="M91">
        <v>1.238221812380692E-6</v>
      </c>
      <c r="N91">
        <v>0</v>
      </c>
      <c r="O91" s="1">
        <v>2.7075047938395698E-13</v>
      </c>
      <c r="P91">
        <v>0</v>
      </c>
      <c r="Q91">
        <v>100</v>
      </c>
      <c r="AJ91">
        <v>1</v>
      </c>
    </row>
    <row r="92" spans="1:36" x14ac:dyDescent="0.2">
      <c r="A92">
        <v>96</v>
      </c>
      <c r="B92">
        <v>760</v>
      </c>
      <c r="C92">
        <v>195</v>
      </c>
      <c r="D92">
        <v>0.39005033151043</v>
      </c>
      <c r="E92">
        <v>0.67604484140821297</v>
      </c>
      <c r="F92">
        <v>2.54132756292374</v>
      </c>
      <c r="G92">
        <v>-11.049175089160304</v>
      </c>
      <c r="H92">
        <v>-9.6715924245650235</v>
      </c>
      <c r="I92">
        <v>1.3333810817357401</v>
      </c>
      <c r="J92">
        <v>0.78375258789600699</v>
      </c>
      <c r="K92">
        <v>0.26602034750311199</v>
      </c>
      <c r="L92">
        <v>0</v>
      </c>
      <c r="M92">
        <v>1.2382218123806917E-6</v>
      </c>
      <c r="N92">
        <v>0</v>
      </c>
      <c r="O92" s="1">
        <v>3.7796820816127298E-13</v>
      </c>
      <c r="P92">
        <v>0</v>
      </c>
      <c r="Q92">
        <v>100</v>
      </c>
      <c r="AJ92">
        <v>1</v>
      </c>
    </row>
    <row r="93" spans="1:36" x14ac:dyDescent="0.2">
      <c r="A93">
        <v>97</v>
      </c>
      <c r="B93">
        <v>759</v>
      </c>
      <c r="C93">
        <v>195</v>
      </c>
      <c r="D93">
        <v>0.38939156130407598</v>
      </c>
      <c r="E93">
        <v>0.866950059988709</v>
      </c>
      <c r="F93">
        <v>2.54132756292374</v>
      </c>
      <c r="G93">
        <v>-14.167591813202948</v>
      </c>
      <c r="H93">
        <v>-12.403714296247973</v>
      </c>
      <c r="I93">
        <v>1.7089352487089799</v>
      </c>
      <c r="J93">
        <v>1.0049464295742601</v>
      </c>
      <c r="K93">
        <v>0.34114061982285299</v>
      </c>
      <c r="L93">
        <v>0</v>
      </c>
      <c r="M93">
        <v>1.2382218123806922E-6</v>
      </c>
      <c r="N93">
        <v>0</v>
      </c>
      <c r="O93" s="1">
        <v>4.8470092613483896E-13</v>
      </c>
      <c r="P93">
        <v>0</v>
      </c>
      <c r="Q93">
        <v>100</v>
      </c>
      <c r="AJ93">
        <v>1</v>
      </c>
    </row>
    <row r="94" spans="1:36" x14ac:dyDescent="0.2">
      <c r="A94">
        <v>98</v>
      </c>
      <c r="B94">
        <v>758</v>
      </c>
      <c r="C94">
        <v>195</v>
      </c>
      <c r="D94">
        <v>0.38873151335887302</v>
      </c>
      <c r="E94">
        <v>1.3433246182310801</v>
      </c>
      <c r="F94">
        <v>2.54132756292374</v>
      </c>
      <c r="G94">
        <v>-21.949799349832961</v>
      </c>
      <c r="H94">
        <v>-19.220904899698859</v>
      </c>
      <c r="I94">
        <v>2.6464573050808302</v>
      </c>
      <c r="J94">
        <v>1.55695128803085</v>
      </c>
      <c r="K94">
        <v>0.52859168484586005</v>
      </c>
      <c r="L94">
        <v>0</v>
      </c>
      <c r="M94">
        <v>1.2382218123806922E-6</v>
      </c>
      <c r="N94">
        <v>0</v>
      </c>
      <c r="O94" s="1">
        <v>7.5103597843319495E-13</v>
      </c>
      <c r="P94">
        <v>0</v>
      </c>
      <c r="Q94">
        <v>100</v>
      </c>
      <c r="AJ94">
        <v>1</v>
      </c>
    </row>
    <row r="95" spans="1:36" x14ac:dyDescent="0.2">
      <c r="A95">
        <v>99</v>
      </c>
      <c r="B95">
        <v>757</v>
      </c>
      <c r="C95">
        <v>195</v>
      </c>
      <c r="D95">
        <v>0.388070183953793</v>
      </c>
      <c r="E95">
        <v>2.19730346266534</v>
      </c>
      <c r="F95">
        <v>2.54132756292374</v>
      </c>
      <c r="G95">
        <v>-35.899406629828711</v>
      </c>
      <c r="H95">
        <v>-31.44257255225752</v>
      </c>
      <c r="I95">
        <v>4.3263933190032402</v>
      </c>
      <c r="J95">
        <v>2.5464150146455302</v>
      </c>
      <c r="K95">
        <v>0.86462819461863905</v>
      </c>
      <c r="L95">
        <v>0</v>
      </c>
      <c r="M95">
        <v>1.2382218123806922E-6</v>
      </c>
      <c r="N95">
        <v>0</v>
      </c>
      <c r="O95" s="1">
        <v>1.22848486032408E-12</v>
      </c>
      <c r="P95">
        <v>0</v>
      </c>
      <c r="Q95">
        <v>100</v>
      </c>
      <c r="AJ95">
        <v>1</v>
      </c>
    </row>
    <row r="96" spans="1:36" x14ac:dyDescent="0.2">
      <c r="A96">
        <v>100</v>
      </c>
      <c r="B96">
        <v>756</v>
      </c>
      <c r="C96">
        <v>195</v>
      </c>
      <c r="D96">
        <v>0.38740756935335302</v>
      </c>
      <c r="E96">
        <v>3.0929520256626901</v>
      </c>
      <c r="F96">
        <v>2.54132756292374</v>
      </c>
      <c r="G96">
        <v>-50.526368723762168</v>
      </c>
      <c r="H96">
        <v>-44.262545233634199</v>
      </c>
      <c r="I96">
        <v>6.0864047904853198</v>
      </c>
      <c r="J96">
        <v>3.58391168310356</v>
      </c>
      <c r="K96">
        <v>1.2170615353906999</v>
      </c>
      <c r="L96">
        <v>0</v>
      </c>
      <c r="M96">
        <v>1.238221812380692E-6</v>
      </c>
      <c r="N96">
        <v>0</v>
      </c>
      <c r="O96" s="1">
        <v>1.7292307602456999E-12</v>
      </c>
      <c r="P96">
        <v>0</v>
      </c>
      <c r="Q96">
        <v>100</v>
      </c>
      <c r="AJ96">
        <v>1</v>
      </c>
    </row>
    <row r="97" spans="1:36" x14ac:dyDescent="0.2">
      <c r="A97">
        <v>101</v>
      </c>
      <c r="B97">
        <v>755</v>
      </c>
      <c r="C97">
        <v>195</v>
      </c>
      <c r="D97">
        <v>0.38674366580751801</v>
      </c>
      <c r="E97">
        <v>4.06629018065646</v>
      </c>
      <c r="F97">
        <v>2.54132756292374</v>
      </c>
      <c r="G97">
        <v>-66.418791269751452</v>
      </c>
      <c r="H97">
        <v>-58.19648150399771</v>
      </c>
      <c r="I97">
        <v>7.9971888982675097</v>
      </c>
      <c r="J97">
        <v>4.71115426558148</v>
      </c>
      <c r="K97">
        <v>1.6000653516614201</v>
      </c>
      <c r="L97">
        <v>0</v>
      </c>
      <c r="M97">
        <v>1.2382218123806922E-6</v>
      </c>
      <c r="N97">
        <v>0</v>
      </c>
      <c r="O97" s="1">
        <v>2.2734119385410201E-12</v>
      </c>
      <c r="P97">
        <v>0</v>
      </c>
      <c r="Q97">
        <v>100</v>
      </c>
      <c r="AJ97">
        <v>1</v>
      </c>
    </row>
    <row r="98" spans="1:36" x14ac:dyDescent="0.2">
      <c r="A98">
        <v>102</v>
      </c>
      <c r="B98">
        <v>754</v>
      </c>
      <c r="C98">
        <v>195</v>
      </c>
      <c r="D98">
        <v>0.38607846955167302</v>
      </c>
      <c r="E98">
        <v>8.9532357766701303</v>
      </c>
      <c r="F98">
        <v>2.54132756292374</v>
      </c>
      <c r="G98">
        <v>-146.22456628124061</v>
      </c>
      <c r="H98">
        <v>-128.14850257074971</v>
      </c>
      <c r="I98">
        <v>17.5982706620171</v>
      </c>
      <c r="J98">
        <v>10.371789511220801</v>
      </c>
      <c r="K98">
        <v>3.5230546062978201</v>
      </c>
      <c r="L98">
        <v>0</v>
      </c>
      <c r="M98">
        <v>1.238221812380692E-6</v>
      </c>
      <c r="N98">
        <v>0</v>
      </c>
      <c r="O98" s="1">
        <v>5.0056420469157202E-12</v>
      </c>
      <c r="P98">
        <v>0</v>
      </c>
      <c r="Q98">
        <v>100</v>
      </c>
      <c r="AJ98">
        <v>1</v>
      </c>
    </row>
    <row r="99" spans="1:36" x14ac:dyDescent="0.2">
      <c r="A99">
        <v>103</v>
      </c>
      <c r="B99">
        <v>753</v>
      </c>
      <c r="C99">
        <v>195</v>
      </c>
      <c r="D99">
        <v>0.38541197680651201</v>
      </c>
      <c r="E99">
        <v>19.053317830537001</v>
      </c>
      <c r="F99">
        <v>2.54132756292374</v>
      </c>
      <c r="G99">
        <v>-311.14202688903998</v>
      </c>
      <c r="H99">
        <v>-272.73399408860399</v>
      </c>
      <c r="I99">
        <v>37.4292577112858</v>
      </c>
      <c r="J99">
        <v>22.069315993710099</v>
      </c>
      <c r="K99">
        <v>7.49738762862059</v>
      </c>
      <c r="L99">
        <v>0</v>
      </c>
      <c r="M99">
        <v>1.2382218123806922E-6</v>
      </c>
      <c r="N99">
        <v>0</v>
      </c>
      <c r="O99" s="1">
        <v>1.06524714912909E-11</v>
      </c>
      <c r="P99">
        <v>0</v>
      </c>
      <c r="Q99">
        <v>100</v>
      </c>
      <c r="AJ99">
        <v>1</v>
      </c>
    </row>
    <row r="100" spans="1:36" x14ac:dyDescent="0.2">
      <c r="A100">
        <v>104</v>
      </c>
      <c r="B100">
        <v>752</v>
      </c>
      <c r="C100">
        <v>195</v>
      </c>
      <c r="D100">
        <v>0.38474418377798603</v>
      </c>
      <c r="E100">
        <v>27.527410366466899</v>
      </c>
      <c r="F100">
        <v>2.54132756292374</v>
      </c>
      <c r="G100">
        <v>-449.47049632820602</v>
      </c>
      <c r="H100">
        <v>-394.06617342086145</v>
      </c>
      <c r="I100">
        <v>54.045088920981897</v>
      </c>
      <c r="J100">
        <v>31.880716868402398</v>
      </c>
      <c r="K100">
        <v>10.831901706837501</v>
      </c>
      <c r="L100">
        <v>0</v>
      </c>
      <c r="M100">
        <v>1.2382218123806922E-6</v>
      </c>
      <c r="N100">
        <v>0</v>
      </c>
      <c r="O100" s="1">
        <v>1.5390230550181899E-11</v>
      </c>
      <c r="P100">
        <v>0</v>
      </c>
      <c r="Q100">
        <v>100</v>
      </c>
      <c r="AJ100">
        <v>1</v>
      </c>
    </row>
    <row r="101" spans="1:36" x14ac:dyDescent="0.2">
      <c r="A101">
        <v>105</v>
      </c>
      <c r="B101">
        <v>751</v>
      </c>
      <c r="C101">
        <v>195</v>
      </c>
      <c r="D101">
        <v>0.38407508665723</v>
      </c>
      <c r="E101">
        <v>30.8938343896641</v>
      </c>
      <c r="F101">
        <v>2.54132756292374</v>
      </c>
      <c r="G101">
        <v>-504.37719030786144</v>
      </c>
      <c r="H101">
        <v>-442.29369172897958</v>
      </c>
      <c r="I101">
        <v>60.619536765983298</v>
      </c>
      <c r="J101">
        <v>35.774936139614603</v>
      </c>
      <c r="K101">
        <v>12.1565731393246</v>
      </c>
      <c r="L101">
        <v>0</v>
      </c>
      <c r="M101">
        <v>1.238221812380692E-6</v>
      </c>
      <c r="N101">
        <v>0</v>
      </c>
      <c r="O101" s="1">
        <v>1.7272356080950701E-11</v>
      </c>
      <c r="P101">
        <v>0</v>
      </c>
      <c r="Q101">
        <v>100</v>
      </c>
      <c r="AJ101">
        <v>1</v>
      </c>
    </row>
    <row r="102" spans="1:36" x14ac:dyDescent="0.2">
      <c r="A102">
        <v>106</v>
      </c>
      <c r="B102">
        <v>750</v>
      </c>
      <c r="C102">
        <v>195</v>
      </c>
      <c r="D102">
        <v>0.38340468162048602</v>
      </c>
      <c r="E102">
        <v>32.138951893937701</v>
      </c>
      <c r="F102">
        <v>2.54132756292374</v>
      </c>
      <c r="G102">
        <v>-524.64211351627</v>
      </c>
      <c r="H102">
        <v>-460.1567159740361</v>
      </c>
      <c r="I102">
        <v>63.026337821662402</v>
      </c>
      <c r="J102">
        <v>37.211996017103701</v>
      </c>
      <c r="K102">
        <v>12.646520803859801</v>
      </c>
      <c r="L102">
        <v>0</v>
      </c>
      <c r="M102">
        <v>1.2382218123806922E-6</v>
      </c>
      <c r="N102">
        <v>0</v>
      </c>
      <c r="O102" s="1">
        <v>1.7968485691318299E-11</v>
      </c>
      <c r="P102">
        <v>0</v>
      </c>
      <c r="Q102">
        <v>100</v>
      </c>
      <c r="AJ102">
        <v>1</v>
      </c>
    </row>
    <row r="103" spans="1:36" x14ac:dyDescent="0.2">
      <c r="A103">
        <v>108</v>
      </c>
      <c r="B103">
        <v>764</v>
      </c>
      <c r="C103">
        <v>175</v>
      </c>
      <c r="D103">
        <v>0.41388468398978101</v>
      </c>
      <c r="E103">
        <v>0.193333975471186</v>
      </c>
      <c r="F103">
        <v>2.5406983011149902</v>
      </c>
      <c r="G103">
        <v>-3.1628700952309035</v>
      </c>
      <c r="H103">
        <v>-2.7664879381829124</v>
      </c>
      <c r="I103">
        <v>0.382184020679738</v>
      </c>
      <c r="J103">
        <v>0.224248237411622</v>
      </c>
      <c r="K103">
        <v>7.6094818257776101E-2</v>
      </c>
      <c r="L103">
        <v>0</v>
      </c>
      <c r="M103">
        <v>1.238199309002582E-6</v>
      </c>
      <c r="N103">
        <v>0</v>
      </c>
      <c r="O103" s="1">
        <v>1.0809060554818399E-13</v>
      </c>
      <c r="P103">
        <v>0</v>
      </c>
      <c r="Q103">
        <v>100</v>
      </c>
      <c r="AJ103">
        <v>1</v>
      </c>
    </row>
    <row r="104" spans="1:36" x14ac:dyDescent="0.2">
      <c r="A104">
        <v>109</v>
      </c>
      <c r="B104">
        <v>763</v>
      </c>
      <c r="C104">
        <v>175</v>
      </c>
      <c r="D104">
        <v>0.41325145973073701</v>
      </c>
      <c r="E104">
        <v>1.02897540492155</v>
      </c>
      <c r="F104">
        <v>2.5406983011149902</v>
      </c>
      <c r="G104">
        <v>-16.831611631311919</v>
      </c>
      <c r="H104">
        <v>-14.725186150048339</v>
      </c>
      <c r="I104">
        <v>2.0329348851648699</v>
      </c>
      <c r="J104">
        <v>1.19336059628611</v>
      </c>
      <c r="K104">
        <v>0.40499708464794298</v>
      </c>
      <c r="L104">
        <v>0</v>
      </c>
      <c r="M104">
        <v>1.238199309002582E-6</v>
      </c>
      <c r="N104">
        <v>0</v>
      </c>
      <c r="O104" s="1">
        <v>5.7528726826772998E-13</v>
      </c>
      <c r="P104">
        <v>0</v>
      </c>
      <c r="Q104">
        <v>100</v>
      </c>
      <c r="AJ104">
        <v>1</v>
      </c>
    </row>
    <row r="105" spans="1:36" x14ac:dyDescent="0.2">
      <c r="A105">
        <v>110</v>
      </c>
      <c r="B105">
        <v>762</v>
      </c>
      <c r="C105">
        <v>175</v>
      </c>
      <c r="D105">
        <v>0.41261701202724399</v>
      </c>
      <c r="E105">
        <v>1.8887547453931399</v>
      </c>
      <c r="F105">
        <v>2.5406983011149902</v>
      </c>
      <c r="G105">
        <v>-30.891844024430451</v>
      </c>
      <c r="H105">
        <v>-27.031276850113656</v>
      </c>
      <c r="I105">
        <v>3.7294760897616701</v>
      </c>
      <c r="J105">
        <v>2.1902212445375699</v>
      </c>
      <c r="K105">
        <v>0.74339985371905604</v>
      </c>
      <c r="L105">
        <v>0</v>
      </c>
      <c r="M105">
        <v>1.238199309002582E-6</v>
      </c>
      <c r="N105">
        <v>0</v>
      </c>
      <c r="O105" s="1">
        <v>1.0559791348829801E-12</v>
      </c>
      <c r="P105">
        <v>0</v>
      </c>
      <c r="Q105">
        <v>100</v>
      </c>
      <c r="AJ105">
        <v>1</v>
      </c>
    </row>
    <row r="106" spans="1:36" x14ac:dyDescent="0.2">
      <c r="A106">
        <v>111</v>
      </c>
      <c r="B106">
        <v>761</v>
      </c>
      <c r="C106">
        <v>175</v>
      </c>
      <c r="D106">
        <v>0.411981337330175</v>
      </c>
      <c r="E106">
        <v>2.7885206051056799</v>
      </c>
      <c r="F106">
        <v>2.5406983011149902</v>
      </c>
      <c r="G106">
        <v>-45.602610414014322</v>
      </c>
      <c r="H106">
        <v>-39.911682423252643</v>
      </c>
      <c r="I106">
        <v>5.5030005229044798</v>
      </c>
      <c r="J106">
        <v>3.2331948012101202</v>
      </c>
      <c r="K106">
        <v>1.09754102007386</v>
      </c>
      <c r="L106">
        <v>0</v>
      </c>
      <c r="M106">
        <v>1.2381993090025817E-6</v>
      </c>
      <c r="N106">
        <v>0</v>
      </c>
      <c r="O106" s="1">
        <v>1.5590269638581099E-12</v>
      </c>
      <c r="P106">
        <v>0</v>
      </c>
      <c r="Q106">
        <v>100</v>
      </c>
      <c r="AJ106">
        <v>1</v>
      </c>
    </row>
    <row r="107" spans="1:36" x14ac:dyDescent="0.2">
      <c r="A107">
        <v>112</v>
      </c>
      <c r="B107">
        <v>760</v>
      </c>
      <c r="C107">
        <v>175</v>
      </c>
      <c r="D107">
        <v>0.41134443207665999</v>
      </c>
      <c r="E107">
        <v>3.76006777541585</v>
      </c>
      <c r="F107">
        <v>2.5406983011149902</v>
      </c>
      <c r="G107">
        <v>-61.483576561409485</v>
      </c>
      <c r="H107">
        <v>-53.821652576712545</v>
      </c>
      <c r="I107">
        <v>7.4160809027701102</v>
      </c>
      <c r="J107">
        <v>4.3591233438124997</v>
      </c>
      <c r="K107">
        <v>1.4799347776812899</v>
      </c>
      <c r="L107">
        <v>0</v>
      </c>
      <c r="M107">
        <v>1.238199309002582E-6</v>
      </c>
      <c r="N107">
        <v>0</v>
      </c>
      <c r="O107" s="1">
        <v>2.1022068250362198E-12</v>
      </c>
      <c r="P107">
        <v>0</v>
      </c>
      <c r="Q107">
        <v>100</v>
      </c>
      <c r="AJ107">
        <v>1</v>
      </c>
    </row>
    <row r="108" spans="1:36" x14ac:dyDescent="0.2">
      <c r="A108">
        <v>113</v>
      </c>
      <c r="B108">
        <v>759</v>
      </c>
      <c r="C108">
        <v>175</v>
      </c>
      <c r="D108">
        <v>0.41070629269001901</v>
      </c>
      <c r="E108">
        <v>5.7924667639688696</v>
      </c>
      <c r="F108">
        <v>2.5406983011149902</v>
      </c>
      <c r="G108">
        <v>-94.705374969935761</v>
      </c>
      <c r="H108">
        <v>-82.920149540910785</v>
      </c>
      <c r="I108">
        <v>11.4181324701108</v>
      </c>
      <c r="J108">
        <v>6.7144799470386296</v>
      </c>
      <c r="K108">
        <v>2.2798719397052398</v>
      </c>
      <c r="L108">
        <v>0</v>
      </c>
      <c r="M108">
        <v>1.2381993090025817E-6</v>
      </c>
      <c r="N108">
        <v>0</v>
      </c>
      <c r="O108" s="1">
        <v>3.2384956581438499E-12</v>
      </c>
      <c r="P108">
        <v>0</v>
      </c>
      <c r="Q108">
        <v>100</v>
      </c>
      <c r="AJ108">
        <v>1</v>
      </c>
    </row>
    <row r="109" spans="1:36" x14ac:dyDescent="0.2">
      <c r="A109">
        <v>114</v>
      </c>
      <c r="B109">
        <v>758</v>
      </c>
      <c r="C109">
        <v>175</v>
      </c>
      <c r="D109">
        <v>0.41006691557969399</v>
      </c>
      <c r="E109">
        <v>11.365744827620601</v>
      </c>
      <c r="F109">
        <v>2.5406983011149902</v>
      </c>
      <c r="G109">
        <v>-185.80467199336843</v>
      </c>
      <c r="H109">
        <v>-162.71574950896061</v>
      </c>
      <c r="I109">
        <v>22.391429456827598</v>
      </c>
      <c r="J109">
        <v>13.173220239271799</v>
      </c>
      <c r="K109">
        <v>4.4734728332886604</v>
      </c>
      <c r="L109">
        <v>0</v>
      </c>
      <c r="M109">
        <v>1.238199309002582E-6</v>
      </c>
      <c r="N109">
        <v>0</v>
      </c>
      <c r="O109" s="1">
        <v>6.3544456577253202E-12</v>
      </c>
      <c r="P109">
        <v>0</v>
      </c>
      <c r="Q109">
        <v>100</v>
      </c>
      <c r="AJ109">
        <v>1</v>
      </c>
    </row>
    <row r="110" spans="1:36" x14ac:dyDescent="0.2">
      <c r="A110">
        <v>115</v>
      </c>
      <c r="B110">
        <v>757</v>
      </c>
      <c r="C110">
        <v>175</v>
      </c>
      <c r="D110">
        <v>0.40942629714119499</v>
      </c>
      <c r="E110">
        <v>23.041943305128498</v>
      </c>
      <c r="F110">
        <v>2.5406983011149902</v>
      </c>
      <c r="G110">
        <v>-376.6391897760239</v>
      </c>
      <c r="H110">
        <v>-329.9027603839765</v>
      </c>
      <c r="I110">
        <v>45.3685670941585</v>
      </c>
      <c r="J110">
        <v>26.7028889708379</v>
      </c>
      <c r="K110">
        <v>9.0691379196878295</v>
      </c>
      <c r="L110">
        <v>0</v>
      </c>
      <c r="M110">
        <v>1.238199309002582E-6</v>
      </c>
      <c r="N110">
        <v>0</v>
      </c>
      <c r="O110" s="1">
        <v>1.2882462064870999E-11</v>
      </c>
      <c r="P110">
        <v>0</v>
      </c>
      <c r="Q110">
        <v>100</v>
      </c>
      <c r="AJ110">
        <v>1</v>
      </c>
    </row>
    <row r="111" spans="1:36" x14ac:dyDescent="0.2">
      <c r="A111">
        <v>116</v>
      </c>
      <c r="B111">
        <v>756</v>
      </c>
      <c r="C111">
        <v>175</v>
      </c>
      <c r="D111">
        <v>0.40878443375601398</v>
      </c>
      <c r="E111">
        <v>28.952503908597301</v>
      </c>
      <c r="F111">
        <v>2.5406983011149902</v>
      </c>
      <c r="G111">
        <v>-473.19509085972533</v>
      </c>
      <c r="H111">
        <v>-414.56069479539025</v>
      </c>
      <c r="I111">
        <v>56.973615181786002</v>
      </c>
      <c r="J111">
        <v>33.548278845641399</v>
      </c>
      <c r="K111">
        <v>11.395490718394701</v>
      </c>
      <c r="L111">
        <v>0</v>
      </c>
      <c r="M111">
        <v>1.238199309002582E-6</v>
      </c>
      <c r="N111">
        <v>0</v>
      </c>
      <c r="O111" s="1">
        <v>1.6186982510390998E-11</v>
      </c>
      <c r="P111">
        <v>0</v>
      </c>
      <c r="Q111">
        <v>100</v>
      </c>
      <c r="AJ111">
        <v>1</v>
      </c>
    </row>
    <row r="112" spans="1:36" x14ac:dyDescent="0.2">
      <c r="A112">
        <v>117</v>
      </c>
      <c r="B112">
        <v>755</v>
      </c>
      <c r="C112">
        <v>175</v>
      </c>
      <c r="D112">
        <v>0.40814132179156798</v>
      </c>
      <c r="E112">
        <v>31.266361893311501</v>
      </c>
      <c r="F112">
        <v>2.5406983011149902</v>
      </c>
      <c r="G112">
        <v>-510.9509062064173</v>
      </c>
      <c r="H112">
        <v>-447.72823853800651</v>
      </c>
      <c r="I112">
        <v>61.491676961932399</v>
      </c>
      <c r="J112">
        <v>36.224825986006799</v>
      </c>
      <c r="K112">
        <v>12.3062080529553</v>
      </c>
      <c r="L112">
        <v>0</v>
      </c>
      <c r="M112">
        <v>1.238199309002582E-6</v>
      </c>
      <c r="N112">
        <v>0</v>
      </c>
      <c r="O112" s="1">
        <v>1.7480631544973299E-11</v>
      </c>
      <c r="P112">
        <v>0</v>
      </c>
      <c r="Q112">
        <v>100</v>
      </c>
      <c r="AJ112">
        <v>1</v>
      </c>
    </row>
    <row r="113" spans="1:36" x14ac:dyDescent="0.2">
      <c r="A113">
        <v>118</v>
      </c>
      <c r="B113">
        <v>754</v>
      </c>
      <c r="C113">
        <v>175</v>
      </c>
      <c r="D113">
        <v>0.40749695760112897</v>
      </c>
      <c r="E113">
        <v>32.2733120873079</v>
      </c>
      <c r="F113">
        <v>2.5406983011149902</v>
      </c>
      <c r="G113">
        <v>-527.34290424245569</v>
      </c>
      <c r="H113">
        <v>-462.18495911619641</v>
      </c>
      <c r="I113">
        <v>63.435666773362399</v>
      </c>
      <c r="J113">
        <v>37.386706677794002</v>
      </c>
      <c r="K113">
        <v>12.7025361780045</v>
      </c>
      <c r="L113">
        <v>0</v>
      </c>
      <c r="M113">
        <v>1.2381993090025822E-6</v>
      </c>
      <c r="N113">
        <v>0</v>
      </c>
      <c r="O113" s="1">
        <v>1.80436047935224E-11</v>
      </c>
      <c r="P113">
        <v>0</v>
      </c>
      <c r="Q113">
        <v>100</v>
      </c>
      <c r="AJ113">
        <v>1</v>
      </c>
    </row>
    <row r="114" spans="1:36" x14ac:dyDescent="0.2">
      <c r="A114">
        <v>123</v>
      </c>
      <c r="B114">
        <v>769</v>
      </c>
      <c r="C114">
        <v>155</v>
      </c>
      <c r="D114">
        <v>0.43814278174927401</v>
      </c>
      <c r="E114">
        <v>0.61267644328120596</v>
      </c>
      <c r="F114">
        <v>2.54006920656574</v>
      </c>
      <c r="G114">
        <v>-10.034040683185719</v>
      </c>
      <c r="H114">
        <v>-8.7682848320479465</v>
      </c>
      <c r="I114">
        <v>1.2145620602962801</v>
      </c>
      <c r="J114">
        <v>0.71108413180087504</v>
      </c>
      <c r="K114">
        <v>0.24120462611708299</v>
      </c>
      <c r="L114">
        <v>0</v>
      </c>
      <c r="M114">
        <v>1.2381767464314709E-6</v>
      </c>
      <c r="N114">
        <v>0</v>
      </c>
      <c r="O114" s="1">
        <v>3.4253973000851698E-13</v>
      </c>
      <c r="P114">
        <v>0</v>
      </c>
      <c r="Q114">
        <v>100</v>
      </c>
      <c r="AJ114">
        <v>1</v>
      </c>
    </row>
    <row r="115" spans="1:36" x14ac:dyDescent="0.2">
      <c r="A115">
        <v>124</v>
      </c>
      <c r="B115">
        <v>768</v>
      </c>
      <c r="C115">
        <v>155</v>
      </c>
      <c r="D115">
        <v>0.43753589780531399</v>
      </c>
      <c r="E115">
        <v>1.46956005847657</v>
      </c>
      <c r="F115">
        <v>2.54006920656574</v>
      </c>
      <c r="G115">
        <v>-24.064644894429691</v>
      </c>
      <c r="H115">
        <v>-21.033232513322652</v>
      </c>
      <c r="I115">
        <v>2.9116000394823298</v>
      </c>
      <c r="J115">
        <v>1.70538955449961</v>
      </c>
      <c r="K115">
        <v>0.57855118855736598</v>
      </c>
      <c r="L115">
        <v>0</v>
      </c>
      <c r="M115">
        <v>1.2381767464314707E-6</v>
      </c>
      <c r="N115">
        <v>0</v>
      </c>
      <c r="O115" s="1">
        <v>8.2161263287027403E-13</v>
      </c>
      <c r="P115">
        <v>0</v>
      </c>
      <c r="Q115">
        <v>100</v>
      </c>
      <c r="AJ115">
        <v>1</v>
      </c>
    </row>
    <row r="116" spans="1:36" x14ac:dyDescent="0.2">
      <c r="A116">
        <v>125</v>
      </c>
      <c r="B116">
        <v>767</v>
      </c>
      <c r="C116">
        <v>155</v>
      </c>
      <c r="D116">
        <v>0.43692784694515202</v>
      </c>
      <c r="E116">
        <v>2.3612356348315302</v>
      </c>
      <c r="F116">
        <v>2.54006920656574</v>
      </c>
      <c r="G116">
        <v>-38.661518933632394</v>
      </c>
      <c r="H116">
        <v>-33.798172737173225</v>
      </c>
      <c r="I116">
        <v>4.6756200513956303</v>
      </c>
      <c r="J116">
        <v>2.7398192989868</v>
      </c>
      <c r="K116">
        <v>0.92959500029686004</v>
      </c>
      <c r="L116">
        <v>0</v>
      </c>
      <c r="M116">
        <v>1.2381767464314707E-6</v>
      </c>
      <c r="N116">
        <v>0</v>
      </c>
      <c r="O116" s="1">
        <v>1.3201372856936299E-12</v>
      </c>
      <c r="P116">
        <v>0</v>
      </c>
      <c r="Q116">
        <v>100</v>
      </c>
      <c r="AJ116">
        <v>1</v>
      </c>
    </row>
    <row r="117" spans="1:36" x14ac:dyDescent="0.2">
      <c r="A117">
        <v>126</v>
      </c>
      <c r="B117">
        <v>766</v>
      </c>
      <c r="C117">
        <v>155</v>
      </c>
      <c r="D117">
        <v>0.43631862579993802</v>
      </c>
      <c r="E117">
        <v>3.3122760949379102</v>
      </c>
      <c r="F117">
        <v>2.54006920656574</v>
      </c>
      <c r="G117">
        <v>-54.226753352406931</v>
      </c>
      <c r="H117">
        <v>-47.414985795825991</v>
      </c>
      <c r="I117">
        <v>6.5551340582023201</v>
      </c>
      <c r="J117">
        <v>3.84286681237751</v>
      </c>
      <c r="K117">
        <v>1.30401017672121</v>
      </c>
      <c r="L117">
        <v>0</v>
      </c>
      <c r="M117">
        <v>1.2381767464314709E-6</v>
      </c>
      <c r="N117">
        <v>0</v>
      </c>
      <c r="O117" s="1">
        <v>1.85185210189801E-12</v>
      </c>
      <c r="P117">
        <v>0</v>
      </c>
      <c r="Q117">
        <v>100</v>
      </c>
      <c r="AJ117">
        <v>1</v>
      </c>
    </row>
    <row r="118" spans="1:36" x14ac:dyDescent="0.2">
      <c r="A118">
        <v>127</v>
      </c>
      <c r="B118">
        <v>765</v>
      </c>
      <c r="C118">
        <v>155</v>
      </c>
      <c r="D118">
        <v>0.43570823098781702</v>
      </c>
      <c r="E118">
        <v>4.3777046850252601</v>
      </c>
      <c r="F118">
        <v>2.54006920656574</v>
      </c>
      <c r="G118">
        <v>-71.66070009171186</v>
      </c>
      <c r="H118">
        <v>-62.671595422967975</v>
      </c>
      <c r="I118">
        <v>8.6587724979471901</v>
      </c>
      <c r="J118">
        <v>5.0783350688661999</v>
      </c>
      <c r="K118">
        <v>1.72345882297595</v>
      </c>
      <c r="L118">
        <v>0</v>
      </c>
      <c r="M118">
        <v>1.2381767464314709E-6</v>
      </c>
      <c r="N118">
        <v>0</v>
      </c>
      <c r="O118" s="1">
        <v>2.4475198896741598E-12</v>
      </c>
      <c r="P118">
        <v>0</v>
      </c>
      <c r="Q118">
        <v>100</v>
      </c>
      <c r="AJ118">
        <v>1</v>
      </c>
    </row>
    <row r="119" spans="1:36" x14ac:dyDescent="0.2">
      <c r="A119">
        <v>128</v>
      </c>
      <c r="B119">
        <v>764</v>
      </c>
      <c r="C119">
        <v>155</v>
      </c>
      <c r="D119">
        <v>0.43509665911391998</v>
      </c>
      <c r="E119">
        <v>7.6510079187163997</v>
      </c>
      <c r="F119">
        <v>2.54006920656574</v>
      </c>
      <c r="G119">
        <v>-125.22780627922845</v>
      </c>
      <c r="H119">
        <v>-109.54135998844679</v>
      </c>
      <c r="I119">
        <v>15.1245685684632</v>
      </c>
      <c r="J119">
        <v>8.8744103875845592</v>
      </c>
      <c r="K119">
        <v>3.0121257715890302</v>
      </c>
      <c r="L119">
        <v>0</v>
      </c>
      <c r="M119">
        <v>1.2381767464314709E-6</v>
      </c>
      <c r="N119">
        <v>0</v>
      </c>
      <c r="O119" s="1">
        <v>4.2775827527079502E-12</v>
      </c>
      <c r="P119">
        <v>0</v>
      </c>
      <c r="Q119">
        <v>100</v>
      </c>
      <c r="AJ119">
        <v>1</v>
      </c>
    </row>
    <row r="120" spans="1:36" x14ac:dyDescent="0.2">
      <c r="A120">
        <v>129</v>
      </c>
      <c r="B120">
        <v>763</v>
      </c>
      <c r="C120">
        <v>155</v>
      </c>
      <c r="D120">
        <v>0.43448390677026</v>
      </c>
      <c r="E120">
        <v>12.342273890474299</v>
      </c>
      <c r="F120">
        <v>2.54006920656574</v>
      </c>
      <c r="G120">
        <v>-201.98767031355456</v>
      </c>
      <c r="H120">
        <v>-176.72168232659072</v>
      </c>
      <c r="I120">
        <v>24.384488719745001</v>
      </c>
      <c r="J120">
        <v>14.3140285559943</v>
      </c>
      <c r="K120">
        <v>4.8590305565577303</v>
      </c>
      <c r="L120">
        <v>0</v>
      </c>
      <c r="M120">
        <v>1.2381767464314712E-6</v>
      </c>
      <c r="N120">
        <v>0</v>
      </c>
      <c r="O120" s="1">
        <v>6.9004108326616301E-12</v>
      </c>
      <c r="P120">
        <v>0</v>
      </c>
      <c r="Q120">
        <v>100</v>
      </c>
      <c r="AJ120">
        <v>1</v>
      </c>
    </row>
    <row r="121" spans="1:36" x14ac:dyDescent="0.2">
      <c r="A121">
        <v>130</v>
      </c>
      <c r="B121">
        <v>762</v>
      </c>
      <c r="C121">
        <v>155</v>
      </c>
      <c r="D121">
        <v>0.433869970535674</v>
      </c>
      <c r="E121">
        <v>23.9514643296394</v>
      </c>
      <c r="F121">
        <v>2.54006920656574</v>
      </c>
      <c r="G121">
        <v>-391.93074507529587</v>
      </c>
      <c r="H121">
        <v>-342.97455465758298</v>
      </c>
      <c r="I121">
        <v>47.293812894472097</v>
      </c>
      <c r="J121">
        <v>27.774387405518201</v>
      </c>
      <c r="K121">
        <v>9.4294534447045901</v>
      </c>
      <c r="L121">
        <v>0</v>
      </c>
      <c r="M121">
        <v>1.2381767464314707E-6</v>
      </c>
      <c r="N121">
        <v>0</v>
      </c>
      <c r="O121" s="1">
        <v>1.3390963884370601E-11</v>
      </c>
      <c r="P121">
        <v>0</v>
      </c>
      <c r="Q121">
        <v>100</v>
      </c>
      <c r="AJ121">
        <v>1</v>
      </c>
    </row>
    <row r="122" spans="1:36" x14ac:dyDescent="0.2">
      <c r="A122">
        <v>131</v>
      </c>
      <c r="B122">
        <v>761</v>
      </c>
      <c r="C122">
        <v>155</v>
      </c>
      <c r="D122">
        <v>0.43325484697577799</v>
      </c>
      <c r="E122">
        <v>29.039974540752699</v>
      </c>
      <c r="F122">
        <v>2.54006920656574</v>
      </c>
      <c r="G122">
        <v>-475.13946039693701</v>
      </c>
      <c r="H122">
        <v>-415.8734812743935</v>
      </c>
      <c r="I122">
        <v>57.308880841796103</v>
      </c>
      <c r="J122">
        <v>33.670862801057702</v>
      </c>
      <c r="K122">
        <v>11.4327493383598</v>
      </c>
      <c r="L122">
        <v>0</v>
      </c>
      <c r="M122">
        <v>1.2381767464314712E-6</v>
      </c>
      <c r="N122">
        <v>0</v>
      </c>
      <c r="O122" s="1">
        <v>1.6235886245879298E-11</v>
      </c>
      <c r="P122">
        <v>0</v>
      </c>
      <c r="Q122">
        <v>100</v>
      </c>
      <c r="AJ122">
        <v>1</v>
      </c>
    </row>
    <row r="123" spans="1:36" x14ac:dyDescent="0.2">
      <c r="A123">
        <v>132</v>
      </c>
      <c r="B123">
        <v>760</v>
      </c>
      <c r="C123">
        <v>155</v>
      </c>
      <c r="D123">
        <v>0.43263853264288998</v>
      </c>
      <c r="E123">
        <v>31.100137396738202</v>
      </c>
      <c r="F123">
        <v>2.54006920656574</v>
      </c>
      <c r="G123">
        <v>-508.78559389198313</v>
      </c>
      <c r="H123">
        <v>-445.41256370209913</v>
      </c>
      <c r="I123">
        <v>61.3396217295494</v>
      </c>
      <c r="J123">
        <v>36.055024275966403</v>
      </c>
      <c r="K123">
        <v>12.243814978091301</v>
      </c>
      <c r="L123">
        <v>0</v>
      </c>
      <c r="M123">
        <v>1.2381767464314709E-6</v>
      </c>
      <c r="N123">
        <v>0</v>
      </c>
      <c r="O123" s="1">
        <v>1.73876975097228E-11</v>
      </c>
      <c r="P123">
        <v>0</v>
      </c>
      <c r="Q123">
        <v>100</v>
      </c>
      <c r="AJ123">
        <v>1</v>
      </c>
    </row>
    <row r="124" spans="1:36" x14ac:dyDescent="0.2">
      <c r="A124">
        <v>133</v>
      </c>
      <c r="B124">
        <v>759</v>
      </c>
      <c r="C124">
        <v>155</v>
      </c>
      <c r="D124">
        <v>0.43202102407596099</v>
      </c>
      <c r="E124">
        <v>32.177577157189504</v>
      </c>
      <c r="F124">
        <v>2.54006920656574</v>
      </c>
      <c r="G124">
        <v>-526.34862336197443</v>
      </c>
      <c r="H124">
        <v>-460.88083286618769</v>
      </c>
      <c r="I124">
        <v>63.428562220400899</v>
      </c>
      <c r="J124">
        <v>37.299427924244299</v>
      </c>
      <c r="K124">
        <v>12.667992302735099</v>
      </c>
      <c r="L124">
        <v>0</v>
      </c>
      <c r="M124">
        <v>1.2381767464314709E-6</v>
      </c>
      <c r="N124">
        <v>0</v>
      </c>
      <c r="O124" s="1">
        <v>1.7990080592494701E-11</v>
      </c>
      <c r="P124">
        <v>0</v>
      </c>
      <c r="Q124">
        <v>100</v>
      </c>
      <c r="AJ124">
        <v>1</v>
      </c>
    </row>
    <row r="125" spans="1:36" x14ac:dyDescent="0.2">
      <c r="A125">
        <v>141</v>
      </c>
      <c r="B125">
        <v>776</v>
      </c>
      <c r="C125">
        <v>135</v>
      </c>
      <c r="D125">
        <v>0.46332793213554102</v>
      </c>
      <c r="E125">
        <v>0.41875375577930202</v>
      </c>
      <c r="F125">
        <v>2.5394402792589501</v>
      </c>
      <c r="G125">
        <v>-6.867213238734962</v>
      </c>
      <c r="H125">
        <v>-5.9928651156538315</v>
      </c>
      <c r="I125">
        <v>0.83338714490886001</v>
      </c>
      <c r="J125">
        <v>0.48642957613410198</v>
      </c>
      <c r="K125">
        <v>0.164900021158009</v>
      </c>
      <c r="L125">
        <v>0</v>
      </c>
      <c r="M125">
        <v>1.2381541247151614E-6</v>
      </c>
      <c r="N125">
        <v>0</v>
      </c>
      <c r="O125" s="1">
        <v>2.3411998293340398E-13</v>
      </c>
      <c r="P125">
        <v>0</v>
      </c>
      <c r="Q125">
        <v>100</v>
      </c>
      <c r="AJ125">
        <v>1</v>
      </c>
    </row>
    <row r="126" spans="1:36" x14ac:dyDescent="0.2">
      <c r="A126">
        <v>142</v>
      </c>
      <c r="B126">
        <v>775</v>
      </c>
      <c r="C126">
        <v>135</v>
      </c>
      <c r="D126">
        <v>0.46274912941850099</v>
      </c>
      <c r="E126">
        <v>1.2747706489197801</v>
      </c>
      <c r="F126">
        <v>2.5394402792589501</v>
      </c>
      <c r="G126">
        <v>-20.902641884254997</v>
      </c>
      <c r="H126">
        <v>-18.24496734766489</v>
      </c>
      <c r="I126">
        <v>2.53558606744273</v>
      </c>
      <c r="J126">
        <v>1.4806097559615199</v>
      </c>
      <c r="K126">
        <v>0.50198882774742104</v>
      </c>
      <c r="L126">
        <v>0</v>
      </c>
      <c r="M126">
        <v>1.2381541247151612E-6</v>
      </c>
      <c r="N126">
        <v>0</v>
      </c>
      <c r="O126" s="1">
        <v>7.1270831234382496E-13</v>
      </c>
      <c r="P126">
        <v>0</v>
      </c>
      <c r="Q126">
        <v>100</v>
      </c>
      <c r="AJ126">
        <v>1</v>
      </c>
    </row>
    <row r="127" spans="1:36" x14ac:dyDescent="0.2">
      <c r="A127">
        <v>143</v>
      </c>
      <c r="B127">
        <v>774</v>
      </c>
      <c r="C127">
        <v>135</v>
      </c>
      <c r="D127">
        <v>0.46216922121950399</v>
      </c>
      <c r="E127">
        <v>2.1640609440477201</v>
      </c>
      <c r="F127">
        <v>2.5394402792589501</v>
      </c>
      <c r="G127">
        <v>-35.480190364888827</v>
      </c>
      <c r="H127">
        <v>-30.975317192098316</v>
      </c>
      <c r="I127">
        <v>4.3020323476011102</v>
      </c>
      <c r="J127">
        <v>2.5131893631277098</v>
      </c>
      <c r="K127">
        <v>0.85218028623190301</v>
      </c>
      <c r="L127">
        <v>0</v>
      </c>
      <c r="M127">
        <v>1.2381541247151612E-6</v>
      </c>
      <c r="N127">
        <v>0</v>
      </c>
      <c r="O127" s="1">
        <v>1.2098993842918999E-12</v>
      </c>
      <c r="P127">
        <v>0</v>
      </c>
      <c r="Q127">
        <v>100</v>
      </c>
      <c r="AJ127">
        <v>1</v>
      </c>
    </row>
    <row r="128" spans="1:36" x14ac:dyDescent="0.2">
      <c r="A128">
        <v>144</v>
      </c>
      <c r="B128">
        <v>773</v>
      </c>
      <c r="C128">
        <v>135</v>
      </c>
      <c r="D128">
        <v>0.46158820436839998</v>
      </c>
      <c r="E128">
        <v>3.1084847944664098</v>
      </c>
      <c r="F128">
        <v>2.5394402792589501</v>
      </c>
      <c r="G128">
        <v>-50.958021069818315</v>
      </c>
      <c r="H128">
        <v>-44.496951204261933</v>
      </c>
      <c r="I128">
        <v>6.1760453716545198</v>
      </c>
      <c r="J128">
        <v>3.60953725441609</v>
      </c>
      <c r="K128">
        <v>1.22408265311658</v>
      </c>
      <c r="L128">
        <v>0</v>
      </c>
      <c r="M128">
        <v>1.2381541247151614E-6</v>
      </c>
      <c r="N128">
        <v>0</v>
      </c>
      <c r="O128" s="1">
        <v>1.7379149368460201E-12</v>
      </c>
      <c r="P128">
        <v>0</v>
      </c>
      <c r="Q128">
        <v>100</v>
      </c>
      <c r="AJ128">
        <v>1</v>
      </c>
    </row>
    <row r="129" spans="1:36" x14ac:dyDescent="0.2">
      <c r="A129">
        <v>145</v>
      </c>
      <c r="B129">
        <v>772</v>
      </c>
      <c r="C129">
        <v>135</v>
      </c>
      <c r="D129">
        <v>0.46100607568291702</v>
      </c>
      <c r="E129">
        <v>4.1530294487197796</v>
      </c>
      <c r="F129">
        <v>2.5394402792589501</v>
      </c>
      <c r="G129">
        <v>-68.073204152847993</v>
      </c>
      <c r="H129">
        <v>-59.454091156448278</v>
      </c>
      <c r="I129">
        <v>8.2467712734054501</v>
      </c>
      <c r="J129">
        <v>4.8218614571941298</v>
      </c>
      <c r="K129">
        <v>1.6354113473901699</v>
      </c>
      <c r="L129">
        <v>0</v>
      </c>
      <c r="M129">
        <v>1.2381541247151612E-6</v>
      </c>
      <c r="N129">
        <v>0</v>
      </c>
      <c r="O129" s="1">
        <v>2.3219067775206701E-12</v>
      </c>
      <c r="P129">
        <v>0</v>
      </c>
      <c r="Q129">
        <v>100</v>
      </c>
      <c r="AJ129">
        <v>1</v>
      </c>
    </row>
    <row r="130" spans="1:36" x14ac:dyDescent="0.2">
      <c r="A130">
        <v>146</v>
      </c>
      <c r="B130">
        <v>771</v>
      </c>
      <c r="C130">
        <v>135</v>
      </c>
      <c r="D130">
        <v>0.46042283196858502</v>
      </c>
      <c r="E130">
        <v>5.4181859139514401</v>
      </c>
      <c r="F130">
        <v>2.5394402792589501</v>
      </c>
      <c r="G130">
        <v>-88.799901463322158</v>
      </c>
      <c r="H130">
        <v>-77.57215482128926</v>
      </c>
      <c r="I130">
        <v>10.7530016204883</v>
      </c>
      <c r="J130">
        <v>6.2899969721778204</v>
      </c>
      <c r="K130">
        <v>2.1336142291688498</v>
      </c>
      <c r="L130">
        <v>0</v>
      </c>
      <c r="M130">
        <v>1.2381541247151612E-6</v>
      </c>
      <c r="N130">
        <v>0</v>
      </c>
      <c r="O130" s="1">
        <v>3.0292399201139698E-12</v>
      </c>
      <c r="P130">
        <v>0</v>
      </c>
      <c r="Q130">
        <v>100</v>
      </c>
      <c r="AJ130">
        <v>1</v>
      </c>
    </row>
    <row r="131" spans="1:36" x14ac:dyDescent="0.2">
      <c r="A131">
        <v>147</v>
      </c>
      <c r="B131">
        <v>770</v>
      </c>
      <c r="C131">
        <v>135</v>
      </c>
      <c r="D131">
        <v>0.45983847001869499</v>
      </c>
      <c r="E131">
        <v>9.7715894506715593</v>
      </c>
      <c r="F131">
        <v>2.5394402792589501</v>
      </c>
      <c r="G131">
        <v>-160.12945101216195</v>
      </c>
      <c r="H131">
        <v>-139.91116607190031</v>
      </c>
      <c r="I131">
        <v>19.381953640666801</v>
      </c>
      <c r="J131">
        <v>11.342490950241</v>
      </c>
      <c r="K131">
        <v>3.8479304004436101</v>
      </c>
      <c r="L131">
        <v>0</v>
      </c>
      <c r="M131">
        <v>1.2381541247151612E-6</v>
      </c>
      <c r="N131">
        <v>0</v>
      </c>
      <c r="O131" s="1">
        <v>5.4631733419703699E-12</v>
      </c>
      <c r="P131">
        <v>0</v>
      </c>
      <c r="Q131">
        <v>100</v>
      </c>
      <c r="AJ131">
        <v>1</v>
      </c>
    </row>
    <row r="132" spans="1:36" x14ac:dyDescent="0.2">
      <c r="A132">
        <v>148</v>
      </c>
      <c r="B132">
        <v>769</v>
      </c>
      <c r="C132">
        <v>135</v>
      </c>
      <c r="D132">
        <v>0.45925298661421299</v>
      </c>
      <c r="E132">
        <v>18.5284345371056</v>
      </c>
      <c r="F132">
        <v>2.5394402792589501</v>
      </c>
      <c r="G132">
        <v>-303.5932945217167</v>
      </c>
      <c r="H132">
        <v>-265.31456733226548</v>
      </c>
      <c r="I132">
        <v>36.730535133571202</v>
      </c>
      <c r="J132">
        <v>21.504459541298001</v>
      </c>
      <c r="K132">
        <v>7.2962670902079498</v>
      </c>
      <c r="L132">
        <v>0</v>
      </c>
      <c r="M132">
        <v>1.2381541247151612E-6</v>
      </c>
      <c r="N132">
        <v>0</v>
      </c>
      <c r="O132" s="1">
        <v>1.03590158123765E-11</v>
      </c>
      <c r="P132">
        <v>0</v>
      </c>
      <c r="Q132">
        <v>100</v>
      </c>
      <c r="AJ132">
        <v>1</v>
      </c>
    </row>
    <row r="133" spans="1:36" x14ac:dyDescent="0.2">
      <c r="A133">
        <v>149</v>
      </c>
      <c r="B133">
        <v>768</v>
      </c>
      <c r="C133">
        <v>135</v>
      </c>
      <c r="D133">
        <v>0.45866637852374798</v>
      </c>
      <c r="E133">
        <v>24.958848621945499</v>
      </c>
      <c r="F133">
        <v>2.5394402792589501</v>
      </c>
      <c r="G133">
        <v>-408.90786381047855</v>
      </c>
      <c r="H133">
        <v>-357.42268476364478</v>
      </c>
      <c r="I133">
        <v>49.4502992333801</v>
      </c>
      <c r="J133">
        <v>28.964151200684899</v>
      </c>
      <c r="K133">
        <v>9.8284841844081203</v>
      </c>
      <c r="L133">
        <v>0</v>
      </c>
      <c r="M133">
        <v>1.2381541247151612E-6</v>
      </c>
      <c r="N133">
        <v>0</v>
      </c>
      <c r="O133" s="1">
        <v>1.3954179831850699E-11</v>
      </c>
      <c r="P133">
        <v>0</v>
      </c>
      <c r="Q133">
        <v>100</v>
      </c>
      <c r="AJ133">
        <v>1</v>
      </c>
    </row>
    <row r="134" spans="1:36" x14ac:dyDescent="0.2">
      <c r="A134">
        <v>150</v>
      </c>
      <c r="B134">
        <v>767</v>
      </c>
      <c r="C134">
        <v>135</v>
      </c>
      <c r="D134">
        <v>0.45807864250348701</v>
      </c>
      <c r="E134">
        <v>29.2486622367718</v>
      </c>
      <c r="F134">
        <v>2.5394402792589501</v>
      </c>
      <c r="G134">
        <v>-479.13115815332293</v>
      </c>
      <c r="H134">
        <v>-418.88881378819889</v>
      </c>
      <c r="I134">
        <v>57.916977710064899</v>
      </c>
      <c r="J134">
        <v>33.9381839252869</v>
      </c>
      <c r="K134">
        <v>11.5177594352827</v>
      </c>
      <c r="L134">
        <v>0</v>
      </c>
      <c r="M134">
        <v>1.2381541247151612E-6</v>
      </c>
      <c r="N134">
        <v>0</v>
      </c>
      <c r="O134" s="1">
        <v>1.63525609243894E-11</v>
      </c>
      <c r="P134">
        <v>0</v>
      </c>
      <c r="Q134">
        <v>100</v>
      </c>
      <c r="AJ134">
        <v>1</v>
      </c>
    </row>
    <row r="135" spans="1:36" x14ac:dyDescent="0.2">
      <c r="A135">
        <v>151</v>
      </c>
      <c r="B135">
        <v>766</v>
      </c>
      <c r="C135">
        <v>135</v>
      </c>
      <c r="D135">
        <v>0.45748977529712298</v>
      </c>
      <c r="E135">
        <v>31.096850807746801</v>
      </c>
      <c r="F135">
        <v>2.5394402792589501</v>
      </c>
      <c r="G135">
        <v>-509.34533325597505</v>
      </c>
      <c r="H135">
        <v>-445.39398579198348</v>
      </c>
      <c r="I135">
        <v>61.541978986663601</v>
      </c>
      <c r="J135">
        <v>36.078229143149102</v>
      </c>
      <c r="K135">
        <v>12.2455531093731</v>
      </c>
      <c r="L135">
        <v>0</v>
      </c>
      <c r="M135">
        <v>1.2381541247151612E-6</v>
      </c>
      <c r="N135">
        <v>0</v>
      </c>
      <c r="O135" s="1">
        <v>1.7385860018959001E-11</v>
      </c>
      <c r="P135">
        <v>0</v>
      </c>
      <c r="Q135">
        <v>100</v>
      </c>
      <c r="AJ135">
        <v>1</v>
      </c>
    </row>
    <row r="136" spans="1:36" x14ac:dyDescent="0.2">
      <c r="A136">
        <v>152</v>
      </c>
      <c r="B136">
        <v>765</v>
      </c>
      <c r="C136">
        <v>135</v>
      </c>
      <c r="D136">
        <v>0.45689977363579698</v>
      </c>
      <c r="E136">
        <v>32.096796073269303</v>
      </c>
      <c r="F136">
        <v>2.5394402792589501</v>
      </c>
      <c r="G136">
        <v>-525.66025577440632</v>
      </c>
      <c r="H136">
        <v>-459.75323824056358</v>
      </c>
      <c r="I136">
        <v>63.485062403162097</v>
      </c>
      <c r="J136">
        <v>37.233732475079002</v>
      </c>
      <c r="K136">
        <v>12.6393191190287</v>
      </c>
      <c r="L136">
        <v>0</v>
      </c>
      <c r="M136">
        <v>1.2381541247151612E-6</v>
      </c>
      <c r="N136">
        <v>0</v>
      </c>
      <c r="O136" s="1">
        <v>1.79449168996854E-11</v>
      </c>
      <c r="P136">
        <v>0</v>
      </c>
      <c r="Q136">
        <v>100</v>
      </c>
      <c r="AJ136">
        <v>1</v>
      </c>
    </row>
    <row r="137" spans="1:36" x14ac:dyDescent="0.2">
      <c r="A137">
        <v>162</v>
      </c>
      <c r="B137">
        <v>785</v>
      </c>
      <c r="C137">
        <v>115</v>
      </c>
      <c r="D137">
        <v>0.48927893020838498</v>
      </c>
      <c r="E137">
        <v>7.3305077786176204E-2</v>
      </c>
      <c r="F137">
        <v>2.5388115191775502</v>
      </c>
      <c r="G137">
        <v>-1.2040359768525524</v>
      </c>
      <c r="H137">
        <v>-1.0488936128616806</v>
      </c>
      <c r="I137">
        <v>0.14661660822271999</v>
      </c>
      <c r="J137">
        <v>8.5244114536761104E-2</v>
      </c>
      <c r="K137">
        <v>2.88737770537307E-2</v>
      </c>
      <c r="L137">
        <v>0</v>
      </c>
      <c r="M137">
        <v>1.2381314439014291E-6</v>
      </c>
      <c r="N137">
        <v>0</v>
      </c>
      <c r="O137" s="1">
        <v>4.09839513637138E-14</v>
      </c>
      <c r="P137">
        <v>0</v>
      </c>
      <c r="Q137">
        <v>100</v>
      </c>
      <c r="AJ137">
        <v>1</v>
      </c>
    </row>
    <row r="138" spans="1:36" x14ac:dyDescent="0.2">
      <c r="A138">
        <v>163</v>
      </c>
      <c r="B138">
        <v>784</v>
      </c>
      <c r="C138">
        <v>115</v>
      </c>
      <c r="D138">
        <v>0.48872960317835601</v>
      </c>
      <c r="E138">
        <v>0.91887513303518797</v>
      </c>
      <c r="F138">
        <v>2.5388115191775502</v>
      </c>
      <c r="G138">
        <v>-15.090687664273361</v>
      </c>
      <c r="H138">
        <v>-13.14889242611847</v>
      </c>
      <c r="I138">
        <v>1.83682092243758</v>
      </c>
      <c r="J138">
        <v>1.06840321699195</v>
      </c>
      <c r="K138">
        <v>0.36193121312638998</v>
      </c>
      <c r="L138">
        <v>0</v>
      </c>
      <c r="M138">
        <v>1.2381314439014293E-6</v>
      </c>
      <c r="N138">
        <v>0</v>
      </c>
      <c r="O138" s="1">
        <v>5.1373158448161298E-13</v>
      </c>
      <c r="P138">
        <v>0</v>
      </c>
      <c r="Q138">
        <v>100</v>
      </c>
      <c r="AJ138">
        <v>1</v>
      </c>
    </row>
    <row r="139" spans="1:36" x14ac:dyDescent="0.2">
      <c r="A139">
        <v>164</v>
      </c>
      <c r="B139">
        <v>783</v>
      </c>
      <c r="C139">
        <v>115</v>
      </c>
      <c r="D139">
        <v>0.48817923590399198</v>
      </c>
      <c r="E139">
        <v>1.79246672447543</v>
      </c>
      <c r="F139">
        <v>2.5388115191775502</v>
      </c>
      <c r="G139">
        <v>-29.434101523636748</v>
      </c>
      <c r="H139">
        <v>-25.651871786736347</v>
      </c>
      <c r="I139">
        <v>3.5811482619896799</v>
      </c>
      <c r="J139">
        <v>2.0839054897902898</v>
      </c>
      <c r="K139">
        <v>0.70602591446256502</v>
      </c>
      <c r="L139">
        <v>0</v>
      </c>
      <c r="M139">
        <v>1.2381314439014291E-6</v>
      </c>
      <c r="N139">
        <v>0</v>
      </c>
      <c r="O139" s="1">
        <v>1.00214570771289E-12</v>
      </c>
      <c r="P139">
        <v>0</v>
      </c>
      <c r="Q139">
        <v>100</v>
      </c>
      <c r="AJ139">
        <v>1</v>
      </c>
    </row>
    <row r="140" spans="1:36" x14ac:dyDescent="0.2">
      <c r="A140">
        <v>165</v>
      </c>
      <c r="B140">
        <v>782</v>
      </c>
      <c r="C140">
        <v>115</v>
      </c>
      <c r="D140">
        <v>0.48762782542766497</v>
      </c>
      <c r="E140">
        <v>2.7106215856710301</v>
      </c>
      <c r="F140">
        <v>2.5388115191775502</v>
      </c>
      <c r="G140">
        <v>-44.505711259599735</v>
      </c>
      <c r="H140">
        <v>-38.794675945935964</v>
      </c>
      <c r="I140">
        <v>5.41253406024145</v>
      </c>
      <c r="J140">
        <v>3.15096748577293</v>
      </c>
      <c r="K140">
        <v>1.06767342325165</v>
      </c>
      <c r="L140">
        <v>0</v>
      </c>
      <c r="M140">
        <v>1.2381314439014289E-6</v>
      </c>
      <c r="N140">
        <v>0</v>
      </c>
      <c r="O140" s="1">
        <v>1.5154745972252899E-12</v>
      </c>
      <c r="P140">
        <v>0</v>
      </c>
      <c r="Q140">
        <v>100</v>
      </c>
      <c r="AJ140">
        <v>1</v>
      </c>
    </row>
    <row r="141" spans="1:36" x14ac:dyDescent="0.2">
      <c r="A141">
        <v>166</v>
      </c>
      <c r="B141">
        <v>781</v>
      </c>
      <c r="C141">
        <v>115</v>
      </c>
      <c r="D141">
        <v>0.48707536878053398</v>
      </c>
      <c r="E141">
        <v>3.7036573029033502</v>
      </c>
      <c r="F141">
        <v>2.5388115191775502</v>
      </c>
      <c r="G141">
        <v>-60.802976984712657</v>
      </c>
      <c r="H141">
        <v>-53.011403379159248</v>
      </c>
      <c r="I141">
        <v>7.3913329275277802</v>
      </c>
      <c r="J141">
        <v>4.30480834595771</v>
      </c>
      <c r="K141">
        <v>1.4588153846501899</v>
      </c>
      <c r="L141">
        <v>0</v>
      </c>
      <c r="M141">
        <v>1.2381314439014289E-6</v>
      </c>
      <c r="N141">
        <v>0</v>
      </c>
      <c r="O141" s="1">
        <v>2.0706684359958298E-12</v>
      </c>
      <c r="P141">
        <v>0</v>
      </c>
      <c r="Q141">
        <v>100</v>
      </c>
      <c r="AJ141">
        <v>1</v>
      </c>
    </row>
    <row r="142" spans="1:36" x14ac:dyDescent="0.2">
      <c r="A142">
        <v>167</v>
      </c>
      <c r="B142">
        <v>780</v>
      </c>
      <c r="C142">
        <v>115</v>
      </c>
      <c r="D142">
        <v>0.48652186298248101</v>
      </c>
      <c r="E142">
        <v>4.8366830538475503</v>
      </c>
      <c r="F142">
        <v>2.5388115191775502</v>
      </c>
      <c r="G142">
        <v>-79.394221630244232</v>
      </c>
      <c r="H142">
        <v>-69.234314937393791</v>
      </c>
      <c r="I142">
        <v>9.6471601318429805</v>
      </c>
      <c r="J142">
        <v>5.6210640743477098</v>
      </c>
      <c r="K142">
        <v>1.9050973328710801</v>
      </c>
      <c r="L142">
        <v>0</v>
      </c>
      <c r="M142">
        <v>1.2381314439014289E-6</v>
      </c>
      <c r="N142">
        <v>0</v>
      </c>
      <c r="O142" s="1">
        <v>2.7041289502317098E-12</v>
      </c>
      <c r="P142">
        <v>0</v>
      </c>
      <c r="Q142">
        <v>100</v>
      </c>
      <c r="AJ142">
        <v>1</v>
      </c>
    </row>
    <row r="143" spans="1:36" x14ac:dyDescent="0.2">
      <c r="A143">
        <v>168</v>
      </c>
      <c r="B143">
        <v>779</v>
      </c>
      <c r="C143">
        <v>115</v>
      </c>
      <c r="D143">
        <v>0.48596730504205599</v>
      </c>
      <c r="E143">
        <v>6.2921778930066203</v>
      </c>
      <c r="F143">
        <v>2.5388115191775502</v>
      </c>
      <c r="G143">
        <v>-103.27364347882011</v>
      </c>
      <c r="H143">
        <v>-90.076192226177213</v>
      </c>
      <c r="I143">
        <v>12.543317257656099</v>
      </c>
      <c r="J143">
        <v>7.3117218717552896</v>
      </c>
      <c r="K143">
        <v>2.4783950464526598</v>
      </c>
      <c r="L143">
        <v>0</v>
      </c>
      <c r="M143">
        <v>1.2381314439014291E-6</v>
      </c>
      <c r="N143">
        <v>0</v>
      </c>
      <c r="O143" s="1">
        <v>3.51787789504875E-12</v>
      </c>
      <c r="P143">
        <v>0</v>
      </c>
      <c r="Q143">
        <v>100</v>
      </c>
      <c r="AJ143">
        <v>1</v>
      </c>
    </row>
    <row r="144" spans="1:36" x14ac:dyDescent="0.2">
      <c r="A144">
        <v>169</v>
      </c>
      <c r="B144">
        <v>778</v>
      </c>
      <c r="C144">
        <v>115</v>
      </c>
      <c r="D144">
        <v>0.48541169195642903</v>
      </c>
      <c r="E144">
        <v>10.113204388872299</v>
      </c>
      <c r="F144">
        <v>2.5388115191775502</v>
      </c>
      <c r="G144">
        <v>-165.96807405334619</v>
      </c>
      <c r="H144">
        <v>-144.7881637373703</v>
      </c>
      <c r="I144">
        <v>20.149274904605299</v>
      </c>
      <c r="J144">
        <v>11.7504663123784</v>
      </c>
      <c r="K144">
        <v>3.9834404060639002</v>
      </c>
      <c r="L144">
        <v>0</v>
      </c>
      <c r="M144">
        <v>1.2381314439014291E-6</v>
      </c>
      <c r="N144">
        <v>0</v>
      </c>
      <c r="O144" s="1">
        <v>5.6541659776125898E-12</v>
      </c>
      <c r="P144">
        <v>0</v>
      </c>
      <c r="Q144">
        <v>100</v>
      </c>
      <c r="AJ144">
        <v>1</v>
      </c>
    </row>
    <row r="145" spans="1:36" x14ac:dyDescent="0.2">
      <c r="A145">
        <v>170</v>
      </c>
      <c r="B145">
        <v>777</v>
      </c>
      <c r="C145">
        <v>115</v>
      </c>
      <c r="D145">
        <v>0.48485502071132902</v>
      </c>
      <c r="E145">
        <v>17.6077839167279</v>
      </c>
      <c r="F145">
        <v>2.5388115191775502</v>
      </c>
      <c r="G145">
        <v>-288.92675229489282</v>
      </c>
      <c r="H145">
        <v>-252.10660142210594</v>
      </c>
      <c r="I145">
        <v>35.061801526245603</v>
      </c>
      <c r="J145">
        <v>20.455897858832799</v>
      </c>
      <c r="K145">
        <v>6.9354435269113504</v>
      </c>
      <c r="L145">
        <v>0</v>
      </c>
      <c r="M145">
        <v>1.2381314439014291E-6</v>
      </c>
      <c r="N145">
        <v>0</v>
      </c>
      <c r="O145" s="1">
        <v>9.8442915751471492E-12</v>
      </c>
      <c r="P145">
        <v>0</v>
      </c>
      <c r="Q145">
        <v>100</v>
      </c>
      <c r="AJ145">
        <v>1</v>
      </c>
    </row>
    <row r="146" spans="1:36" x14ac:dyDescent="0.2">
      <c r="A146">
        <v>171</v>
      </c>
      <c r="B146">
        <v>776</v>
      </c>
      <c r="C146">
        <v>115</v>
      </c>
      <c r="D146">
        <v>0.484297288280991</v>
      </c>
      <c r="E146">
        <v>23.976689681423</v>
      </c>
      <c r="F146">
        <v>2.5388115191775502</v>
      </c>
      <c r="G146">
        <v>-393.38662269171795</v>
      </c>
      <c r="H146">
        <v>-343.3238511193486</v>
      </c>
      <c r="I146">
        <v>47.717458487698899</v>
      </c>
      <c r="J146">
        <v>27.8516212400977</v>
      </c>
      <c r="K146">
        <v>9.4440605378969806</v>
      </c>
      <c r="L146">
        <v>0</v>
      </c>
      <c r="M146">
        <v>1.2381314439014291E-6</v>
      </c>
      <c r="N146">
        <v>0</v>
      </c>
      <c r="O146" s="1">
        <v>1.34050670627841E-11</v>
      </c>
      <c r="P146">
        <v>0</v>
      </c>
      <c r="Q146">
        <v>100</v>
      </c>
      <c r="AJ146">
        <v>1</v>
      </c>
    </row>
    <row r="147" spans="1:36" x14ac:dyDescent="0.2">
      <c r="A147">
        <v>172</v>
      </c>
      <c r="B147">
        <v>775</v>
      </c>
      <c r="C147">
        <v>115</v>
      </c>
      <c r="D147">
        <v>0.483738491628109</v>
      </c>
      <c r="E147">
        <v>28.0750041064809</v>
      </c>
      <c r="F147">
        <v>2.5388115191775502</v>
      </c>
      <c r="G147">
        <v>-460.57199301254883</v>
      </c>
      <c r="H147">
        <v>-402.04050455093136</v>
      </c>
      <c r="I147">
        <v>55.842664181288399</v>
      </c>
      <c r="J147">
        <v>32.608316652049801</v>
      </c>
      <c r="K147">
        <v>11.0583254780472</v>
      </c>
      <c r="L147">
        <v>0</v>
      </c>
      <c r="M147">
        <v>1.2381314439014289E-6</v>
      </c>
      <c r="N147">
        <v>0</v>
      </c>
      <c r="O147" s="1">
        <v>1.5696383355493299E-11</v>
      </c>
      <c r="P147">
        <v>0</v>
      </c>
      <c r="Q147">
        <v>100</v>
      </c>
      <c r="AJ147">
        <v>1</v>
      </c>
    </row>
    <row r="148" spans="1:36" x14ac:dyDescent="0.2">
      <c r="A148">
        <v>173</v>
      </c>
      <c r="B148">
        <v>774</v>
      </c>
      <c r="C148">
        <v>115</v>
      </c>
      <c r="D148">
        <v>0.48317862770377201</v>
      </c>
      <c r="E148">
        <v>30.435071610696401</v>
      </c>
      <c r="F148">
        <v>2.5388115191775502</v>
      </c>
      <c r="G148">
        <v>-499.22851067557485</v>
      </c>
      <c r="H148">
        <v>-435.87256037847413</v>
      </c>
      <c r="I148">
        <v>60.503223317672401</v>
      </c>
      <c r="J148">
        <v>35.345168281150599</v>
      </c>
      <c r="K148">
        <v>11.987920875889101</v>
      </c>
      <c r="L148">
        <v>0</v>
      </c>
      <c r="M148">
        <v>1.2381314439014291E-6</v>
      </c>
      <c r="N148">
        <v>0</v>
      </c>
      <c r="O148" s="1">
        <v>1.7015867553981999E-11</v>
      </c>
      <c r="P148">
        <v>0</v>
      </c>
      <c r="Q148">
        <v>100</v>
      </c>
      <c r="AJ148">
        <v>1</v>
      </c>
    </row>
    <row r="149" spans="1:36" x14ac:dyDescent="0.2">
      <c r="A149">
        <v>174</v>
      </c>
      <c r="B149">
        <v>773</v>
      </c>
      <c r="C149">
        <v>115</v>
      </c>
      <c r="D149">
        <v>0.48261769344740202</v>
      </c>
      <c r="E149">
        <v>31.610885198231699</v>
      </c>
      <c r="F149">
        <v>2.5388115191775502</v>
      </c>
      <c r="G149">
        <v>-518.4526362769567</v>
      </c>
      <c r="H149">
        <v>-452.74855493757343</v>
      </c>
      <c r="I149">
        <v>62.8056027714794</v>
      </c>
      <c r="J149">
        <v>36.706201031192002</v>
      </c>
      <c r="K149">
        <v>12.451056314913799</v>
      </c>
      <c r="L149">
        <v>0</v>
      </c>
      <c r="M149">
        <v>1.2381314439014291E-6</v>
      </c>
      <c r="N149">
        <v>0</v>
      </c>
      <c r="O149" s="1">
        <v>1.7673250212041599E-11</v>
      </c>
      <c r="P149">
        <v>0</v>
      </c>
      <c r="Q149">
        <v>100</v>
      </c>
      <c r="AJ149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E0DF8-B557-4671-90CB-B6FF56519C69}">
  <sheetPr codeName="Sheet13"/>
  <dimension ref="A1:AJ175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763</v>
      </c>
      <c r="C2">
        <v>275</v>
      </c>
      <c r="D2">
        <v>0.30708922453313198</v>
      </c>
      <c r="E2">
        <v>4.0877764558780099</v>
      </c>
      <c r="F2">
        <v>0.54996166268446101</v>
      </c>
      <c r="G2">
        <v>-88.792932028672908</v>
      </c>
      <c r="H2">
        <v>-51.942625939948172</v>
      </c>
      <c r="I2">
        <v>35.566901863080602</v>
      </c>
      <c r="J2">
        <v>15.7415385060097</v>
      </c>
      <c r="K2">
        <v>7.4328389290352304</v>
      </c>
      <c r="L2">
        <v>1.1953593544791693E-3</v>
      </c>
      <c r="M2">
        <v>1.9636467237705462E-4</v>
      </c>
      <c r="N2" s="1">
        <v>5.4859173085491399E-6</v>
      </c>
      <c r="O2" s="1">
        <v>1.19053913797938E-6</v>
      </c>
      <c r="P2" s="1">
        <v>-4.3395834829167301E-6</v>
      </c>
      <c r="AE2">
        <v>100</v>
      </c>
      <c r="AJ2">
        <v>1</v>
      </c>
    </row>
    <row r="3" spans="1:36" x14ac:dyDescent="0.2">
      <c r="A3">
        <v>2</v>
      </c>
      <c r="B3">
        <v>762</v>
      </c>
      <c r="C3">
        <v>275</v>
      </c>
      <c r="D3">
        <v>0.306352219485102</v>
      </c>
      <c r="E3">
        <v>4.0914645566476704</v>
      </c>
      <c r="F3">
        <v>0.55061964729202595</v>
      </c>
      <c r="G3">
        <v>-88.837451991657773</v>
      </c>
      <c r="H3">
        <v>-52.005249089134942</v>
      </c>
      <c r="I3">
        <v>35.583774612169002</v>
      </c>
      <c r="J3">
        <v>15.762515329448201</v>
      </c>
      <c r="K3">
        <v>7.4306548572498103</v>
      </c>
      <c r="L3">
        <v>1.1960475999566829E-3</v>
      </c>
      <c r="M3">
        <v>1.9601518700588123E-4</v>
      </c>
      <c r="N3" s="1">
        <v>5.5348269457737398E-6</v>
      </c>
      <c r="O3" s="1">
        <v>1.1875782610890601E-6</v>
      </c>
      <c r="P3" s="1">
        <v>-4.3417369393806504E-6</v>
      </c>
      <c r="AE3">
        <v>100</v>
      </c>
      <c r="AJ3">
        <v>1</v>
      </c>
    </row>
    <row r="4" spans="1:36" x14ac:dyDescent="0.2">
      <c r="A4">
        <v>3</v>
      </c>
      <c r="B4">
        <v>761</v>
      </c>
      <c r="C4">
        <v>275</v>
      </c>
      <c r="D4">
        <v>0.30561378910216402</v>
      </c>
      <c r="E4">
        <v>4.1036062866857996</v>
      </c>
      <c r="F4">
        <v>0.55127879711622796</v>
      </c>
      <c r="G4">
        <v>-89.065402106623893</v>
      </c>
      <c r="H4">
        <v>-52.175391278077583</v>
      </c>
      <c r="I4">
        <v>35.674089023888001</v>
      </c>
      <c r="J4">
        <v>15.816076831021199</v>
      </c>
      <c r="K4">
        <v>7.4437948786566803</v>
      </c>
      <c r="L4">
        <v>1.1967306744472181E-3</v>
      </c>
      <c r="M4">
        <v>1.9566495908420329E-4</v>
      </c>
      <c r="N4" s="1">
        <v>5.5954049849587999E-6</v>
      </c>
      <c r="O4" s="1">
        <v>1.1870533074631701E-6</v>
      </c>
      <c r="P4" s="1">
        <v>-4.3528059789209496E-6</v>
      </c>
      <c r="AE4">
        <v>100</v>
      </c>
      <c r="AJ4">
        <v>1</v>
      </c>
    </row>
    <row r="5" spans="1:36" x14ac:dyDescent="0.2">
      <c r="A5">
        <v>4</v>
      </c>
      <c r="B5">
        <v>760</v>
      </c>
      <c r="C5">
        <v>275</v>
      </c>
      <c r="D5">
        <v>0.30487392924551299</v>
      </c>
      <c r="E5">
        <v>4.1156719261614301</v>
      </c>
      <c r="F5">
        <v>0.55193911159252396</v>
      </c>
      <c r="G5">
        <v>-89.291505588982901</v>
      </c>
      <c r="H5">
        <v>-52.344666091873115</v>
      </c>
      <c r="I5">
        <v>35.763630389892199</v>
      </c>
      <c r="J5">
        <v>15.8693754197323</v>
      </c>
      <c r="K5">
        <v>7.4567499199076099</v>
      </c>
      <c r="L5">
        <v>1.1974085424393379E-3</v>
      </c>
      <c r="M5">
        <v>1.9531399207968603E-4</v>
      </c>
      <c r="N5" s="1">
        <v>5.6562005238952601E-6</v>
      </c>
      <c r="O5" s="1">
        <v>1.1864803253189601E-6</v>
      </c>
      <c r="P5" s="1">
        <v>-4.3637349423147102E-6</v>
      </c>
      <c r="AE5">
        <v>100</v>
      </c>
      <c r="AJ5">
        <v>1</v>
      </c>
    </row>
    <row r="6" spans="1:36" x14ac:dyDescent="0.2">
      <c r="A6">
        <v>5</v>
      </c>
      <c r="B6">
        <v>759</v>
      </c>
      <c r="C6">
        <v>275</v>
      </c>
      <c r="D6">
        <v>0.30413263576031102</v>
      </c>
      <c r="E6">
        <v>4.1276620444235199</v>
      </c>
      <c r="F6">
        <v>0.55260059012820195</v>
      </c>
      <c r="G6">
        <v>-89.515776926500067</v>
      </c>
      <c r="H6">
        <v>-52.513079943929384</v>
      </c>
      <c r="I6">
        <v>35.8524042864506</v>
      </c>
      <c r="J6">
        <v>15.922412630682899</v>
      </c>
      <c r="K6">
        <v>7.4695216005214702</v>
      </c>
      <c r="L6">
        <v>1.1980811684997577E-3</v>
      </c>
      <c r="M6">
        <v>1.9496228951073602E-4</v>
      </c>
      <c r="N6" s="1">
        <v>5.71721054417919E-6</v>
      </c>
      <c r="O6" s="1">
        <v>1.1858597552992999E-6</v>
      </c>
      <c r="P6" s="1">
        <v>-4.3745239307860504E-6</v>
      </c>
      <c r="AE6">
        <v>100</v>
      </c>
      <c r="AJ6">
        <v>1</v>
      </c>
    </row>
    <row r="7" spans="1:36" x14ac:dyDescent="0.2">
      <c r="A7">
        <v>6</v>
      </c>
      <c r="B7">
        <v>758</v>
      </c>
      <c r="C7">
        <v>275</v>
      </c>
      <c r="D7">
        <v>0.303389904475587</v>
      </c>
      <c r="E7">
        <v>4.1395772040052297</v>
      </c>
      <c r="F7">
        <v>0.55326323210226602</v>
      </c>
      <c r="G7">
        <v>-89.738230437989841</v>
      </c>
      <c r="H7">
        <v>-52.680639168635494</v>
      </c>
      <c r="I7">
        <v>35.940416224244402</v>
      </c>
      <c r="J7">
        <v>15.975189974825099</v>
      </c>
      <c r="K7">
        <v>7.4821115227119597</v>
      </c>
      <c r="L7">
        <v>1.1987485172768261E-3</v>
      </c>
      <c r="M7">
        <v>1.9460985494651058E-4</v>
      </c>
      <c r="N7" s="1">
        <v>5.7784320009251604E-6</v>
      </c>
      <c r="O7" s="1">
        <v>1.1851920355313401E-6</v>
      </c>
      <c r="P7" s="1">
        <v>-4.3851730438564898E-6</v>
      </c>
      <c r="AE7">
        <v>100</v>
      </c>
      <c r="AJ7">
        <v>1</v>
      </c>
    </row>
    <row r="8" spans="1:36" x14ac:dyDescent="0.2">
      <c r="A8">
        <v>7</v>
      </c>
      <c r="B8">
        <v>757</v>
      </c>
      <c r="C8">
        <v>275</v>
      </c>
      <c r="D8">
        <v>0.30264573120419402</v>
      </c>
      <c r="E8">
        <v>4.1514179604485602</v>
      </c>
      <c r="F8">
        <v>0.553927036865275</v>
      </c>
      <c r="G8">
        <v>-89.958880269827489</v>
      </c>
      <c r="H8">
        <v>-52.847350019005184</v>
      </c>
      <c r="I8">
        <v>36.027671646949997</v>
      </c>
      <c r="J8">
        <v>16.027708938250001</v>
      </c>
      <c r="K8">
        <v>7.4945212711439799</v>
      </c>
      <c r="L8">
        <v>1.1994105535029587E-3</v>
      </c>
      <c r="M8">
        <v>1.9425669200678956E-4</v>
      </c>
      <c r="N8" s="1">
        <v>5.8398618225778598E-6</v>
      </c>
      <c r="O8" s="1">
        <v>1.1844776015977899E-6</v>
      </c>
      <c r="P8" s="1">
        <v>-4.3956823792266997E-6</v>
      </c>
      <c r="AE8">
        <v>100</v>
      </c>
      <c r="AJ8">
        <v>1</v>
      </c>
    </row>
    <row r="9" spans="1:36" x14ac:dyDescent="0.2">
      <c r="A9">
        <v>8</v>
      </c>
      <c r="B9">
        <v>756</v>
      </c>
      <c r="C9">
        <v>275</v>
      </c>
      <c r="D9">
        <v>0.30190011174270298</v>
      </c>
      <c r="E9">
        <v>4.1631848625802101</v>
      </c>
      <c r="F9">
        <v>0.55459200373927897</v>
      </c>
      <c r="G9">
        <v>-90.1777404022463</v>
      </c>
      <c r="H9">
        <v>-53.013218670062884</v>
      </c>
      <c r="I9">
        <v>36.114175933741997</v>
      </c>
      <c r="J9">
        <v>16.0799709832358</v>
      </c>
      <c r="K9">
        <v>7.5067524135046497</v>
      </c>
      <c r="L9">
        <v>1.2000672419984482E-3</v>
      </c>
      <c r="M9">
        <v>1.9390280436198249E-4</v>
      </c>
      <c r="N9" s="1">
        <v>5.9014969113800396E-6</v>
      </c>
      <c r="O9" s="1">
        <v>1.1837168866386199E-6</v>
      </c>
      <c r="P9" s="1">
        <v>-4.4060520331442099E-6</v>
      </c>
      <c r="AE9">
        <v>100</v>
      </c>
      <c r="AJ9">
        <v>1</v>
      </c>
    </row>
    <row r="10" spans="1:36" x14ac:dyDescent="0.2">
      <c r="A10">
        <v>9</v>
      </c>
      <c r="B10">
        <v>755</v>
      </c>
      <c r="C10">
        <v>275</v>
      </c>
      <c r="D10">
        <v>0.30115304187132302</v>
      </c>
      <c r="E10">
        <v>4.1748784525772402</v>
      </c>
      <c r="F10">
        <v>0.55525813201767704</v>
      </c>
      <c r="G10">
        <v>-90.394824651067637</v>
      </c>
      <c r="H10">
        <v>-53.178251219558909</v>
      </c>
      <c r="I10">
        <v>36.199934399967098</v>
      </c>
      <c r="J10">
        <v>16.131977548468502</v>
      </c>
      <c r="K10">
        <v>7.5188065006931399</v>
      </c>
      <c r="L10">
        <v>1.2007185476741171E-3</v>
      </c>
      <c r="M10">
        <v>1.9354819573302135E-4</v>
      </c>
      <c r="N10" s="1">
        <v>5.9633341435336799E-6</v>
      </c>
      <c r="O10" s="1">
        <v>1.18291032139049E-6</v>
      </c>
      <c r="P10" s="1">
        <v>-4.4162821005412103E-6</v>
      </c>
      <c r="AE10">
        <v>100</v>
      </c>
      <c r="AJ10">
        <v>1</v>
      </c>
    </row>
    <row r="11" spans="1:36" x14ac:dyDescent="0.2">
      <c r="A11">
        <v>10</v>
      </c>
      <c r="B11">
        <v>754</v>
      </c>
      <c r="C11">
        <v>275</v>
      </c>
      <c r="D11">
        <v>0.30040451735384299</v>
      </c>
      <c r="E11">
        <v>4.1864992659132101</v>
      </c>
      <c r="F11">
        <v>0.55592542096507103</v>
      </c>
      <c r="G11">
        <v>-90.610146666840393</v>
      </c>
      <c r="H11">
        <v>-53.342453687160862</v>
      </c>
      <c r="I11">
        <v>36.284952296782301</v>
      </c>
      <c r="J11">
        <v>16.1837300488131</v>
      </c>
      <c r="K11">
        <v>7.5306850667946996</v>
      </c>
      <c r="L11">
        <v>1.2013644355344699E-3</v>
      </c>
      <c r="M11">
        <v>1.9319286989129213E-4</v>
      </c>
      <c r="N11" s="1">
        <v>6.0253703692237704E-6</v>
      </c>
      <c r="O11" s="1">
        <v>1.18205833419228E-6</v>
      </c>
      <c r="P11" s="1">
        <v>-4.4263726750501898E-6</v>
      </c>
      <c r="AE11">
        <v>100</v>
      </c>
      <c r="AJ11">
        <v>1</v>
      </c>
    </row>
    <row r="12" spans="1:36" x14ac:dyDescent="0.2">
      <c r="A12">
        <v>11</v>
      </c>
      <c r="B12">
        <v>753</v>
      </c>
      <c r="C12">
        <v>275</v>
      </c>
      <c r="D12">
        <v>0.29965453393753799</v>
      </c>
      <c r="E12">
        <v>4.1980478315557397</v>
      </c>
      <c r="F12">
        <v>0.55659386981720904</v>
      </c>
      <c r="G12">
        <v>-90.823719939421821</v>
      </c>
      <c r="H12">
        <v>-53.505832016850476</v>
      </c>
      <c r="I12">
        <v>36.369234812971001</v>
      </c>
      <c r="J12">
        <v>16.235229876049601</v>
      </c>
      <c r="K12">
        <v>7.5423896295056503</v>
      </c>
      <c r="L12">
        <v>1.2020048706808957E-3</v>
      </c>
      <c r="M12">
        <v>1.9283683065854628E-4</v>
      </c>
      <c r="N12" s="1">
        <v>6.0876024129877503E-6</v>
      </c>
      <c r="O12" s="1">
        <v>1.18116135106127E-6</v>
      </c>
      <c r="P12" s="1">
        <v>-4.43632384928345E-6</v>
      </c>
      <c r="AE12">
        <v>100</v>
      </c>
      <c r="AJ12">
        <v>1</v>
      </c>
    </row>
    <row r="13" spans="1:36" x14ac:dyDescent="0.2">
      <c r="A13">
        <v>12</v>
      </c>
      <c r="B13">
        <v>752</v>
      </c>
      <c r="C13">
        <v>275</v>
      </c>
      <c r="D13">
        <v>0.29890308735307097</v>
      </c>
      <c r="E13">
        <v>4.2095246720987198</v>
      </c>
      <c r="F13">
        <v>0.55726347778082896</v>
      </c>
      <c r="G13">
        <v>-91.035557801136889</v>
      </c>
      <c r="H13">
        <v>-53.6683920784916</v>
      </c>
      <c r="I13">
        <v>36.452787076190802</v>
      </c>
      <c r="J13">
        <v>16.286478399365201</v>
      </c>
      <c r="K13">
        <v>7.55392169044016</v>
      </c>
      <c r="L13">
        <v>1.2026398183147557E-3</v>
      </c>
      <c r="M13">
        <v>1.924800819068232E-4</v>
      </c>
      <c r="N13" s="1">
        <v>6.1500270740182004E-6</v>
      </c>
      <c r="O13" s="1">
        <v>1.1802197957498701E-6</v>
      </c>
      <c r="P13" s="1">
        <v>-4.4461357150443504E-6</v>
      </c>
      <c r="AE13">
        <v>100</v>
      </c>
      <c r="AJ13">
        <v>1</v>
      </c>
    </row>
    <row r="14" spans="1:36" x14ac:dyDescent="0.2">
      <c r="A14">
        <v>13</v>
      </c>
      <c r="B14">
        <v>751</v>
      </c>
      <c r="C14">
        <v>275</v>
      </c>
      <c r="D14">
        <v>0.29815017331445698</v>
      </c>
      <c r="E14">
        <v>4.2209303035948196</v>
      </c>
      <c r="F14">
        <v>0.55793424403356595</v>
      </c>
      <c r="G14">
        <v>-91.245673423447684</v>
      </c>
      <c r="H14">
        <v>-53.830139665576546</v>
      </c>
      <c r="I14">
        <v>36.535614151623903</v>
      </c>
      <c r="J14">
        <v>16.3374769646801</v>
      </c>
      <c r="K14">
        <v>7.5652827348967699</v>
      </c>
      <c r="L14">
        <v>1.2032692437403828E-3</v>
      </c>
      <c r="M14">
        <v>1.9212262755833809E-4</v>
      </c>
      <c r="N14" s="1">
        <v>6.2126411260325302E-6</v>
      </c>
      <c r="O14" s="1">
        <v>1.17923408971749E-6</v>
      </c>
      <c r="P14" s="1">
        <v>-4.4558083632209499E-6</v>
      </c>
      <c r="AE14">
        <v>100</v>
      </c>
      <c r="AJ14">
        <v>1</v>
      </c>
    </row>
    <row r="15" spans="1:36" x14ac:dyDescent="0.2">
      <c r="A15">
        <v>14</v>
      </c>
      <c r="B15">
        <v>750</v>
      </c>
      <c r="C15">
        <v>275</v>
      </c>
      <c r="D15">
        <v>0.29739578751893703</v>
      </c>
      <c r="E15">
        <v>4.2322652358831503</v>
      </c>
      <c r="F15">
        <v>0.55860616772383997</v>
      </c>
      <c r="G15">
        <v>-91.45407982433494</v>
      </c>
      <c r="H15">
        <v>-53.991080499288991</v>
      </c>
      <c r="I15">
        <v>36.617721044915001</v>
      </c>
      <c r="J15">
        <v>16.388226895894999</v>
      </c>
      <c r="K15">
        <v>7.5764742325141397</v>
      </c>
      <c r="L15">
        <v>1.2038931123682388E-3</v>
      </c>
      <c r="M15">
        <v>1.917644715853801E-4</v>
      </c>
      <c r="N15" s="1">
        <v>6.2754413178645004E-6</v>
      </c>
      <c r="O15" s="1">
        <v>1.1782046522409399E-6</v>
      </c>
      <c r="P15" s="1">
        <v>-4.4653418842019904E-6</v>
      </c>
      <c r="AE15">
        <v>100</v>
      </c>
      <c r="AJ15">
        <v>1</v>
      </c>
    </row>
    <row r="16" spans="1:36" x14ac:dyDescent="0.2">
      <c r="A16">
        <v>15</v>
      </c>
      <c r="B16">
        <v>749</v>
      </c>
      <c r="C16">
        <v>275</v>
      </c>
      <c r="D16">
        <v>0.29663992564692099</v>
      </c>
      <c r="E16">
        <v>4.24352997252553</v>
      </c>
      <c r="F16">
        <v>0.55927924797073003</v>
      </c>
      <c r="G16">
        <v>-91.660789867205381</v>
      </c>
      <c r="H16">
        <v>-54.151220227575848</v>
      </c>
      <c r="I16">
        <v>36.699112701719301</v>
      </c>
      <c r="J16">
        <v>16.438729494622201</v>
      </c>
      <c r="K16">
        <v>7.5874976372225698</v>
      </c>
      <c r="L16">
        <v>1.2045113897179512E-3</v>
      </c>
      <c r="M16">
        <v>1.914056180101959E-4</v>
      </c>
      <c r="N16" s="1">
        <v>6.3384243735090697E-6</v>
      </c>
      <c r="O16" s="1">
        <v>1.17713190041446E-6</v>
      </c>
      <c r="P16" s="1">
        <v>-4.4747363678811201E-6</v>
      </c>
      <c r="AE16">
        <v>100</v>
      </c>
      <c r="AJ16">
        <v>1</v>
      </c>
    </row>
    <row r="17" spans="1:36" x14ac:dyDescent="0.2">
      <c r="A17">
        <v>16</v>
      </c>
      <c r="B17">
        <v>748</v>
      </c>
      <c r="C17">
        <v>275</v>
      </c>
      <c r="D17">
        <v>0.29588258336189799</v>
      </c>
      <c r="E17">
        <v>4.2547250109216304</v>
      </c>
      <c r="F17">
        <v>0.55995348386390498</v>
      </c>
      <c r="G17">
        <v>-91.865816263665067</v>
      </c>
      <c r="H17">
        <v>-54.310564426503944</v>
      </c>
      <c r="I17">
        <v>36.779794008796301</v>
      </c>
      <c r="J17">
        <v>16.4889860406143</v>
      </c>
      <c r="K17">
        <v>7.5983543875150401</v>
      </c>
      <c r="L17">
        <v>1.2051240414215599E-3</v>
      </c>
      <c r="M17">
        <v>1.9104607090488274E-4</v>
      </c>
      <c r="N17" s="1">
        <v>6.4015869924231498E-6</v>
      </c>
      <c r="O17" s="1">
        <v>1.1760162491990801E-6</v>
      </c>
      <c r="P17" s="1">
        <v>-4.48399190384785E-6</v>
      </c>
      <c r="AE17">
        <v>100</v>
      </c>
      <c r="AJ17">
        <v>1</v>
      </c>
    </row>
    <row r="18" spans="1:36" x14ac:dyDescent="0.2">
      <c r="A18">
        <v>17</v>
      </c>
      <c r="B18">
        <v>747</v>
      </c>
      <c r="C18">
        <v>275</v>
      </c>
      <c r="D18">
        <v>0.29512375631034898</v>
      </c>
      <c r="E18">
        <v>4.2658508423495203</v>
      </c>
      <c r="F18">
        <v>0.56062887446346499</v>
      </c>
      <c r="G18">
        <v>-92.069171574676673</v>
      </c>
      <c r="H18">
        <v>-54.4691186006648</v>
      </c>
      <c r="I18">
        <v>36.8597697944587</v>
      </c>
      <c r="J18">
        <v>16.538997791896001</v>
      </c>
      <c r="K18">
        <v>7.6090459065848801</v>
      </c>
      <c r="L18">
        <v>1.2057310332263733E-3</v>
      </c>
      <c r="M18">
        <v>1.9068583439123634E-4</v>
      </c>
      <c r="N18" s="1">
        <v>6.46492584972805E-6</v>
      </c>
      <c r="O18" s="1">
        <v>1.17485811145053E-6</v>
      </c>
      <c r="P18" s="1">
        <v>-4.4931085814995401E-6</v>
      </c>
      <c r="AE18">
        <v>100</v>
      </c>
      <c r="AJ18">
        <v>1</v>
      </c>
    </row>
    <row r="19" spans="1:36" x14ac:dyDescent="0.2">
      <c r="A19">
        <v>18</v>
      </c>
      <c r="B19">
        <v>746</v>
      </c>
      <c r="C19">
        <v>275</v>
      </c>
      <c r="D19">
        <v>0.29436344012167098</v>
      </c>
      <c r="E19">
        <v>4.2769079521408004</v>
      </c>
      <c r="F19">
        <v>0.56130541879990004</v>
      </c>
      <c r="G19">
        <v>-92.270868214617593</v>
      </c>
      <c r="H19">
        <v>-54.62688818530016</v>
      </c>
      <c r="I19">
        <v>36.939044830181899</v>
      </c>
      <c r="J19">
        <v>16.5887659854289</v>
      </c>
      <c r="K19">
        <v>7.6195736027010899</v>
      </c>
      <c r="L19">
        <v>1.2063323309982942E-3</v>
      </c>
      <c r="M19">
        <v>1.9032491264064461E-4</v>
      </c>
      <c r="N19" s="1">
        <v>6.52843759663336E-6</v>
      </c>
      <c r="O19" s="1">
        <v>1.17365789798396E-6</v>
      </c>
      <c r="P19" s="1">
        <v>-4.50208649029665E-6</v>
      </c>
      <c r="AE19">
        <v>100</v>
      </c>
      <c r="AJ19">
        <v>1</v>
      </c>
    </row>
    <row r="20" spans="1:36" x14ac:dyDescent="0.2">
      <c r="A20">
        <v>19</v>
      </c>
      <c r="B20">
        <v>745</v>
      </c>
      <c r="C20">
        <v>275</v>
      </c>
      <c r="D20">
        <v>0.29360163040809401</v>
      </c>
      <c r="E20">
        <v>4.28789681942117</v>
      </c>
      <c r="F20">
        <v>0.56198311587393401</v>
      </c>
      <c r="G20">
        <v>-92.470918445957494</v>
      </c>
      <c r="H20">
        <v>-54.783878542879528</v>
      </c>
      <c r="I20">
        <v>37.017623828458497</v>
      </c>
      <c r="J20">
        <v>16.638291836084001</v>
      </c>
      <c r="K20">
        <v>7.6299388688094503</v>
      </c>
      <c r="L20">
        <v>1.2069279007246572E-3</v>
      </c>
      <c r="M20">
        <v>1.8996330987391323E-4</v>
      </c>
      <c r="N20" s="1">
        <v>6.5921188601919497E-6</v>
      </c>
      <c r="O20" s="1">
        <v>1.1724160175181499E-6</v>
      </c>
      <c r="P20" s="1">
        <v>-4.5109257195573097E-6</v>
      </c>
      <c r="AE20">
        <v>100</v>
      </c>
      <c r="AJ20">
        <v>1</v>
      </c>
    </row>
    <row r="21" spans="1:36" x14ac:dyDescent="0.2">
      <c r="A21">
        <v>20</v>
      </c>
      <c r="B21">
        <v>744</v>
      </c>
      <c r="C21">
        <v>275</v>
      </c>
      <c r="D21">
        <v>0.29283832276459099</v>
      </c>
      <c r="E21">
        <v>4.2988179177041301</v>
      </c>
      <c r="F21">
        <v>0.56266196465644502</v>
      </c>
      <c r="G21">
        <v>-92.669334392339351</v>
      </c>
      <c r="H21">
        <v>-54.940094970573647</v>
      </c>
      <c r="I21">
        <v>37.0955114480223</v>
      </c>
      <c r="J21">
        <v>16.6875765389279</v>
      </c>
      <c r="K21">
        <v>7.6401430836522701</v>
      </c>
      <c r="L21">
        <v>1.207517708517558E-3</v>
      </c>
      <c r="M21">
        <v>1.896010303611445E-4</v>
      </c>
      <c r="N21" s="1">
        <v>6.6559662443751503E-6</v>
      </c>
      <c r="O21" s="1">
        <v>1.1711328768539599E-6</v>
      </c>
      <c r="P21" s="1">
        <v>-4.5196263591522503E-6</v>
      </c>
      <c r="AE21">
        <v>100</v>
      </c>
      <c r="AJ21">
        <v>1</v>
      </c>
    </row>
    <row r="22" spans="1:36" x14ac:dyDescent="0.2">
      <c r="A22">
        <v>21</v>
      </c>
      <c r="B22">
        <v>743</v>
      </c>
      <c r="C22">
        <v>275</v>
      </c>
      <c r="D22">
        <v>0.29207351276878402</v>
      </c>
      <c r="E22">
        <v>4.3096717144895802</v>
      </c>
      <c r="F22">
        <v>0.563341964088373</v>
      </c>
      <c r="G22">
        <v>-92.866128030186758</v>
      </c>
      <c r="H22">
        <v>-55.095542695021209</v>
      </c>
      <c r="I22">
        <v>37.172712290473498</v>
      </c>
      <c r="J22">
        <v>16.736621267647699</v>
      </c>
      <c r="K22">
        <v>7.6501876111141298</v>
      </c>
      <c r="L22">
        <v>1.2081017206166229E-3</v>
      </c>
      <c r="M22">
        <v>1.8923807842155036E-4</v>
      </c>
      <c r="N22" s="1">
        <v>6.7199763296340499E-6</v>
      </c>
      <c r="O22" s="1">
        <v>1.1698088807783401E-6</v>
      </c>
      <c r="P22" s="1">
        <v>-4.5281884991492099E-6</v>
      </c>
      <c r="AE22">
        <v>100</v>
      </c>
      <c r="AJ22">
        <v>1</v>
      </c>
    </row>
    <row r="23" spans="1:36" x14ac:dyDescent="0.2">
      <c r="A23">
        <v>22</v>
      </c>
      <c r="B23">
        <v>742</v>
      </c>
      <c r="C23">
        <v>275</v>
      </c>
      <c r="D23">
        <v>0.291307195980888</v>
      </c>
      <c r="E23">
        <v>4.3204586714787103</v>
      </c>
      <c r="F23">
        <v>0.56402311308061603</v>
      </c>
      <c r="G23">
        <v>-93.061311193607523</v>
      </c>
      <c r="H23">
        <v>-55.250226874967531</v>
      </c>
      <c r="I23">
        <v>37.249230902229499</v>
      </c>
      <c r="J23">
        <v>16.785427175368898</v>
      </c>
      <c r="K23">
        <v>7.6600738006656499</v>
      </c>
      <c r="L23">
        <v>1.2086799033924221E-3</v>
      </c>
      <c r="M23">
        <v>1.8887445842331581E-4</v>
      </c>
      <c r="N23" s="1">
        <v>6.7841456734049003E-6</v>
      </c>
      <c r="O23" s="1">
        <v>1.1684444321379001E-6</v>
      </c>
      <c r="P23" s="1">
        <v>-4.5366122301085003E-6</v>
      </c>
      <c r="AE23">
        <v>100</v>
      </c>
      <c r="AJ23">
        <v>1</v>
      </c>
    </row>
    <row r="24" spans="1:36" x14ac:dyDescent="0.2">
      <c r="A24">
        <v>23</v>
      </c>
      <c r="B24">
        <v>741</v>
      </c>
      <c r="C24">
        <v>275</v>
      </c>
      <c r="D24">
        <v>0.29053936794360102</v>
      </c>
      <c r="E24">
        <v>4.3311792446715804</v>
      </c>
      <c r="F24">
        <v>0.56470541051391998</v>
      </c>
      <c r="G24">
        <v>-93.254895576758088</v>
      </c>
      <c r="H24">
        <v>-55.404152602406107</v>
      </c>
      <c r="I24">
        <v>37.3250717754579</v>
      </c>
      <c r="J24">
        <v>16.8339953950174</v>
      </c>
      <c r="K24">
        <v>7.6698029875965199</v>
      </c>
      <c r="L24">
        <v>1.2092522233491973E-3</v>
      </c>
      <c r="M24">
        <v>1.8851017478340302E-4</v>
      </c>
      <c r="N24" s="1">
        <v>6.8484708104494801E-6</v>
      </c>
      <c r="O24" s="1">
        <v>1.1670399318787401E-6</v>
      </c>
      <c r="P24" s="1">
        <v>-4.5448976432517199E-6</v>
      </c>
      <c r="AE24">
        <v>100</v>
      </c>
      <c r="AJ24">
        <v>1</v>
      </c>
    </row>
    <row r="25" spans="1:36" x14ac:dyDescent="0.2">
      <c r="A25">
        <v>24</v>
      </c>
      <c r="B25">
        <v>740</v>
      </c>
      <c r="C25">
        <v>275</v>
      </c>
      <c r="D25">
        <v>0.28977002418201098</v>
      </c>
      <c r="E25">
        <v>5.2893071466118302</v>
      </c>
      <c r="F25">
        <v>0.56538885523881099</v>
      </c>
      <c r="G25">
        <v>-113.8388364757097</v>
      </c>
      <c r="H25">
        <v>-67.681022231491383</v>
      </c>
      <c r="I25">
        <v>45.561704693844199</v>
      </c>
      <c r="J25">
        <v>20.5663817268426</v>
      </c>
      <c r="K25">
        <v>9.3551669750860498</v>
      </c>
      <c r="L25">
        <v>1.2098186471282172E-3</v>
      </c>
      <c r="M25">
        <v>1.881452319673947E-4</v>
      </c>
      <c r="N25" s="1">
        <v>8.4214890695520798E-6</v>
      </c>
      <c r="O25" s="1">
        <v>1.41995162607203E-6</v>
      </c>
      <c r="P25" s="1">
        <v>-5.5466084613863398E-6</v>
      </c>
      <c r="AE25">
        <v>100</v>
      </c>
      <c r="AJ25">
        <v>1</v>
      </c>
    </row>
    <row r="26" spans="1:36" x14ac:dyDescent="0.2">
      <c r="A26">
        <v>25</v>
      </c>
      <c r="B26">
        <v>739</v>
      </c>
      <c r="C26">
        <v>275</v>
      </c>
      <c r="D26">
        <v>0.28899916020352701</v>
      </c>
      <c r="E26">
        <v>6.4393561977002003</v>
      </c>
      <c r="F26">
        <v>0.56607344607547905</v>
      </c>
      <c r="G26">
        <v>-138.53525125891633</v>
      </c>
      <c r="H26">
        <v>-82.421886126466504</v>
      </c>
      <c r="I26">
        <v>55.443412663624798</v>
      </c>
      <c r="J26">
        <v>25.048352305467901</v>
      </c>
      <c r="K26">
        <v>11.3754782923373</v>
      </c>
      <c r="L26">
        <v>1.2103791415105361E-3</v>
      </c>
      <c r="M26">
        <v>1.8777963448927704E-4</v>
      </c>
      <c r="N26" s="1">
        <v>1.0323235398261099E-5</v>
      </c>
      <c r="O26" s="1">
        <v>1.7222898945235199E-6</v>
      </c>
      <c r="P26" s="1">
        <v>-6.7480229663172597E-6</v>
      </c>
      <c r="AE26">
        <v>100</v>
      </c>
      <c r="AJ26">
        <v>1</v>
      </c>
    </row>
    <row r="27" spans="1:36" x14ac:dyDescent="0.2">
      <c r="A27">
        <v>26</v>
      </c>
      <c r="B27">
        <v>738</v>
      </c>
      <c r="C27">
        <v>275</v>
      </c>
      <c r="D27">
        <v>0.28822677149780002</v>
      </c>
      <c r="E27">
        <v>9.4972591444357608</v>
      </c>
      <c r="F27">
        <v>0.56675918181370799</v>
      </c>
      <c r="G27">
        <v>-204.24071888265343</v>
      </c>
      <c r="H27">
        <v>-121.59910508374243</v>
      </c>
      <c r="I27">
        <v>81.735695706662597</v>
      </c>
      <c r="J27">
        <v>36.958314411693202</v>
      </c>
      <c r="K27">
        <v>16.757133274917901</v>
      </c>
      <c r="L27">
        <v>1.2109336734201098E-3</v>
      </c>
      <c r="M27">
        <v>1.8741338691124582E-4</v>
      </c>
      <c r="N27" s="1">
        <v>1.5329772008291999E-5</v>
      </c>
      <c r="O27" s="1">
        <v>2.5307250212430199E-6</v>
      </c>
      <c r="P27" s="1">
        <v>-9.9456313423600293E-6</v>
      </c>
      <c r="AE27">
        <v>100</v>
      </c>
      <c r="AJ27">
        <v>1</v>
      </c>
    </row>
    <row r="28" spans="1:36" x14ac:dyDescent="0.2">
      <c r="A28">
        <v>27</v>
      </c>
      <c r="B28">
        <v>737</v>
      </c>
      <c r="C28">
        <v>275</v>
      </c>
      <c r="D28">
        <v>0.28745285353660599</v>
      </c>
      <c r="E28">
        <v>10.1299115165366</v>
      </c>
      <c r="F28">
        <v>0.56744606121277097</v>
      </c>
      <c r="G28">
        <v>-217.75889114447966</v>
      </c>
      <c r="H28">
        <v>-129.73876114226252</v>
      </c>
      <c r="I28">
        <v>87.141441330133901</v>
      </c>
      <c r="J28">
        <v>39.436304612572002</v>
      </c>
      <c r="K28">
        <v>17.8517610905369</v>
      </c>
      <c r="L28">
        <v>1.2114822099271987E-3</v>
      </c>
      <c r="M28">
        <v>1.8704649384357154E-4</v>
      </c>
      <c r="N28" s="1">
        <v>1.6462202835738198E-5</v>
      </c>
      <c r="O28" s="1">
        <v>2.6892365119248702E-6</v>
      </c>
      <c r="P28" s="1">
        <v>-1.0600692845715099E-5</v>
      </c>
      <c r="AE28">
        <v>100</v>
      </c>
      <c r="AJ28">
        <v>1</v>
      </c>
    </row>
    <row r="29" spans="1:36" x14ac:dyDescent="0.2">
      <c r="A29">
        <v>28</v>
      </c>
      <c r="B29">
        <v>736</v>
      </c>
      <c r="C29">
        <v>275</v>
      </c>
      <c r="D29">
        <v>0.28667740177377199</v>
      </c>
      <c r="E29">
        <v>10.3497826489969</v>
      </c>
      <c r="F29">
        <v>0.56813408300133506</v>
      </c>
      <c r="G29">
        <v>-222.39636513101252</v>
      </c>
      <c r="H29">
        <v>-132.5950593763842</v>
      </c>
      <c r="I29">
        <v>88.992943106386093</v>
      </c>
      <c r="J29">
        <v>40.3086282001398</v>
      </c>
      <c r="K29">
        <v>18.217147956202702</v>
      </c>
      <c r="L29">
        <v>1.2120247182506815E-3</v>
      </c>
      <c r="M29">
        <v>1.8667895994427743E-4</v>
      </c>
      <c r="N29" s="1">
        <v>1.6933213844415098E-5</v>
      </c>
      <c r="O29" s="1">
        <v>2.7373167186582999E-6</v>
      </c>
      <c r="P29" s="1">
        <v>-1.0823031022041701E-5</v>
      </c>
      <c r="AE29">
        <v>100</v>
      </c>
      <c r="AJ29">
        <v>1</v>
      </c>
    </row>
    <row r="30" spans="1:36" x14ac:dyDescent="0.2">
      <c r="A30">
        <v>29</v>
      </c>
      <c r="B30">
        <v>763</v>
      </c>
      <c r="C30">
        <v>255</v>
      </c>
      <c r="D30">
        <v>0.32832167157265202</v>
      </c>
      <c r="E30">
        <v>4.41710227816945</v>
      </c>
      <c r="F30">
        <v>0.52739753319155802</v>
      </c>
      <c r="G30">
        <v>-96.110377718449485</v>
      </c>
      <c r="H30">
        <v>-56.08196486319482</v>
      </c>
      <c r="I30">
        <v>38.634310275944003</v>
      </c>
      <c r="J30">
        <v>17.136027254009701</v>
      </c>
      <c r="K30">
        <v>8.3752805050855201</v>
      </c>
      <c r="L30">
        <v>1.2696342789742226E-3</v>
      </c>
      <c r="M30">
        <v>2.2359093538301282E-4</v>
      </c>
      <c r="N30" s="1">
        <v>6.2343324959516801E-6</v>
      </c>
      <c r="O30" s="1">
        <v>1.6929233092844799E-6</v>
      </c>
      <c r="P30" s="1">
        <v>-5.6815654313407398E-6</v>
      </c>
      <c r="AE30">
        <v>100</v>
      </c>
      <c r="AJ30">
        <v>1</v>
      </c>
    </row>
    <row r="31" spans="1:36" x14ac:dyDescent="0.2">
      <c r="A31">
        <v>30</v>
      </c>
      <c r="B31">
        <v>762</v>
      </c>
      <c r="C31">
        <v>255</v>
      </c>
      <c r="D31">
        <v>0.32760517799352901</v>
      </c>
      <c r="E31">
        <v>4.4207428409797904</v>
      </c>
      <c r="F31">
        <v>0.52806778899395401</v>
      </c>
      <c r="G31">
        <v>-96.15093373869307</v>
      </c>
      <c r="H31">
        <v>-56.145341756300802</v>
      </c>
      <c r="I31">
        <v>38.649588758064603</v>
      </c>
      <c r="J31">
        <v>17.1584501531343</v>
      </c>
      <c r="K31">
        <v>8.3715442091288104</v>
      </c>
      <c r="L31">
        <v>1.2704989525719132E-3</v>
      </c>
      <c r="M31">
        <v>2.2319592138663651E-4</v>
      </c>
      <c r="N31" s="1">
        <v>6.2989730022565496E-6</v>
      </c>
      <c r="O31" s="1">
        <v>1.6886802709739399E-6</v>
      </c>
      <c r="P31" s="1">
        <v>-5.6851420510222704E-6</v>
      </c>
      <c r="AE31">
        <v>100</v>
      </c>
      <c r="AJ31">
        <v>1</v>
      </c>
    </row>
    <row r="32" spans="1:36" x14ac:dyDescent="0.2">
      <c r="A32">
        <v>31</v>
      </c>
      <c r="B32">
        <v>761</v>
      </c>
      <c r="C32">
        <v>255</v>
      </c>
      <c r="D32">
        <v>0.32688729874776701</v>
      </c>
      <c r="E32">
        <v>4.4323250932927598</v>
      </c>
      <c r="F32">
        <v>0.52873935224103996</v>
      </c>
      <c r="G32">
        <v>-96.364104605883171</v>
      </c>
      <c r="H32">
        <v>-56.309648919932748</v>
      </c>
      <c r="I32">
        <v>38.7342185703667</v>
      </c>
      <c r="J32">
        <v>17.211715686837</v>
      </c>
      <c r="K32">
        <v>8.3828167404346399</v>
      </c>
      <c r="L32">
        <v>1.271357744778201E-3</v>
      </c>
      <c r="M32">
        <v>2.2279987064379911E-4</v>
      </c>
      <c r="N32" s="1">
        <v>6.3752583998160901E-6</v>
      </c>
      <c r="O32" s="1">
        <v>1.6874455558302099E-6</v>
      </c>
      <c r="P32" s="1">
        <v>-5.6988589244966098E-6</v>
      </c>
      <c r="AE32">
        <v>100</v>
      </c>
      <c r="AJ32">
        <v>1</v>
      </c>
    </row>
    <row r="33" spans="1:36" x14ac:dyDescent="0.2">
      <c r="A33">
        <v>32</v>
      </c>
      <c r="B33">
        <v>760</v>
      </c>
      <c r="C33">
        <v>255</v>
      </c>
      <c r="D33">
        <v>0.32616802981174298</v>
      </c>
      <c r="E33">
        <v>4.44383919123492</v>
      </c>
      <c r="F33">
        <v>0.52941222262725796</v>
      </c>
      <c r="G33">
        <v>-96.575608518239292</v>
      </c>
      <c r="H33">
        <v>-56.473188222738472</v>
      </c>
      <c r="I33">
        <v>38.818141928247599</v>
      </c>
      <c r="J33">
        <v>17.264749151244999</v>
      </c>
      <c r="K33">
        <v>8.3939112119133696</v>
      </c>
      <c r="L33">
        <v>1.2722106074365411E-3</v>
      </c>
      <c r="M33">
        <v>2.2240278677549441E-4</v>
      </c>
      <c r="N33" s="1">
        <v>6.4518789522232896E-6</v>
      </c>
      <c r="O33" s="1">
        <v>1.6861495754193601E-6</v>
      </c>
      <c r="P33" s="1">
        <v>-5.7124123902146297E-6</v>
      </c>
      <c r="AE33">
        <v>100</v>
      </c>
      <c r="AJ33">
        <v>1</v>
      </c>
    </row>
    <row r="34" spans="1:36" x14ac:dyDescent="0.2">
      <c r="A34">
        <v>33</v>
      </c>
      <c r="B34">
        <v>759</v>
      </c>
      <c r="C34">
        <v>255</v>
      </c>
      <c r="D34">
        <v>0.325447367146249</v>
      </c>
      <c r="E34">
        <v>4.4552856667792096</v>
      </c>
      <c r="F34">
        <v>0.53008639981260897</v>
      </c>
      <c r="G34">
        <v>-96.785458972601674</v>
      </c>
      <c r="H34">
        <v>-56.635965686882095</v>
      </c>
      <c r="I34">
        <v>38.901364020504701</v>
      </c>
      <c r="J34">
        <v>17.317551877621401</v>
      </c>
      <c r="K34">
        <v>8.4048292285072801</v>
      </c>
      <c r="L34">
        <v>1.2730574924641835E-3</v>
      </c>
      <c r="M34">
        <v>2.2200467348027275E-4</v>
      </c>
      <c r="N34" s="1">
        <v>6.52883079013055E-6</v>
      </c>
      <c r="O34" s="1">
        <v>1.6847928428516E-6</v>
      </c>
      <c r="P34" s="1">
        <v>-5.7258022613721998E-6</v>
      </c>
      <c r="AE34">
        <v>100</v>
      </c>
      <c r="AJ34">
        <v>1</v>
      </c>
    </row>
    <row r="35" spans="1:36" x14ac:dyDescent="0.2">
      <c r="A35">
        <v>34</v>
      </c>
      <c r="B35">
        <v>758</v>
      </c>
      <c r="C35">
        <v>255</v>
      </c>
      <c r="D35">
        <v>0.32472530669640698</v>
      </c>
      <c r="E35">
        <v>4.4666650460612596</v>
      </c>
      <c r="F35">
        <v>0.530761883422461</v>
      </c>
      <c r="G35">
        <v>-96.993669319225617</v>
      </c>
      <c r="H35">
        <v>-56.79798726742424</v>
      </c>
      <c r="I35">
        <v>38.983889978980102</v>
      </c>
      <c r="J35">
        <v>17.370125176106999</v>
      </c>
      <c r="K35">
        <v>8.4155723791981494</v>
      </c>
      <c r="L35">
        <v>1.2738983518574426E-3</v>
      </c>
      <c r="M35">
        <v>2.2160553453442377E-4</v>
      </c>
      <c r="N35" s="1">
        <v>6.6061099963801996E-6</v>
      </c>
      <c r="O35" s="1">
        <v>1.6833758691519099E-6</v>
      </c>
      <c r="P35" s="1">
        <v>-5.7390283499700703E-6</v>
      </c>
      <c r="AE35">
        <v>100</v>
      </c>
      <c r="AJ35">
        <v>1</v>
      </c>
    </row>
    <row r="36" spans="1:36" x14ac:dyDescent="0.2">
      <c r="A36">
        <v>35</v>
      </c>
      <c r="B36">
        <v>757</v>
      </c>
      <c r="C36">
        <v>255</v>
      </c>
      <c r="D36">
        <v>0.32400184439159502</v>
      </c>
      <c r="E36">
        <v>4.4779778494159297</v>
      </c>
      <c r="F36">
        <v>0.53143867304734604</v>
      </c>
      <c r="G36">
        <v>-97.200252762848166</v>
      </c>
      <c r="H36">
        <v>-56.959258852682339</v>
      </c>
      <c r="I36">
        <v>39.065724878969597</v>
      </c>
      <c r="J36">
        <v>17.422470335840899</v>
      </c>
      <c r="K36">
        <v>8.4261422371438606</v>
      </c>
      <c r="L36">
        <v>1.2747331376960433E-3</v>
      </c>
      <c r="M36">
        <v>2.2120537379198218E-4</v>
      </c>
      <c r="N36" s="1">
        <v>6.68371260617656E-6</v>
      </c>
      <c r="O36" s="1">
        <v>1.68189916330182E-6</v>
      </c>
      <c r="P36" s="1">
        <v>-5.7520904669952496E-6</v>
      </c>
      <c r="AE36">
        <v>100</v>
      </c>
      <c r="AJ36">
        <v>1</v>
      </c>
    </row>
    <row r="37" spans="1:36" x14ac:dyDescent="0.2">
      <c r="A37">
        <v>36</v>
      </c>
      <c r="B37">
        <v>756</v>
      </c>
      <c r="C37">
        <v>255</v>
      </c>
      <c r="D37">
        <v>0.32327697614536499</v>
      </c>
      <c r="E37">
        <v>4.4892245913361597</v>
      </c>
      <c r="F37">
        <v>0.53211676824283005</v>
      </c>
      <c r="G37">
        <v>-97.405222362062318</v>
      </c>
      <c r="H37">
        <v>-57.119786263600034</v>
      </c>
      <c r="I37">
        <v>39.146873738952898</v>
      </c>
      <c r="J37">
        <v>17.474588624797299</v>
      </c>
      <c r="K37">
        <v>8.4365403596669104</v>
      </c>
      <c r="L37">
        <v>1.275561802148877E-3</v>
      </c>
      <c r="M37">
        <v>2.2080419518490647E-4</v>
      </c>
      <c r="N37" s="1">
        <v>6.7616346071708504E-6</v>
      </c>
      <c r="O37" s="1">
        <v>1.6803632322532199E-6</v>
      </c>
      <c r="P37" s="1">
        <v>-5.7649884225111602E-6</v>
      </c>
      <c r="AE37">
        <v>100</v>
      </c>
      <c r="AJ37">
        <v>1</v>
      </c>
    </row>
    <row r="38" spans="1:36" x14ac:dyDescent="0.2">
      <c r="A38">
        <v>37</v>
      </c>
      <c r="B38">
        <v>755</v>
      </c>
      <c r="C38">
        <v>255</v>
      </c>
      <c r="D38">
        <v>0.322550697855369</v>
      </c>
      <c r="E38">
        <v>4.5004057806595501</v>
      </c>
      <c r="F38">
        <v>0.532796168529304</v>
      </c>
      <c r="G38">
        <v>-97.608591033636131</v>
      </c>
      <c r="H38">
        <v>-57.279575256017552</v>
      </c>
      <c r="I38">
        <v>39.2273415223097</v>
      </c>
      <c r="J38">
        <v>17.526481290490398</v>
      </c>
      <c r="K38">
        <v>8.4467682886725193</v>
      </c>
      <c r="L38">
        <v>1.2763842974784598E-3</v>
      </c>
      <c r="M38">
        <v>2.2040200272310212E-4</v>
      </c>
      <c r="N38" s="1">
        <v>6.8398719398770902E-6</v>
      </c>
      <c r="O38" s="1">
        <v>1.6787685810257301E-6</v>
      </c>
      <c r="P38" s="1">
        <v>-5.7777220260332797E-6</v>
      </c>
      <c r="AE38">
        <v>100</v>
      </c>
      <c r="AJ38">
        <v>1</v>
      </c>
    </row>
    <row r="39" spans="1:36" x14ac:dyDescent="0.2">
      <c r="A39">
        <v>38</v>
      </c>
      <c r="B39">
        <v>754</v>
      </c>
      <c r="C39">
        <v>255</v>
      </c>
      <c r="D39">
        <v>0.321823005403299</v>
      </c>
      <c r="E39">
        <v>4.5115219205986801</v>
      </c>
      <c r="F39">
        <v>0.53347687339181105</v>
      </c>
      <c r="G39">
        <v>-97.810371553431992</v>
      </c>
      <c r="H39">
        <v>-57.438631520952853</v>
      </c>
      <c r="I39">
        <v>39.307133137673397</v>
      </c>
      <c r="J39">
        <v>17.5781495600861</v>
      </c>
      <c r="K39">
        <v>8.4568275507703294</v>
      </c>
      <c r="L39">
        <v>1.2772005760462294E-3</v>
      </c>
      <c r="M39">
        <v>2.1999880049450819E-4</v>
      </c>
      <c r="N39" s="1">
        <v>6.9184204978903898E-6</v>
      </c>
      <c r="O39" s="1">
        <v>1.6771157127449299E-6</v>
      </c>
      <c r="P39" s="1">
        <v>-5.7902910867090296E-6</v>
      </c>
      <c r="AE39">
        <v>100</v>
      </c>
      <c r="AJ39">
        <v>1</v>
      </c>
    </row>
    <row r="40" spans="1:36" x14ac:dyDescent="0.2">
      <c r="A40">
        <v>39</v>
      </c>
      <c r="B40">
        <v>753</v>
      </c>
      <c r="C40">
        <v>255</v>
      </c>
      <c r="D40">
        <v>0.321093894654779</v>
      </c>
      <c r="E40">
        <v>4.5225735089469898</v>
      </c>
      <c r="F40">
        <v>0.53415888227988895</v>
      </c>
      <c r="G40">
        <v>-98.010576561129653</v>
      </c>
      <c r="H40">
        <v>-57.596960687122667</v>
      </c>
      <c r="I40">
        <v>39.386253440809398</v>
      </c>
      <c r="J40">
        <v>17.629594641189101</v>
      </c>
      <c r="K40">
        <v>8.4667196577239601</v>
      </c>
      <c r="L40">
        <v>1.2780105903174943E-3</v>
      </c>
      <c r="M40">
        <v>2.1959459266514641E-4</v>
      </c>
      <c r="N40" s="1">
        <v>6.99727612838439E-6</v>
      </c>
      <c r="O40" s="1">
        <v>1.6754051287446801E-6</v>
      </c>
      <c r="P40" s="1">
        <v>-5.8026954137213101E-6</v>
      </c>
      <c r="AE40">
        <v>100</v>
      </c>
      <c r="AJ40">
        <v>1</v>
      </c>
    </row>
    <row r="41" spans="1:36" x14ac:dyDescent="0.2">
      <c r="A41">
        <v>40</v>
      </c>
      <c r="B41">
        <v>752</v>
      </c>
      <c r="C41">
        <v>255</v>
      </c>
      <c r="D41">
        <v>0.3203633614593</v>
      </c>
      <c r="E41">
        <v>4.5335610377156801</v>
      </c>
      <c r="F41">
        <v>0.53484219460739701</v>
      </c>
      <c r="G41">
        <v>-98.209218552611944</v>
      </c>
      <c r="H41">
        <v>-57.754568316218247</v>
      </c>
      <c r="I41">
        <v>39.464707231538803</v>
      </c>
      <c r="J41">
        <v>17.680817720422201</v>
      </c>
      <c r="K41">
        <v>8.4764461058341798</v>
      </c>
      <c r="L41">
        <v>1.2788142928664818E-3</v>
      </c>
      <c r="M41">
        <v>2.1918938347915536E-4</v>
      </c>
      <c r="N41" s="1">
        <v>7.0764346317494603E-6</v>
      </c>
      <c r="O41" s="1">
        <v>1.6736373284574601E-6</v>
      </c>
      <c r="P41" s="1">
        <v>-5.8149348159625197E-6</v>
      </c>
      <c r="AE41">
        <v>100</v>
      </c>
      <c r="AJ41">
        <v>1</v>
      </c>
    </row>
    <row r="42" spans="1:36" x14ac:dyDescent="0.2">
      <c r="A42">
        <v>41</v>
      </c>
      <c r="B42">
        <v>751</v>
      </c>
      <c r="C42">
        <v>255</v>
      </c>
      <c r="D42">
        <v>0.31963140165015202</v>
      </c>
      <c r="E42">
        <v>4.5444849938489202</v>
      </c>
      <c r="F42">
        <v>0.53552680975235101</v>
      </c>
      <c r="G42">
        <v>-98.40630989571919</v>
      </c>
      <c r="H42">
        <v>-57.911459911912928</v>
      </c>
      <c r="I42">
        <v>39.5424992600528</v>
      </c>
      <c r="J42">
        <v>17.7318199662019</v>
      </c>
      <c r="K42">
        <v>8.4860083773405499</v>
      </c>
      <c r="L42">
        <v>1.2796116363814002E-3</v>
      </c>
      <c r="M42">
        <v>2.187831772588207E-4</v>
      </c>
      <c r="N42" s="1">
        <v>7.1558917629086096E-6</v>
      </c>
      <c r="O42" s="1">
        <v>1.67181280970378E-6</v>
      </c>
      <c r="P42" s="1">
        <v>-5.8270091030924002E-6</v>
      </c>
      <c r="AE42">
        <v>100</v>
      </c>
      <c r="AJ42">
        <v>1</v>
      </c>
    </row>
    <row r="43" spans="1:36" x14ac:dyDescent="0.2">
      <c r="A43">
        <v>42</v>
      </c>
      <c r="B43">
        <v>750</v>
      </c>
      <c r="C43">
        <v>255</v>
      </c>
      <c r="D43">
        <v>0.31889801104432502</v>
      </c>
      <c r="E43">
        <v>4.5553458587065601</v>
      </c>
      <c r="F43">
        <v>0.53621272705675704</v>
      </c>
      <c r="G43">
        <v>-98.601862819288769</v>
      </c>
      <c r="H43">
        <v>-58.067640913178401</v>
      </c>
      <c r="I43">
        <v>39.619634222490298</v>
      </c>
      <c r="J43">
        <v>17.7826025267162</v>
      </c>
      <c r="K43">
        <v>8.4954079395142301</v>
      </c>
      <c r="L43">
        <v>1.2804025736697032E-3</v>
      </c>
      <c r="M43">
        <v>2.1837597840461973E-4</v>
      </c>
      <c r="N43" s="1">
        <v>7.2356432307487696E-6</v>
      </c>
      <c r="O43" s="1">
        <v>1.6699320685244499E-6</v>
      </c>
      <c r="P43" s="1">
        <v>-5.8389180850163498E-6</v>
      </c>
      <c r="AE43">
        <v>100</v>
      </c>
      <c r="AJ43">
        <v>1</v>
      </c>
    </row>
    <row r="44" spans="1:36" x14ac:dyDescent="0.2">
      <c r="A44">
        <v>43</v>
      </c>
      <c r="B44">
        <v>749</v>
      </c>
      <c r="C44">
        <v>255</v>
      </c>
      <c r="D44">
        <v>0.31816318544244998</v>
      </c>
      <c r="E44">
        <v>4.56614410853728</v>
      </c>
      <c r="F44">
        <v>0.53689994582643397</v>
      </c>
      <c r="G44">
        <v>-98.795889423649456</v>
      </c>
      <c r="H44">
        <v>-58.223116700213318</v>
      </c>
      <c r="I44">
        <v>39.696116765140502</v>
      </c>
      <c r="J44">
        <v>17.833166531758401</v>
      </c>
      <c r="K44">
        <v>8.5046462456030802</v>
      </c>
      <c r="L44">
        <v>1.2811870576626735E-3</v>
      </c>
      <c r="M44">
        <v>2.1796779139515856E-4</v>
      </c>
      <c r="N44" s="1">
        <v>7.3156846991011804E-6</v>
      </c>
      <c r="O44" s="1">
        <v>1.66799559937673E-6</v>
      </c>
      <c r="P44" s="1">
        <v>-5.8506615726293197E-6</v>
      </c>
      <c r="AE44">
        <v>100</v>
      </c>
      <c r="AJ44">
        <v>1</v>
      </c>
    </row>
    <row r="45" spans="1:36" x14ac:dyDescent="0.2">
      <c r="A45">
        <v>44</v>
      </c>
      <c r="B45">
        <v>748</v>
      </c>
      <c r="C45">
        <v>255</v>
      </c>
      <c r="D45">
        <v>0.31742692062870498</v>
      </c>
      <c r="E45">
        <v>4.5768802142419203</v>
      </c>
      <c r="F45">
        <v>0.537588465330889</v>
      </c>
      <c r="G45">
        <v>-98.98840167574069</v>
      </c>
      <c r="H45">
        <v>-58.37789259133384</v>
      </c>
      <c r="I45">
        <v>39.771951482463898</v>
      </c>
      <c r="J45">
        <v>17.883513091803501</v>
      </c>
      <c r="K45">
        <v>8.5137247344487204</v>
      </c>
      <c r="L45">
        <v>1.281965041421023E-3</v>
      </c>
      <c r="M45">
        <v>2.1755862078722162E-4</v>
      </c>
      <c r="N45" s="1">
        <v>7.3960117866288502E-6</v>
      </c>
      <c r="O45" s="1">
        <v>1.6660038950697401E-6</v>
      </c>
      <c r="P45" s="1">
        <v>-5.8622393776556302E-6</v>
      </c>
      <c r="AE45">
        <v>100</v>
      </c>
      <c r="AJ45">
        <v>1</v>
      </c>
    </row>
    <row r="46" spans="1:36" x14ac:dyDescent="0.2">
      <c r="A46">
        <v>45</v>
      </c>
      <c r="B46">
        <v>747</v>
      </c>
      <c r="C46">
        <v>255</v>
      </c>
      <c r="D46">
        <v>0.316689212370732</v>
      </c>
      <c r="E46">
        <v>4.5875546416852702</v>
      </c>
      <c r="F46">
        <v>0.53827828480312301</v>
      </c>
      <c r="G46">
        <v>-99.179411416100706</v>
      </c>
      <c r="H46">
        <v>-58.53197384685329</v>
      </c>
      <c r="I46">
        <v>39.847142919885798</v>
      </c>
      <c r="J46">
        <v>17.9336432992136</v>
      </c>
      <c r="K46">
        <v>8.5226448311270495</v>
      </c>
      <c r="L46">
        <v>1.2827364781397882E-3</v>
      </c>
      <c r="M46">
        <v>2.1714847121573474E-4</v>
      </c>
      <c r="N46" s="1">
        <v>7.4766200675956198E-6</v>
      </c>
      <c r="O46" s="1">
        <v>1.66395744689944E-6</v>
      </c>
      <c r="P46" s="1">
        <v>-5.8736513131879897E-6</v>
      </c>
      <c r="AE46">
        <v>100</v>
      </c>
      <c r="AJ46">
        <v>1</v>
      </c>
    </row>
    <row r="47" spans="1:36" x14ac:dyDescent="0.2">
      <c r="A47">
        <v>46</v>
      </c>
      <c r="B47">
        <v>746</v>
      </c>
      <c r="C47">
        <v>255</v>
      </c>
      <c r="D47">
        <v>0.31595005641956603</v>
      </c>
      <c r="E47">
        <v>4.5981678515694604</v>
      </c>
      <c r="F47">
        <v>0.53896940343949995</v>
      </c>
      <c r="G47">
        <v>-99.368930356363364</v>
      </c>
      <c r="H47">
        <v>-58.685365667374626</v>
      </c>
      <c r="I47">
        <v>39.921695572774603</v>
      </c>
      <c r="J47">
        <v>17.983558227741899</v>
      </c>
      <c r="K47">
        <v>8.5314079467696704</v>
      </c>
      <c r="L47">
        <v>1.2835013211531974E-3</v>
      </c>
      <c r="M47">
        <v>2.1673734739369369E-4</v>
      </c>
      <c r="N47" s="1">
        <v>7.5575050719629099E-6</v>
      </c>
      <c r="O47" s="1">
        <v>1.6618567446217501E-6</v>
      </c>
      <c r="P47" s="1">
        <v>-5.8848971936646198E-6</v>
      </c>
      <c r="AE47">
        <v>100</v>
      </c>
      <c r="AJ47">
        <v>1</v>
      </c>
    </row>
    <row r="48" spans="1:36" x14ac:dyDescent="0.2">
      <c r="A48">
        <v>47</v>
      </c>
      <c r="B48">
        <v>745</v>
      </c>
      <c r="C48">
        <v>255</v>
      </c>
      <c r="D48">
        <v>0.31520944850955201</v>
      </c>
      <c r="E48">
        <v>4.6087202996483096</v>
      </c>
      <c r="F48">
        <v>0.539661820399579</v>
      </c>
      <c r="G48">
        <v>-99.556970084127641</v>
      </c>
      <c r="H48">
        <v>-58.838073196433669</v>
      </c>
      <c r="I48">
        <v>39.995613888383097</v>
      </c>
      <c r="J48">
        <v>18.033258933366501</v>
      </c>
      <c r="K48">
        <v>8.5400154790195995</v>
      </c>
      <c r="L48">
        <v>1.2842595239402591E-3</v>
      </c>
      <c r="M48">
        <v>2.1632525411217893E-4</v>
      </c>
      <c r="N48" s="1">
        <v>7.6386622860345403E-6</v>
      </c>
      <c r="O48" s="1">
        <v>1.6597022765505801E-6</v>
      </c>
      <c r="P48" s="1">
        <v>-5.8959768352862098E-6</v>
      </c>
      <c r="AE48">
        <v>100</v>
      </c>
      <c r="AJ48">
        <v>1</v>
      </c>
    </row>
    <row r="49" spans="1:36" x14ac:dyDescent="0.2">
      <c r="A49">
        <v>48</v>
      </c>
      <c r="B49">
        <v>744</v>
      </c>
      <c r="C49">
        <v>255</v>
      </c>
      <c r="D49">
        <v>0.31446738435825899</v>
      </c>
      <c r="E49">
        <v>4.6192124366652401</v>
      </c>
      <c r="F49">
        <v>0.54035553480597098</v>
      </c>
      <c r="G49">
        <v>-99.743542061845957</v>
      </c>
      <c r="H49">
        <v>-58.990101519615031</v>
      </c>
      <c r="I49">
        <v>40.068902265387898</v>
      </c>
      <c r="J49">
        <v>18.0827464540424</v>
      </c>
      <c r="K49">
        <v>8.5484688119718992</v>
      </c>
      <c r="L49">
        <v>1.2850110401293165E-3</v>
      </c>
      <c r="M49">
        <v>2.1591219624022352E-4</v>
      </c>
      <c r="N49" s="1">
        <v>7.7200871526724001E-6</v>
      </c>
      <c r="O49" s="1">
        <v>1.6574945295525299E-6</v>
      </c>
      <c r="P49" s="1">
        <v>-5.9068900560721897E-6</v>
      </c>
      <c r="AE49">
        <v>100</v>
      </c>
      <c r="AJ49">
        <v>1</v>
      </c>
    </row>
    <row r="50" spans="1:36" x14ac:dyDescent="0.2">
      <c r="A50">
        <v>49</v>
      </c>
      <c r="B50">
        <v>743</v>
      </c>
      <c r="C50">
        <v>255</v>
      </c>
      <c r="D50">
        <v>0.31372385966638899</v>
      </c>
      <c r="E50">
        <v>5.8987710253635202</v>
      </c>
      <c r="F50">
        <v>0.54105054574419098</v>
      </c>
      <c r="G50">
        <v>-127.32213967745517</v>
      </c>
      <c r="H50">
        <v>-75.353926067349164</v>
      </c>
      <c r="I50">
        <v>51.145588002866397</v>
      </c>
      <c r="J50">
        <v>23.102560049441699</v>
      </c>
      <c r="K50">
        <v>10.9024398399783</v>
      </c>
      <c r="L50">
        <v>1.2857558235033378E-3</v>
      </c>
      <c r="M50">
        <v>2.154981787247599E-4</v>
      </c>
      <c r="N50" s="1">
        <v>9.9404787274405592E-6</v>
      </c>
      <c r="O50" s="1">
        <v>2.1089839307276699E-6</v>
      </c>
      <c r="P50" s="1">
        <v>-7.5398407355221097E-6</v>
      </c>
      <c r="AE50">
        <v>100</v>
      </c>
      <c r="AJ50">
        <v>1</v>
      </c>
    </row>
    <row r="51" spans="1:36" x14ac:dyDescent="0.2">
      <c r="A51">
        <v>50</v>
      </c>
      <c r="B51">
        <v>742</v>
      </c>
      <c r="C51">
        <v>255</v>
      </c>
      <c r="D51">
        <v>0.31297887011771702</v>
      </c>
      <c r="E51">
        <v>7.9479198595130702</v>
      </c>
      <c r="F51">
        <v>0.54174685226250696</v>
      </c>
      <c r="G51">
        <v>-171.48313564084231</v>
      </c>
      <c r="H51">
        <v>-101.56193940232643</v>
      </c>
      <c r="I51">
        <v>68.882179506789797</v>
      </c>
      <c r="J51">
        <v>31.142514608687701</v>
      </c>
      <c r="K51">
        <v>14.6709110100409</v>
      </c>
      <c r="L51">
        <v>1.2864938280053803E-3</v>
      </c>
      <c r="M51">
        <v>2.1508320659058901E-4</v>
      </c>
      <c r="N51" s="1">
        <v>1.3504083795543E-5</v>
      </c>
      <c r="O51" s="1">
        <v>2.8313006558352002E-6</v>
      </c>
      <c r="P51" s="1">
        <v>-1.01544852417755E-5</v>
      </c>
      <c r="AE51">
        <v>100</v>
      </c>
      <c r="AJ51">
        <v>1</v>
      </c>
    </row>
    <row r="52" spans="1:36" x14ac:dyDescent="0.2">
      <c r="A52">
        <v>51</v>
      </c>
      <c r="B52">
        <v>741</v>
      </c>
      <c r="C52">
        <v>255</v>
      </c>
      <c r="D52">
        <v>0.31223241137898899</v>
      </c>
      <c r="E52">
        <v>9.7728599384946193</v>
      </c>
      <c r="F52">
        <v>0.54244445337179503</v>
      </c>
      <c r="G52">
        <v>-210.77309159216429</v>
      </c>
      <c r="H52">
        <v>-124.92011096760608</v>
      </c>
      <c r="I52">
        <v>84.660625405647394</v>
      </c>
      <c r="J52">
        <v>38.310957781852402</v>
      </c>
      <c r="K52">
        <v>18.016333059997599</v>
      </c>
      <c r="L52">
        <v>1.2872250077430353E-3</v>
      </c>
      <c r="M52">
        <v>2.1466728494018672E-4</v>
      </c>
      <c r="N52" s="1">
        <v>1.6740706781595902E-5</v>
      </c>
      <c r="O52" s="1">
        <v>3.4687113008221198E-6</v>
      </c>
      <c r="P52" s="1">
        <v>-1.2480270378282699E-5</v>
      </c>
      <c r="AE52">
        <v>100</v>
      </c>
      <c r="AJ52">
        <v>1</v>
      </c>
    </row>
    <row r="53" spans="1:36" x14ac:dyDescent="0.2">
      <c r="A53">
        <v>52</v>
      </c>
      <c r="B53">
        <v>740</v>
      </c>
      <c r="C53">
        <v>255</v>
      </c>
      <c r="D53">
        <v>0.31148447909983901</v>
      </c>
      <c r="E53">
        <v>10.225674433493101</v>
      </c>
      <c r="F53">
        <v>0.54314334804540298</v>
      </c>
      <c r="G53">
        <v>-220.45046268609602</v>
      </c>
      <c r="H53">
        <v>-130.74823940169728</v>
      </c>
      <c r="I53">
        <v>88.543725058715793</v>
      </c>
      <c r="J53">
        <v>40.104576722320999</v>
      </c>
      <c r="K53">
        <v>18.826842803639199</v>
      </c>
      <c r="L53">
        <v>1.2879493169939194E-3</v>
      </c>
      <c r="M53">
        <v>2.1425041895364161E-4</v>
      </c>
      <c r="N53" s="1">
        <v>1.7658724430634799E-5</v>
      </c>
      <c r="O53" s="1">
        <v>3.6161429012167198E-6</v>
      </c>
      <c r="P53" s="1">
        <v>-1.30522752602718E-5</v>
      </c>
      <c r="AE53">
        <v>100</v>
      </c>
      <c r="AJ53">
        <v>1</v>
      </c>
    </row>
    <row r="54" spans="1:36" x14ac:dyDescent="0.2">
      <c r="A54">
        <v>53</v>
      </c>
      <c r="B54">
        <v>763</v>
      </c>
      <c r="C54">
        <v>235</v>
      </c>
      <c r="D54">
        <v>0.349554118612175</v>
      </c>
      <c r="E54">
        <v>4.7410964009101102</v>
      </c>
      <c r="F54">
        <v>0.50267284594975203</v>
      </c>
      <c r="G54">
        <v>-103.34413991241357</v>
      </c>
      <c r="H54">
        <v>-60.129593422607066</v>
      </c>
      <c r="I54">
        <v>41.7094625645937</v>
      </c>
      <c r="J54">
        <v>18.532920246630901</v>
      </c>
      <c r="K54">
        <v>9.4317734469071297</v>
      </c>
      <c r="L54">
        <v>1.3534439749127909E-3</v>
      </c>
      <c r="M54">
        <v>2.5793133856881224E-4</v>
      </c>
      <c r="N54" s="1">
        <v>6.7535136955872996E-6</v>
      </c>
      <c r="O54" s="1">
        <v>2.4512884765269399E-6</v>
      </c>
      <c r="P54" s="1">
        <v>-7.4812031705186602E-6</v>
      </c>
      <c r="AE54">
        <v>100</v>
      </c>
      <c r="AJ54">
        <v>1</v>
      </c>
    </row>
    <row r="55" spans="1:36" x14ac:dyDescent="0.2">
      <c r="A55">
        <v>54</v>
      </c>
      <c r="B55">
        <v>762</v>
      </c>
      <c r="C55">
        <v>235</v>
      </c>
      <c r="D55">
        <v>0.34885813650195902</v>
      </c>
      <c r="E55">
        <v>4.7461261588401902</v>
      </c>
      <c r="F55">
        <v>0.50335392636169396</v>
      </c>
      <c r="G55">
        <v>-103.41203140323479</v>
      </c>
      <c r="H55">
        <v>-60.211941719365619</v>
      </c>
      <c r="I55">
        <v>41.735792598853102</v>
      </c>
      <c r="J55">
        <v>18.56284604571</v>
      </c>
      <c r="K55">
        <v>9.4290039478698109</v>
      </c>
      <c r="L55">
        <v>1.3545564941607584E-3</v>
      </c>
      <c r="M55">
        <v>2.5748650940065666E-4</v>
      </c>
      <c r="N55" s="1">
        <v>6.8413838493907096E-6</v>
      </c>
      <c r="O55" s="1">
        <v>2.4460020737378798E-6</v>
      </c>
      <c r="P55" s="1">
        <v>-7.4898532297304098E-6</v>
      </c>
      <c r="AE55">
        <v>100</v>
      </c>
      <c r="AJ55">
        <v>1</v>
      </c>
    </row>
    <row r="56" spans="1:36" x14ac:dyDescent="0.2">
      <c r="A56">
        <v>55</v>
      </c>
      <c r="B56">
        <v>761</v>
      </c>
      <c r="C56">
        <v>235</v>
      </c>
      <c r="D56">
        <v>0.34816080839336999</v>
      </c>
      <c r="E56">
        <v>4.7570580976650998</v>
      </c>
      <c r="F56">
        <v>0.50403648868363804</v>
      </c>
      <c r="G56">
        <v>-103.60840146469971</v>
      </c>
      <c r="H56">
        <v>-60.36924099245843</v>
      </c>
      <c r="I56">
        <v>41.813936810908999</v>
      </c>
      <c r="J56">
        <v>18.615880507977799</v>
      </c>
      <c r="K56">
        <v>9.4379240480958604</v>
      </c>
      <c r="L56">
        <v>1.3556624629918162E-3</v>
      </c>
      <c r="M56">
        <v>2.570402157154268E-4</v>
      </c>
      <c r="N56" s="1">
        <v>6.9382854933122196E-6</v>
      </c>
      <c r="O56" s="1">
        <v>2.4437176735390501E-6</v>
      </c>
      <c r="P56" s="1">
        <v>-7.5077245455213697E-6</v>
      </c>
      <c r="AE56">
        <v>100</v>
      </c>
      <c r="AJ56">
        <v>1</v>
      </c>
    </row>
    <row r="57" spans="1:36" x14ac:dyDescent="0.2">
      <c r="A57">
        <v>56</v>
      </c>
      <c r="B57">
        <v>760</v>
      </c>
      <c r="C57">
        <v>235</v>
      </c>
      <c r="D57">
        <v>0.34746213037796903</v>
      </c>
      <c r="E57">
        <v>4.7679293307858099</v>
      </c>
      <c r="F57">
        <v>0.50472053311725495</v>
      </c>
      <c r="G57">
        <v>-103.80327571399786</v>
      </c>
      <c r="H57">
        <v>-60.525865477761933</v>
      </c>
      <c r="I57">
        <v>41.891437582329097</v>
      </c>
      <c r="J57">
        <v>18.6687139063723</v>
      </c>
      <c r="K57">
        <v>9.4466720054722604</v>
      </c>
      <c r="L57">
        <v>1.3567618140700765E-3</v>
      </c>
      <c r="M57">
        <v>2.5659246047312224E-4</v>
      </c>
      <c r="N57" s="1">
        <v>7.0357194064499699E-6</v>
      </c>
      <c r="O57" s="1">
        <v>2.44135260661544E-6</v>
      </c>
      <c r="P57" s="1">
        <v>-7.5254065041464002E-6</v>
      </c>
      <c r="AE57">
        <v>100</v>
      </c>
      <c r="AJ57">
        <v>1</v>
      </c>
    </row>
    <row r="58" spans="1:36" x14ac:dyDescent="0.2">
      <c r="A58">
        <v>57</v>
      </c>
      <c r="B58">
        <v>759</v>
      </c>
      <c r="C58">
        <v>235</v>
      </c>
      <c r="D58">
        <v>0.34676209853219198</v>
      </c>
      <c r="E58">
        <v>4.7787403470515901</v>
      </c>
      <c r="F58">
        <v>0.50540605982187703</v>
      </c>
      <c r="G58">
        <v>-103.99666654098398</v>
      </c>
      <c r="H58">
        <v>-60.681820729553273</v>
      </c>
      <c r="I58">
        <v>41.968299665848498</v>
      </c>
      <c r="J58">
        <v>18.721347316604898</v>
      </c>
      <c r="K58">
        <v>9.4552494062611601</v>
      </c>
      <c r="L58">
        <v>1.3578544800702183E-3</v>
      </c>
      <c r="M58">
        <v>2.5614324675033866E-4</v>
      </c>
      <c r="N58" s="1">
        <v>7.1336808905797897E-6</v>
      </c>
      <c r="O58" s="1">
        <v>2.43890744823923E-6</v>
      </c>
      <c r="P58" s="1">
        <v>-7.5428983924320498E-6</v>
      </c>
      <c r="AE58">
        <v>100</v>
      </c>
      <c r="AJ58">
        <v>1</v>
      </c>
    </row>
    <row r="59" spans="1:36" x14ac:dyDescent="0.2">
      <c r="A59">
        <v>58</v>
      </c>
      <c r="B59">
        <v>758</v>
      </c>
      <c r="C59">
        <v>235</v>
      </c>
      <c r="D59">
        <v>0.34606070891722801</v>
      </c>
      <c r="E59">
        <v>4.7894916302340302</v>
      </c>
      <c r="F59">
        <v>0.50609306891418004</v>
      </c>
      <c r="G59">
        <v>-104.18858620679744</v>
      </c>
      <c r="H59">
        <v>-60.837112244014911</v>
      </c>
      <c r="I59">
        <v>42.044527764148597</v>
      </c>
      <c r="J59">
        <v>18.773781794867901</v>
      </c>
      <c r="K59">
        <v>9.4636578218900596</v>
      </c>
      <c r="L59">
        <v>1.3589403936857751E-3</v>
      </c>
      <c r="M59">
        <v>2.5569257774094056E-4</v>
      </c>
      <c r="N59" s="1">
        <v>7.2321651585987803E-6</v>
      </c>
      <c r="O59" s="1">
        <v>2.43638277243941E-6</v>
      </c>
      <c r="P59" s="1">
        <v>-7.5601994941814998E-6</v>
      </c>
      <c r="AE59">
        <v>100</v>
      </c>
      <c r="AJ59">
        <v>1</v>
      </c>
    </row>
    <row r="60" spans="1:36" x14ac:dyDescent="0.2">
      <c r="A60">
        <v>59</v>
      </c>
      <c r="B60">
        <v>757</v>
      </c>
      <c r="C60">
        <v>235</v>
      </c>
      <c r="D60">
        <v>0.34535795757899301</v>
      </c>
      <c r="E60">
        <v>4.8001836593042801</v>
      </c>
      <c r="F60">
        <v>0.50678156046789502</v>
      </c>
      <c r="G60">
        <v>-104.37904685012923</v>
      </c>
      <c r="H60">
        <v>-60.991745462664667</v>
      </c>
      <c r="I60">
        <v>42.120126532368502</v>
      </c>
      <c r="J60">
        <v>18.826018378916</v>
      </c>
      <c r="K60">
        <v>9.4718988095628802</v>
      </c>
      <c r="L60">
        <v>1.3600194876367277E-3</v>
      </c>
      <c r="M60">
        <v>2.5524045675653163E-4</v>
      </c>
      <c r="N60" s="1">
        <v>7.3311673348893402E-6</v>
      </c>
      <c r="O60" s="1">
        <v>2.4337791521918801E-6</v>
      </c>
      <c r="P60" s="1">
        <v>-7.5773090908630597E-6</v>
      </c>
      <c r="AE60">
        <v>100</v>
      </c>
      <c r="AJ60">
        <v>1</v>
      </c>
    </row>
    <row r="61" spans="1:36" x14ac:dyDescent="0.2">
      <c r="A61">
        <v>60</v>
      </c>
      <c r="B61">
        <v>756</v>
      </c>
      <c r="C61">
        <v>235</v>
      </c>
      <c r="D61">
        <v>0.344653840548026</v>
      </c>
      <c r="E61">
        <v>4.8108169080748899</v>
      </c>
      <c r="F61">
        <v>0.50747153451353499</v>
      </c>
      <c r="G61">
        <v>-104.56806047966273</v>
      </c>
      <c r="H61">
        <v>-61.145725767715433</v>
      </c>
      <c r="I61">
        <v>42.195100575037699</v>
      </c>
      <c r="J61">
        <v>18.878058086671299</v>
      </c>
      <c r="K61">
        <v>9.4799739116136994</v>
      </c>
      <c r="L61">
        <v>1.3610916946776737E-3</v>
      </c>
      <c r="M61">
        <v>2.5478688722703084E-4</v>
      </c>
      <c r="N61" s="1">
        <v>7.4306824547818402E-6</v>
      </c>
      <c r="O61" s="1">
        <v>2.4310971592874202E-6</v>
      </c>
      <c r="P61" s="1">
        <v>-7.5942264613059401E-6</v>
      </c>
      <c r="AE61">
        <v>100</v>
      </c>
      <c r="AJ61">
        <v>1</v>
      </c>
    </row>
    <row r="62" spans="1:36" x14ac:dyDescent="0.2">
      <c r="A62">
        <v>61</v>
      </c>
      <c r="B62">
        <v>755</v>
      </c>
      <c r="C62">
        <v>235</v>
      </c>
      <c r="D62">
        <v>0.34394835383941902</v>
      </c>
      <c r="E62">
        <v>4.8213918458600196</v>
      </c>
      <c r="F62">
        <v>0.50816299103810403</v>
      </c>
      <c r="G62">
        <v>-104.7556389886592</v>
      </c>
      <c r="H62">
        <v>-61.299058490374982</v>
      </c>
      <c r="I62">
        <v>42.269454451943503</v>
      </c>
      <c r="J62">
        <v>18.9299019188113</v>
      </c>
      <c r="K62">
        <v>9.4878846568708397</v>
      </c>
      <c r="L62">
        <v>1.3621569476059765E-3</v>
      </c>
      <c r="M62">
        <v>2.5433187270120048E-4</v>
      </c>
      <c r="N62" s="1">
        <v>7.5307054655766596E-6</v>
      </c>
      <c r="O62" s="1">
        <v>2.4283373647148502E-6</v>
      </c>
      <c r="P62" s="1">
        <v>-7.6109508830033503E-6</v>
      </c>
      <c r="AE62">
        <v>100</v>
      </c>
      <c r="AJ62">
        <v>1</v>
      </c>
    </row>
    <row r="63" spans="1:36" x14ac:dyDescent="0.2">
      <c r="A63">
        <v>62</v>
      </c>
      <c r="B63">
        <v>754</v>
      </c>
      <c r="C63">
        <v>235</v>
      </c>
      <c r="D63">
        <v>0.34324149345275801</v>
      </c>
      <c r="E63">
        <v>4.83190893696879</v>
      </c>
      <c r="F63">
        <v>0.50885592998479501</v>
      </c>
      <c r="G63">
        <v>-104.9417941441662</v>
      </c>
      <c r="H63">
        <v>-61.451748904319118</v>
      </c>
      <c r="I63">
        <v>42.343192673761301</v>
      </c>
      <c r="J63">
        <v>18.9815508567895</v>
      </c>
      <c r="K63">
        <v>9.4956325597171904</v>
      </c>
      <c r="L63">
        <v>1.3632151792697109E-3</v>
      </c>
      <c r="M63">
        <v>2.5387541684712646E-4</v>
      </c>
      <c r="N63" s="1">
        <v>7.6312312258263602E-6</v>
      </c>
      <c r="O63" s="1">
        <v>2.4255003384511701E-6</v>
      </c>
      <c r="P63" s="1">
        <v>-7.6274816315756599E-6</v>
      </c>
      <c r="AE63">
        <v>100</v>
      </c>
      <c r="AJ63">
        <v>1</v>
      </c>
    </row>
    <row r="64" spans="1:36" x14ac:dyDescent="0.2">
      <c r="A64">
        <v>63</v>
      </c>
      <c r="B64">
        <v>753</v>
      </c>
      <c r="C64">
        <v>235</v>
      </c>
      <c r="D64">
        <v>0.342533255372025</v>
      </c>
      <c r="E64">
        <v>4.8423686412168498</v>
      </c>
      <c r="F64">
        <v>0.50955035125273895</v>
      </c>
      <c r="G64">
        <v>-105.12653759835807</v>
      </c>
      <c r="H64">
        <v>-61.603802232108833</v>
      </c>
      <c r="I64">
        <v>42.416319706613301</v>
      </c>
      <c r="J64">
        <v>19.033005864846199</v>
      </c>
      <c r="K64">
        <v>9.5032191211561301</v>
      </c>
      <c r="L64">
        <v>1.3642663225760892E-3</v>
      </c>
      <c r="M64">
        <v>2.5341752345273529E-4</v>
      </c>
      <c r="N64" s="1">
        <v>7.7322545062111005E-6</v>
      </c>
      <c r="O64" s="1">
        <v>2.4225866497658398E-6</v>
      </c>
      <c r="P64" s="1">
        <v>-7.6438179818450605E-6</v>
      </c>
      <c r="AE64">
        <v>100</v>
      </c>
      <c r="AJ64">
        <v>1</v>
      </c>
    </row>
    <row r="65" spans="1:36" x14ac:dyDescent="0.2">
      <c r="A65">
        <v>64</v>
      </c>
      <c r="B65">
        <v>752</v>
      </c>
      <c r="C65">
        <v>235</v>
      </c>
      <c r="D65">
        <v>0.34182363556552797</v>
      </c>
      <c r="E65">
        <v>4.8527714136403004</v>
      </c>
      <c r="F65">
        <v>0.51024625469670704</v>
      </c>
      <c r="G65">
        <v>-105.30988088253852</v>
      </c>
      <c r="H65">
        <v>-61.755223641467374</v>
      </c>
      <c r="I65">
        <v>42.488839969631996</v>
      </c>
      <c r="J65">
        <v>19.0842678888968</v>
      </c>
      <c r="K65">
        <v>9.5106458283065791</v>
      </c>
      <c r="L65">
        <v>1.3653103104994482E-3</v>
      </c>
      <c r="M65">
        <v>2.5295819642620789E-4</v>
      </c>
      <c r="N65" s="1">
        <v>7.8337699892009303E-6</v>
      </c>
      <c r="O65" s="1">
        <v>2.4195968671205199E-6</v>
      </c>
      <c r="P65" s="1">
        <v>-7.6599592076492095E-6</v>
      </c>
      <c r="AE65">
        <v>100</v>
      </c>
      <c r="AJ65">
        <v>1</v>
      </c>
    </row>
    <row r="66" spans="1:36" x14ac:dyDescent="0.2">
      <c r="A66">
        <v>65</v>
      </c>
      <c r="B66">
        <v>751</v>
      </c>
      <c r="C66">
        <v>235</v>
      </c>
      <c r="D66">
        <v>0.34111262998584302</v>
      </c>
      <c r="E66">
        <v>4.8631177048048704</v>
      </c>
      <c r="F66">
        <v>0.51094364012685101</v>
      </c>
      <c r="G66">
        <v>-105.49183541407152</v>
      </c>
      <c r="H66">
        <v>-61.906018249127627</v>
      </c>
      <c r="I66">
        <v>42.560757837742699</v>
      </c>
      <c r="J66">
        <v>19.1353378577518</v>
      </c>
      <c r="K66">
        <v>9.5179141550671105</v>
      </c>
      <c r="L66">
        <v>1.3663470760897449E-3</v>
      </c>
      <c r="M66">
        <v>2.5249743979648435E-4</v>
      </c>
      <c r="N66" s="1">
        <v>7.9357722696990203E-6</v>
      </c>
      <c r="O66" s="1">
        <v>2.4165315583686601E-6</v>
      </c>
      <c r="P66" s="1">
        <v>-7.6759045826028693E-6</v>
      </c>
      <c r="AE66">
        <v>100</v>
      </c>
      <c r="AJ66">
        <v>1</v>
      </c>
    </row>
    <row r="67" spans="1:36" x14ac:dyDescent="0.2">
      <c r="A67">
        <v>66</v>
      </c>
      <c r="B67">
        <v>750</v>
      </c>
      <c r="C67">
        <v>235</v>
      </c>
      <c r="D67">
        <v>0.34040023456971302</v>
      </c>
      <c r="E67">
        <v>4.8734079606924299</v>
      </c>
      <c r="F67">
        <v>0.51164250730841698</v>
      </c>
      <c r="G67">
        <v>-105.67241249413021</v>
      </c>
      <c r="H67">
        <v>-62.056191119306405</v>
      </c>
      <c r="I67">
        <v>42.6320776407373</v>
      </c>
      <c r="J67">
        <v>19.1862166826817</v>
      </c>
      <c r="K67">
        <v>9.5250255619491604</v>
      </c>
      <c r="L67">
        <v>1.3673765524807081E-3</v>
      </c>
      <c r="M67">
        <v>2.520352577136376E-4</v>
      </c>
      <c r="N67" s="1">
        <v>8.0382558550200707E-6</v>
      </c>
      <c r="O67" s="1">
        <v>2.41339129073976E-6</v>
      </c>
      <c r="P67" s="1">
        <v>-7.6916533801865601E-6</v>
      </c>
      <c r="AE67">
        <v>100</v>
      </c>
      <c r="AJ67">
        <v>1</v>
      </c>
    </row>
    <row r="68" spans="1:36" x14ac:dyDescent="0.2">
      <c r="A68">
        <v>67</v>
      </c>
      <c r="B68">
        <v>749</v>
      </c>
      <c r="C68">
        <v>235</v>
      </c>
      <c r="D68">
        <v>0.33968644523797997</v>
      </c>
      <c r="E68">
        <v>4.8836426229255396</v>
      </c>
      <c r="F68">
        <v>0.51234285596148199</v>
      </c>
      <c r="G68">
        <v>-105.85162331277793</v>
      </c>
      <c r="H68">
        <v>-62.205747266478795</v>
      </c>
      <c r="I68">
        <v>42.702803665311301</v>
      </c>
      <c r="J68">
        <v>19.2369052583106</v>
      </c>
      <c r="K68">
        <v>9.5319814965716798</v>
      </c>
      <c r="L68">
        <v>1.3683986728983348E-3</v>
      </c>
      <c r="M68">
        <v>2.5157165444931909E-4</v>
      </c>
      <c r="N68" s="1">
        <v>8.1412151654745798E-6</v>
      </c>
      <c r="O68" s="1">
        <v>2.4101766309929E-6</v>
      </c>
      <c r="P68" s="1">
        <v>-7.7072048743786697E-6</v>
      </c>
      <c r="AE68">
        <v>100</v>
      </c>
      <c r="AJ68">
        <v>1</v>
      </c>
    </row>
    <row r="69" spans="1:36" x14ac:dyDescent="0.2">
      <c r="A69">
        <v>68</v>
      </c>
      <c r="B69">
        <v>748</v>
      </c>
      <c r="C69">
        <v>235</v>
      </c>
      <c r="D69">
        <v>0.33897125789551102</v>
      </c>
      <c r="E69">
        <v>5.0083724550808597</v>
      </c>
      <c r="F69">
        <v>0.51304468576070095</v>
      </c>
      <c r="G69">
        <v>-108.51132465032316</v>
      </c>
      <c r="H69">
        <v>-63.814235972266594</v>
      </c>
      <c r="I69">
        <v>43.774131886916301</v>
      </c>
      <c r="J69">
        <v>19.738867228707299</v>
      </c>
      <c r="K69">
        <v>9.7620589279759198</v>
      </c>
      <c r="L69">
        <v>1.3694133706692495E-3</v>
      </c>
      <c r="M69">
        <v>2.5110663439711011E-4</v>
      </c>
      <c r="N69" s="1">
        <v>8.4376279935240403E-6</v>
      </c>
      <c r="O69" s="1">
        <v>2.4632264869817998E-6</v>
      </c>
      <c r="P69" s="1">
        <v>-7.90332125989794E-6</v>
      </c>
      <c r="AE69">
        <v>100</v>
      </c>
      <c r="AJ69">
        <v>1</v>
      </c>
    </row>
    <row r="70" spans="1:36" x14ac:dyDescent="0.2">
      <c r="A70">
        <v>69</v>
      </c>
      <c r="B70">
        <v>747</v>
      </c>
      <c r="C70">
        <v>235</v>
      </c>
      <c r="D70">
        <v>0.33825466843111501</v>
      </c>
      <c r="E70">
        <v>5.3645346903505899</v>
      </c>
      <c r="F70">
        <v>0.51374799633502</v>
      </c>
      <c r="G70">
        <v>-116.18105375086093</v>
      </c>
      <c r="H70">
        <v>-68.373429499768619</v>
      </c>
      <c r="I70">
        <v>46.866337467296198</v>
      </c>
      <c r="J70">
        <v>21.1539491907346</v>
      </c>
      <c r="K70">
        <v>10.441957396661699</v>
      </c>
      <c r="L70">
        <v>1.3704205792291766E-3</v>
      </c>
      <c r="M70">
        <v>2.5064020207291341E-4</v>
      </c>
      <c r="N70" s="1">
        <v>9.1326483850413107E-6</v>
      </c>
      <c r="O70" s="1">
        <v>2.6292700524657899E-6</v>
      </c>
      <c r="P70" s="1">
        <v>-8.4644533978680396E-6</v>
      </c>
      <c r="AE70">
        <v>100</v>
      </c>
      <c r="AJ70">
        <v>1</v>
      </c>
    </row>
    <row r="71" spans="1:36" x14ac:dyDescent="0.2">
      <c r="A71">
        <v>70</v>
      </c>
      <c r="B71">
        <v>746</v>
      </c>
      <c r="C71">
        <v>235</v>
      </c>
      <c r="D71">
        <v>0.33753667271746202</v>
      </c>
      <c r="E71">
        <v>6.5752328588667002</v>
      </c>
      <c r="F71">
        <v>0.51445278726744403</v>
      </c>
      <c r="G71">
        <v>-142.34401255690813</v>
      </c>
      <c r="H71">
        <v>-83.830262231372046</v>
      </c>
      <c r="I71">
        <v>57.417959159636403</v>
      </c>
      <c r="J71">
        <v>25.942022660020701</v>
      </c>
      <c r="K71">
        <v>12.7810229074499</v>
      </c>
      <c r="L71">
        <v>1.3714202321314191E-3</v>
      </c>
      <c r="M71">
        <v>2.5017236211528074E-4</v>
      </c>
      <c r="N71" s="1">
        <v>1.13104447704045E-5</v>
      </c>
      <c r="O71" s="1">
        <v>3.21145861773681E-6</v>
      </c>
      <c r="P71" s="1">
        <v>-1.0373508098883301E-5</v>
      </c>
      <c r="AE71">
        <v>100</v>
      </c>
      <c r="AJ71">
        <v>1</v>
      </c>
    </row>
    <row r="72" spans="1:36" x14ac:dyDescent="0.2">
      <c r="A72">
        <v>71</v>
      </c>
      <c r="B72">
        <v>745</v>
      </c>
      <c r="C72">
        <v>235</v>
      </c>
      <c r="D72">
        <v>0.33681726661101002</v>
      </c>
      <c r="E72">
        <v>8.7967699746691608</v>
      </c>
      <c r="F72">
        <v>0.51515905809475904</v>
      </c>
      <c r="G72">
        <v>-190.36018678535208</v>
      </c>
      <c r="H72">
        <v>-112.18823983896441</v>
      </c>
      <c r="I72">
        <v>76.783362960615506</v>
      </c>
      <c r="J72">
        <v>34.725517634389099</v>
      </c>
      <c r="K72">
        <v>17.075832864519001</v>
      </c>
      <c r="L72">
        <v>1.3724122630553472E-3</v>
      </c>
      <c r="M72">
        <v>2.4970311928572625E-4</v>
      </c>
      <c r="N72" s="1">
        <v>1.52882929914708E-5</v>
      </c>
      <c r="O72" s="1">
        <v>4.2814916286787903E-6</v>
      </c>
      <c r="P72" s="1">
        <v>-1.38764752874614E-5</v>
      </c>
      <c r="AE72">
        <v>100</v>
      </c>
      <c r="AJ72">
        <v>1</v>
      </c>
    </row>
    <row r="73" spans="1:36" x14ac:dyDescent="0.2">
      <c r="A73">
        <v>72</v>
      </c>
      <c r="B73">
        <v>744</v>
      </c>
      <c r="C73">
        <v>235</v>
      </c>
      <c r="D73">
        <v>0.336096445951927</v>
      </c>
      <c r="E73">
        <v>10.021122460959999</v>
      </c>
      <c r="F73">
        <v>0.51586680830729104</v>
      </c>
      <c r="G73">
        <v>-216.76745719781957</v>
      </c>
      <c r="H73">
        <v>-127.84239841692612</v>
      </c>
      <c r="I73">
        <v>87.431345900342095</v>
      </c>
      <c r="J73">
        <v>39.579850325954801</v>
      </c>
      <c r="K73">
        <v>19.425794215840799</v>
      </c>
      <c r="L73">
        <v>1.3733966058151006E-3</v>
      </c>
      <c r="M73">
        <v>2.4923247846905295E-4</v>
      </c>
      <c r="N73" s="1">
        <v>1.75947496591497E-5</v>
      </c>
      <c r="O73" s="1">
        <v>4.8602822240552204E-6</v>
      </c>
      <c r="P73" s="1">
        <v>-1.5805470937205599E-5</v>
      </c>
      <c r="AE73">
        <v>100</v>
      </c>
      <c r="AJ73">
        <v>1</v>
      </c>
    </row>
    <row r="74" spans="1:36" x14ac:dyDescent="0.2">
      <c r="A74">
        <v>73</v>
      </c>
      <c r="B74">
        <v>743</v>
      </c>
      <c r="C74">
        <v>235</v>
      </c>
      <c r="D74">
        <v>0.33537420656399403</v>
      </c>
      <c r="E74">
        <v>10.322460246885999</v>
      </c>
      <c r="F74">
        <v>0.51657603734864999</v>
      </c>
      <c r="G74">
        <v>-223.19567122367866</v>
      </c>
      <c r="H74">
        <v>-131.7274338455766</v>
      </c>
      <c r="I74">
        <v>90.020316413646597</v>
      </c>
      <c r="J74">
        <v>40.791790141259298</v>
      </c>
      <c r="K74">
        <v>19.982460471582201</v>
      </c>
      <c r="L74">
        <v>1.3743731943679216E-3</v>
      </c>
      <c r="M74">
        <v>2.4876044467360089E-4</v>
      </c>
      <c r="N74" s="1">
        <v>1.83081741636171E-5</v>
      </c>
      <c r="O74" s="1">
        <v>4.98877764652498E-6</v>
      </c>
      <c r="P74" s="1">
        <v>-1.62780774083412E-5</v>
      </c>
      <c r="AE74">
        <v>100</v>
      </c>
      <c r="AJ74">
        <v>1</v>
      </c>
    </row>
    <row r="75" spans="1:36" x14ac:dyDescent="0.2">
      <c r="A75">
        <v>74</v>
      </c>
      <c r="B75">
        <v>763</v>
      </c>
      <c r="C75">
        <v>215</v>
      </c>
      <c r="D75">
        <v>0.37078656565169499</v>
      </c>
      <c r="E75">
        <v>5.0629505146445197</v>
      </c>
      <c r="F75">
        <v>0.47539197770461999</v>
      </c>
      <c r="G75">
        <v>-110.5667768097248</v>
      </c>
      <c r="H75">
        <v>-64.11827298307351</v>
      </c>
      <c r="I75">
        <v>44.8307688634237</v>
      </c>
      <c r="J75">
        <v>19.9364794160557</v>
      </c>
      <c r="K75">
        <v>10.650054590930299</v>
      </c>
      <c r="L75">
        <v>1.4473100247949797E-3</v>
      </c>
      <c r="M75">
        <v>3.0194214858035416E-4</v>
      </c>
      <c r="N75" s="1">
        <v>6.6910798314770697E-6</v>
      </c>
      <c r="O75" s="1">
        <v>3.6304139538991502E-6</v>
      </c>
      <c r="P75" s="1">
        <v>-9.9162773824359896E-6</v>
      </c>
      <c r="AE75">
        <v>100</v>
      </c>
      <c r="AJ75">
        <v>1</v>
      </c>
    </row>
    <row r="76" spans="1:36" x14ac:dyDescent="0.2">
      <c r="A76">
        <v>75</v>
      </c>
      <c r="B76">
        <v>762</v>
      </c>
      <c r="C76">
        <v>215</v>
      </c>
      <c r="D76">
        <v>0.37011109501038603</v>
      </c>
      <c r="E76">
        <v>5.0712293527142096</v>
      </c>
      <c r="F76">
        <v>0.47608086395178001</v>
      </c>
      <c r="G76">
        <v>-110.70267901573349</v>
      </c>
      <c r="H76">
        <v>-64.243093432392186</v>
      </c>
      <c r="I76">
        <v>44.884787375922301</v>
      </c>
      <c r="J76">
        <v>19.981916073737199</v>
      </c>
      <c r="K76">
        <v>10.652033586520799</v>
      </c>
      <c r="L76">
        <v>1.4487730374313445E-3</v>
      </c>
      <c r="M76">
        <v>3.0144701524875521E-4</v>
      </c>
      <c r="N76" s="1">
        <v>6.8106228469619903E-6</v>
      </c>
      <c r="O76" s="1">
        <v>3.6253391927022002E-6</v>
      </c>
      <c r="P76" s="1">
        <v>-9.9372581369190294E-6</v>
      </c>
      <c r="AE76">
        <v>100</v>
      </c>
      <c r="AJ76">
        <v>1</v>
      </c>
    </row>
    <row r="77" spans="1:36" x14ac:dyDescent="0.2">
      <c r="A77">
        <v>76</v>
      </c>
      <c r="B77">
        <v>761</v>
      </c>
      <c r="C77">
        <v>215</v>
      </c>
      <c r="D77">
        <v>0.36943431803897198</v>
      </c>
      <c r="E77">
        <v>5.0814218148070296</v>
      </c>
      <c r="F77">
        <v>0.47677144433496599</v>
      </c>
      <c r="G77">
        <v>-110.88021060221178</v>
      </c>
      <c r="H77">
        <v>-64.392241575051472</v>
      </c>
      <c r="I77">
        <v>44.955641762566103</v>
      </c>
      <c r="J77">
        <v>20.034932635681098</v>
      </c>
      <c r="K77">
        <v>10.6579827193613</v>
      </c>
      <c r="L77">
        <v>1.4502291336466239E-3</v>
      </c>
      <c r="M77">
        <v>3.0094980980395594E-4</v>
      </c>
      <c r="N77" s="1">
        <v>6.9336390769008202E-6</v>
      </c>
      <c r="O77" s="1">
        <v>3.62156542205483E-6</v>
      </c>
      <c r="P77" s="1">
        <v>-9.9618839406540594E-6</v>
      </c>
      <c r="AE77">
        <v>100</v>
      </c>
      <c r="AJ77">
        <v>1</v>
      </c>
    </row>
    <row r="78" spans="1:36" x14ac:dyDescent="0.2">
      <c r="A78">
        <v>77</v>
      </c>
      <c r="B78">
        <v>760</v>
      </c>
      <c r="C78">
        <v>215</v>
      </c>
      <c r="D78">
        <v>0.36875623094420001</v>
      </c>
      <c r="E78">
        <v>5.0915606409630501</v>
      </c>
      <c r="F78">
        <v>0.47746372000387099</v>
      </c>
      <c r="G78">
        <v>-111.05641131582854</v>
      </c>
      <c r="H78">
        <v>-64.540803051944096</v>
      </c>
      <c r="I78">
        <v>45.0259129531441</v>
      </c>
      <c r="J78">
        <v>20.087781620417001</v>
      </c>
      <c r="K78">
        <v>10.663764444598501</v>
      </c>
      <c r="L78">
        <v>1.451678218107348E-3</v>
      </c>
      <c r="M78">
        <v>3.0045053263504822E-4</v>
      </c>
      <c r="N78" s="1">
        <v>7.0575234463788697E-6</v>
      </c>
      <c r="O78" s="1">
        <v>3.6176822731749302E-6</v>
      </c>
      <c r="P78" s="1">
        <v>-9.9862992638382594E-6</v>
      </c>
      <c r="AE78">
        <v>100</v>
      </c>
      <c r="AJ78">
        <v>1</v>
      </c>
    </row>
    <row r="79" spans="1:36" x14ac:dyDescent="0.2">
      <c r="A79">
        <v>78</v>
      </c>
      <c r="B79">
        <v>759</v>
      </c>
      <c r="C79">
        <v>215</v>
      </c>
      <c r="D79">
        <v>0.36807682991813401</v>
      </c>
      <c r="E79">
        <v>5.1016462730591901</v>
      </c>
      <c r="F79">
        <v>0.47815769205716602</v>
      </c>
      <c r="G79">
        <v>-111.23129236136556</v>
      </c>
      <c r="H79">
        <v>-64.688782900550322</v>
      </c>
      <c r="I79">
        <v>45.095605228009099</v>
      </c>
      <c r="J79">
        <v>20.140463802492999</v>
      </c>
      <c r="K79">
        <v>10.669380327461599</v>
      </c>
      <c r="L79">
        <v>1.4531201952791653E-3</v>
      </c>
      <c r="M79">
        <v>2.999491842960999E-4</v>
      </c>
      <c r="N79" s="1">
        <v>7.1822711970700804E-6</v>
      </c>
      <c r="O79" s="1">
        <v>3.6136903306750502E-6</v>
      </c>
      <c r="P79" s="1">
        <v>-1.00105025073998E-5</v>
      </c>
      <c r="AE79">
        <v>100</v>
      </c>
      <c r="AJ79">
        <v>1</v>
      </c>
    </row>
    <row r="80" spans="1:36" x14ac:dyDescent="0.2">
      <c r="A80">
        <v>79</v>
      </c>
      <c r="B80">
        <v>758</v>
      </c>
      <c r="C80">
        <v>215</v>
      </c>
      <c r="D80">
        <v>0.36739611113805198</v>
      </c>
      <c r="E80">
        <v>5.1116791489131099</v>
      </c>
      <c r="F80">
        <v>0.47885336154199698</v>
      </c>
      <c r="G80">
        <v>-111.40486483858898</v>
      </c>
      <c r="H80">
        <v>-64.836186112447308</v>
      </c>
      <c r="I80">
        <v>45.164722826789202</v>
      </c>
      <c r="J80">
        <v>20.192979938440601</v>
      </c>
      <c r="K80">
        <v>10.6748319202616</v>
      </c>
      <c r="L80">
        <v>1.4545549694383625E-3</v>
      </c>
      <c r="M80">
        <v>2.9944576550782094E-4</v>
      </c>
      <c r="N80" s="1">
        <v>7.3078774111239398E-6</v>
      </c>
      <c r="O80" s="1">
        <v>3.60959017932557E-6</v>
      </c>
      <c r="P80" s="1">
        <v>-1.00344920614338E-5</v>
      </c>
      <c r="AE80">
        <v>100</v>
      </c>
      <c r="AJ80">
        <v>1</v>
      </c>
    </row>
    <row r="81" spans="1:36" x14ac:dyDescent="0.2">
      <c r="A81">
        <v>80</v>
      </c>
      <c r="B81">
        <v>757</v>
      </c>
      <c r="C81">
        <v>215</v>
      </c>
      <c r="D81">
        <v>0.36671407076639501</v>
      </c>
      <c r="E81">
        <v>5.1216597020339698</v>
      </c>
      <c r="F81">
        <v>0.47955072945348198</v>
      </c>
      <c r="G81">
        <v>-111.57713973701141</v>
      </c>
      <c r="H81">
        <v>-64.983017630070378</v>
      </c>
      <c r="I81">
        <v>45.233269946249003</v>
      </c>
      <c r="J81">
        <v>20.245330765798698</v>
      </c>
      <c r="K81">
        <v>10.680120761928199</v>
      </c>
      <c r="L81">
        <v>1.4559824446835825E-3</v>
      </c>
      <c r="M81">
        <v>2.9894027715918339E-4</v>
      </c>
      <c r="N81" s="1">
        <v>7.4343370098968004E-6</v>
      </c>
      <c r="O81" s="1">
        <v>3.6053824039820801E-6</v>
      </c>
      <c r="P81" s="1">
        <v>-1.00582663051224E-5</v>
      </c>
      <c r="AE81">
        <v>100</v>
      </c>
      <c r="AJ81">
        <v>1</v>
      </c>
    </row>
    <row r="82" spans="1:36" x14ac:dyDescent="0.2">
      <c r="A82">
        <v>81</v>
      </c>
      <c r="B82">
        <v>756</v>
      </c>
      <c r="C82">
        <v>215</v>
      </c>
      <c r="D82">
        <v>0.36603070495068801</v>
      </c>
      <c r="E82">
        <v>5.1315883620312004</v>
      </c>
      <c r="F82">
        <v>0.48024979673423501</v>
      </c>
      <c r="G82">
        <v>-111.74812794499857</v>
      </c>
      <c r="H82">
        <v>-65.129282351820066</v>
      </c>
      <c r="I82">
        <v>45.301250743968097</v>
      </c>
      <c r="J82">
        <v>20.297517004752802</v>
      </c>
      <c r="K82">
        <v>10.6852483789201</v>
      </c>
      <c r="L82">
        <v>1.4574025249480165E-3</v>
      </c>
      <c r="M82">
        <v>2.9843272030909054E-4</v>
      </c>
      <c r="N82" s="1">
        <v>7.5616447536920401E-6</v>
      </c>
      <c r="O82" s="1">
        <v>3.60106758997874E-6</v>
      </c>
      <c r="P82" s="1">
        <v>-1.00818236079615E-5</v>
      </c>
      <c r="AE82">
        <v>100</v>
      </c>
      <c r="AJ82">
        <v>1</v>
      </c>
    </row>
    <row r="83" spans="1:36" x14ac:dyDescent="0.2">
      <c r="A83">
        <v>82</v>
      </c>
      <c r="B83">
        <v>755</v>
      </c>
      <c r="C83">
        <v>215</v>
      </c>
      <c r="D83">
        <v>0.36534600982346799</v>
      </c>
      <c r="E83">
        <v>5.1414655544046797</v>
      </c>
      <c r="F83">
        <v>0.48095056427386801</v>
      </c>
      <c r="G83">
        <v>-111.91784024538613</v>
      </c>
      <c r="H83">
        <v>-65.274985129325756</v>
      </c>
      <c r="I83">
        <v>45.368669336548898</v>
      </c>
      <c r="J83">
        <v>20.349539357317902</v>
      </c>
      <c r="K83">
        <v>10.6902162848424</v>
      </c>
      <c r="L83">
        <v>1.4588151140113932E-3</v>
      </c>
      <c r="M83">
        <v>2.9792309618794711E-4</v>
      </c>
      <c r="N83" s="1">
        <v>7.6897952406468106E-6</v>
      </c>
      <c r="O83" s="1">
        <v>3.5966463230809302E-6</v>
      </c>
      <c r="P83" s="1">
        <v>-1.01051623297736E-5</v>
      </c>
      <c r="AE83">
        <v>100</v>
      </c>
      <c r="AJ83">
        <v>1</v>
      </c>
    </row>
    <row r="84" spans="1:36" x14ac:dyDescent="0.2">
      <c r="A84">
        <v>83</v>
      </c>
      <c r="B84">
        <v>754</v>
      </c>
      <c r="C84">
        <v>215</v>
      </c>
      <c r="D84">
        <v>0.36465998150221401</v>
      </c>
      <c r="E84">
        <v>5.1512917006310897</v>
      </c>
      <c r="F84">
        <v>0.48165303290848699</v>
      </c>
      <c r="G84">
        <v>-112.08628731755466</v>
      </c>
      <c r="H84">
        <v>-65.42013076846365</v>
      </c>
      <c r="I84">
        <v>45.435529800445501</v>
      </c>
      <c r="J84">
        <v>20.401398507702499</v>
      </c>
      <c r="K84">
        <v>10.6950259806831</v>
      </c>
      <c r="L84">
        <v>1.460220115512193E-3</v>
      </c>
      <c r="M84">
        <v>2.9741140619924414E-4</v>
      </c>
      <c r="N84" s="1">
        <v>7.8187829060952802E-6</v>
      </c>
      <c r="O84" s="1">
        <v>3.5921191896482901E-6</v>
      </c>
      <c r="P84" s="1">
        <v>-1.01282808213152E-5</v>
      </c>
      <c r="AE84">
        <v>100</v>
      </c>
      <c r="AJ84">
        <v>1</v>
      </c>
    </row>
    <row r="85" spans="1:36" x14ac:dyDescent="0.2">
      <c r="A85">
        <v>84</v>
      </c>
      <c r="B85">
        <v>753</v>
      </c>
      <c r="C85">
        <v>215</v>
      </c>
      <c r="D85">
        <v>0.36397261608926701</v>
      </c>
      <c r="E85">
        <v>5.2152469870634999</v>
      </c>
      <c r="F85">
        <v>0.48235720342023503</v>
      </c>
      <c r="G85">
        <v>-113.43189252188985</v>
      </c>
      <c r="H85">
        <v>-66.253008340591137</v>
      </c>
      <c r="I85">
        <v>45.979504620062897</v>
      </c>
      <c r="J85">
        <v>20.667807297186201</v>
      </c>
      <c r="K85">
        <v>10.812001873474401</v>
      </c>
      <c r="L85">
        <v>1.4616174329603194E-3</v>
      </c>
      <c r="M85">
        <v>2.9689765192114539E-4</v>
      </c>
      <c r="N85" s="1">
        <v>8.03204472903466E-6</v>
      </c>
      <c r="O85" s="1">
        <v>3.6251474380435999E-6</v>
      </c>
      <c r="P85" s="1">
        <v>-1.0257742292739199E-5</v>
      </c>
      <c r="AE85">
        <v>100</v>
      </c>
      <c r="AJ85">
        <v>1</v>
      </c>
    </row>
    <row r="86" spans="1:36" x14ac:dyDescent="0.2">
      <c r="A86">
        <v>85</v>
      </c>
      <c r="B86">
        <v>752</v>
      </c>
      <c r="C86">
        <v>215</v>
      </c>
      <c r="D86">
        <v>0.363283909671757</v>
      </c>
      <c r="E86">
        <v>5.3690599769403402</v>
      </c>
      <c r="F86">
        <v>0.48306307653678698</v>
      </c>
      <c r="G86">
        <v>-116.73000782865726</v>
      </c>
      <c r="H86">
        <v>-68.228288746535142</v>
      </c>
      <c r="I86">
        <v>47.314823770120398</v>
      </c>
      <c r="J86">
        <v>21.290853777973599</v>
      </c>
      <c r="K86">
        <v>11.1146147112559</v>
      </c>
      <c r="L86">
        <v>1.4630069697494129E-3</v>
      </c>
      <c r="M86">
        <v>2.9638183510798235E-4</v>
      </c>
      <c r="N86" s="1">
        <v>8.3890351247954999E-6</v>
      </c>
      <c r="O86" s="1">
        <v>3.7201256473423399E-6</v>
      </c>
      <c r="P86" s="1">
        <v>-1.05639538185422E-5</v>
      </c>
      <c r="AE86">
        <v>100</v>
      </c>
      <c r="AJ86">
        <v>1</v>
      </c>
    </row>
    <row r="87" spans="1:36" x14ac:dyDescent="0.2">
      <c r="A87">
        <v>86</v>
      </c>
      <c r="B87">
        <v>751</v>
      </c>
      <c r="C87">
        <v>215</v>
      </c>
      <c r="D87">
        <v>0.36259385832153801</v>
      </c>
      <c r="E87">
        <v>5.5359720128384202</v>
      </c>
      <c r="F87">
        <v>0.48377065293088001</v>
      </c>
      <c r="G87">
        <v>-120.31010701124808</v>
      </c>
      <c r="H87">
        <v>-70.371312947504421</v>
      </c>
      <c r="I87">
        <v>48.764304141851298</v>
      </c>
      <c r="J87">
        <v>21.966636742431401</v>
      </c>
      <c r="K87">
        <v>11.4433812371611</v>
      </c>
      <c r="L87">
        <v>1.4643886291698998E-3</v>
      </c>
      <c r="M87">
        <v>2.9586395769182205E-4</v>
      </c>
      <c r="N87" s="1">
        <v>8.7741619935006408E-6</v>
      </c>
      <c r="O87" s="1">
        <v>3.8234385505264301E-6</v>
      </c>
      <c r="P87" s="1">
        <v>-1.08960082011374E-5</v>
      </c>
      <c r="AE87">
        <v>100</v>
      </c>
      <c r="AJ87">
        <v>1</v>
      </c>
    </row>
    <row r="88" spans="1:36" x14ac:dyDescent="0.2">
      <c r="A88">
        <v>87</v>
      </c>
      <c r="B88">
        <v>750</v>
      </c>
      <c r="C88">
        <v>215</v>
      </c>
      <c r="D88">
        <v>0.36190245809509802</v>
      </c>
      <c r="E88">
        <v>6.4617299724998301</v>
      </c>
      <c r="F88">
        <v>0.48447993321983401</v>
      </c>
      <c r="G88">
        <v>-140.372167748735</v>
      </c>
      <c r="H88">
        <v>-82.164867951386697</v>
      </c>
      <c r="I88">
        <v>56.893903724805</v>
      </c>
      <c r="J88">
        <v>25.656233461172501</v>
      </c>
      <c r="K88">
        <v>13.3374563721461</v>
      </c>
      <c r="L88">
        <v>1.4657623144217514E-3</v>
      </c>
      <c r="M88">
        <v>2.9534402178392054E-4</v>
      </c>
      <c r="N88" s="1">
        <v>1.0387121415021601E-5</v>
      </c>
      <c r="O88" s="1">
        <v>4.4483830956821798E-6</v>
      </c>
      <c r="P88" s="1">
        <v>-1.2722180061532101E-5</v>
      </c>
      <c r="AE88">
        <v>100</v>
      </c>
      <c r="AJ88">
        <v>1</v>
      </c>
    </row>
    <row r="89" spans="1:36" x14ac:dyDescent="0.2">
      <c r="A89">
        <v>88</v>
      </c>
      <c r="B89">
        <v>749</v>
      </c>
      <c r="C89">
        <v>215</v>
      </c>
      <c r="D89">
        <v>0.36120970503350902</v>
      </c>
      <c r="E89">
        <v>8.27007618739359</v>
      </c>
      <c r="F89">
        <v>0.48519091796507702</v>
      </c>
      <c r="G89">
        <v>-179.58319422763248</v>
      </c>
      <c r="H89">
        <v>-105.19194809084138</v>
      </c>
      <c r="I89">
        <v>72.783817230569198</v>
      </c>
      <c r="J89">
        <v>32.8569732712972</v>
      </c>
      <c r="K89">
        <v>17.0449937976556</v>
      </c>
      <c r="L89">
        <v>1.4671279286276315E-3</v>
      </c>
      <c r="M89">
        <v>2.9482202967621974E-4</v>
      </c>
      <c r="N89" s="1">
        <v>1.34811921531294E-5</v>
      </c>
      <c r="O89" s="1">
        <v>5.67476996101911E-6</v>
      </c>
      <c r="P89" s="1">
        <v>-1.6287531861812701E-5</v>
      </c>
      <c r="AE89">
        <v>100</v>
      </c>
      <c r="AJ89">
        <v>1</v>
      </c>
    </row>
    <row r="90" spans="1:36" x14ac:dyDescent="0.2">
      <c r="A90">
        <v>89</v>
      </c>
      <c r="B90">
        <v>748</v>
      </c>
      <c r="C90">
        <v>215</v>
      </c>
      <c r="D90">
        <v>0.36051559516231801</v>
      </c>
      <c r="E90">
        <v>9.7367656578921196</v>
      </c>
      <c r="F90">
        <v>0.48590360767167601</v>
      </c>
      <c r="G90">
        <v>-211.34641523138183</v>
      </c>
      <c r="H90">
        <v>-123.88632775201384</v>
      </c>
      <c r="I90">
        <v>85.654075752419601</v>
      </c>
      <c r="J90">
        <v>38.708490967808899</v>
      </c>
      <c r="K90">
        <v>20.038471631334701</v>
      </c>
      <c r="L90">
        <v>1.4684853748459874E-3</v>
      </c>
      <c r="M90">
        <v>2.942979838427493E-4</v>
      </c>
      <c r="N90" s="1">
        <v>1.6093285287374599E-5</v>
      </c>
      <c r="O90" s="1">
        <v>6.6593374892313398E-6</v>
      </c>
      <c r="P90" s="1">
        <v>-1.9181708962166902E-5</v>
      </c>
      <c r="AE90">
        <v>100</v>
      </c>
      <c r="AJ90">
        <v>1</v>
      </c>
    </row>
    <row r="91" spans="1:36" x14ac:dyDescent="0.2">
      <c r="A91">
        <v>90</v>
      </c>
      <c r="B91">
        <v>747</v>
      </c>
      <c r="C91">
        <v>215</v>
      </c>
      <c r="D91">
        <v>0.35982012449149797</v>
      </c>
      <c r="E91">
        <v>10.2414357700205</v>
      </c>
      <c r="F91">
        <v>0.48661800278787198</v>
      </c>
      <c r="G91">
        <v>-222.21072030846889</v>
      </c>
      <c r="H91">
        <v>-130.34825610826073</v>
      </c>
      <c r="I91">
        <v>90.053742075824104</v>
      </c>
      <c r="J91">
        <v>40.740407233547003</v>
      </c>
      <c r="K91">
        <v>21.046150597278601</v>
      </c>
      <c r="L91">
        <v>1.4698345560846511E-3</v>
      </c>
      <c r="M91">
        <v>2.9377188694107941E-4</v>
      </c>
      <c r="N91" s="1">
        <v>1.7160972566570402E-5</v>
      </c>
      <c r="O91" s="1">
        <v>6.9814695423078497E-6</v>
      </c>
      <c r="P91" s="1">
        <v>-2.01815236893011E-5</v>
      </c>
      <c r="AE91">
        <v>100</v>
      </c>
      <c r="AJ91">
        <v>1</v>
      </c>
    </row>
    <row r="92" spans="1:36" x14ac:dyDescent="0.2">
      <c r="A92">
        <v>91</v>
      </c>
      <c r="B92">
        <v>746</v>
      </c>
      <c r="C92">
        <v>215</v>
      </c>
      <c r="D92">
        <v>0.35912328901535701</v>
      </c>
      <c r="E92">
        <v>10.422729209196</v>
      </c>
      <c r="F92">
        <v>0.48733410370461799</v>
      </c>
      <c r="G92">
        <v>-226.05265703034684</v>
      </c>
      <c r="H92">
        <v>-132.6971497302269</v>
      </c>
      <c r="I92">
        <v>91.607194059561706</v>
      </c>
      <c r="J92">
        <v>41.487615875923701</v>
      </c>
      <c r="K92">
        <v>21.387235430404999</v>
      </c>
      <c r="L92">
        <v>1.4711753753141193E-3</v>
      </c>
      <c r="M92">
        <v>2.9324374181369332E-4</v>
      </c>
      <c r="N92" s="1">
        <v>1.77033078626083E-5</v>
      </c>
      <c r="O92" s="1">
        <v>7.0815649802509103E-6</v>
      </c>
      <c r="P92" s="1">
        <v>-2.05441766630555E-5</v>
      </c>
      <c r="AE92">
        <v>100</v>
      </c>
      <c r="AJ92">
        <v>1</v>
      </c>
    </row>
    <row r="93" spans="1:36" x14ac:dyDescent="0.2">
      <c r="A93">
        <v>92</v>
      </c>
      <c r="B93">
        <v>764</v>
      </c>
      <c r="C93">
        <v>195</v>
      </c>
      <c r="D93">
        <v>0.39267270886564198</v>
      </c>
      <c r="E93">
        <v>5.3855720407537397</v>
      </c>
      <c r="F93">
        <v>0.44440269675722899</v>
      </c>
      <c r="G93">
        <v>-117.89434386844529</v>
      </c>
      <c r="H93">
        <v>-68.053304567137033</v>
      </c>
      <c r="I93">
        <v>48.058739098820702</v>
      </c>
      <c r="J93">
        <v>21.3229873944262</v>
      </c>
      <c r="K93">
        <v>12.118675426706</v>
      </c>
      <c r="L93">
        <v>1.5485810932715299E-3</v>
      </c>
      <c r="M93">
        <v>3.5976516170569946E-4</v>
      </c>
      <c r="N93" s="1">
        <v>5.2523501041378404E-6</v>
      </c>
      <c r="O93" s="1">
        <v>5.5374682012269202E-6</v>
      </c>
      <c r="P93" s="1">
        <v>-1.3208975250460001E-5</v>
      </c>
      <c r="AE93">
        <v>100</v>
      </c>
      <c r="AJ93">
        <v>1</v>
      </c>
    </row>
    <row r="94" spans="1:36" x14ac:dyDescent="0.2">
      <c r="A94">
        <v>93</v>
      </c>
      <c r="B94">
        <v>763</v>
      </c>
      <c r="C94">
        <v>195</v>
      </c>
      <c r="D94">
        <v>0.39201901269121803</v>
      </c>
      <c r="E94">
        <v>5.3906595964308304</v>
      </c>
      <c r="F94">
        <v>0.44509186028334202</v>
      </c>
      <c r="G94">
        <v>-117.95762056002687</v>
      </c>
      <c r="H94">
        <v>-68.13894328833905</v>
      </c>
      <c r="I94">
        <v>48.083542091524698</v>
      </c>
      <c r="J94">
        <v>21.3593075897682</v>
      </c>
      <c r="K94">
        <v>12.111341674501</v>
      </c>
      <c r="L94">
        <v>1.5505426861681802E-3</v>
      </c>
      <c r="M94">
        <v>3.5923088021766502E-4</v>
      </c>
      <c r="N94" s="1">
        <v>5.3981754300431998E-6</v>
      </c>
      <c r="O94" s="1">
        <v>5.5275162689837502E-6</v>
      </c>
      <c r="P94" s="1">
        <v>-1.32343515286035E-5</v>
      </c>
      <c r="AE94">
        <v>100</v>
      </c>
      <c r="AJ94">
        <v>1</v>
      </c>
    </row>
    <row r="95" spans="1:36" x14ac:dyDescent="0.2">
      <c r="A95">
        <v>94</v>
      </c>
      <c r="B95">
        <v>762</v>
      </c>
      <c r="C95">
        <v>195</v>
      </c>
      <c r="D95">
        <v>0.39136405351881698</v>
      </c>
      <c r="E95">
        <v>5.4000709781726197</v>
      </c>
      <c r="F95">
        <v>0.44578296558609498</v>
      </c>
      <c r="G95">
        <v>-118.11540187265643</v>
      </c>
      <c r="H95">
        <v>-68.279309612146733</v>
      </c>
      <c r="I95">
        <v>48.146821728953</v>
      </c>
      <c r="J95">
        <v>21.412806916495299</v>
      </c>
      <c r="K95">
        <v>12.113677271344001</v>
      </c>
      <c r="L95">
        <v>1.5524979899906154E-3</v>
      </c>
      <c r="M95">
        <v>3.5869371759654083E-4</v>
      </c>
      <c r="N95" s="1">
        <v>5.5496930714812396E-6</v>
      </c>
      <c r="O95" s="1">
        <v>5.5219072257422201E-6</v>
      </c>
      <c r="P95" s="1">
        <v>-1.32702493383441E-5</v>
      </c>
      <c r="AE95">
        <v>100</v>
      </c>
      <c r="AJ95">
        <v>1</v>
      </c>
    </row>
    <row r="96" spans="1:36" x14ac:dyDescent="0.2">
      <c r="A96">
        <v>95</v>
      </c>
      <c r="B96">
        <v>761</v>
      </c>
      <c r="C96">
        <v>195</v>
      </c>
      <c r="D96">
        <v>0.39070782768457202</v>
      </c>
      <c r="E96">
        <v>5.40943506697384</v>
      </c>
      <c r="F96">
        <v>0.446476015552418</v>
      </c>
      <c r="G96">
        <v>-118.27200203414675</v>
      </c>
      <c r="H96">
        <v>-68.419168617086228</v>
      </c>
      <c r="I96">
        <v>48.209572139421901</v>
      </c>
      <c r="J96">
        <v>21.466177803250499</v>
      </c>
      <c r="K96">
        <v>12.115846940357599</v>
      </c>
      <c r="L96">
        <v>1.5544468733252968E-3</v>
      </c>
      <c r="M96">
        <v>3.5815366764228428E-4</v>
      </c>
      <c r="N96" s="1">
        <v>5.70263813857741E-6</v>
      </c>
      <c r="O96" s="1">
        <v>5.5161467093422398E-6</v>
      </c>
      <c r="P96" s="1">
        <v>-1.33059440288286E-5</v>
      </c>
      <c r="AE96">
        <v>100</v>
      </c>
      <c r="AJ96">
        <v>1</v>
      </c>
    </row>
    <row r="97" spans="1:36" x14ac:dyDescent="0.2">
      <c r="A97">
        <v>96</v>
      </c>
      <c r="B97">
        <v>760</v>
      </c>
      <c r="C97">
        <v>195</v>
      </c>
      <c r="D97">
        <v>0.39005033151043</v>
      </c>
      <c r="E97">
        <v>5.4187522593676203</v>
      </c>
      <c r="F97">
        <v>0.44717101301297602</v>
      </c>
      <c r="G97">
        <v>-118.42743111890131</v>
      </c>
      <c r="H97">
        <v>-68.558524844050737</v>
      </c>
      <c r="I97">
        <v>48.271797142373202</v>
      </c>
      <c r="J97">
        <v>21.5194207261125</v>
      </c>
      <c r="K97">
        <v>12.1178522347788</v>
      </c>
      <c r="L97">
        <v>1.5563892040219203E-3</v>
      </c>
      <c r="M97">
        <v>3.5761072435080087E-4</v>
      </c>
      <c r="N97" s="1">
        <v>5.8570088722282999E-6</v>
      </c>
      <c r="O97" s="1">
        <v>5.5102351721492602E-6</v>
      </c>
      <c r="P97" s="1">
        <v>-1.3341432761891399E-5</v>
      </c>
      <c r="AE97">
        <v>100</v>
      </c>
      <c r="AJ97">
        <v>1</v>
      </c>
    </row>
    <row r="98" spans="1:36" x14ac:dyDescent="0.2">
      <c r="A98">
        <v>97</v>
      </c>
      <c r="B98">
        <v>759</v>
      </c>
      <c r="C98">
        <v>195</v>
      </c>
      <c r="D98">
        <v>0.38939156130407598</v>
      </c>
      <c r="E98">
        <v>5.4280229484857996</v>
      </c>
      <c r="F98">
        <v>0.44786796074135798</v>
      </c>
      <c r="G98">
        <v>-118.58169911212001</v>
      </c>
      <c r="H98">
        <v>-68.697382795661312</v>
      </c>
      <c r="I98">
        <v>48.333500522703602</v>
      </c>
      <c r="J98">
        <v>21.572536141306301</v>
      </c>
      <c r="K98">
        <v>12.119694696402799</v>
      </c>
      <c r="L98">
        <v>1.558324849206414E-3</v>
      </c>
      <c r="M98">
        <v>3.5706488191763049E-4</v>
      </c>
      <c r="N98" s="1">
        <v>6.0128032590281701E-6</v>
      </c>
      <c r="O98" s="1">
        <v>5.50417306679661E-6</v>
      </c>
      <c r="P98" s="1">
        <v>-1.3376712664328099E-5</v>
      </c>
      <c r="AE98">
        <v>100</v>
      </c>
      <c r="AJ98">
        <v>1</v>
      </c>
    </row>
    <row r="99" spans="1:36" x14ac:dyDescent="0.2">
      <c r="A99">
        <v>98</v>
      </c>
      <c r="B99">
        <v>758</v>
      </c>
      <c r="C99">
        <v>195</v>
      </c>
      <c r="D99">
        <v>0.38873151335887302</v>
      </c>
      <c r="E99">
        <v>5.4932687401300901</v>
      </c>
      <c r="F99">
        <v>0.44856686145323699</v>
      </c>
      <c r="G99">
        <v>-119.95816812040381</v>
      </c>
      <c r="H99">
        <v>-69.54497752308491</v>
      </c>
      <c r="I99">
        <v>48.8933076497283</v>
      </c>
      <c r="J99">
        <v>21.848337254809199</v>
      </c>
      <c r="K99">
        <v>12.246265188501299</v>
      </c>
      <c r="L99">
        <v>1.5602536752947851E-3</v>
      </c>
      <c r="M99">
        <v>3.5651613474174551E-4</v>
      </c>
      <c r="N99" s="1">
        <v>6.2335901576642802E-6</v>
      </c>
      <c r="O99" s="1">
        <v>5.55460760584182E-6</v>
      </c>
      <c r="P99" s="1">
        <v>-1.3549965501421301E-5</v>
      </c>
      <c r="AE99">
        <v>100</v>
      </c>
      <c r="AJ99">
        <v>1</v>
      </c>
    </row>
    <row r="100" spans="1:36" x14ac:dyDescent="0.2">
      <c r="A100">
        <v>99</v>
      </c>
      <c r="B100">
        <v>757</v>
      </c>
      <c r="C100">
        <v>195</v>
      </c>
      <c r="D100">
        <v>0.388070183953793</v>
      </c>
      <c r="E100">
        <v>5.6330780406049596</v>
      </c>
      <c r="F100">
        <v>0.449267717805515</v>
      </c>
      <c r="G100">
        <v>-122.96109920678215</v>
      </c>
      <c r="H100">
        <v>-71.337381094388391</v>
      </c>
      <c r="I100">
        <v>50.115945935600799</v>
      </c>
      <c r="J100">
        <v>22.421314962211</v>
      </c>
      <c r="K100">
        <v>12.5383547879206</v>
      </c>
      <c r="L100">
        <v>1.5621755480064619E-3</v>
      </c>
      <c r="M100">
        <v>3.5596447742919303E-4</v>
      </c>
      <c r="N100" s="1">
        <v>6.5455396693237403E-6</v>
      </c>
      <c r="O100" s="1">
        <v>5.6797987195571803E-6</v>
      </c>
      <c r="P100" s="1">
        <v>-1.3907456978733901E-5</v>
      </c>
      <c r="AE100">
        <v>100</v>
      </c>
      <c r="AJ100">
        <v>1</v>
      </c>
    </row>
    <row r="101" spans="1:36" x14ac:dyDescent="0.2">
      <c r="A101">
        <v>100</v>
      </c>
      <c r="B101">
        <v>756</v>
      </c>
      <c r="C101">
        <v>195</v>
      </c>
      <c r="D101">
        <v>0.38740756935335302</v>
      </c>
      <c r="E101">
        <v>5.7815129364456999</v>
      </c>
      <c r="F101">
        <v>0.44997053239551899</v>
      </c>
      <c r="G101">
        <v>-126.14977062013547</v>
      </c>
      <c r="H101">
        <v>-73.240183553996374</v>
      </c>
      <c r="I101">
        <v>51.414172475214301</v>
      </c>
      <c r="J101">
        <v>23.0294898286323</v>
      </c>
      <c r="K101">
        <v>12.8486479007114</v>
      </c>
      <c r="L101">
        <v>1.5640903323792695E-3</v>
      </c>
      <c r="M101">
        <v>3.5540990479693144E-4</v>
      </c>
      <c r="N101" s="1">
        <v>6.8763846030393397E-6</v>
      </c>
      <c r="O101" s="1">
        <v>5.81280514449053E-6</v>
      </c>
      <c r="P101" s="1">
        <v>-1.42867349042856E-5</v>
      </c>
      <c r="AE101">
        <v>100</v>
      </c>
      <c r="AJ101">
        <v>1</v>
      </c>
    </row>
    <row r="102" spans="1:36" x14ac:dyDescent="0.2">
      <c r="A102">
        <v>101</v>
      </c>
      <c r="B102">
        <v>755</v>
      </c>
      <c r="C102">
        <v>195</v>
      </c>
      <c r="D102">
        <v>0.38674366580751801</v>
      </c>
      <c r="E102">
        <v>5.9446097705768599</v>
      </c>
      <c r="F102">
        <v>0.45067530776014297</v>
      </c>
      <c r="G102">
        <v>-129.65561031908678</v>
      </c>
      <c r="H102">
        <v>-75.32998169641634</v>
      </c>
      <c r="I102">
        <v>52.8415411111433</v>
      </c>
      <c r="J102">
        <v>23.697001382651401</v>
      </c>
      <c r="K102">
        <v>13.190449239656701</v>
      </c>
      <c r="L102">
        <v>1.5659978927838459E-3</v>
      </c>
      <c r="M102">
        <v>3.5485241187653392E-4</v>
      </c>
      <c r="N102" s="1">
        <v>7.2342537848315301E-6</v>
      </c>
      <c r="O102" s="1">
        <v>5.9595996599703002E-6</v>
      </c>
      <c r="P102" s="1">
        <v>-1.47027711183187E-5</v>
      </c>
      <c r="AE102">
        <v>100</v>
      </c>
      <c r="AJ102">
        <v>1</v>
      </c>
    </row>
    <row r="103" spans="1:36" x14ac:dyDescent="0.2">
      <c r="A103">
        <v>102</v>
      </c>
      <c r="B103">
        <v>754</v>
      </c>
      <c r="C103">
        <v>195</v>
      </c>
      <c r="D103">
        <v>0.38607846955167302</v>
      </c>
      <c r="E103">
        <v>6.7277866186580297</v>
      </c>
      <c r="F103">
        <v>0.45138204637499801</v>
      </c>
      <c r="G103">
        <v>-146.67739090587466</v>
      </c>
      <c r="H103">
        <v>-85.281212864798533</v>
      </c>
      <c r="I103">
        <v>59.777080361887499</v>
      </c>
      <c r="J103">
        <v>26.839176639770798</v>
      </c>
      <c r="K103">
        <v>14.904860910371101</v>
      </c>
      <c r="L103">
        <v>1.5678980929386649E-3</v>
      </c>
      <c r="M103">
        <v>3.5429199391792557E-4</v>
      </c>
      <c r="N103" s="1">
        <v>8.3739978108272404E-6</v>
      </c>
      <c r="O103" s="1">
        <v>6.7252393297407704E-6</v>
      </c>
      <c r="P103" s="1">
        <v>-1.66543300987693E-5</v>
      </c>
      <c r="AE103">
        <v>100</v>
      </c>
      <c r="AJ103">
        <v>1</v>
      </c>
    </row>
    <row r="104" spans="1:36" x14ac:dyDescent="0.2">
      <c r="A104">
        <v>103</v>
      </c>
      <c r="B104">
        <v>753</v>
      </c>
      <c r="C104">
        <v>195</v>
      </c>
      <c r="D104">
        <v>0.38541197680651201</v>
      </c>
      <c r="E104">
        <v>8.3388461861578307</v>
      </c>
      <c r="F104">
        <v>0.45209075065360899</v>
      </c>
      <c r="G104">
        <v>-181.72720215151858</v>
      </c>
      <c r="H104">
        <v>-105.73623227566533</v>
      </c>
      <c r="I104">
        <v>74.059096502172906</v>
      </c>
      <c r="J104">
        <v>33.291209612297202</v>
      </c>
      <c r="K104">
        <v>18.445071424491498</v>
      </c>
      <c r="L104">
        <v>1.5697907959257831E-3</v>
      </c>
      <c r="M104">
        <v>3.5372864639313491E-4</v>
      </c>
      <c r="N104" s="1">
        <v>1.0612086591028601E-5</v>
      </c>
      <c r="O104" s="1">
        <v>8.3114264304320293E-6</v>
      </c>
      <c r="P104" s="1">
        <v>-2.0660208931212699E-5</v>
      </c>
      <c r="AE104">
        <v>100</v>
      </c>
      <c r="AJ104">
        <v>1</v>
      </c>
    </row>
    <row r="105" spans="1:36" x14ac:dyDescent="0.2">
      <c r="A105">
        <v>104</v>
      </c>
      <c r="B105">
        <v>752</v>
      </c>
      <c r="C105">
        <v>195</v>
      </c>
      <c r="D105">
        <v>0.38474418377798603</v>
      </c>
      <c r="E105">
        <v>9.6885754576764604</v>
      </c>
      <c r="F105">
        <v>0.45280142294654702</v>
      </c>
      <c r="G105">
        <v>-211.05561867623453</v>
      </c>
      <c r="H105">
        <v>-122.88943910913163</v>
      </c>
      <c r="I105">
        <v>86.008607486637501</v>
      </c>
      <c r="J105">
        <v>38.708812765763803</v>
      </c>
      <c r="K105">
        <v>21.396963363386298</v>
      </c>
      <c r="L105">
        <v>1.5716758642066043E-3</v>
      </c>
      <c r="M105">
        <v>3.5316236500003418E-4</v>
      </c>
      <c r="N105" s="1">
        <v>1.26019575229015E-5</v>
      </c>
      <c r="O105" s="1">
        <v>9.6284371757267296E-6</v>
      </c>
      <c r="P105" s="1">
        <v>-2.4024648887898301E-5</v>
      </c>
      <c r="AE105">
        <v>100</v>
      </c>
      <c r="AJ105">
        <v>1</v>
      </c>
    </row>
    <row r="106" spans="1:36" x14ac:dyDescent="0.2">
      <c r="A106">
        <v>105</v>
      </c>
      <c r="B106">
        <v>751</v>
      </c>
      <c r="C106">
        <v>195</v>
      </c>
      <c r="D106">
        <v>0.38407508665723</v>
      </c>
      <c r="E106">
        <v>10.223903686073401</v>
      </c>
      <c r="F106">
        <v>0.45351406554060503</v>
      </c>
      <c r="G106">
        <v>-222.62645077058784</v>
      </c>
      <c r="H106">
        <v>-129.72038033252019</v>
      </c>
      <c r="I106">
        <v>90.721008820559803</v>
      </c>
      <c r="J106">
        <v>40.878283828990398</v>
      </c>
      <c r="K106">
        <v>22.543741116135301</v>
      </c>
      <c r="L106">
        <v>1.5735531596382203E-3</v>
      </c>
      <c r="M106">
        <v>3.5259314566607502E-4</v>
      </c>
      <c r="N106" s="1">
        <v>1.35872645922672E-5</v>
      </c>
      <c r="O106" s="1">
        <v>1.01305038017038E-5</v>
      </c>
      <c r="P106" s="1">
        <v>-2.53732886230696E-5</v>
      </c>
      <c r="AE106">
        <v>100</v>
      </c>
      <c r="AJ106">
        <v>1</v>
      </c>
    </row>
    <row r="107" spans="1:36" x14ac:dyDescent="0.2">
      <c r="A107">
        <v>106</v>
      </c>
      <c r="B107">
        <v>750</v>
      </c>
      <c r="C107">
        <v>195</v>
      </c>
      <c r="D107">
        <v>0.38340468162048602</v>
      </c>
      <c r="E107">
        <v>10.42108164623</v>
      </c>
      <c r="F107">
        <v>0.45422868065796301</v>
      </c>
      <c r="G107">
        <v>-226.82756883799715</v>
      </c>
      <c r="H107">
        <v>-132.26384675106607</v>
      </c>
      <c r="I107">
        <v>92.429932727143395</v>
      </c>
      <c r="J107">
        <v>41.697914629104702</v>
      </c>
      <c r="K107">
        <v>22.942368216676201</v>
      </c>
      <c r="L107">
        <v>1.5754225434902239E-3</v>
      </c>
      <c r="M107">
        <v>3.5202098455202181E-4</v>
      </c>
      <c r="N107" s="1">
        <v>1.41456795645534E-5</v>
      </c>
      <c r="O107" s="1">
        <v>1.02952666066443E-5</v>
      </c>
      <c r="P107" s="1">
        <v>-2.5883924407739401E-5</v>
      </c>
      <c r="AE107">
        <v>100</v>
      </c>
      <c r="AJ107">
        <v>1</v>
      </c>
    </row>
    <row r="108" spans="1:36" x14ac:dyDescent="0.2">
      <c r="A108">
        <v>107</v>
      </c>
      <c r="B108">
        <v>765</v>
      </c>
      <c r="C108">
        <v>175</v>
      </c>
      <c r="D108">
        <v>0.41451668833983701</v>
      </c>
      <c r="E108">
        <v>5.7141064731692097</v>
      </c>
      <c r="F108">
        <v>0.40990071422263102</v>
      </c>
      <c r="G108">
        <v>-125.40492165383414</v>
      </c>
      <c r="H108">
        <v>-72.004854516744246</v>
      </c>
      <c r="I108">
        <v>51.440867986032998</v>
      </c>
      <c r="J108">
        <v>22.682203896200299</v>
      </c>
      <c r="K108">
        <v>13.9402208264162</v>
      </c>
      <c r="L108">
        <v>1.6546654349248423E-3</v>
      </c>
      <c r="M108">
        <v>4.3594582259703311E-4</v>
      </c>
      <c r="N108" s="1">
        <v>1.41328535137927E-6</v>
      </c>
      <c r="O108" s="1">
        <v>8.7069777796221099E-6</v>
      </c>
      <c r="P108" s="1">
        <v>-1.7643633843704401E-5</v>
      </c>
      <c r="AE108">
        <v>100</v>
      </c>
      <c r="AJ108">
        <v>1</v>
      </c>
    </row>
    <row r="109" spans="1:36" x14ac:dyDescent="0.2">
      <c r="A109">
        <v>108</v>
      </c>
      <c r="B109">
        <v>764</v>
      </c>
      <c r="C109">
        <v>175</v>
      </c>
      <c r="D109">
        <v>0.41388468398978101</v>
      </c>
      <c r="E109">
        <v>5.7311688043125599</v>
      </c>
      <c r="F109">
        <v>0.41058006522061502</v>
      </c>
      <c r="G109">
        <v>-125.72779744537965</v>
      </c>
      <c r="H109">
        <v>-72.242621285058519</v>
      </c>
      <c r="I109">
        <v>51.572536168389298</v>
      </c>
      <c r="J109">
        <v>22.770384709530699</v>
      </c>
      <c r="K109">
        <v>13.958711807484001</v>
      </c>
      <c r="L109">
        <v>1.6573001620850663E-3</v>
      </c>
      <c r="M109">
        <v>4.3539960093590103E-4</v>
      </c>
      <c r="N109" s="1">
        <v>1.58784083699652E-6</v>
      </c>
      <c r="O109" s="1">
        <v>8.7123208729708403E-6</v>
      </c>
      <c r="P109" s="1">
        <v>-1.7723584912620501E-5</v>
      </c>
      <c r="AE109">
        <v>100</v>
      </c>
      <c r="AJ109">
        <v>1</v>
      </c>
    </row>
    <row r="110" spans="1:36" x14ac:dyDescent="0.2">
      <c r="A110">
        <v>109</v>
      </c>
      <c r="B110">
        <v>763</v>
      </c>
      <c r="C110">
        <v>175</v>
      </c>
      <c r="D110">
        <v>0.41325145973073701</v>
      </c>
      <c r="E110">
        <v>5.8562190081283196</v>
      </c>
      <c r="F110">
        <v>0.41126162494439</v>
      </c>
      <c r="G110">
        <v>-128.41840585034294</v>
      </c>
      <c r="H110">
        <v>-73.842183806820657</v>
      </c>
      <c r="I110">
        <v>52.675359100180202</v>
      </c>
      <c r="J110">
        <v>23.288144010636099</v>
      </c>
      <c r="K110">
        <v>14.239643703494499</v>
      </c>
      <c r="L110">
        <v>1.6599311622991155E-3</v>
      </c>
      <c r="M110">
        <v>4.3484956205187603E-4</v>
      </c>
      <c r="N110" s="1">
        <v>1.79832167825812E-6</v>
      </c>
      <c r="O110" s="1">
        <v>8.8812267433375205E-6</v>
      </c>
      <c r="P110" s="1">
        <v>-1.8138090033322901E-5</v>
      </c>
      <c r="AE110">
        <v>100</v>
      </c>
      <c r="AJ110">
        <v>1</v>
      </c>
    </row>
    <row r="111" spans="1:36" x14ac:dyDescent="0.2">
      <c r="A111">
        <v>110</v>
      </c>
      <c r="B111">
        <v>762</v>
      </c>
      <c r="C111">
        <v>175</v>
      </c>
      <c r="D111">
        <v>0.41261701202724399</v>
      </c>
      <c r="E111">
        <v>5.9863547358639799</v>
      </c>
      <c r="F111">
        <v>0.411945399082977</v>
      </c>
      <c r="G111">
        <v>-131.21825957972914</v>
      </c>
      <c r="H111">
        <v>-75.506906403909937</v>
      </c>
      <c r="I111">
        <v>53.822903864757102</v>
      </c>
      <c r="J111">
        <v>23.827065289452801</v>
      </c>
      <c r="K111">
        <v>14.531913086515999</v>
      </c>
      <c r="L111">
        <v>1.6625582699135511E-3</v>
      </c>
      <c r="M111">
        <v>4.3429568703726645E-4</v>
      </c>
      <c r="N111" s="1">
        <v>2.01985368719439E-6</v>
      </c>
      <c r="O111" s="1">
        <v>9.0568348092884501E-6</v>
      </c>
      <c r="P111" s="1">
        <v>-1.8569477746813899E-5</v>
      </c>
      <c r="AE111">
        <v>100</v>
      </c>
      <c r="AJ111">
        <v>1</v>
      </c>
    </row>
    <row r="112" spans="1:36" x14ac:dyDescent="0.2">
      <c r="A112">
        <v>111</v>
      </c>
      <c r="B112">
        <v>761</v>
      </c>
      <c r="C112">
        <v>175</v>
      </c>
      <c r="D112">
        <v>0.411981337330175</v>
      </c>
      <c r="E112">
        <v>6.1239937312495298</v>
      </c>
      <c r="F112">
        <v>0.412631393275806</v>
      </c>
      <c r="G112">
        <v>-134.18019712037426</v>
      </c>
      <c r="H112">
        <v>-77.267356235269489</v>
      </c>
      <c r="I112">
        <v>55.036837412729298</v>
      </c>
      <c r="J112">
        <v>24.396835845940299</v>
      </c>
      <c r="K112">
        <v>14.8413180166255</v>
      </c>
      <c r="L112">
        <v>1.6651813175267126E-3</v>
      </c>
      <c r="M112">
        <v>4.3373795712486934E-4</v>
      </c>
      <c r="N112" s="1">
        <v>2.25391304027581E-6</v>
      </c>
      <c r="O112" s="1">
        <v>9.2427324188861694E-6</v>
      </c>
      <c r="P112" s="1">
        <v>-1.9025321892226298E-5</v>
      </c>
      <c r="AE112">
        <v>100</v>
      </c>
      <c r="AJ112">
        <v>1</v>
      </c>
    </row>
    <row r="113" spans="1:36" x14ac:dyDescent="0.2">
      <c r="A113">
        <v>112</v>
      </c>
      <c r="B113">
        <v>760</v>
      </c>
      <c r="C113">
        <v>175</v>
      </c>
      <c r="D113">
        <v>0.41134443207665999</v>
      </c>
      <c r="E113">
        <v>6.2740196737287199</v>
      </c>
      <c r="F113">
        <v>0.41331961311145299</v>
      </c>
      <c r="G113">
        <v>-137.41097808692754</v>
      </c>
      <c r="H113">
        <v>-79.185262027746759</v>
      </c>
      <c r="I113">
        <v>56.360941236516503</v>
      </c>
      <c r="J113">
        <v>25.017010371460302</v>
      </c>
      <c r="K113">
        <v>15.1795837281907</v>
      </c>
      <c r="L113">
        <v>1.6678001359930626E-3</v>
      </c>
      <c r="M113">
        <v>4.3317635369420941E-4</v>
      </c>
      <c r="N113" s="1">
        <v>2.5032684533700802E-6</v>
      </c>
      <c r="O113" s="1">
        <v>9.4461837308729407E-6</v>
      </c>
      <c r="P113" s="1">
        <v>-1.9520913408777301E-5</v>
      </c>
      <c r="AE113">
        <v>100</v>
      </c>
      <c r="AJ113">
        <v>1</v>
      </c>
    </row>
    <row r="114" spans="1:36" x14ac:dyDescent="0.2">
      <c r="A114">
        <v>113</v>
      </c>
      <c r="B114">
        <v>759</v>
      </c>
      <c r="C114">
        <v>175</v>
      </c>
      <c r="D114">
        <v>0.41070629269001901</v>
      </c>
      <c r="E114">
        <v>6.5818145522815303</v>
      </c>
      <c r="F114">
        <v>0.41401006412639402</v>
      </c>
      <c r="G114">
        <v>-144.09306070153971</v>
      </c>
      <c r="H114">
        <v>-83.096239490606493</v>
      </c>
      <c r="I114">
        <v>59.100506447115002</v>
      </c>
      <c r="J114">
        <v>26.267940807400201</v>
      </c>
      <c r="K114">
        <v>15.8977163180075</v>
      </c>
      <c r="L114">
        <v>1.6704145544284377E-3</v>
      </c>
      <c r="M114">
        <v>4.3261085827785302E-4</v>
      </c>
      <c r="N114" s="1">
        <v>2.8317609843561198E-6</v>
      </c>
      <c r="O114" s="1">
        <v>9.8853984268009893E-6</v>
      </c>
      <c r="P114" s="1">
        <v>-2.0509437143925001E-5</v>
      </c>
      <c r="AE114">
        <v>100</v>
      </c>
      <c r="AJ114">
        <v>1</v>
      </c>
    </row>
    <row r="115" spans="1:36" x14ac:dyDescent="0.2">
      <c r="A115">
        <v>114</v>
      </c>
      <c r="B115">
        <v>758</v>
      </c>
      <c r="C115">
        <v>175</v>
      </c>
      <c r="D115">
        <v>0.41006691557969399</v>
      </c>
      <c r="E115">
        <v>7.4040974759208904</v>
      </c>
      <c r="F115">
        <v>0.41470275180371802</v>
      </c>
      <c r="G115">
        <v>-162.0285055027235</v>
      </c>
      <c r="H115">
        <v>-93.50722815646165</v>
      </c>
      <c r="I115">
        <v>66.455427848034901</v>
      </c>
      <c r="J115">
        <v>29.576272755481501</v>
      </c>
      <c r="K115">
        <v>17.853986846523899</v>
      </c>
      <c r="L115">
        <v>1.6730244002158929E-3</v>
      </c>
      <c r="M115">
        <v>4.3204145256789725E-4</v>
      </c>
      <c r="N115" s="1">
        <v>3.41920186709084E-6</v>
      </c>
      <c r="O115" s="1">
        <v>1.1093070481279399E-5</v>
      </c>
      <c r="P115" s="1">
        <v>-2.3106322871868E-5</v>
      </c>
      <c r="AE115">
        <v>100</v>
      </c>
      <c r="AJ115">
        <v>1</v>
      </c>
    </row>
    <row r="116" spans="1:36" x14ac:dyDescent="0.2">
      <c r="A116">
        <v>115</v>
      </c>
      <c r="B116">
        <v>757</v>
      </c>
      <c r="C116">
        <v>175</v>
      </c>
      <c r="D116">
        <v>0.40942629714119499</v>
      </c>
      <c r="E116">
        <v>9.1234109366424008</v>
      </c>
      <c r="F116">
        <v>0.41539768157183499</v>
      </c>
      <c r="G116">
        <v>-199.57145009283778</v>
      </c>
      <c r="H116">
        <v>-115.25710308117772</v>
      </c>
      <c r="I116">
        <v>81.851738084394995</v>
      </c>
      <c r="J116">
        <v>36.4770354488059</v>
      </c>
      <c r="K116">
        <v>21.9630762071662</v>
      </c>
      <c r="L116">
        <v>1.6756294990119024E-3</v>
      </c>
      <c r="M116">
        <v>4.3146811842239527E-4</v>
      </c>
      <c r="N116" s="1">
        <v>4.5039123025582499E-6</v>
      </c>
      <c r="O116" s="1">
        <v>1.36351839792073E-5</v>
      </c>
      <c r="P116" s="1">
        <v>-2.8514334038169001E-5</v>
      </c>
      <c r="AE116">
        <v>100</v>
      </c>
      <c r="AJ116">
        <v>1</v>
      </c>
    </row>
    <row r="117" spans="1:36" x14ac:dyDescent="0.2">
      <c r="A117">
        <v>116</v>
      </c>
      <c r="B117">
        <v>756</v>
      </c>
      <c r="C117">
        <v>175</v>
      </c>
      <c r="D117">
        <v>0.40878443375601398</v>
      </c>
      <c r="E117">
        <v>9.9916352381584392</v>
      </c>
      <c r="F117">
        <v>0.41609485880319902</v>
      </c>
      <c r="G117">
        <v>-218.47393386299439</v>
      </c>
      <c r="H117">
        <v>-126.26544720489504</v>
      </c>
      <c r="I117">
        <v>89.602297512839996</v>
      </c>
      <c r="J117">
        <v>39.984336311171901</v>
      </c>
      <c r="K117">
        <v>24.012878378014701</v>
      </c>
      <c r="L117">
        <v>1.678229674753767E-3</v>
      </c>
      <c r="M117">
        <v>4.3089083787200758E-4</v>
      </c>
      <c r="N117" s="1">
        <v>5.2540116001276798E-6</v>
      </c>
      <c r="O117" s="1">
        <v>1.4895579299695399E-5</v>
      </c>
      <c r="P117" s="1">
        <v>-3.1274216447546199E-5</v>
      </c>
      <c r="AE117">
        <v>100</v>
      </c>
      <c r="AJ117">
        <v>1</v>
      </c>
    </row>
    <row r="118" spans="1:36" x14ac:dyDescent="0.2">
      <c r="A118">
        <v>117</v>
      </c>
      <c r="B118">
        <v>755</v>
      </c>
      <c r="C118">
        <v>175</v>
      </c>
      <c r="D118">
        <v>0.40814132179156798</v>
      </c>
      <c r="E118">
        <v>10.3298452522108</v>
      </c>
      <c r="F118">
        <v>0.41679428881299901</v>
      </c>
      <c r="G118">
        <v>-225.77651181215148</v>
      </c>
      <c r="H118">
        <v>-130.58080256531821</v>
      </c>
      <c r="I118">
        <v>92.595069414590995</v>
      </c>
      <c r="J118">
        <v>41.375016523056701</v>
      </c>
      <c r="K118">
        <v>24.784037424383801</v>
      </c>
      <c r="L118">
        <v>1.6808247496673274E-3</v>
      </c>
      <c r="M118">
        <v>4.3030959312664792E-4</v>
      </c>
      <c r="N118" s="1">
        <v>5.7674195914297901E-6</v>
      </c>
      <c r="O118" s="1">
        <v>1.53611797880905E-5</v>
      </c>
      <c r="P118" s="1">
        <v>-3.2380536744785599E-5</v>
      </c>
      <c r="AE118">
        <v>100</v>
      </c>
      <c r="AJ118">
        <v>1</v>
      </c>
    </row>
    <row r="119" spans="1:36" x14ac:dyDescent="0.2">
      <c r="A119">
        <v>118</v>
      </c>
      <c r="B119">
        <v>754</v>
      </c>
      <c r="C119">
        <v>175</v>
      </c>
      <c r="D119">
        <v>0.40749695760112897</v>
      </c>
      <c r="E119">
        <v>10.4764557155617</v>
      </c>
      <c r="F119">
        <v>0.41749597685781797</v>
      </c>
      <c r="G119">
        <v>-228.88704648245053</v>
      </c>
      <c r="H119">
        <v>-132.47610401739107</v>
      </c>
      <c r="I119">
        <v>93.868410394146807</v>
      </c>
      <c r="J119">
        <v>42.000048761174398</v>
      </c>
      <c r="K119">
        <v>25.093548911321701</v>
      </c>
      <c r="L119">
        <v>1.6834145442753245E-3</v>
      </c>
      <c r="M119">
        <v>4.2972436658222468E-4</v>
      </c>
      <c r="N119" s="1">
        <v>6.1928450229809398E-6</v>
      </c>
      <c r="O119" s="1">
        <v>1.5539887240341101E-5</v>
      </c>
      <c r="P119" s="1">
        <v>-3.2888295598107401E-5</v>
      </c>
      <c r="AE119">
        <v>100</v>
      </c>
      <c r="AJ119">
        <v>1</v>
      </c>
    </row>
    <row r="120" spans="1:36" x14ac:dyDescent="0.2">
      <c r="A120">
        <v>119</v>
      </c>
      <c r="B120">
        <v>773</v>
      </c>
      <c r="C120">
        <v>155</v>
      </c>
      <c r="D120">
        <v>0.440558715289395</v>
      </c>
      <c r="E120">
        <v>6.0526395376058897</v>
      </c>
      <c r="F120">
        <v>0.36692437671280398</v>
      </c>
      <c r="G120">
        <v>-133.58499645572911</v>
      </c>
      <c r="H120">
        <v>-75.839984672546692</v>
      </c>
      <c r="I120">
        <v>55.2009515606753</v>
      </c>
      <c r="J120">
        <v>23.783263024090299</v>
      </c>
      <c r="K120">
        <v>16.495604875942401</v>
      </c>
      <c r="L120">
        <v>1.7330385330751191E-3</v>
      </c>
      <c r="M120">
        <v>5.4068871345087032E-4</v>
      </c>
      <c r="N120" s="1">
        <v>-7.55208264512033E-6</v>
      </c>
      <c r="O120" s="1">
        <v>1.43648490342367E-5</v>
      </c>
      <c r="P120" s="1">
        <v>-2.3207836340270099E-5</v>
      </c>
      <c r="AE120">
        <v>100</v>
      </c>
      <c r="AJ120">
        <v>1</v>
      </c>
    </row>
    <row r="121" spans="1:36" x14ac:dyDescent="0.2">
      <c r="A121">
        <v>120</v>
      </c>
      <c r="B121">
        <v>772</v>
      </c>
      <c r="C121">
        <v>155</v>
      </c>
      <c r="D121">
        <v>0.43995646557910401</v>
      </c>
      <c r="E121">
        <v>6.0605385992444001</v>
      </c>
      <c r="F121">
        <v>0.36756145843841098</v>
      </c>
      <c r="G121">
        <v>-133.7040713742357</v>
      </c>
      <c r="H121">
        <v>-75.962787191341036</v>
      </c>
      <c r="I121">
        <v>55.250205611865098</v>
      </c>
      <c r="J121">
        <v>23.8391900407102</v>
      </c>
      <c r="K121">
        <v>16.488504058593801</v>
      </c>
      <c r="L121">
        <v>1.7365013998536674E-3</v>
      </c>
      <c r="M121">
        <v>5.4021667625704379E-4</v>
      </c>
      <c r="N121" s="1">
        <v>-7.4037599152644798E-6</v>
      </c>
      <c r="O121" s="1">
        <v>1.43569234021243E-5</v>
      </c>
      <c r="P121" s="1">
        <v>-2.3286575601007599E-5</v>
      </c>
      <c r="AE121">
        <v>100</v>
      </c>
      <c r="AJ121">
        <v>1</v>
      </c>
    </row>
    <row r="122" spans="1:36" x14ac:dyDescent="0.2">
      <c r="A122">
        <v>121</v>
      </c>
      <c r="B122">
        <v>771</v>
      </c>
      <c r="C122">
        <v>155</v>
      </c>
      <c r="D122">
        <v>0.43935306229947801</v>
      </c>
      <c r="E122">
        <v>6.0878502125835796</v>
      </c>
      <c r="F122">
        <v>0.36820092192488102</v>
      </c>
      <c r="G122">
        <v>-134.25111654939704</v>
      </c>
      <c r="H122">
        <v>-76.329070088020444</v>
      </c>
      <c r="I122">
        <v>55.476253702154899</v>
      </c>
      <c r="J122">
        <v>23.971694327409701</v>
      </c>
      <c r="K122">
        <v>16.534043914821002</v>
      </c>
      <c r="L122">
        <v>1.7399674091840239E-3</v>
      </c>
      <c r="M122">
        <v>5.3974029205963671E-4</v>
      </c>
      <c r="N122" s="1">
        <v>-7.2757156117376899E-6</v>
      </c>
      <c r="O122" s="1">
        <v>1.43947207717839E-5</v>
      </c>
      <c r="P122" s="1">
        <v>-2.3440321847227999E-5</v>
      </c>
      <c r="AE122">
        <v>100</v>
      </c>
      <c r="AJ122">
        <v>1</v>
      </c>
    </row>
    <row r="123" spans="1:36" x14ac:dyDescent="0.2">
      <c r="A123">
        <v>122</v>
      </c>
      <c r="B123">
        <v>770</v>
      </c>
      <c r="C123">
        <v>155</v>
      </c>
      <c r="D123">
        <v>0.43874850213296301</v>
      </c>
      <c r="E123">
        <v>6.1151748261023702</v>
      </c>
      <c r="F123">
        <v>0.36884277688219602</v>
      </c>
      <c r="G123">
        <v>-134.7979734875901</v>
      </c>
      <c r="H123">
        <v>-76.695756227564189</v>
      </c>
      <c r="I123">
        <v>55.702168181542497</v>
      </c>
      <c r="J123">
        <v>24.104547788104401</v>
      </c>
      <c r="K123">
        <v>16.5793536145496</v>
      </c>
      <c r="L123">
        <v>1.7434364118831445E-3</v>
      </c>
      <c r="M123">
        <v>5.3925952405892825E-4</v>
      </c>
      <c r="N123" s="1">
        <v>-7.1436856511795299E-6</v>
      </c>
      <c r="O123" s="1">
        <v>1.4432196937550399E-5</v>
      </c>
      <c r="P123" s="1">
        <v>-2.35946898280609E-5</v>
      </c>
      <c r="AE123">
        <v>100</v>
      </c>
      <c r="AJ123">
        <v>1</v>
      </c>
    </row>
    <row r="124" spans="1:36" x14ac:dyDescent="0.2">
      <c r="A124">
        <v>123</v>
      </c>
      <c r="B124">
        <v>769</v>
      </c>
      <c r="C124">
        <v>155</v>
      </c>
      <c r="D124">
        <v>0.43814278174927401</v>
      </c>
      <c r="E124">
        <v>6.2068105524183101</v>
      </c>
      <c r="F124">
        <v>0.36948703301239699</v>
      </c>
      <c r="G124">
        <v>-136.76139227813684</v>
      </c>
      <c r="H124">
        <v>-77.869518625209196</v>
      </c>
      <c r="I124">
        <v>56.513386336964501</v>
      </c>
      <c r="J124">
        <v>24.491465004791401</v>
      </c>
      <c r="K124">
        <v>16.7984529844381</v>
      </c>
      <c r="L124">
        <v>1.7469082558989216E-3</v>
      </c>
      <c r="M124">
        <v>5.3877433530973647E-4</v>
      </c>
      <c r="N124" s="1">
        <v>-7.0809647489225502E-6</v>
      </c>
      <c r="O124" s="1">
        <v>1.46208101217975E-5</v>
      </c>
      <c r="P124" s="1">
        <v>-2.3998283512013599E-5</v>
      </c>
      <c r="AE124">
        <v>100</v>
      </c>
      <c r="AJ124">
        <v>1</v>
      </c>
    </row>
    <row r="125" spans="1:36" x14ac:dyDescent="0.2">
      <c r="A125">
        <v>124</v>
      </c>
      <c r="B125">
        <v>768</v>
      </c>
      <c r="C125">
        <v>155</v>
      </c>
      <c r="D125">
        <v>0.43753589780531399</v>
      </c>
      <c r="E125">
        <v>6.3257373185563202</v>
      </c>
      <c r="F125">
        <v>0.37013370000829698</v>
      </c>
      <c r="G125">
        <v>-139.32425053279309</v>
      </c>
      <c r="H125">
        <v>-79.386526118644653</v>
      </c>
      <c r="I125">
        <v>57.572246448145599</v>
      </c>
      <c r="J125">
        <v>24.987016445975399</v>
      </c>
      <c r="K125">
        <v>17.0904117037019</v>
      </c>
      <c r="L125">
        <v>1.7503827862826006E-3</v>
      </c>
      <c r="M125">
        <v>5.3828468872627218E-4</v>
      </c>
      <c r="N125" s="1">
        <v>-7.0409298583160004E-6</v>
      </c>
      <c r="O125" s="1">
        <v>1.4872655285560999E-5</v>
      </c>
      <c r="P125" s="1">
        <v>-2.4509225263581299E-5</v>
      </c>
      <c r="AE125">
        <v>100</v>
      </c>
      <c r="AJ125">
        <v>1</v>
      </c>
    </row>
    <row r="126" spans="1:36" x14ac:dyDescent="0.2">
      <c r="A126">
        <v>125</v>
      </c>
      <c r="B126">
        <v>767</v>
      </c>
      <c r="C126">
        <v>155</v>
      </c>
      <c r="D126">
        <v>0.43692784694515202</v>
      </c>
      <c r="E126">
        <v>6.4506522416948302</v>
      </c>
      <c r="F126">
        <v>0.37078278755216398</v>
      </c>
      <c r="G126">
        <v>-142.01680257950531</v>
      </c>
      <c r="H126">
        <v>-80.979673100229604</v>
      </c>
      <c r="I126">
        <v>58.684632926600798</v>
      </c>
      <c r="J126">
        <v>25.507309423413599</v>
      </c>
      <c r="K126">
        <v>17.397388601236798</v>
      </c>
      <c r="L126">
        <v>1.7538598451614256E-3</v>
      </c>
      <c r="M126">
        <v>5.3779054708719251E-4</v>
      </c>
      <c r="N126" s="1">
        <v>-6.9980196974532799E-6</v>
      </c>
      <c r="O126" s="1">
        <v>1.5137367995183001E-5</v>
      </c>
      <c r="P126" s="1">
        <v>-2.50454694355182E-5</v>
      </c>
      <c r="AE126">
        <v>100</v>
      </c>
      <c r="AJ126">
        <v>1</v>
      </c>
    </row>
    <row r="127" spans="1:36" x14ac:dyDescent="0.2">
      <c r="A127">
        <v>126</v>
      </c>
      <c r="B127">
        <v>766</v>
      </c>
      <c r="C127">
        <v>155</v>
      </c>
      <c r="D127">
        <v>0.43631862579993802</v>
      </c>
      <c r="E127">
        <v>6.5849954894908196</v>
      </c>
      <c r="F127">
        <v>0.371434305314368</v>
      </c>
      <c r="G127">
        <v>-144.91459346203123</v>
      </c>
      <c r="H127">
        <v>-82.692232710269764</v>
      </c>
      <c r="I127">
        <v>59.881758254867499</v>
      </c>
      <c r="J127">
        <v>26.066039992053199</v>
      </c>
      <c r="K127">
        <v>17.728560327559101</v>
      </c>
      <c r="L127">
        <v>1.7573392717115642E-3</v>
      </c>
      <c r="M127">
        <v>5.3729187304081343E-4</v>
      </c>
      <c r="N127" s="1">
        <v>-6.9551751612374504E-6</v>
      </c>
      <c r="O127" s="1">
        <v>1.54229164970687E-5</v>
      </c>
      <c r="P127" s="1">
        <v>-2.5620550237616001E-5</v>
      </c>
      <c r="AE127">
        <v>100</v>
      </c>
      <c r="AJ127">
        <v>1</v>
      </c>
    </row>
    <row r="128" spans="1:36" x14ac:dyDescent="0.2">
      <c r="A128">
        <v>127</v>
      </c>
      <c r="B128">
        <v>765</v>
      </c>
      <c r="C128">
        <v>155</v>
      </c>
      <c r="D128">
        <v>0.43570823098781702</v>
      </c>
      <c r="E128">
        <v>6.7364878954649496</v>
      </c>
      <c r="F128">
        <v>0.37208826295203501</v>
      </c>
      <c r="G128">
        <v>-148.1872080393718</v>
      </c>
      <c r="H128">
        <v>-84.621304907091698</v>
      </c>
      <c r="I128">
        <v>61.2336927845895</v>
      </c>
      <c r="J128">
        <v>26.693924700791602</v>
      </c>
      <c r="K128">
        <v>18.1045428362069</v>
      </c>
      <c r="L128">
        <v>1.7608209021315862E-3</v>
      </c>
      <c r="M128">
        <v>5.3678862911055853E-4</v>
      </c>
      <c r="N128" s="1">
        <v>-6.9193164841440397E-6</v>
      </c>
      <c r="O128" s="1">
        <v>1.5747212383557301E-5</v>
      </c>
      <c r="P128" s="1">
        <v>-2.6264804020212199E-5</v>
      </c>
      <c r="AE128">
        <v>100</v>
      </c>
      <c r="AJ128">
        <v>1</v>
      </c>
    </row>
    <row r="129" spans="1:36" x14ac:dyDescent="0.2">
      <c r="A129">
        <v>128</v>
      </c>
      <c r="B129">
        <v>764</v>
      </c>
      <c r="C129">
        <v>155</v>
      </c>
      <c r="D129">
        <v>0.43509665911391998</v>
      </c>
      <c r="E129">
        <v>7.1867604446788498</v>
      </c>
      <c r="F129">
        <v>0.37274467010763102</v>
      </c>
      <c r="G129">
        <v>-158.02685349424317</v>
      </c>
      <c r="H129">
        <v>-90.305957761592637</v>
      </c>
      <c r="I129">
        <v>65.299145194325405</v>
      </c>
      <c r="J129">
        <v>28.5083538281764</v>
      </c>
      <c r="K129">
        <v>19.2806524707748</v>
      </c>
      <c r="L129">
        <v>1.7643045696159989E-3</v>
      </c>
      <c r="M129">
        <v>5.3628077770053405E-4</v>
      </c>
      <c r="N129" s="1">
        <v>-7.16968499950568E-6</v>
      </c>
      <c r="O129" s="1">
        <v>1.6767071613346899E-5</v>
      </c>
      <c r="P129" s="1">
        <v>-2.8078999114907999E-5</v>
      </c>
      <c r="AE129">
        <v>100</v>
      </c>
      <c r="AJ129">
        <v>1</v>
      </c>
    </row>
    <row r="130" spans="1:36" x14ac:dyDescent="0.2">
      <c r="A130">
        <v>129</v>
      </c>
      <c r="B130">
        <v>763</v>
      </c>
      <c r="C130">
        <v>155</v>
      </c>
      <c r="D130">
        <v>0.43448390677026</v>
      </c>
      <c r="E130">
        <v>7.8226994676501</v>
      </c>
      <c r="F130">
        <v>0.37340353640755503</v>
      </c>
      <c r="G130">
        <v>-171.93920462662396</v>
      </c>
      <c r="H130">
        <v>-98.327960665471707</v>
      </c>
      <c r="I130">
        <v>71.047358577577</v>
      </c>
      <c r="J130">
        <v>31.063932117669601</v>
      </c>
      <c r="K130">
        <v>20.949719820306999</v>
      </c>
      <c r="L130">
        <v>1.7677901043293908E-3</v>
      </c>
      <c r="M130">
        <v>5.3576828110135611E-4</v>
      </c>
      <c r="N130" s="1">
        <v>-7.5697434186383303E-6</v>
      </c>
      <c r="O130" s="1">
        <v>1.82150053050791E-5</v>
      </c>
      <c r="P130" s="1">
        <v>-3.0627603288265498E-5</v>
      </c>
      <c r="AE130">
        <v>100</v>
      </c>
      <c r="AJ130">
        <v>1</v>
      </c>
    </row>
    <row r="131" spans="1:36" x14ac:dyDescent="0.2">
      <c r="A131">
        <v>130</v>
      </c>
      <c r="B131">
        <v>762</v>
      </c>
      <c r="C131">
        <v>155</v>
      </c>
      <c r="D131">
        <v>0.433869970535674</v>
      </c>
      <c r="E131">
        <v>9.3920162622611691</v>
      </c>
      <c r="F131">
        <v>0.37406487146069101</v>
      </c>
      <c r="G131">
        <v>-206.34675735452709</v>
      </c>
      <c r="H131">
        <v>-118.09091189318673</v>
      </c>
      <c r="I131">
        <v>85.264184079390802</v>
      </c>
      <c r="J131">
        <v>37.335343451195101</v>
      </c>
      <c r="K131">
        <v>25.107987888801599</v>
      </c>
      <c r="L131">
        <v>1.7712773333808706E-3</v>
      </c>
      <c r="M131">
        <v>5.3525110149611928E-4</v>
      </c>
      <c r="N131" s="1">
        <v>-8.8027206931838705E-6</v>
      </c>
      <c r="O131" s="1">
        <v>2.18260294281489E-5</v>
      </c>
      <c r="P131" s="1">
        <v>-3.6848781390700703E-5</v>
      </c>
      <c r="AE131">
        <v>100</v>
      </c>
      <c r="AJ131">
        <v>1</v>
      </c>
    </row>
    <row r="132" spans="1:36" x14ac:dyDescent="0.2">
      <c r="A132">
        <v>131</v>
      </c>
      <c r="B132">
        <v>761</v>
      </c>
      <c r="C132">
        <v>155</v>
      </c>
      <c r="D132">
        <v>0.43325484697577799</v>
      </c>
      <c r="E132">
        <v>10.077233901832299</v>
      </c>
      <c r="F132">
        <v>0.374728684856938</v>
      </c>
      <c r="G132">
        <v>-221.30982692454097</v>
      </c>
      <c r="H132">
        <v>-126.74660528892629</v>
      </c>
      <c r="I132">
        <v>91.4461039961962</v>
      </c>
      <c r="J132">
        <v>40.101894614186797</v>
      </c>
      <c r="K132">
        <v>26.8920803478909</v>
      </c>
      <c r="L132">
        <v>1.7747660807991199E-3</v>
      </c>
      <c r="M132">
        <v>5.3472920096665007E-4</v>
      </c>
      <c r="N132" s="1">
        <v>-9.1339630682576602E-6</v>
      </c>
      <c r="O132" s="1">
        <v>2.3371955652983499E-5</v>
      </c>
      <c r="P132" s="1">
        <v>-3.9619911132505098E-5</v>
      </c>
      <c r="AE132">
        <v>100</v>
      </c>
      <c r="AJ132">
        <v>1</v>
      </c>
    </row>
    <row r="133" spans="1:36" x14ac:dyDescent="0.2">
      <c r="A133">
        <v>132</v>
      </c>
      <c r="B133">
        <v>760</v>
      </c>
      <c r="C133">
        <v>155</v>
      </c>
      <c r="D133">
        <v>0.43263853264288998</v>
      </c>
      <c r="E133">
        <v>10.3533088453422</v>
      </c>
      <c r="F133">
        <v>0.37539498616570099</v>
      </c>
      <c r="G133">
        <v>-227.27887851841066</v>
      </c>
      <c r="H133">
        <v>-130.26016574057644</v>
      </c>
      <c r="I133">
        <v>93.911472271133405</v>
      </c>
      <c r="J133">
        <v>41.244462475398997</v>
      </c>
      <c r="K133">
        <v>27.579773909852399</v>
      </c>
      <c r="L133">
        <v>1.7782561675074543E-3</v>
      </c>
      <c r="M133">
        <v>5.3420254149982567E-4</v>
      </c>
      <c r="N133" s="1">
        <v>-9.0599800772106598E-6</v>
      </c>
      <c r="O133" s="1">
        <v>2.39643248402326E-5</v>
      </c>
      <c r="P133" s="1">
        <v>-4.0790501969105497E-5</v>
      </c>
      <c r="AE133">
        <v>100</v>
      </c>
      <c r="AJ133">
        <v>1</v>
      </c>
    </row>
    <row r="134" spans="1:36" x14ac:dyDescent="0.2">
      <c r="A134">
        <v>133</v>
      </c>
      <c r="B134">
        <v>759</v>
      </c>
      <c r="C134">
        <v>155</v>
      </c>
      <c r="D134">
        <v>0.43202102407596099</v>
      </c>
      <c r="E134">
        <v>10.4968748631364</v>
      </c>
      <c r="F134">
        <v>0.37606378493437997</v>
      </c>
      <c r="G134">
        <v>-230.33528847228845</v>
      </c>
      <c r="H134">
        <v>-132.10828044690564</v>
      </c>
      <c r="I134">
        <v>95.173196707611694</v>
      </c>
      <c r="J134">
        <v>41.861048000164502</v>
      </c>
      <c r="K134">
        <v>27.9124852848248</v>
      </c>
      <c r="L134">
        <v>1.7817474113000617E-3</v>
      </c>
      <c r="M134">
        <v>5.3367108499426303E-4</v>
      </c>
      <c r="N134" s="1">
        <v>-8.8520811388945205E-6</v>
      </c>
      <c r="O134" s="1">
        <v>2.4247825132036201E-5</v>
      </c>
      <c r="P134" s="1">
        <v>-4.1442638823482998E-5</v>
      </c>
      <c r="AE134">
        <v>100</v>
      </c>
      <c r="AJ134">
        <v>1</v>
      </c>
    </row>
    <row r="135" spans="1:36" x14ac:dyDescent="0.2">
      <c r="A135">
        <v>134</v>
      </c>
      <c r="B135">
        <v>783</v>
      </c>
      <c r="C135">
        <v>135</v>
      </c>
      <c r="D135">
        <v>0.46734886143066801</v>
      </c>
      <c r="E135">
        <v>6.4130873435067803</v>
      </c>
      <c r="F135">
        <v>0.31935079675014399</v>
      </c>
      <c r="G135">
        <v>-142.50366888655267</v>
      </c>
      <c r="H135">
        <v>-79.79016283832938</v>
      </c>
      <c r="I135">
        <v>59.382830100468603</v>
      </c>
      <c r="J135">
        <v>24.619807422183602</v>
      </c>
      <c r="K135">
        <v>20.081638777072701</v>
      </c>
      <c r="L135">
        <v>1.7730233971355682E-3</v>
      </c>
      <c r="M135">
        <v>6.7831610004687225E-4</v>
      </c>
      <c r="N135" s="1">
        <v>-2.15422099488333E-5</v>
      </c>
      <c r="O135" s="1">
        <v>2.4646772347524099E-5</v>
      </c>
      <c r="P135" s="1">
        <v>-3.01818078553401E-5</v>
      </c>
      <c r="AE135">
        <v>100</v>
      </c>
      <c r="AJ135">
        <v>1</v>
      </c>
    </row>
    <row r="136" spans="1:36" x14ac:dyDescent="0.2">
      <c r="A136">
        <v>135</v>
      </c>
      <c r="B136">
        <v>782</v>
      </c>
      <c r="C136">
        <v>135</v>
      </c>
      <c r="D136">
        <v>0.466777709330429</v>
      </c>
      <c r="E136">
        <v>6.4146076390221696</v>
      </c>
      <c r="F136">
        <v>0.319918190564426</v>
      </c>
      <c r="G136">
        <v>-142.47806576582735</v>
      </c>
      <c r="H136">
        <v>-79.833717793458135</v>
      </c>
      <c r="I136">
        <v>59.373566606418301</v>
      </c>
      <c r="J136">
        <v>24.653951499767398</v>
      </c>
      <c r="K136">
        <v>20.050774942509399</v>
      </c>
      <c r="L136">
        <v>1.777246149703259E-3</v>
      </c>
      <c r="M136">
        <v>6.7801388064372644E-4</v>
      </c>
      <c r="N136" s="1">
        <v>-2.1465344574014099E-5</v>
      </c>
      <c r="O136" s="1">
        <v>2.4618351360457799E-5</v>
      </c>
      <c r="P136" s="1">
        <v>-3.0259807509155601E-5</v>
      </c>
      <c r="AE136">
        <v>100</v>
      </c>
      <c r="AJ136">
        <v>1</v>
      </c>
    </row>
    <row r="137" spans="1:36" x14ac:dyDescent="0.2">
      <c r="A137">
        <v>136</v>
      </c>
      <c r="B137">
        <v>781</v>
      </c>
      <c r="C137">
        <v>135</v>
      </c>
      <c r="D137">
        <v>0.46620547360432502</v>
      </c>
      <c r="E137">
        <v>6.4383073784671598</v>
      </c>
      <c r="F137">
        <v>0.32048794786150298</v>
      </c>
      <c r="G137">
        <v>-142.94489136158563</v>
      </c>
      <c r="H137">
        <v>-80.153434855067957</v>
      </c>
      <c r="I137">
        <v>59.569454917570503</v>
      </c>
      <c r="J137">
        <v>24.7735826680501</v>
      </c>
      <c r="K137">
        <v>20.089077986949501</v>
      </c>
      <c r="L137">
        <v>1.7814816867163163E-3</v>
      </c>
      <c r="M137">
        <v>6.7770776159018615E-4</v>
      </c>
      <c r="N137" s="1">
        <v>-2.1459858161212799E-5</v>
      </c>
      <c r="O137" s="1">
        <v>2.4674810343228901E-5</v>
      </c>
      <c r="P137" s="1">
        <v>-3.0443158685704699E-5</v>
      </c>
      <c r="AE137">
        <v>100</v>
      </c>
      <c r="AJ137">
        <v>1</v>
      </c>
    </row>
    <row r="138" spans="1:36" x14ac:dyDescent="0.2">
      <c r="A138">
        <v>137</v>
      </c>
      <c r="B138">
        <v>780</v>
      </c>
      <c r="C138">
        <v>135</v>
      </c>
      <c r="D138">
        <v>0.46563215116555001</v>
      </c>
      <c r="E138">
        <v>6.46201294590327</v>
      </c>
      <c r="F138">
        <v>0.32106008177037698</v>
      </c>
      <c r="G138">
        <v>-143.41143124257991</v>
      </c>
      <c r="H138">
        <v>-80.473435489296961</v>
      </c>
      <c r="I138">
        <v>59.765174679678701</v>
      </c>
      <c r="J138">
        <v>24.893578180480599</v>
      </c>
      <c r="K138">
        <v>20.127114246874498</v>
      </c>
      <c r="L138">
        <v>1.7857299560989912E-3</v>
      </c>
      <c r="M138">
        <v>6.7739769591905431E-4</v>
      </c>
      <c r="N138" s="1">
        <v>-2.14511980297962E-5</v>
      </c>
      <c r="O138" s="1">
        <v>2.4730928877210001E-5</v>
      </c>
      <c r="P138" s="1">
        <v>-3.06275127345464E-5</v>
      </c>
      <c r="AE138">
        <v>100</v>
      </c>
      <c r="AJ138">
        <v>1</v>
      </c>
    </row>
    <row r="139" spans="1:36" x14ac:dyDescent="0.2">
      <c r="A139">
        <v>138</v>
      </c>
      <c r="B139">
        <v>779</v>
      </c>
      <c r="C139">
        <v>135</v>
      </c>
      <c r="D139">
        <v>0.46505773891555402</v>
      </c>
      <c r="E139">
        <v>6.4857136110912803</v>
      </c>
      <c r="F139">
        <v>0.32163460547842998</v>
      </c>
      <c r="G139">
        <v>-143.87744751962938</v>
      </c>
      <c r="H139">
        <v>-80.793586543431545</v>
      </c>
      <c r="I139">
        <v>59.9606258611363</v>
      </c>
      <c r="J139">
        <v>25.013898286279399</v>
      </c>
      <c r="K139">
        <v>20.164850114445201</v>
      </c>
      <c r="L139">
        <v>1.7899909031205668E-3</v>
      </c>
      <c r="M139">
        <v>6.7708363614413952E-4</v>
      </c>
      <c r="N139" s="1">
        <v>-2.1439258345332902E-5</v>
      </c>
      <c r="O139" s="1">
        <v>2.47866631106345E-5</v>
      </c>
      <c r="P139" s="1">
        <v>-3.0812825318492797E-5</v>
      </c>
      <c r="AE139">
        <v>100</v>
      </c>
      <c r="AJ139">
        <v>1</v>
      </c>
    </row>
    <row r="140" spans="1:36" x14ac:dyDescent="0.2">
      <c r="A140">
        <v>139</v>
      </c>
      <c r="B140">
        <v>778</v>
      </c>
      <c r="C140">
        <v>135</v>
      </c>
      <c r="D140">
        <v>0.464482233743996</v>
      </c>
      <c r="E140">
        <v>6.5093988975413799</v>
      </c>
      <c r="F140">
        <v>0.32221153223094401</v>
      </c>
      <c r="G140">
        <v>-144.34270832812751</v>
      </c>
      <c r="H140">
        <v>-81.113757863291397</v>
      </c>
      <c r="I140">
        <v>60.1557109286098</v>
      </c>
      <c r="J140">
        <v>25.134504009811199</v>
      </c>
      <c r="K140">
        <v>20.202253012085801</v>
      </c>
      <c r="L140">
        <v>1.7942644703398602E-3</v>
      </c>
      <c r="M140">
        <v>6.7676553425711117E-4</v>
      </c>
      <c r="N140" s="1">
        <v>-2.1423933610669701E-5</v>
      </c>
      <c r="O140" s="1">
        <v>2.4841970342677101E-5</v>
      </c>
      <c r="P140" s="1">
        <v>-3.0999052785192103E-5</v>
      </c>
      <c r="AE140">
        <v>100</v>
      </c>
      <c r="AJ140">
        <v>1</v>
      </c>
    </row>
    <row r="141" spans="1:36" x14ac:dyDescent="0.2">
      <c r="A141">
        <v>140</v>
      </c>
      <c r="B141">
        <v>777</v>
      </c>
      <c r="C141">
        <v>135</v>
      </c>
      <c r="D141">
        <v>0.46390563252868899</v>
      </c>
      <c r="E141">
        <v>6.5330586170381997</v>
      </c>
      <c r="F141">
        <v>0.32279087533060502</v>
      </c>
      <c r="G141">
        <v>-144.80698858118674</v>
      </c>
      <c r="H141">
        <v>-81.433822727988357</v>
      </c>
      <c r="I141">
        <v>60.350335162133703</v>
      </c>
      <c r="J141">
        <v>25.2553572869774</v>
      </c>
      <c r="K141">
        <v>20.239291492818602</v>
      </c>
      <c r="L141">
        <v>1.7985505975489429E-3</v>
      </c>
      <c r="M141">
        <v>6.7644334172440896E-4</v>
      </c>
      <c r="N141" s="1">
        <v>-2.1405118795694699E-5</v>
      </c>
      <c r="O141" s="1">
        <v>2.4896809149146899E-5</v>
      </c>
      <c r="P141" s="1">
        <v>-3.1186152335118799E-5</v>
      </c>
      <c r="AE141">
        <v>100</v>
      </c>
      <c r="AJ141">
        <v>1</v>
      </c>
    </row>
    <row r="142" spans="1:36" x14ac:dyDescent="0.2">
      <c r="A142">
        <v>141</v>
      </c>
      <c r="B142">
        <v>776</v>
      </c>
      <c r="C142">
        <v>135</v>
      </c>
      <c r="D142">
        <v>0.46332793213554102</v>
      </c>
      <c r="E142">
        <v>6.5974745290459502</v>
      </c>
      <c r="F142">
        <v>0.32337264813697397</v>
      </c>
      <c r="G142">
        <v>-146.1738512327303</v>
      </c>
      <c r="H142">
        <v>-82.262278972220543</v>
      </c>
      <c r="I142">
        <v>60.9210768151042</v>
      </c>
      <c r="J142">
        <v>25.5342974961263</v>
      </c>
      <c r="K142">
        <v>20.402079665845399</v>
      </c>
      <c r="L142">
        <v>1.8028492217158313E-3</v>
      </c>
      <c r="M142">
        <v>6.7611700948418845E-4</v>
      </c>
      <c r="N142" s="1">
        <v>-2.15157394543307E-5</v>
      </c>
      <c r="O142" s="1">
        <v>2.5106370061560602E-5</v>
      </c>
      <c r="P142" s="1">
        <v>-3.1569272322541499E-5</v>
      </c>
      <c r="AE142">
        <v>100</v>
      </c>
      <c r="AJ142">
        <v>1</v>
      </c>
    </row>
    <row r="143" spans="1:36" x14ac:dyDescent="0.2">
      <c r="A143">
        <v>142</v>
      </c>
      <c r="B143">
        <v>775</v>
      </c>
      <c r="C143">
        <v>135</v>
      </c>
      <c r="D143">
        <v>0.46274912941850099</v>
      </c>
      <c r="E143">
        <v>6.7056469306727999</v>
      </c>
      <c r="F143">
        <v>0.32395686406593099</v>
      </c>
      <c r="G143">
        <v>-148.50861477028414</v>
      </c>
      <c r="H143">
        <v>-83.637022129684539</v>
      </c>
      <c r="I143">
        <v>61.895177239466797</v>
      </c>
      <c r="J143">
        <v>25.983508941106301</v>
      </c>
      <c r="K143">
        <v>20.6991969440353</v>
      </c>
      <c r="L143">
        <v>1.8071602769268501E-3</v>
      </c>
      <c r="M143">
        <v>6.7578648794347604E-4</v>
      </c>
      <c r="N143" s="1">
        <v>-2.1763544748753601E-5</v>
      </c>
      <c r="O143" s="1">
        <v>2.5481383298159199E-5</v>
      </c>
      <c r="P143" s="1">
        <v>-3.2164220328120602E-5</v>
      </c>
      <c r="AE143">
        <v>100</v>
      </c>
      <c r="AJ143">
        <v>1</v>
      </c>
    </row>
    <row r="144" spans="1:36" x14ac:dyDescent="0.2">
      <c r="A144">
        <v>143</v>
      </c>
      <c r="B144">
        <v>774</v>
      </c>
      <c r="C144">
        <v>135</v>
      </c>
      <c r="D144">
        <v>0.46216922121950399</v>
      </c>
      <c r="E144">
        <v>6.8189313228546098</v>
      </c>
      <c r="F144">
        <v>0.32454353658910101</v>
      </c>
      <c r="G144">
        <v>-150.9545732206993</v>
      </c>
      <c r="H144">
        <v>-85.076413977852212</v>
      </c>
      <c r="I144">
        <v>62.915591323191798</v>
      </c>
      <c r="J144">
        <v>26.453677088524</v>
      </c>
      <c r="K144">
        <v>21.010836926596799</v>
      </c>
      <c r="L144">
        <v>1.8114836943278285E-3</v>
      </c>
      <c r="M144">
        <v>6.7545172697530762E-4</v>
      </c>
      <c r="N144" s="1">
        <v>-2.2021492278315E-5</v>
      </c>
      <c r="O144" s="1">
        <v>2.5874487262914499E-5</v>
      </c>
      <c r="P144" s="1">
        <v>-3.27867242773935E-5</v>
      </c>
      <c r="AE144">
        <v>100</v>
      </c>
      <c r="AJ144">
        <v>1</v>
      </c>
    </row>
    <row r="145" spans="1:36" x14ac:dyDescent="0.2">
      <c r="A145">
        <v>144</v>
      </c>
      <c r="B145">
        <v>773</v>
      </c>
      <c r="C145">
        <v>135</v>
      </c>
      <c r="D145">
        <v>0.46158820436839998</v>
      </c>
      <c r="E145">
        <v>6.9400985659671601</v>
      </c>
      <c r="F145">
        <v>0.32513267923323802</v>
      </c>
      <c r="G145">
        <v>-153.57290092437182</v>
      </c>
      <c r="H145">
        <v>-86.615097072684208</v>
      </c>
      <c r="I145">
        <v>64.007814751477198</v>
      </c>
      <c r="J145">
        <v>26.955641230582</v>
      </c>
      <c r="K145">
        <v>21.3454352922444</v>
      </c>
      <c r="L145">
        <v>1.8158194020647096E-3</v>
      </c>
      <c r="M145">
        <v>6.7511267591603241E-4</v>
      </c>
      <c r="N145" s="1">
        <v>-2.2298041313208201E-5</v>
      </c>
      <c r="O145" s="1">
        <v>2.6296088644080602E-5</v>
      </c>
      <c r="P145" s="1">
        <v>-3.3450342484509902E-5</v>
      </c>
      <c r="AE145">
        <v>100</v>
      </c>
      <c r="AJ145">
        <v>1</v>
      </c>
    </row>
    <row r="146" spans="1:36" x14ac:dyDescent="0.2">
      <c r="A146">
        <v>145</v>
      </c>
      <c r="B146">
        <v>772</v>
      </c>
      <c r="C146">
        <v>135</v>
      </c>
      <c r="D146">
        <v>0.46100607568291702</v>
      </c>
      <c r="E146">
        <v>7.0748684491582399</v>
      </c>
      <c r="F146">
        <v>0.32572430557959597</v>
      </c>
      <c r="G146">
        <v>-156.48989786179155</v>
      </c>
      <c r="H146">
        <v>-88.324572419309817</v>
      </c>
      <c r="I146">
        <v>65.224488462569894</v>
      </c>
      <c r="J146">
        <v>27.511759827826499</v>
      </c>
      <c r="K146">
        <v>21.720419164204301</v>
      </c>
      <c r="L146">
        <v>1.8201673252235082E-3</v>
      </c>
      <c r="M146">
        <v>6.7476928356274553E-4</v>
      </c>
      <c r="N146" s="1">
        <v>-2.2610870108342001E-5</v>
      </c>
      <c r="O146" s="1">
        <v>2.6767689481518001E-5</v>
      </c>
      <c r="P146" s="1">
        <v>-3.4183013687380102E-5</v>
      </c>
      <c r="AE146">
        <v>100</v>
      </c>
      <c r="AJ146">
        <v>1</v>
      </c>
    </row>
    <row r="147" spans="1:36" x14ac:dyDescent="0.2">
      <c r="A147">
        <v>146</v>
      </c>
      <c r="B147">
        <v>771</v>
      </c>
      <c r="C147">
        <v>135</v>
      </c>
      <c r="D147">
        <v>0.46042283196858502</v>
      </c>
      <c r="E147">
        <v>7.2385074817039001</v>
      </c>
      <c r="F147">
        <v>0.32631842926326499</v>
      </c>
      <c r="G147">
        <v>-160.04273040715995</v>
      </c>
      <c r="H147">
        <v>-90.395651257088986</v>
      </c>
      <c r="I147">
        <v>66.706145159744494</v>
      </c>
      <c r="J147">
        <v>28.1816666233535</v>
      </c>
      <c r="K147">
        <v>22.1823434797918</v>
      </c>
      <c r="L147">
        <v>1.8245273857693386E-3</v>
      </c>
      <c r="M147">
        <v>6.7442149817079642E-4</v>
      </c>
      <c r="N147" s="1">
        <v>-2.3007576649970001E-5</v>
      </c>
      <c r="O147" s="1">
        <v>2.7346731104295599E-5</v>
      </c>
      <c r="P147" s="1">
        <v>-3.5059189175678599E-5</v>
      </c>
      <c r="AE147">
        <v>100</v>
      </c>
      <c r="AJ147">
        <v>1</v>
      </c>
    </row>
    <row r="148" spans="1:36" x14ac:dyDescent="0.2">
      <c r="A148">
        <v>147</v>
      </c>
      <c r="B148">
        <v>770</v>
      </c>
      <c r="C148">
        <v>135</v>
      </c>
      <c r="D148">
        <v>0.45983847001869499</v>
      </c>
      <c r="E148">
        <v>7.78002093218746</v>
      </c>
      <c r="F148">
        <v>0.326915063972468</v>
      </c>
      <c r="G148">
        <v>-171.94386075021282</v>
      </c>
      <c r="H148">
        <v>-97.18846678842209</v>
      </c>
      <c r="I148">
        <v>71.667397946140198</v>
      </c>
      <c r="J148">
        <v>30.3261805174897</v>
      </c>
      <c r="K148">
        <v>23.798294387690401</v>
      </c>
      <c r="L148">
        <v>1.8288995024846632E-3</v>
      </c>
      <c r="M148">
        <v>6.7406926745141324E-4</v>
      </c>
      <c r="N148" s="1">
        <v>-2.4589433684351599E-5</v>
      </c>
      <c r="O148" s="1">
        <v>2.93493079903844E-5</v>
      </c>
      <c r="P148" s="1">
        <v>-3.7774459072392101E-5</v>
      </c>
      <c r="AE148">
        <v>100</v>
      </c>
      <c r="AJ148">
        <v>1</v>
      </c>
    </row>
    <row r="149" spans="1:36" x14ac:dyDescent="0.2">
      <c r="A149">
        <v>148</v>
      </c>
      <c r="B149">
        <v>769</v>
      </c>
      <c r="C149">
        <v>135</v>
      </c>
      <c r="D149">
        <v>0.45925298661421299</v>
      </c>
      <c r="E149">
        <v>8.8623873587196105</v>
      </c>
      <c r="F149">
        <v>0.32751422344784797</v>
      </c>
      <c r="G149">
        <v>-195.78328848627604</v>
      </c>
      <c r="H149">
        <v>-110.74401605399339</v>
      </c>
      <c r="I149">
        <v>81.604705689720504</v>
      </c>
      <c r="J149">
        <v>34.586661059043003</v>
      </c>
      <c r="K149">
        <v>27.0595495530618</v>
      </c>
      <c r="L149">
        <v>1.8332835909070232E-3</v>
      </c>
      <c r="M149">
        <v>6.7371253856949979E-4</v>
      </c>
      <c r="N149" s="1">
        <v>-2.78474309085528E-5</v>
      </c>
      <c r="O149" s="1">
        <v>3.3382996931832097E-5</v>
      </c>
      <c r="P149" s="1">
        <v>-4.3135678106057498E-5</v>
      </c>
      <c r="AE149">
        <v>100</v>
      </c>
      <c r="AJ149">
        <v>1</v>
      </c>
    </row>
    <row r="150" spans="1:36" x14ac:dyDescent="0.2">
      <c r="A150">
        <v>149</v>
      </c>
      <c r="B150">
        <v>768</v>
      </c>
      <c r="C150">
        <v>135</v>
      </c>
      <c r="D150">
        <v>0.45866637852374798</v>
      </c>
      <c r="E150">
        <v>9.6496184563810097</v>
      </c>
      <c r="F150">
        <v>0.32811592148170499</v>
      </c>
      <c r="G150">
        <v>-213.08555624531732</v>
      </c>
      <c r="H150">
        <v>-120.61890400917511</v>
      </c>
      <c r="I150">
        <v>88.817340767783094</v>
      </c>
      <c r="J150">
        <v>37.704280460287499</v>
      </c>
      <c r="K150">
        <v>29.409174699006599</v>
      </c>
      <c r="L150">
        <v>1.8376795632658763E-3</v>
      </c>
      <c r="M150">
        <v>6.7335125814156009E-4</v>
      </c>
      <c r="N150" s="1">
        <v>-3.0139053161322499E-5</v>
      </c>
      <c r="O150" s="1">
        <v>3.6294345592435503E-5</v>
      </c>
      <c r="P150" s="1">
        <v>-4.7083441072130801E-5</v>
      </c>
      <c r="AE150">
        <v>100</v>
      </c>
      <c r="AJ150">
        <v>1</v>
      </c>
    </row>
    <row r="151" spans="1:36" x14ac:dyDescent="0.2">
      <c r="A151">
        <v>150</v>
      </c>
      <c r="B151">
        <v>767</v>
      </c>
      <c r="C151">
        <v>135</v>
      </c>
      <c r="D151">
        <v>0.45807864250348701</v>
      </c>
      <c r="E151">
        <v>10.175009889019799</v>
      </c>
      <c r="F151">
        <v>0.32872017191721598</v>
      </c>
      <c r="G151">
        <v>-224.5937618001939</v>
      </c>
      <c r="H151">
        <v>-127.22600583587399</v>
      </c>
      <c r="I151">
        <v>93.6149389316883</v>
      </c>
      <c r="J151">
        <v>39.805180685737298</v>
      </c>
      <c r="K151">
        <v>30.9534088817108</v>
      </c>
      <c r="L151">
        <v>1.8420873284186537E-3</v>
      </c>
      <c r="M151">
        <v>6.7298537223370932E-4</v>
      </c>
      <c r="N151" s="1">
        <v>-3.15831432159263E-5</v>
      </c>
      <c r="O151" s="1">
        <v>3.8213304599759899E-5</v>
      </c>
      <c r="P151" s="1">
        <v>-4.9770128221143297E-5</v>
      </c>
      <c r="AE151">
        <v>100</v>
      </c>
      <c r="AJ151">
        <v>1</v>
      </c>
    </row>
    <row r="152" spans="1:36" x14ac:dyDescent="0.2">
      <c r="A152">
        <v>151</v>
      </c>
      <c r="B152">
        <v>766</v>
      </c>
      <c r="C152">
        <v>135</v>
      </c>
      <c r="D152">
        <v>0.45748977529712298</v>
      </c>
      <c r="E152">
        <v>10.400073906505099</v>
      </c>
      <c r="F152">
        <v>0.32932698864760901</v>
      </c>
      <c r="G152">
        <v>-229.46595079388536</v>
      </c>
      <c r="H152">
        <v>-130.08086531491793</v>
      </c>
      <c r="I152">
        <v>95.646477447812501</v>
      </c>
      <c r="J152">
        <v>40.734937967200104</v>
      </c>
      <c r="K152">
        <v>31.579780172931901</v>
      </c>
      <c r="L152">
        <v>1.8465067917861836E-3</v>
      </c>
      <c r="M152">
        <v>6.7261482635988155E-4</v>
      </c>
      <c r="N152" s="1">
        <v>-3.2075353587445598E-5</v>
      </c>
      <c r="O152" s="1">
        <v>3.8999923490804698E-5</v>
      </c>
      <c r="P152" s="1">
        <v>-5.0997618638766699E-5</v>
      </c>
      <c r="AE152">
        <v>100</v>
      </c>
      <c r="AJ152">
        <v>1</v>
      </c>
    </row>
    <row r="153" spans="1:36" x14ac:dyDescent="0.2">
      <c r="A153">
        <v>152</v>
      </c>
      <c r="B153">
        <v>765</v>
      </c>
      <c r="C153">
        <v>135</v>
      </c>
      <c r="D153">
        <v>0.45689977363579698</v>
      </c>
      <c r="E153">
        <v>10.521204458872999</v>
      </c>
      <c r="F153">
        <v>0.32993638561532002</v>
      </c>
      <c r="G153">
        <v>-232.04181975709761</v>
      </c>
      <c r="H153">
        <v>-131.63716270996494</v>
      </c>
      <c r="I153">
        <v>96.720780163174794</v>
      </c>
      <c r="J153">
        <v>41.2594647086949</v>
      </c>
      <c r="K153">
        <v>31.888584944189699</v>
      </c>
      <c r="L153">
        <v>1.8509378552875198E-3</v>
      </c>
      <c r="M153">
        <v>6.7223956548022378E-4</v>
      </c>
      <c r="N153" s="1">
        <v>-3.2234864419679299E-5</v>
      </c>
      <c r="O153" s="1">
        <v>3.9394624044895399E-5</v>
      </c>
      <c r="P153" s="1">
        <v>-5.1720431629112002E-5</v>
      </c>
      <c r="AE153">
        <v>100</v>
      </c>
      <c r="AJ153">
        <v>1</v>
      </c>
    </row>
    <row r="154" spans="1:36" x14ac:dyDescent="0.2">
      <c r="A154">
        <v>153</v>
      </c>
      <c r="B154">
        <v>794</v>
      </c>
      <c r="C154">
        <v>115</v>
      </c>
      <c r="D154">
        <v>0.49417654500304597</v>
      </c>
      <c r="E154">
        <v>6.8041282215059198</v>
      </c>
      <c r="F154">
        <v>0.26881087978783602</v>
      </c>
      <c r="G154">
        <v>-152.35545199451397</v>
      </c>
      <c r="H154">
        <v>-83.965101659136835</v>
      </c>
      <c r="I154">
        <v>64.090562784394706</v>
      </c>
      <c r="J154">
        <v>25.132914235892599</v>
      </c>
      <c r="K154">
        <v>25.311952503098802</v>
      </c>
      <c r="L154">
        <v>1.7594193885841715E-3</v>
      </c>
      <c r="M154">
        <v>8.5762276767328935E-4</v>
      </c>
      <c r="N154" s="1">
        <v>-3.9419650356385102E-5</v>
      </c>
      <c r="O154" s="1">
        <v>4.4427393523924303E-5</v>
      </c>
      <c r="P154" s="1">
        <v>-3.9285007564636201E-5</v>
      </c>
      <c r="AE154">
        <v>100</v>
      </c>
      <c r="AJ154">
        <v>1</v>
      </c>
    </row>
    <row r="155" spans="1:36" x14ac:dyDescent="0.2">
      <c r="A155">
        <v>154</v>
      </c>
      <c r="B155">
        <v>793</v>
      </c>
      <c r="C155">
        <v>115</v>
      </c>
      <c r="D155">
        <v>0.49363644890494002</v>
      </c>
      <c r="E155">
        <v>6.8187014542223601</v>
      </c>
      <c r="F155">
        <v>0.26928487460016098</v>
      </c>
      <c r="G155">
        <v>-152.61755425613697</v>
      </c>
      <c r="H155">
        <v>-84.170141381968264</v>
      </c>
      <c r="I155">
        <v>64.204206681852398</v>
      </c>
      <c r="J155">
        <v>25.216096831698302</v>
      </c>
      <c r="K155">
        <v>25.321516718482101</v>
      </c>
      <c r="L155">
        <v>1.7640829571295726E-3</v>
      </c>
      <c r="M155">
        <v>8.5757851946208501E-4</v>
      </c>
      <c r="N155" s="1">
        <v>-3.9558619840069398E-5</v>
      </c>
      <c r="O155" s="1">
        <v>4.4476079884001702E-5</v>
      </c>
      <c r="P155" s="1">
        <v>-3.945666122664E-5</v>
      </c>
      <c r="AE155">
        <v>100</v>
      </c>
      <c r="AJ155">
        <v>1</v>
      </c>
    </row>
    <row r="156" spans="1:36" x14ac:dyDescent="0.2">
      <c r="A156">
        <v>155</v>
      </c>
      <c r="B156">
        <v>792</v>
      </c>
      <c r="C156">
        <v>115</v>
      </c>
      <c r="D156">
        <v>0.49309533868469302</v>
      </c>
      <c r="E156">
        <v>6.8389439556416303</v>
      </c>
      <c r="F156">
        <v>0.26976096613558198</v>
      </c>
      <c r="G156">
        <v>-153.00624307582663</v>
      </c>
      <c r="H156">
        <v>-84.445320836888214</v>
      </c>
      <c r="I156">
        <v>64.371061261445902</v>
      </c>
      <c r="J156">
        <v>25.320570946512198</v>
      </c>
      <c r="K156">
        <v>25.351866334154298</v>
      </c>
      <c r="L156">
        <v>1.7687679012866055E-3</v>
      </c>
      <c r="M156">
        <v>8.5753198108246291E-4</v>
      </c>
      <c r="N156" s="1">
        <v>-3.97294425455552E-5</v>
      </c>
      <c r="O156" s="1">
        <v>4.4561436833726902E-5</v>
      </c>
      <c r="P156" s="1">
        <v>-3.9662265340423401E-5</v>
      </c>
      <c r="AE156">
        <v>100</v>
      </c>
      <c r="AJ156">
        <v>1</v>
      </c>
    </row>
    <row r="157" spans="1:36" x14ac:dyDescent="0.2">
      <c r="A157">
        <v>156</v>
      </c>
      <c r="B157">
        <v>791</v>
      </c>
      <c r="C157">
        <v>115</v>
      </c>
      <c r="D157">
        <v>0.49255321148334702</v>
      </c>
      <c r="E157">
        <v>6.85917646916681</v>
      </c>
      <c r="F157">
        <v>0.27023916834401102</v>
      </c>
      <c r="G157">
        <v>-153.39435124224278</v>
      </c>
      <c r="H157">
        <v>-84.720556523658232</v>
      </c>
      <c r="I157">
        <v>64.537630936016399</v>
      </c>
      <c r="J157">
        <v>25.425361100159801</v>
      </c>
      <c r="K157">
        <v>25.381873809037</v>
      </c>
      <c r="L157">
        <v>1.7734743077154821E-3</v>
      </c>
      <c r="M157">
        <v>8.5748311422990595E-4</v>
      </c>
      <c r="N157" s="1">
        <v>-3.9899167561486901E-5</v>
      </c>
      <c r="O157" s="1">
        <v>4.4646380311873403E-5</v>
      </c>
      <c r="P157" s="1">
        <v>-3.9869042345952998E-5</v>
      </c>
      <c r="AE157">
        <v>100</v>
      </c>
      <c r="AJ157">
        <v>1</v>
      </c>
    </row>
    <row r="158" spans="1:36" x14ac:dyDescent="0.2">
      <c r="A158">
        <v>157</v>
      </c>
      <c r="B158">
        <v>790</v>
      </c>
      <c r="C158">
        <v>115</v>
      </c>
      <c r="D158">
        <v>0.49201006443117301</v>
      </c>
      <c r="E158">
        <v>6.8793908117633897</v>
      </c>
      <c r="F158">
        <v>0.27071949528387201</v>
      </c>
      <c r="G158">
        <v>-153.78169637567098</v>
      </c>
      <c r="H158">
        <v>-84.995747671234838</v>
      </c>
      <c r="I158">
        <v>64.703838136012394</v>
      </c>
      <c r="J158">
        <v>25.530439346417801</v>
      </c>
      <c r="K158">
        <v>25.4115087077484</v>
      </c>
      <c r="L158">
        <v>1.7782022623921837E-3</v>
      </c>
      <c r="M158">
        <v>8.5743187998370155E-4</v>
      </c>
      <c r="N158" s="1">
        <v>-4.0067697865074499E-5</v>
      </c>
      <c r="O158" s="1">
        <v>4.4730855586240203E-5</v>
      </c>
      <c r="P158" s="1">
        <v>-4.0076957483214798E-5</v>
      </c>
      <c r="AE158">
        <v>100</v>
      </c>
      <c r="AJ158">
        <v>1</v>
      </c>
    </row>
    <row r="159" spans="1:36" x14ac:dyDescent="0.2">
      <c r="A159">
        <v>158</v>
      </c>
      <c r="B159">
        <v>789</v>
      </c>
      <c r="C159">
        <v>115</v>
      </c>
      <c r="D159">
        <v>0.49146589464765</v>
      </c>
      <c r="E159">
        <v>6.8995790306093401</v>
      </c>
      <c r="F159">
        <v>0.27120196112280598</v>
      </c>
      <c r="G159">
        <v>-154.16810154885036</v>
      </c>
      <c r="H159">
        <v>-85.270796235010906</v>
      </c>
      <c r="I159">
        <v>64.869607566392204</v>
      </c>
      <c r="J159">
        <v>25.635778460029702</v>
      </c>
      <c r="K159">
        <v>25.440741659994998</v>
      </c>
      <c r="L159">
        <v>1.7829518505703564E-3</v>
      </c>
      <c r="M159">
        <v>8.5737823879712097E-4</v>
      </c>
      <c r="N159" s="1">
        <v>-4.0234936347838202E-5</v>
      </c>
      <c r="O159" s="1">
        <v>4.4814809608890299E-5</v>
      </c>
      <c r="P159" s="1">
        <v>-4.0285977040644501E-5</v>
      </c>
      <c r="AE159">
        <v>100</v>
      </c>
      <c r="AJ159">
        <v>1</v>
      </c>
    </row>
    <row r="160" spans="1:36" x14ac:dyDescent="0.2">
      <c r="A160">
        <v>159</v>
      </c>
      <c r="B160">
        <v>788</v>
      </c>
      <c r="C160">
        <v>115</v>
      </c>
      <c r="D160">
        <v>0.49092069924139198</v>
      </c>
      <c r="E160">
        <v>6.9197334238354102</v>
      </c>
      <c r="F160">
        <v>0.27168658013837299</v>
      </c>
      <c r="G160">
        <v>-154.55339573910896</v>
      </c>
      <c r="H160">
        <v>-85.545607157148524</v>
      </c>
      <c r="I160">
        <v>65.034866398101897</v>
      </c>
      <c r="J160">
        <v>25.741352016582798</v>
      </c>
      <c r="K160">
        <v>25.469544429876098</v>
      </c>
      <c r="L160">
        <v>1.7877231567421463E-3</v>
      </c>
      <c r="M160">
        <v>8.5732215048748824E-4</v>
      </c>
      <c r="N160" s="1">
        <v>-4.0400785937767801E-5</v>
      </c>
      <c r="O160" s="1">
        <v>4.4898191142817797E-5</v>
      </c>
      <c r="P160" s="1">
        <v>-4.0496068483713397E-5</v>
      </c>
      <c r="AE160">
        <v>100</v>
      </c>
      <c r="AJ160">
        <v>1</v>
      </c>
    </row>
    <row r="161" spans="1:36" x14ac:dyDescent="0.2">
      <c r="A161">
        <v>160</v>
      </c>
      <c r="B161">
        <v>787</v>
      </c>
      <c r="C161">
        <v>115</v>
      </c>
      <c r="D161">
        <v>0.49037447531009798</v>
      </c>
      <c r="E161">
        <v>6.93984655866638</v>
      </c>
      <c r="F161">
        <v>0.27217336671874998</v>
      </c>
      <c r="G161">
        <v>-154.9374142213172</v>
      </c>
      <c r="H161">
        <v>-85.820088595244897</v>
      </c>
      <c r="I161">
        <v>65.199544434682394</v>
      </c>
      <c r="J161">
        <v>25.847134463326299</v>
      </c>
      <c r="K161">
        <v>25.497889974802899</v>
      </c>
      <c r="L161">
        <v>1.7925162645979721E-3</v>
      </c>
      <c r="M161">
        <v>8.5726357422610138E-4</v>
      </c>
      <c r="N161" s="1">
        <v>-4.0565149706919098E-5</v>
      </c>
      <c r="O161" s="1">
        <v>4.4980950870875798E-5</v>
      </c>
      <c r="P161" s="1">
        <v>-4.0707200570086501E-5</v>
      </c>
      <c r="AE161">
        <v>100</v>
      </c>
      <c r="AJ161">
        <v>1</v>
      </c>
    </row>
    <row r="162" spans="1:36" x14ac:dyDescent="0.2">
      <c r="A162">
        <v>161</v>
      </c>
      <c r="B162">
        <v>786</v>
      </c>
      <c r="C162">
        <v>115</v>
      </c>
      <c r="D162">
        <v>0.48982721994052197</v>
      </c>
      <c r="E162">
        <v>6.9599112861728196</v>
      </c>
      <c r="F162">
        <v>0.27266233536342399</v>
      </c>
      <c r="G162">
        <v>-155.31999888418699</v>
      </c>
      <c r="H162">
        <v>-86.094152109487254</v>
      </c>
      <c r="I162">
        <v>65.363574246636603</v>
      </c>
      <c r="J162">
        <v>25.953101177898802</v>
      </c>
      <c r="K162">
        <v>25.525752491249399</v>
      </c>
      <c r="L162">
        <v>1.7973312569851603E-3</v>
      </c>
      <c r="M162">
        <v>8.5720246852805451E-4</v>
      </c>
      <c r="N162" s="1">
        <v>-4.0727930959566E-5</v>
      </c>
      <c r="O162" s="1">
        <v>4.5063041481974098E-5</v>
      </c>
      <c r="P162" s="1">
        <v>-4.0919343446524E-5</v>
      </c>
      <c r="AE162">
        <v>100</v>
      </c>
      <c r="AJ162">
        <v>1</v>
      </c>
    </row>
    <row r="163" spans="1:36" x14ac:dyDescent="0.2">
      <c r="A163">
        <v>162</v>
      </c>
      <c r="B163">
        <v>785</v>
      </c>
      <c r="C163">
        <v>115</v>
      </c>
      <c r="D163">
        <v>0.48927893020838498</v>
      </c>
      <c r="E163">
        <v>6.9864402421059397</v>
      </c>
      <c r="F163">
        <v>0.273153500683883</v>
      </c>
      <c r="G163">
        <v>-155.84642863423699</v>
      </c>
      <c r="H163">
        <v>-86.448383264852438</v>
      </c>
      <c r="I163">
        <v>65.588095675950996</v>
      </c>
      <c r="J163">
        <v>26.083568743368001</v>
      </c>
      <c r="K163">
        <v>25.576974941248199</v>
      </c>
      <c r="L163">
        <v>1.8021682158654172E-3</v>
      </c>
      <c r="M163">
        <v>8.5713879124185461E-4</v>
      </c>
      <c r="N163" s="1">
        <v>-4.0927225084155202E-5</v>
      </c>
      <c r="O163" s="1">
        <v>4.5186584195690301E-5</v>
      </c>
      <c r="P163" s="1">
        <v>-4.1170887887901203E-5</v>
      </c>
      <c r="AE163">
        <v>100</v>
      </c>
      <c r="AJ163">
        <v>1</v>
      </c>
    </row>
    <row r="164" spans="1:36" x14ac:dyDescent="0.2">
      <c r="A164">
        <v>163</v>
      </c>
      <c r="B164">
        <v>784</v>
      </c>
      <c r="C164">
        <v>115</v>
      </c>
      <c r="D164">
        <v>0.48872960317835601</v>
      </c>
      <c r="E164">
        <v>7.0822815968240302</v>
      </c>
      <c r="F164">
        <v>0.27364687740429999</v>
      </c>
      <c r="G164">
        <v>-157.91788510367743</v>
      </c>
      <c r="H164">
        <v>-87.66075656256649</v>
      </c>
      <c r="I164">
        <v>66.462830683954493</v>
      </c>
      <c r="J164">
        <v>26.473554173741501</v>
      </c>
      <c r="K164">
        <v>25.881097800214601</v>
      </c>
      <c r="L164">
        <v>1.8070272222711283E-3</v>
      </c>
      <c r="M164">
        <v>8.5707249953896549E-4</v>
      </c>
      <c r="N164" s="1">
        <v>-4.1531644958218498E-5</v>
      </c>
      <c r="O164" s="1">
        <v>4.5757495007402299E-5</v>
      </c>
      <c r="P164" s="1">
        <v>-4.1833344564035003E-5</v>
      </c>
      <c r="AE164">
        <v>100</v>
      </c>
      <c r="AJ164">
        <v>1</v>
      </c>
    </row>
    <row r="165" spans="1:36" x14ac:dyDescent="0.2">
      <c r="A165">
        <v>164</v>
      </c>
      <c r="B165">
        <v>783</v>
      </c>
      <c r="C165">
        <v>115</v>
      </c>
      <c r="D165">
        <v>0.48817923590399198</v>
      </c>
      <c r="E165">
        <v>7.18200167102367</v>
      </c>
      <c r="F165">
        <v>0.27414248036220801</v>
      </c>
      <c r="G165">
        <v>-160.07401753676072</v>
      </c>
      <c r="H165">
        <v>-88.921901889521365</v>
      </c>
      <c r="I165">
        <v>67.373219362420897</v>
      </c>
      <c r="J165">
        <v>26.879120718023401</v>
      </c>
      <c r="K165">
        <v>26.1980619039213</v>
      </c>
      <c r="L165">
        <v>1.8119083562604865E-3</v>
      </c>
      <c r="M165">
        <v>8.5700354990318273E-4</v>
      </c>
      <c r="N165" s="1">
        <v>-4.2158244055174303E-5</v>
      </c>
      <c r="O165" s="1">
        <v>4.6352028117678297E-5</v>
      </c>
      <c r="P165" s="1">
        <v>-4.2522209854183602E-5</v>
      </c>
      <c r="AE165">
        <v>100</v>
      </c>
      <c r="AJ165">
        <v>1</v>
      </c>
    </row>
    <row r="166" spans="1:36" x14ac:dyDescent="0.2">
      <c r="A166">
        <v>165</v>
      </c>
      <c r="B166">
        <v>782</v>
      </c>
      <c r="C166">
        <v>115</v>
      </c>
      <c r="D166">
        <v>0.48762782542766497</v>
      </c>
      <c r="E166">
        <v>7.2874733327677603</v>
      </c>
      <c r="F166">
        <v>0.27464032450917802</v>
      </c>
      <c r="G166">
        <v>-162.35644319519542</v>
      </c>
      <c r="H166">
        <v>-90.255059723058054</v>
      </c>
      <c r="I166">
        <v>68.336780374241101</v>
      </c>
      <c r="J166">
        <v>27.3073486040958</v>
      </c>
      <c r="K166">
        <v>26.534607930541501</v>
      </c>
      <c r="L166">
        <v>1.8168116968713584E-3</v>
      </c>
      <c r="M166">
        <v>8.5693189811986538E-4</v>
      </c>
      <c r="N166" s="1">
        <v>-4.28179750371221E-5</v>
      </c>
      <c r="O166" s="1">
        <v>4.6982172345885601E-5</v>
      </c>
      <c r="P166" s="1">
        <v>-4.3248801725601302E-5</v>
      </c>
      <c r="AE166">
        <v>100</v>
      </c>
      <c r="AJ166">
        <v>1</v>
      </c>
    </row>
    <row r="167" spans="1:36" x14ac:dyDescent="0.2">
      <c r="A167">
        <v>166</v>
      </c>
      <c r="B167">
        <v>781</v>
      </c>
      <c r="C167">
        <v>115</v>
      </c>
      <c r="D167">
        <v>0.48707536878053398</v>
      </c>
      <c r="E167">
        <v>7.4021459903164599</v>
      </c>
      <c r="F167">
        <v>0.27514042491148399</v>
      </c>
      <c r="G167">
        <v>-164.84181789409124</v>
      </c>
      <c r="H167">
        <v>-91.703030045476694</v>
      </c>
      <c r="I167">
        <v>69.385783627656394</v>
      </c>
      <c r="J167">
        <v>27.771268225185601</v>
      </c>
      <c r="K167">
        <v>26.903156788748198</v>
      </c>
      <c r="L167">
        <v>1.821737322073959E-3</v>
      </c>
      <c r="M167">
        <v>8.5685749926507268E-4</v>
      </c>
      <c r="N167" s="1">
        <v>-4.3531092473843301E-5</v>
      </c>
      <c r="O167" s="1">
        <v>4.7670017016265E-5</v>
      </c>
      <c r="P167" s="1">
        <v>-4.4033925644999598E-5</v>
      </c>
      <c r="AE167">
        <v>100</v>
      </c>
      <c r="AJ167">
        <v>1</v>
      </c>
    </row>
    <row r="168" spans="1:36" x14ac:dyDescent="0.2">
      <c r="A168">
        <v>167</v>
      </c>
      <c r="B168">
        <v>780</v>
      </c>
      <c r="C168">
        <v>115</v>
      </c>
      <c r="D168">
        <v>0.48652186298248101</v>
      </c>
      <c r="E168">
        <v>7.5334222795028696</v>
      </c>
      <c r="F168">
        <v>0.27564279675076098</v>
      </c>
      <c r="G168">
        <v>-167.69466747048213</v>
      </c>
      <c r="H168">
        <v>-93.357655034319393</v>
      </c>
      <c r="I168">
        <v>70.589492022025496</v>
      </c>
      <c r="J168">
        <v>28.298825196388801</v>
      </c>
      <c r="K168">
        <v>27.330379637363201</v>
      </c>
      <c r="L168">
        <v>1.8266853087221127E-3</v>
      </c>
      <c r="M168">
        <v>8.5678030769446953E-4</v>
      </c>
      <c r="N168" s="1">
        <v>-4.4341176412970103E-5</v>
      </c>
      <c r="O168" s="1">
        <v>4.8462986210185502E-5</v>
      </c>
      <c r="P168" s="1">
        <v>-4.4922161351024997E-5</v>
      </c>
      <c r="AE168">
        <v>100</v>
      </c>
      <c r="AJ168">
        <v>1</v>
      </c>
    </row>
    <row r="169" spans="1:36" x14ac:dyDescent="0.2">
      <c r="A169">
        <v>168</v>
      </c>
      <c r="B169">
        <v>779</v>
      </c>
      <c r="C169">
        <v>115</v>
      </c>
      <c r="D169">
        <v>0.48596730504205599</v>
      </c>
      <c r="E169">
        <v>7.7019095452829598</v>
      </c>
      <c r="F169">
        <v>0.27614745532466101</v>
      </c>
      <c r="G169">
        <v>-171.3730548820493</v>
      </c>
      <c r="H169">
        <v>-95.474576936147869</v>
      </c>
      <c r="I169">
        <v>72.140745570018098</v>
      </c>
      <c r="J169">
        <v>28.9677696775959</v>
      </c>
      <c r="K169">
        <v>27.890568595781399</v>
      </c>
      <c r="L169">
        <v>1.8316557325034235E-3</v>
      </c>
      <c r="M169">
        <v>8.5670027703223294E-4</v>
      </c>
      <c r="N169" s="1">
        <v>-4.5369714916460997E-5</v>
      </c>
      <c r="O169" s="1">
        <v>4.9493151275185299E-5</v>
      </c>
      <c r="P169" s="1">
        <v>-4.6037450617341503E-5</v>
      </c>
      <c r="AE169">
        <v>100</v>
      </c>
      <c r="AJ169">
        <v>1</v>
      </c>
    </row>
    <row r="170" spans="1:36" x14ac:dyDescent="0.2">
      <c r="A170">
        <v>169</v>
      </c>
      <c r="B170">
        <v>778</v>
      </c>
      <c r="C170">
        <v>115</v>
      </c>
      <c r="D170">
        <v>0.48541169195642903</v>
      </c>
      <c r="E170">
        <v>8.13008293073886</v>
      </c>
      <c r="F170">
        <v>0.27665441604749602</v>
      </c>
      <c r="G170">
        <v>-180.82408548859698</v>
      </c>
      <c r="H170">
        <v>-100.81290636704928</v>
      </c>
      <c r="I170">
        <v>76.1221820427578</v>
      </c>
      <c r="J170">
        <v>30.6164406650642</v>
      </c>
      <c r="K170">
        <v>29.387143161824898</v>
      </c>
      <c r="L170">
        <v>1.8366486678878227E-3</v>
      </c>
      <c r="M170">
        <v>8.566173601596591E-4</v>
      </c>
      <c r="N170" s="1">
        <v>-4.7928589837322897E-5</v>
      </c>
      <c r="O170" s="1">
        <v>5.2187815700066703E-5</v>
      </c>
      <c r="P170" s="1">
        <v>-4.8714509022165497E-5</v>
      </c>
      <c r="AE170">
        <v>100</v>
      </c>
      <c r="AJ170">
        <v>1</v>
      </c>
    </row>
    <row r="171" spans="1:36" x14ac:dyDescent="0.2">
      <c r="A171">
        <v>170</v>
      </c>
      <c r="B171">
        <v>777</v>
      </c>
      <c r="C171">
        <v>115</v>
      </c>
      <c r="D171">
        <v>0.48485502071132902</v>
      </c>
      <c r="E171">
        <v>8.9643762365307307</v>
      </c>
      <c r="F171">
        <v>0.27716369445087502</v>
      </c>
      <c r="G171">
        <v>-199.29598400374348</v>
      </c>
      <c r="H171">
        <v>-111.19191028047413</v>
      </c>
      <c r="I171">
        <v>83.901541389161196</v>
      </c>
      <c r="J171">
        <v>33.800678194277602</v>
      </c>
      <c r="K171">
        <v>32.343255686107099</v>
      </c>
      <c r="L171">
        <v>1.8416641880750397E-3</v>
      </c>
      <c r="M171">
        <v>8.565315092037639E-4</v>
      </c>
      <c r="N171" s="1">
        <v>-5.28847704086567E-5</v>
      </c>
      <c r="O171" s="1">
        <v>5.7480464777838603E-5</v>
      </c>
      <c r="P171" s="1">
        <v>-5.38443260430074E-5</v>
      </c>
      <c r="AE171">
        <v>100</v>
      </c>
      <c r="AJ171">
        <v>1</v>
      </c>
    </row>
    <row r="172" spans="1:36" x14ac:dyDescent="0.2">
      <c r="A172">
        <v>171</v>
      </c>
      <c r="B172">
        <v>776</v>
      </c>
      <c r="C172">
        <v>115</v>
      </c>
      <c r="D172">
        <v>0.484297288280991</v>
      </c>
      <c r="E172">
        <v>9.6666641779889702</v>
      </c>
      <c r="F172">
        <v>0.277675306184334</v>
      </c>
      <c r="G172">
        <v>-214.81879009014898</v>
      </c>
      <c r="H172">
        <v>-119.93938825796124</v>
      </c>
      <c r="I172">
        <v>90.4398167002159</v>
      </c>
      <c r="J172">
        <v>36.494727432302199</v>
      </c>
      <c r="K172">
        <v>34.812833416205102</v>
      </c>
      <c r="L172">
        <v>1.8467023649404851E-3</v>
      </c>
      <c r="M172">
        <v>8.5644267552568304E-4</v>
      </c>
      <c r="N172" s="1">
        <v>-5.7065864810025102E-5</v>
      </c>
      <c r="O172" s="1">
        <v>6.1915795742832202E-5</v>
      </c>
      <c r="P172" s="1">
        <v>-5.8204835030444998E-5</v>
      </c>
      <c r="AE172">
        <v>100</v>
      </c>
      <c r="AJ172">
        <v>1</v>
      </c>
    </row>
    <row r="173" spans="1:36" x14ac:dyDescent="0.2">
      <c r="A173">
        <v>172</v>
      </c>
      <c r="B173">
        <v>775</v>
      </c>
      <c r="C173">
        <v>115</v>
      </c>
      <c r="D173">
        <v>0.483738491628109</v>
      </c>
      <c r="E173">
        <v>10.117004854263699</v>
      </c>
      <c r="F173">
        <v>0.27818926701595298</v>
      </c>
      <c r="G173">
        <v>-224.73191352830892</v>
      </c>
      <c r="H173">
        <v>-125.56522107491764</v>
      </c>
      <c r="I173">
        <v>94.616688474764203</v>
      </c>
      <c r="J173">
        <v>38.243369672434497</v>
      </c>
      <c r="K173">
        <v>36.367344300466897</v>
      </c>
      <c r="L173">
        <v>1.8517632689797204E-3</v>
      </c>
      <c r="M173">
        <v>8.5635080970891068E-4</v>
      </c>
      <c r="N173" s="1">
        <v>-5.97611318103326E-5</v>
      </c>
      <c r="O173" s="1">
        <v>6.4729161306556203E-5</v>
      </c>
      <c r="P173" s="1">
        <v>-6.1066500021764094E-5</v>
      </c>
      <c r="AE173">
        <v>100</v>
      </c>
      <c r="AJ173">
        <v>1</v>
      </c>
    </row>
    <row r="174" spans="1:36" x14ac:dyDescent="0.2">
      <c r="A174">
        <v>173</v>
      </c>
      <c r="B174">
        <v>774</v>
      </c>
      <c r="C174">
        <v>115</v>
      </c>
      <c r="D174">
        <v>0.48317862770377201</v>
      </c>
      <c r="E174">
        <v>10.375790253382</v>
      </c>
      <c r="F174">
        <v>0.27870559283296698</v>
      </c>
      <c r="G174">
        <v>-230.38336919878856</v>
      </c>
      <c r="H174">
        <v>-128.81633186974204</v>
      </c>
      <c r="I174">
        <v>96.999450884186601</v>
      </c>
      <c r="J174">
        <v>39.2716029492722</v>
      </c>
      <c r="K174">
        <v>37.2284967370583</v>
      </c>
      <c r="L174">
        <v>1.8568469692516506E-3</v>
      </c>
      <c r="M174">
        <v>8.562558615475E-4</v>
      </c>
      <c r="N174" s="1">
        <v>-6.1324282733466696E-5</v>
      </c>
      <c r="O174" s="1">
        <v>6.6311819141906197E-5</v>
      </c>
      <c r="P174" s="1">
        <v>-6.2783714278079797E-5</v>
      </c>
      <c r="AE174">
        <v>100</v>
      </c>
      <c r="AJ174">
        <v>1</v>
      </c>
    </row>
    <row r="175" spans="1:36" x14ac:dyDescent="0.2">
      <c r="A175">
        <v>174</v>
      </c>
      <c r="B175">
        <v>773</v>
      </c>
      <c r="C175">
        <v>115</v>
      </c>
      <c r="D175">
        <v>0.48261769344740202</v>
      </c>
      <c r="E175">
        <v>10.5040518073431</v>
      </c>
      <c r="F175">
        <v>0.279224299642364</v>
      </c>
      <c r="G175">
        <v>-233.13310084344042</v>
      </c>
      <c r="H175">
        <v>-130.44849263186171</v>
      </c>
      <c r="I175">
        <v>98.160511661851103</v>
      </c>
      <c r="J175">
        <v>39.807976907576403</v>
      </c>
      <c r="K175">
        <v>37.618687989537001</v>
      </c>
      <c r="L175">
        <v>1.8619535333199277E-3</v>
      </c>
      <c r="M175">
        <v>8.5615778003397607E-4</v>
      </c>
      <c r="N175" s="1">
        <v>-6.2113989149282603E-5</v>
      </c>
      <c r="O175" s="1">
        <v>6.7057425048354903E-5</v>
      </c>
      <c r="P175" s="1">
        <v>-6.3718210138349594E-5</v>
      </c>
      <c r="AE175">
        <v>100</v>
      </c>
      <c r="AJ17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7E4DF-5C4E-4A81-AD54-75154B19946D}">
  <sheetPr codeName="Sheet14"/>
  <dimension ref="A1:AU175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763</v>
      </c>
      <c r="C2">
        <v>275</v>
      </c>
      <c r="D2">
        <v>0.30708922453313198</v>
      </c>
      <c r="E2">
        <v>202.05095138445617</v>
      </c>
      <c r="F2">
        <v>64.174284698875539</v>
      </c>
      <c r="G2">
        <v>72.308426512649959</v>
      </c>
      <c r="H2">
        <v>67.72328790412864</v>
      </c>
      <c r="J2">
        <v>76.251568957244103</v>
      </c>
      <c r="L2">
        <v>7.7866501761047804</v>
      </c>
      <c r="M2">
        <v>14.318540895253955</v>
      </c>
      <c r="N2">
        <v>2.5720307064242882</v>
      </c>
      <c r="O2">
        <v>31.988879174293622</v>
      </c>
      <c r="P2">
        <v>12.743143116372071</v>
      </c>
      <c r="Q2">
        <v>1.50537740229164</v>
      </c>
      <c r="R2">
        <v>17.838623680886482</v>
      </c>
      <c r="S2">
        <v>51.429030637823068</v>
      </c>
      <c r="U2">
        <v>2.2601571206134601</v>
      </c>
      <c r="V2">
        <v>49.727551829290086</v>
      </c>
      <c r="W2">
        <v>23.299555117981569</v>
      </c>
      <c r="X2">
        <v>49.578038003436795</v>
      </c>
      <c r="Y2">
        <v>9.5797016115399583</v>
      </c>
      <c r="Z2">
        <v>32.015469008016112</v>
      </c>
      <c r="AA2">
        <v>6.8572177272647679</v>
      </c>
      <c r="AB2">
        <v>37.630487190636877</v>
      </c>
      <c r="AC2">
        <v>6.9329401963847629E-3</v>
      </c>
      <c r="AD2">
        <v>8.5295923320218971</v>
      </c>
      <c r="AE2">
        <v>12.921543379754418</v>
      </c>
      <c r="AF2">
        <v>14.005850878406006</v>
      </c>
      <c r="AG2">
        <v>23.192800815403768</v>
      </c>
      <c r="AH2">
        <v>8.7394578400474572</v>
      </c>
      <c r="AI2">
        <v>2.5217022246280907</v>
      </c>
      <c r="AK2">
        <v>62.004249510117916</v>
      </c>
    </row>
    <row r="3" spans="1:47" x14ac:dyDescent="0.2">
      <c r="A3">
        <v>2</v>
      </c>
      <c r="B3">
        <v>762</v>
      </c>
      <c r="C3">
        <v>275</v>
      </c>
      <c r="D3">
        <v>0.306352219485102</v>
      </c>
      <c r="E3">
        <v>201.94282422681178</v>
      </c>
      <c r="F3">
        <v>63.841137345734673</v>
      </c>
      <c r="G3">
        <v>72.252571224731128</v>
      </c>
      <c r="H3">
        <v>67.664960532759522</v>
      </c>
      <c r="J3">
        <v>76.177506993115387</v>
      </c>
      <c r="L3">
        <v>7.7078143619981452</v>
      </c>
      <c r="M3">
        <v>14.264482147707206</v>
      </c>
      <c r="N3">
        <v>2.5667862841132036</v>
      </c>
      <c r="O3">
        <v>31.617221534416569</v>
      </c>
      <c r="P3">
        <v>12.647631104571424</v>
      </c>
      <c r="Q3">
        <v>1.4535654527661255</v>
      </c>
      <c r="R3">
        <v>17.647945592334697</v>
      </c>
      <c r="S3">
        <v>51.048133324562038</v>
      </c>
      <c r="U3">
        <v>2.1927248320656112</v>
      </c>
      <c r="V3">
        <v>49.639415869665832</v>
      </c>
      <c r="W3">
        <v>23.121888354544009</v>
      </c>
      <c r="X3">
        <v>49.413635592452735</v>
      </c>
      <c r="Y3">
        <v>9.4980620677418912</v>
      </c>
      <c r="Z3">
        <v>31.832974758545646</v>
      </c>
      <c r="AA3">
        <v>6.775803835507868</v>
      </c>
      <c r="AB3">
        <v>37.502247858696691</v>
      </c>
      <c r="AD3">
        <v>8.4273170689048005</v>
      </c>
      <c r="AE3">
        <v>12.83850325179252</v>
      </c>
      <c r="AF3">
        <v>13.943454271742297</v>
      </c>
      <c r="AG3">
        <v>23.042336927900397</v>
      </c>
      <c r="AH3">
        <v>8.6243823823165258</v>
      </c>
      <c r="AI3">
        <v>2.5161756444388477</v>
      </c>
      <c r="AK3">
        <v>61.992279496601903</v>
      </c>
    </row>
    <row r="4" spans="1:47" x14ac:dyDescent="0.2">
      <c r="A4">
        <v>3</v>
      </c>
      <c r="B4">
        <v>761</v>
      </c>
      <c r="C4">
        <v>275</v>
      </c>
      <c r="D4">
        <v>0.30561378910216402</v>
      </c>
      <c r="E4">
        <v>201.81772162126776</v>
      </c>
      <c r="F4">
        <v>63.448948724314718</v>
      </c>
      <c r="G4">
        <v>72.188226037931727</v>
      </c>
      <c r="H4">
        <v>67.5981561693457</v>
      </c>
      <c r="J4">
        <v>76.071683361588157</v>
      </c>
      <c r="L4">
        <v>7.6200022861643122</v>
      </c>
      <c r="M4">
        <v>14.186774488476637</v>
      </c>
      <c r="N4">
        <v>2.5687605042174813</v>
      </c>
      <c r="O4">
        <v>31.221962208428042</v>
      </c>
      <c r="P4">
        <v>12.542365550737987</v>
      </c>
      <c r="Q4">
        <v>1.383660718533495</v>
      </c>
      <c r="R4">
        <v>17.41987865930961</v>
      </c>
      <c r="S4">
        <v>50.549552140614409</v>
      </c>
      <c r="U4">
        <v>2.1048476804023029</v>
      </c>
      <c r="V4">
        <v>49.513819429702025</v>
      </c>
      <c r="W4">
        <v>22.899244170396827</v>
      </c>
      <c r="X4">
        <v>49.17994559022042</v>
      </c>
      <c r="Y4">
        <v>9.4040682870325849</v>
      </c>
      <c r="Z4">
        <v>31.615247925283565</v>
      </c>
      <c r="AA4">
        <v>6.6853266143997683</v>
      </c>
      <c r="AB4">
        <v>37.331016755380972</v>
      </c>
      <c r="AD4">
        <v>8.3026136716495067</v>
      </c>
      <c r="AE4">
        <v>12.741398500828662</v>
      </c>
      <c r="AF4">
        <v>13.864627659135651</v>
      </c>
      <c r="AG4">
        <v>22.856102397583498</v>
      </c>
      <c r="AH4">
        <v>8.4820419501737696</v>
      </c>
      <c r="AI4">
        <v>2.5178668867895735</v>
      </c>
      <c r="AK4">
        <v>61.968741538412054</v>
      </c>
    </row>
    <row r="5" spans="1:47" x14ac:dyDescent="0.2">
      <c r="A5">
        <v>4</v>
      </c>
      <c r="B5">
        <v>760</v>
      </c>
      <c r="C5">
        <v>275</v>
      </c>
      <c r="D5">
        <v>0.30487392924551299</v>
      </c>
      <c r="E5">
        <v>201.69278112264806</v>
      </c>
      <c r="F5">
        <v>63.057471031221709</v>
      </c>
      <c r="G5">
        <v>72.123966258821525</v>
      </c>
      <c r="H5">
        <v>67.531450141053625</v>
      </c>
      <c r="J5">
        <v>75.966474978672693</v>
      </c>
      <c r="L5">
        <v>7.5323606741082116</v>
      </c>
      <c r="M5">
        <v>14.109217111419021</v>
      </c>
      <c r="N5">
        <v>2.5707345924953766</v>
      </c>
      <c r="O5">
        <v>30.827328464390984</v>
      </c>
      <c r="P5">
        <v>12.437278316109147</v>
      </c>
      <c r="Q5">
        <v>1.3138885443576152</v>
      </c>
      <c r="R5">
        <v>17.192185931262653</v>
      </c>
      <c r="S5">
        <v>50.051922602606368</v>
      </c>
      <c r="U5">
        <v>2.0170485139552023</v>
      </c>
      <c r="V5">
        <v>49.388422302511955</v>
      </c>
      <c r="W5">
        <v>22.676886600777276</v>
      </c>
      <c r="X5">
        <v>48.946705367643069</v>
      </c>
      <c r="Y5">
        <v>9.3102353975706844</v>
      </c>
      <c r="Z5">
        <v>31.397812836802295</v>
      </c>
      <c r="AA5">
        <v>6.5950223591293105</v>
      </c>
      <c r="AB5">
        <v>37.160062530394484</v>
      </c>
      <c r="AD5">
        <v>8.1780215226317257</v>
      </c>
      <c r="AE5">
        <v>12.644417811907836</v>
      </c>
      <c r="AF5">
        <v>13.785951465735597</v>
      </c>
      <c r="AG5">
        <v>22.670147105737431</v>
      </c>
      <c r="AH5">
        <v>8.3399289260557143</v>
      </c>
      <c r="AI5">
        <v>2.5195571756004425</v>
      </c>
      <c r="AK5">
        <v>61.945526590442398</v>
      </c>
    </row>
    <row r="6" spans="1:47" x14ac:dyDescent="0.2">
      <c r="A6">
        <v>5</v>
      </c>
      <c r="B6">
        <v>759</v>
      </c>
      <c r="C6">
        <v>275</v>
      </c>
      <c r="D6">
        <v>0.30413263576031102</v>
      </c>
      <c r="E6">
        <v>201.56800229340561</v>
      </c>
      <c r="F6">
        <v>62.666702358909099</v>
      </c>
      <c r="G6">
        <v>72.05979171214031</v>
      </c>
      <c r="H6">
        <v>67.464842293262137</v>
      </c>
      <c r="J6">
        <v>75.861881342006939</v>
      </c>
      <c r="L6">
        <v>7.4448891136883502</v>
      </c>
      <c r="M6">
        <v>14.031809504479234</v>
      </c>
      <c r="N6">
        <v>2.5727085494867077</v>
      </c>
      <c r="O6">
        <v>30.433318846966014</v>
      </c>
      <c r="P6">
        <v>12.332369073106159</v>
      </c>
      <c r="Q6">
        <v>1.2442482402064869</v>
      </c>
      <c r="R6">
        <v>16.964866199729027</v>
      </c>
      <c r="S6">
        <v>49.55524173324585</v>
      </c>
      <c r="U6">
        <v>1.9293269351082143</v>
      </c>
      <c r="V6">
        <v>49.263223760477473</v>
      </c>
      <c r="W6">
        <v>22.454814597937048</v>
      </c>
      <c r="X6">
        <v>48.713913358996003</v>
      </c>
      <c r="Y6">
        <v>9.2165629895943013</v>
      </c>
      <c r="Z6">
        <v>31.180668376192266</v>
      </c>
      <c r="AA6">
        <v>6.5048906487400453</v>
      </c>
      <c r="AB6">
        <v>36.989384140282475</v>
      </c>
      <c r="AD6">
        <v>8.0535404570994125</v>
      </c>
      <c r="AE6">
        <v>12.547560646471924</v>
      </c>
      <c r="AF6">
        <v>13.707425185575998</v>
      </c>
      <c r="AG6">
        <v>22.484470015285847</v>
      </c>
      <c r="AH6">
        <v>8.1980428979764142</v>
      </c>
      <c r="AI6">
        <v>2.5212465095745884</v>
      </c>
      <c r="AK6">
        <v>61.922634557982093</v>
      </c>
    </row>
    <row r="7" spans="1:47" x14ac:dyDescent="0.2">
      <c r="A7">
        <v>6</v>
      </c>
      <c r="B7">
        <v>758</v>
      </c>
      <c r="C7">
        <v>275</v>
      </c>
      <c r="D7">
        <v>0.303389904475587</v>
      </c>
      <c r="E7">
        <v>201.44338470117751</v>
      </c>
      <c r="F7">
        <v>62.276640821942969</v>
      </c>
      <c r="G7">
        <v>71.995702225242511</v>
      </c>
      <c r="H7">
        <v>67.398332474001919</v>
      </c>
      <c r="J7">
        <v>75.757901960098508</v>
      </c>
      <c r="L7">
        <v>7.3575872047837692</v>
      </c>
      <c r="M7">
        <v>13.954551160051549</v>
      </c>
      <c r="N7">
        <v>2.5746823757752977</v>
      </c>
      <c r="O7">
        <v>30.039931918378706</v>
      </c>
      <c r="P7">
        <v>12.227637499481869</v>
      </c>
      <c r="Q7">
        <v>1.1746762797158712</v>
      </c>
      <c r="R7">
        <v>16.737918268885018</v>
      </c>
      <c r="S7">
        <v>49.059506583053981</v>
      </c>
      <c r="U7">
        <v>1.8416825512518797</v>
      </c>
      <c r="V7">
        <v>49.13822307705221</v>
      </c>
      <c r="W7">
        <v>22.233027122909441</v>
      </c>
      <c r="X7">
        <v>48.48156801126634</v>
      </c>
      <c r="Y7">
        <v>9.1230506589564477</v>
      </c>
      <c r="Z7">
        <v>30.963813435199633</v>
      </c>
      <c r="AA7">
        <v>6.4149310674545266</v>
      </c>
      <c r="AB7">
        <v>36.818980549720187</v>
      </c>
      <c r="AD7">
        <v>7.9291703125459829</v>
      </c>
      <c r="AE7">
        <v>12.450826469679138</v>
      </c>
      <c r="AF7">
        <v>13.629048317194131</v>
      </c>
      <c r="AG7">
        <v>22.299070097343606</v>
      </c>
      <c r="AH7">
        <v>8.056383460847071</v>
      </c>
      <c r="AI7">
        <v>2.5229348874582178</v>
      </c>
      <c r="AK7">
        <v>61.900065351965956</v>
      </c>
    </row>
    <row r="8" spans="1:47" x14ac:dyDescent="0.2">
      <c r="A8">
        <v>7</v>
      </c>
      <c r="B8">
        <v>757</v>
      </c>
      <c r="C8">
        <v>275</v>
      </c>
      <c r="D8">
        <v>0.30264573120419402</v>
      </c>
      <c r="E8">
        <v>201.31892791916607</v>
      </c>
      <c r="F8">
        <v>61.887284558141516</v>
      </c>
      <c r="G8">
        <v>71.931697628252223</v>
      </c>
      <c r="H8">
        <v>67.331920534114829</v>
      </c>
      <c r="J8">
        <v>75.654536353014649</v>
      </c>
      <c r="L8">
        <v>7.2704545608622393</v>
      </c>
      <c r="M8">
        <v>13.877441575373119</v>
      </c>
      <c r="N8">
        <v>2.5766560718903704</v>
      </c>
      <c r="O8">
        <v>29.647166258839786</v>
      </c>
      <c r="P8">
        <v>12.123083278539569</v>
      </c>
      <c r="Q8">
        <v>1.1052936798790134</v>
      </c>
      <c r="R8">
        <v>16.511340956260632</v>
      </c>
      <c r="S8">
        <v>48.564714232328541</v>
      </c>
      <c r="U8">
        <v>1.7541149751129876</v>
      </c>
      <c r="V8">
        <v>49.013419527342158</v>
      </c>
      <c r="W8">
        <v>22.011523146126482</v>
      </c>
      <c r="X8">
        <v>48.249667788673428</v>
      </c>
      <c r="Y8">
        <v>9.0296980073709907</v>
      </c>
      <c r="Z8">
        <v>30.74724691460337</v>
      </c>
      <c r="AA8">
        <v>6.3251432048988647</v>
      </c>
      <c r="AB8">
        <v>36.648850732073029</v>
      </c>
      <c r="AD8">
        <v>7.8049109290426655</v>
      </c>
      <c r="AE8">
        <v>12.354214750500637</v>
      </c>
      <c r="AF8">
        <v>13.550820363930573</v>
      </c>
      <c r="AG8">
        <v>22.113946331682229</v>
      </c>
      <c r="AH8">
        <v>7.914950216950106</v>
      </c>
      <c r="AI8">
        <v>2.5246223079423573</v>
      </c>
      <c r="AK8">
        <v>61.877818889313502</v>
      </c>
    </row>
    <row r="9" spans="1:47" x14ac:dyDescent="0.2">
      <c r="A9">
        <v>8</v>
      </c>
      <c r="B9">
        <v>756</v>
      </c>
      <c r="C9">
        <v>275</v>
      </c>
      <c r="D9">
        <v>0.30190011174270298</v>
      </c>
      <c r="E9">
        <v>201.19463152578592</v>
      </c>
      <c r="F9">
        <v>61.498631727383149</v>
      </c>
      <c r="G9">
        <v>71.867777753912392</v>
      </c>
      <c r="H9">
        <v>67.265606327102063</v>
      </c>
      <c r="J9">
        <v>75.551784051751071</v>
      </c>
      <c r="L9">
        <v>7.1834322607408865</v>
      </c>
      <c r="M9">
        <v>13.800480252163545</v>
      </c>
      <c r="N9">
        <v>2.5786296383763996</v>
      </c>
      <c r="O9">
        <v>29.255020465978102</v>
      </c>
      <c r="P9">
        <v>12.018706098897374</v>
      </c>
      <c r="Q9">
        <v>1.0360406343846553</v>
      </c>
      <c r="R9">
        <v>16.285133092041168</v>
      </c>
      <c r="S9">
        <v>48.07086178927581</v>
      </c>
      <c r="U9">
        <v>1.6666238244494247</v>
      </c>
      <c r="V9">
        <v>48.888812387287601</v>
      </c>
      <c r="W9">
        <v>21.790301646793033</v>
      </c>
      <c r="X9">
        <v>48.018211169253341</v>
      </c>
      <c r="Y9">
        <v>8.9365046421644774</v>
      </c>
      <c r="Z9">
        <v>30.530967723743274</v>
      </c>
      <c r="AA9">
        <v>6.2355266559119116</v>
      </c>
      <c r="AB9">
        <v>36.478993668813104</v>
      </c>
      <c r="AD9">
        <v>7.6807621489711515</v>
      </c>
      <c r="AE9">
        <v>12.257724961552546</v>
      </c>
      <c r="AF9">
        <v>13.472740833634887</v>
      </c>
      <c r="AG9">
        <v>21.929097706212275</v>
      </c>
      <c r="AH9">
        <v>7.7737427754916535</v>
      </c>
      <c r="AI9">
        <v>2.52630876973305</v>
      </c>
      <c r="AK9">
        <v>61.855895092620635</v>
      </c>
    </row>
    <row r="10" spans="1:47" x14ac:dyDescent="0.2">
      <c r="A10">
        <v>9</v>
      </c>
      <c r="B10">
        <v>755</v>
      </c>
      <c r="C10">
        <v>275</v>
      </c>
      <c r="D10">
        <v>0.30115304187132302</v>
      </c>
      <c r="E10">
        <v>201.07049510465461</v>
      </c>
      <c r="F10">
        <v>61.110680511539009</v>
      </c>
      <c r="G10">
        <v>71.80394243758407</v>
      </c>
      <c r="H10">
        <v>67.199389709122514</v>
      </c>
      <c r="J10">
        <v>75.449644598210796</v>
      </c>
      <c r="L10">
        <v>7.096634033397077</v>
      </c>
      <c r="M10">
        <v>13.723666696597414</v>
      </c>
      <c r="N10">
        <v>2.5806030757834488</v>
      </c>
      <c r="O10">
        <v>28.863493154755002</v>
      </c>
      <c r="P10">
        <v>11.914505654476121</v>
      </c>
      <c r="Q10">
        <v>0.96691645457894082</v>
      </c>
      <c r="R10">
        <v>16.059293519011458</v>
      </c>
      <c r="S10">
        <v>47.577946389890499</v>
      </c>
      <c r="U10">
        <v>1.5792087220352318</v>
      </c>
      <c r="V10">
        <v>48.76440093351647</v>
      </c>
      <c r="W10">
        <v>21.569361612848301</v>
      </c>
      <c r="X10">
        <v>47.787196645277007</v>
      </c>
      <c r="Y10">
        <v>8.8434701762676227</v>
      </c>
      <c r="Z10">
        <v>30.31497478045609</v>
      </c>
      <c r="AA10">
        <v>6.1460810205547896</v>
      </c>
      <c r="AB10">
        <v>36.309408349473806</v>
      </c>
      <c r="AD10">
        <v>7.5567238170444817</v>
      </c>
      <c r="AE10">
        <v>12.161356579056369</v>
      </c>
      <c r="AF10">
        <v>13.39480923862979</v>
      </c>
      <c r="AG10">
        <v>21.744523216929835</v>
      </c>
      <c r="AH10">
        <v>7.6327607525976582</v>
      </c>
      <c r="AI10">
        <v>2.5279942715415782</v>
      </c>
      <c r="AK10">
        <v>61.834293890142938</v>
      </c>
    </row>
    <row r="11" spans="1:47" x14ac:dyDescent="0.2">
      <c r="A11">
        <v>10</v>
      </c>
      <c r="B11">
        <v>754</v>
      </c>
      <c r="C11">
        <v>275</v>
      </c>
      <c r="D11">
        <v>0.30040451735384299</v>
      </c>
      <c r="E11">
        <v>200.9465182447145</v>
      </c>
      <c r="F11">
        <v>60.723429114645718</v>
      </c>
      <c r="G11">
        <v>71.740191517261124</v>
      </c>
      <c r="H11">
        <v>67.133270539008805</v>
      </c>
      <c r="J11">
        <v>75.348117545386202</v>
      </c>
      <c r="L11">
        <v>7.0100036672501487</v>
      </c>
      <c r="M11">
        <v>13.647000419313144</v>
      </c>
      <c r="N11">
        <v>2.5825763846998804</v>
      </c>
      <c r="O11">
        <v>28.472582957492374</v>
      </c>
      <c r="P11">
        <v>11.810481644565023</v>
      </c>
      <c r="Q11">
        <v>0.89792045691269773</v>
      </c>
      <c r="R11">
        <v>15.83382109267477</v>
      </c>
      <c r="S11">
        <v>47.085965198000764</v>
      </c>
      <c r="U11">
        <v>1.4918692956574948</v>
      </c>
      <c r="V11">
        <v>48.640184443257255</v>
      </c>
      <c r="W11">
        <v>21.348702040817475</v>
      </c>
      <c r="X11">
        <v>47.556622723852712</v>
      </c>
      <c r="Y11">
        <v>8.7505942282603986</v>
      </c>
      <c r="Z11">
        <v>30.099267010830761</v>
      </c>
      <c r="AA11">
        <v>6.0568059041945306</v>
      </c>
      <c r="AB11">
        <v>36.140093771463341</v>
      </c>
      <c r="AD11">
        <v>7.4327957802429303</v>
      </c>
      <c r="AE11">
        <v>12.065109082684396</v>
      </c>
      <c r="AF11">
        <v>13.317025095753511</v>
      </c>
      <c r="AG11">
        <v>21.560221867765151</v>
      </c>
      <c r="AH11">
        <v>7.4920037713269965</v>
      </c>
      <c r="AI11">
        <v>2.5296788121181075</v>
      </c>
      <c r="AK11">
        <v>61.813015215980016</v>
      </c>
    </row>
    <row r="12" spans="1:47" x14ac:dyDescent="0.2">
      <c r="A12">
        <v>11</v>
      </c>
      <c r="B12">
        <v>753</v>
      </c>
      <c r="C12">
        <v>275</v>
      </c>
      <c r="D12">
        <v>0.29965453393753799</v>
      </c>
      <c r="E12">
        <v>200.8227005401225</v>
      </c>
      <c r="F12">
        <v>60.336875762737726</v>
      </c>
      <c r="G12">
        <v>71.67652483358296</v>
      </c>
      <c r="H12">
        <v>67.067248678278787</v>
      </c>
      <c r="J12">
        <v>75.247202457231225</v>
      </c>
      <c r="L12">
        <v>6.9235407977674042</v>
      </c>
      <c r="M12">
        <v>13.570480935530094</v>
      </c>
      <c r="N12">
        <v>2.5845495656304709</v>
      </c>
      <c r="O12">
        <v>28.082288523670208</v>
      </c>
      <c r="P12">
        <v>11.706633773722947</v>
      </c>
      <c r="Q12">
        <v>0.82905196333319053</v>
      </c>
      <c r="R12">
        <v>15.608714681201718</v>
      </c>
      <c r="S12">
        <v>46.594915405760588</v>
      </c>
      <c r="U12">
        <v>1.4046051782294282</v>
      </c>
      <c r="V12">
        <v>48.516162194221138</v>
      </c>
      <c r="W12">
        <v>21.128321936233963</v>
      </c>
      <c r="X12">
        <v>47.326487926555558</v>
      </c>
      <c r="Y12">
        <v>8.6578764223348852</v>
      </c>
      <c r="Z12">
        <v>29.883843349639658</v>
      </c>
      <c r="AA12">
        <v>5.9677009174540583</v>
      </c>
      <c r="AB12">
        <v>35.97104894051639</v>
      </c>
      <c r="AD12">
        <v>7.3089778880865071</v>
      </c>
      <c r="AE12">
        <v>11.96898195578741</v>
      </c>
      <c r="AF12">
        <v>13.239387926352814</v>
      </c>
      <c r="AG12">
        <v>21.376192670907443</v>
      </c>
      <c r="AH12">
        <v>7.3514714617824923</v>
      </c>
      <c r="AI12">
        <v>2.5313623901275868</v>
      </c>
      <c r="AK12">
        <v>61.792059009840841</v>
      </c>
    </row>
    <row r="13" spans="1:47" x14ac:dyDescent="0.2">
      <c r="A13">
        <v>12</v>
      </c>
      <c r="B13">
        <v>752</v>
      </c>
      <c r="C13">
        <v>275</v>
      </c>
      <c r="D13">
        <v>0.29890308735307097</v>
      </c>
      <c r="E13">
        <v>200.69904158998597</v>
      </c>
      <c r="F13">
        <v>59.951018702698079</v>
      </c>
      <c r="G13">
        <v>71.612942229656426</v>
      </c>
      <c r="H13">
        <v>67.001323990960529</v>
      </c>
      <c r="J13">
        <v>75.146898908117805</v>
      </c>
      <c r="L13">
        <v>6.837245076885563</v>
      </c>
      <c r="M13">
        <v>13.494107764518176</v>
      </c>
      <c r="N13">
        <v>2.5865226191950166</v>
      </c>
      <c r="O13">
        <v>27.692608519480832</v>
      </c>
      <c r="P13">
        <v>11.602961751624518</v>
      </c>
      <c r="Q13">
        <v>0.7603103014083008</v>
      </c>
      <c r="R13">
        <v>15.383973164696798</v>
      </c>
      <c r="S13">
        <v>46.104794231015262</v>
      </c>
      <c r="U13">
        <v>1.3174160073296255</v>
      </c>
      <c r="V13">
        <v>48.392333463669345</v>
      </c>
      <c r="W13">
        <v>20.908220312487977</v>
      </c>
      <c r="X13">
        <v>47.096790788016044</v>
      </c>
      <c r="Y13">
        <v>8.5653163880638026</v>
      </c>
      <c r="Z13">
        <v>29.668702739299398</v>
      </c>
      <c r="AA13">
        <v>5.8787656760985119</v>
      </c>
      <c r="AB13">
        <v>35.80227286953231</v>
      </c>
      <c r="AD13">
        <v>7.1852699920639536</v>
      </c>
      <c r="AE13">
        <v>11.872974684926806</v>
      </c>
      <c r="AF13">
        <v>13.161897255955168</v>
      </c>
      <c r="AG13">
        <v>21.192434645847271</v>
      </c>
      <c r="AH13">
        <v>7.2111634605062855</v>
      </c>
      <c r="AI13">
        <v>2.5330450043511479</v>
      </c>
      <c r="AK13">
        <v>61.77142521696458</v>
      </c>
    </row>
    <row r="14" spans="1:47" x14ac:dyDescent="0.2">
      <c r="A14">
        <v>13</v>
      </c>
      <c r="B14">
        <v>751</v>
      </c>
      <c r="C14">
        <v>275</v>
      </c>
      <c r="D14">
        <v>0.29815017331445698</v>
      </c>
      <c r="E14">
        <v>200.57554099884527</v>
      </c>
      <c r="F14">
        <v>59.56585620390824</v>
      </c>
      <c r="G14">
        <v>71.549443551309565</v>
      </c>
      <c r="H14">
        <v>66.935496343841933</v>
      </c>
      <c r="J14">
        <v>75.047206483753612</v>
      </c>
      <c r="L14">
        <v>6.7511161759552634</v>
      </c>
      <c r="M14">
        <v>13.41788043029239</v>
      </c>
      <c r="N14">
        <v>2.588495545888398</v>
      </c>
      <c r="O14">
        <v>27.303541628360872</v>
      </c>
      <c r="P14">
        <v>11.499465293321814</v>
      </c>
      <c r="Q14">
        <v>0.69169480538353678</v>
      </c>
      <c r="R14">
        <v>15.159595436256421</v>
      </c>
      <c r="S14">
        <v>45.615598920763368</v>
      </c>
      <c r="U14">
        <v>1.2303014258022569</v>
      </c>
      <c r="V14">
        <v>48.268697529335221</v>
      </c>
      <c r="W14">
        <v>20.688396192138203</v>
      </c>
      <c r="X14">
        <v>46.867529858824049</v>
      </c>
      <c r="Y14">
        <v>8.4729137607499556</v>
      </c>
      <c r="Z14">
        <v>29.453844130901235</v>
      </c>
      <c r="AA14">
        <v>5.7899998013082659</v>
      </c>
      <c r="AB14">
        <v>35.633764579867794</v>
      </c>
      <c r="AD14">
        <v>7.0616719463379312</v>
      </c>
      <c r="AE14">
        <v>11.777086760276937</v>
      </c>
      <c r="AF14">
        <v>13.084552614718577</v>
      </c>
      <c r="AG14">
        <v>21.008946820422629</v>
      </c>
      <c r="AH14">
        <v>7.0710794112984452</v>
      </c>
      <c r="AI14">
        <v>2.534726653443844</v>
      </c>
      <c r="AK14">
        <v>61.7511137884186</v>
      </c>
    </row>
    <row r="15" spans="1:47" x14ac:dyDescent="0.2">
      <c r="A15">
        <v>14</v>
      </c>
      <c r="B15">
        <v>750</v>
      </c>
      <c r="C15">
        <v>275</v>
      </c>
      <c r="D15">
        <v>0.29739578751893703</v>
      </c>
      <c r="E15">
        <v>200.4521983761243</v>
      </c>
      <c r="F15">
        <v>59.18138655629604</v>
      </c>
      <c r="G15">
        <v>71.486028646814816</v>
      </c>
      <c r="H15">
        <v>66.869765606196765</v>
      </c>
      <c r="J15">
        <v>74.948124780148717</v>
      </c>
      <c r="L15">
        <v>6.6651537889071548</v>
      </c>
      <c r="M15">
        <v>13.341798460866142</v>
      </c>
      <c r="N15">
        <v>2.5904683463008409</v>
      </c>
      <c r="O15">
        <v>26.915086550205992</v>
      </c>
      <c r="P15">
        <v>11.396144118915613</v>
      </c>
      <c r="Q15">
        <v>0.62314296953998205</v>
      </c>
      <c r="R15">
        <v>14.935580400752546</v>
      </c>
      <c r="S15">
        <v>45.12732674735318</v>
      </c>
      <c r="U15">
        <v>1.1432610811220421</v>
      </c>
      <c r="V15">
        <v>48.145253668014696</v>
      </c>
      <c r="W15">
        <v>20.468848605521142</v>
      </c>
      <c r="X15">
        <v>46.638703701900099</v>
      </c>
      <c r="Y15">
        <v>8.3806681810241166</v>
      </c>
      <c r="Z15">
        <v>29.239266483057204</v>
      </c>
      <c r="AA15">
        <v>5.7014029194184692</v>
      </c>
      <c r="AB15">
        <v>35.465523099944079</v>
      </c>
      <c r="AD15">
        <v>6.9381836070552678</v>
      </c>
      <c r="AE15">
        <v>11.681317675158041</v>
      </c>
      <c r="AF15">
        <v>13.007353536907484</v>
      </c>
      <c r="AG15">
        <v>20.825728229654345</v>
      </c>
      <c r="AH15">
        <v>6.9312189643392621</v>
      </c>
      <c r="AI15">
        <v>2.5364073361560737</v>
      </c>
      <c r="AK15">
        <v>61.731124680726921</v>
      </c>
    </row>
    <row r="16" spans="1:47" x14ac:dyDescent="0.2">
      <c r="A16">
        <v>15</v>
      </c>
      <c r="B16">
        <v>749</v>
      </c>
      <c r="C16">
        <v>275</v>
      </c>
      <c r="D16">
        <v>0.29663992564692099</v>
      </c>
      <c r="E16">
        <v>200.32901333640751</v>
      </c>
      <c r="F16">
        <v>58.797608071284962</v>
      </c>
      <c r="G16">
        <v>71.422697367043412</v>
      </c>
      <c r="H16">
        <v>66.804131649939521</v>
      </c>
      <c r="J16">
        <v>74.849653404169203</v>
      </c>
      <c r="L16">
        <v>6.5793576368201139</v>
      </c>
      <c r="M16">
        <v>13.265861388699669</v>
      </c>
      <c r="N16">
        <v>2.5924410209457376</v>
      </c>
      <c r="O16">
        <v>26.527242001613125</v>
      </c>
      <c r="P16">
        <v>11.292997953694861</v>
      </c>
      <c r="Q16">
        <v>0.55477361049093266</v>
      </c>
      <c r="R16">
        <v>14.711926975465087</v>
      </c>
      <c r="S16">
        <v>44.639975010860319</v>
      </c>
      <c r="U16">
        <v>1.0562946257744084</v>
      </c>
      <c r="V16">
        <v>48.022001156076094</v>
      </c>
      <c r="W16">
        <v>20.249576591602647</v>
      </c>
      <c r="X16">
        <v>46.410310895038627</v>
      </c>
      <c r="Y16">
        <v>8.288579295043915</v>
      </c>
      <c r="Z16">
        <v>29.024968762579448</v>
      </c>
      <c r="AA16">
        <v>5.6129746620811787</v>
      </c>
      <c r="AB16">
        <v>35.297547466107723</v>
      </c>
      <c r="AD16">
        <v>6.814804832822885</v>
      </c>
      <c r="AE16">
        <v>11.58566692630936</v>
      </c>
      <c r="AF16">
        <v>12.930299561171923</v>
      </c>
      <c r="AG16">
        <v>20.642777916428958</v>
      </c>
      <c r="AH16">
        <v>6.7915817767045308</v>
      </c>
      <c r="AI16">
        <v>2.5380870511618658</v>
      </c>
      <c r="AK16">
        <v>61.711457856021951</v>
      </c>
    </row>
    <row r="17" spans="1:37" x14ac:dyDescent="0.2">
      <c r="A17">
        <v>16</v>
      </c>
      <c r="B17">
        <v>748</v>
      </c>
      <c r="C17">
        <v>275</v>
      </c>
      <c r="D17">
        <v>0.29588258336189799</v>
      </c>
      <c r="E17">
        <v>200.20598549922164</v>
      </c>
      <c r="F17">
        <v>58.414519080846233</v>
      </c>
      <c r="G17">
        <v>71.359449565316979</v>
      </c>
      <c r="H17">
        <v>66.738594349476003</v>
      </c>
      <c r="J17">
        <v>74.751791973073082</v>
      </c>
      <c r="L17">
        <v>6.4937274736000949</v>
      </c>
      <c r="M17">
        <v>13.190068750234136</v>
      </c>
      <c r="N17">
        <v>2.5944135704385749</v>
      </c>
      <c r="O17">
        <v>26.140006715552673</v>
      </c>
      <c r="P17">
        <v>11.190026528010472</v>
      </c>
      <c r="Q17">
        <v>0.48652812799258666</v>
      </c>
      <c r="R17">
        <v>14.488634089468356</v>
      </c>
      <c r="S17">
        <v>44.153541036535017</v>
      </c>
      <c r="U17">
        <v>0.96940171686557208</v>
      </c>
      <c r="V17">
        <v>47.898939268573052</v>
      </c>
      <c r="W17">
        <v>20.030579196981918</v>
      </c>
      <c r="X17">
        <v>46.182350029112534</v>
      </c>
      <c r="Y17">
        <v>8.1966467543097394</v>
      </c>
      <c r="Z17">
        <v>28.810949943579853</v>
      </c>
      <c r="AA17">
        <v>5.5247146662009978</v>
      </c>
      <c r="AB17">
        <v>35.129836721616414</v>
      </c>
      <c r="AD17">
        <v>6.6915354842113013</v>
      </c>
      <c r="AE17">
        <v>11.490134013476325</v>
      </c>
      <c r="AF17">
        <v>12.853390230254632</v>
      </c>
      <c r="AG17">
        <v>20.460094930667289</v>
      </c>
      <c r="AH17">
        <v>6.6521675118544081</v>
      </c>
      <c r="AI17">
        <v>2.5397657972360661</v>
      </c>
      <c r="AK17">
        <v>61.692113281972844</v>
      </c>
    </row>
    <row r="18" spans="1:37" x14ac:dyDescent="0.2">
      <c r="A18">
        <v>17</v>
      </c>
      <c r="B18">
        <v>747</v>
      </c>
      <c r="C18">
        <v>275</v>
      </c>
      <c r="D18">
        <v>0.29512375631034898</v>
      </c>
      <c r="E18">
        <v>200.08311448918485</v>
      </c>
      <c r="F18">
        <v>58.032117938139606</v>
      </c>
      <c r="G18">
        <v>71.296285097534138</v>
      </c>
      <c r="H18">
        <v>66.673153581829112</v>
      </c>
      <c r="J18">
        <v>74.654540114849993</v>
      </c>
      <c r="L18">
        <v>6.4082055214087523</v>
      </c>
      <c r="M18">
        <v>13.114420086307499</v>
      </c>
      <c r="N18">
        <v>2.5963859952947241</v>
      </c>
      <c r="O18">
        <v>25.753379441440494</v>
      </c>
      <c r="P18">
        <v>11.087229577335869</v>
      </c>
      <c r="Q18">
        <v>0.41840585569360067</v>
      </c>
      <c r="R18">
        <v>14.265700684078988</v>
      </c>
      <c r="S18">
        <v>43.668022176977395</v>
      </c>
      <c r="U18">
        <v>0.88258201647617718</v>
      </c>
      <c r="V18">
        <v>47.776067279589974</v>
      </c>
      <c r="W18">
        <v>19.811855476809324</v>
      </c>
      <c r="X18">
        <v>45.954819708901134</v>
      </c>
      <c r="Y18">
        <v>8.1048702157954349</v>
      </c>
      <c r="Z18">
        <v>28.597209008251333</v>
      </c>
      <c r="AA18">
        <v>5.436699586664778</v>
      </c>
      <c r="AB18">
        <v>34.962389917558838</v>
      </c>
      <c r="AD18">
        <v>6.5683754242635128</v>
      </c>
      <c r="AE18">
        <v>11.394718439763539</v>
      </c>
      <c r="AF18">
        <v>12.776625091208272</v>
      </c>
      <c r="AG18">
        <v>20.277678330038537</v>
      </c>
      <c r="AH18">
        <v>6.5129758400861313</v>
      </c>
      <c r="AI18">
        <v>2.5414435730543339</v>
      </c>
      <c r="AK18">
        <v>61.673090931779846</v>
      </c>
    </row>
    <row r="19" spans="1:37" x14ac:dyDescent="0.2">
      <c r="A19">
        <v>18</v>
      </c>
      <c r="B19">
        <v>746</v>
      </c>
      <c r="C19">
        <v>275</v>
      </c>
      <c r="D19">
        <v>0.29436344012167098</v>
      </c>
      <c r="E19">
        <v>199.96039993570656</v>
      </c>
      <c r="F19">
        <v>57.650403016344775</v>
      </c>
      <c r="G19">
        <v>71.233203821994223</v>
      </c>
      <c r="H19">
        <v>66.607809226465264</v>
      </c>
      <c r="J19">
        <v>74.557897467649269</v>
      </c>
      <c r="L19">
        <v>6.3229018185039205</v>
      </c>
      <c r="M19">
        <v>13.038914941663203</v>
      </c>
      <c r="N19">
        <v>2.5983582960994047</v>
      </c>
      <c r="O19">
        <v>25.367358944693478</v>
      </c>
      <c r="P19">
        <v>10.984606842079319</v>
      </c>
      <c r="Q19">
        <v>0.35040613368253709</v>
      </c>
      <c r="R19">
        <v>14.043125712138808</v>
      </c>
      <c r="S19">
        <v>43.18341580962263</v>
      </c>
      <c r="U19">
        <v>0.7958351912464019</v>
      </c>
      <c r="V19">
        <v>47.653384461267095</v>
      </c>
      <c r="W19">
        <v>19.593404493779069</v>
      </c>
      <c r="X19">
        <v>45.727718552414409</v>
      </c>
      <c r="Y19">
        <v>8.0132493417106776</v>
      </c>
      <c r="Z19">
        <v>28.383744946001084</v>
      </c>
      <c r="AA19">
        <v>5.3487745446824633</v>
      </c>
      <c r="AB19">
        <v>34.795206111857283</v>
      </c>
      <c r="AD19">
        <v>6.445324518002618</v>
      </c>
      <c r="AE19">
        <v>11.299419711258389</v>
      </c>
      <c r="AF19">
        <v>12.700003695077854</v>
      </c>
      <c r="AG19">
        <v>20.095527179134873</v>
      </c>
      <c r="AH19">
        <v>6.3740064379666244</v>
      </c>
      <c r="AI19">
        <v>2.5431203773614786</v>
      </c>
      <c r="AK19">
        <v>61.654390784019739</v>
      </c>
    </row>
    <row r="20" spans="1:37" x14ac:dyDescent="0.2">
      <c r="A20">
        <v>19</v>
      </c>
      <c r="B20">
        <v>745</v>
      </c>
      <c r="C20">
        <v>275</v>
      </c>
      <c r="D20">
        <v>0.29360163040809401</v>
      </c>
      <c r="E20">
        <v>199.83784147350016</v>
      </c>
      <c r="F20">
        <v>57.269372710214363</v>
      </c>
      <c r="G20">
        <v>71.170205599618228</v>
      </c>
      <c r="H20">
        <v>66.542561165513092</v>
      </c>
      <c r="J20">
        <v>74.461863680692687</v>
      </c>
      <c r="L20">
        <v>6.2377628510710093</v>
      </c>
      <c r="M20">
        <v>12.963552865469874</v>
      </c>
      <c r="N20">
        <v>2.6003304733746235</v>
      </c>
      <c r="O20">
        <v>24.981944007292807</v>
      </c>
      <c r="P20">
        <v>10.882158067891506</v>
      </c>
      <c r="Q20">
        <v>0.28252830977941995</v>
      </c>
      <c r="R20">
        <v>13.820908138955842</v>
      </c>
      <c r="S20">
        <v>42.699719339425585</v>
      </c>
      <c r="U20">
        <v>0.70916091281625637</v>
      </c>
      <c r="V20">
        <v>47.530890084518433</v>
      </c>
      <c r="W20">
        <v>19.375225318970514</v>
      </c>
      <c r="X20">
        <v>45.501045192083239</v>
      </c>
      <c r="Y20">
        <v>7.9217837998399618</v>
      </c>
      <c r="Z20">
        <v>28.170556753964963</v>
      </c>
      <c r="AA20">
        <v>5.2610166971168368</v>
      </c>
      <c r="AB20">
        <v>34.6282843700264</v>
      </c>
      <c r="AD20">
        <v>6.3223826328502781</v>
      </c>
      <c r="AE20">
        <v>11.204237337167386</v>
      </c>
      <c r="AF20">
        <v>12.623525597276522</v>
      </c>
      <c r="AG20">
        <v>19.913640550098481</v>
      </c>
      <c r="AH20">
        <v>6.2352589889805152</v>
      </c>
      <c r="AI20">
        <v>2.5447962088392133</v>
      </c>
      <c r="AK20">
        <v>61.636012823086368</v>
      </c>
    </row>
    <row r="21" spans="1:37" x14ac:dyDescent="0.2">
      <c r="A21">
        <v>20</v>
      </c>
      <c r="B21">
        <v>744</v>
      </c>
      <c r="C21">
        <v>275</v>
      </c>
      <c r="D21">
        <v>0.29283832276459099</v>
      </c>
      <c r="E21">
        <v>199.71543874172929</v>
      </c>
      <c r="F21">
        <v>56.889025433405429</v>
      </c>
      <c r="G21">
        <v>71.107290293604692</v>
      </c>
      <c r="H21">
        <v>66.477409283421551</v>
      </c>
      <c r="J21">
        <v>74.366438412763671</v>
      </c>
      <c r="L21">
        <v>6.1527884334151786</v>
      </c>
      <c r="M21">
        <v>12.888333410517822</v>
      </c>
      <c r="N21">
        <v>2.6023025277209668</v>
      </c>
      <c r="O21">
        <v>24.597133426604703</v>
      </c>
      <c r="P21">
        <v>10.779883005126292</v>
      </c>
      <c r="Q21">
        <v>0.21477173977265648</v>
      </c>
      <c r="R21">
        <v>13.599046940712549</v>
      </c>
      <c r="S21">
        <v>42.216930194702968</v>
      </c>
      <c r="U21">
        <v>0.62255885715849146</v>
      </c>
      <c r="V21">
        <v>47.408583417274087</v>
      </c>
      <c r="W21">
        <v>19.157317030605228</v>
      </c>
      <c r="X21">
        <v>45.274798272204492</v>
      </c>
      <c r="Y21">
        <v>7.8304732629782645</v>
      </c>
      <c r="Z21">
        <v>27.957643436221321</v>
      </c>
      <c r="AA21">
        <v>5.1734257023519534</v>
      </c>
      <c r="AB21">
        <v>34.461623764056796</v>
      </c>
      <c r="AD21">
        <v>6.1995496380832202</v>
      </c>
      <c r="AE21">
        <v>11.109170829603226</v>
      </c>
      <c r="AF21">
        <v>12.547190356933633</v>
      </c>
      <c r="AG21">
        <v>19.732017521643876</v>
      </c>
      <c r="AH21">
        <v>6.0967331825407944</v>
      </c>
      <c r="AI21">
        <v>2.5464710662474821</v>
      </c>
      <c r="AK21">
        <v>61.617957038396177</v>
      </c>
    </row>
    <row r="22" spans="1:37" x14ac:dyDescent="0.2">
      <c r="A22">
        <v>21</v>
      </c>
      <c r="B22">
        <v>743</v>
      </c>
      <c r="C22">
        <v>275</v>
      </c>
      <c r="D22">
        <v>0.29207351276878402</v>
      </c>
      <c r="E22">
        <v>199.59319138470633</v>
      </c>
      <c r="F22">
        <v>56.509359620560318</v>
      </c>
      <c r="G22">
        <v>71.044457769707535</v>
      </c>
      <c r="H22">
        <v>66.412353467236031</v>
      </c>
      <c r="J22">
        <v>74.27162133345648</v>
      </c>
      <c r="L22">
        <v>6.0679784368747827</v>
      </c>
      <c r="M22">
        <v>12.813256133876084</v>
      </c>
      <c r="N22">
        <v>2.6042744596859362</v>
      </c>
      <c r="O22">
        <v>24.212926016212421</v>
      </c>
      <c r="P22">
        <v>10.677781409256552</v>
      </c>
      <c r="Q22">
        <v>0.14713578920292911</v>
      </c>
      <c r="R22">
        <v>13.377541105739084</v>
      </c>
      <c r="S22">
        <v>41.735045830475023</v>
      </c>
      <c r="U22">
        <v>0.53602870512450296</v>
      </c>
      <c r="V22">
        <v>47.286463725447611</v>
      </c>
      <c r="W22">
        <v>18.939678715016701</v>
      </c>
      <c r="X22">
        <v>45.048976451038499</v>
      </c>
      <c r="Y22">
        <v>7.739317409377211</v>
      </c>
      <c r="Z22">
        <v>27.745004004310037</v>
      </c>
      <c r="AA22">
        <v>5.086001224346532</v>
      </c>
      <c r="AB22">
        <v>34.295223373260662</v>
      </c>
      <c r="AD22">
        <v>6.0768254052827295</v>
      </c>
      <c r="AE22">
        <v>11.014219703685386</v>
      </c>
      <c r="AF22">
        <v>12.470997537420716</v>
      </c>
      <c r="AG22">
        <v>19.550657179777144</v>
      </c>
      <c r="AH22">
        <v>5.9584287147885409</v>
      </c>
      <c r="AI22">
        <v>2.5481449482939591</v>
      </c>
      <c r="AK22">
        <v>61.600223425050409</v>
      </c>
    </row>
    <row r="23" spans="1:37" x14ac:dyDescent="0.2">
      <c r="A23">
        <v>22</v>
      </c>
      <c r="B23">
        <v>742</v>
      </c>
      <c r="C23">
        <v>275</v>
      </c>
      <c r="D23">
        <v>0.291307195980888</v>
      </c>
      <c r="E23">
        <v>199.47109905164132</v>
      </c>
      <c r="F23">
        <v>56.130373726472612</v>
      </c>
      <c r="G23">
        <v>70.981707896136541</v>
      </c>
      <c r="H23">
        <v>66.347393606499168</v>
      </c>
      <c r="J23">
        <v>74.177412122735049</v>
      </c>
      <c r="L23">
        <v>5.9833328064376987</v>
      </c>
      <c r="M23">
        <v>12.738320596656106</v>
      </c>
      <c r="N23">
        <v>2.6062462697890925</v>
      </c>
      <c r="O23">
        <v>23.82932060549545</v>
      </c>
      <c r="P23">
        <v>10.575853040707701</v>
      </c>
      <c r="Q23">
        <v>7.9556514604930267E-2</v>
      </c>
      <c r="R23">
        <v>13.156389634018316</v>
      </c>
      <c r="S23">
        <v>41.254063727259691</v>
      </c>
      <c r="U23">
        <v>0.44957014225170816</v>
      </c>
      <c r="V23">
        <v>47.16453027225598</v>
      </c>
      <c r="W23">
        <v>18.722309466288724</v>
      </c>
      <c r="X23">
        <v>44.82357840053065</v>
      </c>
      <c r="Y23">
        <v>7.6483159225788873</v>
      </c>
      <c r="Z23">
        <v>27.532637477004734</v>
      </c>
      <c r="AA23">
        <v>4.9987429325608828</v>
      </c>
      <c r="AB23">
        <v>34.129082283957473</v>
      </c>
      <c r="AD23">
        <v>5.9542098082064907</v>
      </c>
      <c r="AE23">
        <v>10.919383477471547</v>
      </c>
      <c r="AF23">
        <v>12.394946706130986</v>
      </c>
      <c r="AG23">
        <v>19.369558617498129</v>
      </c>
      <c r="AH23">
        <v>5.820345288317692</v>
      </c>
      <c r="AI23">
        <v>2.5498178536569802</v>
      </c>
      <c r="AK23">
        <v>61.582811983592023</v>
      </c>
    </row>
    <row r="24" spans="1:37" x14ac:dyDescent="0.2">
      <c r="A24">
        <v>23</v>
      </c>
      <c r="B24">
        <v>741</v>
      </c>
      <c r="C24">
        <v>275</v>
      </c>
      <c r="D24">
        <v>0.29053936794360102</v>
      </c>
      <c r="E24">
        <v>199.34916139646541</v>
      </c>
      <c r="F24">
        <v>55.752066225337224</v>
      </c>
      <c r="G24">
        <v>70.919040543442591</v>
      </c>
      <c r="H24">
        <v>66.282529593138023</v>
      </c>
      <c r="J24">
        <v>74.083810470568224</v>
      </c>
      <c r="L24">
        <v>5.8987948471207092</v>
      </c>
      <c r="M24">
        <v>12.663526363656663</v>
      </c>
      <c r="N24">
        <v>2.6082179586573324</v>
      </c>
      <c r="O24">
        <v>23.446316039348392</v>
      </c>
      <c r="P24">
        <v>10.474097664757117</v>
      </c>
      <c r="Q24">
        <v>1.2155126880068565E-2</v>
      </c>
      <c r="R24">
        <v>12.935591536710369</v>
      </c>
      <c r="S24">
        <v>40.77398138935785</v>
      </c>
      <c r="U24">
        <v>0.36318285849860971</v>
      </c>
      <c r="V24">
        <v>47.042782317422038</v>
      </c>
      <c r="W24">
        <v>18.505208385506418</v>
      </c>
      <c r="X24">
        <v>44.598602804565616</v>
      </c>
      <c r="Y24">
        <v>7.5574684912664605</v>
      </c>
      <c r="Z24">
        <v>27.320542879599511</v>
      </c>
      <c r="AA24">
        <v>4.9116505018850001</v>
      </c>
      <c r="AB24">
        <v>33.963199588688866</v>
      </c>
      <c r="AD24">
        <v>5.8317027223991795</v>
      </c>
      <c r="AE24">
        <v>10.824661671633262</v>
      </c>
      <c r="AF24">
        <v>12.319037434268393</v>
      </c>
      <c r="AG24">
        <v>19.18872093415969</v>
      </c>
      <c r="AH24">
        <v>5.6824826117767051</v>
      </c>
      <c r="AI24">
        <v>2.5514897811232653</v>
      </c>
      <c r="AK24">
        <v>61.565722719945157</v>
      </c>
    </row>
    <row r="25" spans="1:37" x14ac:dyDescent="0.2">
      <c r="A25">
        <v>24</v>
      </c>
      <c r="B25">
        <v>740</v>
      </c>
      <c r="C25">
        <v>275</v>
      </c>
      <c r="D25">
        <v>0.28977002418201098</v>
      </c>
      <c r="E25">
        <v>198.62017625118958</v>
      </c>
      <c r="F25">
        <v>50.899526370556913</v>
      </c>
      <c r="G25">
        <v>70.228413944578165</v>
      </c>
      <c r="H25">
        <v>65.589719681522709</v>
      </c>
      <c r="J25">
        <v>72.028994322052455</v>
      </c>
      <c r="L25">
        <v>4.6100009195723324</v>
      </c>
      <c r="M25">
        <v>12.535799265130926</v>
      </c>
      <c r="N25">
        <v>2.6101560709012208</v>
      </c>
      <c r="O25">
        <v>18.612680471261761</v>
      </c>
      <c r="P25">
        <v>9.1163983155407475</v>
      </c>
      <c r="R25">
        <v>10.977734688602412</v>
      </c>
      <c r="S25">
        <v>37.838121750753963</v>
      </c>
      <c r="U25">
        <v>0.27172311749271072</v>
      </c>
      <c r="V25">
        <v>46.775002317620803</v>
      </c>
      <c r="W25">
        <v>18.336339197146074</v>
      </c>
      <c r="X25">
        <v>44.359183371091639</v>
      </c>
      <c r="Y25">
        <v>6.1993629057887887</v>
      </c>
      <c r="Z25">
        <v>23.905128005770802</v>
      </c>
      <c r="AA25">
        <v>3.5969449681448022</v>
      </c>
      <c r="AB25">
        <v>32.492148067075604</v>
      </c>
      <c r="AD25">
        <v>3.8705356162472921</v>
      </c>
      <c r="AE25">
        <v>9.353740054586682</v>
      </c>
      <c r="AF25">
        <v>12.190162102486122</v>
      </c>
      <c r="AG25">
        <v>17.702683460197047</v>
      </c>
      <c r="AH25">
        <v>3.568427022515765</v>
      </c>
      <c r="AI25">
        <v>2.5531272734627364</v>
      </c>
      <c r="AK25">
        <v>60.217456482138637</v>
      </c>
    </row>
    <row r="26" spans="1:37" x14ac:dyDescent="0.2">
      <c r="A26">
        <v>25</v>
      </c>
      <c r="B26">
        <v>739</v>
      </c>
      <c r="C26">
        <v>275</v>
      </c>
      <c r="D26">
        <v>0.28899916020352701</v>
      </c>
      <c r="E26">
        <v>197.62744856546368</v>
      </c>
      <c r="F26">
        <v>44.092517262037504</v>
      </c>
      <c r="G26">
        <v>69.24524681814836</v>
      </c>
      <c r="H26">
        <v>64.604382611717384</v>
      </c>
      <c r="J26">
        <v>69.216326964432383</v>
      </c>
      <c r="L26">
        <v>2.7664195050243432</v>
      </c>
      <c r="M26">
        <v>12.454616981466803</v>
      </c>
      <c r="N26">
        <v>2.6120741032265546</v>
      </c>
      <c r="O26">
        <v>11.75150952617798</v>
      </c>
      <c r="P26">
        <v>7.173605950653152</v>
      </c>
      <c r="R26">
        <v>8.3049079646155963</v>
      </c>
      <c r="S26">
        <v>34.232679275489915</v>
      </c>
      <c r="U26">
        <v>0.23182689012940766</v>
      </c>
      <c r="V26">
        <v>46.599599415352451</v>
      </c>
      <c r="W26">
        <v>18.191523625611161</v>
      </c>
      <c r="X26">
        <v>44.278710915921778</v>
      </c>
      <c r="Y26">
        <v>4.2548528968795694</v>
      </c>
      <c r="Z26">
        <v>19.136258561941656</v>
      </c>
      <c r="AA26">
        <v>1.7218838086898176</v>
      </c>
      <c r="AB26">
        <v>30.668183451913379</v>
      </c>
      <c r="AD26">
        <v>1.1061906760543851</v>
      </c>
      <c r="AE26">
        <v>7.3334886447304308</v>
      </c>
      <c r="AF26">
        <v>12.107811893682573</v>
      </c>
      <c r="AG26">
        <v>15.86371543133502</v>
      </c>
      <c r="AH26">
        <v>0.52181638219763304</v>
      </c>
      <c r="AI26">
        <v>2.5547438255404309</v>
      </c>
      <c r="AK26">
        <v>58.29845579450221</v>
      </c>
    </row>
    <row r="27" spans="1:37" x14ac:dyDescent="0.2">
      <c r="A27">
        <v>26</v>
      </c>
      <c r="B27">
        <v>738</v>
      </c>
      <c r="C27">
        <v>275</v>
      </c>
      <c r="D27">
        <v>0.28822677149780002</v>
      </c>
      <c r="E27">
        <v>197.96488792945553</v>
      </c>
      <c r="F27">
        <v>44.709572879078458</v>
      </c>
      <c r="G27">
        <v>69.480287712380346</v>
      </c>
      <c r="H27">
        <v>64.837266953452072</v>
      </c>
      <c r="J27">
        <v>54.970099929830468</v>
      </c>
      <c r="L27">
        <v>1.6713100809747956</v>
      </c>
      <c r="M27">
        <v>12.0609521025997</v>
      </c>
      <c r="N27">
        <v>2.6140843042758197</v>
      </c>
      <c r="O27">
        <v>5.148909344133247</v>
      </c>
      <c r="P27">
        <v>7.6673299389428591</v>
      </c>
      <c r="R27">
        <v>7.2179093510575738</v>
      </c>
      <c r="S27">
        <v>32.218531650440568</v>
      </c>
      <c r="U27">
        <v>0.14801656711486619</v>
      </c>
      <c r="V27">
        <v>47.307081911931746</v>
      </c>
      <c r="W27">
        <v>17.759320997195033</v>
      </c>
      <c r="X27">
        <v>44.071651981815997</v>
      </c>
      <c r="Y27">
        <v>3.5600203308167635</v>
      </c>
      <c r="Z27">
        <v>17.762286457241299</v>
      </c>
      <c r="AB27">
        <v>30.593724395752965</v>
      </c>
      <c r="AE27">
        <v>6.4221520659662934</v>
      </c>
      <c r="AF27">
        <v>11.713071652254197</v>
      </c>
      <c r="AG27">
        <v>15.774347755009641</v>
      </c>
      <c r="AI27">
        <v>2.5564516841590077</v>
      </c>
      <c r="AK27">
        <v>48.543486322417102</v>
      </c>
    </row>
    <row r="28" spans="1:37" x14ac:dyDescent="0.2">
      <c r="A28">
        <v>27</v>
      </c>
      <c r="B28">
        <v>737</v>
      </c>
      <c r="C28">
        <v>275</v>
      </c>
      <c r="D28">
        <v>0.28745285353660599</v>
      </c>
      <c r="E28">
        <v>198.12676010059428</v>
      </c>
      <c r="F28">
        <v>45.21788292657736</v>
      </c>
      <c r="G28">
        <v>69.455878948544211</v>
      </c>
      <c r="H28">
        <v>64.810715049542083</v>
      </c>
      <c r="J28">
        <v>47.58761627116494</v>
      </c>
      <c r="L28">
        <v>1.6883253068221749</v>
      </c>
      <c r="M28">
        <v>11.602269181237586</v>
      </c>
      <c r="N28">
        <v>2.6160717340929054</v>
      </c>
      <c r="O28">
        <v>5.1509335654507034</v>
      </c>
      <c r="P28">
        <v>7.6421400068109637</v>
      </c>
      <c r="R28">
        <v>6.8706881156418698</v>
      </c>
      <c r="S28">
        <v>32.831084652192033</v>
      </c>
      <c r="U28">
        <v>0.11505696815985215</v>
      </c>
      <c r="V28">
        <v>47.966853051046535</v>
      </c>
      <c r="W28">
        <v>17.232716534734884</v>
      </c>
      <c r="X28">
        <v>44.011215697850993</v>
      </c>
      <c r="Y28">
        <v>3.3160910362328511</v>
      </c>
      <c r="Z28">
        <v>17.965068122203856</v>
      </c>
      <c r="AB28">
        <v>31.234146135663227</v>
      </c>
      <c r="AE28">
        <v>6.5315913912019612</v>
      </c>
      <c r="AF28">
        <v>11.253290996779791</v>
      </c>
      <c r="AG28">
        <v>16.399840734596694</v>
      </c>
      <c r="AI28">
        <v>2.5581359075214802</v>
      </c>
      <c r="AK28">
        <v>43.466283762690807</v>
      </c>
    </row>
    <row r="29" spans="1:37" x14ac:dyDescent="0.2">
      <c r="A29">
        <v>28</v>
      </c>
      <c r="B29">
        <v>736</v>
      </c>
      <c r="C29">
        <v>275</v>
      </c>
      <c r="D29">
        <v>0.28667740177377199</v>
      </c>
      <c r="E29">
        <v>198.27538579347268</v>
      </c>
      <c r="F29">
        <v>45.683284234697823</v>
      </c>
      <c r="G29">
        <v>69.433552102278284</v>
      </c>
      <c r="H29">
        <v>64.786258497212856</v>
      </c>
      <c r="J29">
        <v>43.496263177419344</v>
      </c>
      <c r="L29">
        <v>1.7029201619301784</v>
      </c>
      <c r="M29">
        <v>11.18976222115781</v>
      </c>
      <c r="N29">
        <v>2.6180575598462057</v>
      </c>
      <c r="O29">
        <v>5.149171209370726</v>
      </c>
      <c r="P29">
        <v>7.6211204965827877</v>
      </c>
      <c r="R29">
        <v>6.5462541898700106</v>
      </c>
      <c r="S29">
        <v>33.286311537337582</v>
      </c>
      <c r="U29">
        <v>8.9719935105894988E-2</v>
      </c>
      <c r="V29">
        <v>48.521510121556084</v>
      </c>
      <c r="W29">
        <v>16.747759632673414</v>
      </c>
      <c r="X29">
        <v>43.972918631914212</v>
      </c>
      <c r="Y29">
        <v>3.1068608772512554</v>
      </c>
      <c r="Z29">
        <v>18.128762657989427</v>
      </c>
      <c r="AB29">
        <v>31.747079066747879</v>
      </c>
      <c r="AE29">
        <v>6.6183649268469464</v>
      </c>
      <c r="AF29">
        <v>10.839685104048213</v>
      </c>
      <c r="AG29">
        <v>16.89784593865425</v>
      </c>
      <c r="AI29">
        <v>2.5598176609557157</v>
      </c>
      <c r="AK29">
        <v>40.618075225562059</v>
      </c>
    </row>
    <row r="30" spans="1:37" x14ac:dyDescent="0.2">
      <c r="A30">
        <v>29</v>
      </c>
      <c r="B30">
        <v>763</v>
      </c>
      <c r="C30">
        <v>255</v>
      </c>
      <c r="D30">
        <v>0.32832167157265202</v>
      </c>
      <c r="E30">
        <v>190.38442421448465</v>
      </c>
      <c r="F30">
        <v>63.78442692776342</v>
      </c>
      <c r="G30">
        <v>72.312432008534856</v>
      </c>
      <c r="H30">
        <v>67.726407822557448</v>
      </c>
      <c r="J30">
        <v>75.877620387464077</v>
      </c>
      <c r="L30">
        <v>7.7082064622626971</v>
      </c>
      <c r="M30">
        <v>14.302700388270502</v>
      </c>
      <c r="N30">
        <v>2.4986389510841533</v>
      </c>
      <c r="O30">
        <v>32.07616283895721</v>
      </c>
      <c r="P30">
        <v>12.564863777259243</v>
      </c>
      <c r="Q30">
        <v>1.3027560197339918</v>
      </c>
      <c r="R30">
        <v>17.87662129573458</v>
      </c>
      <c r="S30">
        <v>51.067163271679426</v>
      </c>
      <c r="U30">
        <v>2.1533772625938949</v>
      </c>
      <c r="V30">
        <v>49.311399759154838</v>
      </c>
      <c r="W30">
        <v>23.739117936379277</v>
      </c>
      <c r="X30">
        <v>48.393118725397343</v>
      </c>
      <c r="Y30">
        <v>9.4202398909741518</v>
      </c>
      <c r="Z30">
        <v>32.005060504313754</v>
      </c>
      <c r="AA30">
        <v>6.8010586894601293</v>
      </c>
      <c r="AB30">
        <v>37.655535005094322</v>
      </c>
      <c r="AC30">
        <v>6.8085200785851134E-3</v>
      </c>
      <c r="AD30">
        <v>8.5132926439505603</v>
      </c>
      <c r="AE30">
        <v>13.066639575724032</v>
      </c>
      <c r="AF30">
        <v>13.978295492234567</v>
      </c>
      <c r="AG30">
        <v>23.230732493149652</v>
      </c>
      <c r="AH30">
        <v>8.3575361667031647</v>
      </c>
      <c r="AI30">
        <v>2.44573356523986</v>
      </c>
      <c r="AK30">
        <v>61.710273388194963</v>
      </c>
    </row>
    <row r="31" spans="1:37" x14ac:dyDescent="0.2">
      <c r="A31">
        <v>30</v>
      </c>
      <c r="B31">
        <v>762</v>
      </c>
      <c r="C31">
        <v>255</v>
      </c>
      <c r="D31">
        <v>0.32760517799352901</v>
      </c>
      <c r="E31">
        <v>190.27639112745624</v>
      </c>
      <c r="F31">
        <v>63.451833301057263</v>
      </c>
      <c r="G31">
        <v>72.256546088586063</v>
      </c>
      <c r="H31">
        <v>67.66804167536597</v>
      </c>
      <c r="J31">
        <v>75.803065559824816</v>
      </c>
      <c r="L31">
        <v>7.6295399654701068</v>
      </c>
      <c r="M31">
        <v>14.248755017605216</v>
      </c>
      <c r="N31">
        <v>2.4935310338152714</v>
      </c>
      <c r="O31">
        <v>31.704477385529405</v>
      </c>
      <c r="P31">
        <v>12.469419175086202</v>
      </c>
      <c r="Q31">
        <v>1.2513008841869169</v>
      </c>
      <c r="R31">
        <v>17.686278322141401</v>
      </c>
      <c r="S31">
        <v>50.686076744042772</v>
      </c>
      <c r="U31">
        <v>2.0857286311552095</v>
      </c>
      <c r="V31">
        <v>49.223474874829421</v>
      </c>
      <c r="W31">
        <v>23.561228196293758</v>
      </c>
      <c r="X31">
        <v>48.229293757040772</v>
      </c>
      <c r="Y31">
        <v>9.3385973004781189</v>
      </c>
      <c r="Z31">
        <v>31.823215673172118</v>
      </c>
      <c r="AA31">
        <v>6.7198434860601992</v>
      </c>
      <c r="AB31">
        <v>37.527514448310789</v>
      </c>
      <c r="AD31">
        <v>8.411441100568199</v>
      </c>
      <c r="AE31">
        <v>12.983853482755025</v>
      </c>
      <c r="AF31">
        <v>13.916145932817757</v>
      </c>
      <c r="AG31">
        <v>23.080650192251731</v>
      </c>
      <c r="AH31">
        <v>8.2423715394201373</v>
      </c>
      <c r="AI31">
        <v>2.4403443922935195</v>
      </c>
      <c r="AK31">
        <v>61.698257565709874</v>
      </c>
    </row>
    <row r="32" spans="1:37" x14ac:dyDescent="0.2">
      <c r="A32">
        <v>31</v>
      </c>
      <c r="B32">
        <v>761</v>
      </c>
      <c r="C32">
        <v>255</v>
      </c>
      <c r="D32">
        <v>0.32688729874776701</v>
      </c>
      <c r="E32">
        <v>190.15157712955309</v>
      </c>
      <c r="F32">
        <v>63.061434912715725</v>
      </c>
      <c r="G32">
        <v>72.192328566987968</v>
      </c>
      <c r="H32">
        <v>67.601356835254904</v>
      </c>
      <c r="J32">
        <v>75.697037310388524</v>
      </c>
      <c r="L32">
        <v>7.5421226856034735</v>
      </c>
      <c r="M32">
        <v>14.171639422887306</v>
      </c>
      <c r="N32">
        <v>2.495507144117993</v>
      </c>
      <c r="O32">
        <v>31.309958930312323</v>
      </c>
      <c r="P32">
        <v>12.364403008012703</v>
      </c>
      <c r="Q32">
        <v>1.1824158547064889</v>
      </c>
      <c r="R32">
        <v>17.459308197292223</v>
      </c>
      <c r="S32">
        <v>50.18969605253919</v>
      </c>
      <c r="U32">
        <v>1.9979134388568811</v>
      </c>
      <c r="V32">
        <v>49.098653395960184</v>
      </c>
      <c r="W32">
        <v>23.339364110530067</v>
      </c>
      <c r="X32">
        <v>47.997176448731828</v>
      </c>
      <c r="Y32">
        <v>9.2448710817340736</v>
      </c>
      <c r="Z32">
        <v>31.607515907398284</v>
      </c>
      <c r="AA32">
        <v>6.6298008316399137</v>
      </c>
      <c r="AB32">
        <v>37.357720134561021</v>
      </c>
      <c r="AD32">
        <v>8.2879242973055174</v>
      </c>
      <c r="AE32">
        <v>12.887644530532423</v>
      </c>
      <c r="AF32">
        <v>13.837910445073078</v>
      </c>
      <c r="AG32">
        <v>22.895880648105241</v>
      </c>
      <c r="AH32">
        <v>8.1005605139474088</v>
      </c>
      <c r="AI32">
        <v>2.4420384270432729</v>
      </c>
      <c r="AK32">
        <v>61.674673690423475</v>
      </c>
    </row>
    <row r="33" spans="1:37" x14ac:dyDescent="0.2">
      <c r="A33">
        <v>32</v>
      </c>
      <c r="B33">
        <v>760</v>
      </c>
      <c r="C33">
        <v>255</v>
      </c>
      <c r="D33">
        <v>0.32616802981174298</v>
      </c>
      <c r="E33">
        <v>190.02691935053178</v>
      </c>
      <c r="F33">
        <v>62.671728930819462</v>
      </c>
      <c r="G33">
        <v>72.128194073313836</v>
      </c>
      <c r="H33">
        <v>67.53476795239466</v>
      </c>
      <c r="J33">
        <v>75.591611106197092</v>
      </c>
      <c r="L33">
        <v>7.4548129434188048</v>
      </c>
      <c r="M33">
        <v>14.09467029515125</v>
      </c>
      <c r="N33">
        <v>2.4974831236178563</v>
      </c>
      <c r="O33">
        <v>30.916052035083784</v>
      </c>
      <c r="P33">
        <v>12.259560399153186</v>
      </c>
      <c r="Q33">
        <v>1.1135893005645834</v>
      </c>
      <c r="R33">
        <v>17.232701467635817</v>
      </c>
      <c r="S33">
        <v>49.694240989271989</v>
      </c>
      <c r="U33">
        <v>1.9101697930352732</v>
      </c>
      <c r="V33">
        <v>48.974024109190509</v>
      </c>
      <c r="W33">
        <v>23.117781151172593</v>
      </c>
      <c r="X33">
        <v>47.765492881567361</v>
      </c>
      <c r="Y33">
        <v>9.1513008211358891</v>
      </c>
      <c r="Z33">
        <v>31.392106457376212</v>
      </c>
      <c r="AA33">
        <v>6.5399268027511424</v>
      </c>
      <c r="AB33">
        <v>37.18819919191867</v>
      </c>
      <c r="AD33">
        <v>8.1645158065417096</v>
      </c>
      <c r="AE33">
        <v>12.791560024959509</v>
      </c>
      <c r="AF33">
        <v>13.759821567194692</v>
      </c>
      <c r="AG33">
        <v>22.711386836230595</v>
      </c>
      <c r="AH33">
        <v>7.9589709214569373</v>
      </c>
      <c r="AI33">
        <v>2.4437315092766929</v>
      </c>
      <c r="AK33">
        <v>61.651405151845076</v>
      </c>
    </row>
    <row r="34" spans="1:37" x14ac:dyDescent="0.2">
      <c r="A34">
        <v>33</v>
      </c>
      <c r="B34">
        <v>759</v>
      </c>
      <c r="C34">
        <v>255</v>
      </c>
      <c r="D34">
        <v>0.325447367146249</v>
      </c>
      <c r="E34">
        <v>189.90241735677483</v>
      </c>
      <c r="F34">
        <v>62.282713535832151</v>
      </c>
      <c r="G34">
        <v>72.064142437641266</v>
      </c>
      <c r="H34">
        <v>67.468274877501401</v>
      </c>
      <c r="J34">
        <v>75.486786433389057</v>
      </c>
      <c r="L34">
        <v>7.3677246540748706</v>
      </c>
      <c r="M34">
        <v>14.017847147440371</v>
      </c>
      <c r="N34">
        <v>2.4994589727994971</v>
      </c>
      <c r="O34">
        <v>30.52275531885347</v>
      </c>
      <c r="P34">
        <v>12.1548910315525</v>
      </c>
      <c r="Q34">
        <v>1.0449666270610187</v>
      </c>
      <c r="R34">
        <v>17.006456972821507</v>
      </c>
      <c r="S34">
        <v>49.199708694245381</v>
      </c>
      <c r="U34">
        <v>1.8224973120264947</v>
      </c>
      <c r="V34">
        <v>48.849586303320081</v>
      </c>
      <c r="W34">
        <v>22.896478344748498</v>
      </c>
      <c r="X34">
        <v>47.534241524163811</v>
      </c>
      <c r="Y34">
        <v>9.0578861214813369</v>
      </c>
      <c r="Z34">
        <v>31.176986327246354</v>
      </c>
      <c r="AA34">
        <v>6.4502209982101046</v>
      </c>
      <c r="AB34">
        <v>37.01895066495014</v>
      </c>
      <c r="AD34">
        <v>8.041215540240481</v>
      </c>
      <c r="AE34">
        <v>12.69559949172999</v>
      </c>
      <c r="AF34">
        <v>13.681878818260659</v>
      </c>
      <c r="AG34">
        <v>22.527167807519277</v>
      </c>
      <c r="AH34">
        <v>7.8176023774542536</v>
      </c>
      <c r="AI34">
        <v>2.4454236376417322</v>
      </c>
      <c r="AK34">
        <v>61.628451838210339</v>
      </c>
    </row>
    <row r="35" spans="1:37" x14ac:dyDescent="0.2">
      <c r="A35">
        <v>34</v>
      </c>
      <c r="B35">
        <v>758</v>
      </c>
      <c r="C35">
        <v>255</v>
      </c>
      <c r="D35">
        <v>0.32472530669640698</v>
      </c>
      <c r="E35">
        <v>189.77807071923306</v>
      </c>
      <c r="F35">
        <v>61.894386928427878</v>
      </c>
      <c r="G35">
        <v>72.000173492370976</v>
      </c>
      <c r="H35">
        <v>67.401877463653094</v>
      </c>
      <c r="J35">
        <v>75.382562787450524</v>
      </c>
      <c r="L35">
        <v>7.280801226400083</v>
      </c>
      <c r="M35">
        <v>13.941169496796393</v>
      </c>
      <c r="N35">
        <v>2.5014346922695574</v>
      </c>
      <c r="O35">
        <v>30.130067416833914</v>
      </c>
      <c r="P35">
        <v>12.050394593080215</v>
      </c>
      <c r="Q35">
        <v>0.97640485266801491</v>
      </c>
      <c r="R35">
        <v>16.780573564026898</v>
      </c>
      <c r="S35">
        <v>48.706096332304263</v>
      </c>
      <c r="U35">
        <v>1.7348956185507129</v>
      </c>
      <c r="V35">
        <v>48.725339267560138</v>
      </c>
      <c r="W35">
        <v>22.675454725833905</v>
      </c>
      <c r="X35">
        <v>47.303420857703529</v>
      </c>
      <c r="Y35">
        <v>8.964626590661334</v>
      </c>
      <c r="Z35">
        <v>30.962154529691507</v>
      </c>
      <c r="AA35">
        <v>6.3606830216875094</v>
      </c>
      <c r="AB35">
        <v>36.849973605863589</v>
      </c>
      <c r="AD35">
        <v>7.9180234121344757</v>
      </c>
      <c r="AE35">
        <v>12.599762460295235</v>
      </c>
      <c r="AF35">
        <v>13.604081721477129</v>
      </c>
      <c r="AG35">
        <v>22.343222620640493</v>
      </c>
      <c r="AH35">
        <v>7.6764545036312457</v>
      </c>
      <c r="AI35">
        <v>2.4471148109075318</v>
      </c>
      <c r="AK35">
        <v>61.60581364259415</v>
      </c>
    </row>
    <row r="36" spans="1:37" x14ac:dyDescent="0.2">
      <c r="A36">
        <v>35</v>
      </c>
      <c r="B36">
        <v>757</v>
      </c>
      <c r="C36">
        <v>255</v>
      </c>
      <c r="D36">
        <v>0.32400184439159502</v>
      </c>
      <c r="E36">
        <v>189.65387901359347</v>
      </c>
      <c r="F36">
        <v>61.506747330172132</v>
      </c>
      <c r="G36">
        <v>71.936287072354929</v>
      </c>
      <c r="H36">
        <v>67.335575566418939</v>
      </c>
      <c r="J36">
        <v>75.278939673577526</v>
      </c>
      <c r="L36">
        <v>7.1940422666971866</v>
      </c>
      <c r="M36">
        <v>13.864636864649894</v>
      </c>
      <c r="N36">
        <v>2.5034102825716955</v>
      </c>
      <c r="O36">
        <v>29.73798698060703</v>
      </c>
      <c r="P36">
        <v>11.946070776513269</v>
      </c>
      <c r="Q36">
        <v>0.90804276077495383</v>
      </c>
      <c r="R36">
        <v>16.555050104423557</v>
      </c>
      <c r="S36">
        <v>48.213401094980668</v>
      </c>
      <c r="U36">
        <v>1.6473643400584015</v>
      </c>
      <c r="V36">
        <v>48.601282291921734</v>
      </c>
      <c r="W36">
        <v>22.454709337915471</v>
      </c>
      <c r="X36">
        <v>47.073029376960569</v>
      </c>
      <c r="Y36">
        <v>8.8715218418096562</v>
      </c>
      <c r="Z36">
        <v>30.747610086684112</v>
      </c>
      <c r="AA36">
        <v>6.2713895695589086</v>
      </c>
      <c r="AB36">
        <v>36.681267075373398</v>
      </c>
      <c r="AD36">
        <v>7.7949393382376932</v>
      </c>
      <c r="AE36">
        <v>12.504048464193714</v>
      </c>
      <c r="AF36">
        <v>13.52642980439324</v>
      </c>
      <c r="AG36">
        <v>22.159550342728693</v>
      </c>
      <c r="AH36">
        <v>7.5355269283223816</v>
      </c>
      <c r="AI36">
        <v>2.4488050277792035</v>
      </c>
      <c r="AK36">
        <v>61.583490462930058</v>
      </c>
    </row>
    <row r="37" spans="1:37" x14ac:dyDescent="0.2">
      <c r="A37">
        <v>36</v>
      </c>
      <c r="B37">
        <v>756</v>
      </c>
      <c r="C37">
        <v>255</v>
      </c>
      <c r="D37">
        <v>0.32327697614536499</v>
      </c>
      <c r="E37">
        <v>189.5298418203291</v>
      </c>
      <c r="F37">
        <v>61.119792983454332</v>
      </c>
      <c r="G37">
        <v>71.872483014864386</v>
      </c>
      <c r="H37">
        <v>67.269369043828448</v>
      </c>
      <c r="J37">
        <v>75.17591660670989</v>
      </c>
      <c r="L37">
        <v>7.1074473920540369</v>
      </c>
      <c r="M37">
        <v>13.788248776701341</v>
      </c>
      <c r="N37">
        <v>2.5053857442752991</v>
      </c>
      <c r="O37">
        <v>29.346512678098559</v>
      </c>
      <c r="P37">
        <v>11.841919279555526</v>
      </c>
      <c r="Q37">
        <v>0.83974235799351848</v>
      </c>
      <c r="R37">
        <v>16.329885469123049</v>
      </c>
      <c r="S37">
        <v>47.721620199905409</v>
      </c>
      <c r="U37">
        <v>1.5599031086096127</v>
      </c>
      <c r="V37">
        <v>48.477414666975363</v>
      </c>
      <c r="W37">
        <v>22.234241232976963</v>
      </c>
      <c r="X37">
        <v>46.843065590006603</v>
      </c>
      <c r="Y37">
        <v>8.7785714932920627</v>
      </c>
      <c r="Z37">
        <v>30.533352029021291</v>
      </c>
      <c r="AA37">
        <v>6.1821856472591969</v>
      </c>
      <c r="AB37">
        <v>36.51283014225222</v>
      </c>
      <c r="AD37">
        <v>7.6719632366582262</v>
      </c>
      <c r="AE37">
        <v>12.408457040799789</v>
      </c>
      <c r="AF37">
        <v>13.448922598864332</v>
      </c>
      <c r="AG37">
        <v>21.976150049020845</v>
      </c>
      <c r="AH37">
        <v>7.3948192863684952</v>
      </c>
      <c r="AI37">
        <v>2.4504942869880537</v>
      </c>
      <c r="AK37">
        <v>61.561482202149115</v>
      </c>
    </row>
    <row r="38" spans="1:37" x14ac:dyDescent="0.2">
      <c r="A38">
        <v>37</v>
      </c>
      <c r="B38">
        <v>755</v>
      </c>
      <c r="C38">
        <v>255</v>
      </c>
      <c r="D38">
        <v>0.322550697855369</v>
      </c>
      <c r="E38">
        <v>189.40595872455117</v>
      </c>
      <c r="F38">
        <v>60.733522151118059</v>
      </c>
      <c r="G38">
        <v>71.808761159570082</v>
      </c>
      <c r="H38">
        <v>67.203257756349757</v>
      </c>
      <c r="J38">
        <v>75.073493111307499</v>
      </c>
      <c r="L38">
        <v>7.0210162314522346</v>
      </c>
      <c r="M38">
        <v>13.712004762908039</v>
      </c>
      <c r="N38">
        <v>2.5073610779107565</v>
      </c>
      <c r="O38">
        <v>28.955643193309083</v>
      </c>
      <c r="P38">
        <v>11.737939804726029</v>
      </c>
      <c r="Q38">
        <v>0.77163941799914981</v>
      </c>
      <c r="R38">
        <v>16.105078544983296</v>
      </c>
      <c r="S38">
        <v>47.230750890669135</v>
      </c>
      <c r="U38">
        <v>1.4725115608785446</v>
      </c>
      <c r="V38">
        <v>48.353735683605144</v>
      </c>
      <c r="W38">
        <v>22.0140494716196</v>
      </c>
      <c r="X38">
        <v>46.61352801785732</v>
      </c>
      <c r="Y38">
        <v>8.6857751686262699</v>
      </c>
      <c r="Z38">
        <v>30.319379396497375</v>
      </c>
      <c r="AA38">
        <v>6.0931483858302524</v>
      </c>
      <c r="AB38">
        <v>36.344661883488605</v>
      </c>
      <c r="AD38">
        <v>7.5490950277352029</v>
      </c>
      <c r="AE38">
        <v>12.312987731433132</v>
      </c>
      <c r="AF38">
        <v>13.371559640976512</v>
      </c>
      <c r="AG38">
        <v>21.793020822948858</v>
      </c>
      <c r="AH38">
        <v>7.2543312190900249</v>
      </c>
      <c r="AI38">
        <v>2.4521825872256904</v>
      </c>
      <c r="AK38">
        <v>61.539788767966563</v>
      </c>
    </row>
    <row r="39" spans="1:37" x14ac:dyDescent="0.2">
      <c r="A39">
        <v>38</v>
      </c>
      <c r="B39">
        <v>754</v>
      </c>
      <c r="C39">
        <v>255</v>
      </c>
      <c r="D39">
        <v>0.321823005403299</v>
      </c>
      <c r="E39">
        <v>189.28222931597804</v>
      </c>
      <c r="F39">
        <v>60.347933116156284</v>
      </c>
      <c r="G39">
        <v>71.74512134848618</v>
      </c>
      <c r="H39">
        <v>67.137241566836266</v>
      </c>
      <c r="J39">
        <v>74.971668721226592</v>
      </c>
      <c r="L39">
        <v>6.9347484272730142</v>
      </c>
      <c r="M39">
        <v>13.635904357317196</v>
      </c>
      <c r="N39">
        <v>2.5093362840465239</v>
      </c>
      <c r="O39">
        <v>28.565377226165669</v>
      </c>
      <c r="P39">
        <v>11.634132059340825</v>
      </c>
      <c r="Q39">
        <v>0.70359723792264006</v>
      </c>
      <c r="R39">
        <v>15.880628230418175</v>
      </c>
      <c r="S39">
        <v>46.740790436005668</v>
      </c>
      <c r="U39">
        <v>1.3851893379977664</v>
      </c>
      <c r="V39">
        <v>48.230244632622146</v>
      </c>
      <c r="W39">
        <v>21.794133122640897</v>
      </c>
      <c r="X39">
        <v>46.384415194657862</v>
      </c>
      <c r="Y39">
        <v>8.5931324964294635</v>
      </c>
      <c r="Z39">
        <v>30.105691237480961</v>
      </c>
      <c r="AA39">
        <v>6.0042774084970443</v>
      </c>
      <c r="AB39">
        <v>36.176761383840898</v>
      </c>
      <c r="AD39">
        <v>7.4263346338577092</v>
      </c>
      <c r="AE39">
        <v>12.217640081147323</v>
      </c>
      <c r="AF39">
        <v>13.29434047095585</v>
      </c>
      <c r="AG39">
        <v>21.610161755772154</v>
      </c>
      <c r="AH39">
        <v>7.1140623741039208</v>
      </c>
      <c r="AI39">
        <v>2.4538699272221387</v>
      </c>
      <c r="AK39">
        <v>61.518410072924695</v>
      </c>
    </row>
    <row r="40" spans="1:37" x14ac:dyDescent="0.2">
      <c r="A40">
        <v>39</v>
      </c>
      <c r="B40">
        <v>753</v>
      </c>
      <c r="C40">
        <v>255</v>
      </c>
      <c r="D40">
        <v>0.321093894654779</v>
      </c>
      <c r="E40">
        <v>189.15865318869453</v>
      </c>
      <c r="F40">
        <v>59.963024181009871</v>
      </c>
      <c r="G40">
        <v>71.681563425893103</v>
      </c>
      <c r="H40">
        <v>67.071320340447741</v>
      </c>
      <c r="J40">
        <v>74.870442979329994</v>
      </c>
      <c r="L40">
        <v>6.8486436370634332</v>
      </c>
      <c r="M40">
        <v>13.559947097881755</v>
      </c>
      <c r="N40">
        <v>2.5113113632959929</v>
      </c>
      <c r="O40">
        <v>28.175713492150049</v>
      </c>
      <c r="P40">
        <v>11.530495755351854</v>
      </c>
      <c r="Q40">
        <v>0.63575264986119051</v>
      </c>
      <c r="R40">
        <v>15.656533434982576</v>
      </c>
      <c r="S40">
        <v>46.251736128816589</v>
      </c>
      <c r="U40">
        <v>1.2979360854099753</v>
      </c>
      <c r="V40">
        <v>48.106940804242278</v>
      </c>
      <c r="W40">
        <v>21.574491262776956</v>
      </c>
      <c r="X40">
        <v>46.155725666315384</v>
      </c>
      <c r="Y40">
        <v>8.5006431102664557</v>
      </c>
      <c r="Z40">
        <v>29.8922866087747</v>
      </c>
      <c r="AA40">
        <v>5.9155723433383249</v>
      </c>
      <c r="AB40">
        <v>36.009127735630457</v>
      </c>
      <c r="AD40">
        <v>7.3036819794085339</v>
      </c>
      <c r="AE40">
        <v>12.12241363870109</v>
      </c>
      <c r="AF40">
        <v>13.217264632991657</v>
      </c>
      <c r="AG40">
        <v>21.427571946376553</v>
      </c>
      <c r="AH40">
        <v>6.9740124051017451</v>
      </c>
      <c r="AI40">
        <v>2.4555563057510801</v>
      </c>
      <c r="AK40">
        <v>61.497346034140449</v>
      </c>
    </row>
    <row r="41" spans="1:37" x14ac:dyDescent="0.2">
      <c r="A41">
        <v>40</v>
      </c>
      <c r="B41">
        <v>752</v>
      </c>
      <c r="C41">
        <v>255</v>
      </c>
      <c r="D41">
        <v>0.3203633614593</v>
      </c>
      <c r="E41">
        <v>189.03522994187315</v>
      </c>
      <c r="F41">
        <v>59.578793669734758</v>
      </c>
      <c r="G41">
        <v>71.618087238628917</v>
      </c>
      <c r="H41">
        <v>67.005493944942046</v>
      </c>
      <c r="J41">
        <v>74.7698154387556</v>
      </c>
      <c r="L41">
        <v>6.762701536279681</v>
      </c>
      <c r="M41">
        <v>13.484132527219188</v>
      </c>
      <c r="N41">
        <v>2.5132863161371657</v>
      </c>
      <c r="O41">
        <v>27.786650723152182</v>
      </c>
      <c r="P41">
        <v>11.427030609756029</v>
      </c>
      <c r="Q41">
        <v>0.56796591187340617</v>
      </c>
      <c r="R41">
        <v>15.432793080725574</v>
      </c>
      <c r="S41">
        <v>45.763585289967899</v>
      </c>
      <c r="U41">
        <v>1.2107514535031221</v>
      </c>
      <c r="V41">
        <v>47.983823489254199</v>
      </c>
      <c r="W41">
        <v>21.355122977943804</v>
      </c>
      <c r="X41">
        <v>45.927457993327685</v>
      </c>
      <c r="Y41">
        <v>8.4083066491120348</v>
      </c>
      <c r="Z41">
        <v>29.679164576400659</v>
      </c>
      <c r="AA41">
        <v>5.827032823677575</v>
      </c>
      <c r="AB41">
        <v>35.841760039854641</v>
      </c>
      <c r="AD41">
        <v>7.1811369913760688</v>
      </c>
      <c r="AE41">
        <v>12.027307956791493</v>
      </c>
      <c r="AF41">
        <v>13.140331675818331</v>
      </c>
      <c r="AG41">
        <v>21.245250502206702</v>
      </c>
      <c r="AH41">
        <v>6.8341809727403504</v>
      </c>
      <c r="AI41">
        <v>2.4572417214518514</v>
      </c>
      <c r="AK41">
        <v>61.476596573934081</v>
      </c>
    </row>
    <row r="42" spans="1:37" x14ac:dyDescent="0.2">
      <c r="A42">
        <v>41</v>
      </c>
      <c r="B42">
        <v>751</v>
      </c>
      <c r="C42">
        <v>255</v>
      </c>
      <c r="D42">
        <v>0.31963140165015202</v>
      </c>
      <c r="E42">
        <v>188.91195917859443</v>
      </c>
      <c r="F42">
        <v>59.195239924249144</v>
      </c>
      <c r="G42">
        <v>71.554692635595146</v>
      </c>
      <c r="H42">
        <v>66.939762250180635</v>
      </c>
      <c r="J42">
        <v>74.669785660803655</v>
      </c>
      <c r="L42">
        <v>6.6769218206574008</v>
      </c>
      <c r="M42">
        <v>13.408460191352814</v>
      </c>
      <c r="N42">
        <v>2.515261143197753</v>
      </c>
      <c r="O42">
        <v>27.398187665835085</v>
      </c>
      <c r="P42">
        <v>11.323736343887434</v>
      </c>
      <c r="Q42">
        <v>0.50038008567773617</v>
      </c>
      <c r="R42">
        <v>15.209406099902543</v>
      </c>
      <c r="S42">
        <v>45.27633526189107</v>
      </c>
      <c r="U42">
        <v>1.1236350965462572</v>
      </c>
      <c r="V42">
        <v>47.860891976615328</v>
      </c>
      <c r="W42">
        <v>21.136027361102233</v>
      </c>
      <c r="X42">
        <v>45.699610746862135</v>
      </c>
      <c r="Y42">
        <v>8.3161227565644342</v>
      </c>
      <c r="Z42">
        <v>29.466324214132445</v>
      </c>
      <c r="AA42">
        <v>5.7386584874859254</v>
      </c>
      <c r="AB42">
        <v>35.67465740423355</v>
      </c>
      <c r="AD42">
        <v>7.0586995984023249</v>
      </c>
      <c r="AE42">
        <v>11.932322591564045</v>
      </c>
      <c r="AF42">
        <v>13.063541151733741</v>
      </c>
      <c r="AG42">
        <v>21.063196537598586</v>
      </c>
      <c r="AH42">
        <v>6.6945677431444732</v>
      </c>
      <c r="AI42">
        <v>2.4589261731123369</v>
      </c>
      <c r="AK42">
        <v>61.45616161881027</v>
      </c>
    </row>
    <row r="43" spans="1:37" x14ac:dyDescent="0.2">
      <c r="A43">
        <v>42</v>
      </c>
      <c r="B43">
        <v>750</v>
      </c>
      <c r="C43">
        <v>255</v>
      </c>
      <c r="D43">
        <v>0.31889801104432502</v>
      </c>
      <c r="E43">
        <v>188.78884050685102</v>
      </c>
      <c r="F43">
        <v>58.812361307445123</v>
      </c>
      <c r="G43">
        <v>71.491379468174344</v>
      </c>
      <c r="H43">
        <v>66.874125128548286</v>
      </c>
      <c r="J43">
        <v>74.570353216718075</v>
      </c>
      <c r="L43">
        <v>6.591304210553826</v>
      </c>
      <c r="M43">
        <v>13.3329296407607</v>
      </c>
      <c r="N43">
        <v>2.5172358450006929</v>
      </c>
      <c r="O43">
        <v>27.010323082895855</v>
      </c>
      <c r="P43">
        <v>11.220612684002424</v>
      </c>
      <c r="Q43">
        <v>0.43284670230932532</v>
      </c>
      <c r="R43">
        <v>14.986371436869719</v>
      </c>
      <c r="S43">
        <v>44.789983413928063</v>
      </c>
      <c r="U43">
        <v>1.0365866735792337</v>
      </c>
      <c r="V43">
        <v>47.738145555136725</v>
      </c>
      <c r="W43">
        <v>20.917203514019381</v>
      </c>
      <c r="X43">
        <v>45.472182511957705</v>
      </c>
      <c r="Y43">
        <v>8.2240910815022641</v>
      </c>
      <c r="Z43">
        <v>29.253764604651618</v>
      </c>
      <c r="AA43">
        <v>5.6504489779356444</v>
      </c>
      <c r="AB43">
        <v>35.507818944803518</v>
      </c>
      <c r="AD43">
        <v>6.9363697316413884</v>
      </c>
      <c r="AE43">
        <v>11.837457102966969</v>
      </c>
      <c r="AF43">
        <v>12.98689261740064</v>
      </c>
      <c r="AG43">
        <v>20.881409175120613</v>
      </c>
      <c r="AH43">
        <v>6.5551723891776197</v>
      </c>
      <c r="AI43">
        <v>2.4606096594156464</v>
      </c>
      <c r="AK43">
        <v>61.43604110032333</v>
      </c>
    </row>
    <row r="44" spans="1:37" x14ac:dyDescent="0.2">
      <c r="A44">
        <v>43</v>
      </c>
      <c r="B44">
        <v>749</v>
      </c>
      <c r="C44">
        <v>255</v>
      </c>
      <c r="D44">
        <v>0.31816318544244998</v>
      </c>
      <c r="E44">
        <v>188.66587353878845</v>
      </c>
      <c r="F44">
        <v>58.430156200741791</v>
      </c>
      <c r="G44">
        <v>71.428147589909997</v>
      </c>
      <c r="H44">
        <v>66.808582454631264</v>
      </c>
      <c r="J44">
        <v>74.471517686327317</v>
      </c>
      <c r="L44">
        <v>6.5057895724876325</v>
      </c>
      <c r="M44">
        <v>13.257540429574956</v>
      </c>
      <c r="N44">
        <v>2.5192104221414491</v>
      </c>
      <c r="O44">
        <v>26.623055751977514</v>
      </c>
      <c r="P44">
        <v>11.117659360820953</v>
      </c>
      <c r="Q44">
        <v>0.39733151099634573</v>
      </c>
      <c r="R44">
        <v>14.763688046614078</v>
      </c>
      <c r="S44">
        <v>44.304527138223577</v>
      </c>
      <c r="U44">
        <v>0.94960584773414636</v>
      </c>
      <c r="V44">
        <v>47.61558351187653</v>
      </c>
      <c r="W44">
        <v>20.69865054589685</v>
      </c>
      <c r="X44">
        <v>45.245171884882438</v>
      </c>
      <c r="Y44">
        <v>8.1322112775753865</v>
      </c>
      <c r="Z44">
        <v>29.04148483859435</v>
      </c>
      <c r="AA44">
        <v>5.5624039430317502</v>
      </c>
      <c r="AB44">
        <v>35.341243784667775</v>
      </c>
      <c r="AD44">
        <v>6.8141473241632582</v>
      </c>
      <c r="AE44">
        <v>11.7427110544314</v>
      </c>
      <c r="AF44">
        <v>12.910385633221264</v>
      </c>
      <c r="AG44">
        <v>20.699887544497933</v>
      </c>
      <c r="AH44">
        <v>6.4159945894799151</v>
      </c>
      <c r="AI44">
        <v>2.4622921791179988</v>
      </c>
      <c r="AK44">
        <v>61.416234954417817</v>
      </c>
    </row>
    <row r="45" spans="1:37" x14ac:dyDescent="0.2">
      <c r="A45">
        <v>44</v>
      </c>
      <c r="B45">
        <v>748</v>
      </c>
      <c r="C45">
        <v>255</v>
      </c>
      <c r="D45">
        <v>0.31742692062870498</v>
      </c>
      <c r="E45">
        <v>188.54305789120241</v>
      </c>
      <c r="F45">
        <v>58.04862300557982</v>
      </c>
      <c r="G45">
        <v>71.364996856710704</v>
      </c>
      <c r="H45">
        <v>66.743134105422357</v>
      </c>
      <c r="J45">
        <v>74.373278658931042</v>
      </c>
      <c r="L45">
        <v>6.4204911649547141</v>
      </c>
      <c r="M45">
        <v>13.182292116122371</v>
      </c>
      <c r="N45">
        <v>2.5211848751577448</v>
      </c>
      <c r="O45">
        <v>26.236384466244917</v>
      </c>
      <c r="P45">
        <v>11.014876109791526</v>
      </c>
      <c r="Q45">
        <v>0.32997289750354275</v>
      </c>
      <c r="R45">
        <v>14.541354895701176</v>
      </c>
      <c r="S45">
        <v>43.819963852392306</v>
      </c>
      <c r="U45">
        <v>0.86269228668183895</v>
      </c>
      <c r="V45">
        <v>47.493205132855493</v>
      </c>
      <c r="W45">
        <v>20.480367574249339</v>
      </c>
      <c r="X45">
        <v>45.018577475169927</v>
      </c>
      <c r="Y45">
        <v>8.0404830035197552</v>
      </c>
      <c r="Z45">
        <v>28.829484015103215</v>
      </c>
      <c r="AA45">
        <v>5.4745230358940242</v>
      </c>
      <c r="AB45">
        <v>35.174931054781503</v>
      </c>
      <c r="AD45">
        <v>6.6920323113882239</v>
      </c>
      <c r="AE45">
        <v>11.64808401303355</v>
      </c>
      <c r="AF45">
        <v>12.83401976374876</v>
      </c>
      <c r="AG45">
        <v>20.518630783270439</v>
      </c>
      <c r="AH45">
        <v>6.277034029085959</v>
      </c>
      <c r="AI45">
        <v>2.4639737309162406</v>
      </c>
      <c r="AK45">
        <v>61.396743121855089</v>
      </c>
    </row>
    <row r="46" spans="1:37" x14ac:dyDescent="0.2">
      <c r="A46">
        <v>45</v>
      </c>
      <c r="B46">
        <v>747</v>
      </c>
      <c r="C46">
        <v>255</v>
      </c>
      <c r="D46">
        <v>0.316689212370732</v>
      </c>
      <c r="E46">
        <v>188.42039318508029</v>
      </c>
      <c r="F46">
        <v>57.667760141977709</v>
      </c>
      <c r="G46">
        <v>71.301927126664495</v>
      </c>
      <c r="H46">
        <v>66.67777996013389</v>
      </c>
      <c r="J46">
        <v>74.275635732471613</v>
      </c>
      <c r="L46">
        <v>6.3353536065351799</v>
      </c>
      <c r="M46">
        <v>13.107184262419869</v>
      </c>
      <c r="N46">
        <v>2.5231592046275817</v>
      </c>
      <c r="O46">
        <v>25.850308033715077</v>
      </c>
      <c r="P46">
        <v>10.912262670831607</v>
      </c>
      <c r="Q46">
        <v>0.26272687698015762</v>
      </c>
      <c r="R46">
        <v>14.319370961357659</v>
      </c>
      <c r="S46">
        <v>43.336290997039555</v>
      </c>
      <c r="U46">
        <v>0.77584566221950368</v>
      </c>
      <c r="V46">
        <v>47.371009701986587</v>
      </c>
      <c r="W46">
        <v>20.262353724081947</v>
      </c>
      <c r="X46">
        <v>44.792397903652386</v>
      </c>
      <c r="Y46">
        <v>7.9489059228602272</v>
      </c>
      <c r="Z46">
        <v>28.617761241264763</v>
      </c>
      <c r="AA46">
        <v>5.386805914538316</v>
      </c>
      <c r="AB46">
        <v>35.008879893202412</v>
      </c>
      <c r="AD46">
        <v>6.5700246307537364</v>
      </c>
      <c r="AE46">
        <v>11.553575549302282</v>
      </c>
      <c r="AF46">
        <v>12.757794577275302</v>
      </c>
      <c r="AG46">
        <v>20.337638036139865</v>
      </c>
      <c r="AH46">
        <v>6.1382903988705504</v>
      </c>
      <c r="AI46">
        <v>2.4656543135487792</v>
      </c>
      <c r="AK46">
        <v>61.377565547812864</v>
      </c>
    </row>
    <row r="47" spans="1:37" x14ac:dyDescent="0.2">
      <c r="A47">
        <v>46</v>
      </c>
      <c r="B47">
        <v>746</v>
      </c>
      <c r="C47">
        <v>255</v>
      </c>
      <c r="D47">
        <v>0.31595005641956603</v>
      </c>
      <c r="E47">
        <v>188.29787904587903</v>
      </c>
      <c r="F47">
        <v>57.28756604929724</v>
      </c>
      <c r="G47">
        <v>71.238938260137758</v>
      </c>
      <c r="H47">
        <v>66.612519900298864</v>
      </c>
      <c r="J47">
        <v>74.178588514021328</v>
      </c>
      <c r="L47">
        <v>6.250376659307312</v>
      </c>
      <c r="M47">
        <v>13.032216434449705</v>
      </c>
      <c r="N47">
        <v>2.5251334111146431</v>
      </c>
      <c r="O47">
        <v>25.464825277549529</v>
      </c>
      <c r="P47">
        <v>10.809818788464279</v>
      </c>
      <c r="Q47">
        <v>0.16406934025042846</v>
      </c>
      <c r="R47">
        <v>14.097735231982846</v>
      </c>
      <c r="S47">
        <v>42.853506037078525</v>
      </c>
      <c r="U47">
        <v>0.68906565049131274</v>
      </c>
      <c r="V47">
        <v>47.248996501353666</v>
      </c>
      <c r="W47">
        <v>20.044608128276309</v>
      </c>
      <c r="X47">
        <v>44.566631803725258</v>
      </c>
      <c r="Y47">
        <v>7.8574797040702986</v>
      </c>
      <c r="Z47">
        <v>28.40631563230291</v>
      </c>
      <c r="AA47">
        <v>5.2992522420629031</v>
      </c>
      <c r="AB47">
        <v>34.843089445426209</v>
      </c>
      <c r="AD47">
        <v>6.4481242219135666</v>
      </c>
      <c r="AE47">
        <v>11.459185237251697</v>
      </c>
      <c r="AF47">
        <v>12.681709646063753</v>
      </c>
      <c r="AG47">
        <v>20.156908455250178</v>
      </c>
      <c r="AH47">
        <v>5.999763395847217</v>
      </c>
      <c r="AI47">
        <v>2.4673339257388873</v>
      </c>
      <c r="AK47">
        <v>61.358702182142196</v>
      </c>
    </row>
    <row r="48" spans="1:37" x14ac:dyDescent="0.2">
      <c r="A48">
        <v>47</v>
      </c>
      <c r="B48">
        <v>745</v>
      </c>
      <c r="C48">
        <v>255</v>
      </c>
      <c r="D48">
        <v>0.31520944850955201</v>
      </c>
      <c r="E48">
        <v>188.17551510326717</v>
      </c>
      <c r="F48">
        <v>56.908039185453106</v>
      </c>
      <c r="G48">
        <v>71.176030119690537</v>
      </c>
      <c r="H48">
        <v>66.547353809686328</v>
      </c>
      <c r="J48">
        <v>74.082136619340957</v>
      </c>
      <c r="L48">
        <v>6.1655601239052373</v>
      </c>
      <c r="M48">
        <v>12.957388201966928</v>
      </c>
      <c r="N48">
        <v>2.527107495174346</v>
      </c>
      <c r="O48">
        <v>25.0799350356329</v>
      </c>
      <c r="P48">
        <v>10.707544211655501</v>
      </c>
      <c r="Q48">
        <v>9.717747030649844E-2</v>
      </c>
      <c r="R48">
        <v>13.87644670668152</v>
      </c>
      <c r="S48">
        <v>42.37160646069632</v>
      </c>
      <c r="U48">
        <v>0.60235193182945623</v>
      </c>
      <c r="V48">
        <v>47.12716481056227</v>
      </c>
      <c r="W48">
        <v>19.827129927338511</v>
      </c>
      <c r="X48">
        <v>44.341277820285491</v>
      </c>
      <c r="Y48">
        <v>7.7662040204144533</v>
      </c>
      <c r="Z48">
        <v>28.195146311442713</v>
      </c>
      <c r="AA48">
        <v>5.2118616865131768</v>
      </c>
      <c r="AB48">
        <v>34.677558864163082</v>
      </c>
      <c r="AD48">
        <v>6.326331026668166</v>
      </c>
      <c r="AE48">
        <v>11.364912654359138</v>
      </c>
      <c r="AF48">
        <v>12.605764546147908</v>
      </c>
      <c r="AG48">
        <v>19.976441199972157</v>
      </c>
      <c r="AH48">
        <v>5.8614527229310118</v>
      </c>
      <c r="AI48">
        <v>2.4690125662018061</v>
      </c>
      <c r="AK48">
        <v>61.340152979101191</v>
      </c>
    </row>
    <row r="49" spans="1:37" x14ac:dyDescent="0.2">
      <c r="A49">
        <v>48</v>
      </c>
      <c r="B49">
        <v>744</v>
      </c>
      <c r="C49">
        <v>255</v>
      </c>
      <c r="D49">
        <v>0.31446738435825899</v>
      </c>
      <c r="E49">
        <v>188.05330099125291</v>
      </c>
      <c r="F49">
        <v>56.529178027168044</v>
      </c>
      <c r="G49">
        <v>71.113202570095282</v>
      </c>
      <c r="H49">
        <v>66.48228157431781</v>
      </c>
      <c r="J49">
        <v>73.986279673049623</v>
      </c>
      <c r="L49">
        <v>6.080903849574737</v>
      </c>
      <c r="M49">
        <v>12.882699138490763</v>
      </c>
      <c r="N49">
        <v>2.5290814573887674</v>
      </c>
      <c r="O49">
        <v>24.695636160680642</v>
      </c>
      <c r="P49">
        <v>10.605438693889541</v>
      </c>
      <c r="Q49">
        <v>3.0342482115533129E-2</v>
      </c>
      <c r="R49">
        <v>13.655504395400735</v>
      </c>
      <c r="S49">
        <v>41.890589779415158</v>
      </c>
      <c r="U49">
        <v>0.5157041907491462</v>
      </c>
      <c r="V49">
        <v>47.005513906618241</v>
      </c>
      <c r="W49">
        <v>19.609918269268302</v>
      </c>
      <c r="X49">
        <v>44.116334610653958</v>
      </c>
      <c r="Y49">
        <v>7.6750785500033905</v>
      </c>
      <c r="Z49">
        <v>27.98425240970445</v>
      </c>
      <c r="AA49">
        <v>5.1246339210123919</v>
      </c>
      <c r="AB49">
        <v>34.512287309188011</v>
      </c>
      <c r="AD49">
        <v>6.204644988917706</v>
      </c>
      <c r="AE49">
        <v>11.270757381429558</v>
      </c>
      <c r="AF49">
        <v>12.529958857366708</v>
      </c>
      <c r="AG49">
        <v>19.796235436786528</v>
      </c>
      <c r="AH49">
        <v>5.7233580889713007</v>
      </c>
      <c r="AI49">
        <v>2.4706902336786207</v>
      </c>
      <c r="AK49">
        <v>61.321917897516066</v>
      </c>
    </row>
    <row r="50" spans="1:37" x14ac:dyDescent="0.2">
      <c r="A50">
        <v>49</v>
      </c>
      <c r="B50">
        <v>743</v>
      </c>
      <c r="C50">
        <v>255</v>
      </c>
      <c r="D50">
        <v>0.31372385966638899</v>
      </c>
      <c r="E50">
        <v>187.04953167329381</v>
      </c>
      <c r="F50">
        <v>49.734906445609766</v>
      </c>
      <c r="G50">
        <v>70.115975487925809</v>
      </c>
      <c r="H50">
        <v>65.482823092058524</v>
      </c>
      <c r="J50">
        <v>71.23966317263374</v>
      </c>
      <c r="L50">
        <v>4.2339379527442178</v>
      </c>
      <c r="M50">
        <v>12.863544826644985</v>
      </c>
      <c r="N50">
        <v>2.5310035252009406</v>
      </c>
      <c r="O50">
        <v>17.78649665422919</v>
      </c>
      <c r="P50">
        <v>8.6344902391775538</v>
      </c>
      <c r="R50">
        <v>11.048992012729526</v>
      </c>
      <c r="S50">
        <v>38.423903507918688</v>
      </c>
      <c r="U50">
        <v>0.50908100611073981</v>
      </c>
      <c r="V50">
        <v>46.870911604489947</v>
      </c>
      <c r="W50">
        <v>19.445265493268561</v>
      </c>
      <c r="X50">
        <v>44.137789088907617</v>
      </c>
      <c r="Y50">
        <v>5.7084625016138508</v>
      </c>
      <c r="Z50">
        <v>23.367737229289727</v>
      </c>
      <c r="AA50">
        <v>3.2415220038744157</v>
      </c>
      <c r="AB50">
        <v>32.802890530552098</v>
      </c>
      <c r="AD50">
        <v>3.526234935046288</v>
      </c>
      <c r="AE50">
        <v>9.3275972455624849</v>
      </c>
      <c r="AF50">
        <v>12.509636395542307</v>
      </c>
      <c r="AG50">
        <v>18.071855149332297</v>
      </c>
      <c r="AH50">
        <v>2.6966385231482444</v>
      </c>
      <c r="AI50">
        <v>2.4723151537728851</v>
      </c>
      <c r="AK50">
        <v>59.434865287711055</v>
      </c>
    </row>
    <row r="51" spans="1:37" x14ac:dyDescent="0.2">
      <c r="A51">
        <v>50</v>
      </c>
      <c r="B51">
        <v>742</v>
      </c>
      <c r="C51">
        <v>255</v>
      </c>
      <c r="D51">
        <v>0.31297887011771702</v>
      </c>
      <c r="E51">
        <v>186.54574151726558</v>
      </c>
      <c r="F51">
        <v>45.395638328645738</v>
      </c>
      <c r="G51">
        <v>69.598029624801256</v>
      </c>
      <c r="H51">
        <v>64.962659135861927</v>
      </c>
      <c r="J51">
        <v>64.700470546109969</v>
      </c>
      <c r="L51">
        <v>2.1699578781539168</v>
      </c>
      <c r="M51">
        <v>12.732328951473857</v>
      </c>
      <c r="N51">
        <v>2.5329589654399851</v>
      </c>
      <c r="O51">
        <v>8.316048972974972</v>
      </c>
      <c r="P51">
        <v>7.622145641077771</v>
      </c>
      <c r="R51">
        <v>8.4987903264808544</v>
      </c>
      <c r="S51">
        <v>33.817607753745861</v>
      </c>
      <c r="U51">
        <v>0.4677434278478011</v>
      </c>
      <c r="V51">
        <v>46.794517833110113</v>
      </c>
      <c r="W51">
        <v>19.25035566204042</v>
      </c>
      <c r="X51">
        <v>44.05372471296775</v>
      </c>
      <c r="Y51">
        <v>3.9737476282204551</v>
      </c>
      <c r="Z51">
        <v>19.311516554952586</v>
      </c>
      <c r="AA51">
        <v>0.96149290081762595</v>
      </c>
      <c r="AB51">
        <v>31.137043400971532</v>
      </c>
      <c r="AD51">
        <v>1.1991325054919608</v>
      </c>
      <c r="AE51">
        <v>7.4015645777137387</v>
      </c>
      <c r="AF51">
        <v>12.377286118309367</v>
      </c>
      <c r="AG51">
        <v>16.391060483317919</v>
      </c>
      <c r="AI51">
        <v>2.4739725914724939</v>
      </c>
      <c r="AK51">
        <v>55.010574900856398</v>
      </c>
    </row>
    <row r="52" spans="1:37" x14ac:dyDescent="0.2">
      <c r="A52">
        <v>51</v>
      </c>
      <c r="B52">
        <v>741</v>
      </c>
      <c r="C52">
        <v>255</v>
      </c>
      <c r="D52">
        <v>0.31223241137898899</v>
      </c>
      <c r="E52">
        <v>186.78776875449952</v>
      </c>
      <c r="F52">
        <v>45.342649745624172</v>
      </c>
      <c r="G52">
        <v>69.686866210413299</v>
      </c>
      <c r="H52">
        <v>65.049290956793953</v>
      </c>
      <c r="J52">
        <v>52.722009402114459</v>
      </c>
      <c r="L52">
        <v>1.6527202504396192</v>
      </c>
      <c r="M52">
        <v>12.324996265350881</v>
      </c>
      <c r="N52">
        <v>2.5349570996291493</v>
      </c>
      <c r="O52">
        <v>5.3646990433749124</v>
      </c>
      <c r="P52">
        <v>7.8234167040456075</v>
      </c>
      <c r="R52">
        <v>7.7775831543977763</v>
      </c>
      <c r="S52">
        <v>32.944290213471042</v>
      </c>
      <c r="U52">
        <v>0.42733248597938478</v>
      </c>
      <c r="V52">
        <v>47.36342394003303</v>
      </c>
      <c r="W52">
        <v>18.778588874922374</v>
      </c>
      <c r="X52">
        <v>43.97234251902124</v>
      </c>
      <c r="Y52">
        <v>3.4809997934858425</v>
      </c>
      <c r="Z52">
        <v>17.709469293339819</v>
      </c>
      <c r="AB52">
        <v>30.716750129312356</v>
      </c>
      <c r="AE52">
        <v>6.4497366196952211</v>
      </c>
      <c r="AF52">
        <v>11.96886210534454</v>
      </c>
      <c r="AG52">
        <v>15.955864975315844</v>
      </c>
      <c r="AI52">
        <v>2.47567186646017</v>
      </c>
      <c r="AK52">
        <v>46.869606448411183</v>
      </c>
    </row>
    <row r="53" spans="1:37" x14ac:dyDescent="0.2">
      <c r="A53">
        <v>52</v>
      </c>
      <c r="B53">
        <v>740</v>
      </c>
      <c r="C53">
        <v>255</v>
      </c>
      <c r="D53">
        <v>0.31148447909983901</v>
      </c>
      <c r="E53">
        <v>186.95333784838502</v>
      </c>
      <c r="F53">
        <v>45.858289081654178</v>
      </c>
      <c r="G53">
        <v>69.662879493334245</v>
      </c>
      <c r="H53">
        <v>65.023112824845498</v>
      </c>
      <c r="J53">
        <v>46.369132984009219</v>
      </c>
      <c r="L53">
        <v>1.6685138079343778</v>
      </c>
      <c r="M53">
        <v>11.874500247271303</v>
      </c>
      <c r="N53">
        <v>2.5369454405417637</v>
      </c>
      <c r="O53">
        <v>5.3629185796128684</v>
      </c>
      <c r="P53">
        <v>7.7990394616224901</v>
      </c>
      <c r="R53">
        <v>7.4244716837583642</v>
      </c>
      <c r="S53">
        <v>33.439132253414201</v>
      </c>
      <c r="U53">
        <v>0.40149281730952635</v>
      </c>
      <c r="V53">
        <v>47.974165786811731</v>
      </c>
      <c r="W53">
        <v>18.254929278764823</v>
      </c>
      <c r="X53">
        <v>43.933126773899048</v>
      </c>
      <c r="Y53">
        <v>3.2362782360157425</v>
      </c>
      <c r="Z53">
        <v>17.910343181378781</v>
      </c>
      <c r="AB53">
        <v>31.289976523864397</v>
      </c>
      <c r="AE53">
        <v>6.5579350256893232</v>
      </c>
      <c r="AF53">
        <v>11.51726535420457</v>
      </c>
      <c r="AG53">
        <v>16.514181952593006</v>
      </c>
      <c r="AI53">
        <v>2.4773604896689503</v>
      </c>
      <c r="AK53">
        <v>42.501164938865422</v>
      </c>
    </row>
    <row r="54" spans="1:37" x14ac:dyDescent="0.2">
      <c r="A54">
        <v>53</v>
      </c>
      <c r="B54">
        <v>763</v>
      </c>
      <c r="C54">
        <v>235</v>
      </c>
      <c r="D54">
        <v>0.349554118612175</v>
      </c>
      <c r="E54">
        <v>178.71325505197925</v>
      </c>
      <c r="F54">
        <v>63.38031932505119</v>
      </c>
      <c r="G54">
        <v>72.315760298408506</v>
      </c>
      <c r="H54">
        <v>67.728857280286434</v>
      </c>
      <c r="J54">
        <v>75.511525754246065</v>
      </c>
      <c r="L54">
        <v>7.6250355551043976</v>
      </c>
      <c r="M54">
        <v>14.285370060136151</v>
      </c>
      <c r="N54">
        <v>2.4238249799451483</v>
      </c>
      <c r="O54">
        <v>32.176745063989259</v>
      </c>
      <c r="P54">
        <v>12.383806512229466</v>
      </c>
      <c r="Q54">
        <v>1.0174633768472976</v>
      </c>
      <c r="R54">
        <v>17.906539749755822</v>
      </c>
      <c r="S54">
        <v>50.716697598479918</v>
      </c>
      <c r="U54">
        <v>2.0647835411174227</v>
      </c>
      <c r="V54">
        <v>48.887951785936714</v>
      </c>
      <c r="W54">
        <v>24.203201239412824</v>
      </c>
      <c r="X54">
        <v>47.193413718900928</v>
      </c>
      <c r="Y54">
        <v>9.2576439277506495</v>
      </c>
      <c r="Z54">
        <v>31.988746882655075</v>
      </c>
      <c r="AA54">
        <v>6.7405045716883469</v>
      </c>
      <c r="AB54">
        <v>37.678640376243351</v>
      </c>
      <c r="AC54">
        <v>5.2619029266685732E-3</v>
      </c>
      <c r="AD54">
        <v>8.4938058057787593</v>
      </c>
      <c r="AE54">
        <v>13.211308942523324</v>
      </c>
      <c r="AF54">
        <v>13.947834217399988</v>
      </c>
      <c r="AG54">
        <v>23.265285216445402</v>
      </c>
      <c r="AH54">
        <v>7.9715394835699751</v>
      </c>
      <c r="AI54">
        <v>2.3683807981215108</v>
      </c>
      <c r="AK54">
        <v>61.411821849530668</v>
      </c>
    </row>
    <row r="55" spans="1:37" x14ac:dyDescent="0.2">
      <c r="A55">
        <v>54</v>
      </c>
      <c r="B55">
        <v>762</v>
      </c>
      <c r="C55">
        <v>235</v>
      </c>
      <c r="D55">
        <v>0.34885813650195902</v>
      </c>
      <c r="E55">
        <v>178.60202740786065</v>
      </c>
      <c r="F55">
        <v>63.036945519565755</v>
      </c>
      <c r="G55">
        <v>72.258198246200763</v>
      </c>
      <c r="H55">
        <v>67.668806857042668</v>
      </c>
      <c r="J55">
        <v>75.430201284798699</v>
      </c>
      <c r="L55">
        <v>7.5448434071044428</v>
      </c>
      <c r="M55">
        <v>14.226953085584638</v>
      </c>
      <c r="N55">
        <v>2.420276345596124</v>
      </c>
      <c r="O55">
        <v>31.800556976583476</v>
      </c>
      <c r="P55">
        <v>12.286561130455796</v>
      </c>
      <c r="Q55">
        <v>0.95755746376389761</v>
      </c>
      <c r="R55">
        <v>17.709340745921541</v>
      </c>
      <c r="S55">
        <v>50.312583653722022</v>
      </c>
      <c r="U55">
        <v>1.9929298701170295</v>
      </c>
      <c r="V55">
        <v>48.792960211979214</v>
      </c>
      <c r="W55">
        <v>24.016303898128857</v>
      </c>
      <c r="X55">
        <v>47.016719506000562</v>
      </c>
      <c r="Y55">
        <v>9.1736340578067104</v>
      </c>
      <c r="Z55">
        <v>31.800859882651313</v>
      </c>
      <c r="AA55">
        <v>6.6577759462303296</v>
      </c>
      <c r="AB55">
        <v>37.542543274734939</v>
      </c>
      <c r="AD55">
        <v>8.3881228726064982</v>
      </c>
      <c r="AE55">
        <v>13.126111179679521</v>
      </c>
      <c r="AF55">
        <v>13.882769502340512</v>
      </c>
      <c r="AG55">
        <v>23.108711960148366</v>
      </c>
      <c r="AH55">
        <v>7.851027240990252</v>
      </c>
      <c r="AI55">
        <v>2.3645518102954948</v>
      </c>
      <c r="AK55">
        <v>61.39748333750024</v>
      </c>
    </row>
    <row r="56" spans="1:37" x14ac:dyDescent="0.2">
      <c r="A56">
        <v>55</v>
      </c>
      <c r="B56">
        <v>761</v>
      </c>
      <c r="C56">
        <v>235</v>
      </c>
      <c r="D56">
        <v>0.34816080839336999</v>
      </c>
      <c r="E56">
        <v>178.47765328905211</v>
      </c>
      <c r="F56">
        <v>62.648741548529514</v>
      </c>
      <c r="G56">
        <v>72.194155908984555</v>
      </c>
      <c r="H56">
        <v>67.602289059414488</v>
      </c>
      <c r="J56">
        <v>75.324227538781116</v>
      </c>
      <c r="L56">
        <v>7.4579054895923216</v>
      </c>
      <c r="M56">
        <v>14.150522739362973</v>
      </c>
      <c r="N56">
        <v>2.4222543522086286</v>
      </c>
      <c r="O56">
        <v>31.406946509382003</v>
      </c>
      <c r="P56">
        <v>12.181889427951884</v>
      </c>
      <c r="Q56">
        <v>0.88492269898662723</v>
      </c>
      <c r="R56">
        <v>17.483700512895798</v>
      </c>
      <c r="S56">
        <v>49.818887713906193</v>
      </c>
      <c r="U56">
        <v>1.9052843103829706</v>
      </c>
      <c r="V56">
        <v>48.669128676144858</v>
      </c>
      <c r="W56">
        <v>23.795290162477293</v>
      </c>
      <c r="X56">
        <v>46.786625965417933</v>
      </c>
      <c r="Y56">
        <v>9.0802639658753783</v>
      </c>
      <c r="Z56">
        <v>31.587171894528687</v>
      </c>
      <c r="AA56">
        <v>6.568250598156097</v>
      </c>
      <c r="AB56">
        <v>37.374234606030939</v>
      </c>
      <c r="AD56">
        <v>8.2658250289859847</v>
      </c>
      <c r="AE56">
        <v>13.030757097750794</v>
      </c>
      <c r="AF56">
        <v>13.805218329552023</v>
      </c>
      <c r="AG56">
        <v>22.925456263763202</v>
      </c>
      <c r="AH56">
        <v>7.7098605426270925</v>
      </c>
      <c r="AI56">
        <v>2.3662486435556143</v>
      </c>
      <c r="AK56">
        <v>61.374027384212347</v>
      </c>
    </row>
    <row r="57" spans="1:37" x14ac:dyDescent="0.2">
      <c r="A57">
        <v>56</v>
      </c>
      <c r="B57">
        <v>760</v>
      </c>
      <c r="C57">
        <v>235</v>
      </c>
      <c r="D57">
        <v>0.34746213037796903</v>
      </c>
      <c r="E57">
        <v>178.35342973254762</v>
      </c>
      <c r="F57">
        <v>62.261210899829784</v>
      </c>
      <c r="G57">
        <v>72.130194259579497</v>
      </c>
      <c r="H57">
        <v>67.535864880819545</v>
      </c>
      <c r="J57">
        <v>75.218843561978005</v>
      </c>
      <c r="L57">
        <v>7.3711285228169148</v>
      </c>
      <c r="M57">
        <v>14.074234791335954</v>
      </c>
      <c r="N57">
        <v>2.4242322288991889</v>
      </c>
      <c r="O57">
        <v>31.013932870570084</v>
      </c>
      <c r="P57">
        <v>12.077386601820482</v>
      </c>
      <c r="Q57">
        <v>0.81237662100108854</v>
      </c>
      <c r="R57">
        <v>17.258412608602118</v>
      </c>
      <c r="S57">
        <v>49.326090479564108</v>
      </c>
      <c r="U57">
        <v>1.8177037244615242</v>
      </c>
      <c r="V57">
        <v>48.54548224697097</v>
      </c>
      <c r="W57">
        <v>23.574551139602264</v>
      </c>
      <c r="X57">
        <v>46.556950307624156</v>
      </c>
      <c r="Y57">
        <v>8.9870449072356617</v>
      </c>
      <c r="Z57">
        <v>31.373770768436042</v>
      </c>
      <c r="AA57">
        <v>6.4788893771207947</v>
      </c>
      <c r="AB57">
        <v>37.206194433561599</v>
      </c>
      <c r="AD57">
        <v>8.1436312856428401</v>
      </c>
      <c r="AE57">
        <v>12.935526703252581</v>
      </c>
      <c r="AF57">
        <v>13.727809703552323</v>
      </c>
      <c r="AG57">
        <v>22.742471425658859</v>
      </c>
      <c r="AH57">
        <v>7.5689090422056857</v>
      </c>
      <c r="AI57">
        <v>2.3679445251803153</v>
      </c>
      <c r="AK57">
        <v>61.350879780836514</v>
      </c>
    </row>
    <row r="58" spans="1:37" x14ac:dyDescent="0.2">
      <c r="A58">
        <v>57</v>
      </c>
      <c r="B58">
        <v>759</v>
      </c>
      <c r="C58">
        <v>235</v>
      </c>
      <c r="D58">
        <v>0.34676209853219198</v>
      </c>
      <c r="E58">
        <v>178.22935631591119</v>
      </c>
      <c r="F58">
        <v>61.874351855384333</v>
      </c>
      <c r="G58">
        <v>72.066313136087359</v>
      </c>
      <c r="H58">
        <v>67.469534179996785</v>
      </c>
      <c r="J58">
        <v>75.114048849663064</v>
      </c>
      <c r="L58">
        <v>7.2845121189628008</v>
      </c>
      <c r="M58">
        <v>13.998088780883304</v>
      </c>
      <c r="N58">
        <v>2.4262099762381246</v>
      </c>
      <c r="O58">
        <v>30.621514763235599</v>
      </c>
      <c r="P58">
        <v>11.973052351241606</v>
      </c>
      <c r="Q58">
        <v>0.82056301061494741</v>
      </c>
      <c r="R58">
        <v>17.033475929025986</v>
      </c>
      <c r="S58">
        <v>48.834189225893013</v>
      </c>
      <c r="U58">
        <v>1.7301877529776992</v>
      </c>
      <c r="V58">
        <v>48.422020235662643</v>
      </c>
      <c r="W58">
        <v>23.354085928650164</v>
      </c>
      <c r="X58">
        <v>46.327691051267834</v>
      </c>
      <c r="Y58">
        <v>8.8939765023249926</v>
      </c>
      <c r="Z58">
        <v>31.160655612608764</v>
      </c>
      <c r="AA58">
        <v>6.3896919045065221</v>
      </c>
      <c r="AB58">
        <v>37.038421882002218</v>
      </c>
      <c r="AD58">
        <v>8.0215416281137344</v>
      </c>
      <c r="AE58">
        <v>12.840419576726045</v>
      </c>
      <c r="AF58">
        <v>13.650543169839464</v>
      </c>
      <c r="AG58">
        <v>22.559756576919298</v>
      </c>
      <c r="AH58">
        <v>7.4281723869380052</v>
      </c>
      <c r="AI58">
        <v>2.3696394539033485</v>
      </c>
      <c r="AK58">
        <v>61.328040411442629</v>
      </c>
    </row>
    <row r="59" spans="1:37" x14ac:dyDescent="0.2">
      <c r="A59">
        <v>58</v>
      </c>
      <c r="B59">
        <v>758</v>
      </c>
      <c r="C59">
        <v>235</v>
      </c>
      <c r="D59">
        <v>0.34606070891722801</v>
      </c>
      <c r="E59">
        <v>178.10543262106916</v>
      </c>
      <c r="F59">
        <v>61.488162716726222</v>
      </c>
      <c r="G59">
        <v>72.002512378864552</v>
      </c>
      <c r="H59">
        <v>67.403296817980348</v>
      </c>
      <c r="J59">
        <v>75.009842905845318</v>
      </c>
      <c r="L59">
        <v>7.1980558995182475</v>
      </c>
      <c r="M59">
        <v>13.922084251482806</v>
      </c>
      <c r="N59">
        <v>2.4281875947858578</v>
      </c>
      <c r="O59">
        <v>30.22969090580639</v>
      </c>
      <c r="P59">
        <v>11.868886379954095</v>
      </c>
      <c r="Q59">
        <v>0.75237724591314992</v>
      </c>
      <c r="R59">
        <v>16.808889381404111</v>
      </c>
      <c r="S59">
        <v>48.343181252738127</v>
      </c>
      <c r="U59">
        <v>1.6427360408706804</v>
      </c>
      <c r="V59">
        <v>48.298741954031563</v>
      </c>
      <c r="W59">
        <v>23.133893637157104</v>
      </c>
      <c r="X59">
        <v>46.098846727395646</v>
      </c>
      <c r="Y59">
        <v>8.801058376462338</v>
      </c>
      <c r="Z59">
        <v>30.947825544368815</v>
      </c>
      <c r="AA59">
        <v>6.3006578064022474</v>
      </c>
      <c r="AB59">
        <v>36.87091608414061</v>
      </c>
      <c r="AD59">
        <v>7.8995560435599677</v>
      </c>
      <c r="AE59">
        <v>12.745435302754755</v>
      </c>
      <c r="AF59">
        <v>13.573418278010019</v>
      </c>
      <c r="AG59">
        <v>22.377310856749375</v>
      </c>
      <c r="AH59">
        <v>7.2876502301793309</v>
      </c>
      <c r="AI59">
        <v>2.3713334284472887</v>
      </c>
      <c r="AK59">
        <v>61.305509164465704</v>
      </c>
    </row>
    <row r="60" spans="1:37" x14ac:dyDescent="0.2">
      <c r="A60">
        <v>59</v>
      </c>
      <c r="B60">
        <v>757</v>
      </c>
      <c r="C60">
        <v>235</v>
      </c>
      <c r="D60">
        <v>0.34535795757899301</v>
      </c>
      <c r="E60">
        <v>177.9816582339036</v>
      </c>
      <c r="F60">
        <v>61.102641803691306</v>
      </c>
      <c r="G60">
        <v>71.93879183036006</v>
      </c>
      <c r="H60">
        <v>67.337152657936429</v>
      </c>
      <c r="J60">
        <v>74.906225242538198</v>
      </c>
      <c r="L60">
        <v>7.1117594959786583</v>
      </c>
      <c r="M60">
        <v>13.846220750290268</v>
      </c>
      <c r="N60">
        <v>2.4301650851659096</v>
      </c>
      <c r="O60">
        <v>29.838460031450953</v>
      </c>
      <c r="P60">
        <v>11.764888396008805</v>
      </c>
      <c r="Q60">
        <v>0.68430058496459789</v>
      </c>
      <c r="R60">
        <v>16.584651883427163</v>
      </c>
      <c r="S60">
        <v>47.85306388247178</v>
      </c>
      <c r="U60">
        <v>1.5553482370415155</v>
      </c>
      <c r="V60">
        <v>48.175646713646593</v>
      </c>
      <c r="W60">
        <v>22.913973380353365</v>
      </c>
      <c r="X60">
        <v>45.870415878287716</v>
      </c>
      <c r="Y60">
        <v>8.7082901595801161</v>
      </c>
      <c r="Z60">
        <v>30.735279689663574</v>
      </c>
      <c r="AA60">
        <v>6.2117867134063927</v>
      </c>
      <c r="AB60">
        <v>36.703676180258235</v>
      </c>
      <c r="AD60">
        <v>7.7776745205246156</v>
      </c>
      <c r="AE60">
        <v>12.650573469808682</v>
      </c>
      <c r="AF60">
        <v>13.496434581418674</v>
      </c>
      <c r="AG60">
        <v>22.19513341192955</v>
      </c>
      <c r="AH60">
        <v>7.1473422309446306</v>
      </c>
      <c r="AI60">
        <v>2.3730264475975735</v>
      </c>
      <c r="AK60">
        <v>61.283285932331459</v>
      </c>
    </row>
    <row r="61" spans="1:37" x14ac:dyDescent="0.2">
      <c r="A61">
        <v>60</v>
      </c>
      <c r="B61">
        <v>756</v>
      </c>
      <c r="C61">
        <v>235</v>
      </c>
      <c r="D61">
        <v>0.344653840548026</v>
      </c>
      <c r="E61">
        <v>177.85803274504076</v>
      </c>
      <c r="F61">
        <v>60.717787456923773</v>
      </c>
      <c r="G61">
        <v>71.875151335456991</v>
      </c>
      <c r="H61">
        <v>67.271101565506427</v>
      </c>
      <c r="J61">
        <v>74.80319538120041</v>
      </c>
      <c r="L61">
        <v>7.0256225513735115</v>
      </c>
      <c r="M61">
        <v>13.770497829100648</v>
      </c>
      <c r="N61">
        <v>2.4321424478102975</v>
      </c>
      <c r="O61">
        <v>29.447820889008394</v>
      </c>
      <c r="P61">
        <v>11.66105811220053</v>
      </c>
      <c r="Q61">
        <v>0.5229119058627737</v>
      </c>
      <c r="R61">
        <v>16.360762364840191</v>
      </c>
      <c r="S61">
        <v>47.363834464696112</v>
      </c>
      <c r="U61">
        <v>1.4680239951571756</v>
      </c>
      <c r="V61">
        <v>48.052733827244325</v>
      </c>
      <c r="W61">
        <v>22.694324282825463</v>
      </c>
      <c r="X61">
        <v>45.642397060028827</v>
      </c>
      <c r="Y61">
        <v>8.6156714867455051</v>
      </c>
      <c r="Z61">
        <v>30.52301718421143</v>
      </c>
      <c r="AA61">
        <v>6.123078261048569</v>
      </c>
      <c r="AB61">
        <v>36.536701319658036</v>
      </c>
      <c r="AD61">
        <v>7.6558970497825305</v>
      </c>
      <c r="AE61">
        <v>12.555833670646308</v>
      </c>
      <c r="AF61">
        <v>13.419591637877666</v>
      </c>
      <c r="AG61">
        <v>22.013223398089021</v>
      </c>
      <c r="AH61">
        <v>7.0072480549912965</v>
      </c>
      <c r="AI61">
        <v>2.374718509947908</v>
      </c>
      <c r="AK61">
        <v>61.261370612085912</v>
      </c>
    </row>
    <row r="62" spans="1:37" x14ac:dyDescent="0.2">
      <c r="A62">
        <v>61</v>
      </c>
      <c r="B62">
        <v>755</v>
      </c>
      <c r="C62">
        <v>235</v>
      </c>
      <c r="D62">
        <v>0.34394835383941902</v>
      </c>
      <c r="E62">
        <v>177.73455574857411</v>
      </c>
      <c r="F62">
        <v>60.333598033622522</v>
      </c>
      <c r="G62">
        <v>71.81159074088535</v>
      </c>
      <c r="H62">
        <v>67.205143408217694</v>
      </c>
      <c r="J62">
        <v>74.700752850342681</v>
      </c>
      <c r="L62">
        <v>6.9396447209942345</v>
      </c>
      <c r="M62">
        <v>13.694915042700542</v>
      </c>
      <c r="N62">
        <v>2.4341196834149521</v>
      </c>
      <c r="O62">
        <v>29.057772241289392</v>
      </c>
      <c r="P62">
        <v>11.557395245336421</v>
      </c>
      <c r="Q62">
        <v>0.45071987127816876</v>
      </c>
      <c r="R62">
        <v>16.137219764741843</v>
      </c>
      <c r="S62">
        <v>46.87549036809316</v>
      </c>
      <c r="U62">
        <v>1.3807629722507699</v>
      </c>
      <c r="V62">
        <v>47.930002605950477</v>
      </c>
      <c r="W62">
        <v>22.474945475520396</v>
      </c>
      <c r="X62">
        <v>45.414788837694289</v>
      </c>
      <c r="Y62">
        <v>8.5232019972755193</v>
      </c>
      <c r="Z62">
        <v>30.311037171302903</v>
      </c>
      <c r="AA62">
        <v>6.0345320891407104</v>
      </c>
      <c r="AB62">
        <v>36.369990657864911</v>
      </c>
      <c r="AD62">
        <v>7.5342236229796598</v>
      </c>
      <c r="AE62">
        <v>12.461215501472477</v>
      </c>
      <c r="AF62">
        <v>13.342889008467701</v>
      </c>
      <c r="AG62">
        <v>21.83157997736296</v>
      </c>
      <c r="AH62">
        <v>6.867367372955588</v>
      </c>
      <c r="AI62">
        <v>2.3764096143553251</v>
      </c>
      <c r="AK62">
        <v>61.239763104418408</v>
      </c>
    </row>
    <row r="63" spans="1:37" x14ac:dyDescent="0.2">
      <c r="A63">
        <v>62</v>
      </c>
      <c r="B63">
        <v>754</v>
      </c>
      <c r="C63">
        <v>235</v>
      </c>
      <c r="D63">
        <v>0.34324149345275801</v>
      </c>
      <c r="E63">
        <v>177.61122684324664</v>
      </c>
      <c r="F63">
        <v>59.950071911421986</v>
      </c>
      <c r="G63">
        <v>71.748109895775684</v>
      </c>
      <c r="H63">
        <v>67.139278056040069</v>
      </c>
      <c r="J63">
        <v>74.598897187734579</v>
      </c>
      <c r="L63">
        <v>6.8538256747236588</v>
      </c>
      <c r="M63">
        <v>13.619471950425362</v>
      </c>
      <c r="N63">
        <v>2.436096792474173</v>
      </c>
      <c r="O63">
        <v>28.668312866502184</v>
      </c>
      <c r="P63">
        <v>11.453899516890031</v>
      </c>
      <c r="Q63">
        <v>0.37860745245288491</v>
      </c>
      <c r="R63">
        <v>15.914023034078523</v>
      </c>
      <c r="S63">
        <v>46.388028988102135</v>
      </c>
      <c r="U63">
        <v>1.2935648300477247</v>
      </c>
      <c r="V63">
        <v>47.807452361597193</v>
      </c>
      <c r="W63">
        <v>22.255836098604082</v>
      </c>
      <c r="X63">
        <v>45.187589790317205</v>
      </c>
      <c r="Y63">
        <v>8.4308813355512076</v>
      </c>
      <c r="Z63">
        <v>30.099338803889449</v>
      </c>
      <c r="AA63">
        <v>5.9461478424100642</v>
      </c>
      <c r="AB63">
        <v>36.203543359303453</v>
      </c>
      <c r="AD63">
        <v>7.4126542340668564</v>
      </c>
      <c r="AE63">
        <v>12.366718562729897</v>
      </c>
      <c r="AF63">
        <v>13.266326258629707</v>
      </c>
      <c r="AG63">
        <v>21.650202320602101</v>
      </c>
      <c r="AH63">
        <v>6.7276998621251112</v>
      </c>
      <c r="AI63">
        <v>2.3780997594758104</v>
      </c>
      <c r="AK63">
        <v>61.218463314537075</v>
      </c>
    </row>
    <row r="64" spans="1:37" x14ac:dyDescent="0.2">
      <c r="A64">
        <v>63</v>
      </c>
      <c r="B64">
        <v>753</v>
      </c>
      <c r="C64">
        <v>235</v>
      </c>
      <c r="D64">
        <v>0.342533255372025</v>
      </c>
      <c r="E64">
        <v>177.4880456314944</v>
      </c>
      <c r="F64">
        <v>59.567207485238924</v>
      </c>
      <c r="G64">
        <v>71.684708651223119</v>
      </c>
      <c r="H64">
        <v>67.073505380947509</v>
      </c>
      <c r="J64">
        <v>74.49762793863492</v>
      </c>
      <c r="L64">
        <v>6.7681650986623607</v>
      </c>
      <c r="M64">
        <v>13.544168114990754</v>
      </c>
      <c r="N64">
        <v>2.4380737755956479</v>
      </c>
      <c r="O64">
        <v>28.279441556953593</v>
      </c>
      <c r="P64">
        <v>11.35057065244297</v>
      </c>
      <c r="Q64">
        <v>0.3065737184820384</v>
      </c>
      <c r="R64">
        <v>15.691171133665677</v>
      </c>
      <c r="S64">
        <v>45.901447741065162</v>
      </c>
      <c r="U64">
        <v>1.2064292339736478</v>
      </c>
      <c r="V64">
        <v>47.685082404641349</v>
      </c>
      <c r="W64">
        <v>22.036995299348611</v>
      </c>
      <c r="X64">
        <v>44.960798506725759</v>
      </c>
      <c r="Y64">
        <v>8.3387091503559212</v>
      </c>
      <c r="Z64">
        <v>29.887921243040076</v>
      </c>
      <c r="AA64">
        <v>5.8579251700064265</v>
      </c>
      <c r="AB64">
        <v>36.03735859532452</v>
      </c>
      <c r="AD64">
        <v>7.2911888783549381</v>
      </c>
      <c r="AE64">
        <v>12.272342458519743</v>
      </c>
      <c r="AF64">
        <v>13.18990295730895</v>
      </c>
      <c r="AG64">
        <v>21.46908960571567</v>
      </c>
      <c r="AH64">
        <v>6.5882452050826608</v>
      </c>
      <c r="AI64">
        <v>2.3797889440774571</v>
      </c>
      <c r="AK64">
        <v>61.197471151405132</v>
      </c>
    </row>
    <row r="65" spans="1:37" x14ac:dyDescent="0.2">
      <c r="A65">
        <v>64</v>
      </c>
      <c r="B65">
        <v>752</v>
      </c>
      <c r="C65">
        <v>235</v>
      </c>
      <c r="D65">
        <v>0.34182363556552797</v>
      </c>
      <c r="E65">
        <v>177.36501172008963</v>
      </c>
      <c r="F65">
        <v>59.185003169279682</v>
      </c>
      <c r="G65">
        <v>71.621386860568094</v>
      </c>
      <c r="H65">
        <v>67.007825257200764</v>
      </c>
      <c r="J65">
        <v>74.396944656947767</v>
      </c>
      <c r="L65">
        <v>6.6826041788616966</v>
      </c>
      <c r="M65">
        <v>13.469003103240453</v>
      </c>
      <c r="N65">
        <v>2.4400506332989385</v>
      </c>
      <c r="O65">
        <v>27.891157119806138</v>
      </c>
      <c r="P65">
        <v>11.247408382039049</v>
      </c>
      <c r="Q65">
        <v>0.23461839057349801</v>
      </c>
      <c r="R65">
        <v>15.46866303545948</v>
      </c>
      <c r="S65">
        <v>45.415744067930405</v>
      </c>
      <c r="U65">
        <v>1.1193558537783632</v>
      </c>
      <c r="V65">
        <v>47.562892045254607</v>
      </c>
      <c r="W65">
        <v>21.81842223342683</v>
      </c>
      <c r="X65">
        <v>44.734413588204831</v>
      </c>
      <c r="Y65">
        <v>8.2466850952999362</v>
      </c>
      <c r="Z65">
        <v>29.676783658820867</v>
      </c>
      <c r="AA65">
        <v>5.7698637258693344</v>
      </c>
      <c r="AB65">
        <v>35.871435545387989</v>
      </c>
      <c r="AD65">
        <v>7.169827553178818</v>
      </c>
      <c r="AE65">
        <v>12.178086796899334</v>
      </c>
      <c r="AF65">
        <v>13.113618677507764</v>
      </c>
      <c r="AG65">
        <v>21.288241018652997</v>
      </c>
      <c r="AH65">
        <v>6.4490030905752818</v>
      </c>
      <c r="AI65">
        <v>2.3814771668408135</v>
      </c>
      <c r="AK65">
        <v>61.176786528271748</v>
      </c>
    </row>
    <row r="66" spans="1:37" x14ac:dyDescent="0.2">
      <c r="A66">
        <v>65</v>
      </c>
      <c r="B66">
        <v>751</v>
      </c>
      <c r="C66">
        <v>235</v>
      </c>
      <c r="D66">
        <v>0.34111262998584302</v>
      </c>
      <c r="E66">
        <v>177.24212471959953</v>
      </c>
      <c r="F66">
        <v>58.803457395241502</v>
      </c>
      <c r="G66">
        <v>71.558144379148175</v>
      </c>
      <c r="H66">
        <v>66.94223756109821</v>
      </c>
      <c r="J66">
        <v>74.296846904223813</v>
      </c>
      <c r="L66">
        <v>6.597256244584278</v>
      </c>
      <c r="M66">
        <v>13.393976485479216</v>
      </c>
      <c r="N66">
        <v>2.4420273661899863</v>
      </c>
      <c r="O66">
        <v>27.503458376311258</v>
      </c>
      <c r="P66">
        <v>11.144412439867398</v>
      </c>
      <c r="Q66">
        <v>0.1627416555845704</v>
      </c>
      <c r="R66">
        <v>15.246497721436176</v>
      </c>
      <c r="S66">
        <v>44.930915430922937</v>
      </c>
      <c r="U66">
        <v>1.0323443629699141</v>
      </c>
      <c r="V66">
        <v>47.440880592038035</v>
      </c>
      <c r="W66">
        <v>21.600116063693658</v>
      </c>
      <c r="X66">
        <v>44.508433646775572</v>
      </c>
      <c r="Y66">
        <v>8.1548088284466633</v>
      </c>
      <c r="Z66">
        <v>29.465925229421302</v>
      </c>
      <c r="AA66">
        <v>5.6819631684576963</v>
      </c>
      <c r="AB66">
        <v>35.705773395950054</v>
      </c>
      <c r="AD66">
        <v>7.0485702573906615</v>
      </c>
      <c r="AE66">
        <v>12.083951189551163</v>
      </c>
      <c r="AF66">
        <v>13.037472995784276</v>
      </c>
      <c r="AG66">
        <v>21.107655752464979</v>
      </c>
      <c r="AH66">
        <v>6.3099732127512063</v>
      </c>
      <c r="AI66">
        <v>2.3831644265324594</v>
      </c>
      <c r="AK66">
        <v>61.156409362232438</v>
      </c>
    </row>
    <row r="67" spans="1:37" x14ac:dyDescent="0.2">
      <c r="A67">
        <v>66</v>
      </c>
      <c r="B67">
        <v>750</v>
      </c>
      <c r="C67">
        <v>235</v>
      </c>
      <c r="D67">
        <v>0.34040023456971302</v>
      </c>
      <c r="E67">
        <v>177.11938424474366</v>
      </c>
      <c r="F67">
        <v>58.422568613481147</v>
      </c>
      <c r="G67">
        <v>71.494981064476107</v>
      </c>
      <c r="H67">
        <v>66.876742171153452</v>
      </c>
      <c r="J67">
        <v>74.1973342503168</v>
      </c>
      <c r="L67">
        <v>6.5120655368945224</v>
      </c>
      <c r="M67">
        <v>13.319087835982266</v>
      </c>
      <c r="N67">
        <v>2.4440039747945232</v>
      </c>
      <c r="O67">
        <v>27.116344162194313</v>
      </c>
      <c r="P67">
        <v>11.041582564449662</v>
      </c>
      <c r="Q67">
        <v>9.0944107909672056E-2</v>
      </c>
      <c r="R67">
        <v>15.024674184347504</v>
      </c>
      <c r="S67">
        <v>44.44695931602957</v>
      </c>
      <c r="U67">
        <v>0.9453944392522512</v>
      </c>
      <c r="V67">
        <v>47.319047352639728</v>
      </c>
      <c r="W67">
        <v>21.382075961160243</v>
      </c>
      <c r="X67">
        <v>44.282857306159464</v>
      </c>
      <c r="Y67">
        <v>8.0630800125569824</v>
      </c>
      <c r="Z67">
        <v>29.255345141843542</v>
      </c>
      <c r="AA67">
        <v>5.5942231609527884</v>
      </c>
      <c r="AB67">
        <v>35.540371341344979</v>
      </c>
      <c r="AD67">
        <v>6.9274169918657389</v>
      </c>
      <c r="AE67">
        <v>11.989935252046687</v>
      </c>
      <c r="AF67">
        <v>12.961465492600482</v>
      </c>
      <c r="AG67">
        <v>20.92733300801957</v>
      </c>
      <c r="AH67">
        <v>6.1711552717258895</v>
      </c>
      <c r="AI67">
        <v>2.3848507218379495</v>
      </c>
      <c r="AK67">
        <v>61.136339574477759</v>
      </c>
    </row>
    <row r="68" spans="1:37" x14ac:dyDescent="0.2">
      <c r="A68">
        <v>67</v>
      </c>
      <c r="B68">
        <v>749</v>
      </c>
      <c r="C68">
        <v>235</v>
      </c>
      <c r="D68">
        <v>0.33968644523797997</v>
      </c>
      <c r="E68">
        <v>176.99678991398764</v>
      </c>
      <c r="F68">
        <v>58.042335291626301</v>
      </c>
      <c r="G68">
        <v>71.431896776040361</v>
      </c>
      <c r="H68">
        <v>66.811338967898209</v>
      </c>
      <c r="J68">
        <v>74.098406272633099</v>
      </c>
      <c r="L68">
        <v>6.4270317689078293</v>
      </c>
      <c r="M68">
        <v>13.244336732441848</v>
      </c>
      <c r="N68">
        <v>2.4459804597130197</v>
      </c>
      <c r="O68">
        <v>26.729813327062825</v>
      </c>
      <c r="P68">
        <v>10.938918498400637</v>
      </c>
      <c r="Q68">
        <v>1.9226782774020769E-2</v>
      </c>
      <c r="R68">
        <v>14.803191426849683</v>
      </c>
      <c r="S68">
        <v>43.963873230243117</v>
      </c>
      <c r="U68">
        <v>0.85850576404743439</v>
      </c>
      <c r="V68">
        <v>47.197391632681793</v>
      </c>
      <c r="W68">
        <v>21.164301103942393</v>
      </c>
      <c r="X68">
        <v>44.057683200523492</v>
      </c>
      <c r="Y68">
        <v>7.9714983148016998</v>
      </c>
      <c r="Z68">
        <v>29.045042591124911</v>
      </c>
      <c r="AA68">
        <v>5.5066433710715064</v>
      </c>
      <c r="AB68">
        <v>35.375228582822565</v>
      </c>
      <c r="AD68">
        <v>6.806367759068082</v>
      </c>
      <c r="AE68">
        <v>11.896038603533768</v>
      </c>
      <c r="AF68">
        <v>12.885595751925276</v>
      </c>
      <c r="AG68">
        <v>20.747271993193859</v>
      </c>
      <c r="AH68">
        <v>6.0325489729712025</v>
      </c>
      <c r="AI68">
        <v>2.3865360515185086</v>
      </c>
      <c r="AK68">
        <v>61.116577089995268</v>
      </c>
    </row>
    <row r="69" spans="1:37" x14ac:dyDescent="0.2">
      <c r="A69">
        <v>68</v>
      </c>
      <c r="B69">
        <v>748</v>
      </c>
      <c r="C69">
        <v>235</v>
      </c>
      <c r="D69">
        <v>0.33897125789551102</v>
      </c>
      <c r="E69">
        <v>176.7927942316295</v>
      </c>
      <c r="F69">
        <v>57.127971867005016</v>
      </c>
      <c r="G69">
        <v>71.276870534669655</v>
      </c>
      <c r="H69">
        <v>66.654006993244451</v>
      </c>
      <c r="J69">
        <v>73.901720515687558</v>
      </c>
      <c r="L69">
        <v>6.1869777336927294</v>
      </c>
      <c r="M69">
        <v>13.241975039758774</v>
      </c>
      <c r="N69">
        <v>2.4479504122988889</v>
      </c>
      <c r="O69">
        <v>25.739213348581906</v>
      </c>
      <c r="P69">
        <v>10.652371897829985</v>
      </c>
      <c r="R69">
        <v>14.470614731657694</v>
      </c>
      <c r="S69">
        <v>43.631810987008969</v>
      </c>
      <c r="U69">
        <v>0.81754059029811266</v>
      </c>
      <c r="V69">
        <v>47.219806690791721</v>
      </c>
      <c r="W69">
        <v>20.941525741016729</v>
      </c>
      <c r="X69">
        <v>43.974987397146222</v>
      </c>
      <c r="Y69">
        <v>7.6998079641272925</v>
      </c>
      <c r="Z69">
        <v>28.552901926272018</v>
      </c>
      <c r="AA69">
        <v>5.257043436656371</v>
      </c>
      <c r="AB69">
        <v>35.304993914635467</v>
      </c>
      <c r="AD69">
        <v>6.5110821715572316</v>
      </c>
      <c r="AE69">
        <v>11.706646395582599</v>
      </c>
      <c r="AF69">
        <v>12.882109235698959</v>
      </c>
      <c r="AG69">
        <v>20.662115099640879</v>
      </c>
      <c r="AH69">
        <v>5.6325556654437667</v>
      </c>
      <c r="AI69">
        <v>2.388214005086907</v>
      </c>
      <c r="AK69">
        <v>60.96814126128902</v>
      </c>
    </row>
    <row r="70" spans="1:37" x14ac:dyDescent="0.2">
      <c r="A70">
        <v>69</v>
      </c>
      <c r="B70">
        <v>747</v>
      </c>
      <c r="C70">
        <v>235</v>
      </c>
      <c r="D70">
        <v>0.33825466843111501</v>
      </c>
      <c r="E70">
        <v>176.42975093710379</v>
      </c>
      <c r="F70">
        <v>55.049248909468197</v>
      </c>
      <c r="G70">
        <v>70.94909855205816</v>
      </c>
      <c r="H70">
        <v>66.323942480012477</v>
      </c>
      <c r="J70">
        <v>73.21142444623645</v>
      </c>
      <c r="L70">
        <v>5.6211686000229379</v>
      </c>
      <c r="M70">
        <v>13.256011225977733</v>
      </c>
      <c r="N70">
        <v>2.4499106649975109</v>
      </c>
      <c r="O70">
        <v>23.550202874864421</v>
      </c>
      <c r="P70">
        <v>10.020332041737241</v>
      </c>
      <c r="R70">
        <v>13.693222621705631</v>
      </c>
      <c r="S70">
        <v>42.704756732651283</v>
      </c>
      <c r="U70">
        <v>0.79822916779361253</v>
      </c>
      <c r="V70">
        <v>47.220283413591297</v>
      </c>
      <c r="W70">
        <v>20.728833730849733</v>
      </c>
      <c r="X70">
        <v>43.9580827595396</v>
      </c>
      <c r="Y70">
        <v>7.0821026553070325</v>
      </c>
      <c r="Z70">
        <v>27.274603371992875</v>
      </c>
      <c r="AA70">
        <v>4.6771449332828778</v>
      </c>
      <c r="AB70">
        <v>34.933173894981465</v>
      </c>
      <c r="AD70">
        <v>5.7578528413026842</v>
      </c>
      <c r="AE70">
        <v>11.18923938710255</v>
      </c>
      <c r="AF70">
        <v>12.895011250111411</v>
      </c>
      <c r="AG70">
        <v>20.275365724069854</v>
      </c>
      <c r="AH70">
        <v>4.7044568642681606</v>
      </c>
      <c r="AI70">
        <v>2.3898814131489305</v>
      </c>
      <c r="AK70">
        <v>60.481789589629642</v>
      </c>
    </row>
    <row r="71" spans="1:37" x14ac:dyDescent="0.2">
      <c r="A71">
        <v>70</v>
      </c>
      <c r="B71">
        <v>746</v>
      </c>
      <c r="C71">
        <v>235</v>
      </c>
      <c r="D71">
        <v>0.33753667271746202</v>
      </c>
      <c r="E71">
        <v>175.37300466280877</v>
      </c>
      <c r="F71">
        <v>47.750234577693874</v>
      </c>
      <c r="G71">
        <v>69.883576522177421</v>
      </c>
      <c r="H71">
        <v>65.256141143340017</v>
      </c>
      <c r="J71">
        <v>70.082697860274891</v>
      </c>
      <c r="L71">
        <v>3.6200917753058057</v>
      </c>
      <c r="M71">
        <v>13.186595902180585</v>
      </c>
      <c r="N71">
        <v>2.4518328994287648</v>
      </c>
      <c r="O71">
        <v>16.143857639434188</v>
      </c>
      <c r="P71">
        <v>7.9127620229147508</v>
      </c>
      <c r="R71">
        <v>10.760376382918949</v>
      </c>
      <c r="S71">
        <v>38.447866100685232</v>
      </c>
      <c r="U71">
        <v>0.78199876622611231</v>
      </c>
      <c r="V71">
        <v>46.887361479813372</v>
      </c>
      <c r="W71">
        <v>20.579479943306247</v>
      </c>
      <c r="X71">
        <v>43.94699928448513</v>
      </c>
      <c r="Y71">
        <v>4.9747159919729773</v>
      </c>
      <c r="Z71">
        <v>22.240963317134003</v>
      </c>
      <c r="AA71">
        <v>2.6493086967880228</v>
      </c>
      <c r="AB71">
        <v>32.806418807646104</v>
      </c>
      <c r="AD71">
        <v>2.8380012150816674</v>
      </c>
      <c r="AE71">
        <v>9.0522659946173771</v>
      </c>
      <c r="AF71">
        <v>12.824424093579543</v>
      </c>
      <c r="AG71">
        <v>18.133645837971564</v>
      </c>
      <c r="AH71">
        <v>1.4459154898038593</v>
      </c>
      <c r="AI71">
        <v>2.3915099554836989</v>
      </c>
      <c r="AK71">
        <v>58.414917490001905</v>
      </c>
    </row>
    <row r="72" spans="1:37" x14ac:dyDescent="0.2">
      <c r="A72">
        <v>71</v>
      </c>
      <c r="B72">
        <v>745</v>
      </c>
      <c r="C72">
        <v>235</v>
      </c>
      <c r="D72">
        <v>0.33681726661101002</v>
      </c>
      <c r="E72">
        <v>175.36857942925431</v>
      </c>
      <c r="F72">
        <v>46.023765742389848</v>
      </c>
      <c r="G72">
        <v>69.823576786257661</v>
      </c>
      <c r="H72">
        <v>65.193875345664907</v>
      </c>
      <c r="J72">
        <v>61.055637034990269</v>
      </c>
      <c r="L72">
        <v>1.48864531988421</v>
      </c>
      <c r="M72">
        <v>13.009222446603053</v>
      </c>
      <c r="N72">
        <v>2.4538209836554903</v>
      </c>
      <c r="O72">
        <v>5.2279918924921986</v>
      </c>
      <c r="P72">
        <v>7.8163104151780045</v>
      </c>
      <c r="R72">
        <v>8.4508111112434996</v>
      </c>
      <c r="S72">
        <v>32.997421320665445</v>
      </c>
      <c r="U72">
        <v>0.75863711579840187</v>
      </c>
      <c r="V72">
        <v>46.816569161776812</v>
      </c>
      <c r="W72">
        <v>20.326190826756825</v>
      </c>
      <c r="X72">
        <v>43.915334648452372</v>
      </c>
      <c r="Y72">
        <v>3.4945790113937569</v>
      </c>
      <c r="Z72">
        <v>19.151621325183172</v>
      </c>
      <c r="AA72">
        <v>0.19133126132801409</v>
      </c>
      <c r="AB72">
        <v>31.290539139791235</v>
      </c>
      <c r="AD72">
        <v>1.0800730877894502</v>
      </c>
      <c r="AE72">
        <v>7.3664902556905423</v>
      </c>
      <c r="AF72">
        <v>12.645945018126294</v>
      </c>
      <c r="AG72">
        <v>16.602869802674832</v>
      </c>
      <c r="AI72">
        <v>2.3932034983143398</v>
      </c>
      <c r="AK72">
        <v>52.36253910845813</v>
      </c>
    </row>
    <row r="73" spans="1:37" x14ac:dyDescent="0.2">
      <c r="A73">
        <v>72</v>
      </c>
      <c r="B73">
        <v>744</v>
      </c>
      <c r="C73">
        <v>235</v>
      </c>
      <c r="D73">
        <v>0.336096445951927</v>
      </c>
      <c r="E73">
        <v>175.64044807715379</v>
      </c>
      <c r="F73">
        <v>46.051232392087243</v>
      </c>
      <c r="G73">
        <v>69.893809864143705</v>
      </c>
      <c r="H73">
        <v>65.261855628081932</v>
      </c>
      <c r="J73">
        <v>50.115902654472215</v>
      </c>
      <c r="L73">
        <v>1.6346636166883508</v>
      </c>
      <c r="M73">
        <v>12.542297321353155</v>
      </c>
      <c r="N73">
        <v>2.4558179612197817</v>
      </c>
      <c r="O73">
        <v>5.6346220204768755</v>
      </c>
      <c r="P73">
        <v>7.980341325118145</v>
      </c>
      <c r="R73">
        <v>8.2930822301142513</v>
      </c>
      <c r="S73">
        <v>33.69077824529986</v>
      </c>
      <c r="U73">
        <v>0.7364822880253441</v>
      </c>
      <c r="V73">
        <v>47.459315987958846</v>
      </c>
      <c r="W73">
        <v>19.782625655259416</v>
      </c>
      <c r="X73">
        <v>43.887317829062752</v>
      </c>
      <c r="Y73">
        <v>3.3712440977199027</v>
      </c>
      <c r="Z73">
        <v>17.682755062264789</v>
      </c>
      <c r="AB73">
        <v>30.865490717368743</v>
      </c>
      <c r="AE73">
        <v>6.4913387983875728</v>
      </c>
      <c r="AF73">
        <v>12.177923535139195</v>
      </c>
      <c r="AG73">
        <v>16.162936493797314</v>
      </c>
      <c r="AI73">
        <v>2.3949050833416079</v>
      </c>
      <c r="AK73">
        <v>44.94160422090831</v>
      </c>
    </row>
    <row r="74" spans="1:37" x14ac:dyDescent="0.2">
      <c r="A74">
        <v>73</v>
      </c>
      <c r="B74">
        <v>743</v>
      </c>
      <c r="C74">
        <v>235</v>
      </c>
      <c r="D74">
        <v>0.33537420656399403</v>
      </c>
      <c r="E74">
        <v>175.80360819595379</v>
      </c>
      <c r="F74">
        <v>46.558533597390763</v>
      </c>
      <c r="G74">
        <v>69.870193593193889</v>
      </c>
      <c r="H74">
        <v>65.235999849241793</v>
      </c>
      <c r="J74">
        <v>44.906706775824425</v>
      </c>
      <c r="L74">
        <v>1.6492838281032747</v>
      </c>
      <c r="M74">
        <v>12.105869540623898</v>
      </c>
      <c r="N74">
        <v>2.4578072886119684</v>
      </c>
      <c r="O74">
        <v>5.6266504106415107</v>
      </c>
      <c r="P74">
        <v>7.9566739073686259</v>
      </c>
      <c r="R74">
        <v>7.9431457904816787</v>
      </c>
      <c r="S74">
        <v>34.10533941519887</v>
      </c>
      <c r="U74">
        <v>0.71463311503421056</v>
      </c>
      <c r="V74">
        <v>48.02882536429874</v>
      </c>
      <c r="W74">
        <v>19.269395559463014</v>
      </c>
      <c r="X74">
        <v>43.860417746511743</v>
      </c>
      <c r="Y74">
        <v>3.1313925975923667</v>
      </c>
      <c r="Z74">
        <v>17.87562692686312</v>
      </c>
      <c r="AB74">
        <v>31.386298825596537</v>
      </c>
      <c r="AE74">
        <v>6.5949950568174387</v>
      </c>
      <c r="AF74">
        <v>11.740392121055983</v>
      </c>
      <c r="AG74">
        <v>16.668854659193514</v>
      </c>
      <c r="AI74">
        <v>2.3965981652164685</v>
      </c>
      <c r="AK74">
        <v>41.351979163175628</v>
      </c>
    </row>
    <row r="75" spans="1:37" x14ac:dyDescent="0.2">
      <c r="A75">
        <v>74</v>
      </c>
      <c r="B75">
        <v>763</v>
      </c>
      <c r="C75">
        <v>215</v>
      </c>
      <c r="D75">
        <v>0.37078656565169499</v>
      </c>
      <c r="E75">
        <v>167.03313688729509</v>
      </c>
      <c r="F75">
        <v>62.950527698991976</v>
      </c>
      <c r="G75">
        <v>72.31737599011656</v>
      </c>
      <c r="H75">
        <v>67.729600898805131</v>
      </c>
      <c r="J75">
        <v>75.148442407737377</v>
      </c>
      <c r="L75">
        <v>7.5344162341719967</v>
      </c>
      <c r="M75">
        <v>14.264624172586325</v>
      </c>
      <c r="N75">
        <v>2.346959987676319</v>
      </c>
      <c r="O75">
        <v>32.287802969294624</v>
      </c>
      <c r="P75">
        <v>12.197271823436555</v>
      </c>
      <c r="Q75">
        <v>0.68712290938476461</v>
      </c>
      <c r="R75">
        <v>17.921908958975113</v>
      </c>
      <c r="S75">
        <v>50.370067524129226</v>
      </c>
      <c r="U75">
        <v>1.9950116361583978</v>
      </c>
      <c r="V75">
        <v>48.451732183012545</v>
      </c>
      <c r="W75">
        <v>24.694390336040524</v>
      </c>
      <c r="X75">
        <v>45.966865427381649</v>
      </c>
      <c r="Y75">
        <v>9.0894916879086374</v>
      </c>
      <c r="Z75">
        <v>31.96748939273245</v>
      </c>
      <c r="AA75">
        <v>6.6726861409514386</v>
      </c>
      <c r="AB75">
        <v>37.700001899334211</v>
      </c>
      <c r="AC75">
        <v>1.6644983042156446E-3</v>
      </c>
      <c r="AD75">
        <v>8.4709919877921109</v>
      </c>
      <c r="AE75">
        <v>13.357094552762696</v>
      </c>
      <c r="AF75">
        <v>13.911912767422786</v>
      </c>
      <c r="AG75">
        <v>23.296029016978402</v>
      </c>
      <c r="AH75">
        <v>7.5788855499084233</v>
      </c>
      <c r="AI75">
        <v>2.289015196147457</v>
      </c>
      <c r="AK75">
        <v>61.103951835079222</v>
      </c>
    </row>
    <row r="76" spans="1:37" x14ac:dyDescent="0.2">
      <c r="A76">
        <v>75</v>
      </c>
      <c r="B76">
        <v>762</v>
      </c>
      <c r="C76">
        <v>215</v>
      </c>
      <c r="D76">
        <v>0.37011109501038603</v>
      </c>
      <c r="E76">
        <v>166.91386126276714</v>
      </c>
      <c r="F76">
        <v>62.580058947700465</v>
      </c>
      <c r="G76">
        <v>72.255756565623386</v>
      </c>
      <c r="H76">
        <v>67.665484959483095</v>
      </c>
      <c r="J76">
        <v>75.051034775295975</v>
      </c>
      <c r="L76">
        <v>7.450280096117833</v>
      </c>
      <c r="M76">
        <v>14.195136076328652</v>
      </c>
      <c r="N76">
        <v>2.3470219589894015</v>
      </c>
      <c r="O76">
        <v>31.900861340580846</v>
      </c>
      <c r="P76">
        <v>12.095514538176671</v>
      </c>
      <c r="Q76">
        <v>0.61940637391017039</v>
      </c>
      <c r="R76">
        <v>17.707486844738572</v>
      </c>
      <c r="S76">
        <v>49.910053809276995</v>
      </c>
      <c r="U76">
        <v>1.9131156337493715</v>
      </c>
      <c r="V76">
        <v>48.339050499167378</v>
      </c>
      <c r="W76">
        <v>24.48593098607968</v>
      </c>
      <c r="X76">
        <v>45.757628946365351</v>
      </c>
      <c r="Y76">
        <v>8.9997157401403296</v>
      </c>
      <c r="Z76">
        <v>31.764419244062616</v>
      </c>
      <c r="AA76">
        <v>6.5860084251215882</v>
      </c>
      <c r="AB76">
        <v>37.544155945663881</v>
      </c>
      <c r="AD76">
        <v>8.3555821006655968</v>
      </c>
      <c r="AE76">
        <v>13.265918274250469</v>
      </c>
      <c r="AF76">
        <v>13.839384701642839</v>
      </c>
      <c r="AG76">
        <v>23.123343820587561</v>
      </c>
      <c r="AH76">
        <v>7.4454962537011387</v>
      </c>
      <c r="AI76">
        <v>2.2887977161842472</v>
      </c>
      <c r="AK76">
        <v>61.08382161706696</v>
      </c>
    </row>
    <row r="77" spans="1:37" x14ac:dyDescent="0.2">
      <c r="A77">
        <v>76</v>
      </c>
      <c r="B77">
        <v>761</v>
      </c>
      <c r="C77">
        <v>215</v>
      </c>
      <c r="D77">
        <v>0.36943431803897198</v>
      </c>
      <c r="E77">
        <v>166.79009094370741</v>
      </c>
      <c r="F77">
        <v>62.194510152390144</v>
      </c>
      <c r="G77">
        <v>72.191941246557818</v>
      </c>
      <c r="H77">
        <v>67.599186038107447</v>
      </c>
      <c r="J77">
        <v>74.945379322095263</v>
      </c>
      <c r="L77">
        <v>7.3639227107854204</v>
      </c>
      <c r="M77">
        <v>14.119499860792496</v>
      </c>
      <c r="N77">
        <v>2.3490018689829881</v>
      </c>
      <c r="O77">
        <v>31.508349544138721</v>
      </c>
      <c r="P77">
        <v>11.991291008264618</v>
      </c>
      <c r="Q77">
        <v>0.54724324168884486</v>
      </c>
      <c r="R77">
        <v>17.483441625240346</v>
      </c>
      <c r="S77">
        <v>49.419591413652107</v>
      </c>
      <c r="U77">
        <v>1.8257547260096763</v>
      </c>
      <c r="V77">
        <v>48.216448036079846</v>
      </c>
      <c r="W77">
        <v>24.265855214302661</v>
      </c>
      <c r="X77">
        <v>45.530059077655423</v>
      </c>
      <c r="Y77">
        <v>8.906800452356979</v>
      </c>
      <c r="Z77">
        <v>31.55276849648293</v>
      </c>
      <c r="AA77">
        <v>6.4970966121242162</v>
      </c>
      <c r="AB77">
        <v>37.377414926576733</v>
      </c>
      <c r="AD77">
        <v>8.2345624127748067</v>
      </c>
      <c r="AE77">
        <v>13.171396464279974</v>
      </c>
      <c r="AF77">
        <v>13.762626733072265</v>
      </c>
      <c r="AG77">
        <v>22.941683983607049</v>
      </c>
      <c r="AH77">
        <v>7.305107307690565</v>
      </c>
      <c r="AI77">
        <v>2.2904973550260324</v>
      </c>
      <c r="AK77">
        <v>61.060672662040318</v>
      </c>
    </row>
    <row r="78" spans="1:37" x14ac:dyDescent="0.2">
      <c r="A78">
        <v>77</v>
      </c>
      <c r="B78">
        <v>760</v>
      </c>
      <c r="C78">
        <v>215</v>
      </c>
      <c r="D78">
        <v>0.36875623094420001</v>
      </c>
      <c r="E78">
        <v>166.6664656623104</v>
      </c>
      <c r="F78">
        <v>61.809614794541538</v>
      </c>
      <c r="G78">
        <v>72.128204274072729</v>
      </c>
      <c r="H78">
        <v>67.532978396428234</v>
      </c>
      <c r="J78">
        <v>74.840302012698046</v>
      </c>
      <c r="L78">
        <v>7.2777213966124146</v>
      </c>
      <c r="M78">
        <v>14.044001686381947</v>
      </c>
      <c r="N78">
        <v>2.3509816499889804</v>
      </c>
      <c r="O78">
        <v>31.116418960266184</v>
      </c>
      <c r="P78">
        <v>11.887231670686152</v>
      </c>
      <c r="Q78">
        <v>0.47516435556907866</v>
      </c>
      <c r="R78">
        <v>17.259737282059724</v>
      </c>
      <c r="S78">
        <v>48.929999576288402</v>
      </c>
      <c r="U78">
        <v>1.7384519279109107</v>
      </c>
      <c r="V78">
        <v>48.094023535165576</v>
      </c>
      <c r="W78">
        <v>24.046046777449956</v>
      </c>
      <c r="X78">
        <v>45.302891189062315</v>
      </c>
      <c r="Y78">
        <v>8.8140312096851687</v>
      </c>
      <c r="Z78">
        <v>31.341399293328173</v>
      </c>
      <c r="AA78">
        <v>6.4083442307179137</v>
      </c>
      <c r="AB78">
        <v>37.210936204612096</v>
      </c>
      <c r="AD78">
        <v>8.1136413239423089</v>
      </c>
      <c r="AE78">
        <v>13.076996521126135</v>
      </c>
      <c r="AF78">
        <v>13.686006959982379</v>
      </c>
      <c r="AG78">
        <v>22.760288806728152</v>
      </c>
      <c r="AH78">
        <v>7.1649269999674638</v>
      </c>
      <c r="AI78">
        <v>2.2921960431668649</v>
      </c>
      <c r="AK78">
        <v>61.037825595157322</v>
      </c>
    </row>
    <row r="79" spans="1:37" x14ac:dyDescent="0.2">
      <c r="A79">
        <v>78</v>
      </c>
      <c r="B79">
        <v>759</v>
      </c>
      <c r="C79">
        <v>215</v>
      </c>
      <c r="D79">
        <v>0.36807682991813401</v>
      </c>
      <c r="E79">
        <v>166.5429850134837</v>
      </c>
      <c r="F79">
        <v>61.425371270624844</v>
      </c>
      <c r="G79">
        <v>72.064545496766655</v>
      </c>
      <c r="H79">
        <v>67.466861903681163</v>
      </c>
      <c r="J79">
        <v>74.735802368963874</v>
      </c>
      <c r="L79">
        <v>7.1916757952094921</v>
      </c>
      <c r="M79">
        <v>13.968641120705358</v>
      </c>
      <c r="N79">
        <v>2.352961302504355</v>
      </c>
      <c r="O79">
        <v>30.725068386000888</v>
      </c>
      <c r="P79">
        <v>11.783336245543211</v>
      </c>
      <c r="Q79">
        <v>0.40321649492197098</v>
      </c>
      <c r="R79">
        <v>17.036372775727884</v>
      </c>
      <c r="S79">
        <v>48.44127572699113</v>
      </c>
      <c r="U79">
        <v>1.6512069084061538</v>
      </c>
      <c r="V79">
        <v>47.971776335638587</v>
      </c>
      <c r="W79">
        <v>23.826504848322831</v>
      </c>
      <c r="X79">
        <v>45.076123862995139</v>
      </c>
      <c r="Y79">
        <v>8.72140765487406</v>
      </c>
      <c r="Z79">
        <v>31.13031083548351</v>
      </c>
      <c r="AA79">
        <v>6.3197509281027306</v>
      </c>
      <c r="AB79">
        <v>37.044718980538732</v>
      </c>
      <c r="AD79">
        <v>7.9928188944058345</v>
      </c>
      <c r="AE79">
        <v>12.982718073857022</v>
      </c>
      <c r="AF79">
        <v>13.609524956027206</v>
      </c>
      <c r="AG79">
        <v>22.579157497057526</v>
      </c>
      <c r="AH79">
        <v>7.0249550143250454</v>
      </c>
      <c r="AI79">
        <v>2.2938937792668042</v>
      </c>
      <c r="AK79">
        <v>61.015280306708178</v>
      </c>
    </row>
    <row r="80" spans="1:37" x14ac:dyDescent="0.2">
      <c r="A80">
        <v>79</v>
      </c>
      <c r="B80">
        <v>758</v>
      </c>
      <c r="C80">
        <v>215</v>
      </c>
      <c r="D80">
        <v>0.36739611113805198</v>
      </c>
      <c r="E80">
        <v>166.41964859560602</v>
      </c>
      <c r="F80">
        <v>61.041777993703647</v>
      </c>
      <c r="G80">
        <v>72.000964765094196</v>
      </c>
      <c r="H80">
        <v>67.400836430999419</v>
      </c>
      <c r="J80">
        <v>74.631879919675953</v>
      </c>
      <c r="L80">
        <v>7.1057855577452793</v>
      </c>
      <c r="M80">
        <v>13.893417734630708</v>
      </c>
      <c r="N80">
        <v>2.3549408271499552</v>
      </c>
      <c r="O80">
        <v>30.334296631875372</v>
      </c>
      <c r="P80">
        <v>11.679604456834628</v>
      </c>
      <c r="Q80">
        <v>0.33129090385372406</v>
      </c>
      <c r="R80">
        <v>16.813347076228425</v>
      </c>
      <c r="S80">
        <v>47.95341731548352</v>
      </c>
      <c r="U80">
        <v>1.5640193399324365</v>
      </c>
      <c r="V80">
        <v>47.849705776053831</v>
      </c>
      <c r="W80">
        <v>23.607228606665565</v>
      </c>
      <c r="X80">
        <v>44.849755691610554</v>
      </c>
      <c r="Y80">
        <v>8.6289294348589962</v>
      </c>
      <c r="Z80">
        <v>30.91950233196232</v>
      </c>
      <c r="AA80">
        <v>6.2313163556246796</v>
      </c>
      <c r="AB80">
        <v>36.878762461976919</v>
      </c>
      <c r="AD80">
        <v>7.8720951847614495</v>
      </c>
      <c r="AE80">
        <v>12.88856075526146</v>
      </c>
      <c r="AF80">
        <v>13.533180298255449</v>
      </c>
      <c r="AG80">
        <v>22.398289268690927</v>
      </c>
      <c r="AH80">
        <v>6.8851910393188778</v>
      </c>
      <c r="AI80">
        <v>2.2955905621093105</v>
      </c>
      <c r="AK80">
        <v>60.993036690426166</v>
      </c>
    </row>
    <row r="81" spans="1:37" x14ac:dyDescent="0.2">
      <c r="A81">
        <v>80</v>
      </c>
      <c r="B81">
        <v>757</v>
      </c>
      <c r="C81">
        <v>215</v>
      </c>
      <c r="D81">
        <v>0.36671407076639501</v>
      </c>
      <c r="E81">
        <v>166.29645601116042</v>
      </c>
      <c r="F81">
        <v>60.658833395462864</v>
      </c>
      <c r="G81">
        <v>71.937461931660039</v>
      </c>
      <c r="H81">
        <v>67.334901851704089</v>
      </c>
      <c r="J81">
        <v>74.528534201701873</v>
      </c>
      <c r="L81">
        <v>7.0200503463508754</v>
      </c>
      <c r="M81">
        <v>13.818331103063956</v>
      </c>
      <c r="N81">
        <v>2.3569202244398708</v>
      </c>
      <c r="O81">
        <v>29.944102522702199</v>
      </c>
      <c r="P81">
        <v>11.576036032818404</v>
      </c>
      <c r="Q81">
        <v>0.25950144341512782</v>
      </c>
      <c r="R81">
        <v>16.590659164293214</v>
      </c>
      <c r="S81">
        <v>47.466421815278771</v>
      </c>
      <c r="U81">
        <v>1.4768888990754996</v>
      </c>
      <c r="V81">
        <v>47.727811195477557</v>
      </c>
      <c r="W81">
        <v>23.388217240570985</v>
      </c>
      <c r="X81">
        <v>44.623785278893983</v>
      </c>
      <c r="Y81">
        <v>8.5365962011916334</v>
      </c>
      <c r="Z81">
        <v>30.708973000915726</v>
      </c>
      <c r="AA81">
        <v>6.1430401691241352</v>
      </c>
      <c r="AB81">
        <v>36.71306586470439</v>
      </c>
      <c r="AD81">
        <v>7.7514702567367513</v>
      </c>
      <c r="AE81">
        <v>12.794524202210603</v>
      </c>
      <c r="AF81">
        <v>13.456972567660426</v>
      </c>
      <c r="AG81">
        <v>22.217683343796594</v>
      </c>
      <c r="AH81">
        <v>6.7456347697470669</v>
      </c>
      <c r="AI81">
        <v>2.2972863903700431</v>
      </c>
      <c r="AK81">
        <v>60.971094643967334</v>
      </c>
    </row>
    <row r="82" spans="1:37" x14ac:dyDescent="0.2">
      <c r="A82">
        <v>81</v>
      </c>
      <c r="B82">
        <v>756</v>
      </c>
      <c r="C82">
        <v>215</v>
      </c>
      <c r="D82">
        <v>0.36603070495068801</v>
      </c>
      <c r="E82">
        <v>166.17340686598365</v>
      </c>
      <c r="F82">
        <v>60.276535923786604</v>
      </c>
      <c r="G82">
        <v>71.874036850889667</v>
      </c>
      <c r="H82">
        <v>67.269058040979303</v>
      </c>
      <c r="J82">
        <v>74.425764758628304</v>
      </c>
      <c r="L82">
        <v>6.9344698350330329</v>
      </c>
      <c r="M82">
        <v>13.743380804102005</v>
      </c>
      <c r="N82">
        <v>2.3588994949912192</v>
      </c>
      <c r="O82">
        <v>29.554484896526478</v>
      </c>
      <c r="P82">
        <v>11.472630705557224</v>
      </c>
      <c r="Q82">
        <v>0.1877284041569969</v>
      </c>
      <c r="R82">
        <v>16.368308029905855</v>
      </c>
      <c r="S82">
        <v>46.980286719407744</v>
      </c>
      <c r="U82">
        <v>1.3898152658531715</v>
      </c>
      <c r="V82">
        <v>47.606091931857819</v>
      </c>
      <c r="W82">
        <v>23.169469944999904</v>
      </c>
      <c r="X82">
        <v>44.398211238226907</v>
      </c>
      <c r="Y82">
        <v>8.44440760953092</v>
      </c>
      <c r="Z82">
        <v>30.498722068586535</v>
      </c>
      <c r="AA82">
        <v>6.0549220285526175</v>
      </c>
      <c r="AB82">
        <v>36.54762841128705</v>
      </c>
      <c r="AD82">
        <v>7.6309441725878697</v>
      </c>
      <c r="AE82">
        <v>12.700608055286816</v>
      </c>
      <c r="AF82">
        <v>13.380901348542576</v>
      </c>
      <c r="AG82">
        <v>22.037338951452707</v>
      </c>
      <c r="AH82">
        <v>6.6062859056458434</v>
      </c>
      <c r="AI82">
        <v>2.2989812628279216</v>
      </c>
      <c r="AK82">
        <v>60.949454068287388</v>
      </c>
    </row>
    <row r="83" spans="1:37" x14ac:dyDescent="0.2">
      <c r="A83">
        <v>82</v>
      </c>
      <c r="B83">
        <v>755</v>
      </c>
      <c r="C83">
        <v>215</v>
      </c>
      <c r="D83">
        <v>0.36534600982346799</v>
      </c>
      <c r="E83">
        <v>166.05050076975223</v>
      </c>
      <c r="F83">
        <v>59.894884044267151</v>
      </c>
      <c r="G83">
        <v>71.810689379236649</v>
      </c>
      <c r="H83">
        <v>67.203304876076515</v>
      </c>
      <c r="J83">
        <v>74.323571141629657</v>
      </c>
      <c r="L83">
        <v>6.8489830323365535</v>
      </c>
      <c r="M83">
        <v>13.668566419578223</v>
      </c>
      <c r="N83">
        <v>2.3608786393815375</v>
      </c>
      <c r="O83">
        <v>29.16544260520342</v>
      </c>
      <c r="P83">
        <v>11.369388211193899</v>
      </c>
      <c r="Q83">
        <v>0.11603791443980442</v>
      </c>
      <c r="R83">
        <v>16.146292673242826</v>
      </c>
      <c r="S83">
        <v>46.495009543126613</v>
      </c>
      <c r="U83">
        <v>1.3027981241729183</v>
      </c>
      <c r="V83">
        <v>47.484547322873006</v>
      </c>
      <c r="W83">
        <v>22.95098592270055</v>
      </c>
      <c r="X83">
        <v>44.173032193755439</v>
      </c>
      <c r="Y83">
        <v>8.3523633199597214</v>
      </c>
      <c r="Z83">
        <v>30.288748769925437</v>
      </c>
      <c r="AA83">
        <v>5.9669615982417161</v>
      </c>
      <c r="AB83">
        <v>36.382449331927653</v>
      </c>
      <c r="AD83">
        <v>7.5105169956214821</v>
      </c>
      <c r="AE83">
        <v>12.606811958981336</v>
      </c>
      <c r="AF83">
        <v>13.304966228909944</v>
      </c>
      <c r="AG83">
        <v>21.857255328351005</v>
      </c>
      <c r="AH83">
        <v>6.4671441514459307</v>
      </c>
      <c r="AI83">
        <v>2.3006751782214692</v>
      </c>
      <c r="AK83">
        <v>60.928114868038442</v>
      </c>
    </row>
    <row r="84" spans="1:37" x14ac:dyDescent="0.2">
      <c r="A84">
        <v>83</v>
      </c>
      <c r="B84">
        <v>754</v>
      </c>
      <c r="C84">
        <v>215</v>
      </c>
      <c r="D84">
        <v>0.36465998150221401</v>
      </c>
      <c r="E84">
        <v>165.92773733594714</v>
      </c>
      <c r="F84">
        <v>59.513876240082695</v>
      </c>
      <c r="G84">
        <v>71.747419375182943</v>
      </c>
      <c r="H84">
        <v>67.137642236316921</v>
      </c>
      <c r="J84">
        <v>74.221952909400855</v>
      </c>
      <c r="L84">
        <v>6.7637080819101794</v>
      </c>
      <c r="M84">
        <v>13.593887535090158</v>
      </c>
      <c r="N84">
        <v>2.3628576581080352</v>
      </c>
      <c r="O84">
        <v>28.776974514245897</v>
      </c>
      <c r="P84">
        <v>11.266308289909453</v>
      </c>
      <c r="Q84">
        <v>4.4478487076280021E-2</v>
      </c>
      <c r="R84">
        <v>15.92461210463243</v>
      </c>
      <c r="S84">
        <v>46.010587824001028</v>
      </c>
      <c r="U84">
        <v>1.2158371618623389</v>
      </c>
      <c r="V84">
        <v>47.363176705719127</v>
      </c>
      <c r="W84">
        <v>22.732764384324021</v>
      </c>
      <c r="X84">
        <v>43.948246780757174</v>
      </c>
      <c r="Y84">
        <v>8.2604629969626693</v>
      </c>
      <c r="Z84">
        <v>30.079052348699932</v>
      </c>
      <c r="AA84">
        <v>5.8791585468800474</v>
      </c>
      <c r="AB84">
        <v>36.217527864574059</v>
      </c>
      <c r="AD84">
        <v>7.3901887903433003</v>
      </c>
      <c r="AE84">
        <v>12.513135561750278</v>
      </c>
      <c r="AF84">
        <v>13.229166800469079</v>
      </c>
      <c r="AG84">
        <v>21.677431718871773</v>
      </c>
      <c r="AH84">
        <v>6.3282092180777756</v>
      </c>
      <c r="AI84">
        <v>2.3023681352099312</v>
      </c>
      <c r="AK84">
        <v>60.907076951500144</v>
      </c>
    </row>
    <row r="85" spans="1:37" x14ac:dyDescent="0.2">
      <c r="A85">
        <v>84</v>
      </c>
      <c r="B85">
        <v>753</v>
      </c>
      <c r="C85">
        <v>215</v>
      </c>
      <c r="D85">
        <v>0.36397261608926701</v>
      </c>
      <c r="E85">
        <v>165.76473024948606</v>
      </c>
      <c r="F85">
        <v>58.867530345009321</v>
      </c>
      <c r="G85">
        <v>71.638426733477047</v>
      </c>
      <c r="H85">
        <v>67.026270037326967</v>
      </c>
      <c r="J85">
        <v>74.075459443183149</v>
      </c>
      <c r="L85">
        <v>6.60151631835262</v>
      </c>
      <c r="M85">
        <v>13.556233955757291</v>
      </c>
      <c r="N85">
        <v>2.3648334358997265</v>
      </c>
      <c r="O85">
        <v>28.087535940706921</v>
      </c>
      <c r="P85">
        <v>11.071787638714271</v>
      </c>
      <c r="R85">
        <v>15.649752037511119</v>
      </c>
      <c r="S85">
        <v>45.610944636882166</v>
      </c>
      <c r="U85">
        <v>1.1523919087922427</v>
      </c>
      <c r="V85">
        <v>47.316951964061587</v>
      </c>
      <c r="W85">
        <v>22.511466961324217</v>
      </c>
      <c r="X85">
        <v>43.796638408868525</v>
      </c>
      <c r="Y85">
        <v>8.0789460132078279</v>
      </c>
      <c r="Z85">
        <v>29.728883185731032</v>
      </c>
      <c r="AA85">
        <v>5.7108368867388632</v>
      </c>
      <c r="AB85">
        <v>36.103693536793187</v>
      </c>
      <c r="AD85">
        <v>7.1832347873046967</v>
      </c>
      <c r="AE85">
        <v>12.371775842387585</v>
      </c>
      <c r="AF85">
        <v>13.190389758691108</v>
      </c>
      <c r="AG85">
        <v>21.548694541259746</v>
      </c>
      <c r="AH85">
        <v>6.0595269216338385</v>
      </c>
      <c r="AI85">
        <v>2.3040570166823771</v>
      </c>
      <c r="AK85">
        <v>60.823163494084149</v>
      </c>
    </row>
    <row r="86" spans="1:37" x14ac:dyDescent="0.2">
      <c r="A86">
        <v>85</v>
      </c>
      <c r="B86">
        <v>752</v>
      </c>
      <c r="C86">
        <v>215</v>
      </c>
      <c r="D86">
        <v>0.363283909671757</v>
      </c>
      <c r="E86">
        <v>165.53514300450487</v>
      </c>
      <c r="F86">
        <v>57.773955546935234</v>
      </c>
      <c r="G86">
        <v>71.451993935733</v>
      </c>
      <c r="H86">
        <v>66.837470781641443</v>
      </c>
      <c r="J86">
        <v>73.837605105398751</v>
      </c>
      <c r="L86">
        <v>6.3071441812850173</v>
      </c>
      <c r="M86">
        <v>13.578320109613303</v>
      </c>
      <c r="N86">
        <v>2.3668036214352157</v>
      </c>
      <c r="O86">
        <v>26.888740647064655</v>
      </c>
      <c r="P86">
        <v>10.722388892362581</v>
      </c>
      <c r="R86">
        <v>15.271777534516392</v>
      </c>
      <c r="S86">
        <v>45.300554955990222</v>
      </c>
      <c r="U86">
        <v>1.1289586263136757</v>
      </c>
      <c r="V86">
        <v>47.377693083106777</v>
      </c>
      <c r="W86">
        <v>22.287127080602691</v>
      </c>
      <c r="X86">
        <v>43.768748299210621</v>
      </c>
      <c r="Y86">
        <v>7.7455905642251448</v>
      </c>
      <c r="Z86">
        <v>29.13913248969514</v>
      </c>
      <c r="AA86">
        <v>5.4055555064223881</v>
      </c>
      <c r="AB86">
        <v>36.049592404748616</v>
      </c>
      <c r="AD86">
        <v>6.8282443664924708</v>
      </c>
      <c r="AE86">
        <v>12.1486722267652</v>
      </c>
      <c r="AF86">
        <v>13.211347185926426</v>
      </c>
      <c r="AG86">
        <v>21.479687506327018</v>
      </c>
      <c r="AH86">
        <v>5.5702289282887669</v>
      </c>
      <c r="AI86">
        <v>2.305739469478632</v>
      </c>
      <c r="AK86">
        <v>60.631149376642078</v>
      </c>
    </row>
    <row r="87" spans="1:37" x14ac:dyDescent="0.2">
      <c r="A87">
        <v>86</v>
      </c>
      <c r="B87">
        <v>751</v>
      </c>
      <c r="C87">
        <v>215</v>
      </c>
      <c r="D87">
        <v>0.36259385832153801</v>
      </c>
      <c r="E87">
        <v>165.29643743022453</v>
      </c>
      <c r="F87">
        <v>56.603661889593489</v>
      </c>
      <c r="G87">
        <v>71.252078033825299</v>
      </c>
      <c r="H87">
        <v>66.635201542095189</v>
      </c>
      <c r="J87">
        <v>73.555229934929315</v>
      </c>
      <c r="L87">
        <v>5.9863258722382708</v>
      </c>
      <c r="M87">
        <v>13.604749279762681</v>
      </c>
      <c r="N87">
        <v>2.3687724608833887</v>
      </c>
      <c r="O87">
        <v>25.600974685706653</v>
      </c>
      <c r="P87">
        <v>10.346030423682889</v>
      </c>
      <c r="R87">
        <v>14.852972874480637</v>
      </c>
      <c r="S87">
        <v>44.906147284330281</v>
      </c>
      <c r="U87">
        <v>1.111941750104676</v>
      </c>
      <c r="V87">
        <v>47.420603948397883</v>
      </c>
      <c r="W87">
        <v>22.066052366908991</v>
      </c>
      <c r="X87">
        <v>43.759897767638115</v>
      </c>
      <c r="Y87">
        <v>7.3855822497862471</v>
      </c>
      <c r="Z87">
        <v>28.501137905089958</v>
      </c>
      <c r="AA87">
        <v>5.0749594418259951</v>
      </c>
      <c r="AB87">
        <v>35.955721119514969</v>
      </c>
      <c r="AD87">
        <v>6.4433454493524494</v>
      </c>
      <c r="AE87">
        <v>11.907531420557653</v>
      </c>
      <c r="AF87">
        <v>13.236646617096531</v>
      </c>
      <c r="AG87">
        <v>21.370911517306773</v>
      </c>
      <c r="AH87">
        <v>5.0406482623658304</v>
      </c>
      <c r="AI87">
        <v>2.3074197379278703</v>
      </c>
      <c r="AK87">
        <v>60.416663293364572</v>
      </c>
    </row>
    <row r="88" spans="1:37" x14ac:dyDescent="0.2">
      <c r="A88">
        <v>87</v>
      </c>
      <c r="B88">
        <v>750</v>
      </c>
      <c r="C88">
        <v>215</v>
      </c>
      <c r="D88">
        <v>0.36190245809509802</v>
      </c>
      <c r="E88">
        <v>164.45860082140649</v>
      </c>
      <c r="F88">
        <v>50.932197124735822</v>
      </c>
      <c r="G88">
        <v>70.410929705432679</v>
      </c>
      <c r="H88">
        <v>65.79171301736875</v>
      </c>
      <c r="J88">
        <v>71.140686922798096</v>
      </c>
      <c r="L88">
        <v>4.4211491797576308</v>
      </c>
      <c r="M88">
        <v>13.568812498350688</v>
      </c>
      <c r="N88">
        <v>2.3707096796350258</v>
      </c>
      <c r="O88">
        <v>19.794849077173662</v>
      </c>
      <c r="P88">
        <v>8.687183336395135</v>
      </c>
      <c r="R88">
        <v>12.55906913554186</v>
      </c>
      <c r="S88">
        <v>41.507981417715172</v>
      </c>
      <c r="U88">
        <v>1.1063821087147334</v>
      </c>
      <c r="V88">
        <v>47.128418067329847</v>
      </c>
      <c r="W88">
        <v>21.894263815564923</v>
      </c>
      <c r="X88">
        <v>43.781460732707963</v>
      </c>
      <c r="Y88">
        <v>5.7324385713788031</v>
      </c>
      <c r="Z88">
        <v>24.669738548754779</v>
      </c>
      <c r="AA88">
        <v>3.4902317327919734</v>
      </c>
      <c r="AB88">
        <v>34.296786206301604</v>
      </c>
      <c r="AD88">
        <v>4.2159842468924422</v>
      </c>
      <c r="AE88">
        <v>10.287235070416363</v>
      </c>
      <c r="AF88">
        <v>13.199548815397691</v>
      </c>
      <c r="AG88">
        <v>19.697042830805835</v>
      </c>
      <c r="AH88">
        <v>2.5075453943464354</v>
      </c>
      <c r="AI88">
        <v>2.3090675455810437</v>
      </c>
      <c r="AK88">
        <v>58.842675768977152</v>
      </c>
    </row>
    <row r="89" spans="1:37" x14ac:dyDescent="0.2">
      <c r="A89">
        <v>88</v>
      </c>
      <c r="B89">
        <v>749</v>
      </c>
      <c r="C89">
        <v>215</v>
      </c>
      <c r="D89">
        <v>0.36120970503350902</v>
      </c>
      <c r="E89">
        <v>164.03736317350393</v>
      </c>
      <c r="F89">
        <v>46.849562575086388</v>
      </c>
      <c r="G89">
        <v>69.944065503122943</v>
      </c>
      <c r="H89">
        <v>65.322521781072211</v>
      </c>
      <c r="J89">
        <v>64.481200592852403</v>
      </c>
      <c r="L89">
        <v>2.4273750174236994</v>
      </c>
      <c r="M89">
        <v>13.454961296577066</v>
      </c>
      <c r="N89">
        <v>2.3726719470926452</v>
      </c>
      <c r="O89">
        <v>10.58333856651644</v>
      </c>
      <c r="P89">
        <v>7.7769374280791803</v>
      </c>
      <c r="R89">
        <v>10.045675587132207</v>
      </c>
      <c r="S89">
        <v>36.472448708853996</v>
      </c>
      <c r="U89">
        <v>1.1043923768131587</v>
      </c>
      <c r="V89">
        <v>46.833858000307451</v>
      </c>
      <c r="W89">
        <v>21.689454235831686</v>
      </c>
      <c r="X89">
        <v>43.812112605667821</v>
      </c>
      <c r="Y89">
        <v>4.079089751830173</v>
      </c>
      <c r="Z89">
        <v>20.608122701605371</v>
      </c>
      <c r="AA89">
        <v>1.2844724968405281</v>
      </c>
      <c r="AB89">
        <v>32.247249079778634</v>
      </c>
      <c r="AD89">
        <v>1.910932345443449</v>
      </c>
      <c r="AE89">
        <v>8.2996614797749899</v>
      </c>
      <c r="AF89">
        <v>13.084561987107763</v>
      </c>
      <c r="AG89">
        <v>17.632599536924236</v>
      </c>
      <c r="AI89">
        <v>2.3107395600013092</v>
      </c>
      <c r="AK89">
        <v>54.446456624357168</v>
      </c>
    </row>
    <row r="90" spans="1:37" x14ac:dyDescent="0.2">
      <c r="A90">
        <v>89</v>
      </c>
      <c r="B90">
        <v>748</v>
      </c>
      <c r="C90">
        <v>215</v>
      </c>
      <c r="D90">
        <v>0.36051559516231801</v>
      </c>
      <c r="E90">
        <v>164.36092057636245</v>
      </c>
      <c r="F90">
        <v>46.30190763914203</v>
      </c>
      <c r="G90">
        <v>70.128637284682199</v>
      </c>
      <c r="H90">
        <v>65.50477971207637</v>
      </c>
      <c r="J90">
        <v>54.18657409401235</v>
      </c>
      <c r="L90">
        <v>1.6035376067255747</v>
      </c>
      <c r="M90">
        <v>13.142556975774756</v>
      </c>
      <c r="N90">
        <v>2.3746765483756391</v>
      </c>
      <c r="O90">
        <v>5.9716032801220695</v>
      </c>
      <c r="P90">
        <v>8.1696137225272665</v>
      </c>
      <c r="R90">
        <v>9.1205711725244019</v>
      </c>
      <c r="S90">
        <v>34.146165880946782</v>
      </c>
      <c r="U90">
        <v>1.0965088704584895</v>
      </c>
      <c r="V90">
        <v>47.065105298240852</v>
      </c>
      <c r="W90">
        <v>21.289787608440911</v>
      </c>
      <c r="X90">
        <v>43.825855957905198</v>
      </c>
      <c r="Y90">
        <v>3.479950821321026</v>
      </c>
      <c r="Z90">
        <v>17.420389979736058</v>
      </c>
      <c r="AB90">
        <v>30.533351888437132</v>
      </c>
      <c r="AD90">
        <v>0.26220422013125266</v>
      </c>
      <c r="AE90">
        <v>6.4030776918700569</v>
      </c>
      <c r="AF90">
        <v>12.771064724367717</v>
      </c>
      <c r="AG90">
        <v>15.903841075321042</v>
      </c>
      <c r="AI90">
        <v>2.3124530644675323</v>
      </c>
      <c r="AK90">
        <v>47.545210560440239</v>
      </c>
    </row>
    <row r="91" spans="1:37" x14ac:dyDescent="0.2">
      <c r="A91">
        <v>90</v>
      </c>
      <c r="B91">
        <v>747</v>
      </c>
      <c r="C91">
        <v>215</v>
      </c>
      <c r="D91">
        <v>0.35982012449149797</v>
      </c>
      <c r="E91">
        <v>164.53731698627132</v>
      </c>
      <c r="F91">
        <v>46.871276335543158</v>
      </c>
      <c r="G91">
        <v>70.100829718600338</v>
      </c>
      <c r="H91">
        <v>65.474671499995353</v>
      </c>
      <c r="J91">
        <v>47.034823586382061</v>
      </c>
      <c r="L91">
        <v>1.6179626374305589</v>
      </c>
      <c r="M91">
        <v>12.682727538515634</v>
      </c>
      <c r="N91">
        <v>2.3766674496859799</v>
      </c>
      <c r="O91">
        <v>5.9695730694097522</v>
      </c>
      <c r="P91">
        <v>8.1375255460903215</v>
      </c>
      <c r="R91">
        <v>8.7412147168123777</v>
      </c>
      <c r="S91">
        <v>34.503780663603358</v>
      </c>
      <c r="U91">
        <v>1.0801328550827829</v>
      </c>
      <c r="V91">
        <v>47.638008301047158</v>
      </c>
      <c r="W91">
        <v>20.748325291745545</v>
      </c>
      <c r="X91">
        <v>43.815449290156174</v>
      </c>
      <c r="Y91">
        <v>3.2115812233215171</v>
      </c>
      <c r="Z91">
        <v>17.696398126772209</v>
      </c>
      <c r="AB91">
        <v>31.081274614338373</v>
      </c>
      <c r="AE91">
        <v>6.5549978427885938</v>
      </c>
      <c r="AF91">
        <v>12.310129001649232</v>
      </c>
      <c r="AG91">
        <v>16.436891400322398</v>
      </c>
      <c r="AI91">
        <v>2.3141520233417419</v>
      </c>
      <c r="AK91">
        <v>42.668078478112982</v>
      </c>
    </row>
    <row r="92" spans="1:37" x14ac:dyDescent="0.2">
      <c r="A92">
        <v>91</v>
      </c>
      <c r="B92">
        <v>746</v>
      </c>
      <c r="C92">
        <v>215</v>
      </c>
      <c r="D92">
        <v>0.35912328901535701</v>
      </c>
      <c r="E92">
        <v>164.69205928297029</v>
      </c>
      <c r="F92">
        <v>47.354487167984615</v>
      </c>
      <c r="G92">
        <v>70.077602311559218</v>
      </c>
      <c r="H92">
        <v>65.449156672678626</v>
      </c>
      <c r="J92">
        <v>43.033208413704358</v>
      </c>
      <c r="L92">
        <v>1.6313438428630542</v>
      </c>
      <c r="M92">
        <v>12.26738063044828</v>
      </c>
      <c r="N92">
        <v>2.3786578438797705</v>
      </c>
      <c r="O92">
        <v>5.9533299638679349</v>
      </c>
      <c r="P92">
        <v>8.114605128218308</v>
      </c>
      <c r="R92">
        <v>8.403332590700737</v>
      </c>
      <c r="S92">
        <v>34.866015322152862</v>
      </c>
      <c r="U92">
        <v>1.0597281669045513</v>
      </c>
      <c r="V92">
        <v>48.169551847169572</v>
      </c>
      <c r="W92">
        <v>20.253885254054914</v>
      </c>
      <c r="X92">
        <v>43.793667648087158</v>
      </c>
      <c r="Y92">
        <v>2.9832575481454717</v>
      </c>
      <c r="Z92">
        <v>17.874363945581322</v>
      </c>
      <c r="AB92">
        <v>31.558278974979959</v>
      </c>
      <c r="AE92">
        <v>6.6503217387907343</v>
      </c>
      <c r="AF92">
        <v>11.893675663172864</v>
      </c>
      <c r="AG92">
        <v>16.899025428369718</v>
      </c>
      <c r="AI92">
        <v>2.3158496276397464</v>
      </c>
      <c r="AK92">
        <v>39.895774970124648</v>
      </c>
    </row>
    <row r="93" spans="1:37" x14ac:dyDescent="0.2">
      <c r="A93">
        <v>92</v>
      </c>
      <c r="B93">
        <v>764</v>
      </c>
      <c r="C93">
        <v>195</v>
      </c>
      <c r="D93">
        <v>0.39267270886564198</v>
      </c>
      <c r="E93">
        <v>155.43992447934116</v>
      </c>
      <c r="F93">
        <v>62.790197900619049</v>
      </c>
      <c r="G93">
        <v>72.368971473057911</v>
      </c>
      <c r="H93">
        <v>67.782848633634558</v>
      </c>
      <c r="J93">
        <v>74.84709597988649</v>
      </c>
      <c r="L93">
        <v>7.5074964820184649</v>
      </c>
      <c r="M93">
        <v>14.283392131223657</v>
      </c>
      <c r="N93">
        <v>2.2742886822535566</v>
      </c>
      <c r="O93">
        <v>32.769985133140956</v>
      </c>
      <c r="P93">
        <v>12.09348500870707</v>
      </c>
      <c r="Q93">
        <v>0.38698634664742715</v>
      </c>
      <c r="R93">
        <v>18.090406459464944</v>
      </c>
      <c r="S93">
        <v>50.359150395718331</v>
      </c>
      <c r="U93">
        <v>2.0062323063918521</v>
      </c>
      <c r="V93">
        <v>48.069518409654158</v>
      </c>
      <c r="W93">
        <v>25.380164222659602</v>
      </c>
      <c r="X93">
        <v>44.834820472798221</v>
      </c>
      <c r="Y93">
        <v>8.9899205022871769</v>
      </c>
      <c r="Z93">
        <v>32.111277527745798</v>
      </c>
      <c r="AA93">
        <v>6.6715046759200556</v>
      </c>
      <c r="AB93">
        <v>37.833131815902732</v>
      </c>
      <c r="AC93">
        <v>4.2429036968298891E-3</v>
      </c>
      <c r="AD93">
        <v>8.5378287053976258</v>
      </c>
      <c r="AE93">
        <v>13.583782497687503</v>
      </c>
      <c r="AF93">
        <v>13.922810565622463</v>
      </c>
      <c r="AG93">
        <v>23.459598474002501</v>
      </c>
      <c r="AH93">
        <v>7.2823081376737218</v>
      </c>
      <c r="AI93">
        <v>2.2141592765360745</v>
      </c>
      <c r="AK93">
        <v>60.787931258954202</v>
      </c>
    </row>
    <row r="94" spans="1:37" x14ac:dyDescent="0.2">
      <c r="A94">
        <v>93</v>
      </c>
      <c r="B94">
        <v>763</v>
      </c>
      <c r="C94">
        <v>195</v>
      </c>
      <c r="D94">
        <v>0.39201901269121803</v>
      </c>
      <c r="E94">
        <v>155.32758952717393</v>
      </c>
      <c r="F94">
        <v>62.443316069105798</v>
      </c>
      <c r="G94">
        <v>72.310610856139377</v>
      </c>
      <c r="H94">
        <v>67.721970464239178</v>
      </c>
      <c r="J94">
        <v>74.761736476725943</v>
      </c>
      <c r="L94">
        <v>7.4270731843270914</v>
      </c>
      <c r="M94">
        <v>14.223095894076707</v>
      </c>
      <c r="N94">
        <v>2.2717856614870113</v>
      </c>
      <c r="O94">
        <v>32.391888391965139</v>
      </c>
      <c r="P94">
        <v>11.995665034444585</v>
      </c>
      <c r="Q94">
        <v>0.3259134977445341</v>
      </c>
      <c r="R94">
        <v>17.890889521402212</v>
      </c>
      <c r="S94">
        <v>49.944044622475722</v>
      </c>
      <c r="U94">
        <v>1.9321630828861538</v>
      </c>
      <c r="V94">
        <v>47.971775915898732</v>
      </c>
      <c r="W94">
        <v>25.188320453293972</v>
      </c>
      <c r="X94">
        <v>44.6535762474359</v>
      </c>
      <c r="Y94">
        <v>8.9049622016342092</v>
      </c>
      <c r="Z94">
        <v>31.921501571587335</v>
      </c>
      <c r="AA94">
        <v>6.5885792185960748</v>
      </c>
      <c r="AB94">
        <v>37.693425989019993</v>
      </c>
      <c r="AD94">
        <v>8.4311467051433606</v>
      </c>
      <c r="AE94">
        <v>13.497741578564519</v>
      </c>
      <c r="AF94">
        <v>13.856906255085891</v>
      </c>
      <c r="AG94">
        <v>23.300512238380556</v>
      </c>
      <c r="AH94">
        <v>7.1592606184535121</v>
      </c>
      <c r="AI94">
        <v>2.211378524733111</v>
      </c>
      <c r="AK94">
        <v>60.772589142164307</v>
      </c>
    </row>
    <row r="95" spans="1:37" x14ac:dyDescent="0.2">
      <c r="A95">
        <v>94</v>
      </c>
      <c r="B95">
        <v>762</v>
      </c>
      <c r="C95">
        <v>195</v>
      </c>
      <c r="D95">
        <v>0.39136405351881698</v>
      </c>
      <c r="E95">
        <v>155.20446385401351</v>
      </c>
      <c r="F95">
        <v>62.060319493747699</v>
      </c>
      <c r="G95">
        <v>72.247003988043218</v>
      </c>
      <c r="H95">
        <v>67.655858937521273</v>
      </c>
      <c r="J95">
        <v>74.656104681796961</v>
      </c>
      <c r="L95">
        <v>7.3412596105717132</v>
      </c>
      <c r="M95">
        <v>14.148247977328564</v>
      </c>
      <c r="N95">
        <v>2.2737676122885704</v>
      </c>
      <c r="O95">
        <v>32.000126802316167</v>
      </c>
      <c r="P95">
        <v>11.891845110392724</v>
      </c>
      <c r="Q95">
        <v>0.25443729491895145</v>
      </c>
      <c r="R95">
        <v>17.668414108624564</v>
      </c>
      <c r="S95">
        <v>49.456598939268275</v>
      </c>
      <c r="U95">
        <v>1.8451609824041919</v>
      </c>
      <c r="V95">
        <v>47.850501058594034</v>
      </c>
      <c r="W95">
        <v>24.969028459897732</v>
      </c>
      <c r="X95">
        <v>44.428705127662603</v>
      </c>
      <c r="Y95">
        <v>8.8124719515786847</v>
      </c>
      <c r="Z95">
        <v>31.711682518295333</v>
      </c>
      <c r="AA95">
        <v>6.5002375069721019</v>
      </c>
      <c r="AB95">
        <v>37.528116596947498</v>
      </c>
      <c r="AD95">
        <v>8.3114037688841709</v>
      </c>
      <c r="AE95">
        <v>13.403929508867446</v>
      </c>
      <c r="AF95">
        <v>13.780935513627186</v>
      </c>
      <c r="AG95">
        <v>23.120309889481696</v>
      </c>
      <c r="AH95">
        <v>7.0196031857106735</v>
      </c>
      <c r="AI95">
        <v>2.2130819264588455</v>
      </c>
      <c r="AK95">
        <v>60.749639511972759</v>
      </c>
    </row>
    <row r="96" spans="1:37" x14ac:dyDescent="0.2">
      <c r="A96">
        <v>95</v>
      </c>
      <c r="B96">
        <v>761</v>
      </c>
      <c r="C96">
        <v>195</v>
      </c>
      <c r="D96">
        <v>0.39070782768457202</v>
      </c>
      <c r="E96">
        <v>155.08147816669245</v>
      </c>
      <c r="F96">
        <v>61.677957049802799</v>
      </c>
      <c r="G96">
        <v>72.183473240297346</v>
      </c>
      <c r="H96">
        <v>67.58983644556632</v>
      </c>
      <c r="J96">
        <v>74.551040323365086</v>
      </c>
      <c r="L96">
        <v>7.2555973827789932</v>
      </c>
      <c r="M96">
        <v>14.073533854872297</v>
      </c>
      <c r="N96">
        <v>2.2757494343326883</v>
      </c>
      <c r="O96">
        <v>31.608930902554683</v>
      </c>
      <c r="P96">
        <v>11.788184901566318</v>
      </c>
      <c r="Q96">
        <v>0.18308547495376654</v>
      </c>
      <c r="R96">
        <v>17.446268653520271</v>
      </c>
      <c r="S96">
        <v>48.9699966879082</v>
      </c>
      <c r="U96">
        <v>1.7582099859067866</v>
      </c>
      <c r="V96">
        <v>47.729397569287592</v>
      </c>
      <c r="W96">
        <v>24.749996192681603</v>
      </c>
      <c r="X96">
        <v>44.204221324290955</v>
      </c>
      <c r="Y96">
        <v>8.7201229860938962</v>
      </c>
      <c r="Z96">
        <v>31.502138683856014</v>
      </c>
      <c r="AA96">
        <v>6.4120506290788031</v>
      </c>
      <c r="AB96">
        <v>37.363062751011533</v>
      </c>
      <c r="AD96">
        <v>8.1917524488014539</v>
      </c>
      <c r="AE96">
        <v>13.310236805669852</v>
      </c>
      <c r="AF96">
        <v>13.705098720337897</v>
      </c>
      <c r="AG96">
        <v>22.940365444108206</v>
      </c>
      <c r="AH96">
        <v>6.8801477644461402</v>
      </c>
      <c r="AI96">
        <v>2.214784379551745</v>
      </c>
      <c r="AK96">
        <v>60.726985837079688</v>
      </c>
    </row>
    <row r="97" spans="1:37" x14ac:dyDescent="0.2">
      <c r="A97">
        <v>96</v>
      </c>
      <c r="B97">
        <v>760</v>
      </c>
      <c r="C97">
        <v>195</v>
      </c>
      <c r="D97">
        <v>0.39005033151043</v>
      </c>
      <c r="E97">
        <v>154.95863207823834</v>
      </c>
      <c r="F97">
        <v>61.296227240481564</v>
      </c>
      <c r="G97">
        <v>72.120018471850955</v>
      </c>
      <c r="H97">
        <v>67.523902867921564</v>
      </c>
      <c r="J97">
        <v>74.446542956149017</v>
      </c>
      <c r="L97">
        <v>7.1700861672467511</v>
      </c>
      <c r="M97">
        <v>13.998953119795145</v>
      </c>
      <c r="N97">
        <v>2.2777311281924777</v>
      </c>
      <c r="O97">
        <v>31.218299578877499</v>
      </c>
      <c r="P97">
        <v>11.684684148788538</v>
      </c>
      <c r="Q97">
        <v>0.11176155574766171</v>
      </c>
      <c r="R97">
        <v>17.224452177289781</v>
      </c>
      <c r="S97">
        <v>48.484235444732647</v>
      </c>
      <c r="U97">
        <v>1.6713097914969754</v>
      </c>
      <c r="V97">
        <v>47.608464818058273</v>
      </c>
      <c r="W97">
        <v>24.531222890493869</v>
      </c>
      <c r="X97">
        <v>43.980123482146624</v>
      </c>
      <c r="Y97">
        <v>8.6279149696315294</v>
      </c>
      <c r="Z97">
        <v>31.292869343141682</v>
      </c>
      <c r="AA97">
        <v>6.3240182560244724</v>
      </c>
      <c r="AB97">
        <v>37.198263716382748</v>
      </c>
      <c r="AD97">
        <v>8.0721928842817441</v>
      </c>
      <c r="AE97">
        <v>13.216663137435569</v>
      </c>
      <c r="AF97">
        <v>13.62939547441311</v>
      </c>
      <c r="AG97">
        <v>22.760678173825671</v>
      </c>
      <c r="AH97">
        <v>6.7408940677294105</v>
      </c>
      <c r="AI97">
        <v>2.2164858827469578</v>
      </c>
      <c r="AK97">
        <v>60.704628018607487</v>
      </c>
    </row>
    <row r="98" spans="1:37" x14ac:dyDescent="0.2">
      <c r="A98">
        <v>97</v>
      </c>
      <c r="B98">
        <v>759</v>
      </c>
      <c r="C98">
        <v>195</v>
      </c>
      <c r="D98">
        <v>0.38939156130407598</v>
      </c>
      <c r="E98">
        <v>154.83592520488662</v>
      </c>
      <c r="F98">
        <v>60.915128584624654</v>
      </c>
      <c r="G98">
        <v>72.056639543424311</v>
      </c>
      <c r="H98">
        <v>67.458058085943989</v>
      </c>
      <c r="J98">
        <v>74.342612141256325</v>
      </c>
      <c r="L98">
        <v>7.0846628991943543</v>
      </c>
      <c r="M98">
        <v>13.92450536839066</v>
      </c>
      <c r="N98">
        <v>2.2797126944579307</v>
      </c>
      <c r="O98">
        <v>30.828231730055549</v>
      </c>
      <c r="P98">
        <v>11.581342596500978</v>
      </c>
      <c r="Q98">
        <v>4.0517651593540351E-2</v>
      </c>
      <c r="R98">
        <v>17.002963710107846</v>
      </c>
      <c r="S98">
        <v>47.999312805295553</v>
      </c>
      <c r="U98">
        <v>1.5844601006599492</v>
      </c>
      <c r="V98">
        <v>47.487702174478471</v>
      </c>
      <c r="W98">
        <v>24.312707799152996</v>
      </c>
      <c r="X98">
        <v>43.756410254707241</v>
      </c>
      <c r="Y98">
        <v>8.5358475705853429</v>
      </c>
      <c r="Z98">
        <v>31.083873779165998</v>
      </c>
      <c r="AA98">
        <v>6.2361400627955303</v>
      </c>
      <c r="AB98">
        <v>37.033718765151526</v>
      </c>
      <c r="AD98">
        <v>7.952725214008046</v>
      </c>
      <c r="AE98">
        <v>13.123208176394698</v>
      </c>
      <c r="AF98">
        <v>13.55382537828635</v>
      </c>
      <c r="AG98">
        <v>22.581247357152932</v>
      </c>
      <c r="AH98">
        <v>6.6018417986609803</v>
      </c>
      <c r="AI98">
        <v>2.2181864347976759</v>
      </c>
      <c r="AK98">
        <v>60.682565960713767</v>
      </c>
    </row>
    <row r="99" spans="1:37" x14ac:dyDescent="0.2">
      <c r="A99">
        <v>98</v>
      </c>
      <c r="B99">
        <v>758</v>
      </c>
      <c r="C99">
        <v>195</v>
      </c>
      <c r="D99">
        <v>0.38873151335887302</v>
      </c>
      <c r="E99">
        <v>154.66956098738956</v>
      </c>
      <c r="F99">
        <v>60.243771525467203</v>
      </c>
      <c r="G99">
        <v>71.943174906097425</v>
      </c>
      <c r="H99">
        <v>67.342140571392207</v>
      </c>
      <c r="J99">
        <v>74.190930771701431</v>
      </c>
      <c r="L99">
        <v>6.9149510857731764</v>
      </c>
      <c r="M99">
        <v>13.891127880876258</v>
      </c>
      <c r="N99">
        <v>2.2816907725275568</v>
      </c>
      <c r="O99">
        <v>30.10786170902011</v>
      </c>
      <c r="P99">
        <v>11.37783380873443</v>
      </c>
      <c r="R99">
        <v>16.72336703662944</v>
      </c>
      <c r="S99">
        <v>47.609019289211702</v>
      </c>
      <c r="U99">
        <v>1.5240195851035767</v>
      </c>
      <c r="V99">
        <v>47.449806210120684</v>
      </c>
      <c r="W99">
        <v>24.090318074306648</v>
      </c>
      <c r="X99">
        <v>43.614911197647452</v>
      </c>
      <c r="Y99">
        <v>8.3455560865897223</v>
      </c>
      <c r="Z99">
        <v>30.720279136798965</v>
      </c>
      <c r="AA99">
        <v>6.0600169004559428</v>
      </c>
      <c r="AB99">
        <v>36.925106668484702</v>
      </c>
      <c r="AD99">
        <v>7.7381797954451255</v>
      </c>
      <c r="AE99">
        <v>12.977066821331164</v>
      </c>
      <c r="AF99">
        <v>13.519322357132028</v>
      </c>
      <c r="AG99">
        <v>22.457748410511361</v>
      </c>
      <c r="AH99">
        <v>6.3208314166894395</v>
      </c>
      <c r="AI99">
        <v>2.2198826732646748</v>
      </c>
      <c r="AK99">
        <v>60.592428151576883</v>
      </c>
    </row>
    <row r="100" spans="1:37" x14ac:dyDescent="0.2">
      <c r="A100">
        <v>99</v>
      </c>
      <c r="B100">
        <v>757</v>
      </c>
      <c r="C100">
        <v>195</v>
      </c>
      <c r="D100">
        <v>0.388070183953793</v>
      </c>
      <c r="E100">
        <v>154.44520676958308</v>
      </c>
      <c r="F100">
        <v>59.179384832770481</v>
      </c>
      <c r="G100">
        <v>71.761455254898266</v>
      </c>
      <c r="H100">
        <v>67.157981040010085</v>
      </c>
      <c r="J100">
        <v>73.961002817342106</v>
      </c>
      <c r="L100">
        <v>6.6286175341336024</v>
      </c>
      <c r="M100">
        <v>13.911360590067996</v>
      </c>
      <c r="N100">
        <v>2.2836639546966904</v>
      </c>
      <c r="O100">
        <v>28.937928107481088</v>
      </c>
      <c r="P100">
        <v>11.037817790374993</v>
      </c>
      <c r="R100">
        <v>16.353237821939924</v>
      </c>
      <c r="S100">
        <v>47.300345402676299</v>
      </c>
      <c r="U100">
        <v>1.4999548647028775</v>
      </c>
      <c r="V100">
        <v>47.50711375926516</v>
      </c>
      <c r="W100">
        <v>23.864831764571836</v>
      </c>
      <c r="X100">
        <v>43.585965557214408</v>
      </c>
      <c r="Y100">
        <v>8.0213721868493302</v>
      </c>
      <c r="Z100">
        <v>30.145190109651431</v>
      </c>
      <c r="AA100">
        <v>5.7631560624774139</v>
      </c>
      <c r="AB100">
        <v>36.869465237569138</v>
      </c>
      <c r="AD100">
        <v>7.3931639664020681</v>
      </c>
      <c r="AE100">
        <v>12.758643853656023</v>
      </c>
      <c r="AF100">
        <v>13.538424941635153</v>
      </c>
      <c r="AG100">
        <v>22.387217743259221</v>
      </c>
      <c r="AH100">
        <v>5.8456183640041628</v>
      </c>
      <c r="AI100">
        <v>2.2215731886053249</v>
      </c>
      <c r="AK100">
        <v>60.408340093722678</v>
      </c>
    </row>
    <row r="101" spans="1:37" x14ac:dyDescent="0.2">
      <c r="A101">
        <v>100</v>
      </c>
      <c r="B101">
        <v>756</v>
      </c>
      <c r="C101">
        <v>195</v>
      </c>
      <c r="D101">
        <v>0.38740756935335302</v>
      </c>
      <c r="E101">
        <v>154.21449873164252</v>
      </c>
      <c r="F101">
        <v>58.059374469188654</v>
      </c>
      <c r="G101">
        <v>71.569695127558063</v>
      </c>
      <c r="H101">
        <v>66.963794050288953</v>
      </c>
      <c r="J101">
        <v>73.697392464551797</v>
      </c>
      <c r="L101">
        <v>6.3223749867733172</v>
      </c>
      <c r="M101">
        <v>13.935159493811964</v>
      </c>
      <c r="N101">
        <v>2.2856360495386854</v>
      </c>
      <c r="O101">
        <v>27.702095935204262</v>
      </c>
      <c r="P101">
        <v>10.677727448058935</v>
      </c>
      <c r="R101">
        <v>15.951822730998273</v>
      </c>
      <c r="S101">
        <v>46.92526335435889</v>
      </c>
      <c r="U101">
        <v>1.4812463729481087</v>
      </c>
      <c r="V101">
        <v>47.549611978249516</v>
      </c>
      <c r="W101">
        <v>23.642366461709432</v>
      </c>
      <c r="X101">
        <v>43.572934858934978</v>
      </c>
      <c r="Y101">
        <v>7.6773531777286079</v>
      </c>
      <c r="Z101">
        <v>29.535297802591451</v>
      </c>
      <c r="AA101">
        <v>5.447423315804917</v>
      </c>
      <c r="AB101">
        <v>36.782372329323628</v>
      </c>
      <c r="AD101">
        <v>7.0263078151642757</v>
      </c>
      <c r="AE101">
        <v>12.52742161420908</v>
      </c>
      <c r="AF101">
        <v>13.561092943801938</v>
      </c>
      <c r="AG101">
        <v>22.28523702678347</v>
      </c>
      <c r="AH101">
        <v>5.3404217888493113</v>
      </c>
      <c r="AI101">
        <v>2.2232617875543164</v>
      </c>
      <c r="AK101">
        <v>60.207978199641332</v>
      </c>
    </row>
    <row r="102" spans="1:37" x14ac:dyDescent="0.2">
      <c r="A102">
        <v>101</v>
      </c>
      <c r="B102">
        <v>755</v>
      </c>
      <c r="C102">
        <v>195</v>
      </c>
      <c r="D102">
        <v>0.38674366580751801</v>
      </c>
      <c r="E102">
        <v>153.97279775791966</v>
      </c>
      <c r="F102">
        <v>56.846643555311864</v>
      </c>
      <c r="G102">
        <v>71.362052036213214</v>
      </c>
      <c r="H102">
        <v>66.753737135161629</v>
      </c>
      <c r="J102">
        <v>73.379047013211562</v>
      </c>
      <c r="L102">
        <v>5.9849644918302038</v>
      </c>
      <c r="M102">
        <v>13.963112608144364</v>
      </c>
      <c r="N102">
        <v>2.2876066489847768</v>
      </c>
      <c r="O102">
        <v>26.360437014744701</v>
      </c>
      <c r="P102">
        <v>10.28587742064771</v>
      </c>
      <c r="R102">
        <v>15.501911547479519</v>
      </c>
      <c r="S102">
        <v>46.445376475847375</v>
      </c>
      <c r="U102">
        <v>1.4693792707166526</v>
      </c>
      <c r="V102">
        <v>47.569899607145707</v>
      </c>
      <c r="W102">
        <v>23.423383602581918</v>
      </c>
      <c r="X102">
        <v>43.580181558992813</v>
      </c>
      <c r="Y102">
        <v>7.3018344987124335</v>
      </c>
      <c r="Z102">
        <v>28.865555462082437</v>
      </c>
      <c r="AA102">
        <v>5.1017653230509312</v>
      </c>
      <c r="AB102">
        <v>36.644759432395063</v>
      </c>
      <c r="AD102">
        <v>6.6228017701588096</v>
      </c>
      <c r="AE102">
        <v>12.273109703380854</v>
      </c>
      <c r="AF102">
        <v>13.58791397719683</v>
      </c>
      <c r="AG102">
        <v>22.132737347575436</v>
      </c>
      <c r="AH102">
        <v>4.7875013089844272</v>
      </c>
      <c r="AI102">
        <v>2.2249480602043374</v>
      </c>
      <c r="AK102">
        <v>59.980233572188872</v>
      </c>
    </row>
    <row r="103" spans="1:37" x14ac:dyDescent="0.2">
      <c r="A103">
        <v>102</v>
      </c>
      <c r="B103">
        <v>754</v>
      </c>
      <c r="C103">
        <v>195</v>
      </c>
      <c r="D103">
        <v>0.38607846955167302</v>
      </c>
      <c r="E103">
        <v>153.2073599616138</v>
      </c>
      <c r="F103">
        <v>51.680616102247178</v>
      </c>
      <c r="G103">
        <v>70.588846618644098</v>
      </c>
      <c r="H103">
        <v>65.97813095324733</v>
      </c>
      <c r="J103">
        <v>71.152936326295901</v>
      </c>
      <c r="L103">
        <v>4.548013578663638</v>
      </c>
      <c r="M103">
        <v>13.935534863611986</v>
      </c>
      <c r="N103">
        <v>2.2895500996704787</v>
      </c>
      <c r="O103">
        <v>21.039891780621542</v>
      </c>
      <c r="P103">
        <v>8.7628833530612713</v>
      </c>
      <c r="R103">
        <v>13.380903966435612</v>
      </c>
      <c r="S103">
        <v>43.206605475987232</v>
      </c>
      <c r="U103">
        <v>1.472045043234002</v>
      </c>
      <c r="V103">
        <v>47.254738056685291</v>
      </c>
      <c r="W103">
        <v>23.246958473331819</v>
      </c>
      <c r="X103">
        <v>43.626596900214814</v>
      </c>
      <c r="Y103">
        <v>5.7859566417425139</v>
      </c>
      <c r="Z103">
        <v>25.403433129430763</v>
      </c>
      <c r="AA103">
        <v>3.6500189870954638</v>
      </c>
      <c r="AB103">
        <v>35.075857958216062</v>
      </c>
      <c r="AD103">
        <v>4.6066265014592878</v>
      </c>
      <c r="AE103">
        <v>10.80970926793945</v>
      </c>
      <c r="AF103">
        <v>13.559177324614179</v>
      </c>
      <c r="AG103">
        <v>20.548924469635427</v>
      </c>
      <c r="AH103">
        <v>2.4727058897816603</v>
      </c>
      <c r="AI103">
        <v>2.2266063513525869</v>
      </c>
      <c r="AK103">
        <v>58.554684645800968</v>
      </c>
    </row>
    <row r="104" spans="1:37" x14ac:dyDescent="0.2">
      <c r="A104">
        <v>103</v>
      </c>
      <c r="B104">
        <v>753</v>
      </c>
      <c r="C104">
        <v>195</v>
      </c>
      <c r="D104">
        <v>0.38541197680651201</v>
      </c>
      <c r="E104">
        <v>152.79398082995021</v>
      </c>
      <c r="F104">
        <v>47.623314656051718</v>
      </c>
      <c r="G104">
        <v>70.119803622089023</v>
      </c>
      <c r="H104">
        <v>65.506700272664588</v>
      </c>
      <c r="J104">
        <v>64.856690111952517</v>
      </c>
      <c r="L104">
        <v>2.6511337374381183</v>
      </c>
      <c r="M104">
        <v>13.834938353777931</v>
      </c>
      <c r="N104">
        <v>2.2915135495821537</v>
      </c>
      <c r="O104">
        <v>12.348425872612669</v>
      </c>
      <c r="P104">
        <v>7.8482419105510077</v>
      </c>
      <c r="R104">
        <v>10.933829093735772</v>
      </c>
      <c r="S104">
        <v>38.168079059766633</v>
      </c>
      <c r="U104">
        <v>1.486269388569381</v>
      </c>
      <c r="V104">
        <v>46.860349127826439</v>
      </c>
      <c r="W104">
        <v>23.042330336622662</v>
      </c>
      <c r="X104">
        <v>43.70475229978571</v>
      </c>
      <c r="Y104">
        <v>4.1950746421340597</v>
      </c>
      <c r="Z104">
        <v>21.395659026677595</v>
      </c>
      <c r="AA104">
        <v>1.5597025804556905</v>
      </c>
      <c r="AB104">
        <v>32.892033359644074</v>
      </c>
      <c r="AD104">
        <v>2.3415542804750116</v>
      </c>
      <c r="AE104">
        <v>8.8383833103657352</v>
      </c>
      <c r="AF104">
        <v>13.457442233225718</v>
      </c>
      <c r="AG104">
        <v>18.35021099975782</v>
      </c>
      <c r="AI104">
        <v>2.2282838071456004</v>
      </c>
      <c r="AK104">
        <v>54.451334755819417</v>
      </c>
    </row>
    <row r="105" spans="1:37" x14ac:dyDescent="0.2">
      <c r="A105">
        <v>104</v>
      </c>
      <c r="B105">
        <v>752</v>
      </c>
      <c r="C105">
        <v>195</v>
      </c>
      <c r="D105">
        <v>0.38474418377798603</v>
      </c>
      <c r="E105">
        <v>153.09916538751639</v>
      </c>
      <c r="F105">
        <v>47.104518051051215</v>
      </c>
      <c r="G105">
        <v>70.294150534913683</v>
      </c>
      <c r="H105">
        <v>65.678672602697546</v>
      </c>
      <c r="J105">
        <v>55.323880754100976</v>
      </c>
      <c r="L105">
        <v>1.5703635550782273</v>
      </c>
      <c r="M105">
        <v>13.568633173762187</v>
      </c>
      <c r="N105">
        <v>2.2935176517433029</v>
      </c>
      <c r="O105">
        <v>6.5121069501609981</v>
      </c>
      <c r="P105">
        <v>8.2204287457205663</v>
      </c>
      <c r="R105">
        <v>9.7483504498191635</v>
      </c>
      <c r="S105">
        <v>34.922802638773348</v>
      </c>
      <c r="U105">
        <v>1.492862829633782</v>
      </c>
      <c r="V105">
        <v>46.909593678042157</v>
      </c>
      <c r="W105">
        <v>22.677312036896705</v>
      </c>
      <c r="X105">
        <v>43.761020582450747</v>
      </c>
      <c r="Y105">
        <v>3.4402689447046857</v>
      </c>
      <c r="Z105">
        <v>18.391749486303439</v>
      </c>
      <c r="AB105">
        <v>31.112410017422707</v>
      </c>
      <c r="AD105">
        <v>0.76433535625643989</v>
      </c>
      <c r="AE105">
        <v>7.0381768131234104</v>
      </c>
      <c r="AF105">
        <v>13.190039456812816</v>
      </c>
      <c r="AG105">
        <v>16.555741977680778</v>
      </c>
      <c r="AI105">
        <v>2.2300010787680984</v>
      </c>
      <c r="AK105">
        <v>48.112532203667939</v>
      </c>
    </row>
    <row r="106" spans="1:37" x14ac:dyDescent="0.2">
      <c r="A106">
        <v>105</v>
      </c>
      <c r="B106">
        <v>751</v>
      </c>
      <c r="C106">
        <v>195</v>
      </c>
      <c r="D106">
        <v>0.38407508665723</v>
      </c>
      <c r="E106">
        <v>153.3334020719667</v>
      </c>
      <c r="F106">
        <v>47.340401043542343</v>
      </c>
      <c r="G106">
        <v>70.331518677684642</v>
      </c>
      <c r="H106">
        <v>65.713679284874516</v>
      </c>
      <c r="J106">
        <v>47.937491655080052</v>
      </c>
      <c r="L106">
        <v>1.590198521361941</v>
      </c>
      <c r="M106">
        <v>13.136444430376232</v>
      </c>
      <c r="N106">
        <v>2.2955138975372962</v>
      </c>
      <c r="O106">
        <v>6.4021387884219045</v>
      </c>
      <c r="P106">
        <v>8.3186580139985686</v>
      </c>
      <c r="R106">
        <v>9.4443875094986396</v>
      </c>
      <c r="S106">
        <v>35.10836671039749</v>
      </c>
      <c r="U106">
        <v>1.4826531140628294</v>
      </c>
      <c r="V106">
        <v>47.418416731071382</v>
      </c>
      <c r="W106">
        <v>22.157773540159514</v>
      </c>
      <c r="X106">
        <v>43.769221732982047</v>
      </c>
      <c r="Y106">
        <v>3.222338466118746</v>
      </c>
      <c r="Z106">
        <v>17.572962296101274</v>
      </c>
      <c r="AB106">
        <v>30.938123475345623</v>
      </c>
      <c r="AE106">
        <v>6.5454906810760862</v>
      </c>
      <c r="AF106">
        <v>12.756745599218558</v>
      </c>
      <c r="AG106">
        <v>16.366604444568583</v>
      </c>
      <c r="AI106">
        <v>2.2317096557638565</v>
      </c>
      <c r="AK106">
        <v>43.105370609872203</v>
      </c>
    </row>
    <row r="107" spans="1:37" x14ac:dyDescent="0.2">
      <c r="A107">
        <v>106</v>
      </c>
      <c r="B107">
        <v>750</v>
      </c>
      <c r="C107">
        <v>195</v>
      </c>
      <c r="D107">
        <v>0.38340468162048602</v>
      </c>
      <c r="E107">
        <v>153.49290503057387</v>
      </c>
      <c r="F107">
        <v>47.837813936025981</v>
      </c>
      <c r="G107">
        <v>70.307755234631173</v>
      </c>
      <c r="H107">
        <v>65.687567524426072</v>
      </c>
      <c r="J107">
        <v>43.609549108655742</v>
      </c>
      <c r="L107">
        <v>1.6032909427156956</v>
      </c>
      <c r="M107">
        <v>12.7155867530157</v>
      </c>
      <c r="N107">
        <v>2.2975060702494021</v>
      </c>
      <c r="O107">
        <v>6.3821496777647271</v>
      </c>
      <c r="P107">
        <v>8.2946278901075043</v>
      </c>
      <c r="R107">
        <v>9.0980415936699401</v>
      </c>
      <c r="S107">
        <v>35.43627393163225</v>
      </c>
      <c r="U107">
        <v>1.4645136077365524</v>
      </c>
      <c r="V107">
        <v>47.945366601961986</v>
      </c>
      <c r="W107">
        <v>21.654789260307385</v>
      </c>
      <c r="X107">
        <v>43.754852925877103</v>
      </c>
      <c r="Y107">
        <v>2.9835074405097943</v>
      </c>
      <c r="Z107">
        <v>17.761893618903251</v>
      </c>
      <c r="AB107">
        <v>31.406804954365668</v>
      </c>
      <c r="AE107">
        <v>6.6471977711605268</v>
      </c>
      <c r="AF107">
        <v>12.334779078784543</v>
      </c>
      <c r="AG107">
        <v>16.820433410667885</v>
      </c>
      <c r="AI107">
        <v>2.2334133195780823</v>
      </c>
      <c r="AK107">
        <v>40.120946850268339</v>
      </c>
    </row>
    <row r="108" spans="1:37" x14ac:dyDescent="0.2">
      <c r="A108">
        <v>107</v>
      </c>
      <c r="B108">
        <v>765</v>
      </c>
      <c r="C108">
        <v>175</v>
      </c>
      <c r="D108">
        <v>0.41451668833983701</v>
      </c>
      <c r="E108">
        <v>143.82457224861815</v>
      </c>
      <c r="F108">
        <v>62.568562868422056</v>
      </c>
      <c r="G108">
        <v>72.415974738558646</v>
      </c>
      <c r="H108">
        <v>67.831540103873607</v>
      </c>
      <c r="J108">
        <v>74.537439234045038</v>
      </c>
      <c r="L108">
        <v>7.4639613820033777</v>
      </c>
      <c r="M108">
        <v>14.292809878066732</v>
      </c>
      <c r="N108">
        <v>2.1971711002497627</v>
      </c>
      <c r="O108">
        <v>33.256418225979473</v>
      </c>
      <c r="P108">
        <v>11.976089404729894</v>
      </c>
      <c r="Q108">
        <v>5.8665516183688225E-2</v>
      </c>
      <c r="R108">
        <v>18.224083930165737</v>
      </c>
      <c r="S108">
        <v>50.332886710861523</v>
      </c>
      <c r="U108">
        <v>2.0400660532832986</v>
      </c>
      <c r="V108">
        <v>47.657635134553701</v>
      </c>
      <c r="W108">
        <v>26.103949521076977</v>
      </c>
      <c r="X108">
        <v>43.638205880713592</v>
      </c>
      <c r="Y108">
        <v>8.8775568266010296</v>
      </c>
      <c r="Z108">
        <v>32.251452873856422</v>
      </c>
      <c r="AA108">
        <v>6.6544098926917652</v>
      </c>
      <c r="AB108">
        <v>37.964916718965704</v>
      </c>
      <c r="AC108">
        <v>2.3793245678696119E-3</v>
      </c>
      <c r="AD108">
        <v>8.5997245114888887</v>
      </c>
      <c r="AE108">
        <v>13.81562962464942</v>
      </c>
      <c r="AF108">
        <v>13.919924750520794</v>
      </c>
      <c r="AG108">
        <v>23.617312932652009</v>
      </c>
      <c r="AH108">
        <v>6.9717339747408777</v>
      </c>
      <c r="AI108">
        <v>2.1348928024250942</v>
      </c>
      <c r="AK108">
        <v>60.44807743730032</v>
      </c>
    </row>
    <row r="109" spans="1:37" x14ac:dyDescent="0.2">
      <c r="A109">
        <v>108</v>
      </c>
      <c r="B109">
        <v>764</v>
      </c>
      <c r="C109">
        <v>175</v>
      </c>
      <c r="D109">
        <v>0.41388468398978101</v>
      </c>
      <c r="E109">
        <v>143.69959341263774</v>
      </c>
      <c r="F109">
        <v>62.149517416326958</v>
      </c>
      <c r="G109">
        <v>72.345325443847713</v>
      </c>
      <c r="H109">
        <v>67.758352235767674</v>
      </c>
      <c r="J109">
        <v>74.434333951135486</v>
      </c>
      <c r="L109">
        <v>7.3644907697438136</v>
      </c>
      <c r="M109">
        <v>14.235885719606037</v>
      </c>
      <c r="N109">
        <v>2.1965444882565754</v>
      </c>
      <c r="O109">
        <v>32.804942250614822</v>
      </c>
      <c r="P109">
        <v>11.855553232481483</v>
      </c>
      <c r="R109">
        <v>18.004939279861624</v>
      </c>
      <c r="S109">
        <v>49.911393022444983</v>
      </c>
      <c r="U109">
        <v>1.9666678824474417</v>
      </c>
      <c r="V109">
        <v>47.569124771878109</v>
      </c>
      <c r="W109">
        <v>25.900391028558772</v>
      </c>
      <c r="X109">
        <v>43.459285490662154</v>
      </c>
      <c r="Y109">
        <v>8.7696530489064646</v>
      </c>
      <c r="Z109">
        <v>32.022811135086187</v>
      </c>
      <c r="AA109">
        <v>6.5516237184509807</v>
      </c>
      <c r="AB109">
        <v>37.827711295355186</v>
      </c>
      <c r="AD109">
        <v>8.4691951769471299</v>
      </c>
      <c r="AE109">
        <v>13.715902274493597</v>
      </c>
      <c r="AF109">
        <v>13.859265811510328</v>
      </c>
      <c r="AG109">
        <v>23.46262734092079</v>
      </c>
      <c r="AH109">
        <v>6.8133035988983863</v>
      </c>
      <c r="AI109">
        <v>2.1339901777989105</v>
      </c>
      <c r="AK109">
        <v>60.415993417359978</v>
      </c>
    </row>
    <row r="110" spans="1:37" x14ac:dyDescent="0.2">
      <c r="A110">
        <v>109</v>
      </c>
      <c r="B110">
        <v>763</v>
      </c>
      <c r="C110">
        <v>175</v>
      </c>
      <c r="D110">
        <v>0.41325145973073701</v>
      </c>
      <c r="E110">
        <v>143.48143173967549</v>
      </c>
      <c r="F110">
        <v>61.123990537827062</v>
      </c>
      <c r="G110">
        <v>72.170264895773414</v>
      </c>
      <c r="H110">
        <v>67.580765989529368</v>
      </c>
      <c r="J110">
        <v>74.218823402296351</v>
      </c>
      <c r="L110">
        <v>7.0902386935383515</v>
      </c>
      <c r="M110">
        <v>14.25337131029166</v>
      </c>
      <c r="N110">
        <v>2.1985210098975863</v>
      </c>
      <c r="O110">
        <v>31.676231795670763</v>
      </c>
      <c r="P110">
        <v>11.528805243362472</v>
      </c>
      <c r="R110">
        <v>17.649642481381118</v>
      </c>
      <c r="S110">
        <v>49.619824450869054</v>
      </c>
      <c r="U110">
        <v>1.9405583996232252</v>
      </c>
      <c r="V110">
        <v>47.627071487989255</v>
      </c>
      <c r="W110">
        <v>25.672801182281571</v>
      </c>
      <c r="X110">
        <v>43.425139187713832</v>
      </c>
      <c r="Y110">
        <v>8.4584954007795616</v>
      </c>
      <c r="Z110">
        <v>31.468229446624388</v>
      </c>
      <c r="AA110">
        <v>6.2668680819038567</v>
      </c>
      <c r="AB110">
        <v>37.777743242213113</v>
      </c>
      <c r="AD110">
        <v>8.1381739429685229</v>
      </c>
      <c r="AE110">
        <v>13.504080029253155</v>
      </c>
      <c r="AF110">
        <v>13.875620031709724</v>
      </c>
      <c r="AG110">
        <v>23.397784727852613</v>
      </c>
      <c r="AH110">
        <v>6.3580757901101919</v>
      </c>
      <c r="AI110">
        <v>2.1356898706042036</v>
      </c>
      <c r="AK110">
        <v>60.242493701715119</v>
      </c>
    </row>
    <row r="111" spans="1:37" x14ac:dyDescent="0.2">
      <c r="A111">
        <v>110</v>
      </c>
      <c r="B111">
        <v>762</v>
      </c>
      <c r="C111">
        <v>175</v>
      </c>
      <c r="D111">
        <v>0.41261701202724399</v>
      </c>
      <c r="E111">
        <v>143.25934558883591</v>
      </c>
      <c r="F111">
        <v>60.061744479376287</v>
      </c>
      <c r="G111">
        <v>71.988258929657206</v>
      </c>
      <c r="H111">
        <v>67.396247220998561</v>
      </c>
      <c r="J111">
        <v>73.979784658728505</v>
      </c>
      <c r="L111">
        <v>6.8020383790355012</v>
      </c>
      <c r="M111">
        <v>14.273733986524947</v>
      </c>
      <c r="N111">
        <v>2.2004966790707559</v>
      </c>
      <c r="O111">
        <v>30.502409188390907</v>
      </c>
      <c r="P111">
        <v>11.188173144144059</v>
      </c>
      <c r="R111">
        <v>17.271772319783082</v>
      </c>
      <c r="S111">
        <v>49.279314471562358</v>
      </c>
      <c r="U111">
        <v>1.918800165689942</v>
      </c>
      <c r="V111">
        <v>47.673424688078725</v>
      </c>
      <c r="W111">
        <v>25.447949657686053</v>
      </c>
      <c r="X111">
        <v>43.403948870469726</v>
      </c>
      <c r="Y111">
        <v>8.1336413069718692</v>
      </c>
      <c r="Z111">
        <v>30.890960424312006</v>
      </c>
      <c r="AA111">
        <v>5.9690548292387247</v>
      </c>
      <c r="AB111">
        <v>37.70468003490388</v>
      </c>
      <c r="AD111">
        <v>7.7925838317790586</v>
      </c>
      <c r="AE111">
        <v>13.284218852925585</v>
      </c>
      <c r="AF111">
        <v>13.894850766927409</v>
      </c>
      <c r="AG111">
        <v>23.309848588494404</v>
      </c>
      <c r="AH111">
        <v>5.8821219314995146</v>
      </c>
      <c r="AI111">
        <v>2.1373878929022476</v>
      </c>
      <c r="AK111">
        <v>60.058290415936241</v>
      </c>
    </row>
    <row r="112" spans="1:37" x14ac:dyDescent="0.2">
      <c r="A112">
        <v>111</v>
      </c>
      <c r="B112">
        <v>761</v>
      </c>
      <c r="C112">
        <v>175</v>
      </c>
      <c r="D112">
        <v>0.411981337330175</v>
      </c>
      <c r="E112">
        <v>143.03130402066898</v>
      </c>
      <c r="F112">
        <v>58.946387744076944</v>
      </c>
      <c r="G112">
        <v>71.796710395959266</v>
      </c>
      <c r="H112">
        <v>67.202198801192509</v>
      </c>
      <c r="J112">
        <v>73.707661570974352</v>
      </c>
      <c r="L112">
        <v>6.4949016561899153</v>
      </c>
      <c r="M112">
        <v>14.297294334750237</v>
      </c>
      <c r="N112">
        <v>2.2024713049040834</v>
      </c>
      <c r="O112">
        <v>29.265722505652526</v>
      </c>
      <c r="P112">
        <v>10.828462467161778</v>
      </c>
      <c r="R112">
        <v>16.863761007168673</v>
      </c>
      <c r="S112">
        <v>48.871908130316243</v>
      </c>
      <c r="U112">
        <v>1.902113192279512</v>
      </c>
      <c r="V112">
        <v>47.704664150853809</v>
      </c>
      <c r="W112">
        <v>25.226101069456139</v>
      </c>
      <c r="X112">
        <v>43.397838241416117</v>
      </c>
      <c r="Y112">
        <v>7.7899024331656337</v>
      </c>
      <c r="Z112">
        <v>30.279974927881824</v>
      </c>
      <c r="AA112">
        <v>5.6533507269529943</v>
      </c>
      <c r="AB112">
        <v>37.599580639982904</v>
      </c>
      <c r="AD112">
        <v>7.4258964874463382</v>
      </c>
      <c r="AE112">
        <v>13.05178092728451</v>
      </c>
      <c r="AF112">
        <v>13.917278418259635</v>
      </c>
      <c r="AG112">
        <v>23.189877704331241</v>
      </c>
      <c r="AH112">
        <v>5.3775735625022918</v>
      </c>
      <c r="AI112">
        <v>2.139084051984824</v>
      </c>
      <c r="AK112">
        <v>59.858480656176901</v>
      </c>
    </row>
    <row r="113" spans="1:37" x14ac:dyDescent="0.2">
      <c r="A113">
        <v>112</v>
      </c>
      <c r="B113">
        <v>760</v>
      </c>
      <c r="C113">
        <v>175</v>
      </c>
      <c r="D113">
        <v>0.41134443207665999</v>
      </c>
      <c r="E113">
        <v>142.79324928535291</v>
      </c>
      <c r="F113">
        <v>57.745240855017826</v>
      </c>
      <c r="G113">
        <v>71.590494562308962</v>
      </c>
      <c r="H113">
        <v>66.993496018339144</v>
      </c>
      <c r="J113">
        <v>73.383670640164567</v>
      </c>
      <c r="L113">
        <v>6.158927559363816</v>
      </c>
      <c r="M113">
        <v>14.324465241831108</v>
      </c>
      <c r="N113">
        <v>2.2044445367188801</v>
      </c>
      <c r="O113">
        <v>27.931069799510976</v>
      </c>
      <c r="P113">
        <v>10.439423419349456</v>
      </c>
      <c r="R113">
        <v>16.410355292317568</v>
      </c>
      <c r="S113">
        <v>48.363008485149216</v>
      </c>
      <c r="U113">
        <v>1.891760438671295</v>
      </c>
      <c r="V113">
        <v>47.714049906674639</v>
      </c>
      <c r="W113">
        <v>25.007668275469797</v>
      </c>
      <c r="X113">
        <v>43.410511657236299</v>
      </c>
      <c r="Y113">
        <v>7.4170352018217978</v>
      </c>
      <c r="Z113">
        <v>29.613106582428578</v>
      </c>
      <c r="AA113">
        <v>5.3097490339995712</v>
      </c>
      <c r="AB113">
        <v>37.445187999305155</v>
      </c>
      <c r="AD113">
        <v>7.0250320499458612</v>
      </c>
      <c r="AE113">
        <v>12.797577142840838</v>
      </c>
      <c r="AF113">
        <v>13.943315527426483</v>
      </c>
      <c r="AG113">
        <v>23.020614672360534</v>
      </c>
      <c r="AH113">
        <v>4.8288572547959063</v>
      </c>
      <c r="AI113">
        <v>2.1407779953356276</v>
      </c>
      <c r="AK113">
        <v>59.633231583272206</v>
      </c>
    </row>
    <row r="114" spans="1:37" x14ac:dyDescent="0.2">
      <c r="A114">
        <v>113</v>
      </c>
      <c r="B114">
        <v>759</v>
      </c>
      <c r="C114">
        <v>175</v>
      </c>
      <c r="D114">
        <v>0.41070629269001901</v>
      </c>
      <c r="E114">
        <v>142.42004116862665</v>
      </c>
      <c r="F114">
        <v>55.510809267410693</v>
      </c>
      <c r="G114">
        <v>71.233233999090828</v>
      </c>
      <c r="H114">
        <v>66.633761463460601</v>
      </c>
      <c r="J114">
        <v>72.539947960383472</v>
      </c>
      <c r="L114">
        <v>5.529053867383416</v>
      </c>
      <c r="M114">
        <v>14.342482050930927</v>
      </c>
      <c r="N114">
        <v>2.20641004174015</v>
      </c>
      <c r="O114">
        <v>25.541265059215586</v>
      </c>
      <c r="P114">
        <v>9.7482948311163415</v>
      </c>
      <c r="R114">
        <v>15.505378332091436</v>
      </c>
      <c r="S114">
        <v>47.049811398699568</v>
      </c>
      <c r="U114">
        <v>1.8927141103500094</v>
      </c>
      <c r="V114">
        <v>47.607267927069245</v>
      </c>
      <c r="W114">
        <v>24.801537118293638</v>
      </c>
      <c r="X114">
        <v>43.455513492367245</v>
      </c>
      <c r="Y114">
        <v>6.7402459262322285</v>
      </c>
      <c r="Z114">
        <v>28.227290977587277</v>
      </c>
      <c r="AA114">
        <v>4.672015958004951</v>
      </c>
      <c r="AB114">
        <v>36.879491152230493</v>
      </c>
      <c r="AD114">
        <v>6.2072546552628438</v>
      </c>
      <c r="AE114">
        <v>12.233538306918001</v>
      </c>
      <c r="AF114">
        <v>13.96019111036596</v>
      </c>
      <c r="AG114">
        <v>22.440042205006407</v>
      </c>
      <c r="AH114">
        <v>3.8141053567328655</v>
      </c>
      <c r="AI114">
        <v>2.1424633883427453</v>
      </c>
      <c r="AK114">
        <v>59.09528335359051</v>
      </c>
    </row>
    <row r="115" spans="1:37" x14ac:dyDescent="0.2">
      <c r="A115">
        <v>114</v>
      </c>
      <c r="B115">
        <v>758</v>
      </c>
      <c r="C115">
        <v>175</v>
      </c>
      <c r="D115">
        <v>0.41006691557969399</v>
      </c>
      <c r="E115">
        <v>141.51854845588343</v>
      </c>
      <c r="F115">
        <v>49.252101769069128</v>
      </c>
      <c r="G115">
        <v>70.302909309813757</v>
      </c>
      <c r="H115">
        <v>65.700975760742097</v>
      </c>
      <c r="J115">
        <v>69.727404611919056</v>
      </c>
      <c r="L115">
        <v>3.7780271266061791</v>
      </c>
      <c r="M115">
        <v>14.287422658800924</v>
      </c>
      <c r="N115">
        <v>2.2083491244001587</v>
      </c>
      <c r="O115">
        <v>19.111643620239192</v>
      </c>
      <c r="P115">
        <v>7.9110192363848437</v>
      </c>
      <c r="R115">
        <v>12.87961110113651</v>
      </c>
      <c r="S115">
        <v>42.88636429479876</v>
      </c>
      <c r="U115">
        <v>1.9026356315425257</v>
      </c>
      <c r="V115">
        <v>47.144818345014329</v>
      </c>
      <c r="W115">
        <v>24.642360020822672</v>
      </c>
      <c r="X115">
        <v>43.52220296781077</v>
      </c>
      <c r="Y115">
        <v>4.9060652523771724</v>
      </c>
      <c r="Z115">
        <v>23.973837487701616</v>
      </c>
      <c r="AA115">
        <v>2.908661235314721</v>
      </c>
      <c r="AB115">
        <v>34.826212853502554</v>
      </c>
      <c r="AD115">
        <v>3.7315391365750932</v>
      </c>
      <c r="AE115">
        <v>10.421031186247601</v>
      </c>
      <c r="AF115">
        <v>13.903964373819699</v>
      </c>
      <c r="AG115">
        <v>20.371864367300006</v>
      </c>
      <c r="AH115">
        <v>1.0014974423051222</v>
      </c>
      <c r="AI115">
        <v>2.1441215336008272</v>
      </c>
      <c r="AK115">
        <v>57.324464316456691</v>
      </c>
    </row>
    <row r="116" spans="1:37" x14ac:dyDescent="0.2">
      <c r="A116">
        <v>115</v>
      </c>
      <c r="B116">
        <v>757</v>
      </c>
      <c r="C116">
        <v>175</v>
      </c>
      <c r="D116">
        <v>0.40942629714119499</v>
      </c>
      <c r="E116">
        <v>141.70108520214694</v>
      </c>
      <c r="F116">
        <v>48.221052882761384</v>
      </c>
      <c r="G116">
        <v>70.383447823913073</v>
      </c>
      <c r="H116">
        <v>65.779066260338055</v>
      </c>
      <c r="J116">
        <v>60.951803420122481</v>
      </c>
      <c r="L116">
        <v>1.945756061091146</v>
      </c>
      <c r="M116">
        <v>14.139108383819771</v>
      </c>
      <c r="N116">
        <v>2.2103463641627217</v>
      </c>
      <c r="O116">
        <v>9.353631329487003</v>
      </c>
      <c r="P116">
        <v>8.0955358960311425</v>
      </c>
      <c r="R116">
        <v>10.861820749671736</v>
      </c>
      <c r="S116">
        <v>37.15600284933705</v>
      </c>
      <c r="U116">
        <v>1.938745715414393</v>
      </c>
      <c r="V116">
        <v>46.745818868077997</v>
      </c>
      <c r="W116">
        <v>24.371995580527756</v>
      </c>
      <c r="X116">
        <v>43.664218940721135</v>
      </c>
      <c r="Y116">
        <v>3.7109172994891586</v>
      </c>
      <c r="Z116">
        <v>20.956746221614594</v>
      </c>
      <c r="AA116">
        <v>0.75959209392956839</v>
      </c>
      <c r="AB116">
        <v>32.693513584523302</v>
      </c>
      <c r="AD116">
        <v>2.0851386562100096</v>
      </c>
      <c r="AE116">
        <v>8.6354110153088204</v>
      </c>
      <c r="AF116">
        <v>13.754541221203914</v>
      </c>
      <c r="AG116">
        <v>18.224326225983972</v>
      </c>
      <c r="AI116">
        <v>2.1458370087353735</v>
      </c>
      <c r="AK116">
        <v>51.613653139702166</v>
      </c>
    </row>
    <row r="117" spans="1:37" x14ac:dyDescent="0.2">
      <c r="A117">
        <v>116</v>
      </c>
      <c r="B117">
        <v>756</v>
      </c>
      <c r="C117">
        <v>175</v>
      </c>
      <c r="D117">
        <v>0.40878443375601398</v>
      </c>
      <c r="E117">
        <v>142.02075357903834</v>
      </c>
      <c r="F117">
        <v>47.746606086966267</v>
      </c>
      <c r="G117">
        <v>70.542990494865691</v>
      </c>
      <c r="H117">
        <v>65.936173936482291</v>
      </c>
      <c r="J117">
        <v>52.357328431893606</v>
      </c>
      <c r="L117">
        <v>1.5507971021082667</v>
      </c>
      <c r="M117">
        <v>13.817711435989782</v>
      </c>
      <c r="N117">
        <v>2.2123507001901452</v>
      </c>
      <c r="O117">
        <v>7.0336402219874383</v>
      </c>
      <c r="P117">
        <v>8.4380756787710869</v>
      </c>
      <c r="R117">
        <v>10.307258034730564</v>
      </c>
      <c r="S117">
        <v>35.76709712492508</v>
      </c>
      <c r="U117">
        <v>1.946729758394081</v>
      </c>
      <c r="V117">
        <v>46.954519223497456</v>
      </c>
      <c r="W117">
        <v>23.948728567435172</v>
      </c>
      <c r="X117">
        <v>43.725543683553745</v>
      </c>
      <c r="Y117">
        <v>3.3384354604923283</v>
      </c>
      <c r="Z117">
        <v>18.048073777530906</v>
      </c>
      <c r="AB117">
        <v>31.016961809405895</v>
      </c>
      <c r="AD117">
        <v>0.6036889158078379</v>
      </c>
      <c r="AE117">
        <v>6.8950961594650408</v>
      </c>
      <c r="AF117">
        <v>13.432042807270468</v>
      </c>
      <c r="AG117">
        <v>16.532945190227654</v>
      </c>
      <c r="AI117">
        <v>2.1475587510704934</v>
      </c>
      <c r="AK117">
        <v>45.886606234887751</v>
      </c>
    </row>
    <row r="118" spans="1:37" x14ac:dyDescent="0.2">
      <c r="A118">
        <v>117</v>
      </c>
      <c r="B118">
        <v>755</v>
      </c>
      <c r="C118">
        <v>175</v>
      </c>
      <c r="D118">
        <v>0.40814132179156798</v>
      </c>
      <c r="E118">
        <v>142.23052034927676</v>
      </c>
      <c r="F118">
        <v>48.06619461522709</v>
      </c>
      <c r="G118">
        <v>70.561337673507865</v>
      </c>
      <c r="H118">
        <v>65.952099160808842</v>
      </c>
      <c r="J118">
        <v>46.429228619415433</v>
      </c>
      <c r="L118">
        <v>1.5675008215414636</v>
      </c>
      <c r="M118">
        <v>13.396817380830948</v>
      </c>
      <c r="N118">
        <v>2.2143472431032811</v>
      </c>
      <c r="O118">
        <v>6.9479553726512098</v>
      </c>
      <c r="P118">
        <v>8.498224419556756</v>
      </c>
      <c r="R118">
        <v>9.9912690809156626</v>
      </c>
      <c r="S118">
        <v>35.947454588965329</v>
      </c>
      <c r="U118">
        <v>1.9364019633930203</v>
      </c>
      <c r="V118">
        <v>47.445112014971237</v>
      </c>
      <c r="W118">
        <v>23.438618452974655</v>
      </c>
      <c r="X118">
        <v>43.734463409137831</v>
      </c>
      <c r="Y118">
        <v>3.1120049344197205</v>
      </c>
      <c r="Z118">
        <v>17.551091577160538</v>
      </c>
      <c r="AB118">
        <v>31.019472900303153</v>
      </c>
      <c r="AE118">
        <v>6.5922150218449653</v>
      </c>
      <c r="AF118">
        <v>13.010039813756869</v>
      </c>
      <c r="AG118">
        <v>16.520621748718263</v>
      </c>
      <c r="AI118">
        <v>2.1492718693881421</v>
      </c>
      <c r="AK118">
        <v>41.856565616330286</v>
      </c>
    </row>
    <row r="119" spans="1:37" x14ac:dyDescent="0.2">
      <c r="A119">
        <v>118</v>
      </c>
      <c r="B119">
        <v>754</v>
      </c>
      <c r="C119">
        <v>175</v>
      </c>
      <c r="D119">
        <v>0.40749695760112897</v>
      </c>
      <c r="E119">
        <v>142.38412618135058</v>
      </c>
      <c r="F119">
        <v>48.547845459132141</v>
      </c>
      <c r="G119">
        <v>70.537522712401824</v>
      </c>
      <c r="H119">
        <v>65.925875306720158</v>
      </c>
      <c r="J119">
        <v>42.675199991939095</v>
      </c>
      <c r="L119">
        <v>1.5797281240429619</v>
      </c>
      <c r="M119">
        <v>12.989135508461457</v>
      </c>
      <c r="N119">
        <v>2.2163410591540931</v>
      </c>
      <c r="O119">
        <v>6.9206204076779478</v>
      </c>
      <c r="P119">
        <v>8.4740539124964034</v>
      </c>
      <c r="R119">
        <v>9.6528105916394189</v>
      </c>
      <c r="S119">
        <v>36.245887714882926</v>
      </c>
      <c r="U119">
        <v>1.9186886536330556</v>
      </c>
      <c r="V119">
        <v>47.950554231594744</v>
      </c>
      <c r="W119">
        <v>22.946699669393478</v>
      </c>
      <c r="X119">
        <v>43.722380326853752</v>
      </c>
      <c r="Y119">
        <v>2.8787297518102388</v>
      </c>
      <c r="Z119">
        <v>17.733073012114239</v>
      </c>
      <c r="AB119">
        <v>31.464779769130821</v>
      </c>
      <c r="AE119">
        <v>6.6902030355390281</v>
      </c>
      <c r="AF119">
        <v>12.601246602645299</v>
      </c>
      <c r="AG119">
        <v>16.951093885555924</v>
      </c>
      <c r="AI119">
        <v>2.1509814281020856</v>
      </c>
      <c r="AK119">
        <v>39.261894501081827</v>
      </c>
    </row>
    <row r="120" spans="1:37" x14ac:dyDescent="0.2">
      <c r="A120">
        <v>119</v>
      </c>
      <c r="B120">
        <v>773</v>
      </c>
      <c r="C120">
        <v>155</v>
      </c>
      <c r="D120">
        <v>0.440558715289395</v>
      </c>
      <c r="E120">
        <v>132.87950629397986</v>
      </c>
      <c r="F120">
        <v>64.411102348022098</v>
      </c>
      <c r="G120">
        <v>72.827093074043589</v>
      </c>
      <c r="H120">
        <v>68.262657913305176</v>
      </c>
      <c r="J120">
        <v>74.674613646685543</v>
      </c>
      <c r="L120">
        <v>7.9159995805987968</v>
      </c>
      <c r="M120">
        <v>14.603674768324106</v>
      </c>
      <c r="N120">
        <v>2.1603584171484314</v>
      </c>
      <c r="O120">
        <v>36.294636589514134</v>
      </c>
      <c r="P120">
        <v>12.477842881022365</v>
      </c>
      <c r="Q120">
        <v>3.5915406926376861E-2</v>
      </c>
      <c r="R120">
        <v>19.529088380564733</v>
      </c>
      <c r="S120">
        <v>52.666117377972718</v>
      </c>
      <c r="U120">
        <v>2.5242434328587784</v>
      </c>
      <c r="V120">
        <v>47.709577333212636</v>
      </c>
      <c r="W120">
        <v>28.031374576457246</v>
      </c>
      <c r="X120">
        <v>43.281983778735558</v>
      </c>
      <c r="Y120">
        <v>9.2851317655644685</v>
      </c>
      <c r="Z120">
        <v>33.572150066229106</v>
      </c>
      <c r="AA120">
        <v>7.1512563622734593</v>
      </c>
      <c r="AB120">
        <v>38.892426609913421</v>
      </c>
      <c r="AC120">
        <v>5.4727444546725276E-2</v>
      </c>
      <c r="AD120">
        <v>9.3015409493462737</v>
      </c>
      <c r="AE120">
        <v>14.603807554237779</v>
      </c>
      <c r="AF120">
        <v>14.280590401397747</v>
      </c>
      <c r="AG120">
        <v>24.728870481229194</v>
      </c>
      <c r="AH120">
        <v>7.3834619548893885</v>
      </c>
      <c r="AI120">
        <v>2.0978644536578419</v>
      </c>
      <c r="AK120">
        <v>60.125447217986995</v>
      </c>
    </row>
    <row r="121" spans="1:37" x14ac:dyDescent="0.2">
      <c r="A121">
        <v>120</v>
      </c>
      <c r="B121">
        <v>772</v>
      </c>
      <c r="C121">
        <v>155</v>
      </c>
      <c r="D121">
        <v>0.43995646557910401</v>
      </c>
      <c r="E121">
        <v>132.77741279344065</v>
      </c>
      <c r="F121">
        <v>64.066159006119179</v>
      </c>
      <c r="G121">
        <v>72.766986290750765</v>
      </c>
      <c r="H121">
        <v>68.199902125969274</v>
      </c>
      <c r="J121">
        <v>74.612291404852371</v>
      </c>
      <c r="L121">
        <v>7.8276985285602425</v>
      </c>
      <c r="M121">
        <v>14.57722453803532</v>
      </c>
      <c r="N121">
        <v>2.1507432212411226</v>
      </c>
      <c r="O121">
        <v>35.868783777672199</v>
      </c>
      <c r="P121">
        <v>12.369335852738361</v>
      </c>
      <c r="R121">
        <v>19.357955036063519</v>
      </c>
      <c r="S121">
        <v>52.39469639512717</v>
      </c>
      <c r="U121">
        <v>2.4784766596683321</v>
      </c>
      <c r="V121">
        <v>47.671245890012059</v>
      </c>
      <c r="W121">
        <v>27.883303417157375</v>
      </c>
      <c r="X121">
        <v>43.196393426785747</v>
      </c>
      <c r="Y121">
        <v>9.1924927192475145</v>
      </c>
      <c r="Z121">
        <v>33.382684189145813</v>
      </c>
      <c r="AA121">
        <v>7.0595591201403005</v>
      </c>
      <c r="AB121">
        <v>38.807398631873376</v>
      </c>
      <c r="AC121">
        <v>4.3125759773262481E-2</v>
      </c>
      <c r="AD121">
        <v>9.1976414830376108</v>
      </c>
      <c r="AE121">
        <v>14.518882907664405</v>
      </c>
      <c r="AF121">
        <v>14.24141190916319</v>
      </c>
      <c r="AG121">
        <v>24.617380467104766</v>
      </c>
      <c r="AH121">
        <v>7.2585892061102451</v>
      </c>
      <c r="AI121">
        <v>2.0879806108824708</v>
      </c>
      <c r="AK121">
        <v>60.108913620133023</v>
      </c>
    </row>
    <row r="122" spans="1:37" x14ac:dyDescent="0.2">
      <c r="A122">
        <v>121</v>
      </c>
      <c r="B122">
        <v>771</v>
      </c>
      <c r="C122">
        <v>155</v>
      </c>
      <c r="D122">
        <v>0.43935306229947801</v>
      </c>
      <c r="E122">
        <v>132.67125194050945</v>
      </c>
      <c r="F122">
        <v>63.62942002975678</v>
      </c>
      <c r="G122">
        <v>72.689296673068867</v>
      </c>
      <c r="H122">
        <v>68.119576218636794</v>
      </c>
      <c r="J122">
        <v>74.561133642425858</v>
      </c>
      <c r="L122">
        <v>7.7039156334447219</v>
      </c>
      <c r="M122">
        <v>14.597362348401548</v>
      </c>
      <c r="N122">
        <v>2.13364717894776</v>
      </c>
      <c r="O122">
        <v>35.291007048245596</v>
      </c>
      <c r="P122">
        <v>12.218189687280589</v>
      </c>
      <c r="R122">
        <v>19.194597142585959</v>
      </c>
      <c r="S122">
        <v>52.294849535550398</v>
      </c>
      <c r="U122">
        <v>2.4691751268765461</v>
      </c>
      <c r="V122">
        <v>47.716221357476797</v>
      </c>
      <c r="W122">
        <v>27.778732626412353</v>
      </c>
      <c r="X122">
        <v>43.230508398080744</v>
      </c>
      <c r="Y122">
        <v>9.0606592039912943</v>
      </c>
      <c r="Z122">
        <v>33.143210400042875</v>
      </c>
      <c r="AA122">
        <v>6.9304023233689662</v>
      </c>
      <c r="AB122">
        <v>38.793125454542292</v>
      </c>
      <c r="AC122">
        <v>2.4043378358308585E-2</v>
      </c>
      <c r="AD122">
        <v>9.0644828551821881</v>
      </c>
      <c r="AE122">
        <v>14.4180011252641</v>
      </c>
      <c r="AF122">
        <v>14.241340848812326</v>
      </c>
      <c r="AG122">
        <v>24.569166836245728</v>
      </c>
      <c r="AH122">
        <v>7.0868163427838571</v>
      </c>
      <c r="AI122">
        <v>2.0706151201932896</v>
      </c>
      <c r="AK122">
        <v>60.070881709136145</v>
      </c>
    </row>
    <row r="123" spans="1:37" x14ac:dyDescent="0.2">
      <c r="A123">
        <v>122</v>
      </c>
      <c r="B123">
        <v>770</v>
      </c>
      <c r="C123">
        <v>155</v>
      </c>
      <c r="D123">
        <v>0.43874850213296301</v>
      </c>
      <c r="E123">
        <v>132.5655844645093</v>
      </c>
      <c r="F123">
        <v>63.193732582356247</v>
      </c>
      <c r="G123">
        <v>72.611619597292147</v>
      </c>
      <c r="H123">
        <v>68.039275587808447</v>
      </c>
      <c r="J123">
        <v>74.508841764951228</v>
      </c>
      <c r="L123">
        <v>7.5797496351536573</v>
      </c>
      <c r="M123">
        <v>14.617736127612506</v>
      </c>
      <c r="N123">
        <v>2.1165049156573983</v>
      </c>
      <c r="O123">
        <v>34.713214951471365</v>
      </c>
      <c r="P123">
        <v>12.067029784375023</v>
      </c>
      <c r="R123">
        <v>19.030049690886219</v>
      </c>
      <c r="S123">
        <v>52.190430494683788</v>
      </c>
      <c r="U123">
        <v>2.4603923845162474</v>
      </c>
      <c r="V123">
        <v>47.759410664421218</v>
      </c>
      <c r="W123">
        <v>27.675020074553608</v>
      </c>
      <c r="X123">
        <v>43.266377402705558</v>
      </c>
      <c r="Y123">
        <v>8.9287602578978778</v>
      </c>
      <c r="Z123">
        <v>32.903928069782388</v>
      </c>
      <c r="AA123">
        <v>6.8011074789368431</v>
      </c>
      <c r="AB123">
        <v>38.776312711457784</v>
      </c>
      <c r="AC123">
        <v>4.9149252522653741E-3</v>
      </c>
      <c r="AD123">
        <v>8.9312336085560364</v>
      </c>
      <c r="AE123">
        <v>14.31723250247166</v>
      </c>
      <c r="AF123">
        <v>14.241459779336774</v>
      </c>
      <c r="AG123">
        <v>24.518369853220459</v>
      </c>
      <c r="AH123">
        <v>6.9149089359700469</v>
      </c>
      <c r="AI123">
        <v>2.0532026051473253</v>
      </c>
      <c r="AK123">
        <v>60.032940449727782</v>
      </c>
    </row>
    <row r="124" spans="1:37" x14ac:dyDescent="0.2">
      <c r="A124">
        <v>123</v>
      </c>
      <c r="B124">
        <v>769</v>
      </c>
      <c r="C124">
        <v>155</v>
      </c>
      <c r="D124">
        <v>0.43814278174927401</v>
      </c>
      <c r="E124">
        <v>132.37959620070077</v>
      </c>
      <c r="F124">
        <v>62.329829789945791</v>
      </c>
      <c r="G124">
        <v>72.462721964237147</v>
      </c>
      <c r="H124">
        <v>67.887767154543525</v>
      </c>
      <c r="J124">
        <v>74.330881544371749</v>
      </c>
      <c r="L124">
        <v>7.3449189453817452</v>
      </c>
      <c r="M124">
        <v>14.636148080833582</v>
      </c>
      <c r="N124">
        <v>2.1133428087336341</v>
      </c>
      <c r="O124">
        <v>33.731015494483508</v>
      </c>
      <c r="P124">
        <v>11.787416344827445</v>
      </c>
      <c r="R124">
        <v>18.720884434886397</v>
      </c>
      <c r="S124">
        <v>51.926744524202171</v>
      </c>
      <c r="U124">
        <v>2.4407208001021847</v>
      </c>
      <c r="V124">
        <v>47.805504070597586</v>
      </c>
      <c r="W124">
        <v>27.4812947125248</v>
      </c>
      <c r="X124">
        <v>43.257037293533116</v>
      </c>
      <c r="Y124">
        <v>8.6657015956843004</v>
      </c>
      <c r="Z124">
        <v>32.433437568066957</v>
      </c>
      <c r="AA124">
        <v>6.5579178809741281</v>
      </c>
      <c r="AB124">
        <v>38.722912476760634</v>
      </c>
      <c r="AD124">
        <v>8.6536075020608951</v>
      </c>
      <c r="AE124">
        <v>14.134585007851481</v>
      </c>
      <c r="AF124">
        <v>14.253597288692559</v>
      </c>
      <c r="AG124">
        <v>24.444967975188089</v>
      </c>
      <c r="AH124">
        <v>6.5359728711683189</v>
      </c>
      <c r="AI124">
        <v>2.0497694412744005</v>
      </c>
      <c r="AK124">
        <v>59.896087585280732</v>
      </c>
    </row>
    <row r="125" spans="1:37" x14ac:dyDescent="0.2">
      <c r="A125">
        <v>124</v>
      </c>
      <c r="B125">
        <v>768</v>
      </c>
      <c r="C125">
        <v>155</v>
      </c>
      <c r="D125">
        <v>0.43753589780531399</v>
      </c>
      <c r="E125">
        <v>132.16092387075457</v>
      </c>
      <c r="F125">
        <v>61.278835659197696</v>
      </c>
      <c r="G125">
        <v>72.282079441638786</v>
      </c>
      <c r="H125">
        <v>67.704526606860227</v>
      </c>
      <c r="J125">
        <v>74.087391851827235</v>
      </c>
      <c r="L125">
        <v>7.0582601659533317</v>
      </c>
      <c r="M125">
        <v>14.656019276358977</v>
      </c>
      <c r="N125">
        <v>2.1153212326875006</v>
      </c>
      <c r="O125">
        <v>32.563879775468926</v>
      </c>
      <c r="P125">
        <v>11.4494611004856</v>
      </c>
      <c r="R125">
        <v>18.340445166992055</v>
      </c>
      <c r="S125">
        <v>51.56362596430818</v>
      </c>
      <c r="U125">
        <v>2.4204659704010685</v>
      </c>
      <c r="V125">
        <v>47.843023224392226</v>
      </c>
      <c r="W125">
        <v>27.256677659535836</v>
      </c>
      <c r="X125">
        <v>43.241236812140727</v>
      </c>
      <c r="Y125">
        <v>8.3434516702008406</v>
      </c>
      <c r="Z125">
        <v>31.859408587467463</v>
      </c>
      <c r="AA125">
        <v>6.2623306869384683</v>
      </c>
      <c r="AB125">
        <v>38.636606426973195</v>
      </c>
      <c r="AD125">
        <v>8.3110682192224417</v>
      </c>
      <c r="AE125">
        <v>13.915161422625886</v>
      </c>
      <c r="AF125">
        <v>14.272334825117561</v>
      </c>
      <c r="AG125">
        <v>24.343803258859129</v>
      </c>
      <c r="AH125">
        <v>6.0642956731843256</v>
      </c>
      <c r="AI125">
        <v>2.0514760012516566</v>
      </c>
      <c r="AK125">
        <v>59.714221799158572</v>
      </c>
    </row>
    <row r="126" spans="1:37" x14ac:dyDescent="0.2">
      <c r="A126">
        <v>125</v>
      </c>
      <c r="B126">
        <v>767</v>
      </c>
      <c r="C126">
        <v>155</v>
      </c>
      <c r="D126">
        <v>0.43692784694515202</v>
      </c>
      <c r="E126">
        <v>131.93710126895786</v>
      </c>
      <c r="F126">
        <v>60.180715457541105</v>
      </c>
      <c r="G126">
        <v>72.092943091858885</v>
      </c>
      <c r="H126">
        <v>67.512805027442298</v>
      </c>
      <c r="J126">
        <v>73.813602295644813</v>
      </c>
      <c r="L126">
        <v>6.7546560018750244</v>
      </c>
      <c r="M126">
        <v>14.678675123765689</v>
      </c>
      <c r="N126">
        <v>2.1172986942634915</v>
      </c>
      <c r="O126">
        <v>31.340706856542184</v>
      </c>
      <c r="P126">
        <v>11.094524704745716</v>
      </c>
      <c r="R126">
        <v>17.932732342484691</v>
      </c>
      <c r="S126">
        <v>51.137586076313823</v>
      </c>
      <c r="U126">
        <v>2.4048312663310143</v>
      </c>
      <c r="V126">
        <v>47.866097106936664</v>
      </c>
      <c r="W126">
        <v>27.034976846512521</v>
      </c>
      <c r="X126">
        <v>43.239197333744954</v>
      </c>
      <c r="Y126">
        <v>8.0043715984770341</v>
      </c>
      <c r="Z126">
        <v>31.255170878766101</v>
      </c>
      <c r="AA126">
        <v>5.9507491034021074</v>
      </c>
      <c r="AB126">
        <v>38.519934052992213</v>
      </c>
      <c r="AD126">
        <v>7.9496092244422645</v>
      </c>
      <c r="AE126">
        <v>13.684389195108091</v>
      </c>
      <c r="AF126">
        <v>14.293856310384303</v>
      </c>
      <c r="AG126">
        <v>24.212273707567061</v>
      </c>
      <c r="AH126">
        <v>5.5670941437632759</v>
      </c>
      <c r="AI126">
        <v>2.053180789989582</v>
      </c>
      <c r="AK126">
        <v>59.518458266030152</v>
      </c>
    </row>
    <row r="127" spans="1:37" x14ac:dyDescent="0.2">
      <c r="A127">
        <v>126</v>
      </c>
      <c r="B127">
        <v>766</v>
      </c>
      <c r="C127">
        <v>155</v>
      </c>
      <c r="D127">
        <v>0.43631862579993802</v>
      </c>
      <c r="E127">
        <v>131.70500771319868</v>
      </c>
      <c r="F127">
        <v>59.010170997436092</v>
      </c>
      <c r="G127">
        <v>71.891357223945917</v>
      </c>
      <c r="H127">
        <v>67.30864674569878</v>
      </c>
      <c r="J127">
        <v>73.494795108409335</v>
      </c>
      <c r="L127">
        <v>6.4264506728279409</v>
      </c>
      <c r="M127">
        <v>14.704381665840135</v>
      </c>
      <c r="N127">
        <v>2.1192749243397673</v>
      </c>
      <c r="O127">
        <v>30.034352084312776</v>
      </c>
      <c r="P127">
        <v>10.714695528571026</v>
      </c>
      <c r="R127">
        <v>17.485907830933954</v>
      </c>
      <c r="S127">
        <v>50.621265163670564</v>
      </c>
      <c r="U127">
        <v>2.3947764411343999</v>
      </c>
      <c r="V127">
        <v>47.869361129425798</v>
      </c>
      <c r="W127">
        <v>26.816526478321403</v>
      </c>
      <c r="X127">
        <v>43.253733063610817</v>
      </c>
      <c r="Y127">
        <v>7.6405460777812735</v>
      </c>
      <c r="Z127">
        <v>30.603525119634526</v>
      </c>
      <c r="AA127">
        <v>5.6154063055667214</v>
      </c>
      <c r="AB127">
        <v>38.359197228370533</v>
      </c>
      <c r="AD127">
        <v>7.5591044256331745</v>
      </c>
      <c r="AE127">
        <v>13.435079083002641</v>
      </c>
      <c r="AF127">
        <v>14.318427523616654</v>
      </c>
      <c r="AG127">
        <v>24.036680931453638</v>
      </c>
      <c r="AH127">
        <v>5.0323473892185699</v>
      </c>
      <c r="AI127">
        <v>2.0548835365312814</v>
      </c>
      <c r="AK127">
        <v>59.30115491652311</v>
      </c>
    </row>
    <row r="128" spans="1:37" x14ac:dyDescent="0.2">
      <c r="A128">
        <v>127</v>
      </c>
      <c r="B128">
        <v>765</v>
      </c>
      <c r="C128">
        <v>155</v>
      </c>
      <c r="D128">
        <v>0.43570823098781702</v>
      </c>
      <c r="E128">
        <v>131.45765901835102</v>
      </c>
      <c r="F128">
        <v>57.710744341651136</v>
      </c>
      <c r="G128">
        <v>71.668586217158619</v>
      </c>
      <c r="H128">
        <v>67.083316161288096</v>
      </c>
      <c r="J128">
        <v>73.098373427374611</v>
      </c>
      <c r="L128">
        <v>6.0565732176843667</v>
      </c>
      <c r="M128">
        <v>14.733348233372528</v>
      </c>
      <c r="N128">
        <v>2.1212493685037255</v>
      </c>
      <c r="O128">
        <v>28.584734483159597</v>
      </c>
      <c r="P128">
        <v>10.29250179811476</v>
      </c>
      <c r="R128">
        <v>16.973276597619357</v>
      </c>
      <c r="S128">
        <v>49.95485021882623</v>
      </c>
      <c r="U128">
        <v>2.3921441852123198</v>
      </c>
      <c r="V128">
        <v>47.841065427215035</v>
      </c>
      <c r="W128">
        <v>26.601930507851179</v>
      </c>
      <c r="X128">
        <v>43.29020613153201</v>
      </c>
      <c r="Y128">
        <v>7.2344824420031619</v>
      </c>
      <c r="Z128">
        <v>29.865800351567877</v>
      </c>
      <c r="AA128">
        <v>5.2394926927061896</v>
      </c>
      <c r="AB128">
        <v>38.124402764534651</v>
      </c>
      <c r="AD128">
        <v>7.1168543640973674</v>
      </c>
      <c r="AE128">
        <v>13.150949460199339</v>
      </c>
      <c r="AF128">
        <v>14.346257246667935</v>
      </c>
      <c r="AG128">
        <v>23.787031193262944</v>
      </c>
      <c r="AH128">
        <v>4.4334247780786891</v>
      </c>
      <c r="AI128">
        <v>2.0565836846296803</v>
      </c>
      <c r="AK128">
        <v>59.045151272075337</v>
      </c>
    </row>
    <row r="129" spans="1:37" x14ac:dyDescent="0.2">
      <c r="A129">
        <v>128</v>
      </c>
      <c r="B129">
        <v>764</v>
      </c>
      <c r="C129">
        <v>155</v>
      </c>
      <c r="D129">
        <v>0.43509665911391998</v>
      </c>
      <c r="E129">
        <v>130.91931925978619</v>
      </c>
      <c r="F129">
        <v>54.18774241147532</v>
      </c>
      <c r="G129">
        <v>71.124396062630865</v>
      </c>
      <c r="H129">
        <v>66.536579285783873</v>
      </c>
      <c r="J129">
        <v>71.581562662988233</v>
      </c>
      <c r="L129">
        <v>5.0594413937442804</v>
      </c>
      <c r="M129">
        <v>14.730645325885241</v>
      </c>
      <c r="N129">
        <v>2.1232086518522428</v>
      </c>
      <c r="O129">
        <v>24.881752905931322</v>
      </c>
      <c r="P129">
        <v>9.2274621428505679</v>
      </c>
      <c r="R129">
        <v>15.490140729258879</v>
      </c>
      <c r="S129">
        <v>47.569645048779932</v>
      </c>
      <c r="U129">
        <v>2.4043473057443978</v>
      </c>
      <c r="V129">
        <v>47.567753553735109</v>
      </c>
      <c r="W129">
        <v>26.411059734965438</v>
      </c>
      <c r="X129">
        <v>43.367446041704945</v>
      </c>
      <c r="Y129">
        <v>6.180556346588169</v>
      </c>
      <c r="Z129">
        <v>27.573543104136203</v>
      </c>
      <c r="AA129">
        <v>4.2351890189346451</v>
      </c>
      <c r="AB129">
        <v>37.0054800598515</v>
      </c>
      <c r="AD129">
        <v>5.7762436555815961</v>
      </c>
      <c r="AE129">
        <v>12.189507843368926</v>
      </c>
      <c r="AF129">
        <v>14.342402609641148</v>
      </c>
      <c r="AG129">
        <v>22.653240522206577</v>
      </c>
      <c r="AH129">
        <v>2.8397972749386389</v>
      </c>
      <c r="AI129">
        <v>2.0582678575459012</v>
      </c>
      <c r="AK129">
        <v>58.111128161432319</v>
      </c>
    </row>
    <row r="130" spans="1:37" x14ac:dyDescent="0.2">
      <c r="A130">
        <v>129</v>
      </c>
      <c r="B130">
        <v>763</v>
      </c>
      <c r="C130">
        <v>155</v>
      </c>
      <c r="D130">
        <v>0.43448390677026</v>
      </c>
      <c r="E130">
        <v>130.11380352037799</v>
      </c>
      <c r="F130">
        <v>48.600530543661606</v>
      </c>
      <c r="G130">
        <v>70.288858307915575</v>
      </c>
      <c r="H130">
        <v>65.698507687216932</v>
      </c>
      <c r="J130">
        <v>69.044629797484717</v>
      </c>
      <c r="L130">
        <v>3.4874339966144543</v>
      </c>
      <c r="M130">
        <v>14.677160043560754</v>
      </c>
      <c r="N130">
        <v>2.1251552904283422</v>
      </c>
      <c r="O130">
        <v>19.116958409575034</v>
      </c>
      <c r="P130">
        <v>7.579722196099234</v>
      </c>
      <c r="R130">
        <v>13.116181589791456</v>
      </c>
      <c r="S130">
        <v>43.737449428394768</v>
      </c>
      <c r="U130">
        <v>2.4159057526490719</v>
      </c>
      <c r="V130">
        <v>47.115654842274388</v>
      </c>
      <c r="W130">
        <v>26.249108546753586</v>
      </c>
      <c r="X130">
        <v>43.439785888276461</v>
      </c>
      <c r="Y130">
        <v>4.536499425125931</v>
      </c>
      <c r="Z130">
        <v>23.784188099752217</v>
      </c>
      <c r="AA130">
        <v>2.6544433313019256</v>
      </c>
      <c r="AB130">
        <v>35.121739657818182</v>
      </c>
      <c r="AD130">
        <v>3.5684869828537087</v>
      </c>
      <c r="AE130">
        <v>10.572269698387368</v>
      </c>
      <c r="AF130">
        <v>14.287753234261828</v>
      </c>
      <c r="AG130">
        <v>20.754621983588493</v>
      </c>
      <c r="AH130">
        <v>0.31954616735965197</v>
      </c>
      <c r="AI130">
        <v>2.0599385694867491</v>
      </c>
      <c r="AK130">
        <v>56.533331098714939</v>
      </c>
    </row>
    <row r="131" spans="1:37" x14ac:dyDescent="0.2">
      <c r="A131">
        <v>130</v>
      </c>
      <c r="B131">
        <v>762</v>
      </c>
      <c r="C131">
        <v>155</v>
      </c>
      <c r="D131">
        <v>0.433869970535674</v>
      </c>
      <c r="E131">
        <v>130.56779195254694</v>
      </c>
      <c r="F131">
        <v>48.961137927331194</v>
      </c>
      <c r="G131">
        <v>70.615362449087158</v>
      </c>
      <c r="H131">
        <v>66.022490882180591</v>
      </c>
      <c r="J131">
        <v>59.707875653531609</v>
      </c>
      <c r="L131">
        <v>1.8057786464885575</v>
      </c>
      <c r="M131">
        <v>14.514242311714536</v>
      </c>
      <c r="N131">
        <v>2.1271670642617599</v>
      </c>
      <c r="O131">
        <v>9.5440388911720202</v>
      </c>
      <c r="P131">
        <v>8.2561387522694343</v>
      </c>
      <c r="R131">
        <v>11.393780846977359</v>
      </c>
      <c r="S131">
        <v>37.883774450698347</v>
      </c>
      <c r="U131">
        <v>2.4695956225560183</v>
      </c>
      <c r="V131">
        <v>46.670386742893903</v>
      </c>
      <c r="W131">
        <v>25.947768297094964</v>
      </c>
      <c r="X131">
        <v>43.63333635953007</v>
      </c>
      <c r="Y131">
        <v>3.5834813124967404</v>
      </c>
      <c r="Z131">
        <v>21.282505865699793</v>
      </c>
      <c r="AA131">
        <v>0.62406107309368231</v>
      </c>
      <c r="AB131">
        <v>32.963703805488372</v>
      </c>
      <c r="AD131">
        <v>2.2506344534161453</v>
      </c>
      <c r="AE131">
        <v>8.8975798307693417</v>
      </c>
      <c r="AF131">
        <v>14.123736831383493</v>
      </c>
      <c r="AG131">
        <v>18.581775610275621</v>
      </c>
      <c r="AI131">
        <v>2.0616735986455086</v>
      </c>
      <c r="AK131">
        <v>50.494542282154903</v>
      </c>
    </row>
    <row r="132" spans="1:37" x14ac:dyDescent="0.2">
      <c r="A132">
        <v>131</v>
      </c>
      <c r="B132">
        <v>761</v>
      </c>
      <c r="C132">
        <v>155</v>
      </c>
      <c r="D132">
        <v>0.43325484697577799</v>
      </c>
      <c r="E132">
        <v>130.8766494403547</v>
      </c>
      <c r="F132">
        <v>48.517373684731702</v>
      </c>
      <c r="G132">
        <v>70.762252005432458</v>
      </c>
      <c r="H132">
        <v>66.166872410519701</v>
      </c>
      <c r="J132">
        <v>51.87794579988276</v>
      </c>
      <c r="L132">
        <v>1.5207882030892141</v>
      </c>
      <c r="M132">
        <v>14.198840688971186</v>
      </c>
      <c r="N132">
        <v>2.1291719916019516</v>
      </c>
      <c r="O132">
        <v>7.8060820120205303</v>
      </c>
      <c r="P132">
        <v>8.57332689047802</v>
      </c>
      <c r="R132">
        <v>10.934454166027539</v>
      </c>
      <c r="S132">
        <v>36.724827116938563</v>
      </c>
      <c r="U132">
        <v>2.4820368044205496</v>
      </c>
      <c r="V132">
        <v>46.858182338086181</v>
      </c>
      <c r="W132">
        <v>25.52472700716153</v>
      </c>
      <c r="X132">
        <v>43.708477803053796</v>
      </c>
      <c r="Y132">
        <v>3.2709989750955546</v>
      </c>
      <c r="Z132">
        <v>18.535419937599457</v>
      </c>
      <c r="AB132">
        <v>31.335376550888483</v>
      </c>
      <c r="AD132">
        <v>0.85722601698987855</v>
      </c>
      <c r="AE132">
        <v>7.2476309696791095</v>
      </c>
      <c r="AF132">
        <v>13.80722998340492</v>
      </c>
      <c r="AG132">
        <v>16.938633474347235</v>
      </c>
      <c r="AI132">
        <v>2.0634009614356486</v>
      </c>
      <c r="AK132">
        <v>45.291945701955946</v>
      </c>
    </row>
    <row r="133" spans="1:37" x14ac:dyDescent="0.2">
      <c r="A133">
        <v>132</v>
      </c>
      <c r="B133">
        <v>760</v>
      </c>
      <c r="C133">
        <v>155</v>
      </c>
      <c r="D133">
        <v>0.43263853264288998</v>
      </c>
      <c r="E133">
        <v>131.12950069682094</v>
      </c>
      <c r="F133">
        <v>48.492583459667792</v>
      </c>
      <c r="G133">
        <v>70.844218345935872</v>
      </c>
      <c r="H133">
        <v>66.246343661815814</v>
      </c>
      <c r="J133">
        <v>46.644620698437272</v>
      </c>
      <c r="L133">
        <v>1.5413799145550255</v>
      </c>
      <c r="M133">
        <v>13.822852919003308</v>
      </c>
      <c r="N133">
        <v>2.1311739690406357</v>
      </c>
      <c r="O133">
        <v>7.6194463093105904</v>
      </c>
      <c r="P133">
        <v>8.7606732676400547</v>
      </c>
      <c r="R133">
        <v>10.709272217792881</v>
      </c>
      <c r="S133">
        <v>36.778697990260895</v>
      </c>
      <c r="U133">
        <v>2.4733149647095245</v>
      </c>
      <c r="V133">
        <v>47.284076949359942</v>
      </c>
      <c r="W133">
        <v>25.056123117746782</v>
      </c>
      <c r="X133">
        <v>43.722982476107752</v>
      </c>
      <c r="Y133">
        <v>3.1016491496502465</v>
      </c>
      <c r="Z133">
        <v>16.984881893501605</v>
      </c>
      <c r="AB133">
        <v>30.656887889452118</v>
      </c>
      <c r="AD133">
        <v>4.3083007648308747E-2</v>
      </c>
      <c r="AE133">
        <v>6.323437402057472</v>
      </c>
      <c r="AF133">
        <v>13.430134336125743</v>
      </c>
      <c r="AG133">
        <v>16.245329473647576</v>
      </c>
      <c r="AI133">
        <v>2.0651245526110396</v>
      </c>
      <c r="AK133">
        <v>41.745688520820948</v>
      </c>
    </row>
    <row r="134" spans="1:37" x14ac:dyDescent="0.2">
      <c r="A134">
        <v>133</v>
      </c>
      <c r="B134">
        <v>759</v>
      </c>
      <c r="C134">
        <v>155</v>
      </c>
      <c r="D134">
        <v>0.43202102407596099</v>
      </c>
      <c r="E134">
        <v>131.26108388714215</v>
      </c>
      <c r="F134">
        <v>49.128575370327496</v>
      </c>
      <c r="G134">
        <v>70.789800752674438</v>
      </c>
      <c r="H134">
        <v>66.189443938783569</v>
      </c>
      <c r="J134">
        <v>42.747548873886323</v>
      </c>
      <c r="L134">
        <v>1.5507373731355838</v>
      </c>
      <c r="M134">
        <v>13.402955191457954</v>
      </c>
      <c r="N134">
        <v>2.13316811700876</v>
      </c>
      <c r="O134">
        <v>7.6327907128208281</v>
      </c>
      <c r="P134">
        <v>8.6752515907570604</v>
      </c>
      <c r="R134">
        <v>10.328972734561718</v>
      </c>
      <c r="S134">
        <v>37.075092628615231</v>
      </c>
      <c r="U134">
        <v>2.4577583325899655</v>
      </c>
      <c r="V134">
        <v>47.791365349322561</v>
      </c>
      <c r="W134">
        <v>24.548440608069647</v>
      </c>
      <c r="X134">
        <v>43.718097634559513</v>
      </c>
      <c r="Y134">
        <v>2.8393905150616732</v>
      </c>
      <c r="Z134">
        <v>17.660151451713343</v>
      </c>
      <c r="AB134">
        <v>31.385897408531118</v>
      </c>
      <c r="AE134">
        <v>6.7117227978023113</v>
      </c>
      <c r="AF134">
        <v>13.009121205172203</v>
      </c>
      <c r="AG134">
        <v>16.959518321799866</v>
      </c>
      <c r="AI134">
        <v>2.0668394907655951</v>
      </c>
      <c r="AK134">
        <v>39.058559465584487</v>
      </c>
    </row>
    <row r="135" spans="1:37" x14ac:dyDescent="0.2">
      <c r="A135">
        <v>134</v>
      </c>
      <c r="B135">
        <v>783</v>
      </c>
      <c r="C135">
        <v>135</v>
      </c>
      <c r="D135">
        <v>0.46734886143066801</v>
      </c>
      <c r="E135">
        <v>122.08244391248658</v>
      </c>
      <c r="F135">
        <v>66.730160778977634</v>
      </c>
      <c r="G135">
        <v>73.335687086757034</v>
      </c>
      <c r="H135">
        <v>68.797755213158908</v>
      </c>
      <c r="J135">
        <v>74.949663589203055</v>
      </c>
      <c r="L135">
        <v>8.4781028030158261</v>
      </c>
      <c r="M135">
        <v>14.983079949074767</v>
      </c>
      <c r="N135">
        <v>2.1241244037979405</v>
      </c>
      <c r="O135">
        <v>40.074314795208004</v>
      </c>
      <c r="P135">
        <v>13.133227661215431</v>
      </c>
      <c r="Q135">
        <v>4.5586474929113011E-2</v>
      </c>
      <c r="R135">
        <v>21.102169472456286</v>
      </c>
      <c r="S135">
        <v>55.651425698838928</v>
      </c>
      <c r="U135">
        <v>3.1571372312982349</v>
      </c>
      <c r="V135">
        <v>47.835801409409861</v>
      </c>
      <c r="W135">
        <v>30.370730977085351</v>
      </c>
      <c r="X135">
        <v>43.034935120682675</v>
      </c>
      <c r="Y135">
        <v>9.8188096021714255</v>
      </c>
      <c r="Z135">
        <v>35.230857521000182</v>
      </c>
      <c r="AA135">
        <v>7.7650575768888226</v>
      </c>
      <c r="AB135">
        <v>40.053009848091584</v>
      </c>
      <c r="AC135">
        <v>0.11167214740269193</v>
      </c>
      <c r="AD135">
        <v>10.167109484510336</v>
      </c>
      <c r="AE135">
        <v>15.564231119505711</v>
      </c>
      <c r="AF135">
        <v>14.716679446072996</v>
      </c>
      <c r="AG135">
        <v>26.107487816441363</v>
      </c>
      <c r="AH135">
        <v>7.9811323979558191</v>
      </c>
      <c r="AI135">
        <v>2.0619081012397427</v>
      </c>
      <c r="AK135">
        <v>59.775266538929252</v>
      </c>
    </row>
    <row r="136" spans="1:37" x14ac:dyDescent="0.2">
      <c r="A136">
        <v>135</v>
      </c>
      <c r="B136">
        <v>782</v>
      </c>
      <c r="C136">
        <v>135</v>
      </c>
      <c r="D136">
        <v>0.466777709330429</v>
      </c>
      <c r="E136">
        <v>121.98211707208262</v>
      </c>
      <c r="F136">
        <v>66.41350423111227</v>
      </c>
      <c r="G136">
        <v>73.280743284048526</v>
      </c>
      <c r="H136">
        <v>68.740028183636738</v>
      </c>
      <c r="J136">
        <v>74.880581896985944</v>
      </c>
      <c r="L136">
        <v>8.4007554160062288</v>
      </c>
      <c r="M136">
        <v>14.9426213310674</v>
      </c>
      <c r="N136">
        <v>2.1170261845323557</v>
      </c>
      <c r="O136">
        <v>39.692851192347625</v>
      </c>
      <c r="P136">
        <v>13.037483395859809</v>
      </c>
      <c r="R136">
        <v>20.928938414858351</v>
      </c>
      <c r="S136">
        <v>55.325974609448778</v>
      </c>
      <c r="U136">
        <v>3.1012418486216125</v>
      </c>
      <c r="V136">
        <v>47.772680472111809</v>
      </c>
      <c r="W136">
        <v>30.208290530024087</v>
      </c>
      <c r="X136">
        <v>42.915282864526404</v>
      </c>
      <c r="Y136">
        <v>9.7380853840572961</v>
      </c>
      <c r="Z136">
        <v>35.055970472704466</v>
      </c>
      <c r="AA136">
        <v>7.6848672371150313</v>
      </c>
      <c r="AB136">
        <v>39.945361533145487</v>
      </c>
      <c r="AC136">
        <v>0.10258417652352474</v>
      </c>
      <c r="AD136">
        <v>10.073064256491074</v>
      </c>
      <c r="AE136">
        <v>15.483669163146871</v>
      </c>
      <c r="AF136">
        <v>14.666004530356943</v>
      </c>
      <c r="AG136">
        <v>25.975896765368319</v>
      </c>
      <c r="AH136">
        <v>7.8702746707523996</v>
      </c>
      <c r="AI136">
        <v>2.0545500518983761</v>
      </c>
      <c r="AK136">
        <v>59.764210791081247</v>
      </c>
    </row>
    <row r="137" spans="1:37" x14ac:dyDescent="0.2">
      <c r="A137">
        <v>136</v>
      </c>
      <c r="B137">
        <v>781</v>
      </c>
      <c r="C137">
        <v>135</v>
      </c>
      <c r="D137">
        <v>0.46620547360432502</v>
      </c>
      <c r="E137">
        <v>121.87713751556996</v>
      </c>
      <c r="F137">
        <v>65.981756074248054</v>
      </c>
      <c r="G137">
        <v>73.203820317195976</v>
      </c>
      <c r="H137">
        <v>68.660334506313092</v>
      </c>
      <c r="J137">
        <v>74.827960006370759</v>
      </c>
      <c r="L137">
        <v>8.2792712007710367</v>
      </c>
      <c r="M137">
        <v>14.961292933145877</v>
      </c>
      <c r="N137">
        <v>2.100405407237961</v>
      </c>
      <c r="O137">
        <v>39.119953302858242</v>
      </c>
      <c r="P137">
        <v>12.888265405313335</v>
      </c>
      <c r="R137">
        <v>20.766808280878916</v>
      </c>
      <c r="S137">
        <v>55.221081435352268</v>
      </c>
      <c r="U137">
        <v>3.0917517581834919</v>
      </c>
      <c r="V137">
        <v>47.816101422055134</v>
      </c>
      <c r="W137">
        <v>30.100607696421086</v>
      </c>
      <c r="X137">
        <v>42.94817197152399</v>
      </c>
      <c r="Y137">
        <v>9.6083111601046411</v>
      </c>
      <c r="Z137">
        <v>34.817124104618493</v>
      </c>
      <c r="AA137">
        <v>7.55781034200397</v>
      </c>
      <c r="AB137">
        <v>39.927747598025547</v>
      </c>
      <c r="AC137">
        <v>8.3973801739188947E-2</v>
      </c>
      <c r="AD137">
        <v>9.9419742120038759</v>
      </c>
      <c r="AE137">
        <v>15.382297520836349</v>
      </c>
      <c r="AF137">
        <v>14.664937465688425</v>
      </c>
      <c r="AG137">
        <v>25.924819909598007</v>
      </c>
      <c r="AH137">
        <v>7.7011910960975358</v>
      </c>
      <c r="AI137">
        <v>2.0376686612982544</v>
      </c>
      <c r="AK137">
        <v>59.727142667752751</v>
      </c>
    </row>
    <row r="138" spans="1:37" x14ac:dyDescent="0.2">
      <c r="A138">
        <v>137</v>
      </c>
      <c r="B138">
        <v>780</v>
      </c>
      <c r="C138">
        <v>135</v>
      </c>
      <c r="D138">
        <v>0.46563215116555001</v>
      </c>
      <c r="E138">
        <v>121.77262597770724</v>
      </c>
      <c r="F138">
        <v>65.551064643051191</v>
      </c>
      <c r="G138">
        <v>73.12691970633125</v>
      </c>
      <c r="H138">
        <v>68.580675721143052</v>
      </c>
      <c r="J138">
        <v>74.77434366074111</v>
      </c>
      <c r="L138">
        <v>8.1574488087427266</v>
      </c>
      <c r="M138">
        <v>14.980173263341761</v>
      </c>
      <c r="N138">
        <v>2.083747165229656</v>
      </c>
      <c r="O138">
        <v>38.547145646846829</v>
      </c>
      <c r="P138">
        <v>12.739061844317481</v>
      </c>
      <c r="R138">
        <v>20.603596435406828</v>
      </c>
      <c r="S138">
        <v>55.111992426046228</v>
      </c>
      <c r="U138">
        <v>3.082726424219933</v>
      </c>
      <c r="V138">
        <v>47.857881093034152</v>
      </c>
      <c r="W138">
        <v>29.993701488869664</v>
      </c>
      <c r="X138">
        <v>42.98266344304816</v>
      </c>
      <c r="Y138">
        <v>9.4784993625949525</v>
      </c>
      <c r="Z138">
        <v>34.578495107012579</v>
      </c>
      <c r="AA138">
        <v>7.4306468525923552</v>
      </c>
      <c r="AB138">
        <v>39.90779625714088</v>
      </c>
      <c r="AC138">
        <v>6.5326115927328177E-2</v>
      </c>
      <c r="AD138">
        <v>9.8108047661801105</v>
      </c>
      <c r="AE138">
        <v>15.281048282005941</v>
      </c>
      <c r="AF138">
        <v>14.664041858706833</v>
      </c>
      <c r="AG138">
        <v>25.871370562319207</v>
      </c>
      <c r="AH138">
        <v>7.5319936550953566</v>
      </c>
      <c r="AI138">
        <v>2.0207490209267891</v>
      </c>
      <c r="AK138">
        <v>59.690193682143523</v>
      </c>
    </row>
    <row r="139" spans="1:37" x14ac:dyDescent="0.2">
      <c r="A139">
        <v>138</v>
      </c>
      <c r="B139">
        <v>779</v>
      </c>
      <c r="C139">
        <v>135</v>
      </c>
      <c r="D139">
        <v>0.46505773891555402</v>
      </c>
      <c r="E139">
        <v>121.66858464379727</v>
      </c>
      <c r="F139">
        <v>65.121465277718329</v>
      </c>
      <c r="G139">
        <v>73.050052041298855</v>
      </c>
      <c r="H139">
        <v>68.501062437832971</v>
      </c>
      <c r="J139">
        <v>74.719731113098248</v>
      </c>
      <c r="L139">
        <v>8.0353150381203591</v>
      </c>
      <c r="M139">
        <v>14.999247532140801</v>
      </c>
      <c r="N139">
        <v>2.0670531276378443</v>
      </c>
      <c r="O139">
        <v>37.974493680763146</v>
      </c>
      <c r="P139">
        <v>12.589895582915537</v>
      </c>
      <c r="R139">
        <v>20.439345257255386</v>
      </c>
      <c r="S139">
        <v>54.998667764572566</v>
      </c>
      <c r="U139">
        <v>3.0741503083155739</v>
      </c>
      <c r="V139">
        <v>47.898010715303734</v>
      </c>
      <c r="W139">
        <v>29.887567364528071</v>
      </c>
      <c r="X139">
        <v>43.018710402626859</v>
      </c>
      <c r="Y139">
        <v>9.3486705533111873</v>
      </c>
      <c r="Z139">
        <v>34.340091529633675</v>
      </c>
      <c r="AA139">
        <v>7.3033955156973533</v>
      </c>
      <c r="AB139">
        <v>39.88548022791587</v>
      </c>
      <c r="AC139">
        <v>4.6642787781905844E-2</v>
      </c>
      <c r="AD139">
        <v>9.6795657489013962</v>
      </c>
      <c r="AE139">
        <v>15.179917279668501</v>
      </c>
      <c r="AF139">
        <v>14.663304594329768</v>
      </c>
      <c r="AG139">
        <v>25.815523115571384</v>
      </c>
      <c r="AH139">
        <v>7.3627119282596638</v>
      </c>
      <c r="AI139">
        <v>2.0037927980868968</v>
      </c>
      <c r="AK139">
        <v>59.653370432622786</v>
      </c>
    </row>
    <row r="140" spans="1:37" x14ac:dyDescent="0.2">
      <c r="A140">
        <v>139</v>
      </c>
      <c r="B140">
        <v>778</v>
      </c>
      <c r="C140">
        <v>135</v>
      </c>
      <c r="D140">
        <v>0.464482233743996</v>
      </c>
      <c r="E140">
        <v>121.56501533725232</v>
      </c>
      <c r="F140">
        <v>64.692992092323436</v>
      </c>
      <c r="G140">
        <v>72.973227795909196</v>
      </c>
      <c r="H140">
        <v>68.421505150092344</v>
      </c>
      <c r="J140">
        <v>74.664122908015131</v>
      </c>
      <c r="L140">
        <v>7.9128964171531591</v>
      </c>
      <c r="M140">
        <v>15.018500775537792</v>
      </c>
      <c r="N140">
        <v>2.0503249760336542</v>
      </c>
      <c r="O140">
        <v>37.402062209846456</v>
      </c>
      <c r="P140">
        <v>12.440789271577762</v>
      </c>
      <c r="R140">
        <v>20.274097318949902</v>
      </c>
      <c r="S140">
        <v>54.881076886875576</v>
      </c>
      <c r="U140">
        <v>3.066007532045381</v>
      </c>
      <c r="V140">
        <v>47.936484489564776</v>
      </c>
      <c r="W140">
        <v>29.782200215011478</v>
      </c>
      <c r="X140">
        <v>43.056264950659148</v>
      </c>
      <c r="Y140">
        <v>9.2188451186093978</v>
      </c>
      <c r="Z140">
        <v>34.101920930927484</v>
      </c>
      <c r="AA140">
        <v>7.1761437077996382</v>
      </c>
      <c r="AB140">
        <v>39.860777090412398</v>
      </c>
      <c r="AC140">
        <v>2.792549843714311E-2</v>
      </c>
      <c r="AD140">
        <v>9.5482667034354876</v>
      </c>
      <c r="AE140">
        <v>15.078900167620159</v>
      </c>
      <c r="AF140">
        <v>14.662712395439131</v>
      </c>
      <c r="AG140">
        <v>25.757256836488175</v>
      </c>
      <c r="AH140">
        <v>7.1933752183035748</v>
      </c>
      <c r="AI140">
        <v>1.9868016725214031</v>
      </c>
      <c r="AK140">
        <v>59.616679364382357</v>
      </c>
    </row>
    <row r="141" spans="1:37" x14ac:dyDescent="0.2">
      <c r="A141">
        <v>140</v>
      </c>
      <c r="B141">
        <v>777</v>
      </c>
      <c r="C141">
        <v>135</v>
      </c>
      <c r="D141">
        <v>0.46390563252868899</v>
      </c>
      <c r="E141">
        <v>121.46191952877588</v>
      </c>
      <c r="F141">
        <v>64.265677874892191</v>
      </c>
      <c r="G141">
        <v>72.896457295015608</v>
      </c>
      <c r="H141">
        <v>68.342014202711795</v>
      </c>
      <c r="J141">
        <v>74.607521752725972</v>
      </c>
      <c r="L141">
        <v>7.7902191285733027</v>
      </c>
      <c r="M141">
        <v>15.037917905143566</v>
      </c>
      <c r="N141">
        <v>2.0335643944374762</v>
      </c>
      <c r="O141">
        <v>36.829915156037501</v>
      </c>
      <c r="P141">
        <v>12.291765265371234</v>
      </c>
      <c r="R141">
        <v>20.107895200973982</v>
      </c>
      <c r="S141">
        <v>54.759198141275242</v>
      </c>
      <c r="U141">
        <v>3.0582819439186899</v>
      </c>
      <c r="V141">
        <v>47.973299442123562</v>
      </c>
      <c r="W141">
        <v>29.677594424755132</v>
      </c>
      <c r="X141">
        <v>43.09527837836221</v>
      </c>
      <c r="Y141">
        <v>9.0890432009666196</v>
      </c>
      <c r="Z141">
        <v>33.863990333238348</v>
      </c>
      <c r="AA141">
        <v>7.0487675625304256</v>
      </c>
      <c r="AB141">
        <v>39.833669125005201</v>
      </c>
      <c r="AC141">
        <v>9.1759314753589102E-3</v>
      </c>
      <c r="AD141">
        <v>9.4169168497907627</v>
      </c>
      <c r="AE141">
        <v>14.977992420892582</v>
      </c>
      <c r="AF141">
        <v>14.662251862991575</v>
      </c>
      <c r="AG141">
        <v>25.69655569498174</v>
      </c>
      <c r="AH141">
        <v>7.0240124567498556</v>
      </c>
      <c r="AI141">
        <v>1.9697773264219296</v>
      </c>
      <c r="AK141">
        <v>59.580126737739022</v>
      </c>
    </row>
    <row r="142" spans="1:37" x14ac:dyDescent="0.2">
      <c r="A142">
        <v>141</v>
      </c>
      <c r="B142">
        <v>776</v>
      </c>
      <c r="C142">
        <v>135</v>
      </c>
      <c r="D142">
        <v>0.46332793213554102</v>
      </c>
      <c r="E142">
        <v>121.30404178084902</v>
      </c>
      <c r="F142">
        <v>63.542497733458355</v>
      </c>
      <c r="G142">
        <v>72.770283092897216</v>
      </c>
      <c r="H142">
        <v>68.213132169944529</v>
      </c>
      <c r="J142">
        <v>74.460875977438221</v>
      </c>
      <c r="L142">
        <v>7.5899316891559936</v>
      </c>
      <c r="M142">
        <v>15.056732845519541</v>
      </c>
      <c r="N142">
        <v>2.0261443333425513</v>
      </c>
      <c r="O142">
        <v>35.975507392831446</v>
      </c>
      <c r="P142">
        <v>12.053281644743235</v>
      </c>
      <c r="R142">
        <v>19.838895919994147</v>
      </c>
      <c r="S142">
        <v>54.516846566783734</v>
      </c>
      <c r="U142">
        <v>3.044219111430996</v>
      </c>
      <c r="V142">
        <v>48.008533865867996</v>
      </c>
      <c r="W142">
        <v>29.512794418120809</v>
      </c>
      <c r="X142">
        <v>43.107157549729848</v>
      </c>
      <c r="Y142">
        <v>8.8679525165588142</v>
      </c>
      <c r="Z142">
        <v>33.465900465995375</v>
      </c>
      <c r="AA142">
        <v>6.8418319450303535</v>
      </c>
      <c r="AB142">
        <v>39.775632082490084</v>
      </c>
      <c r="AD142">
        <v>9.1855633158606373</v>
      </c>
      <c r="AE142">
        <v>14.820306429667982</v>
      </c>
      <c r="AF142">
        <v>14.670529877383235</v>
      </c>
      <c r="AG142">
        <v>25.614268397875158</v>
      </c>
      <c r="AH142">
        <v>6.7112074857440502</v>
      </c>
      <c r="AI142">
        <v>1.9620927084522508</v>
      </c>
      <c r="AK142">
        <v>59.47489168715763</v>
      </c>
    </row>
    <row r="143" spans="1:37" x14ac:dyDescent="0.2">
      <c r="A143">
        <v>142</v>
      </c>
      <c r="B143">
        <v>775</v>
      </c>
      <c r="C143">
        <v>135</v>
      </c>
      <c r="D143">
        <v>0.46274912941850099</v>
      </c>
      <c r="E143">
        <v>121.08819505986807</v>
      </c>
      <c r="F143">
        <v>62.495972078118882</v>
      </c>
      <c r="G143">
        <v>72.589730621309315</v>
      </c>
      <c r="H143">
        <v>68.029884503560439</v>
      </c>
      <c r="J143">
        <v>74.207321829359088</v>
      </c>
      <c r="L143">
        <v>7.302347454715215</v>
      </c>
      <c r="M143">
        <v>15.076557620783904</v>
      </c>
      <c r="N143">
        <v>2.0281254801098161</v>
      </c>
      <c r="O143">
        <v>34.806441778383025</v>
      </c>
      <c r="P143">
        <v>11.715449982022486</v>
      </c>
      <c r="R143">
        <v>19.451679969741551</v>
      </c>
      <c r="S143">
        <v>54.119291425931273</v>
      </c>
      <c r="U143">
        <v>3.0263869233128018</v>
      </c>
      <c r="V143">
        <v>48.034497153706269</v>
      </c>
      <c r="W143">
        <v>29.289004906694455</v>
      </c>
      <c r="X143">
        <v>43.099385997170046</v>
      </c>
      <c r="Y143">
        <v>8.5458102151374611</v>
      </c>
      <c r="Z143">
        <v>32.890561743388048</v>
      </c>
      <c r="AA143">
        <v>6.5461586220809549</v>
      </c>
      <c r="AB143">
        <v>39.670245257029841</v>
      </c>
      <c r="AD143">
        <v>8.8434947729632167</v>
      </c>
      <c r="AE143">
        <v>14.599538972077777</v>
      </c>
      <c r="AF143">
        <v>14.689219155442872</v>
      </c>
      <c r="AG143">
        <v>25.494034932245764</v>
      </c>
      <c r="AH143">
        <v>6.2401443690640797</v>
      </c>
      <c r="AI143">
        <v>1.9638085041430215</v>
      </c>
      <c r="AK143">
        <v>59.293104434011568</v>
      </c>
    </row>
    <row r="144" spans="1:37" x14ac:dyDescent="0.2">
      <c r="A144">
        <v>143</v>
      </c>
      <c r="B144">
        <v>774</v>
      </c>
      <c r="C144">
        <v>135</v>
      </c>
      <c r="D144">
        <v>0.46216922121950399</v>
      </c>
      <c r="E144">
        <v>120.86749681757219</v>
      </c>
      <c r="F144">
        <v>61.404364787260945</v>
      </c>
      <c r="G144">
        <v>72.401116674611075</v>
      </c>
      <c r="H144">
        <v>67.838588017969116</v>
      </c>
      <c r="J144">
        <v>73.924110342995476</v>
      </c>
      <c r="L144">
        <v>6.9985531019879925</v>
      </c>
      <c r="M144">
        <v>15.098818585406859</v>
      </c>
      <c r="N144">
        <v>2.0301056980750145</v>
      </c>
      <c r="O144">
        <v>33.583962498070086</v>
      </c>
      <c r="P144">
        <v>11.361501750774554</v>
      </c>
      <c r="R144">
        <v>19.038317552850348</v>
      </c>
      <c r="S144">
        <v>53.659137540710809</v>
      </c>
      <c r="U144">
        <v>3.0128630457080749</v>
      </c>
      <c r="V144">
        <v>48.046059743049121</v>
      </c>
      <c r="W144">
        <v>29.068085247896605</v>
      </c>
      <c r="X144">
        <v>43.104472697028314</v>
      </c>
      <c r="Y144">
        <v>8.2076626560386163</v>
      </c>
      <c r="Z144">
        <v>32.285924279574253</v>
      </c>
      <c r="AA144">
        <v>6.2350750862076678</v>
      </c>
      <c r="AB144">
        <v>39.534361240654782</v>
      </c>
      <c r="AD144">
        <v>8.4831643665319643</v>
      </c>
      <c r="AE144">
        <v>14.367572884012482</v>
      </c>
      <c r="AF144">
        <v>14.71034392034073</v>
      </c>
      <c r="AG144">
        <v>25.343305759027867</v>
      </c>
      <c r="AH144">
        <v>5.7447655493236711</v>
      </c>
      <c r="AI144">
        <v>1.965522574999355</v>
      </c>
      <c r="AK144">
        <v>59.097941253941578</v>
      </c>
    </row>
    <row r="145" spans="1:37" x14ac:dyDescent="0.2">
      <c r="A145">
        <v>144</v>
      </c>
      <c r="B145">
        <v>773</v>
      </c>
      <c r="C145">
        <v>135</v>
      </c>
      <c r="D145">
        <v>0.46158820436839998</v>
      </c>
      <c r="E145">
        <v>120.63917301359228</v>
      </c>
      <c r="F145">
        <v>60.245072191782008</v>
      </c>
      <c r="G145">
        <v>72.200925680567593</v>
      </c>
      <c r="H145">
        <v>67.635727161025244</v>
      </c>
      <c r="J145">
        <v>73.597991791593159</v>
      </c>
      <c r="L145">
        <v>6.6718763948846131</v>
      </c>
      <c r="M145">
        <v>15.123672393628963</v>
      </c>
      <c r="N145">
        <v>2.0320847515661535</v>
      </c>
      <c r="O145">
        <v>32.283891462943643</v>
      </c>
      <c r="P145">
        <v>10.984405592432605</v>
      </c>
      <c r="R145">
        <v>18.588195827097493</v>
      </c>
      <c r="S145">
        <v>53.111685772127473</v>
      </c>
      <c r="U145">
        <v>3.0044600876248961</v>
      </c>
      <c r="V145">
        <v>48.038368774612053</v>
      </c>
      <c r="W145">
        <v>28.850330239066441</v>
      </c>
      <c r="X145">
        <v>43.124796662014042</v>
      </c>
      <c r="Y145">
        <v>7.846466682719373</v>
      </c>
      <c r="Z145">
        <v>31.636578981828166</v>
      </c>
      <c r="AA145">
        <v>5.9018609475325352</v>
      </c>
      <c r="AB145">
        <v>39.355567964871248</v>
      </c>
      <c r="AD145">
        <v>8.0955396635262833</v>
      </c>
      <c r="AE145">
        <v>14.117899735781133</v>
      </c>
      <c r="AF145">
        <v>14.734060596018766</v>
      </c>
      <c r="AG145">
        <v>25.149668579645489</v>
      </c>
      <c r="AH145">
        <v>5.2143849909131132</v>
      </c>
      <c r="AI145">
        <v>1.9672346835182781</v>
      </c>
      <c r="AK145">
        <v>58.882537010767571</v>
      </c>
    </row>
    <row r="146" spans="1:37" x14ac:dyDescent="0.2">
      <c r="A146">
        <v>145</v>
      </c>
      <c r="B146">
        <v>772</v>
      </c>
      <c r="C146">
        <v>135</v>
      </c>
      <c r="D146">
        <v>0.46100607568291702</v>
      </c>
      <c r="E146">
        <v>120.39749447963005</v>
      </c>
      <c r="F146">
        <v>58.971553953637773</v>
      </c>
      <c r="G146">
        <v>71.981983046574953</v>
      </c>
      <c r="H146">
        <v>67.414127360253559</v>
      </c>
      <c r="J146">
        <v>73.20189360298474</v>
      </c>
      <c r="L146">
        <v>6.3081854106289104</v>
      </c>
      <c r="M146">
        <v>15.151167129049876</v>
      </c>
      <c r="N146">
        <v>2.0340621895583797</v>
      </c>
      <c r="O146">
        <v>30.856800728202149</v>
      </c>
      <c r="P146">
        <v>10.569811892393661</v>
      </c>
      <c r="R146">
        <v>18.079244746305342</v>
      </c>
      <c r="S146">
        <v>52.427090300443041</v>
      </c>
      <c r="U146">
        <v>3.0026367288907396</v>
      </c>
      <c r="V146">
        <v>48.001613324041209</v>
      </c>
      <c r="W146">
        <v>28.636243052897093</v>
      </c>
      <c r="X146">
        <v>43.164595685193085</v>
      </c>
      <c r="Y146">
        <v>7.4478403856010411</v>
      </c>
      <c r="Z146">
        <v>30.910613622212626</v>
      </c>
      <c r="AA146">
        <v>5.532674222748625</v>
      </c>
      <c r="AB146">
        <v>39.108795485347343</v>
      </c>
      <c r="AD146">
        <v>7.66195800842506</v>
      </c>
      <c r="AE146">
        <v>13.836962176327829</v>
      </c>
      <c r="AF146">
        <v>14.760416820442039</v>
      </c>
      <c r="AG146">
        <v>24.88805300434263</v>
      </c>
      <c r="AH146">
        <v>4.6271345935036621</v>
      </c>
      <c r="AI146">
        <v>1.9689443768431416</v>
      </c>
      <c r="AK146">
        <v>58.632681061009947</v>
      </c>
    </row>
    <row r="147" spans="1:37" x14ac:dyDescent="0.2">
      <c r="A147">
        <v>146</v>
      </c>
      <c r="B147">
        <v>771</v>
      </c>
      <c r="C147">
        <v>135</v>
      </c>
      <c r="D147">
        <v>0.46042283196858502</v>
      </c>
      <c r="E147">
        <v>120.1270157030132</v>
      </c>
      <c r="F147">
        <v>57.458856304569807</v>
      </c>
      <c r="G147">
        <v>71.72527037626736</v>
      </c>
      <c r="H147">
        <v>67.154770239453754</v>
      </c>
      <c r="J147">
        <v>72.663379430157548</v>
      </c>
      <c r="L147">
        <v>5.8703947144374578</v>
      </c>
      <c r="M147">
        <v>15.180502595902754</v>
      </c>
      <c r="N147">
        <v>2.0360368992434514</v>
      </c>
      <c r="O147">
        <v>29.171260972826154</v>
      </c>
      <c r="P147">
        <v>10.079682766811397</v>
      </c>
      <c r="R147">
        <v>17.451767387980386</v>
      </c>
      <c r="S147">
        <v>51.47328526183329</v>
      </c>
      <c r="U147">
        <v>3.0105520921092848</v>
      </c>
      <c r="V147">
        <v>47.909677873249436</v>
      </c>
      <c r="W147">
        <v>28.426977088273031</v>
      </c>
      <c r="X147">
        <v>43.232930309511637</v>
      </c>
      <c r="Y147">
        <v>6.9736167282175536</v>
      </c>
      <c r="Z147">
        <v>30.021634806434641</v>
      </c>
      <c r="AA147">
        <v>5.0904076452545706</v>
      </c>
      <c r="AB147">
        <v>38.72747145016335</v>
      </c>
      <c r="AD147">
        <v>7.1320641115228618</v>
      </c>
      <c r="AE147">
        <v>13.487754847886743</v>
      </c>
      <c r="AF147">
        <v>14.78861129043271</v>
      </c>
      <c r="AG147">
        <v>24.491885574015356</v>
      </c>
      <c r="AH147">
        <v>3.92481174574259</v>
      </c>
      <c r="AI147">
        <v>1.9706505403330947</v>
      </c>
      <c r="AK147">
        <v>58.309938598577006</v>
      </c>
    </row>
    <row r="148" spans="1:37" x14ac:dyDescent="0.2">
      <c r="A148">
        <v>147</v>
      </c>
      <c r="B148">
        <v>770</v>
      </c>
      <c r="C148">
        <v>135</v>
      </c>
      <c r="D148">
        <v>0.45983847001869499</v>
      </c>
      <c r="E148">
        <v>119.4247858439179</v>
      </c>
      <c r="F148">
        <v>52.639132393519105</v>
      </c>
      <c r="G148">
        <v>70.994310153930925</v>
      </c>
      <c r="H148">
        <v>66.421178303118339</v>
      </c>
      <c r="J148">
        <v>70.452004875575312</v>
      </c>
      <c r="L148">
        <v>4.5037335638764491</v>
      </c>
      <c r="M148">
        <v>15.147505936423881</v>
      </c>
      <c r="N148">
        <v>2.0379903805136794</v>
      </c>
      <c r="O148">
        <v>24.152444802496568</v>
      </c>
      <c r="P148">
        <v>8.6410447058989579</v>
      </c>
      <c r="R148">
        <v>15.377350187546854</v>
      </c>
      <c r="S148">
        <v>47.975428826178103</v>
      </c>
      <c r="U148">
        <v>3.0305045202511698</v>
      </c>
      <c r="V148">
        <v>47.457138666799082</v>
      </c>
      <c r="W148">
        <v>28.252556038390196</v>
      </c>
      <c r="X148">
        <v>43.331166779959645</v>
      </c>
      <c r="Y148">
        <v>5.5419106049099964</v>
      </c>
      <c r="Z148">
        <v>26.811624769040712</v>
      </c>
      <c r="AA148">
        <v>3.7175594298161303</v>
      </c>
      <c r="AB148">
        <v>37.031211777443595</v>
      </c>
      <c r="AD148">
        <v>5.2650696054355564</v>
      </c>
      <c r="AE148">
        <v>12.117802096719741</v>
      </c>
      <c r="AF148">
        <v>14.754452653532114</v>
      </c>
      <c r="AG148">
        <v>22.780763712320745</v>
      </c>
      <c r="AH148">
        <v>1.7499013856834156</v>
      </c>
      <c r="AI148">
        <v>1.9723346720483037</v>
      </c>
      <c r="AK148">
        <v>56.969989057184279</v>
      </c>
    </row>
    <row r="149" spans="1:37" x14ac:dyDescent="0.2">
      <c r="A149">
        <v>148</v>
      </c>
      <c r="B149">
        <v>769</v>
      </c>
      <c r="C149">
        <v>135</v>
      </c>
      <c r="D149">
        <v>0.45925298661421299</v>
      </c>
      <c r="E149">
        <v>119.26383408005469</v>
      </c>
      <c r="F149">
        <v>50.035516675267068</v>
      </c>
      <c r="G149">
        <v>70.750088449499486</v>
      </c>
      <c r="H149">
        <v>66.174337641423946</v>
      </c>
      <c r="J149">
        <v>64.713742827714739</v>
      </c>
      <c r="L149">
        <v>3.0440065086175854</v>
      </c>
      <c r="M149">
        <v>15.065541584601489</v>
      </c>
      <c r="N149">
        <v>2.0399699825826865</v>
      </c>
      <c r="O149">
        <v>17.108939023083426</v>
      </c>
      <c r="P149">
        <v>8.1759172205494384</v>
      </c>
      <c r="R149">
        <v>13.471102454574622</v>
      </c>
      <c r="S149">
        <v>43.212987967794803</v>
      </c>
      <c r="U149">
        <v>3.0801741467019079</v>
      </c>
      <c r="V149">
        <v>46.879879782591594</v>
      </c>
      <c r="W149">
        <v>28.029382693399434</v>
      </c>
      <c r="X149">
        <v>43.513963298375586</v>
      </c>
      <c r="Y149">
        <v>4.3927057299587142</v>
      </c>
      <c r="Z149">
        <v>23.64429678612645</v>
      </c>
      <c r="AA149">
        <v>2.0764663045100025</v>
      </c>
      <c r="AB149">
        <v>34.767857892950829</v>
      </c>
      <c r="AD149">
        <v>3.5305586204031827</v>
      </c>
      <c r="AE149">
        <v>10.421127084198297</v>
      </c>
      <c r="AF149">
        <v>14.671352698367752</v>
      </c>
      <c r="AG149">
        <v>20.502576199892015</v>
      </c>
      <c r="AI149">
        <v>1.9740441193686165</v>
      </c>
      <c r="AK149">
        <v>53.358859213649389</v>
      </c>
    </row>
    <row r="150" spans="1:37" x14ac:dyDescent="0.2">
      <c r="A150">
        <v>149</v>
      </c>
      <c r="B150">
        <v>768</v>
      </c>
      <c r="C150">
        <v>135</v>
      </c>
      <c r="D150">
        <v>0.45866637852374798</v>
      </c>
      <c r="E150">
        <v>119.48702723260122</v>
      </c>
      <c r="F150">
        <v>49.73280351939092</v>
      </c>
      <c r="G150">
        <v>70.8711744337797</v>
      </c>
      <c r="H150">
        <v>66.2928174454605</v>
      </c>
      <c r="J150">
        <v>58.289624515820734</v>
      </c>
      <c r="L150">
        <v>1.6148347966645489</v>
      </c>
      <c r="M150">
        <v>14.909347836699199</v>
      </c>
      <c r="N150">
        <v>2.0419735993201162</v>
      </c>
      <c r="O150">
        <v>9.7518124385810125</v>
      </c>
      <c r="P150">
        <v>8.4414365681163197</v>
      </c>
      <c r="R150">
        <v>11.897353684153762</v>
      </c>
      <c r="S150">
        <v>38.607366627696869</v>
      </c>
      <c r="U150">
        <v>3.1118224768852185</v>
      </c>
      <c r="V150">
        <v>46.562408992753738</v>
      </c>
      <c r="W150">
        <v>27.747391230934291</v>
      </c>
      <c r="X150">
        <v>43.645035381845481</v>
      </c>
      <c r="Y150">
        <v>3.413131319008234</v>
      </c>
      <c r="Z150">
        <v>21.605880710066028</v>
      </c>
      <c r="AA150">
        <v>0.43923833964683578</v>
      </c>
      <c r="AB150">
        <v>33.203320113188184</v>
      </c>
      <c r="AD150">
        <v>2.4039727479288837</v>
      </c>
      <c r="AE150">
        <v>9.1610872075007137</v>
      </c>
      <c r="AF150">
        <v>14.514047620507849</v>
      </c>
      <c r="AG150">
        <v>18.923231252777434</v>
      </c>
      <c r="AI150">
        <v>1.9757767743300196</v>
      </c>
      <c r="AK150">
        <v>49.203053005179491</v>
      </c>
    </row>
    <row r="151" spans="1:37" x14ac:dyDescent="0.2">
      <c r="A151">
        <v>150</v>
      </c>
      <c r="B151">
        <v>767</v>
      </c>
      <c r="C151">
        <v>135</v>
      </c>
      <c r="D151">
        <v>0.45807864250348701</v>
      </c>
      <c r="E151">
        <v>119.78589848824011</v>
      </c>
      <c r="F151">
        <v>49.316543965887213</v>
      </c>
      <c r="G151">
        <v>71.005246971617481</v>
      </c>
      <c r="H151">
        <v>66.424296600395849</v>
      </c>
      <c r="J151">
        <v>51.175278774084987</v>
      </c>
      <c r="L151">
        <v>1.4893044786331084</v>
      </c>
      <c r="M151">
        <v>14.59343959302511</v>
      </c>
      <c r="N151">
        <v>2.0439797469723935</v>
      </c>
      <c r="O151">
        <v>8.8076362829468167</v>
      </c>
      <c r="P151">
        <v>8.7329390164690732</v>
      </c>
      <c r="R151">
        <v>11.582831535298906</v>
      </c>
      <c r="S151">
        <v>37.844653956515458</v>
      </c>
      <c r="U151">
        <v>3.1265140416711215</v>
      </c>
      <c r="V151">
        <v>46.758809724848696</v>
      </c>
      <c r="W151">
        <v>27.319136514903096</v>
      </c>
      <c r="X151">
        <v>43.727527267655653</v>
      </c>
      <c r="Y151">
        <v>3.1951800282160558</v>
      </c>
      <c r="Z151">
        <v>19.011649652913157</v>
      </c>
      <c r="AB151">
        <v>31.644085222754697</v>
      </c>
      <c r="AD151">
        <v>1.098922185222331</v>
      </c>
      <c r="AE151">
        <v>7.5971734762621432</v>
      </c>
      <c r="AF151">
        <v>14.197030841956105</v>
      </c>
      <c r="AG151">
        <v>17.349194177515152</v>
      </c>
      <c r="AI151">
        <v>1.9775111513449308</v>
      </c>
      <c r="AK151">
        <v>44.483998279295982</v>
      </c>
    </row>
    <row r="152" spans="1:37" x14ac:dyDescent="0.2">
      <c r="A152">
        <v>151</v>
      </c>
      <c r="B152">
        <v>766</v>
      </c>
      <c r="C152">
        <v>135</v>
      </c>
      <c r="D152">
        <v>0.45748977529712298</v>
      </c>
      <c r="E152">
        <v>120.0281166505716</v>
      </c>
      <c r="F152">
        <v>49.29476787165499</v>
      </c>
      <c r="G152">
        <v>71.081251968920952</v>
      </c>
      <c r="H152">
        <v>66.49772103249866</v>
      </c>
      <c r="J152">
        <v>46.367749776755431</v>
      </c>
      <c r="L152">
        <v>1.5081989081401843</v>
      </c>
      <c r="M152">
        <v>14.230706473714761</v>
      </c>
      <c r="N152">
        <v>2.0459836742298823</v>
      </c>
      <c r="O152">
        <v>8.6279625715690038</v>
      </c>
      <c r="P152">
        <v>8.9083116481034317</v>
      </c>
      <c r="R152">
        <v>11.357844044248477</v>
      </c>
      <c r="S152">
        <v>37.859547397752898</v>
      </c>
      <c r="U152">
        <v>3.1194758740336579</v>
      </c>
      <c r="V152">
        <v>47.156206595491355</v>
      </c>
      <c r="W152">
        <v>26.860009568114759</v>
      </c>
      <c r="X152">
        <v>43.747713410214082</v>
      </c>
      <c r="Y152">
        <v>3.0247474113591934</v>
      </c>
      <c r="Z152">
        <v>17.537453284889132</v>
      </c>
      <c r="AB152">
        <v>30.980441886479102</v>
      </c>
      <c r="AD152">
        <v>0.32331498031366285</v>
      </c>
      <c r="AE152">
        <v>6.7152498949947868</v>
      </c>
      <c r="AF152">
        <v>13.833187236998183</v>
      </c>
      <c r="AG152">
        <v>16.670748893335272</v>
      </c>
      <c r="AI152">
        <v>1.9792424972684268</v>
      </c>
      <c r="AK152">
        <v>41.231584570765619</v>
      </c>
    </row>
    <row r="153" spans="1:37" x14ac:dyDescent="0.2">
      <c r="A153">
        <v>152</v>
      </c>
      <c r="B153">
        <v>765</v>
      </c>
      <c r="C153">
        <v>135</v>
      </c>
      <c r="D153">
        <v>0.45689977363579698</v>
      </c>
      <c r="E153">
        <v>120.18461557219111</v>
      </c>
      <c r="F153">
        <v>49.732391245814213</v>
      </c>
      <c r="G153">
        <v>71.064279798583868</v>
      </c>
      <c r="H153">
        <v>66.478181135061945</v>
      </c>
      <c r="J153">
        <v>42.785520322490108</v>
      </c>
      <c r="L153">
        <v>1.5197059722011073</v>
      </c>
      <c r="M153">
        <v>13.838023227056809</v>
      </c>
      <c r="N153">
        <v>2.0479822538181303</v>
      </c>
      <c r="O153">
        <v>8.5778335302747024</v>
      </c>
      <c r="P153">
        <v>8.8977321035846</v>
      </c>
      <c r="R153">
        <v>11.031875702746433</v>
      </c>
      <c r="S153">
        <v>38.078789731591208</v>
      </c>
      <c r="U153">
        <v>3.1047509487480123</v>
      </c>
      <c r="V153">
        <v>47.625277701059574</v>
      </c>
      <c r="W153">
        <v>26.376499731195793</v>
      </c>
      <c r="X153">
        <v>43.746047053583197</v>
      </c>
      <c r="Y153">
        <v>2.7947254950255473</v>
      </c>
      <c r="Z153">
        <v>17.599814084045168</v>
      </c>
      <c r="AB153">
        <v>31.313262070323177</v>
      </c>
      <c r="AE153">
        <v>6.7430998733189291</v>
      </c>
      <c r="AF153">
        <v>13.439388432124579</v>
      </c>
      <c r="AG153">
        <v>16.988764244654725</v>
      </c>
      <c r="AI153">
        <v>1.9809676829916987</v>
      </c>
      <c r="AK153">
        <v>38.767105323473125</v>
      </c>
    </row>
    <row r="154" spans="1:37" x14ac:dyDescent="0.2">
      <c r="A154">
        <v>153</v>
      </c>
      <c r="B154">
        <v>794</v>
      </c>
      <c r="C154">
        <v>115</v>
      </c>
      <c r="D154">
        <v>0.49417654500304597</v>
      </c>
      <c r="E154">
        <v>111.31331902190604</v>
      </c>
      <c r="F154">
        <v>69.165306292224187</v>
      </c>
      <c r="G154">
        <v>73.885827233628063</v>
      </c>
      <c r="H154">
        <v>69.378746624742789</v>
      </c>
      <c r="J154">
        <v>75.304773408682408</v>
      </c>
      <c r="L154">
        <v>9.0619758197772349</v>
      </c>
      <c r="M154">
        <v>15.37758749054804</v>
      </c>
      <c r="N154">
        <v>2.0768352743077534</v>
      </c>
      <c r="O154">
        <v>44.244625613967514</v>
      </c>
      <c r="P154">
        <v>13.840356750932793</v>
      </c>
      <c r="Q154">
        <v>1.3829954385314678E-2</v>
      </c>
      <c r="R154">
        <v>22.738455311312674</v>
      </c>
      <c r="S154">
        <v>58.946425464056261</v>
      </c>
      <c r="U154">
        <v>3.8870252273562316</v>
      </c>
      <c r="V154">
        <v>47.938267891861869</v>
      </c>
      <c r="W154">
        <v>32.995320818679744</v>
      </c>
      <c r="X154">
        <v>42.705102416945572</v>
      </c>
      <c r="Y154">
        <v>10.3916871950337</v>
      </c>
      <c r="Z154">
        <v>37.058489861610262</v>
      </c>
      <c r="AA154">
        <v>8.4056197712856804</v>
      </c>
      <c r="AB154">
        <v>41.334299240738211</v>
      </c>
      <c r="AC154">
        <v>0.15960653872694572</v>
      </c>
      <c r="AD154">
        <v>11.088250535260505</v>
      </c>
      <c r="AE154">
        <v>16.623446995042027</v>
      </c>
      <c r="AF154">
        <v>15.160023276074558</v>
      </c>
      <c r="AG154">
        <v>27.612297999707756</v>
      </c>
      <c r="AH154">
        <v>8.6494302898907716</v>
      </c>
      <c r="AI154">
        <v>2.0150894577588163</v>
      </c>
      <c r="AK154">
        <v>59.375141344832294</v>
      </c>
    </row>
    <row r="155" spans="1:37" x14ac:dyDescent="0.2">
      <c r="A155">
        <v>154</v>
      </c>
      <c r="B155">
        <v>793</v>
      </c>
      <c r="C155">
        <v>115</v>
      </c>
      <c r="D155">
        <v>0.49363644890494002</v>
      </c>
      <c r="E155">
        <v>111.21063996200348</v>
      </c>
      <c r="F155">
        <v>68.770720974311416</v>
      </c>
      <c r="G155">
        <v>73.815786008523361</v>
      </c>
      <c r="H155">
        <v>69.30577758825342</v>
      </c>
      <c r="J155">
        <v>75.244245033450369</v>
      </c>
      <c r="L155">
        <v>8.955098461510806</v>
      </c>
      <c r="M155">
        <v>15.377808488506947</v>
      </c>
      <c r="N155">
        <v>2.063439791780306</v>
      </c>
      <c r="O155">
        <v>43.730326921612225</v>
      </c>
      <c r="P155">
        <v>13.708035470903438</v>
      </c>
      <c r="R155">
        <v>22.573718937870503</v>
      </c>
      <c r="S155">
        <v>58.771218583695216</v>
      </c>
      <c r="U155">
        <v>3.8642675080589708</v>
      </c>
      <c r="V155">
        <v>47.94906262206289</v>
      </c>
      <c r="W155">
        <v>32.868668866072881</v>
      </c>
      <c r="X155">
        <v>42.692861246740954</v>
      </c>
      <c r="Y155">
        <v>10.277712126236704</v>
      </c>
      <c r="Z155">
        <v>36.83863422940491</v>
      </c>
      <c r="AA155">
        <v>8.2938051972168179</v>
      </c>
      <c r="AB155">
        <v>41.287113737678681</v>
      </c>
      <c r="AC155">
        <v>0.14421783931156729</v>
      </c>
      <c r="AD155">
        <v>10.970341624139703</v>
      </c>
      <c r="AE155">
        <v>16.527682705343697</v>
      </c>
      <c r="AF155">
        <v>15.143725995631655</v>
      </c>
      <c r="AG155">
        <v>27.534873051071781</v>
      </c>
      <c r="AH155">
        <v>8.4992917736186353</v>
      </c>
      <c r="AI155">
        <v>2.001443542503627</v>
      </c>
      <c r="AK155">
        <v>59.345705568391864</v>
      </c>
    </row>
    <row r="156" spans="1:37" x14ac:dyDescent="0.2">
      <c r="A156">
        <v>155</v>
      </c>
      <c r="B156">
        <v>792</v>
      </c>
      <c r="C156">
        <v>115</v>
      </c>
      <c r="D156">
        <v>0.49309533868469302</v>
      </c>
      <c r="E156">
        <v>111.10718656209568</v>
      </c>
      <c r="F156">
        <v>68.344304157934573</v>
      </c>
      <c r="G156">
        <v>73.739526559488439</v>
      </c>
      <c r="H156">
        <v>69.22660263046302</v>
      </c>
      <c r="J156">
        <v>75.188193769749702</v>
      </c>
      <c r="L156">
        <v>8.8354757560641115</v>
      </c>
      <c r="M156">
        <v>15.395249949437224</v>
      </c>
      <c r="N156">
        <v>2.047259057140546</v>
      </c>
      <c r="O156">
        <v>43.161338461675996</v>
      </c>
      <c r="P156">
        <v>13.560499420298795</v>
      </c>
      <c r="R156">
        <v>22.411562583867578</v>
      </c>
      <c r="S156">
        <v>58.65657490380547</v>
      </c>
      <c r="U156">
        <v>3.8553286033529832</v>
      </c>
      <c r="V156">
        <v>47.989300817960086</v>
      </c>
      <c r="W156">
        <v>32.758338257021897</v>
      </c>
      <c r="X156">
        <v>42.726185841870468</v>
      </c>
      <c r="Y156">
        <v>10.149775663185961</v>
      </c>
      <c r="Z156">
        <v>36.600386790094618</v>
      </c>
      <c r="AA156">
        <v>8.168593248423683</v>
      </c>
      <c r="AB156">
        <v>41.26380877862178</v>
      </c>
      <c r="AC156">
        <v>0.12604404668869434</v>
      </c>
      <c r="AD156">
        <v>10.841649361424455</v>
      </c>
      <c r="AE156">
        <v>16.425854958011417</v>
      </c>
      <c r="AF156">
        <v>15.141864062450361</v>
      </c>
      <c r="AG156">
        <v>27.478545708810689</v>
      </c>
      <c r="AH156">
        <v>8.332672925733128</v>
      </c>
      <c r="AI156">
        <v>1.9850116119569725</v>
      </c>
      <c r="AK156">
        <v>59.309235302541438</v>
      </c>
    </row>
    <row r="157" spans="1:37" x14ac:dyDescent="0.2">
      <c r="A157">
        <v>156</v>
      </c>
      <c r="B157">
        <v>791</v>
      </c>
      <c r="C157">
        <v>115</v>
      </c>
      <c r="D157">
        <v>0.49255321148334702</v>
      </c>
      <c r="E157">
        <v>111.00417962881018</v>
      </c>
      <c r="F157">
        <v>67.918983982338531</v>
      </c>
      <c r="G157">
        <v>73.663309036490688</v>
      </c>
      <c r="H157">
        <v>69.147481920755638</v>
      </c>
      <c r="J157">
        <v>75.131273719364387</v>
      </c>
      <c r="L157">
        <v>8.7155823387684173</v>
      </c>
      <c r="M157">
        <v>15.412858816107624</v>
      </c>
      <c r="N157">
        <v>2.0310509083900632</v>
      </c>
      <c r="O157">
        <v>42.592604790572324</v>
      </c>
      <c r="P157">
        <v>13.413026757601029</v>
      </c>
      <c r="R157">
        <v>22.248464740242053</v>
      </c>
      <c r="S157">
        <v>58.538043753798604</v>
      </c>
      <c r="U157">
        <v>3.8467863934697837</v>
      </c>
      <c r="V157">
        <v>48.028024970864294</v>
      </c>
      <c r="W157">
        <v>32.64870304937368</v>
      </c>
      <c r="X157">
        <v>42.760922813367358</v>
      </c>
      <c r="Y157">
        <v>10.021848142433837</v>
      </c>
      <c r="Z157">
        <v>36.362389137730879</v>
      </c>
      <c r="AA157">
        <v>8.0433226728065197</v>
      </c>
      <c r="AB157">
        <v>41.238326939841322</v>
      </c>
      <c r="AC157">
        <v>0.10784299842685321</v>
      </c>
      <c r="AD157">
        <v>10.712894574231115</v>
      </c>
      <c r="AE157">
        <v>16.324154125478582</v>
      </c>
      <c r="AF157">
        <v>15.140142262461127</v>
      </c>
      <c r="AG157">
        <v>27.420016392479894</v>
      </c>
      <c r="AH157">
        <v>8.1659845125515851</v>
      </c>
      <c r="AI157">
        <v>1.9685515023009885</v>
      </c>
      <c r="AK157">
        <v>59.272915840875392</v>
      </c>
    </row>
    <row r="158" spans="1:37" x14ac:dyDescent="0.2">
      <c r="A158">
        <v>157</v>
      </c>
      <c r="B158">
        <v>790</v>
      </c>
      <c r="C158">
        <v>115</v>
      </c>
      <c r="D158">
        <v>0.49201006443117301</v>
      </c>
      <c r="E158">
        <v>110.90161993334283</v>
      </c>
      <c r="F158">
        <v>67.494789145692437</v>
      </c>
      <c r="G158">
        <v>73.587142452733431</v>
      </c>
      <c r="H158">
        <v>69.068424491787638</v>
      </c>
      <c r="J158">
        <v>75.073486792825122</v>
      </c>
      <c r="L158">
        <v>8.5954419996298128</v>
      </c>
      <c r="M158">
        <v>15.430622099163365</v>
      </c>
      <c r="N158">
        <v>2.014816963512541</v>
      </c>
      <c r="O158">
        <v>42.02418256187277</v>
      </c>
      <c r="P158">
        <v>13.265637147798996</v>
      </c>
      <c r="R158">
        <v>22.084464530426363</v>
      </c>
      <c r="S158">
        <v>58.415604124955124</v>
      </c>
      <c r="U158">
        <v>3.8386263701410885</v>
      </c>
      <c r="V158">
        <v>48.065231904767344</v>
      </c>
      <c r="W158">
        <v>32.539757725099676</v>
      </c>
      <c r="X158">
        <v>42.797028391412233</v>
      </c>
      <c r="Y158">
        <v>9.8939472064434124</v>
      </c>
      <c r="Z158">
        <v>36.124649134285271</v>
      </c>
      <c r="AA158">
        <v>7.918009896911375</v>
      </c>
      <c r="AB158">
        <v>41.210652481976034</v>
      </c>
      <c r="AC158">
        <v>8.9616312076311724E-2</v>
      </c>
      <c r="AD158">
        <v>10.584086581483524</v>
      </c>
      <c r="AE158">
        <v>16.222577060202251</v>
      </c>
      <c r="AF158">
        <v>15.138549229464257</v>
      </c>
      <c r="AG158">
        <v>27.359270986003114</v>
      </c>
      <c r="AH158">
        <v>7.9992523768743435</v>
      </c>
      <c r="AI158">
        <v>1.9520648296996692</v>
      </c>
      <c r="AK158">
        <v>59.236752714986956</v>
      </c>
    </row>
    <row r="159" spans="1:37" x14ac:dyDescent="0.2">
      <c r="A159">
        <v>158</v>
      </c>
      <c r="B159">
        <v>789</v>
      </c>
      <c r="C159">
        <v>115</v>
      </c>
      <c r="D159">
        <v>0.49146589464765</v>
      </c>
      <c r="E159">
        <v>110.79950794460906</v>
      </c>
      <c r="F159">
        <v>67.071747168567214</v>
      </c>
      <c r="G159">
        <v>73.511035671224775</v>
      </c>
      <c r="H159">
        <v>68.989439226056874</v>
      </c>
      <c r="J159">
        <v>75.014836750577217</v>
      </c>
      <c r="L159">
        <v>8.4750781699627264</v>
      </c>
      <c r="M159">
        <v>15.448526751504167</v>
      </c>
      <c r="N159">
        <v>1.9985588409998136</v>
      </c>
      <c r="O159">
        <v>41.456127538834316</v>
      </c>
      <c r="P159">
        <v>13.11834995606017</v>
      </c>
      <c r="R159">
        <v>21.919601009007042</v>
      </c>
      <c r="S159">
        <v>58.289242603992378</v>
      </c>
      <c r="U159">
        <v>3.8308338355350053</v>
      </c>
      <c r="V159">
        <v>48.100920830364416</v>
      </c>
      <c r="W159">
        <v>32.431496329698994</v>
      </c>
      <c r="X159">
        <v>42.834458245611202</v>
      </c>
      <c r="Y159">
        <v>9.7660902459055379</v>
      </c>
      <c r="Z159">
        <v>35.887174199578176</v>
      </c>
      <c r="AA159">
        <v>7.7927427170776937</v>
      </c>
      <c r="AB159">
        <v>41.180773694475249</v>
      </c>
      <c r="AC159">
        <v>7.136560569514136E-2</v>
      </c>
      <c r="AD159">
        <v>10.45523439393059</v>
      </c>
      <c r="AE159">
        <v>16.121120491074397</v>
      </c>
      <c r="AF159">
        <v>15.137073540036562</v>
      </c>
      <c r="AG159">
        <v>27.296299402635324</v>
      </c>
      <c r="AH159">
        <v>7.832501976588385</v>
      </c>
      <c r="AI159">
        <v>1.9355532108242306</v>
      </c>
      <c r="AK159">
        <v>59.200751305274707</v>
      </c>
    </row>
    <row r="160" spans="1:37" x14ac:dyDescent="0.2">
      <c r="A160">
        <v>159</v>
      </c>
      <c r="B160">
        <v>788</v>
      </c>
      <c r="C160">
        <v>115</v>
      </c>
      <c r="D160">
        <v>0.49092069924139198</v>
      </c>
      <c r="E160">
        <v>110.69784384034985</v>
      </c>
      <c r="F160">
        <v>66.649884333482433</v>
      </c>
      <c r="G160">
        <v>73.434997381797146</v>
      </c>
      <c r="H160">
        <v>68.910534832922366</v>
      </c>
      <c r="J160">
        <v>74.955329088312098</v>
      </c>
      <c r="L160">
        <v>8.3545138699609893</v>
      </c>
      <c r="M160">
        <v>15.46655970651226</v>
      </c>
      <c r="N160">
        <v>1.982278152357982</v>
      </c>
      <c r="O160">
        <v>40.888494430140028</v>
      </c>
      <c r="P160">
        <v>12.971184194266687</v>
      </c>
      <c r="R160">
        <v>21.753913021708602</v>
      </c>
      <c r="S160">
        <v>58.158953034603982</v>
      </c>
      <c r="U160">
        <v>3.8233939550363325</v>
      </c>
      <c r="V160">
        <v>48.135093212154466</v>
      </c>
      <c r="W160">
        <v>32.323912519528285</v>
      </c>
      <c r="X160">
        <v>42.873167649498704</v>
      </c>
      <c r="Y160">
        <v>9.6382943514958725</v>
      </c>
      <c r="Z160">
        <v>35.649971280969019</v>
      </c>
      <c r="AA160">
        <v>7.667389143265944</v>
      </c>
      <c r="AB160">
        <v>41.148682728778638</v>
      </c>
      <c r="AC160">
        <v>5.3092490355446519E-2</v>
      </c>
      <c r="AD160">
        <v>10.326346689896736</v>
      </c>
      <c r="AE160">
        <v>16.019781024693742</v>
      </c>
      <c r="AF160">
        <v>15.135703744262452</v>
      </c>
      <c r="AG160">
        <v>27.231095410656895</v>
      </c>
      <c r="AH160">
        <v>7.6657583528118582</v>
      </c>
      <c r="AI160">
        <v>1.9190182553596882</v>
      </c>
      <c r="AK160">
        <v>59.164916820636066</v>
      </c>
    </row>
    <row r="161" spans="1:37" x14ac:dyDescent="0.2">
      <c r="A161">
        <v>160</v>
      </c>
      <c r="B161">
        <v>787</v>
      </c>
      <c r="C161">
        <v>115</v>
      </c>
      <c r="D161">
        <v>0.49037447531009798</v>
      </c>
      <c r="E161">
        <v>110.5966275186376</v>
      </c>
      <c r="F161">
        <v>66.229225633862853</v>
      </c>
      <c r="G161">
        <v>73.359036080463298</v>
      </c>
      <c r="H161">
        <v>68.831719827959745</v>
      </c>
      <c r="J161">
        <v>74.894970918278403</v>
      </c>
      <c r="L161">
        <v>8.2336992165785965</v>
      </c>
      <c r="M161">
        <v>15.484707913656372</v>
      </c>
      <c r="N161">
        <v>1.9659764950311074</v>
      </c>
      <c r="O161">
        <v>40.321336741657539</v>
      </c>
      <c r="P161">
        <v>12.824158472656876</v>
      </c>
      <c r="R161">
        <v>21.587439075009364</v>
      </c>
      <c r="S161">
        <v>58.024736154313004</v>
      </c>
      <c r="U161">
        <v>3.8162918073201109</v>
      </c>
      <c r="V161">
        <v>48.167752630129343</v>
      </c>
      <c r="W161">
        <v>32.216999608790665</v>
      </c>
      <c r="X161">
        <v>42.913111632182719</v>
      </c>
      <c r="Y161">
        <v>9.5105762701519989</v>
      </c>
      <c r="Z161">
        <v>35.413046827580089</v>
      </c>
      <c r="AA161">
        <v>7.5420417839147271</v>
      </c>
      <c r="AB161">
        <v>41.114375418241437</v>
      </c>
      <c r="AC161">
        <v>3.4798563066826424E-2</v>
      </c>
      <c r="AD161">
        <v>10.197431794057875</v>
      </c>
      <c r="AE161">
        <v>15.918555147394303</v>
      </c>
      <c r="AF161">
        <v>15.134428394262439</v>
      </c>
      <c r="AG161">
        <v>27.163656446213849</v>
      </c>
      <c r="AH161">
        <v>7.4990460306731705</v>
      </c>
      <c r="AI161">
        <v>1.9024615589272726</v>
      </c>
      <c r="AK161">
        <v>59.129254279949748</v>
      </c>
    </row>
    <row r="162" spans="1:37" x14ac:dyDescent="0.2">
      <c r="A162">
        <v>161</v>
      </c>
      <c r="B162">
        <v>786</v>
      </c>
      <c r="C162">
        <v>115</v>
      </c>
      <c r="D162">
        <v>0.48982721994052197</v>
      </c>
      <c r="E162">
        <v>110.49585861045672</v>
      </c>
      <c r="F162">
        <v>65.809794736136411</v>
      </c>
      <c r="G162">
        <v>73.283160051638944</v>
      </c>
      <c r="H162">
        <v>68.753002515185372</v>
      </c>
      <c r="J162">
        <v>74.833770849355687</v>
      </c>
      <c r="L162">
        <v>8.1127984504565358</v>
      </c>
      <c r="M162">
        <v>15.502958370875453</v>
      </c>
      <c r="N162">
        <v>1.9496554460830027</v>
      </c>
      <c r="O162">
        <v>39.75470664810242</v>
      </c>
      <c r="P162">
        <v>12.677290957951605</v>
      </c>
      <c r="R162">
        <v>21.420217217273773</v>
      </c>
      <c r="S162">
        <v>57.886599212128381</v>
      </c>
      <c r="U162">
        <v>3.8095124306952894</v>
      </c>
      <c r="V162">
        <v>48.198904637781041</v>
      </c>
      <c r="W162">
        <v>32.110750614472366</v>
      </c>
      <c r="X162">
        <v>42.954245120939291</v>
      </c>
      <c r="Y162">
        <v>9.3829523671373405</v>
      </c>
      <c r="Z162">
        <v>35.17640676994975</v>
      </c>
      <c r="AA162">
        <v>7.4167161234335071</v>
      </c>
      <c r="AB162">
        <v>41.077851087165826</v>
      </c>
      <c r="AC162">
        <v>1.6485400458515556E-2</v>
      </c>
      <c r="AD162">
        <v>10.068497659955343</v>
      </c>
      <c r="AE162">
        <v>15.817439228141096</v>
      </c>
      <c r="AF162">
        <v>15.133236070259001</v>
      </c>
      <c r="AG162">
        <v>27.093983416039045</v>
      </c>
      <c r="AH162">
        <v>7.3323889947714536</v>
      </c>
      <c r="AI162">
        <v>1.8858846967681981</v>
      </c>
      <c r="AK162">
        <v>59.093768496814228</v>
      </c>
    </row>
    <row r="163" spans="1:37" x14ac:dyDescent="0.2">
      <c r="A163">
        <v>162</v>
      </c>
      <c r="B163">
        <v>785</v>
      </c>
      <c r="C163">
        <v>115</v>
      </c>
      <c r="D163">
        <v>0.48927893020838498</v>
      </c>
      <c r="E163">
        <v>110.38586323053835</v>
      </c>
      <c r="F163">
        <v>65.339092797272798</v>
      </c>
      <c r="G163">
        <v>73.198609026360657</v>
      </c>
      <c r="H163">
        <v>68.665622645272279</v>
      </c>
      <c r="J163">
        <v>74.755577903723733</v>
      </c>
      <c r="L163">
        <v>7.9779413549573945</v>
      </c>
      <c r="M163">
        <v>15.5212690974687</v>
      </c>
      <c r="N163">
        <v>1.9349268636012595</v>
      </c>
      <c r="O163">
        <v>39.138298475919527</v>
      </c>
      <c r="P163">
        <v>12.514672991191903</v>
      </c>
      <c r="R163">
        <v>21.2339014418815</v>
      </c>
      <c r="S163">
        <v>57.722630799726801</v>
      </c>
      <c r="U163">
        <v>3.8020000731349346</v>
      </c>
      <c r="V163">
        <v>48.228099142845885</v>
      </c>
      <c r="W163">
        <v>31.994627444556613</v>
      </c>
      <c r="X163">
        <v>42.99202529214012</v>
      </c>
      <c r="Y163">
        <v>9.2392046001064045</v>
      </c>
      <c r="Z163">
        <v>34.911651684576519</v>
      </c>
      <c r="AA163">
        <v>7.2772632282420089</v>
      </c>
      <c r="AB163">
        <v>41.033315296748953</v>
      </c>
      <c r="AD163">
        <v>9.9218674422875974</v>
      </c>
      <c r="AE163">
        <v>15.70633925694553</v>
      </c>
      <c r="AF163">
        <v>15.133696654869468</v>
      </c>
      <c r="AG163">
        <v>27.017893744797927</v>
      </c>
      <c r="AH163">
        <v>7.1404414485122665</v>
      </c>
      <c r="AI163">
        <v>1.8708995251468761</v>
      </c>
      <c r="AK163">
        <v>59.04625925748055</v>
      </c>
    </row>
    <row r="164" spans="1:37" x14ac:dyDescent="0.2">
      <c r="A164">
        <v>163</v>
      </c>
      <c r="B164">
        <v>784</v>
      </c>
      <c r="C164">
        <v>115</v>
      </c>
      <c r="D164">
        <v>0.48872960317835601</v>
      </c>
      <c r="E164">
        <v>110.17391483290986</v>
      </c>
      <c r="F164">
        <v>64.306531536183272</v>
      </c>
      <c r="G164">
        <v>73.019892686341194</v>
      </c>
      <c r="H164">
        <v>68.484089919608323</v>
      </c>
      <c r="J164">
        <v>74.497266671201061</v>
      </c>
      <c r="L164">
        <v>7.6930910896681741</v>
      </c>
      <c r="M164">
        <v>15.54040243482415</v>
      </c>
      <c r="N164">
        <v>1.9369111465936855</v>
      </c>
      <c r="O164">
        <v>37.978465939376086</v>
      </c>
      <c r="P164">
        <v>12.180444355751343</v>
      </c>
      <c r="R164">
        <v>20.845758768461067</v>
      </c>
      <c r="S164">
        <v>57.302806985954675</v>
      </c>
      <c r="U164">
        <v>3.7857444265407256</v>
      </c>
      <c r="V164">
        <v>48.245563233152332</v>
      </c>
      <c r="W164">
        <v>31.7708829534524</v>
      </c>
      <c r="X164">
        <v>42.989394389142504</v>
      </c>
      <c r="Y164">
        <v>8.9206667385245755</v>
      </c>
      <c r="Z164">
        <v>34.340989124084388</v>
      </c>
      <c r="AA164">
        <v>6.9847950125228673</v>
      </c>
      <c r="AB164">
        <v>40.914686978226591</v>
      </c>
      <c r="AD164">
        <v>9.584582962131396</v>
      </c>
      <c r="AE164">
        <v>15.486350173204787</v>
      </c>
      <c r="AF164">
        <v>15.151692893735587</v>
      </c>
      <c r="AG164">
        <v>26.884426768133665</v>
      </c>
      <c r="AH164">
        <v>6.6755405787707529</v>
      </c>
      <c r="AI164">
        <v>1.8726264412461875</v>
      </c>
      <c r="AK164">
        <v>58.867037347015973</v>
      </c>
    </row>
    <row r="165" spans="1:37" x14ac:dyDescent="0.2">
      <c r="A165">
        <v>164</v>
      </c>
      <c r="B165">
        <v>783</v>
      </c>
      <c r="C165">
        <v>115</v>
      </c>
      <c r="D165">
        <v>0.48817923590399198</v>
      </c>
      <c r="E165">
        <v>109.95784967541151</v>
      </c>
      <c r="F165">
        <v>63.234638361899606</v>
      </c>
      <c r="G165">
        <v>72.834126434297062</v>
      </c>
      <c r="H165">
        <v>68.295519760621474</v>
      </c>
      <c r="J165">
        <v>74.212277534804883</v>
      </c>
      <c r="L165">
        <v>7.3940549619276936</v>
      </c>
      <c r="M165">
        <v>15.561598334293695</v>
      </c>
      <c r="N165">
        <v>1.9388945688466119</v>
      </c>
      <c r="O165">
        <v>36.771849111480194</v>
      </c>
      <c r="P165">
        <v>11.832122151844644</v>
      </c>
      <c r="R165">
        <v>20.434394256261275</v>
      </c>
      <c r="S165">
        <v>56.825432112190164</v>
      </c>
      <c r="U165">
        <v>3.7733289076145353</v>
      </c>
      <c r="V165">
        <v>48.249684744497003</v>
      </c>
      <c r="W165">
        <v>31.54989235378434</v>
      </c>
      <c r="X165">
        <v>42.998266395607921</v>
      </c>
      <c r="Y165">
        <v>8.5881121062586327</v>
      </c>
      <c r="Z165">
        <v>33.744525793072071</v>
      </c>
      <c r="AA165">
        <v>6.678778290127215</v>
      </c>
      <c r="AB165">
        <v>40.767830950108426</v>
      </c>
      <c r="AD165">
        <v>9.2312443804029005</v>
      </c>
      <c r="AE165">
        <v>15.256408086146111</v>
      </c>
      <c r="AF165">
        <v>15.17175101724848</v>
      </c>
      <c r="AG165">
        <v>26.722733583756973</v>
      </c>
      <c r="AH165">
        <v>6.1892981918620764</v>
      </c>
      <c r="AI165">
        <v>1.8743517170280029</v>
      </c>
      <c r="AK165">
        <v>58.676084517471544</v>
      </c>
    </row>
    <row r="166" spans="1:37" x14ac:dyDescent="0.2">
      <c r="A166">
        <v>165</v>
      </c>
      <c r="B166">
        <v>782</v>
      </c>
      <c r="C166">
        <v>115</v>
      </c>
      <c r="D166">
        <v>0.48762782542766497</v>
      </c>
      <c r="E166">
        <v>109.73556012615343</v>
      </c>
      <c r="F166">
        <v>62.106157098235983</v>
      </c>
      <c r="G166">
        <v>72.638637510264999</v>
      </c>
      <c r="H166">
        <v>68.097239428096699</v>
      </c>
      <c r="J166">
        <v>73.890417444803745</v>
      </c>
      <c r="L166">
        <v>7.0755551692594274</v>
      </c>
      <c r="M166">
        <v>15.584933295431894</v>
      </c>
      <c r="N166">
        <v>1.9408769489861319</v>
      </c>
      <c r="O166">
        <v>35.500030186575927</v>
      </c>
      <c r="P166">
        <v>11.464360699223581</v>
      </c>
      <c r="R166">
        <v>19.99171316434558</v>
      </c>
      <c r="S166">
        <v>56.271447278943363</v>
      </c>
      <c r="U166">
        <v>3.7653510521757685</v>
      </c>
      <c r="V166">
        <v>48.23672759957919</v>
      </c>
      <c r="W166">
        <v>31.331885951605031</v>
      </c>
      <c r="X166">
        <v>43.020390806216902</v>
      </c>
      <c r="Y166">
        <v>8.2361796859292351</v>
      </c>
      <c r="Z166">
        <v>33.110493196388447</v>
      </c>
      <c r="AA166">
        <v>6.3541056580989821</v>
      </c>
      <c r="AB166">
        <v>40.583136120208138</v>
      </c>
      <c r="AD166">
        <v>8.8550077615305423</v>
      </c>
      <c r="AE166">
        <v>15.011490697502508</v>
      </c>
      <c r="AF166">
        <v>15.19394734885682</v>
      </c>
      <c r="AG166">
        <v>26.523202923540744</v>
      </c>
      <c r="AH166">
        <v>5.6735964317795826</v>
      </c>
      <c r="AI166">
        <v>1.8760751692923245</v>
      </c>
      <c r="AK166">
        <v>58.468135119516461</v>
      </c>
    </row>
    <row r="167" spans="1:37" x14ac:dyDescent="0.2">
      <c r="A167">
        <v>166</v>
      </c>
      <c r="B167">
        <v>781</v>
      </c>
      <c r="C167">
        <v>115</v>
      </c>
      <c r="D167">
        <v>0.48707536878053398</v>
      </c>
      <c r="E167">
        <v>109.50315653205911</v>
      </c>
      <c r="F167">
        <v>60.889331520358745</v>
      </c>
      <c r="G167">
        <v>72.428540642275848</v>
      </c>
      <c r="H167">
        <v>67.884363669851709</v>
      </c>
      <c r="J167">
        <v>73.513084434756138</v>
      </c>
      <c r="L167">
        <v>6.7282268671865024</v>
      </c>
      <c r="M167">
        <v>15.610392514834761</v>
      </c>
      <c r="N167">
        <v>1.9428579744274439</v>
      </c>
      <c r="O167">
        <v>34.129309356258744</v>
      </c>
      <c r="P167">
        <v>11.067389162474328</v>
      </c>
      <c r="R167">
        <v>19.502663963448782</v>
      </c>
      <c r="S167">
        <v>55.606494627062638</v>
      </c>
      <c r="U167">
        <v>3.7627910876856339</v>
      </c>
      <c r="V167">
        <v>48.199948137869995</v>
      </c>
      <c r="W167">
        <v>31.117221544504154</v>
      </c>
      <c r="X167">
        <v>43.058616652892809</v>
      </c>
      <c r="Y167">
        <v>7.8550671636292773</v>
      </c>
      <c r="Z167">
        <v>32.417142457477375</v>
      </c>
      <c r="AA167">
        <v>6.0013518350863739</v>
      </c>
      <c r="AB167">
        <v>40.343275028712647</v>
      </c>
      <c r="AD167">
        <v>8.4432435318448054</v>
      </c>
      <c r="AE167">
        <v>14.742277501082514</v>
      </c>
      <c r="AF167">
        <v>15.218266777850207</v>
      </c>
      <c r="AG167">
        <v>26.268507020537061</v>
      </c>
      <c r="AH167">
        <v>5.1135634201269573</v>
      </c>
      <c r="AI167">
        <v>1.8777964836283763</v>
      </c>
      <c r="AK167">
        <v>58.233456989430877</v>
      </c>
    </row>
    <row r="168" spans="1:37" x14ac:dyDescent="0.2">
      <c r="A168">
        <v>167</v>
      </c>
      <c r="B168">
        <v>780</v>
      </c>
      <c r="C168">
        <v>115</v>
      </c>
      <c r="D168">
        <v>0.48652186298248101</v>
      </c>
      <c r="E168">
        <v>109.25220166426585</v>
      </c>
      <c r="F168">
        <v>59.515546532464626</v>
      </c>
      <c r="G168">
        <v>72.193382640874759</v>
      </c>
      <c r="H168">
        <v>67.646439316254856</v>
      </c>
      <c r="J168">
        <v>73.040289413515595</v>
      </c>
      <c r="L168">
        <v>6.331436590404719</v>
      </c>
      <c r="M168">
        <v>15.637537598723892</v>
      </c>
      <c r="N168">
        <v>1.9448370162878776</v>
      </c>
      <c r="O168">
        <v>32.587425777511697</v>
      </c>
      <c r="P168">
        <v>10.620300554971948</v>
      </c>
      <c r="R168">
        <v>18.934490056565576</v>
      </c>
      <c r="S168">
        <v>54.757473081071893</v>
      </c>
      <c r="U168">
        <v>3.7674364261638873</v>
      </c>
      <c r="V168">
        <v>48.124958186883994</v>
      </c>
      <c r="W168">
        <v>30.906568072853251</v>
      </c>
      <c r="X168">
        <v>43.118082691933886</v>
      </c>
      <c r="Y168">
        <v>7.4237835278072764</v>
      </c>
      <c r="Z168">
        <v>31.617203441193556</v>
      </c>
      <c r="AA168">
        <v>5.6000455301208714</v>
      </c>
      <c r="AB168">
        <v>40.011339235299332</v>
      </c>
      <c r="AD168">
        <v>7.9685631053738541</v>
      </c>
      <c r="AE168">
        <v>14.428388656244962</v>
      </c>
      <c r="AF168">
        <v>15.244270286859697</v>
      </c>
      <c r="AG168">
        <v>25.921736811004131</v>
      </c>
      <c r="AH168">
        <v>4.4772755827064916</v>
      </c>
      <c r="AI168">
        <v>1.8795150293263498</v>
      </c>
      <c r="AK168">
        <v>57.950900534093435</v>
      </c>
    </row>
    <row r="169" spans="1:37" x14ac:dyDescent="0.2">
      <c r="A169">
        <v>168</v>
      </c>
      <c r="B169">
        <v>779</v>
      </c>
      <c r="C169">
        <v>115</v>
      </c>
      <c r="D169">
        <v>0.48596730504205599</v>
      </c>
      <c r="E169">
        <v>108.95861173139015</v>
      </c>
      <c r="F169">
        <v>57.790009951064313</v>
      </c>
      <c r="G169">
        <v>71.903915184146896</v>
      </c>
      <c r="H169">
        <v>67.354218065252695</v>
      </c>
      <c r="J169">
        <v>72.358980316491426</v>
      </c>
      <c r="L169">
        <v>5.8277602017894568</v>
      </c>
      <c r="M169">
        <v>15.663611219755952</v>
      </c>
      <c r="N169">
        <v>1.9468124422442941</v>
      </c>
      <c r="O169">
        <v>30.671446332125058</v>
      </c>
      <c r="P169">
        <v>10.064596621788871</v>
      </c>
      <c r="R169">
        <v>18.193847153873026</v>
      </c>
      <c r="S169">
        <v>53.520224837540439</v>
      </c>
      <c r="U169">
        <v>3.7830777633082486</v>
      </c>
      <c r="V169">
        <v>47.971504572640008</v>
      </c>
      <c r="W169">
        <v>30.701620915913594</v>
      </c>
      <c r="X169">
        <v>43.209452188322949</v>
      </c>
      <c r="Y169">
        <v>6.8835099512248785</v>
      </c>
      <c r="Z169">
        <v>30.575290624017715</v>
      </c>
      <c r="AA169">
        <v>5.0931116789511286</v>
      </c>
      <c r="AB169">
        <v>39.483956910785821</v>
      </c>
      <c r="AD169">
        <v>7.3527745362052377</v>
      </c>
      <c r="AE169">
        <v>14.010947763880019</v>
      </c>
      <c r="AF169">
        <v>15.269198921520944</v>
      </c>
      <c r="AG169">
        <v>25.379518838921818</v>
      </c>
      <c r="AH169">
        <v>3.6749697839948685</v>
      </c>
      <c r="AI169">
        <v>1.881229172235269</v>
      </c>
      <c r="AK169">
        <v>57.559930122413732</v>
      </c>
    </row>
    <row r="170" spans="1:37" x14ac:dyDescent="0.2">
      <c r="A170">
        <v>169</v>
      </c>
      <c r="B170">
        <v>778</v>
      </c>
      <c r="C170">
        <v>115</v>
      </c>
      <c r="D170">
        <v>0.48541169195642903</v>
      </c>
      <c r="E170">
        <v>108.32217739063736</v>
      </c>
      <c r="F170">
        <v>53.42564747722605</v>
      </c>
      <c r="G170">
        <v>71.236826848816193</v>
      </c>
      <c r="H170">
        <v>66.684388513469671</v>
      </c>
      <c r="J170">
        <v>70.324994774239855</v>
      </c>
      <c r="L170">
        <v>4.5826341266683013</v>
      </c>
      <c r="M170">
        <v>15.631781850006309</v>
      </c>
      <c r="N170">
        <v>1.9487709944634952</v>
      </c>
      <c r="O170">
        <v>26.099798193377477</v>
      </c>
      <c r="P170">
        <v>8.7536412798246559</v>
      </c>
      <c r="R170">
        <v>16.287849343428093</v>
      </c>
      <c r="S170">
        <v>50.209128940018211</v>
      </c>
      <c r="U170">
        <v>3.8053470254319981</v>
      </c>
      <c r="V170">
        <v>47.514534484061201</v>
      </c>
      <c r="W170">
        <v>30.524630147544134</v>
      </c>
      <c r="X170">
        <v>43.314768378277691</v>
      </c>
      <c r="Y170">
        <v>5.5800920149243369</v>
      </c>
      <c r="Z170">
        <v>27.68333826923493</v>
      </c>
      <c r="AA170">
        <v>3.8436860853598773</v>
      </c>
      <c r="AB170">
        <v>37.884158831070941</v>
      </c>
      <c r="AD170">
        <v>5.6770056522250307</v>
      </c>
      <c r="AE170">
        <v>12.773259967248888</v>
      </c>
      <c r="AF170">
        <v>15.236207901390484</v>
      </c>
      <c r="AG170">
        <v>23.764870627856606</v>
      </c>
      <c r="AH170">
        <v>1.7001221002309792</v>
      </c>
      <c r="AI170">
        <v>1.8829256526937497</v>
      </c>
      <c r="AK170">
        <v>56.351200107353804</v>
      </c>
    </row>
    <row r="171" spans="1:37" x14ac:dyDescent="0.2">
      <c r="A171">
        <v>170</v>
      </c>
      <c r="B171">
        <v>777</v>
      </c>
      <c r="C171">
        <v>115</v>
      </c>
      <c r="D171">
        <v>0.48485502071132902</v>
      </c>
      <c r="E171">
        <v>108.1586276885368</v>
      </c>
      <c r="F171">
        <v>50.980717155685134</v>
      </c>
      <c r="G171">
        <v>70.993429320074242</v>
      </c>
      <c r="H171">
        <v>66.438262366032319</v>
      </c>
      <c r="J171">
        <v>65.400326368447509</v>
      </c>
      <c r="L171">
        <v>3.308541312186422</v>
      </c>
      <c r="M171">
        <v>15.56090597686881</v>
      </c>
      <c r="N171">
        <v>1.9507520366029554</v>
      </c>
      <c r="O171">
        <v>20.023575697304235</v>
      </c>
      <c r="P171">
        <v>8.2900972844580139</v>
      </c>
      <c r="R171">
        <v>14.567605963205299</v>
      </c>
      <c r="S171">
        <v>45.855943558870223</v>
      </c>
      <c r="U171">
        <v>3.8568452350544091</v>
      </c>
      <c r="V171">
        <v>46.920049764590026</v>
      </c>
      <c r="W171">
        <v>30.305126058498967</v>
      </c>
      <c r="X171">
        <v>43.503300723729687</v>
      </c>
      <c r="Y171">
        <v>4.5538364126631823</v>
      </c>
      <c r="Z171">
        <v>24.828437126835368</v>
      </c>
      <c r="AA171">
        <v>2.4199496446179838</v>
      </c>
      <c r="AB171">
        <v>35.735897804349264</v>
      </c>
      <c r="AD171">
        <v>4.1293408086777248</v>
      </c>
      <c r="AE171">
        <v>11.238111406166226</v>
      </c>
      <c r="AF171">
        <v>15.16419308284738</v>
      </c>
      <c r="AG171">
        <v>21.601784355176875</v>
      </c>
      <c r="AI171">
        <v>1.8846438325304975</v>
      </c>
      <c r="AK171">
        <v>53.298970923231053</v>
      </c>
    </row>
    <row r="172" spans="1:37" x14ac:dyDescent="0.2">
      <c r="A172">
        <v>171</v>
      </c>
      <c r="B172">
        <v>776</v>
      </c>
      <c r="C172">
        <v>115</v>
      </c>
      <c r="D172">
        <v>0.484297288280991</v>
      </c>
      <c r="E172">
        <v>108.37762063063532</v>
      </c>
      <c r="F172">
        <v>50.624763154083581</v>
      </c>
      <c r="G172">
        <v>71.109445761770218</v>
      </c>
      <c r="H172">
        <v>66.551562806767151</v>
      </c>
      <c r="J172">
        <v>59.362640856779443</v>
      </c>
      <c r="L172">
        <v>2.030091540158184</v>
      </c>
      <c r="M172">
        <v>15.425475379200993</v>
      </c>
      <c r="N172">
        <v>1.9527565942009832</v>
      </c>
      <c r="O172">
        <v>13.312602168488223</v>
      </c>
      <c r="P172">
        <v>8.5454120103278175</v>
      </c>
      <c r="R172">
        <v>13.120600454946743</v>
      </c>
      <c r="S172">
        <v>41.435691969669499</v>
      </c>
      <c r="U172">
        <v>3.8993399034493503</v>
      </c>
      <c r="V172">
        <v>46.522896793544085</v>
      </c>
      <c r="W172">
        <v>30.030658269499884</v>
      </c>
      <c r="X172">
        <v>43.666052396946284</v>
      </c>
      <c r="Y172">
        <v>3.6911632689048748</v>
      </c>
      <c r="Z172">
        <v>22.772151147825799</v>
      </c>
      <c r="AA172">
        <v>0.94045148556052305</v>
      </c>
      <c r="AB172">
        <v>34.024221089265374</v>
      </c>
      <c r="AD172">
        <v>3.0242567744624389</v>
      </c>
      <c r="AE172">
        <v>9.9485586654794229</v>
      </c>
      <c r="AF172">
        <v>15.027647275627336</v>
      </c>
      <c r="AG172">
        <v>19.875308310601195</v>
      </c>
      <c r="AI172">
        <v>1.886384735454355</v>
      </c>
      <c r="AK172">
        <v>49.441022565629417</v>
      </c>
    </row>
    <row r="173" spans="1:37" x14ac:dyDescent="0.2">
      <c r="A173">
        <v>172</v>
      </c>
      <c r="B173">
        <v>775</v>
      </c>
      <c r="C173">
        <v>115</v>
      </c>
      <c r="D173">
        <v>0.483738491628109</v>
      </c>
      <c r="E173">
        <v>108.62355682476171</v>
      </c>
      <c r="F173">
        <v>50.291602335130513</v>
      </c>
      <c r="G173">
        <v>71.22446464646616</v>
      </c>
      <c r="H173">
        <v>66.663878328247549</v>
      </c>
      <c r="J173">
        <v>53.35096926423666</v>
      </c>
      <c r="L173">
        <v>1.4446041556590135</v>
      </c>
      <c r="M173">
        <v>15.190027232364857</v>
      </c>
      <c r="N173">
        <v>1.9547637899632204</v>
      </c>
      <c r="O173">
        <v>10.260093153523441</v>
      </c>
      <c r="P173">
        <v>8.7987415467187784</v>
      </c>
      <c r="R173">
        <v>12.368056320005021</v>
      </c>
      <c r="S173">
        <v>39.32748309760656</v>
      </c>
      <c r="U173">
        <v>3.9201394745780016</v>
      </c>
      <c r="V173">
        <v>46.499777110513016</v>
      </c>
      <c r="W173">
        <v>29.67436954735847</v>
      </c>
      <c r="X173">
        <v>43.766480705839037</v>
      </c>
      <c r="Y173">
        <v>3.1863924897068299</v>
      </c>
      <c r="Z173">
        <v>20.614963762805491</v>
      </c>
      <c r="AB173">
        <v>32.581042022381041</v>
      </c>
      <c r="AD173">
        <v>1.9017273426760792</v>
      </c>
      <c r="AE173">
        <v>8.6308936999670767</v>
      </c>
      <c r="AF173">
        <v>14.791086783147625</v>
      </c>
      <c r="AG173">
        <v>18.417334958948462</v>
      </c>
      <c r="AI173">
        <v>1.8881274823406815</v>
      </c>
      <c r="AK173">
        <v>45.501508939586671</v>
      </c>
    </row>
    <row r="174" spans="1:37" x14ac:dyDescent="0.2">
      <c r="A174">
        <v>173</v>
      </c>
      <c r="B174">
        <v>774</v>
      </c>
      <c r="C174">
        <v>115</v>
      </c>
      <c r="D174">
        <v>0.48317862770377201</v>
      </c>
      <c r="E174">
        <v>108.87912782985161</v>
      </c>
      <c r="F174">
        <v>50.130315193083554</v>
      </c>
      <c r="G174">
        <v>71.316313618430257</v>
      </c>
      <c r="H174">
        <v>66.753036594793983</v>
      </c>
      <c r="J174">
        <v>48.074802332227641</v>
      </c>
      <c r="L174">
        <v>1.4635928390787558</v>
      </c>
      <c r="M174">
        <v>14.851681604579428</v>
      </c>
      <c r="N174">
        <v>1.9567712133507065</v>
      </c>
      <c r="O174">
        <v>10.060441205231017</v>
      </c>
      <c r="P174">
        <v>9.0057387931474082</v>
      </c>
      <c r="R174">
        <v>12.162693764921199</v>
      </c>
      <c r="S174">
        <v>39.174244908786825</v>
      </c>
      <c r="U174">
        <v>3.9225795403981847</v>
      </c>
      <c r="V174">
        <v>46.814079670049559</v>
      </c>
      <c r="W174">
        <v>29.229572329217095</v>
      </c>
      <c r="X174">
        <v>43.814222717423625</v>
      </c>
      <c r="Y174">
        <v>3.0320225515681689</v>
      </c>
      <c r="Z174">
        <v>18.795829753733742</v>
      </c>
      <c r="AB174">
        <v>31.608876778988467</v>
      </c>
      <c r="AD174">
        <v>0.96981491823348531</v>
      </c>
      <c r="AE174">
        <v>7.5353357450122784</v>
      </c>
      <c r="AF174">
        <v>14.451629268453194</v>
      </c>
      <c r="AG174">
        <v>17.430378070541224</v>
      </c>
      <c r="AI174">
        <v>1.8898696608198859</v>
      </c>
      <c r="AK174">
        <v>41.969325752592752</v>
      </c>
    </row>
    <row r="175" spans="1:37" x14ac:dyDescent="0.2">
      <c r="A175">
        <v>174</v>
      </c>
      <c r="B175">
        <v>773</v>
      </c>
      <c r="C175">
        <v>115</v>
      </c>
      <c r="D175">
        <v>0.48261769344740202</v>
      </c>
      <c r="E175">
        <v>109.08773777939417</v>
      </c>
      <c r="F175">
        <v>50.2030617983038</v>
      </c>
      <c r="G175">
        <v>71.368921728410513</v>
      </c>
      <c r="H175">
        <v>66.802966677243575</v>
      </c>
      <c r="J175">
        <v>44.409333366004113</v>
      </c>
      <c r="L175">
        <v>1.4793383433639502</v>
      </c>
      <c r="M175">
        <v>14.501572930315143</v>
      </c>
      <c r="N175">
        <v>1.9587767111000141</v>
      </c>
      <c r="O175">
        <v>9.9070174739800994</v>
      </c>
      <c r="P175">
        <v>9.1342597194210757</v>
      </c>
      <c r="R175">
        <v>11.928380498268137</v>
      </c>
      <c r="S175">
        <v>39.240914218700212</v>
      </c>
      <c r="U175">
        <v>3.9115883762838459</v>
      </c>
      <c r="V175">
        <v>47.212809271193223</v>
      </c>
      <c r="W175">
        <v>28.78310306210815</v>
      </c>
      <c r="X175">
        <v>43.823510012620815</v>
      </c>
      <c r="Y175">
        <v>2.8542506003263841</v>
      </c>
      <c r="Z175">
        <v>17.713580694455359</v>
      </c>
      <c r="AB175">
        <v>31.193418830358024</v>
      </c>
      <c r="AD175">
        <v>0.38266356097510168</v>
      </c>
      <c r="AE175">
        <v>6.8854537289070512</v>
      </c>
      <c r="AF175">
        <v>14.100407018124791</v>
      </c>
      <c r="AG175">
        <v>17.000128968976473</v>
      </c>
      <c r="AI175">
        <v>1.8916091157976773</v>
      </c>
      <c r="AK175">
        <v>39.47389446736139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F59BD-6AC6-4E91-A8D8-A7B57DAB06BE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18.2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76.62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7.9000000000000001E-2</v>
      </c>
      <c r="D3" t="s">
        <v>23</v>
      </c>
      <c r="E3">
        <v>1</v>
      </c>
    </row>
    <row r="4" spans="1:8" x14ac:dyDescent="0.2">
      <c r="A4" t="s">
        <v>4</v>
      </c>
      <c r="B4">
        <v>12.48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0.62</v>
      </c>
      <c r="D7" t="s">
        <v>26</v>
      </c>
      <c r="E7">
        <v>20</v>
      </c>
    </row>
    <row r="8" spans="1:8" x14ac:dyDescent="0.2">
      <c r="A8" t="s">
        <v>8</v>
      </c>
      <c r="B8">
        <v>2.5999999999999999E-2</v>
      </c>
    </row>
    <row r="9" spans="1:8" x14ac:dyDescent="0.2">
      <c r="A9" t="s">
        <v>9</v>
      </c>
      <c r="B9">
        <v>0.06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0.53</v>
      </c>
    </row>
    <row r="13" spans="1:8" x14ac:dyDescent="0.2">
      <c r="A13" t="s">
        <v>13</v>
      </c>
      <c r="B13">
        <v>3.98</v>
      </c>
    </row>
    <row r="14" spans="1:8" x14ac:dyDescent="0.2">
      <c r="A14" t="s">
        <v>14</v>
      </c>
      <c r="B14">
        <v>4.46</v>
      </c>
    </row>
    <row r="15" spans="1:8" x14ac:dyDescent="0.2">
      <c r="A15" t="s">
        <v>15</v>
      </c>
      <c r="B15">
        <v>4.0000000000000001E-3</v>
      </c>
    </row>
    <row r="16" spans="1:8" x14ac:dyDescent="0.2">
      <c r="A16" t="s">
        <v>16</v>
      </c>
      <c r="B16">
        <v>10.87405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2025-06-12T04:22:21Z</dcterms:created>
  <dcterms:modified xsi:type="dcterms:W3CDTF">2025-06-12T04:24:03Z</dcterms:modified>
</cp:coreProperties>
</file>