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52780C01-5EEA-4F1B-8FC6-BA576FAD3BDE}" xr6:coauthVersionLast="47" xr6:coauthVersionMax="47" xr10:uidLastSave="{00000000-0000-0000-0000-000000000000}"/>
  <bookViews>
    <workbookView xWindow="28680" yWindow="4920" windowWidth="29040" windowHeight="15720" activeTab="1" xr2:uid="{C95F270E-A3D3-4E9B-AE29-6C43746A325B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orthopyroxene" sheetId="13" r:id="rId7"/>
    <sheet name="rhm-oxide" sheetId="12" r:id="rId8"/>
    <sheet name="spinel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B1" i="18"/>
  <c r="C2" i="14"/>
  <c r="C4" i="14"/>
  <c r="C8" i="14"/>
  <c r="C10" i="14"/>
  <c r="E8" i="14"/>
  <c r="F2" i="14"/>
  <c r="F10" i="14"/>
  <c r="C5" i="14"/>
  <c r="C11" i="14"/>
  <c r="D11" i="14"/>
  <c r="E7" i="14"/>
  <c r="F3" i="14"/>
  <c r="G3" i="14"/>
  <c r="H11" i="14"/>
  <c r="D2" i="14"/>
  <c r="D4" i="14"/>
  <c r="D8" i="14"/>
  <c r="D10" i="14"/>
  <c r="E4" i="14"/>
  <c r="E10" i="14"/>
  <c r="F4" i="14"/>
  <c r="F8" i="14"/>
  <c r="H10" i="14"/>
  <c r="C7" i="14"/>
  <c r="C9" i="14"/>
  <c r="D7" i="14"/>
  <c r="E3" i="14"/>
  <c r="E11" i="14"/>
  <c r="F7" i="14"/>
  <c r="G5" i="14"/>
  <c r="G11" i="14"/>
  <c r="H9" i="14"/>
  <c r="E2" i="14"/>
  <c r="D5" i="14"/>
  <c r="E9" i="14"/>
  <c r="F9" i="14"/>
  <c r="G7" i="14"/>
  <c r="H7" i="14"/>
  <c r="G2" i="14"/>
  <c r="G4" i="14"/>
  <c r="G8" i="14"/>
  <c r="G10" i="14"/>
  <c r="H2" i="14"/>
  <c r="H8" i="14"/>
  <c r="C3" i="14"/>
  <c r="D3" i="14"/>
  <c r="D9" i="14"/>
  <c r="E5" i="14"/>
  <c r="F5" i="14"/>
  <c r="F11" i="14"/>
  <c r="G9" i="14"/>
  <c r="H5" i="14"/>
  <c r="B11" i="14"/>
  <c r="B10" i="14"/>
  <c r="B9" i="14"/>
  <c r="B8" i="14"/>
  <c r="B7" i="14"/>
  <c r="B6" i="14"/>
  <c r="B5" i="14"/>
  <c r="B4" i="14"/>
  <c r="B3" i="14"/>
  <c r="B2" i="14"/>
  <c r="G2" i="18" l="1"/>
  <c r="D2" i="18"/>
  <c r="H4" i="18"/>
  <c r="G4" i="18"/>
  <c r="H3" i="18"/>
  <c r="G3" i="18"/>
  <c r="F2" i="18"/>
  <c r="E2" i="18"/>
  <c r="H2" i="18"/>
  <c r="F3" i="18"/>
  <c r="D3" i="18"/>
  <c r="C2" i="18"/>
  <c r="C3" i="18"/>
  <c r="F4" i="18"/>
  <c r="D4" i="18"/>
  <c r="E3" i="18"/>
  <c r="E4" i="18"/>
  <c r="C4" i="18"/>
  <c r="B4" i="18"/>
  <c r="B3" i="18"/>
  <c r="B2" i="18"/>
  <c r="C6" i="18" l="1"/>
  <c r="C7" i="18"/>
  <c r="H6" i="18"/>
  <c r="H7" i="18"/>
  <c r="F6" i="18"/>
  <c r="F7" i="18"/>
  <c r="D6" i="18"/>
  <c r="D7" i="18"/>
  <c r="E6" i="18"/>
  <c r="E7" i="18"/>
  <c r="G6" i="18"/>
  <c r="G7" i="18"/>
  <c r="B6" i="18"/>
  <c r="B7" i="18"/>
  <c r="J7" i="18" l="1"/>
  <c r="K7" i="18" s="1"/>
  <c r="J6" i="18"/>
  <c r="B13" i="18" s="1"/>
  <c r="K6" i="18" l="1"/>
  <c r="L7" i="18"/>
  <c r="L6" i="18"/>
  <c r="N6" i="18" s="1" a="1"/>
  <c r="P6" i="18" s="1"/>
  <c r="N7" i="18" a="1"/>
  <c r="N7" i="18" l="1"/>
  <c r="P7" i="18"/>
  <c r="O7" i="18"/>
  <c r="B14" i="18" s="1"/>
  <c r="C14" i="18" s="1"/>
  <c r="N6" i="18"/>
  <c r="O6" i="18"/>
  <c r="B9" i="18"/>
  <c r="C9" i="18"/>
  <c r="E9" i="18"/>
  <c r="D9" i="18"/>
  <c r="F9" i="18"/>
  <c r="G9" i="18"/>
  <c r="H9" i="18"/>
  <c r="C13" i="18"/>
  <c r="C10" i="18" l="1"/>
  <c r="E10" i="18"/>
  <c r="D10" i="18"/>
  <c r="H10" i="18"/>
  <c r="B10" i="18"/>
  <c r="F10" i="18"/>
  <c r="G10" i="18"/>
</calcChain>
</file>

<file path=xl/sharedStrings.xml><?xml version="1.0" encoding="utf-8"?>
<sst xmlns="http://schemas.openxmlformats.org/spreadsheetml/2006/main" count="708" uniqueCount="152">
  <si>
    <t xml:space="preserve"> </t>
  </si>
  <si>
    <t>061225-Glazner-13-21BRJ06-c1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</si>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</sst>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751</c:v>
                </c:pt>
                <c:pt idx="1">
                  <c:v>755</c:v>
                </c:pt>
                <c:pt idx="2">
                  <c:v>763</c:v>
                </c:pt>
                <c:pt idx="3">
                  <c:v>772</c:v>
                </c:pt>
                <c:pt idx="4">
                  <c:v>782</c:v>
                </c:pt>
                <c:pt idx="5">
                  <c:v>793</c:v>
                </c:pt>
                <c:pt idx="6">
                  <c:v>808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10-4BEF-9179-1C09B010EC03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736</c:v>
                </c:pt>
                <c:pt idx="1">
                  <c:v>740</c:v>
                </c:pt>
                <c:pt idx="2">
                  <c:v>744</c:v>
                </c:pt>
                <c:pt idx="3">
                  <c:v>748</c:v>
                </c:pt>
                <c:pt idx="4">
                  <c:v>754</c:v>
                </c:pt>
                <c:pt idx="5">
                  <c:v>760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10-4BEF-9179-1C09B010EC03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749</c:v>
                </c:pt>
                <c:pt idx="4">
                  <c:v>754</c:v>
                </c:pt>
                <c:pt idx="5">
                  <c:v>760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10-4BEF-9179-1C09B010EC03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10-4BEF-9179-1C09B010EC03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738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C10-4BEF-9179-1C09B010EC03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747</c:v>
                </c:pt>
                <c:pt idx="1">
                  <c:v>754</c:v>
                </c:pt>
                <c:pt idx="2">
                  <c:v>762</c:v>
                </c:pt>
                <c:pt idx="3">
                  <c:v>771</c:v>
                </c:pt>
                <c:pt idx="4">
                  <c:v>781</c:v>
                </c:pt>
                <c:pt idx="5">
                  <c:v>793</c:v>
                </c:pt>
                <c:pt idx="6">
                  <c:v>807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10-4BEF-9179-1C09B010EC03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C10-4BEF-9179-1C09B010EC03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750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775</c:v>
                </c:pt>
                <c:pt idx="6">
                  <c:v>784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C10-4BEF-9179-1C09B010EC03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Phase_Data!$B$10:$H$10</c:f>
              <c:numCache>
                <c:formatCode>General</c:formatCode>
                <c:ptCount val="7"/>
                <c:pt idx="0">
                  <c:v>751</c:v>
                </c:pt>
                <c:pt idx="1">
                  <c:v>755</c:v>
                </c:pt>
                <c:pt idx="2">
                  <c:v>763</c:v>
                </c:pt>
                <c:pt idx="3">
                  <c:v>772</c:v>
                </c:pt>
                <c:pt idx="4">
                  <c:v>782</c:v>
                </c:pt>
                <c:pt idx="5">
                  <c:v>793</c:v>
                </c:pt>
                <c:pt idx="6">
                  <c:v>808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C10-4BEF-9179-1C09B010E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10384"/>
        <c:axId val="1200751632"/>
      </c:scatterChart>
      <c:valAx>
        <c:axId val="174810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00751632"/>
        <c:crosses val="autoZero"/>
        <c:crossBetween val="midCat"/>
      </c:valAx>
      <c:valAx>
        <c:axId val="1200751632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481038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750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775</c:v>
                </c:pt>
                <c:pt idx="6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4D-4BBE-B09F-449CD6B876AB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754</c:v>
                </c:pt>
                <c:pt idx="2">
                  <c:v>762</c:v>
                </c:pt>
                <c:pt idx="3">
                  <c:v>771</c:v>
                </c:pt>
                <c:pt idx="4">
                  <c:v>781</c:v>
                </c:pt>
                <c:pt idx="5">
                  <c:v>793</c:v>
                </c:pt>
                <c:pt idx="6">
                  <c:v>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4D-4BBE-B09F-449CD6B876AB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748</c:v>
                </c:pt>
                <c:pt idx="3">
                  <c:v>752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4D-4BBE-B09F-449CD6B87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5712"/>
        <c:axId val="76997632"/>
      </c:scatterChart>
      <c:valAx>
        <c:axId val="769957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997632"/>
        <c:crosses val="autoZero"/>
        <c:crossBetween val="midCat"/>
      </c:valAx>
      <c:valAx>
        <c:axId val="7699763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9957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750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775</c:v>
                </c:pt>
                <c:pt idx="6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7E-4D7C-8E3F-BA637B19E9B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754</c:v>
                </c:pt>
                <c:pt idx="2">
                  <c:v>762</c:v>
                </c:pt>
                <c:pt idx="3">
                  <c:v>771</c:v>
                </c:pt>
                <c:pt idx="4">
                  <c:v>781</c:v>
                </c:pt>
                <c:pt idx="5">
                  <c:v>793</c:v>
                </c:pt>
                <c:pt idx="6">
                  <c:v>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D7C-8E3F-BA637B19E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673984"/>
        <c:axId val="372670624"/>
      </c:scatterChart>
      <c:valAx>
        <c:axId val="3726739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2670624"/>
        <c:crosses val="autoZero"/>
        <c:crossBetween val="midCat"/>
      </c:valAx>
      <c:valAx>
        <c:axId val="37267062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7267398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29</c:v>
                </c:pt>
                <c:pt idx="6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1-468B-96E0-C8202B7C076C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91-468B-96E0-C8202B7C076C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91-468B-96E0-C8202B7C0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741920"/>
        <c:axId val="171761904"/>
      </c:scatterChart>
      <c:valAx>
        <c:axId val="20007419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1761904"/>
        <c:crosses val="autoZero"/>
        <c:crossBetween val="midCat"/>
      </c:valAx>
      <c:valAx>
        <c:axId val="1717619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074192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10</c:v>
                </c:pt>
                <c:pt idx="4">
                  <c:v>14</c:v>
                </c:pt>
                <c:pt idx="5">
                  <c:v>18</c:v>
                </c:pt>
                <c:pt idx="6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8A-455A-AB57-4C7E9EB93F37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2.7500000000100897</c:v>
                </c:pt>
                <c:pt idx="1">
                  <c:v>2.7500000000033253</c:v>
                </c:pt>
                <c:pt idx="2">
                  <c:v>5.2500000000017053</c:v>
                </c:pt>
                <c:pt idx="3">
                  <c:v>10.25000000000523</c:v>
                </c:pt>
                <c:pt idx="4">
                  <c:v>17.75000000001387</c:v>
                </c:pt>
                <c:pt idx="5">
                  <c:v>27.750000000027654</c:v>
                </c:pt>
                <c:pt idx="6">
                  <c:v>40.250000000046583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8A-455A-AB57-4C7E9EB93F37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262.49999999993241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2.4375000000060538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8A-455A-AB57-4C7E9EB93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063568"/>
        <c:axId val="736061648"/>
      </c:scatterChart>
      <c:valAx>
        <c:axId val="7360635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36061648"/>
        <c:crosses val="autoZero"/>
        <c:crossBetween val="midCat"/>
      </c:valAx>
      <c:valAx>
        <c:axId val="7360616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360635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1F4D673-4CCA-4992-B241-A34C87C1FEC7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4F2C6A-C73B-D9F8-3676-FF10BD7F3D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E3613C-50AC-7D15-C3CF-45EBEA10D0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3E004F-5B59-4E36-DB43-7D621ECA41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D50A7B-3F44-5706-1FAF-F3D2C7B0D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ED96312-9A8D-628B-FE10-533DB30E67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BE72-AE75-4C4F-A7EE-DB6FFE4E4BC4}">
  <dimension ref="A1:P14"/>
  <sheetViews>
    <sheetView tabSelected="1" workbookViewId="0"/>
  </sheetViews>
  <sheetFormatPr defaultRowHeight="15" x14ac:dyDescent="0.2"/>
  <sheetData>
    <row r="1" spans="1:16" x14ac:dyDescent="0.2">
      <c r="A1" t="s">
        <v>137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144</v>
      </c>
      <c r="K1" t="s">
        <v>145</v>
      </c>
      <c r="L1" t="s">
        <v>146</v>
      </c>
      <c r="N1" t="s">
        <v>147</v>
      </c>
      <c r="O1" t="s">
        <v>148</v>
      </c>
      <c r="P1" t="s">
        <v>149</v>
      </c>
    </row>
    <row r="2" spans="1:16" x14ac:dyDescent="0.2">
      <c r="A2" t="s">
        <v>96</v>
      </c>
      <c r="B2">
        <f ca="1">IFERROR(VLOOKUP($A2,Phase_Data!$1:$1048576,COLUMN(),0),"-")</f>
        <v>750</v>
      </c>
      <c r="C2">
        <f ca="1">IFERROR(VLOOKUP($A2,Phase_Data!$1:$1048576,COLUMN(),0),"-")</f>
        <v>752</v>
      </c>
      <c r="D2">
        <f ca="1">IFERROR(VLOOKUP($A2,Phase_Data!$1:$1048576,COLUMN(),0),"-")</f>
        <v>756</v>
      </c>
      <c r="E2">
        <f ca="1">IFERROR(VLOOKUP($A2,Phase_Data!$1:$1048576,COLUMN(),0),"-")</f>
        <v>761</v>
      </c>
      <c r="F2">
        <f ca="1">IFERROR(VLOOKUP($A2,Phase_Data!$1:$1048576,COLUMN(),0),"-")</f>
        <v>767</v>
      </c>
      <c r="G2">
        <f ca="1">IFERROR(VLOOKUP($A2,Phase_Data!$1:$1048576,COLUMN(),0),"-")</f>
        <v>775</v>
      </c>
      <c r="H2">
        <f ca="1">IFERROR(VLOOKUP($A2,Phase_Data!$1:$1048576,COLUMN(),0),"-")</f>
        <v>784</v>
      </c>
    </row>
    <row r="3" spans="1:16" x14ac:dyDescent="0.2">
      <c r="A3" t="s">
        <v>135</v>
      </c>
      <c r="B3">
        <f ca="1">IFERROR(VLOOKUP($A3,Phase_Data!$1:$1048576,COLUMN(),0),"-")</f>
        <v>747</v>
      </c>
      <c r="C3">
        <f ca="1">IFERROR(VLOOKUP($A3,Phase_Data!$1:$1048576,COLUMN(),0),"-")</f>
        <v>754</v>
      </c>
      <c r="D3">
        <f ca="1">IFERROR(VLOOKUP($A3,Phase_Data!$1:$1048576,COLUMN(),0),"-")</f>
        <v>762</v>
      </c>
      <c r="E3">
        <f ca="1">IFERROR(VLOOKUP($A3,Phase_Data!$1:$1048576,COLUMN(),0),"-")</f>
        <v>771</v>
      </c>
      <c r="F3">
        <f ca="1">IFERROR(VLOOKUP($A3,Phase_Data!$1:$1048576,COLUMN(),0),"-")</f>
        <v>781</v>
      </c>
      <c r="G3">
        <f ca="1">IFERROR(VLOOKUP($A3,Phase_Data!$1:$1048576,COLUMN(),0),"-")</f>
        <v>793</v>
      </c>
      <c r="H3">
        <f ca="1">IFERROR(VLOOKUP($A3,Phase_Data!$1:$1048576,COLUMN(),0),"-")</f>
        <v>807</v>
      </c>
    </row>
    <row r="4" spans="1:16" x14ac:dyDescent="0.2">
      <c r="A4" t="s">
        <v>136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748</v>
      </c>
      <c r="E4">
        <f ca="1">IFERROR(VLOOKUP($A4,Phase_Data!$1:$1048576,COLUMN(),0),"-")</f>
        <v>752</v>
      </c>
      <c r="F4">
        <f ca="1">IFERROR(VLOOKUP($A4,Phase_Data!$1:$1048576,COLUMN(),0),"-")</f>
        <v>758</v>
      </c>
      <c r="G4">
        <f ca="1">IFERROR(VLOOKUP($A4,Phase_Data!$1:$1048576,COLUMN(),0),"-")</f>
        <v>764</v>
      </c>
      <c r="H4">
        <f ca="1">IFERROR(VLOOKUP($A4,Phase_Data!$1:$1048576,COLUMN(),0),"-")</f>
        <v>773</v>
      </c>
    </row>
    <row r="6" spans="1:16" x14ac:dyDescent="0.2">
      <c r="A6" t="s">
        <v>138</v>
      </c>
      <c r="B6">
        <f ca="1">IF(AND(B2&lt;&gt;0,B3&lt;&gt;0,B4&lt;&gt;0),MAX(B2:B4)-MIN(B2:B4),"-")</f>
        <v>11</v>
      </c>
      <c r="C6">
        <f t="shared" ref="C6:H6" ca="1" si="0">IF(AND(C2&lt;&gt;0,C3&lt;&gt;0,C4&lt;&gt;0),MAX(C2:C4)-MIN(C2:C4),"-")</f>
        <v>11</v>
      </c>
      <c r="D6">
        <f t="shared" ca="1" si="0"/>
        <v>14</v>
      </c>
      <c r="E6">
        <f t="shared" ca="1" si="0"/>
        <v>19</v>
      </c>
      <c r="F6">
        <f t="shared" ca="1" si="0"/>
        <v>23</v>
      </c>
      <c r="G6">
        <f t="shared" ca="1" si="0"/>
        <v>29</v>
      </c>
      <c r="H6">
        <f t="shared" ca="1" si="0"/>
        <v>34</v>
      </c>
      <c r="J6">
        <f ca="1">MIN(B6:H6)</f>
        <v>11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139</v>
      </c>
      <c r="B7">
        <f ca="1">IF(AND(MAX(B2:B4)&lt;&gt;0,LARGE(B2:B4,2)&lt;&gt;0),MAX(B2:B4)-LARGE(B2:B4,2),"-")</f>
        <v>3</v>
      </c>
      <c r="C7">
        <f t="shared" ref="C7:H7" ca="1" si="1">IF(AND(MAX(C2:C4)&lt;&gt;0,LARGE(C2:C4,2)&lt;&gt;0),MAX(C2:C4)-LARGE(C2:C4,2),"-")</f>
        <v>2</v>
      </c>
      <c r="D7">
        <f t="shared" ca="1" si="1"/>
        <v>6</v>
      </c>
      <c r="E7">
        <f t="shared" ca="1" si="1"/>
        <v>10</v>
      </c>
      <c r="F7">
        <f t="shared" ca="1" si="1"/>
        <v>14</v>
      </c>
      <c r="G7">
        <f t="shared" ca="1" si="1"/>
        <v>18</v>
      </c>
      <c r="H7">
        <f t="shared" ca="1" si="1"/>
        <v>23</v>
      </c>
      <c r="J7">
        <f ca="1">MIN(B7:H7)</f>
        <v>2</v>
      </c>
      <c r="K7">
        <f ca="1">IF(J7&lt;=5,INDEX(B$1:H$1,1,MATCH(J7,B7:H7,0)),"-")</f>
        <v>250</v>
      </c>
      <c r="L7">
        <f ca="1">IF(J7&lt;=5,MATCH(J7,B7:H7,0),"-")</f>
        <v>2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140.25000000021828</v>
      </c>
      <c r="O7">
        <f ca="1"/>
        <v>-1.0500000000018872</v>
      </c>
      <c r="P7">
        <f ca="1"/>
        <v>2.0000000000041096E-3</v>
      </c>
    </row>
    <row r="9" spans="1:16" x14ac:dyDescent="0.2">
      <c r="A9" t="s">
        <v>140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141</v>
      </c>
      <c r="B10">
        <f ca="1">IFERROR(IF($P7&gt;0,$P7*B$1^2+$O7*B$1+$N7,"-"),"-")</f>
        <v>2.7500000000100897</v>
      </c>
      <c r="C10">
        <f ca="1">IFERROR(IF($P7&gt;0,$P7*C$1^2+$O7*C$1+$N7,"-"),"-")</f>
        <v>2.7500000000033253</v>
      </c>
      <c r="D10">
        <f ca="1">IFERROR(IF($P7&gt;0,$P7*D$1^2+$O7*D$1+$N7,"-"),"-")</f>
        <v>5.2500000000017053</v>
      </c>
      <c r="E10">
        <f ca="1">IFERROR(IF($P7&gt;0,$P7*E$1^2+$O7*E$1+$N7,"-"),"-")</f>
        <v>10.25000000000523</v>
      </c>
      <c r="F10">
        <f ca="1">IFERROR(IF($P7&gt;0,$P7*F$1^2+$O7*F$1+$N7,"-"),"-")</f>
        <v>17.75000000001387</v>
      </c>
      <c r="G10">
        <f ca="1">IFERROR(IF($P7&gt;0,$P7*G$1^2+$O7*G$1+$N7,"-"),"-")</f>
        <v>27.750000000027654</v>
      </c>
      <c r="H10">
        <f ca="1">IFERROR(IF($P7&gt;0,$P7*H$1^2+$O7*H$1+$N7,"-"),"-")</f>
        <v>40.250000000046583</v>
      </c>
    </row>
    <row r="12" spans="1:16" x14ac:dyDescent="0.2">
      <c r="B12" t="s">
        <v>150</v>
      </c>
      <c r="C12" t="s">
        <v>151</v>
      </c>
    </row>
    <row r="13" spans="1:16" x14ac:dyDescent="0.2">
      <c r="A13" t="s">
        <v>142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143</v>
      </c>
      <c r="B14" s="2">
        <f ca="1">IFERROR(IF($J7&lt;=5,IF($P7&gt;0,-$O7/(2*$P7),"-"),"-"),"-")</f>
        <v>262.49999999993241</v>
      </c>
      <c r="C14" s="2">
        <f ca="1">IFERROR(IF($P7&gt;0,$P7*B14^2+$O7*B14+$N7,"-"),"-")</f>
        <v>2.4375000000060538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0E705-E27C-430A-95EA-9B152D767CDF}">
  <sheetPr codeName="Sheet2"/>
  <dimension ref="A1:H11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134</v>
      </c>
      <c r="B2">
        <f ca="1">_xlfn.IFNA(INDEX(INDIRECT("'"&amp;$A2&amp;"'!$B:$B"),MATCH(B$1,INDIRECT("'"&amp;$A2&amp;"'!$c:$c"),0)),"")</f>
        <v>751</v>
      </c>
      <c r="C2">
        <f t="shared" ref="C2:H11" ca="1" si="0">_xlfn.IFNA(INDEX(INDIRECT("'"&amp;$A2&amp;"'!$B:$B"),MATCH(C$1,INDIRECT("'"&amp;$A2&amp;"'!$c:$c"),0)),"")</f>
        <v>755</v>
      </c>
      <c r="D2">
        <f t="shared" ca="1" si="0"/>
        <v>763</v>
      </c>
      <c r="E2">
        <f t="shared" ca="1" si="0"/>
        <v>772</v>
      </c>
      <c r="F2">
        <f t="shared" ca="1" si="0"/>
        <v>782</v>
      </c>
      <c r="G2">
        <f t="shared" ca="1" si="0"/>
        <v>793</v>
      </c>
      <c r="H2">
        <f t="shared" ca="1" si="0"/>
        <v>808</v>
      </c>
    </row>
    <row r="3" spans="1:8" x14ac:dyDescent="0.2">
      <c r="A3" t="s">
        <v>94</v>
      </c>
      <c r="B3">
        <f ca="1">_xlfn.IFNA(INDEX(INDIRECT("'"&amp;$A3&amp;"'!$B:$B"),MATCH(B$1,INDIRECT("'"&amp;$A3&amp;"'!$c:$c"),0)),"")</f>
        <v>736</v>
      </c>
      <c r="C3">
        <f t="shared" ca="1" si="0"/>
        <v>740</v>
      </c>
      <c r="D3">
        <f t="shared" ca="1" si="0"/>
        <v>744</v>
      </c>
      <c r="E3">
        <f t="shared" ca="1" si="0"/>
        <v>748</v>
      </c>
      <c r="F3">
        <f t="shared" ca="1" si="0"/>
        <v>754</v>
      </c>
      <c r="G3">
        <f t="shared" ca="1" si="0"/>
        <v>760</v>
      </c>
    </row>
    <row r="4" spans="1:8" x14ac:dyDescent="0.2">
      <c r="A4" t="s">
        <v>97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745</v>
      </c>
      <c r="E4">
        <f t="shared" ca="1" si="0"/>
        <v>749</v>
      </c>
      <c r="F4">
        <f t="shared" ca="1" si="0"/>
        <v>754</v>
      </c>
      <c r="G4">
        <f t="shared" ca="1" si="0"/>
        <v>760</v>
      </c>
    </row>
    <row r="5" spans="1:8" x14ac:dyDescent="0.2">
      <c r="A5" t="s">
        <v>101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747</v>
      </c>
      <c r="E5">
        <f t="shared" ca="1" si="0"/>
        <v>752</v>
      </c>
      <c r="F5">
        <f t="shared" ca="1" si="0"/>
        <v>757</v>
      </c>
      <c r="G5">
        <f t="shared" ca="1" si="0"/>
        <v>764</v>
      </c>
      <c r="H5">
        <f t="shared" ca="1" si="0"/>
        <v>773</v>
      </c>
    </row>
    <row r="6" spans="1:8" x14ac:dyDescent="0.2">
      <c r="A6" t="s">
        <v>88</v>
      </c>
      <c r="B6">
        <f ca="1">_xlfn.IFNA(INDEX(INDIRECT("'"&amp;$A6&amp;"'!$B:$B"),MATCH(B$1,INDIRECT("'"&amp;$A6&amp;"'!$c:$c"),0)),"")</f>
        <v>738</v>
      </c>
    </row>
    <row r="7" spans="1:8" x14ac:dyDescent="0.2">
      <c r="A7" t="s">
        <v>135</v>
      </c>
      <c r="B7">
        <f ca="1">_xlfn.IFNA(INDEX(INDIRECT("'"&amp;$A7&amp;"'!$B:$B"),MATCH(B$1,INDIRECT("'"&amp;$A7&amp;"'!$c:$c"),0)),"")</f>
        <v>747</v>
      </c>
      <c r="C7">
        <f t="shared" ca="1" si="0"/>
        <v>754</v>
      </c>
      <c r="D7">
        <f t="shared" ca="1" si="0"/>
        <v>762</v>
      </c>
      <c r="E7">
        <f t="shared" ca="1" si="0"/>
        <v>771</v>
      </c>
      <c r="F7">
        <f t="shared" ca="1" si="0"/>
        <v>781</v>
      </c>
      <c r="G7">
        <f t="shared" ca="1" si="0"/>
        <v>793</v>
      </c>
      <c r="H7">
        <f t="shared" ca="1" si="0"/>
        <v>807</v>
      </c>
    </row>
    <row r="8" spans="1:8" x14ac:dyDescent="0.2">
      <c r="A8" t="s">
        <v>136</v>
      </c>
      <c r="B8">
        <f ca="1">_xlfn.IFNA(INDEX(INDIRECT("'"&amp;$A8&amp;"'!$B:$B"),MATCH(B$1,INDIRECT("'"&amp;$A8&amp;"'!$c:$c"),0)),"")</f>
        <v>739</v>
      </c>
      <c r="C8">
        <f t="shared" ca="1" si="0"/>
        <v>743</v>
      </c>
      <c r="D8">
        <f t="shared" ca="1" si="0"/>
        <v>748</v>
      </c>
      <c r="E8">
        <f t="shared" ca="1" si="0"/>
        <v>752</v>
      </c>
      <c r="F8">
        <f t="shared" ca="1" si="0"/>
        <v>758</v>
      </c>
      <c r="G8">
        <f t="shared" ca="1" si="0"/>
        <v>764</v>
      </c>
      <c r="H8">
        <f t="shared" ca="1" si="0"/>
        <v>773</v>
      </c>
    </row>
    <row r="9" spans="1:8" x14ac:dyDescent="0.2">
      <c r="A9" t="s">
        <v>96</v>
      </c>
      <c r="B9">
        <f ca="1">_xlfn.IFNA(INDEX(INDIRECT("'"&amp;$A9&amp;"'!$B:$B"),MATCH(B$1,INDIRECT("'"&amp;$A9&amp;"'!$c:$c"),0)),"")</f>
        <v>750</v>
      </c>
      <c r="C9">
        <f t="shared" ca="1" si="0"/>
        <v>752</v>
      </c>
      <c r="D9">
        <f t="shared" ca="1" si="0"/>
        <v>756</v>
      </c>
      <c r="E9">
        <f t="shared" ca="1" si="0"/>
        <v>761</v>
      </c>
      <c r="F9">
        <f t="shared" ca="1" si="0"/>
        <v>767</v>
      </c>
      <c r="G9">
        <f t="shared" ca="1" si="0"/>
        <v>775</v>
      </c>
      <c r="H9">
        <f t="shared" ca="1" si="0"/>
        <v>784</v>
      </c>
    </row>
    <row r="10" spans="1:8" x14ac:dyDescent="0.2">
      <c r="A10" t="s">
        <v>71</v>
      </c>
      <c r="B10">
        <f ca="1">_xlfn.IFNA(INDEX(INDIRECT("'"&amp;$A10&amp;"'!$B:$B"),MATCH(B$1,INDIRECT("'"&amp;$A10&amp;"'!$c:$c"),0)),"")</f>
        <v>751</v>
      </c>
      <c r="C10">
        <f t="shared" ca="1" si="0"/>
        <v>755</v>
      </c>
      <c r="D10">
        <f t="shared" ca="1" si="0"/>
        <v>763</v>
      </c>
      <c r="E10">
        <f t="shared" ca="1" si="0"/>
        <v>772</v>
      </c>
      <c r="F10">
        <f t="shared" ca="1" si="0"/>
        <v>782</v>
      </c>
      <c r="G10">
        <f t="shared" ca="1" si="0"/>
        <v>793</v>
      </c>
      <c r="H10">
        <f t="shared" ca="1" si="0"/>
        <v>808</v>
      </c>
    </row>
    <row r="11" spans="1:8" x14ac:dyDescent="0.2">
      <c r="A11" t="s">
        <v>84</v>
      </c>
      <c r="B11">
        <f ca="1">_xlfn.IFNA(INDEX(INDIRECT("'"&amp;$A11&amp;"'!$B:$B"),MATCH(B$1,INDIRECT("'"&amp;$A11&amp;"'!$c:$c"),0)),"")</f>
        <v>747</v>
      </c>
      <c r="C11">
        <f t="shared" ca="1" si="0"/>
        <v>754</v>
      </c>
      <c r="D11">
        <f t="shared" ca="1" si="0"/>
        <v>762</v>
      </c>
      <c r="E11">
        <f t="shared" ca="1" si="0"/>
        <v>771</v>
      </c>
      <c r="F11">
        <f t="shared" ca="1" si="0"/>
        <v>781</v>
      </c>
      <c r="G11">
        <f t="shared" ca="1" si="0"/>
        <v>793</v>
      </c>
      <c r="H11">
        <f t="shared" ca="1" si="0"/>
        <v>807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75796-EC7C-4EA1-B1B5-FDA919FA54E7}">
  <sheetPr codeName="Sheet3"/>
  <dimension ref="A1:Q18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751</v>
      </c>
      <c r="C2">
        <v>275</v>
      </c>
      <c r="D2">
        <v>0.29815017331445698</v>
      </c>
      <c r="E2">
        <v>109.53411644725399</v>
      </c>
      <c r="F2">
        <v>1.9909119503970201</v>
      </c>
      <c r="G2">
        <v>-1814.6205649396368</v>
      </c>
      <c r="H2">
        <v>-1494.1844163010892</v>
      </c>
      <c r="I2">
        <v>312.88215887147402</v>
      </c>
      <c r="J2">
        <v>158.48415630432899</v>
      </c>
      <c r="K2">
        <v>55.017057095574401</v>
      </c>
      <c r="L2">
        <v>0.87977820690921116</v>
      </c>
      <c r="M2">
        <v>-0.87961024829694678</v>
      </c>
      <c r="N2">
        <v>48.394844968436502</v>
      </c>
      <c r="O2">
        <v>48.394840562478699</v>
      </c>
      <c r="P2">
        <v>48.394835629883602</v>
      </c>
      <c r="Q2" t="s">
        <v>51</v>
      </c>
    </row>
    <row r="3" spans="1:17" x14ac:dyDescent="0.2">
      <c r="A3">
        <v>2</v>
      </c>
      <c r="B3">
        <v>750</v>
      </c>
      <c r="C3">
        <v>275</v>
      </c>
      <c r="D3">
        <v>0.29739578751893703</v>
      </c>
      <c r="E3">
        <v>109.534150615697</v>
      </c>
      <c r="F3">
        <v>1.9915078666161901</v>
      </c>
      <c r="G3">
        <v>-1814.3083213566379</v>
      </c>
      <c r="H3">
        <v>-1494.3706294538458</v>
      </c>
      <c r="I3">
        <v>312.70078770035798</v>
      </c>
      <c r="J3">
        <v>158.483897017408</v>
      </c>
      <c r="K3">
        <v>55.000611572681599</v>
      </c>
      <c r="L3">
        <v>0.87847344130683425</v>
      </c>
      <c r="M3">
        <v>-0.87830523102678615</v>
      </c>
      <c r="N3">
        <v>48.308601598617997</v>
      </c>
      <c r="O3">
        <v>48.308597138923197</v>
      </c>
      <c r="P3">
        <v>48.308592201248601</v>
      </c>
      <c r="Q3" t="s">
        <v>51</v>
      </c>
    </row>
    <row r="4" spans="1:17" x14ac:dyDescent="0.2">
      <c r="A4">
        <v>3</v>
      </c>
      <c r="B4">
        <v>749</v>
      </c>
      <c r="C4">
        <v>275</v>
      </c>
      <c r="D4">
        <v>0.29663992564692099</v>
      </c>
      <c r="E4">
        <v>109.534186521788</v>
      </c>
      <c r="F4">
        <v>1.99211342373502</v>
      </c>
      <c r="G4">
        <v>-1813.9962951194657</v>
      </c>
      <c r="H4">
        <v>-1494.5657935863342</v>
      </c>
      <c r="I4">
        <v>312.51051870642698</v>
      </c>
      <c r="J4">
        <v>158.48610126190999</v>
      </c>
      <c r="K4">
        <v>54.983910663290501</v>
      </c>
      <c r="L4">
        <v>0.87670735715947234</v>
      </c>
      <c r="M4">
        <v>-0.87653877891863219</v>
      </c>
      <c r="N4">
        <v>48.196806578065598</v>
      </c>
      <c r="O4">
        <v>48.1968020612861</v>
      </c>
      <c r="P4">
        <v>48.196797115190698</v>
      </c>
      <c r="Q4" t="s">
        <v>51</v>
      </c>
    </row>
    <row r="5" spans="1:17" x14ac:dyDescent="0.2">
      <c r="A5">
        <v>4</v>
      </c>
      <c r="B5">
        <v>748</v>
      </c>
      <c r="C5">
        <v>275</v>
      </c>
      <c r="D5">
        <v>0.29588258336189799</v>
      </c>
      <c r="E5">
        <v>109.534222567916</v>
      </c>
      <c r="F5">
        <v>1.99272062191882</v>
      </c>
      <c r="G5">
        <v>-1813.6844613763319</v>
      </c>
      <c r="H5">
        <v>-1494.7607966467347</v>
      </c>
      <c r="I5">
        <v>312.32022325455898</v>
      </c>
      <c r="J5">
        <v>158.48823042722199</v>
      </c>
      <c r="K5">
        <v>54.967174707332603</v>
      </c>
      <c r="L5">
        <v>0.87495047677892945</v>
      </c>
      <c r="M5">
        <v>-0.87478153556422</v>
      </c>
      <c r="N5">
        <v>48.085546033693603</v>
      </c>
      <c r="O5">
        <v>48.085541459637497</v>
      </c>
      <c r="P5">
        <v>48.085536505308099</v>
      </c>
      <c r="Q5" t="s">
        <v>51</v>
      </c>
    </row>
    <row r="6" spans="1:17" x14ac:dyDescent="0.2">
      <c r="A6">
        <v>5</v>
      </c>
      <c r="B6">
        <v>747</v>
      </c>
      <c r="C6">
        <v>275</v>
      </c>
      <c r="D6">
        <v>0.29512375631034898</v>
      </c>
      <c r="E6">
        <v>109.53425964050101</v>
      </c>
      <c r="F6">
        <v>1.9918252212210299</v>
      </c>
      <c r="G6">
        <v>-1813.3728835241761</v>
      </c>
      <c r="H6">
        <v>-1495.149294977396</v>
      </c>
      <c r="I6">
        <v>311.94018122607702</v>
      </c>
      <c r="J6">
        <v>158.51688812601</v>
      </c>
      <c r="K6">
        <v>54.9919031416593</v>
      </c>
      <c r="L6">
        <v>0.86329735430499144</v>
      </c>
      <c r="M6">
        <v>-0.863124053209398</v>
      </c>
      <c r="N6">
        <v>47.466141201146101</v>
      </c>
      <c r="O6">
        <v>47.466136475731602</v>
      </c>
      <c r="P6">
        <v>47.466131397204002</v>
      </c>
      <c r="Q6" t="s">
        <v>51</v>
      </c>
    </row>
    <row r="7" spans="1:17" x14ac:dyDescent="0.2">
      <c r="A7">
        <v>6</v>
      </c>
      <c r="B7">
        <v>746</v>
      </c>
      <c r="C7">
        <v>275</v>
      </c>
      <c r="D7">
        <v>0.29436344012167098</v>
      </c>
      <c r="E7">
        <v>109.53429727279</v>
      </c>
      <c r="F7">
        <v>1.98947635040688</v>
      </c>
      <c r="G7">
        <v>-1813.0618321411716</v>
      </c>
      <c r="H7">
        <v>-1495.7260164681179</v>
      </c>
      <c r="I7">
        <v>311.37527145721498</v>
      </c>
      <c r="J7">
        <v>158.57474153541301</v>
      </c>
      <c r="K7">
        <v>55.056848125079803</v>
      </c>
      <c r="L7">
        <v>0.8420076500980348</v>
      </c>
      <c r="M7">
        <v>-0.84182610905586674</v>
      </c>
      <c r="N7">
        <v>46.349658902487803</v>
      </c>
      <c r="O7">
        <v>46.349653932365896</v>
      </c>
      <c r="P7">
        <v>46.349648616846103</v>
      </c>
      <c r="Q7" t="s">
        <v>51</v>
      </c>
    </row>
    <row r="8" spans="1:17" x14ac:dyDescent="0.2">
      <c r="A8">
        <v>7</v>
      </c>
      <c r="B8">
        <v>745</v>
      </c>
      <c r="C8">
        <v>275</v>
      </c>
      <c r="D8">
        <v>0.29360163040809401</v>
      </c>
      <c r="E8">
        <v>109.534334454142</v>
      </c>
      <c r="F8">
        <v>1.98705093101827</v>
      </c>
      <c r="G8">
        <v>-1812.7513441207859</v>
      </c>
      <c r="H8">
        <v>-1496.3145676903987</v>
      </c>
      <c r="I8">
        <v>310.79818966523999</v>
      </c>
      <c r="J8">
        <v>158.638621107673</v>
      </c>
      <c r="K8">
        <v>55.124069919038597</v>
      </c>
      <c r="L8">
        <v>0.82009449683645796</v>
      </c>
      <c r="M8">
        <v>-0.81990448884730172</v>
      </c>
      <c r="N8">
        <v>45.197900432597102</v>
      </c>
      <c r="O8">
        <v>45.1978952094249</v>
      </c>
      <c r="P8">
        <v>45.197889650056403</v>
      </c>
      <c r="Q8" t="s">
        <v>51</v>
      </c>
    </row>
    <row r="9" spans="1:17" x14ac:dyDescent="0.2">
      <c r="A9">
        <v>8</v>
      </c>
      <c r="B9">
        <v>744</v>
      </c>
      <c r="C9">
        <v>275</v>
      </c>
      <c r="D9">
        <v>0.29283832276459099</v>
      </c>
      <c r="E9">
        <v>109.534371096588</v>
      </c>
      <c r="F9">
        <v>1.9845323406514299</v>
      </c>
      <c r="G9">
        <v>-1812.441431593069</v>
      </c>
      <c r="H9">
        <v>-1496.917929251907</v>
      </c>
      <c r="I9">
        <v>310.20598220836803</v>
      </c>
      <c r="J9">
        <v>158.708879502016</v>
      </c>
      <c r="K9">
        <v>55.194046906100603</v>
      </c>
      <c r="L9">
        <v>0.79739536114470144</v>
      </c>
      <c r="M9">
        <v>-0.79719660593664177</v>
      </c>
      <c r="N9">
        <v>44.001998317491001</v>
      </c>
      <c r="O9">
        <v>44.001992831556002</v>
      </c>
      <c r="P9">
        <v>44.001987019906203</v>
      </c>
      <c r="Q9" t="s">
        <v>51</v>
      </c>
    </row>
    <row r="10" spans="1:17" x14ac:dyDescent="0.2">
      <c r="A10">
        <v>9</v>
      </c>
      <c r="B10">
        <v>743</v>
      </c>
      <c r="C10">
        <v>275</v>
      </c>
      <c r="D10">
        <v>0.29207351276878402</v>
      </c>
      <c r="E10">
        <v>109.534407072462</v>
      </c>
      <c r="F10">
        <v>1.98189559829329</v>
      </c>
      <c r="G10">
        <v>-1812.1321096402235</v>
      </c>
      <c r="H10">
        <v>-1497.5405165628742</v>
      </c>
      <c r="I10">
        <v>309.59427505866699</v>
      </c>
      <c r="J10">
        <v>158.786001332578</v>
      </c>
      <c r="K10">
        <v>55.267496010782303</v>
      </c>
      <c r="L10">
        <v>0.77366935830446881</v>
      </c>
      <c r="M10">
        <v>-0.77346149605717363</v>
      </c>
      <c r="N10">
        <v>42.748837604134302</v>
      </c>
      <c r="O10">
        <v>42.748831843659701</v>
      </c>
      <c r="P10">
        <v>42.748825768943902</v>
      </c>
      <c r="Q10" t="s">
        <v>51</v>
      </c>
    </row>
    <row r="11" spans="1:17" x14ac:dyDescent="0.2">
      <c r="A11">
        <v>10</v>
      </c>
      <c r="B11">
        <v>742</v>
      </c>
      <c r="C11">
        <v>275</v>
      </c>
      <c r="D11">
        <v>0.291307195980888</v>
      </c>
      <c r="E11">
        <v>109.534442178117</v>
      </c>
      <c r="F11">
        <v>1.97910019860312</v>
      </c>
      <c r="G11">
        <v>-1811.82339765085</v>
      </c>
      <c r="H11">
        <v>-1498.1893839643669</v>
      </c>
      <c r="I11">
        <v>308.95608226467601</v>
      </c>
      <c r="J11">
        <v>158.87072053142899</v>
      </c>
      <c r="K11">
        <v>55.345576871463102</v>
      </c>
      <c r="L11">
        <v>0.7485319132213869</v>
      </c>
      <c r="M11">
        <v>-0.7483144560560967</v>
      </c>
      <c r="N11">
        <v>41.417522292802502</v>
      </c>
      <c r="O11">
        <v>41.417516242664597</v>
      </c>
      <c r="P11">
        <v>41.417509890314498</v>
      </c>
      <c r="Q11" t="s">
        <v>51</v>
      </c>
    </row>
    <row r="12" spans="1:17" x14ac:dyDescent="0.2">
      <c r="A12">
        <v>11</v>
      </c>
      <c r="B12">
        <v>741</v>
      </c>
      <c r="C12">
        <v>275</v>
      </c>
      <c r="D12">
        <v>0.29053936794360102</v>
      </c>
      <c r="E12">
        <v>109.53447605822301</v>
      </c>
      <c r="F12">
        <v>1.97607414131554</v>
      </c>
      <c r="G12">
        <v>-1811.5153218478142</v>
      </c>
      <c r="H12">
        <v>-1498.876927988666</v>
      </c>
      <c r="I12">
        <v>308.27913065630702</v>
      </c>
      <c r="J12">
        <v>158.96427623476001</v>
      </c>
      <c r="K12">
        <v>55.430347357970199</v>
      </c>
      <c r="L12">
        <v>0.72130828226685251</v>
      </c>
      <c r="M12">
        <v>-0.72108051603029277</v>
      </c>
      <c r="N12">
        <v>39.971445416538103</v>
      </c>
      <c r="O12">
        <v>39.971439055670103</v>
      </c>
      <c r="P12">
        <v>39.971432404432797</v>
      </c>
      <c r="Q12" t="s">
        <v>51</v>
      </c>
    </row>
    <row r="13" spans="1:17" x14ac:dyDescent="0.2">
      <c r="A13">
        <v>12</v>
      </c>
      <c r="B13">
        <v>740</v>
      </c>
      <c r="C13">
        <v>275</v>
      </c>
      <c r="D13">
        <v>0.28977002418201098</v>
      </c>
      <c r="E13">
        <v>109.53450799311901</v>
      </c>
      <c r="F13">
        <v>1.97267164811716</v>
      </c>
      <c r="G13">
        <v>-1811.2079200628962</v>
      </c>
      <c r="H13">
        <v>-1499.6281058922295</v>
      </c>
      <c r="I13">
        <v>307.53871530698802</v>
      </c>
      <c r="J13">
        <v>159.06906590986799</v>
      </c>
      <c r="K13">
        <v>55.525970628546197</v>
      </c>
      <c r="L13">
        <v>0.6906429545814009</v>
      </c>
      <c r="M13">
        <v>-0.69040370852919097</v>
      </c>
      <c r="N13">
        <v>38.337121687936602</v>
      </c>
      <c r="O13">
        <v>38.337114983235402</v>
      </c>
      <c r="P13">
        <v>38.337107998367699</v>
      </c>
      <c r="Q13" t="s">
        <v>51</v>
      </c>
    </row>
    <row r="14" spans="1:17" x14ac:dyDescent="0.2">
      <c r="A14">
        <v>13</v>
      </c>
      <c r="B14">
        <v>739</v>
      </c>
      <c r="C14">
        <v>275</v>
      </c>
      <c r="D14">
        <v>0.28899916020352701</v>
      </c>
      <c r="E14">
        <v>109.534494083276</v>
      </c>
      <c r="F14">
        <v>1.9581153270003699</v>
      </c>
      <c r="G14">
        <v>-1810.9014983699046</v>
      </c>
      <c r="H14">
        <v>-1502.4419513433343</v>
      </c>
      <c r="I14">
        <v>304.760352474017</v>
      </c>
      <c r="J14">
        <v>159.29374525343499</v>
      </c>
      <c r="K14">
        <v>55.938734850245702</v>
      </c>
      <c r="L14">
        <v>0.55300447402918518</v>
      </c>
      <c r="M14">
        <v>-0.55271790602960369</v>
      </c>
      <c r="N14">
        <v>30.920484466102099</v>
      </c>
      <c r="O14">
        <v>30.9204764760781</v>
      </c>
      <c r="P14">
        <v>30.920468102203898</v>
      </c>
      <c r="Q14" t="s">
        <v>51</v>
      </c>
    </row>
    <row r="15" spans="1:17" x14ac:dyDescent="0.2">
      <c r="A15">
        <v>14</v>
      </c>
      <c r="B15">
        <v>738</v>
      </c>
      <c r="C15">
        <v>275</v>
      </c>
      <c r="D15">
        <v>0.28822677149780002</v>
      </c>
      <c r="E15">
        <v>109.544069488871</v>
      </c>
      <c r="F15">
        <v>1.9241279155219899</v>
      </c>
      <c r="G15">
        <v>-1810.7560826252554</v>
      </c>
      <c r="H15">
        <v>-1509.1047978068668</v>
      </c>
      <c r="I15">
        <v>298.32996624457502</v>
      </c>
      <c r="J15">
        <v>159.77118328534701</v>
      </c>
      <c r="K15">
        <v>56.931801989449902</v>
      </c>
      <c r="L15">
        <v>0.23966989601900757</v>
      </c>
      <c r="M15">
        <v>-0.23927588141776884</v>
      </c>
      <c r="N15">
        <v>13.6253893259029</v>
      </c>
      <c r="O15">
        <v>13.625378381891</v>
      </c>
      <c r="P15">
        <v>13.625366767938599</v>
      </c>
      <c r="Q15" t="s">
        <v>51</v>
      </c>
    </row>
    <row r="16" spans="1:17" x14ac:dyDescent="0.2">
      <c r="A16">
        <v>15</v>
      </c>
      <c r="B16">
        <v>737</v>
      </c>
      <c r="C16">
        <v>275</v>
      </c>
      <c r="D16">
        <v>0.28745285353660599</v>
      </c>
      <c r="E16">
        <v>109.54698414107</v>
      </c>
      <c r="F16">
        <v>1.9159971853761499</v>
      </c>
      <c r="G16">
        <v>-1810.5063104596225</v>
      </c>
      <c r="H16">
        <v>-1511.3278784102147</v>
      </c>
      <c r="I16">
        <v>296.17768369413301</v>
      </c>
      <c r="J16">
        <v>160.02344966802801</v>
      </c>
      <c r="K16">
        <v>57.1749191372447</v>
      </c>
      <c r="L16">
        <v>0.14675957949313839</v>
      </c>
      <c r="M16">
        <v>-0.14633643281513817</v>
      </c>
      <c r="N16">
        <v>8.3699818332264293</v>
      </c>
      <c r="O16">
        <v>8.3699699801277205</v>
      </c>
      <c r="P16">
        <v>8.3699574772768806</v>
      </c>
      <c r="Q16" t="s">
        <v>51</v>
      </c>
    </row>
    <row r="17" spans="1:17" x14ac:dyDescent="0.2">
      <c r="A17">
        <v>16</v>
      </c>
      <c r="B17">
        <v>736</v>
      </c>
      <c r="C17">
        <v>275</v>
      </c>
      <c r="D17">
        <v>0.28667740177377199</v>
      </c>
      <c r="E17">
        <v>109.54757358480801</v>
      </c>
      <c r="F17">
        <v>1.91256670681293</v>
      </c>
      <c r="G17">
        <v>-1810.2203897469883</v>
      </c>
      <c r="H17">
        <v>-1512.6093335863316</v>
      </c>
      <c r="I17">
        <v>294.91820862531802</v>
      </c>
      <c r="J17">
        <v>160.19517486664299</v>
      </c>
      <c r="K17">
        <v>57.277779224420598</v>
      </c>
      <c r="L17">
        <v>9.7445692344894461E-2</v>
      </c>
      <c r="M17">
        <v>-9.7008049452737208E-2</v>
      </c>
      <c r="N17">
        <v>5.5597222114989204</v>
      </c>
      <c r="O17">
        <v>5.5597098475235596</v>
      </c>
      <c r="P17">
        <v>5.5596969060539196</v>
      </c>
      <c r="Q17" t="s">
        <v>51</v>
      </c>
    </row>
    <row r="18" spans="1:17" x14ac:dyDescent="0.2">
      <c r="A18">
        <v>17</v>
      </c>
      <c r="B18">
        <v>735</v>
      </c>
      <c r="C18">
        <v>275</v>
      </c>
      <c r="D18">
        <v>0.285900411645091</v>
      </c>
      <c r="E18">
        <v>109.547826102008</v>
      </c>
      <c r="F18">
        <v>1.91170620948513</v>
      </c>
      <c r="G18">
        <v>-1809.9299692595905</v>
      </c>
      <c r="H18">
        <v>-1513.3655757953015</v>
      </c>
      <c r="I18">
        <v>294.17262898732099</v>
      </c>
      <c r="J18">
        <v>160.325407877847</v>
      </c>
      <c r="K18">
        <v>57.303693192225701</v>
      </c>
      <c r="L18">
        <v>7.2624821836082959E-2</v>
      </c>
      <c r="M18">
        <v>-7.2180874635509387E-2</v>
      </c>
      <c r="N18">
        <v>4.1395896350002701</v>
      </c>
      <c r="O18">
        <v>4.1395769876863104</v>
      </c>
      <c r="P18">
        <v>4.1395638616400401</v>
      </c>
      <c r="Q18" t="s">
        <v>51</v>
      </c>
    </row>
    <row r="19" spans="1:17" x14ac:dyDescent="0.2">
      <c r="A19">
        <v>18</v>
      </c>
      <c r="B19">
        <v>755</v>
      </c>
      <c r="C19">
        <v>250</v>
      </c>
      <c r="D19">
        <v>0.32790011185138401</v>
      </c>
      <c r="E19">
        <v>109.534227224426</v>
      </c>
      <c r="F19">
        <v>1.95428597654359</v>
      </c>
      <c r="G19">
        <v>-1817.2639235649169</v>
      </c>
      <c r="H19">
        <v>-1494.5103253091681</v>
      </c>
      <c r="I19">
        <v>313.91914392930801</v>
      </c>
      <c r="J19">
        <v>159.38720894660699</v>
      </c>
      <c r="K19">
        <v>56.048208163552303</v>
      </c>
      <c r="L19">
        <v>0.85995785997968677</v>
      </c>
      <c r="M19">
        <v>-0.85974402203009959</v>
      </c>
      <c r="N19">
        <v>48.188911262019502</v>
      </c>
      <c r="O19">
        <v>48.1889065598127</v>
      </c>
      <c r="P19">
        <v>48.188899307910702</v>
      </c>
      <c r="Q19" t="s">
        <v>51</v>
      </c>
    </row>
    <row r="20" spans="1:17" x14ac:dyDescent="0.2">
      <c r="A20">
        <v>19</v>
      </c>
      <c r="B20">
        <v>754</v>
      </c>
      <c r="C20">
        <v>250</v>
      </c>
      <c r="D20">
        <v>0.32717762741566497</v>
      </c>
      <c r="E20">
        <v>109.534255081297</v>
      </c>
      <c r="F20">
        <v>1.95467265741936</v>
      </c>
      <c r="G20">
        <v>-1816.9505331753949</v>
      </c>
      <c r="H20">
        <v>-1494.6910188156041</v>
      </c>
      <c r="I20">
        <v>313.74374707360198</v>
      </c>
      <c r="J20">
        <v>159.38188487192701</v>
      </c>
      <c r="K20">
        <v>56.037134742504001</v>
      </c>
      <c r="L20">
        <v>0.85905028368285552</v>
      </c>
      <c r="M20">
        <v>-0.85883606387831957</v>
      </c>
      <c r="N20">
        <v>48.128510566721701</v>
      </c>
      <c r="O20">
        <v>48.128505788654898</v>
      </c>
      <c r="P20">
        <v>48.128498525788402</v>
      </c>
      <c r="Q20" t="s">
        <v>51</v>
      </c>
    </row>
    <row r="21" spans="1:17" x14ac:dyDescent="0.2">
      <c r="A21">
        <v>20</v>
      </c>
      <c r="B21">
        <v>753</v>
      </c>
      <c r="C21">
        <v>250</v>
      </c>
      <c r="D21">
        <v>0.32645373483409301</v>
      </c>
      <c r="E21">
        <v>109.534277649308</v>
      </c>
      <c r="F21">
        <v>1.9541733332517901</v>
      </c>
      <c r="G21">
        <v>-1816.6372795192035</v>
      </c>
      <c r="H21">
        <v>-1494.9524167076106</v>
      </c>
      <c r="I21">
        <v>313.48951530498698</v>
      </c>
      <c r="J21">
        <v>159.37783866752901</v>
      </c>
      <c r="K21">
        <v>56.0514647219347</v>
      </c>
      <c r="L21">
        <v>0.8541354680090294</v>
      </c>
      <c r="M21">
        <v>-0.85391889087523098</v>
      </c>
      <c r="N21">
        <v>47.8652187586911</v>
      </c>
      <c r="O21">
        <v>47.8652138664172</v>
      </c>
      <c r="P21">
        <v>47.865206525522701</v>
      </c>
      <c r="Q21" t="s">
        <v>51</v>
      </c>
    </row>
    <row r="22" spans="1:17" x14ac:dyDescent="0.2">
      <c r="A22">
        <v>21</v>
      </c>
      <c r="B22">
        <v>752</v>
      </c>
      <c r="C22">
        <v>250</v>
      </c>
      <c r="D22">
        <v>0.32572842998585799</v>
      </c>
      <c r="E22">
        <v>109.534305402526</v>
      </c>
      <c r="F22">
        <v>1.95305023256459</v>
      </c>
      <c r="G22">
        <v>-1816.3243838368614</v>
      </c>
      <c r="H22">
        <v>-1495.3242930905997</v>
      </c>
      <c r="I22">
        <v>313.12739267629701</v>
      </c>
      <c r="J22">
        <v>159.39030519234001</v>
      </c>
      <c r="K22">
        <v>56.083711302547599</v>
      </c>
      <c r="L22">
        <v>0.84361343564885227</v>
      </c>
      <c r="M22">
        <v>-0.8433922873373888</v>
      </c>
      <c r="N22">
        <v>47.302418350477197</v>
      </c>
      <c r="O22">
        <v>47.302413297206002</v>
      </c>
      <c r="P22">
        <v>47.302405803282298</v>
      </c>
      <c r="Q22" t="s">
        <v>51</v>
      </c>
    </row>
    <row r="23" spans="1:17" x14ac:dyDescent="0.2">
      <c r="A23">
        <v>22</v>
      </c>
      <c r="B23">
        <v>751</v>
      </c>
      <c r="C23">
        <v>250</v>
      </c>
      <c r="D23">
        <v>0.32500170873407402</v>
      </c>
      <c r="E23">
        <v>109.534342300048</v>
      </c>
      <c r="F23">
        <v>1.9507689267333299</v>
      </c>
      <c r="G23">
        <v>-1816.0121323800493</v>
      </c>
      <c r="H23">
        <v>-1495.9001552353932</v>
      </c>
      <c r="I23">
        <v>312.56606087468998</v>
      </c>
      <c r="J23">
        <v>159.43378232913199</v>
      </c>
      <c r="K23">
        <v>56.149316712497203</v>
      </c>
      <c r="L23">
        <v>0.82273823039978378</v>
      </c>
      <c r="M23">
        <v>-0.82250842151725934</v>
      </c>
      <c r="N23">
        <v>46.185203970338499</v>
      </c>
      <c r="O23">
        <v>46.185198668506303</v>
      </c>
      <c r="P23">
        <v>46.185190882653401</v>
      </c>
      <c r="Q23" t="s">
        <v>51</v>
      </c>
    </row>
    <row r="24" spans="1:17" x14ac:dyDescent="0.2">
      <c r="A24">
        <v>23</v>
      </c>
      <c r="B24">
        <v>750</v>
      </c>
      <c r="C24">
        <v>250</v>
      </c>
      <c r="D24">
        <v>0.324273566925672</v>
      </c>
      <c r="E24">
        <v>109.534378757151</v>
      </c>
      <c r="F24">
        <v>1.9484305448619199</v>
      </c>
      <c r="G24">
        <v>-1815.7004398494671</v>
      </c>
      <c r="H24">
        <v>-1496.4857150783828</v>
      </c>
      <c r="I24">
        <v>311.99470226304601</v>
      </c>
      <c r="J24">
        <v>159.481960698948</v>
      </c>
      <c r="K24">
        <v>56.216722246526899</v>
      </c>
      <c r="L24">
        <v>0.80135883184284828</v>
      </c>
      <c r="M24">
        <v>-0.80112017124052015</v>
      </c>
      <c r="N24">
        <v>45.0383390419439</v>
      </c>
      <c r="O24">
        <v>45.038333483147703</v>
      </c>
      <c r="P24">
        <v>45.038325398432001</v>
      </c>
      <c r="Q24" t="s">
        <v>51</v>
      </c>
    </row>
    <row r="25" spans="1:17" x14ac:dyDescent="0.2">
      <c r="A25">
        <v>24</v>
      </c>
      <c r="B25">
        <v>749</v>
      </c>
      <c r="C25">
        <v>250</v>
      </c>
      <c r="D25">
        <v>0.32354400039133302</v>
      </c>
      <c r="E25">
        <v>109.534414699606</v>
      </c>
      <c r="F25">
        <v>1.94602294252107</v>
      </c>
      <c r="G25">
        <v>-1815.3893161225967</v>
      </c>
      <c r="H25">
        <v>-1497.0832476447604</v>
      </c>
      <c r="I25">
        <v>311.41107183508302</v>
      </c>
      <c r="J25">
        <v>159.534960418281</v>
      </c>
      <c r="K25">
        <v>56.2862915468531</v>
      </c>
      <c r="L25">
        <v>0.77935145628991198</v>
      </c>
      <c r="M25">
        <v>-0.7791037103728885</v>
      </c>
      <c r="N25">
        <v>43.854920072551501</v>
      </c>
      <c r="O25">
        <v>43.854914247363098</v>
      </c>
      <c r="P25">
        <v>43.8549058553793</v>
      </c>
      <c r="Q25" t="s">
        <v>51</v>
      </c>
    </row>
    <row r="26" spans="1:17" x14ac:dyDescent="0.2">
      <c r="A26">
        <v>25</v>
      </c>
      <c r="B26">
        <v>748</v>
      </c>
      <c r="C26">
        <v>250</v>
      </c>
      <c r="D26">
        <v>0.32281300494540499</v>
      </c>
      <c r="E26">
        <v>109.534450022256</v>
      </c>
      <c r="F26">
        <v>1.94352812596489</v>
      </c>
      <c r="G26">
        <v>-1815.0787732767967</v>
      </c>
      <c r="H26">
        <v>-1497.6960440826074</v>
      </c>
      <c r="I26">
        <v>310.81192308948499</v>
      </c>
      <c r="J26">
        <v>159.592945477201</v>
      </c>
      <c r="K26">
        <v>56.358561812876601</v>
      </c>
      <c r="L26">
        <v>0.75653728163149025</v>
      </c>
      <c r="M26">
        <v>-0.75628015467777931</v>
      </c>
      <c r="N26">
        <v>42.624998273395597</v>
      </c>
      <c r="O26">
        <v>42.624992170886301</v>
      </c>
      <c r="P26">
        <v>42.624983461076901</v>
      </c>
      <c r="Q26" t="s">
        <v>51</v>
      </c>
    </row>
    <row r="27" spans="1:17" x14ac:dyDescent="0.2">
      <c r="A27">
        <v>26</v>
      </c>
      <c r="B27">
        <v>747</v>
      </c>
      <c r="C27">
        <v>250</v>
      </c>
      <c r="D27">
        <v>0.32208057638582899</v>
      </c>
      <c r="E27">
        <v>109.53448456498499</v>
      </c>
      <c r="F27">
        <v>1.9409178436622101</v>
      </c>
      <c r="G27">
        <v>-1814.7688265286647</v>
      </c>
      <c r="H27">
        <v>-1498.3291588557024</v>
      </c>
      <c r="I27">
        <v>310.19227177232699</v>
      </c>
      <c r="J27">
        <v>159.65616415957899</v>
      </c>
      <c r="K27">
        <v>56.434374552562403</v>
      </c>
      <c r="L27">
        <v>0.73264235990756488</v>
      </c>
      <c r="M27">
        <v>-0.73237545979528573</v>
      </c>
      <c r="N27">
        <v>41.333365549275896</v>
      </c>
      <c r="O27">
        <v>41.333359156191896</v>
      </c>
      <c r="P27">
        <v>41.333350114660199</v>
      </c>
      <c r="Q27" t="s">
        <v>51</v>
      </c>
    </row>
    <row r="28" spans="1:17" x14ac:dyDescent="0.2">
      <c r="A28">
        <v>27</v>
      </c>
      <c r="B28">
        <v>746</v>
      </c>
      <c r="C28">
        <v>250</v>
      </c>
      <c r="D28">
        <v>0.32134671049404001</v>
      </c>
      <c r="E28">
        <v>109.53451806624599</v>
      </c>
      <c r="F28">
        <v>1.93814476973008</v>
      </c>
      <c r="G28">
        <v>-1814.4594958678633</v>
      </c>
      <c r="H28">
        <v>-1498.9909172100643</v>
      </c>
      <c r="I28">
        <v>309.54391014461299</v>
      </c>
      <c r="J28">
        <v>159.72502638386899</v>
      </c>
      <c r="K28">
        <v>56.515137453586902</v>
      </c>
      <c r="L28">
        <v>0.7072168545277292</v>
      </c>
      <c r="M28">
        <v>-0.70693962916699882</v>
      </c>
      <c r="N28">
        <v>39.955087491491099</v>
      </c>
      <c r="O28">
        <v>39.955080790722199</v>
      </c>
      <c r="P28">
        <v>39.955071398030597</v>
      </c>
      <c r="Q28" t="s">
        <v>51</v>
      </c>
    </row>
    <row r="29" spans="1:17" x14ac:dyDescent="0.2">
      <c r="A29">
        <v>28</v>
      </c>
      <c r="B29">
        <v>745</v>
      </c>
      <c r="C29">
        <v>250</v>
      </c>
      <c r="D29">
        <v>0.32061140303491598</v>
      </c>
      <c r="E29">
        <v>109.534550052157</v>
      </c>
      <c r="F29">
        <v>1.9351225725705601</v>
      </c>
      <c r="G29">
        <v>-1814.1508089246202</v>
      </c>
      <c r="H29">
        <v>-1499.6963536963733</v>
      </c>
      <c r="I29">
        <v>308.85201749507701</v>
      </c>
      <c r="J29">
        <v>159.80026710270599</v>
      </c>
      <c r="K29">
        <v>56.603417067609897</v>
      </c>
      <c r="L29">
        <v>0.67945107715439157</v>
      </c>
      <c r="M29">
        <v>-0.67916268442869177</v>
      </c>
      <c r="N29">
        <v>38.445315504129098</v>
      </c>
      <c r="O29">
        <v>38.445308471573199</v>
      </c>
      <c r="P29">
        <v>38.445298698233501</v>
      </c>
      <c r="Q29" t="s">
        <v>51</v>
      </c>
    </row>
    <row r="30" spans="1:17" x14ac:dyDescent="0.2">
      <c r="A30">
        <v>29</v>
      </c>
      <c r="B30">
        <v>744</v>
      </c>
      <c r="C30">
        <v>250</v>
      </c>
      <c r="D30">
        <v>0.31987464975667701</v>
      </c>
      <c r="E30">
        <v>109.53457952650299</v>
      </c>
      <c r="F30">
        <v>1.93167220715118</v>
      </c>
      <c r="G30">
        <v>-1813.8428063302324</v>
      </c>
      <c r="H30">
        <v>-1500.4765710108602</v>
      </c>
      <c r="I30">
        <v>308.08593389935601</v>
      </c>
      <c r="J30">
        <v>159.88334799788001</v>
      </c>
      <c r="K30">
        <v>56.704537716595503</v>
      </c>
      <c r="L30">
        <v>0.64767568699133926</v>
      </c>
      <c r="M30">
        <v>-0.64737468474925941</v>
      </c>
      <c r="N30">
        <v>36.711570820333399</v>
      </c>
      <c r="O30">
        <v>36.711563417413501</v>
      </c>
      <c r="P30">
        <v>36.711553213126699</v>
      </c>
      <c r="Q30" t="s">
        <v>51</v>
      </c>
    </row>
    <row r="31" spans="1:17" x14ac:dyDescent="0.2">
      <c r="A31">
        <v>30</v>
      </c>
      <c r="B31">
        <v>743</v>
      </c>
      <c r="C31">
        <v>250</v>
      </c>
      <c r="D31">
        <v>0.31913644639078897</v>
      </c>
      <c r="E31">
        <v>109.534563430074</v>
      </c>
      <c r="F31">
        <v>1.9184835752926701</v>
      </c>
      <c r="G31">
        <v>-1813.535700575964</v>
      </c>
      <c r="H31">
        <v>-1503.0720294597986</v>
      </c>
      <c r="I31">
        <v>305.53320980247599</v>
      </c>
      <c r="J31">
        <v>160.003264285493</v>
      </c>
      <c r="K31">
        <v>57.094345159230699</v>
      </c>
      <c r="L31">
        <v>0.52291777885635993</v>
      </c>
      <c r="M31">
        <v>-0.52257083136044413</v>
      </c>
      <c r="N31">
        <v>29.838714968167501</v>
      </c>
      <c r="O31">
        <v>29.8387064029416</v>
      </c>
      <c r="P31">
        <v>29.838694615237198</v>
      </c>
      <c r="Q31" t="s">
        <v>51</v>
      </c>
    </row>
    <row r="32" spans="1:17" x14ac:dyDescent="0.2">
      <c r="A32">
        <v>31</v>
      </c>
      <c r="B32">
        <v>742</v>
      </c>
      <c r="C32">
        <v>250</v>
      </c>
      <c r="D32">
        <v>0.318396788651924</v>
      </c>
      <c r="E32">
        <v>109.544979301853</v>
      </c>
      <c r="F32">
        <v>1.88455505052267</v>
      </c>
      <c r="G32">
        <v>-1813.4039263179684</v>
      </c>
      <c r="H32">
        <v>-1509.6762480412842</v>
      </c>
      <c r="I32">
        <v>299.20003651474201</v>
      </c>
      <c r="J32">
        <v>160.197052227119</v>
      </c>
      <c r="K32">
        <v>58.127768287517803</v>
      </c>
      <c r="L32">
        <v>0.21579167314878117</v>
      </c>
      <c r="M32">
        <v>-0.21533098976946421</v>
      </c>
      <c r="N32">
        <v>12.520574649328401</v>
      </c>
      <c r="O32">
        <v>12.5205632263892</v>
      </c>
      <c r="P32">
        <v>12.5205474105893</v>
      </c>
      <c r="Q32" t="s">
        <v>51</v>
      </c>
    </row>
    <row r="33" spans="1:17" x14ac:dyDescent="0.2">
      <c r="A33">
        <v>32</v>
      </c>
      <c r="B33">
        <v>741</v>
      </c>
      <c r="C33">
        <v>250</v>
      </c>
      <c r="D33">
        <v>0.31765567223783697</v>
      </c>
      <c r="E33">
        <v>109.54736075905799</v>
      </c>
      <c r="F33">
        <v>1.8766082808387501</v>
      </c>
      <c r="G33">
        <v>-1813.1444280528967</v>
      </c>
      <c r="H33">
        <v>-1511.513558961597</v>
      </c>
      <c r="I33">
        <v>297.42785179963602</v>
      </c>
      <c r="J33">
        <v>160.28339516465101</v>
      </c>
      <c r="K33">
        <v>58.375187766994102</v>
      </c>
      <c r="L33">
        <v>0.13756655783507671</v>
      </c>
      <c r="M33">
        <v>-0.13707719161038756</v>
      </c>
      <c r="N33">
        <v>8.0060180934940597</v>
      </c>
      <c r="O33">
        <v>8.0060058270016103</v>
      </c>
      <c r="P33">
        <v>8.0059889796706898</v>
      </c>
      <c r="Q33" t="s">
        <v>51</v>
      </c>
    </row>
    <row r="34" spans="1:17" x14ac:dyDescent="0.2">
      <c r="A34">
        <v>33</v>
      </c>
      <c r="B34">
        <v>740</v>
      </c>
      <c r="C34">
        <v>250</v>
      </c>
      <c r="D34">
        <v>0.31691309282929903</v>
      </c>
      <c r="E34">
        <v>109.547953935286</v>
      </c>
      <c r="F34">
        <v>1.87268158776007</v>
      </c>
      <c r="G34">
        <v>-1812.8571955545456</v>
      </c>
      <c r="H34">
        <v>-1512.5915116368089</v>
      </c>
      <c r="I34">
        <v>296.37414270044201</v>
      </c>
      <c r="J34">
        <v>160.351574238502</v>
      </c>
      <c r="K34">
        <v>58.497907306451197</v>
      </c>
      <c r="L34">
        <v>9.4743498341538362E-2</v>
      </c>
      <c r="M34">
        <v>-9.4238551475686314E-2</v>
      </c>
      <c r="N34">
        <v>5.5169985807599202</v>
      </c>
      <c r="O34">
        <v>5.5169857865766501</v>
      </c>
      <c r="P34">
        <v>5.5169683803463299</v>
      </c>
      <c r="Q34" t="s">
        <v>51</v>
      </c>
    </row>
    <row r="35" spans="1:17" x14ac:dyDescent="0.2">
      <c r="A35">
        <v>34</v>
      </c>
      <c r="B35">
        <v>739</v>
      </c>
      <c r="C35">
        <v>250</v>
      </c>
      <c r="D35">
        <v>0.31616904609000601</v>
      </c>
      <c r="E35">
        <v>109.548152090339</v>
      </c>
      <c r="F35">
        <v>1.87094246579638</v>
      </c>
      <c r="G35">
        <v>-1812.5643883942635</v>
      </c>
      <c r="H35">
        <v>-1513.2545474459905</v>
      </c>
      <c r="I35">
        <v>295.722694081025</v>
      </c>
      <c r="J35">
        <v>160.412790885942</v>
      </c>
      <c r="K35">
        <v>58.552389553951102</v>
      </c>
      <c r="L35">
        <v>7.1382581489013733E-2</v>
      </c>
      <c r="M35">
        <v>-7.0869271432972031E-2</v>
      </c>
      <c r="N35">
        <v>4.1538699150347798</v>
      </c>
      <c r="O35">
        <v>4.1538567711976597</v>
      </c>
      <c r="P35">
        <v>4.1538390688421298</v>
      </c>
      <c r="Q35" t="s">
        <v>51</v>
      </c>
    </row>
    <row r="36" spans="1:17" x14ac:dyDescent="0.2">
      <c r="A36">
        <v>35</v>
      </c>
      <c r="B36">
        <v>763</v>
      </c>
      <c r="C36">
        <v>225</v>
      </c>
      <c r="D36">
        <v>0.360170342131933</v>
      </c>
      <c r="E36">
        <v>109.53422456586701</v>
      </c>
      <c r="F36">
        <v>1.9095694082617101</v>
      </c>
      <c r="G36">
        <v>-1821.1991044482863</v>
      </c>
      <c r="H36">
        <v>-1494.158665598301</v>
      </c>
      <c r="I36">
        <v>315.63292639715399</v>
      </c>
      <c r="J36">
        <v>160.29392539667199</v>
      </c>
      <c r="K36">
        <v>57.360692987628397</v>
      </c>
      <c r="L36">
        <v>0.83726538914659732</v>
      </c>
      <c r="M36">
        <v>-0.83699199427827276</v>
      </c>
      <c r="N36">
        <v>48.013050800573602</v>
      </c>
      <c r="O36">
        <v>48.013047204957303</v>
      </c>
      <c r="P36">
        <v>48.013036398751701</v>
      </c>
      <c r="Q36" t="s">
        <v>51</v>
      </c>
    </row>
    <row r="37" spans="1:17" x14ac:dyDescent="0.2">
      <c r="A37">
        <v>36</v>
      </c>
      <c r="B37">
        <v>762</v>
      </c>
      <c r="C37">
        <v>225</v>
      </c>
      <c r="D37">
        <v>0.35948461575617302</v>
      </c>
      <c r="E37">
        <v>109.534249561593</v>
      </c>
      <c r="F37">
        <v>1.9096723869005401</v>
      </c>
      <c r="G37">
        <v>-1820.8839656500047</v>
      </c>
      <c r="H37">
        <v>-1494.3715547764361</v>
      </c>
      <c r="I37">
        <v>315.42775630435898</v>
      </c>
      <c r="J37">
        <v>160.28797365466301</v>
      </c>
      <c r="K37">
        <v>57.357612914626998</v>
      </c>
      <c r="L37">
        <v>0.83490761923815116</v>
      </c>
      <c r="M37">
        <v>-0.83463302292676655</v>
      </c>
      <c r="N37">
        <v>47.875173221602601</v>
      </c>
      <c r="O37">
        <v>47.875169514512997</v>
      </c>
      <c r="P37">
        <v>47.875158660226802</v>
      </c>
      <c r="Q37" t="s">
        <v>51</v>
      </c>
    </row>
    <row r="38" spans="1:17" x14ac:dyDescent="0.2">
      <c r="A38">
        <v>37</v>
      </c>
      <c r="B38">
        <v>761</v>
      </c>
      <c r="C38">
        <v>225</v>
      </c>
      <c r="D38">
        <v>0.35879756321617101</v>
      </c>
      <c r="E38">
        <v>109.534271464982</v>
      </c>
      <c r="F38">
        <v>1.90927767359153</v>
      </c>
      <c r="G38">
        <v>-1820.5690152724283</v>
      </c>
      <c r="H38">
        <v>-1494.6297331283436</v>
      </c>
      <c r="I38">
        <v>315.17858904278199</v>
      </c>
      <c r="J38">
        <v>160.27984640869801</v>
      </c>
      <c r="K38">
        <v>57.369482176438702</v>
      </c>
      <c r="L38">
        <v>0.8303563879566972</v>
      </c>
      <c r="M38">
        <v>-0.83007942451701933</v>
      </c>
      <c r="N38">
        <v>47.623858891595901</v>
      </c>
      <c r="O38">
        <v>47.623855058359197</v>
      </c>
      <c r="P38">
        <v>47.623844109100403</v>
      </c>
      <c r="Q38" t="s">
        <v>51</v>
      </c>
    </row>
    <row r="39" spans="1:17" x14ac:dyDescent="0.2">
      <c r="A39">
        <v>38</v>
      </c>
      <c r="B39">
        <v>760</v>
      </c>
      <c r="C39">
        <v>225</v>
      </c>
      <c r="D39">
        <v>0.35810918066108399</v>
      </c>
      <c r="E39">
        <v>109.534293322949</v>
      </c>
      <c r="F39">
        <v>1.9088851553553201</v>
      </c>
      <c r="G39">
        <v>-1820.2543135140454</v>
      </c>
      <c r="H39">
        <v>-1494.8881199572645</v>
      </c>
      <c r="I39">
        <v>314.92897837652401</v>
      </c>
      <c r="J39">
        <v>160.272757345174</v>
      </c>
      <c r="K39">
        <v>57.381290338842199</v>
      </c>
      <c r="L39">
        <v>0.82579069082637402</v>
      </c>
      <c r="M39">
        <v>-0.82551135717419322</v>
      </c>
      <c r="N39">
        <v>47.371555718614999</v>
      </c>
      <c r="O39">
        <v>47.371551757373098</v>
      </c>
      <c r="P39">
        <v>47.371540713024899</v>
      </c>
      <c r="Q39" t="s">
        <v>51</v>
      </c>
    </row>
    <row r="40" spans="1:17" x14ac:dyDescent="0.2">
      <c r="A40">
        <v>39</v>
      </c>
      <c r="B40">
        <v>759</v>
      </c>
      <c r="C40">
        <v>225</v>
      </c>
      <c r="D40">
        <v>0.35741946422516302</v>
      </c>
      <c r="E40">
        <v>109.534315138791</v>
      </c>
      <c r="F40">
        <v>1.90849562967742</v>
      </c>
      <c r="G40">
        <v>-1819.9398608412416</v>
      </c>
      <c r="H40">
        <v>-1495.1466506483841</v>
      </c>
      <c r="I40">
        <v>314.67898605277099</v>
      </c>
      <c r="J40">
        <v>160.26671352633099</v>
      </c>
      <c r="K40">
        <v>57.393013342820602</v>
      </c>
      <c r="L40">
        <v>0.82121387312997907</v>
      </c>
      <c r="M40">
        <v>-0.82093216814180159</v>
      </c>
      <c r="N40">
        <v>47.1184363657011</v>
      </c>
      <c r="O40">
        <v>47.118432274625697</v>
      </c>
      <c r="P40">
        <v>47.1184211351529</v>
      </c>
      <c r="Q40" t="s">
        <v>51</v>
      </c>
    </row>
    <row r="41" spans="1:17" x14ac:dyDescent="0.2">
      <c r="A41">
        <v>40</v>
      </c>
      <c r="B41">
        <v>758</v>
      </c>
      <c r="C41">
        <v>225</v>
      </c>
      <c r="D41">
        <v>0.356728410027642</v>
      </c>
      <c r="E41">
        <v>109.534336916226</v>
      </c>
      <c r="F41">
        <v>1.9081098880178899</v>
      </c>
      <c r="G41">
        <v>-1819.6256576652088</v>
      </c>
      <c r="H41">
        <v>-1495.4052600803277</v>
      </c>
      <c r="I41">
        <v>314.428674495846</v>
      </c>
      <c r="J41">
        <v>160.26172159256299</v>
      </c>
      <c r="K41">
        <v>57.404627272284003</v>
      </c>
      <c r="L41">
        <v>0.8166293043588797</v>
      </c>
      <c r="M41">
        <v>-0.81634522887348882</v>
      </c>
      <c r="N41">
        <v>46.864675605655201</v>
      </c>
      <c r="O41">
        <v>46.8646713829514</v>
      </c>
      <c r="P41">
        <v>46.8646601484012</v>
      </c>
      <c r="Q41" t="s">
        <v>51</v>
      </c>
    </row>
    <row r="42" spans="1:17" x14ac:dyDescent="0.2">
      <c r="A42">
        <v>41</v>
      </c>
      <c r="B42">
        <v>757</v>
      </c>
      <c r="C42">
        <v>225</v>
      </c>
      <c r="D42">
        <v>0.35603601417269398</v>
      </c>
      <c r="E42">
        <v>109.53435865925999</v>
      </c>
      <c r="F42">
        <v>1.9077287105579299</v>
      </c>
      <c r="G42">
        <v>-1819.3117043391685</v>
      </c>
      <c r="H42">
        <v>-1495.6638830805623</v>
      </c>
      <c r="I42">
        <v>314.17810636586302</v>
      </c>
      <c r="J42">
        <v>160.257787860147</v>
      </c>
      <c r="K42">
        <v>57.416108513262003</v>
      </c>
      <c r="L42">
        <v>0.81204035502073679</v>
      </c>
      <c r="M42">
        <v>-0.81175391182770429</v>
      </c>
      <c r="N42">
        <v>46.610449115160698</v>
      </c>
      <c r="O42">
        <v>46.610444759070504</v>
      </c>
      <c r="P42">
        <v>46.610433429571899</v>
      </c>
      <c r="Q42" t="s">
        <v>51</v>
      </c>
    </row>
    <row r="43" spans="1:17" x14ac:dyDescent="0.2">
      <c r="A43">
        <v>42</v>
      </c>
      <c r="B43">
        <v>756</v>
      </c>
      <c r="C43">
        <v>225</v>
      </c>
      <c r="D43">
        <v>0.35534227274935698</v>
      </c>
      <c r="E43">
        <v>109.534391160444</v>
      </c>
      <c r="F43">
        <v>1.9059159020318599</v>
      </c>
      <c r="G43">
        <v>-1818.998264385418</v>
      </c>
      <c r="H43">
        <v>-1496.161777614833</v>
      </c>
      <c r="I43">
        <v>313.695105179216</v>
      </c>
      <c r="J43">
        <v>160.28067392038199</v>
      </c>
      <c r="K43">
        <v>57.470736795716697</v>
      </c>
      <c r="L43">
        <v>0.79542839842040325</v>
      </c>
      <c r="M43">
        <v>-0.79513439110000461</v>
      </c>
      <c r="N43">
        <v>45.699724365727597</v>
      </c>
      <c r="O43">
        <v>45.699719801794203</v>
      </c>
      <c r="P43">
        <v>45.699708168807</v>
      </c>
      <c r="Q43" t="s">
        <v>51</v>
      </c>
    </row>
    <row r="44" spans="1:17" x14ac:dyDescent="0.2">
      <c r="A44">
        <v>43</v>
      </c>
      <c r="B44">
        <v>755</v>
      </c>
      <c r="C44">
        <v>225</v>
      </c>
      <c r="D44">
        <v>0.354647181831445</v>
      </c>
      <c r="E44">
        <v>109.53442673060999</v>
      </c>
      <c r="F44">
        <v>1.9036045351142199</v>
      </c>
      <c r="G44">
        <v>-1818.6854260544528</v>
      </c>
      <c r="H44">
        <v>-1496.7436941027343</v>
      </c>
      <c r="I44">
        <v>313.13004565692802</v>
      </c>
      <c r="J44">
        <v>160.31518682599599</v>
      </c>
      <c r="K44">
        <v>57.540536760718403</v>
      </c>
      <c r="L44">
        <v>0.77458613695133349</v>
      </c>
      <c r="M44">
        <v>-0.7742827494809793</v>
      </c>
      <c r="N44">
        <v>44.555494083561001</v>
      </c>
      <c r="O44">
        <v>44.555489280685798</v>
      </c>
      <c r="P44">
        <v>44.555477270631997</v>
      </c>
      <c r="Q44" t="s">
        <v>51</v>
      </c>
    </row>
    <row r="45" spans="1:17" x14ac:dyDescent="0.2">
      <c r="A45">
        <v>44</v>
      </c>
      <c r="B45">
        <v>754</v>
      </c>
      <c r="C45">
        <v>225</v>
      </c>
      <c r="D45">
        <v>0.35395073747748601</v>
      </c>
      <c r="E45">
        <v>109.534461794211</v>
      </c>
      <c r="F45">
        <v>1.90124027702759</v>
      </c>
      <c r="G45">
        <v>-1818.3731494037993</v>
      </c>
      <c r="H45">
        <v>-1497.3356199745808</v>
      </c>
      <c r="I45">
        <v>312.55469020197802</v>
      </c>
      <c r="J45">
        <v>160.35335656250399</v>
      </c>
      <c r="K45">
        <v>57.6121088521529</v>
      </c>
      <c r="L45">
        <v>0.75322328464788957</v>
      </c>
      <c r="M45">
        <v>-0.75291031359603766</v>
      </c>
      <c r="N45">
        <v>43.379685790142602</v>
      </c>
      <c r="O45">
        <v>43.379680739048197</v>
      </c>
      <c r="P45">
        <v>43.379668342938501</v>
      </c>
      <c r="Q45" t="s">
        <v>51</v>
      </c>
    </row>
    <row r="46" spans="1:17" x14ac:dyDescent="0.2">
      <c r="A46">
        <v>45</v>
      </c>
      <c r="B46">
        <v>753</v>
      </c>
      <c r="C46">
        <v>225</v>
      </c>
      <c r="D46">
        <v>0.35325293573064698</v>
      </c>
      <c r="E46">
        <v>109.534496255693</v>
      </c>
      <c r="F46">
        <v>1.89880805730928</v>
      </c>
      <c r="G46">
        <v>-1818.0614444291634</v>
      </c>
      <c r="H46">
        <v>-1497.9402881898618</v>
      </c>
      <c r="I46">
        <v>311.96635568830902</v>
      </c>
      <c r="J46">
        <v>160.39515893212601</v>
      </c>
      <c r="K46">
        <v>57.685923458166798</v>
      </c>
      <c r="L46">
        <v>0.73119185727316927</v>
      </c>
      <c r="M46">
        <v>-0.7308690440347837</v>
      </c>
      <c r="N46">
        <v>42.1638786426102</v>
      </c>
      <c r="O46">
        <v>42.163873332972202</v>
      </c>
      <c r="P46">
        <v>42.163860539549603</v>
      </c>
      <c r="Q46" t="s">
        <v>51</v>
      </c>
    </row>
    <row r="47" spans="1:17" x14ac:dyDescent="0.2">
      <c r="A47">
        <v>46</v>
      </c>
      <c r="B47">
        <v>752</v>
      </c>
      <c r="C47">
        <v>225</v>
      </c>
      <c r="D47">
        <v>0.35255377261864101</v>
      </c>
      <c r="E47">
        <v>109.534529972621</v>
      </c>
      <c r="F47">
        <v>1.89628448882709</v>
      </c>
      <c r="G47">
        <v>-1817.7503236714672</v>
      </c>
      <c r="H47">
        <v>-1498.5618273747402</v>
      </c>
      <c r="I47">
        <v>311.36098986397599</v>
      </c>
      <c r="J47">
        <v>160.440576951889</v>
      </c>
      <c r="K47">
        <v>57.762709455252299</v>
      </c>
      <c r="L47">
        <v>0.70826938733822009</v>
      </c>
      <c r="M47">
        <v>-0.70793638897727107</v>
      </c>
      <c r="N47">
        <v>40.895438027554498</v>
      </c>
      <c r="O47">
        <v>40.895432447471997</v>
      </c>
      <c r="P47">
        <v>40.895419242011698</v>
      </c>
      <c r="Q47" t="s">
        <v>51</v>
      </c>
    </row>
    <row r="48" spans="1:17" x14ac:dyDescent="0.2">
      <c r="A48">
        <v>47</v>
      </c>
      <c r="B48">
        <v>751</v>
      </c>
      <c r="C48">
        <v>225</v>
      </c>
      <c r="D48">
        <v>0.35185324415369101</v>
      </c>
      <c r="E48">
        <v>109.53456271949401</v>
      </c>
      <c r="F48">
        <v>1.8936315770088701</v>
      </c>
      <c r="G48">
        <v>-1817.4398034582257</v>
      </c>
      <c r="H48">
        <v>-1499.206818094523</v>
      </c>
      <c r="I48">
        <v>310.73213473155801</v>
      </c>
      <c r="J48">
        <v>160.48961050822899</v>
      </c>
      <c r="K48">
        <v>57.843650290471302</v>
      </c>
      <c r="L48">
        <v>0.68410301326592626</v>
      </c>
      <c r="M48">
        <v>-0.68375935136880106</v>
      </c>
      <c r="N48">
        <v>39.5543464653014</v>
      </c>
      <c r="O48">
        <v>39.554340600364803</v>
      </c>
      <c r="P48">
        <v>39.554326962567998</v>
      </c>
      <c r="Q48" t="s">
        <v>51</v>
      </c>
    </row>
    <row r="49" spans="1:17" x14ac:dyDescent="0.2">
      <c r="A49">
        <v>48</v>
      </c>
      <c r="B49">
        <v>750</v>
      </c>
      <c r="C49">
        <v>225</v>
      </c>
      <c r="D49">
        <v>0.35115134633240402</v>
      </c>
      <c r="E49">
        <v>109.534594109349</v>
      </c>
      <c r="F49">
        <v>1.8907837232714</v>
      </c>
      <c r="G49">
        <v>-1817.1299059756552</v>
      </c>
      <c r="H49">
        <v>-1499.8864962478283</v>
      </c>
      <c r="I49">
        <v>310.06876372927502</v>
      </c>
      <c r="J49">
        <v>160.54228786638899</v>
      </c>
      <c r="K49">
        <v>57.930789630362497</v>
      </c>
      <c r="L49">
        <v>0.65809301124583486</v>
      </c>
      <c r="M49">
        <v>-0.65773797515192201</v>
      </c>
      <c r="N49">
        <v>38.106592182982197</v>
      </c>
      <c r="O49">
        <v>38.106586014504501</v>
      </c>
      <c r="P49">
        <v>38.106571914506503</v>
      </c>
      <c r="Q49" t="s">
        <v>51</v>
      </c>
    </row>
    <row r="50" spans="1:17" x14ac:dyDescent="0.2">
      <c r="A50">
        <v>49</v>
      </c>
      <c r="B50">
        <v>749</v>
      </c>
      <c r="C50">
        <v>225</v>
      </c>
      <c r="D50">
        <v>0.350448075135744</v>
      </c>
      <c r="E50">
        <v>109.534623401879</v>
      </c>
      <c r="F50">
        <v>1.8876171262513699</v>
      </c>
      <c r="G50">
        <v>-1816.8206628948237</v>
      </c>
      <c r="H50">
        <v>-1500.6219933650727</v>
      </c>
      <c r="I50">
        <v>309.35013726072901</v>
      </c>
      <c r="J50">
        <v>160.59867034487701</v>
      </c>
      <c r="K50">
        <v>58.027987709247398</v>
      </c>
      <c r="L50">
        <v>0.62911633306485459</v>
      </c>
      <c r="M50">
        <v>-0.62874877522486461</v>
      </c>
      <c r="N50">
        <v>36.488451273205598</v>
      </c>
      <c r="O50">
        <v>36.488444774472299</v>
      </c>
      <c r="P50">
        <v>36.488430164391701</v>
      </c>
      <c r="Q50" t="s">
        <v>51</v>
      </c>
    </row>
    <row r="51" spans="1:17" x14ac:dyDescent="0.2">
      <c r="A51">
        <v>50</v>
      </c>
      <c r="B51">
        <v>748</v>
      </c>
      <c r="C51">
        <v>225</v>
      </c>
      <c r="D51">
        <v>0.34974342652891699</v>
      </c>
      <c r="E51">
        <v>109.534642912244</v>
      </c>
      <c r="F51">
        <v>1.8823613956849401</v>
      </c>
      <c r="G51">
        <v>-1816.5120416161719</v>
      </c>
      <c r="H51">
        <v>-1501.7279165695365</v>
      </c>
      <c r="I51">
        <v>308.26803181786602</v>
      </c>
      <c r="J51">
        <v>160.65409528102501</v>
      </c>
      <c r="K51">
        <v>58.190017689131501</v>
      </c>
      <c r="L51">
        <v>0.5810872129371778</v>
      </c>
      <c r="M51">
        <v>-0.58069969068679372</v>
      </c>
      <c r="N51">
        <v>33.7945354789573</v>
      </c>
      <c r="O51">
        <v>33.794528514302101</v>
      </c>
      <c r="P51">
        <v>33.794513088808699</v>
      </c>
      <c r="Q51" t="s">
        <v>51</v>
      </c>
    </row>
    <row r="52" spans="1:17" x14ac:dyDescent="0.2">
      <c r="A52">
        <v>51</v>
      </c>
      <c r="B52">
        <v>747</v>
      </c>
      <c r="C52">
        <v>225</v>
      </c>
      <c r="D52">
        <v>0.34903739646130499</v>
      </c>
      <c r="E52">
        <v>109.54220628332899</v>
      </c>
      <c r="F52">
        <v>1.85124812528379</v>
      </c>
      <c r="G52">
        <v>-1816.3291253671182</v>
      </c>
      <c r="H52">
        <v>-1507.5832699593702</v>
      </c>
      <c r="I52">
        <v>302.65231240228798</v>
      </c>
      <c r="J52">
        <v>160.62694753946201</v>
      </c>
      <c r="K52">
        <v>59.172082222385498</v>
      </c>
      <c r="L52">
        <v>0.30726423900278815</v>
      </c>
      <c r="M52">
        <v>-0.30676669592307737</v>
      </c>
      <c r="N52">
        <v>18.156710448656</v>
      </c>
      <c r="O52">
        <v>18.156701403342002</v>
      </c>
      <c r="P52">
        <v>18.156681396085201</v>
      </c>
      <c r="Q52" t="s">
        <v>51</v>
      </c>
    </row>
    <row r="53" spans="1:17" x14ac:dyDescent="0.2">
      <c r="A53">
        <v>52</v>
      </c>
      <c r="B53">
        <v>746</v>
      </c>
      <c r="C53">
        <v>225</v>
      </c>
      <c r="D53">
        <v>0.34832998086640898</v>
      </c>
      <c r="E53">
        <v>109.546297762565</v>
      </c>
      <c r="F53">
        <v>1.83671794003441</v>
      </c>
      <c r="G53">
        <v>-1816.0946693639944</v>
      </c>
      <c r="H53">
        <v>-1510.5892901819261</v>
      </c>
      <c r="I53">
        <v>299.77023855092102</v>
      </c>
      <c r="J53">
        <v>160.62981736139201</v>
      </c>
      <c r="K53">
        <v>59.642417256790701</v>
      </c>
      <c r="L53">
        <v>0.17478363084809401</v>
      </c>
      <c r="M53">
        <v>-0.17423305090195682</v>
      </c>
      <c r="N53">
        <v>10.3968895449092</v>
      </c>
      <c r="O53">
        <v>10.396879348090501</v>
      </c>
      <c r="P53">
        <v>10.3968570795658</v>
      </c>
      <c r="Q53" t="s">
        <v>51</v>
      </c>
    </row>
    <row r="54" spans="1:17" x14ac:dyDescent="0.2">
      <c r="A54">
        <v>53</v>
      </c>
      <c r="B54">
        <v>745</v>
      </c>
      <c r="C54">
        <v>225</v>
      </c>
      <c r="D54">
        <v>0.347621175661739</v>
      </c>
      <c r="E54">
        <v>109.548007905796</v>
      </c>
      <c r="F54">
        <v>1.8312444037470099</v>
      </c>
      <c r="G54">
        <v>-1815.8234266880327</v>
      </c>
      <c r="H54">
        <v>-1511.9564971789855</v>
      </c>
      <c r="I54">
        <v>298.45565423273501</v>
      </c>
      <c r="J54">
        <v>160.657093831699</v>
      </c>
      <c r="K54">
        <v>59.821620577593897</v>
      </c>
      <c r="L54">
        <v>0.11943272227254842</v>
      </c>
      <c r="M54">
        <v>-0.11886020702660378</v>
      </c>
      <c r="N54">
        <v>7.11582886780986</v>
      </c>
      <c r="O54">
        <v>7.1158180642048796</v>
      </c>
      <c r="P54">
        <v>7.1157948544186702</v>
      </c>
      <c r="Q54" t="s">
        <v>51</v>
      </c>
    </row>
    <row r="55" spans="1:17" x14ac:dyDescent="0.2">
      <c r="A55">
        <v>54</v>
      </c>
      <c r="B55">
        <v>744</v>
      </c>
      <c r="C55">
        <v>225</v>
      </c>
      <c r="D55">
        <v>0.34691097674876298</v>
      </c>
      <c r="E55">
        <v>109.548370917498</v>
      </c>
      <c r="F55">
        <v>1.82827148215631</v>
      </c>
      <c r="G55">
        <v>-1815.5313381233225</v>
      </c>
      <c r="H55">
        <v>-1512.8583993086302</v>
      </c>
      <c r="I55">
        <v>297.57536208213702</v>
      </c>
      <c r="J55">
        <v>160.69016433838399</v>
      </c>
      <c r="K55">
        <v>59.919094065994003</v>
      </c>
      <c r="L55">
        <v>8.5307893700076659E-2</v>
      </c>
      <c r="M55">
        <v>-8.4721961638393628E-2</v>
      </c>
      <c r="N55">
        <v>5.0820041437259098</v>
      </c>
      <c r="O55">
        <v>5.0819928825857401</v>
      </c>
      <c r="P55">
        <v>5.0819690979716903</v>
      </c>
      <c r="Q55" t="s">
        <v>51</v>
      </c>
    </row>
    <row r="56" spans="1:17" x14ac:dyDescent="0.2">
      <c r="A56">
        <v>55</v>
      </c>
      <c r="B56">
        <v>743</v>
      </c>
      <c r="C56">
        <v>225</v>
      </c>
      <c r="D56">
        <v>0.34619938001279399</v>
      </c>
      <c r="E56">
        <v>109.5485109201</v>
      </c>
      <c r="F56">
        <v>1.82700266353036</v>
      </c>
      <c r="G56">
        <v>-1815.2363411833787</v>
      </c>
      <c r="H56">
        <v>-1513.4422004491171</v>
      </c>
      <c r="I56">
        <v>297.00345870514201</v>
      </c>
      <c r="J56">
        <v>160.731146522687</v>
      </c>
      <c r="K56">
        <v>59.960783367669798</v>
      </c>
      <c r="L56">
        <v>6.592686513118344E-2</v>
      </c>
      <c r="M56">
        <v>-6.5333442218461435E-2</v>
      </c>
      <c r="N56">
        <v>3.9230468324718402</v>
      </c>
      <c r="O56">
        <v>3.92303522179049</v>
      </c>
      <c r="P56">
        <v>3.9230111190519898</v>
      </c>
      <c r="Q56" t="s">
        <v>51</v>
      </c>
    </row>
    <row r="57" spans="1:17" x14ac:dyDescent="0.2">
      <c r="A57">
        <v>56</v>
      </c>
      <c r="B57">
        <v>772</v>
      </c>
      <c r="C57">
        <v>200</v>
      </c>
      <c r="D57">
        <v>0.39259484284552498</v>
      </c>
      <c r="E57">
        <v>109.534199723383</v>
      </c>
      <c r="F57">
        <v>1.85538163684254</v>
      </c>
      <c r="G57">
        <v>-1825.5021584159174</v>
      </c>
      <c r="H57">
        <v>-1493.5876057315186</v>
      </c>
      <c r="I57">
        <v>317.57873814816202</v>
      </c>
      <c r="J57">
        <v>161.14380926224601</v>
      </c>
      <c r="K57">
        <v>59.035940395414599</v>
      </c>
      <c r="L57">
        <v>0.81046877819421048</v>
      </c>
      <c r="M57">
        <v>-0.81011659240236422</v>
      </c>
      <c r="N57">
        <v>47.829899597588899</v>
      </c>
      <c r="O57">
        <v>47.829899936035602</v>
      </c>
      <c r="P57">
        <v>47.829883620653803</v>
      </c>
      <c r="Q57" t="s">
        <v>51</v>
      </c>
    </row>
    <row r="58" spans="1:17" x14ac:dyDescent="0.2">
      <c r="A58">
        <v>57</v>
      </c>
      <c r="B58">
        <v>771</v>
      </c>
      <c r="C58">
        <v>200</v>
      </c>
      <c r="D58">
        <v>0.391946080543984</v>
      </c>
      <c r="E58">
        <v>109.53422408791501</v>
      </c>
      <c r="F58">
        <v>1.8555934507587799</v>
      </c>
      <c r="G58">
        <v>-1825.1850625042939</v>
      </c>
      <c r="H58">
        <v>-1493.7975802952135</v>
      </c>
      <c r="I58">
        <v>317.378115115848</v>
      </c>
      <c r="J58">
        <v>161.13830209295301</v>
      </c>
      <c r="K58">
        <v>59.029214639189803</v>
      </c>
      <c r="L58">
        <v>0.80840144691058813</v>
      </c>
      <c r="M58">
        <v>-0.80804806495521175</v>
      </c>
      <c r="N58">
        <v>47.702351379037097</v>
      </c>
      <c r="O58">
        <v>47.702351589263898</v>
      </c>
      <c r="P58">
        <v>47.702335212324599</v>
      </c>
      <c r="Q58" t="s">
        <v>51</v>
      </c>
    </row>
    <row r="59" spans="1:17" x14ac:dyDescent="0.2">
      <c r="A59">
        <v>58</v>
      </c>
      <c r="B59">
        <v>770</v>
      </c>
      <c r="C59">
        <v>200</v>
      </c>
      <c r="D59">
        <v>0.39129607439006903</v>
      </c>
      <c r="E59">
        <v>109.53424529205</v>
      </c>
      <c r="F59">
        <v>1.85530014185905</v>
      </c>
      <c r="G59">
        <v>-1824.8681483210946</v>
      </c>
      <c r="H59">
        <v>-1494.0523528394533</v>
      </c>
      <c r="I59">
        <v>317.134346720726</v>
      </c>
      <c r="J59">
        <v>161.12719902877799</v>
      </c>
      <c r="K59">
        <v>59.038558139867597</v>
      </c>
      <c r="L59">
        <v>0.80422182730421565</v>
      </c>
      <c r="M59">
        <v>-0.80386602303114341</v>
      </c>
      <c r="N59">
        <v>47.463017794088898</v>
      </c>
      <c r="O59">
        <v>47.463017876822697</v>
      </c>
      <c r="P59">
        <v>47.463001379224202</v>
      </c>
      <c r="Q59" t="s">
        <v>51</v>
      </c>
    </row>
    <row r="60" spans="1:17" x14ac:dyDescent="0.2">
      <c r="A60">
        <v>59</v>
      </c>
      <c r="B60">
        <v>769</v>
      </c>
      <c r="C60">
        <v>200</v>
      </c>
      <c r="D60">
        <v>0.390644820803149</v>
      </c>
      <c r="E60">
        <v>109.534266459338</v>
      </c>
      <c r="F60">
        <v>1.8550094949521501</v>
      </c>
      <c r="G60">
        <v>-1824.5514774609094</v>
      </c>
      <c r="H60">
        <v>-1494.3072679149504</v>
      </c>
      <c r="I60">
        <v>316.89020729167999</v>
      </c>
      <c r="J60">
        <v>161.116984938494</v>
      </c>
      <c r="K60">
        <v>59.047819839953803</v>
      </c>
      <c r="L60">
        <v>0.8000303820960758</v>
      </c>
      <c r="M60">
        <v>-0.79967215259941027</v>
      </c>
      <c r="N60">
        <v>47.222842113788403</v>
      </c>
      <c r="O60">
        <v>47.2228420664811</v>
      </c>
      <c r="P60">
        <v>47.222825447999099</v>
      </c>
      <c r="Q60" t="s">
        <v>51</v>
      </c>
    </row>
    <row r="61" spans="1:17" x14ac:dyDescent="0.2">
      <c r="A61">
        <v>60</v>
      </c>
      <c r="B61">
        <v>768</v>
      </c>
      <c r="C61">
        <v>200</v>
      </c>
      <c r="D61">
        <v>0.38999231618883101</v>
      </c>
      <c r="E61">
        <v>109.53428759295301</v>
      </c>
      <c r="F61">
        <v>1.8547222200051801</v>
      </c>
      <c r="G61">
        <v>-1824.2350503201681</v>
      </c>
      <c r="H61">
        <v>-1494.5622696712965</v>
      </c>
      <c r="I61">
        <v>316.64574976911098</v>
      </c>
      <c r="J61">
        <v>161.10766703614999</v>
      </c>
      <c r="K61">
        <v>59.056977056460298</v>
      </c>
      <c r="L61">
        <v>0.79582993396955315</v>
      </c>
      <c r="M61">
        <v>-0.7954692781596594</v>
      </c>
      <c r="N61">
        <v>46.981973780328097</v>
      </c>
      <c r="O61">
        <v>46.981973600417</v>
      </c>
      <c r="P61">
        <v>46.981956860917499</v>
      </c>
      <c r="Q61" t="s">
        <v>51</v>
      </c>
    </row>
    <row r="62" spans="1:17" x14ac:dyDescent="0.2">
      <c r="A62">
        <v>61</v>
      </c>
      <c r="B62">
        <v>767</v>
      </c>
      <c r="C62">
        <v>200</v>
      </c>
      <c r="D62">
        <v>0.38933855693890601</v>
      </c>
      <c r="E62">
        <v>109.534308696393</v>
      </c>
      <c r="F62">
        <v>1.8544390209021799</v>
      </c>
      <c r="G62">
        <v>-1823.9188672474306</v>
      </c>
      <c r="H62">
        <v>-1494.8173019472176</v>
      </c>
      <c r="I62">
        <v>316.40102754977698</v>
      </c>
      <c r="J62">
        <v>161.09925212930199</v>
      </c>
      <c r="K62">
        <v>59.066007273242498</v>
      </c>
      <c r="L62">
        <v>0.79162332144016168</v>
      </c>
      <c r="M62">
        <v>-0.79126024004501361</v>
      </c>
      <c r="N62">
        <v>46.740563793760899</v>
      </c>
      <c r="O62">
        <v>46.740563478672001</v>
      </c>
      <c r="P62">
        <v>46.740546618111701</v>
      </c>
      <c r="Q62" t="s">
        <v>51</v>
      </c>
    </row>
    <row r="63" spans="1:17" x14ac:dyDescent="0.2">
      <c r="A63">
        <v>62</v>
      </c>
      <c r="B63">
        <v>766</v>
      </c>
      <c r="C63">
        <v>200</v>
      </c>
      <c r="D63">
        <v>0.38868353943126899</v>
      </c>
      <c r="E63">
        <v>109.53432977337199</v>
      </c>
      <c r="F63">
        <v>1.85416059116877</v>
      </c>
      <c r="G63">
        <v>-1823.6029285412642</v>
      </c>
      <c r="H63">
        <v>-1495.0723086302569</v>
      </c>
      <c r="I63">
        <v>316.15609414090198</v>
      </c>
      <c r="J63">
        <v>161.09174666843001</v>
      </c>
      <c r="K63">
        <v>59.0748882783273</v>
      </c>
      <c r="L63">
        <v>0.78741338093622182</v>
      </c>
      <c r="M63">
        <v>-0.78704787649174779</v>
      </c>
      <c r="N63">
        <v>46.498763756619603</v>
      </c>
      <c r="O63">
        <v>46.498763303770701</v>
      </c>
      <c r="P63">
        <v>46.498746322197199</v>
      </c>
      <c r="Q63" t="s">
        <v>51</v>
      </c>
    </row>
    <row r="64" spans="1:17" x14ac:dyDescent="0.2">
      <c r="A64">
        <v>63</v>
      </c>
      <c r="B64">
        <v>765</v>
      </c>
      <c r="C64">
        <v>200</v>
      </c>
      <c r="D64">
        <v>0.38802726002986099</v>
      </c>
      <c r="E64">
        <v>109.53435082787099</v>
      </c>
      <c r="F64">
        <v>1.8538876099267501</v>
      </c>
      <c r="G64">
        <v>-1823.28723445113</v>
      </c>
      <c r="H64">
        <v>-1495.3272340080878</v>
      </c>
      <c r="I64">
        <v>315.91100282324999</v>
      </c>
      <c r="J64">
        <v>161.08515680343601</v>
      </c>
      <c r="K64">
        <v>59.083598294396602</v>
      </c>
      <c r="L64">
        <v>0.78320292942891512</v>
      </c>
      <c r="M64">
        <v>-0.78283500625877389</v>
      </c>
      <c r="N64">
        <v>46.256724939923998</v>
      </c>
      <c r="O64">
        <v>46.256724346728099</v>
      </c>
      <c r="P64">
        <v>46.256707244279298</v>
      </c>
      <c r="Q64" t="s">
        <v>51</v>
      </c>
    </row>
    <row r="65" spans="1:17" x14ac:dyDescent="0.2">
      <c r="A65">
        <v>64</v>
      </c>
      <c r="B65">
        <v>764</v>
      </c>
      <c r="C65">
        <v>200</v>
      </c>
      <c r="D65">
        <v>0.38736971508460899</v>
      </c>
      <c r="E65">
        <v>109.534371864086</v>
      </c>
      <c r="F65">
        <v>1.8536207381316501</v>
      </c>
      <c r="G65">
        <v>-1822.9717851770015</v>
      </c>
      <c r="H65">
        <v>-1495.5820231024859</v>
      </c>
      <c r="I65">
        <v>315.66580632773002</v>
      </c>
      <c r="J65">
        <v>161.07948844620799</v>
      </c>
      <c r="K65">
        <v>59.0921161005624</v>
      </c>
      <c r="L65">
        <v>0.77899474787013367</v>
      </c>
      <c r="M65">
        <v>-0.77862441205549393</v>
      </c>
      <c r="N65">
        <v>46.014597384721803</v>
      </c>
      <c r="O65">
        <v>46.014596648590697</v>
      </c>
      <c r="P65">
        <v>46.014579425493402</v>
      </c>
      <c r="Q65" t="s">
        <v>51</v>
      </c>
    </row>
    <row r="66" spans="1:17" x14ac:dyDescent="0.2">
      <c r="A66">
        <v>65</v>
      </c>
      <c r="B66">
        <v>763</v>
      </c>
      <c r="C66">
        <v>200</v>
      </c>
      <c r="D66">
        <v>0.38671090093133698</v>
      </c>
      <c r="E66">
        <v>109.534392886394</v>
      </c>
      <c r="F66">
        <v>1.85336061513023</v>
      </c>
      <c r="G66">
        <v>-1822.656580869459</v>
      </c>
      <c r="H66">
        <v>-1495.8366219831328</v>
      </c>
      <c r="I66">
        <v>315.42055653006298</v>
      </c>
      <c r="J66">
        <v>161.07474733874599</v>
      </c>
      <c r="K66">
        <v>59.100421144267003</v>
      </c>
      <c r="L66">
        <v>0.77479156565022</v>
      </c>
      <c r="M66">
        <v>-0.77441882499023773</v>
      </c>
      <c r="N66">
        <v>45.772529051226002</v>
      </c>
      <c r="O66">
        <v>45.772528169573299</v>
      </c>
      <c r="P66">
        <v>45.772510826142103</v>
      </c>
      <c r="Q66" t="s">
        <v>51</v>
      </c>
    </row>
    <row r="67" spans="1:17" x14ac:dyDescent="0.2">
      <c r="A67">
        <v>66</v>
      </c>
      <c r="B67">
        <v>762</v>
      </c>
      <c r="C67">
        <v>200</v>
      </c>
      <c r="D67">
        <v>0.38605081389170998</v>
      </c>
      <c r="E67">
        <v>109.534413899303</v>
      </c>
      <c r="F67">
        <v>1.85310785558337</v>
      </c>
      <c r="G67">
        <v>-1822.341621629856</v>
      </c>
      <c r="H67">
        <v>-1496.0909780575007</v>
      </c>
      <c r="I67">
        <v>315.17530416683502</v>
      </c>
      <c r="J67">
        <v>161.07093912529001</v>
      </c>
      <c r="K67">
        <v>59.108493641791497</v>
      </c>
      <c r="L67">
        <v>0.77059604625432609</v>
      </c>
      <c r="M67">
        <v>-0.770220910218123</v>
      </c>
      <c r="N67">
        <v>45.530665025457701</v>
      </c>
      <c r="O67">
        <v>45.530663995702596</v>
      </c>
      <c r="P67">
        <v>45.530646532337499</v>
      </c>
      <c r="Q67" t="s">
        <v>51</v>
      </c>
    </row>
    <row r="68" spans="1:17" x14ac:dyDescent="0.2">
      <c r="A68">
        <v>67</v>
      </c>
      <c r="B68">
        <v>761</v>
      </c>
      <c r="C68">
        <v>200</v>
      </c>
      <c r="D68">
        <v>0.38538945027317301</v>
      </c>
      <c r="E68">
        <v>109.53444533483101</v>
      </c>
      <c r="F68">
        <v>1.85129564443746</v>
      </c>
      <c r="G68">
        <v>-1822.0271649153178</v>
      </c>
      <c r="H68">
        <v>-1496.5853963722518</v>
      </c>
      <c r="I68">
        <v>314.69797535238803</v>
      </c>
      <c r="J68">
        <v>161.084848582349</v>
      </c>
      <c r="K68">
        <v>59.1663712189603</v>
      </c>
      <c r="L68">
        <v>0.75446819608960269</v>
      </c>
      <c r="M68">
        <v>-0.75408495405351683</v>
      </c>
      <c r="N68">
        <v>44.620618867495601</v>
      </c>
      <c r="O68">
        <v>44.6206176764506</v>
      </c>
      <c r="P68">
        <v>44.620599818621997</v>
      </c>
      <c r="Q68" t="s">
        <v>51</v>
      </c>
    </row>
    <row r="69" spans="1:17" x14ac:dyDescent="0.2">
      <c r="A69">
        <v>68</v>
      </c>
      <c r="B69">
        <v>760</v>
      </c>
      <c r="C69">
        <v>200</v>
      </c>
      <c r="D69">
        <v>0.38472680636887402</v>
      </c>
      <c r="E69">
        <v>109.534479716261</v>
      </c>
      <c r="F69">
        <v>1.84895045605477</v>
      </c>
      <c r="G69">
        <v>-1821.7133018602383</v>
      </c>
      <c r="H69">
        <v>-1497.1634816348599</v>
      </c>
      <c r="I69">
        <v>314.13933119898201</v>
      </c>
      <c r="J69">
        <v>161.106718236191</v>
      </c>
      <c r="K69">
        <v>59.241435787296297</v>
      </c>
      <c r="L69">
        <v>0.73417251097647296</v>
      </c>
      <c r="M69">
        <v>-0.73377918695732669</v>
      </c>
      <c r="N69">
        <v>43.474384498898999</v>
      </c>
      <c r="O69">
        <v>43.4743831354318</v>
      </c>
      <c r="P69">
        <v>43.474364786925101</v>
      </c>
      <c r="Q69" t="s">
        <v>51</v>
      </c>
    </row>
    <row r="70" spans="1:17" x14ac:dyDescent="0.2">
      <c r="A70">
        <v>69</v>
      </c>
      <c r="B70">
        <v>759</v>
      </c>
      <c r="C70">
        <v>200</v>
      </c>
      <c r="D70">
        <v>0.38406287845759102</v>
      </c>
      <c r="E70">
        <v>109.534513568867</v>
      </c>
      <c r="F70">
        <v>1.8465608504497</v>
      </c>
      <c r="G70">
        <v>-1821.3999932363979</v>
      </c>
      <c r="H70">
        <v>-1497.7506694510489</v>
      </c>
      <c r="I70">
        <v>313.57132462781601</v>
      </c>
      <c r="J70">
        <v>161.131252293849</v>
      </c>
      <c r="K70">
        <v>59.318117538445598</v>
      </c>
      <c r="L70">
        <v>0.71340528435665329</v>
      </c>
      <c r="M70">
        <v>-0.71300168247619922</v>
      </c>
      <c r="N70">
        <v>42.298274828757599</v>
      </c>
      <c r="O70">
        <v>42.298273284104802</v>
      </c>
      <c r="P70">
        <v>42.298254434049802</v>
      </c>
      <c r="Q70" t="s">
        <v>51</v>
      </c>
    </row>
    <row r="71" spans="1:17" x14ac:dyDescent="0.2">
      <c r="A71">
        <v>70</v>
      </c>
      <c r="B71">
        <v>758</v>
      </c>
      <c r="C71">
        <v>200</v>
      </c>
      <c r="D71">
        <v>0.383397662803666</v>
      </c>
      <c r="E71">
        <v>109.534546789598</v>
      </c>
      <c r="F71">
        <v>1.84411065290412</v>
      </c>
      <c r="G71">
        <v>-1821.0872479791196</v>
      </c>
      <c r="H71">
        <v>-1498.3497019255667</v>
      </c>
      <c r="I71">
        <v>312.99127831341099</v>
      </c>
      <c r="J71">
        <v>161.15827897808401</v>
      </c>
      <c r="K71">
        <v>59.396949210776697</v>
      </c>
      <c r="L71">
        <v>0.69201933920630043</v>
      </c>
      <c r="M71">
        <v>-0.69160520296494887</v>
      </c>
      <c r="N71">
        <v>41.0837042715142</v>
      </c>
      <c r="O71">
        <v>41.083702536431502</v>
      </c>
      <c r="P71">
        <v>41.083683170962203</v>
      </c>
      <c r="Q71" t="s">
        <v>51</v>
      </c>
    </row>
    <row r="72" spans="1:17" x14ac:dyDescent="0.2">
      <c r="A72">
        <v>71</v>
      </c>
      <c r="B72">
        <v>757</v>
      </c>
      <c r="C72">
        <v>200</v>
      </c>
      <c r="D72">
        <v>0.38273115565694399</v>
      </c>
      <c r="E72">
        <v>109.53457922349</v>
      </c>
      <c r="F72">
        <v>1.8415748219091099</v>
      </c>
      <c r="G72">
        <v>-1820.7750774850088</v>
      </c>
      <c r="H72">
        <v>-1498.9647268040976</v>
      </c>
      <c r="I72">
        <v>312.39514269427502</v>
      </c>
      <c r="J72">
        <v>161.18757418175301</v>
      </c>
      <c r="K72">
        <v>59.4787558563266</v>
      </c>
      <c r="L72">
        <v>0.66979362974540746</v>
      </c>
      <c r="M72">
        <v>-0.66936861006610759</v>
      </c>
      <c r="N72">
        <v>39.817788896622297</v>
      </c>
      <c r="O72">
        <v>39.817786961174598</v>
      </c>
      <c r="P72">
        <v>39.817767061843703</v>
      </c>
      <c r="Q72" t="s">
        <v>51</v>
      </c>
    </row>
    <row r="73" spans="1:17" x14ac:dyDescent="0.2">
      <c r="A73">
        <v>72</v>
      </c>
      <c r="B73">
        <v>756</v>
      </c>
      <c r="C73">
        <v>200</v>
      </c>
      <c r="D73">
        <v>0.38206335325268598</v>
      </c>
      <c r="E73">
        <v>109.53461062590701</v>
      </c>
      <c r="F73">
        <v>1.8389132071215499</v>
      </c>
      <c r="G73">
        <v>-1820.4634968070882</v>
      </c>
      <c r="H73">
        <v>-1499.6022997652492</v>
      </c>
      <c r="I73">
        <v>311.77651675770602</v>
      </c>
      <c r="J73">
        <v>161.21882427901301</v>
      </c>
      <c r="K73">
        <v>59.5648615724295</v>
      </c>
      <c r="L73">
        <v>0.64638097864688104</v>
      </c>
      <c r="M73">
        <v>-0.64594457934494542</v>
      </c>
      <c r="N73">
        <v>38.4802931476816</v>
      </c>
      <c r="O73">
        <v>38.480291000878502</v>
      </c>
      <c r="P73">
        <v>38.480270541947696</v>
      </c>
      <c r="Q73" t="s">
        <v>51</v>
      </c>
    </row>
    <row r="74" spans="1:17" x14ac:dyDescent="0.2">
      <c r="A74">
        <v>73</v>
      </c>
      <c r="B74">
        <v>755</v>
      </c>
      <c r="C74">
        <v>200</v>
      </c>
      <c r="D74">
        <v>0.38139425181150599</v>
      </c>
      <c r="E74">
        <v>109.534640581018</v>
      </c>
      <c r="F74">
        <v>1.8360580841808301</v>
      </c>
      <c r="G74">
        <v>-1820.1525265460289</v>
      </c>
      <c r="H74">
        <v>-1500.2734058165572</v>
      </c>
      <c r="I74">
        <v>311.12467278018602</v>
      </c>
      <c r="J74">
        <v>161.25154284453399</v>
      </c>
      <c r="K74">
        <v>59.657502954155099</v>
      </c>
      <c r="L74">
        <v>0.62120285336713088</v>
      </c>
      <c r="M74">
        <v>-0.62075433135525215</v>
      </c>
      <c r="N74">
        <v>37.037472114093902</v>
      </c>
      <c r="O74">
        <v>37.037469743214899</v>
      </c>
      <c r="P74">
        <v>37.037448686686602</v>
      </c>
      <c r="Q74" t="s">
        <v>51</v>
      </c>
    </row>
    <row r="75" spans="1:17" x14ac:dyDescent="0.2">
      <c r="A75">
        <v>74</v>
      </c>
      <c r="B75">
        <v>754</v>
      </c>
      <c r="C75">
        <v>200</v>
      </c>
      <c r="D75">
        <v>0.38072384753930699</v>
      </c>
      <c r="E75">
        <v>109.53466831214701</v>
      </c>
      <c r="F75">
        <v>1.83288644510254</v>
      </c>
      <c r="G75">
        <v>-1819.8421959967266</v>
      </c>
      <c r="H75">
        <v>-1500.9980029749888</v>
      </c>
      <c r="I75">
        <v>310.42011561693897</v>
      </c>
      <c r="J75">
        <v>161.284863487759</v>
      </c>
      <c r="K75">
        <v>59.760749829768798</v>
      </c>
      <c r="L75">
        <v>0.59321345370971035</v>
      </c>
      <c r="M75">
        <v>-0.59275161814180943</v>
      </c>
      <c r="N75">
        <v>35.428238189410301</v>
      </c>
      <c r="O75">
        <v>35.428235578634897</v>
      </c>
      <c r="P75">
        <v>35.428213864235403</v>
      </c>
      <c r="Q75" t="s">
        <v>51</v>
      </c>
    </row>
    <row r="76" spans="1:17" x14ac:dyDescent="0.2">
      <c r="A76">
        <v>75</v>
      </c>
      <c r="B76">
        <v>753</v>
      </c>
      <c r="C76">
        <v>200</v>
      </c>
      <c r="D76">
        <v>0.380052136627202</v>
      </c>
      <c r="E76">
        <v>109.534692164174</v>
      </c>
      <c r="F76">
        <v>1.8291504846763</v>
      </c>
      <c r="G76">
        <v>-1819.5325482382852</v>
      </c>
      <c r="H76">
        <v>-1501.8166049536974</v>
      </c>
      <c r="I76">
        <v>309.62325962272303</v>
      </c>
      <c r="J76">
        <v>161.31694645982901</v>
      </c>
      <c r="K76">
        <v>59.8828216058766</v>
      </c>
      <c r="L76">
        <v>0.56030082505969203</v>
      </c>
      <c r="M76">
        <v>-0.55982358136445054</v>
      </c>
      <c r="N76">
        <v>33.528934433936598</v>
      </c>
      <c r="O76">
        <v>33.5289315612048</v>
      </c>
      <c r="P76">
        <v>33.5289090835943</v>
      </c>
      <c r="Q76" t="s">
        <v>51</v>
      </c>
    </row>
    <row r="77" spans="1:17" x14ac:dyDescent="0.2">
      <c r="A77">
        <v>76</v>
      </c>
      <c r="B77">
        <v>752</v>
      </c>
      <c r="C77">
        <v>200</v>
      </c>
      <c r="D77">
        <v>0.37937911525142798</v>
      </c>
      <c r="E77">
        <v>109.541127130169</v>
      </c>
      <c r="F77">
        <v>1.80181442501735</v>
      </c>
      <c r="G77">
        <v>-1819.3292394414614</v>
      </c>
      <c r="H77">
        <v>-1506.7095552843057</v>
      </c>
      <c r="I77">
        <v>304.954916480267</v>
      </c>
      <c r="J77">
        <v>161.12179224278401</v>
      </c>
      <c r="K77">
        <v>60.794899635191101</v>
      </c>
      <c r="L77">
        <v>0.33520514181331124</v>
      </c>
      <c r="M77">
        <v>-0.33462796712948156</v>
      </c>
      <c r="N77">
        <v>20.3499271503077</v>
      </c>
      <c r="O77">
        <v>20.349923519751499</v>
      </c>
      <c r="P77">
        <v>20.349896040245898</v>
      </c>
      <c r="Q77" t="s">
        <v>51</v>
      </c>
    </row>
    <row r="78" spans="1:17" x14ac:dyDescent="0.2">
      <c r="A78">
        <v>77</v>
      </c>
      <c r="B78">
        <v>751</v>
      </c>
      <c r="C78">
        <v>200</v>
      </c>
      <c r="D78">
        <v>0.378704779573308</v>
      </c>
      <c r="E78">
        <v>109.546041480952</v>
      </c>
      <c r="F78">
        <v>1.7841331556478199</v>
      </c>
      <c r="G78">
        <v>-1819.1061377240765</v>
      </c>
      <c r="H78">
        <v>-1510.1293073941511</v>
      </c>
      <c r="I78">
        <v>301.69631460506298</v>
      </c>
      <c r="J78">
        <v>160.98799504694301</v>
      </c>
      <c r="K78">
        <v>61.400148937412297</v>
      </c>
      <c r="L78">
        <v>0.18538730999186787</v>
      </c>
      <c r="M78">
        <v>-0.18474391803450038</v>
      </c>
      <c r="N78">
        <v>11.350318999169501</v>
      </c>
      <c r="O78">
        <v>11.3503147222994</v>
      </c>
      <c r="P78">
        <v>11.3502838427599</v>
      </c>
      <c r="Q78" t="s">
        <v>51</v>
      </c>
    </row>
    <row r="79" spans="1:17" x14ac:dyDescent="0.2">
      <c r="A79">
        <v>78</v>
      </c>
      <c r="B79">
        <v>750</v>
      </c>
      <c r="C79">
        <v>200</v>
      </c>
      <c r="D79">
        <v>0.37802912573913899</v>
      </c>
      <c r="E79">
        <v>109.547774883759</v>
      </c>
      <c r="F79">
        <v>1.77784037515032</v>
      </c>
      <c r="G79">
        <v>-1818.8334099597978</v>
      </c>
      <c r="H79">
        <v>-1511.591306111553</v>
      </c>
      <c r="I79">
        <v>300.29594305574602</v>
      </c>
      <c r="J79">
        <v>160.96159816103</v>
      </c>
      <c r="K79">
        <v>61.6184537233813</v>
      </c>
      <c r="L79">
        <v>0.12637455910806164</v>
      </c>
      <c r="M79">
        <v>-0.12570526469013268</v>
      </c>
      <c r="N79">
        <v>7.7530674388830301</v>
      </c>
      <c r="O79">
        <v>7.7530627255250701</v>
      </c>
      <c r="P79">
        <v>7.7530304976034703</v>
      </c>
      <c r="Q79" t="s">
        <v>51</v>
      </c>
    </row>
    <row r="80" spans="1:17" x14ac:dyDescent="0.2">
      <c r="A80">
        <v>79</v>
      </c>
      <c r="B80">
        <v>749</v>
      </c>
      <c r="C80">
        <v>200</v>
      </c>
      <c r="D80">
        <v>0.37735214988015597</v>
      </c>
      <c r="E80">
        <v>109.548861171959</v>
      </c>
      <c r="F80">
        <v>1.77490522870249</v>
      </c>
      <c r="G80">
        <v>-1818.5512417827367</v>
      </c>
      <c r="H80">
        <v>-1512.474261768074</v>
      </c>
      <c r="I80">
        <v>299.44998493238802</v>
      </c>
      <c r="J80">
        <v>160.96851569631201</v>
      </c>
      <c r="K80">
        <v>61.720963688885398</v>
      </c>
      <c r="L80">
        <v>9.4073456695206073E-2</v>
      </c>
      <c r="M80">
        <v>-9.3390122976075504E-2</v>
      </c>
      <c r="N80">
        <v>5.7715787462193804</v>
      </c>
      <c r="O80">
        <v>5.7715736581525601</v>
      </c>
      <c r="P80">
        <v>5.7715406958887296</v>
      </c>
      <c r="Q80" t="s">
        <v>51</v>
      </c>
    </row>
    <row r="81" spans="1:17" x14ac:dyDescent="0.2">
      <c r="A81">
        <v>80</v>
      </c>
      <c r="B81">
        <v>748</v>
      </c>
      <c r="C81">
        <v>200</v>
      </c>
      <c r="D81">
        <v>0.37667384811242399</v>
      </c>
      <c r="E81">
        <v>109.54877318114799</v>
      </c>
      <c r="F81">
        <v>1.7730056573095301</v>
      </c>
      <c r="G81">
        <v>-1818.2507502693145</v>
      </c>
      <c r="H81">
        <v>-1513.1686170937467</v>
      </c>
      <c r="I81">
        <v>298.769088218896</v>
      </c>
      <c r="J81">
        <v>160.98320948544799</v>
      </c>
      <c r="K81">
        <v>61.787040966008298</v>
      </c>
      <c r="L81">
        <v>6.9849945355871537E-2</v>
      </c>
      <c r="M81">
        <v>-6.9156126520806341E-2</v>
      </c>
      <c r="N81">
        <v>4.2805067011759901</v>
      </c>
      <c r="O81">
        <v>4.2805012527361299</v>
      </c>
      <c r="P81">
        <v>4.2804677416854497</v>
      </c>
      <c r="Q81" t="s">
        <v>51</v>
      </c>
    </row>
    <row r="82" spans="1:17" x14ac:dyDescent="0.2">
      <c r="A82">
        <v>81</v>
      </c>
      <c r="B82">
        <v>782</v>
      </c>
      <c r="C82">
        <v>175</v>
      </c>
      <c r="D82">
        <v>0.42507747713595301</v>
      </c>
      <c r="E82">
        <v>109.534155816951</v>
      </c>
      <c r="F82">
        <v>1.7870076921332301</v>
      </c>
      <c r="G82">
        <v>-1830.190816076519</v>
      </c>
      <c r="H82">
        <v>-1492.773672926425</v>
      </c>
      <c r="I82">
        <v>319.784165259075</v>
      </c>
      <c r="J82">
        <v>161.85268075849399</v>
      </c>
      <c r="K82">
        <v>61.2947310183064</v>
      </c>
      <c r="L82">
        <v>0.77733865349966924</v>
      </c>
      <c r="M82">
        <v>-0.77688054233225512</v>
      </c>
      <c r="N82">
        <v>47.624761294833398</v>
      </c>
      <c r="O82">
        <v>47.624771078788498</v>
      </c>
      <c r="P82">
        <v>47.624746071548998</v>
      </c>
      <c r="Q82" t="s">
        <v>51</v>
      </c>
    </row>
    <row r="83" spans="1:17" x14ac:dyDescent="0.2">
      <c r="A83">
        <v>82</v>
      </c>
      <c r="B83">
        <v>781</v>
      </c>
      <c r="C83">
        <v>175</v>
      </c>
      <c r="D83">
        <v>0.42446568325190898</v>
      </c>
      <c r="E83">
        <v>109.534179224018</v>
      </c>
      <c r="F83">
        <v>1.78729824013104</v>
      </c>
      <c r="G83">
        <v>-1829.8714996574618</v>
      </c>
      <c r="H83">
        <v>-1492.9839099885444</v>
      </c>
      <c r="I83">
        <v>319.58518094815003</v>
      </c>
      <c r="J83">
        <v>161.84797582637799</v>
      </c>
      <c r="K83">
        <v>61.2847798787</v>
      </c>
      <c r="L83">
        <v>0.77541745941621154</v>
      </c>
      <c r="M83">
        <v>-0.77495800460934494</v>
      </c>
      <c r="N83">
        <v>47.499211499317397</v>
      </c>
      <c r="O83">
        <v>47.499221162784501</v>
      </c>
      <c r="P83">
        <v>47.499196067130903</v>
      </c>
      <c r="Q83" t="s">
        <v>51</v>
      </c>
    </row>
    <row r="84" spans="1:17" x14ac:dyDescent="0.2">
      <c r="A84">
        <v>83</v>
      </c>
      <c r="B84">
        <v>780</v>
      </c>
      <c r="C84">
        <v>175</v>
      </c>
      <c r="D84">
        <v>0.42385272753169101</v>
      </c>
      <c r="E84">
        <v>109.534199635246</v>
      </c>
      <c r="F84">
        <v>1.7871065179997301</v>
      </c>
      <c r="G84">
        <v>-1829.5523633012301</v>
      </c>
      <c r="H84">
        <v>-1493.2351510172639</v>
      </c>
      <c r="I84">
        <v>319.34706343225901</v>
      </c>
      <c r="J84">
        <v>161.83480942310101</v>
      </c>
      <c r="K84">
        <v>61.291365977359398</v>
      </c>
      <c r="L84">
        <v>0.77162211059445396</v>
      </c>
      <c r="M84">
        <v>-0.77116011506388527</v>
      </c>
      <c r="N84">
        <v>47.271557913938402</v>
      </c>
      <c r="O84">
        <v>47.271567482418199</v>
      </c>
      <c r="P84">
        <v>47.2715422282809</v>
      </c>
      <c r="Q84" t="s">
        <v>51</v>
      </c>
    </row>
    <row r="85" spans="1:17" x14ac:dyDescent="0.2">
      <c r="A85">
        <v>84</v>
      </c>
      <c r="B85">
        <v>779</v>
      </c>
      <c r="C85">
        <v>175</v>
      </c>
      <c r="D85">
        <v>0.42323860666254698</v>
      </c>
      <c r="E85">
        <v>109.534220017959</v>
      </c>
      <c r="F85">
        <v>1.7869179704337199</v>
      </c>
      <c r="G85">
        <v>-1829.2334647158161</v>
      </c>
      <c r="H85">
        <v>-1493.4864668283856</v>
      </c>
      <c r="I85">
        <v>319.10864824900801</v>
      </c>
      <c r="J85">
        <v>161.82243182721299</v>
      </c>
      <c r="K85">
        <v>61.297844573902402</v>
      </c>
      <c r="L85">
        <v>0.76781769711224956</v>
      </c>
      <c r="M85">
        <v>-0.76735315756610067</v>
      </c>
      <c r="N85">
        <v>47.0432158512981</v>
      </c>
      <c r="O85">
        <v>47.043225321663201</v>
      </c>
      <c r="P85">
        <v>47.043199908583198</v>
      </c>
      <c r="Q85" t="s">
        <v>51</v>
      </c>
    </row>
    <row r="86" spans="1:17" x14ac:dyDescent="0.2">
      <c r="A86">
        <v>85</v>
      </c>
      <c r="B86">
        <v>778</v>
      </c>
      <c r="C86">
        <v>175</v>
      </c>
      <c r="D86">
        <v>0.422623317319128</v>
      </c>
      <c r="E86">
        <v>109.5342403752</v>
      </c>
      <c r="F86">
        <v>1.7867332378070699</v>
      </c>
      <c r="G86">
        <v>-1828.9148042261193</v>
      </c>
      <c r="H86">
        <v>-1493.7378095311947</v>
      </c>
      <c r="I86">
        <v>318.86998040714298</v>
      </c>
      <c r="J86">
        <v>161.810851331149</v>
      </c>
      <c r="K86">
        <v>61.304193629730499</v>
      </c>
      <c r="L86">
        <v>0.76400657612495249</v>
      </c>
      <c r="M86">
        <v>-0.76353949094336404</v>
      </c>
      <c r="N86">
        <v>46.8143141176377</v>
      </c>
      <c r="O86">
        <v>46.814323486687499</v>
      </c>
      <c r="P86">
        <v>46.814297914304298</v>
      </c>
      <c r="Q86" t="s">
        <v>51</v>
      </c>
    </row>
    <row r="87" spans="1:17" x14ac:dyDescent="0.2">
      <c r="A87">
        <v>86</v>
      </c>
      <c r="B87">
        <v>777</v>
      </c>
      <c r="C87">
        <v>175</v>
      </c>
      <c r="D87">
        <v>0.42200685616340999</v>
      </c>
      <c r="E87">
        <v>109.534260710243</v>
      </c>
      <c r="F87">
        <v>1.7865529541526799</v>
      </c>
      <c r="G87">
        <v>-1828.5963821156952</v>
      </c>
      <c r="H87">
        <v>-1493.9891311167905</v>
      </c>
      <c r="I87">
        <v>318.63110515997801</v>
      </c>
      <c r="J87">
        <v>161.80007584293099</v>
      </c>
      <c r="K87">
        <v>61.310391307260304</v>
      </c>
      <c r="L87">
        <v>0.76019111221533175</v>
      </c>
      <c r="M87">
        <v>-0.75972148145106477</v>
      </c>
      <c r="N87">
        <v>46.584982529018099</v>
      </c>
      <c r="O87">
        <v>46.584991793481102</v>
      </c>
      <c r="P87">
        <v>46.584966061533102</v>
      </c>
      <c r="Q87" t="s">
        <v>51</v>
      </c>
    </row>
    <row r="88" spans="1:17" x14ac:dyDescent="0.2">
      <c r="A88">
        <v>87</v>
      </c>
      <c r="B88">
        <v>776</v>
      </c>
      <c r="C88">
        <v>175</v>
      </c>
      <c r="D88">
        <v>0.42138921984463801</v>
      </c>
      <c r="E88">
        <v>109.53428102658999</v>
      </c>
      <c r="F88">
        <v>1.78637774369407</v>
      </c>
      <c r="G88">
        <v>-1828.2781986265363</v>
      </c>
      <c r="H88">
        <v>-1494.2403837383617</v>
      </c>
      <c r="I88">
        <v>318.39206773927401</v>
      </c>
      <c r="J88">
        <v>161.79011289960101</v>
      </c>
      <c r="K88">
        <v>61.316416090184099</v>
      </c>
      <c r="L88">
        <v>0.756373663844783</v>
      </c>
      <c r="M88">
        <v>-0.75590148921472367</v>
      </c>
      <c r="N88">
        <v>46.355351165321103</v>
      </c>
      <c r="O88">
        <v>46.355360321857603</v>
      </c>
      <c r="P88">
        <v>46.355334430182097</v>
      </c>
      <c r="Q88" t="s">
        <v>51</v>
      </c>
    </row>
    <row r="89" spans="1:17" x14ac:dyDescent="0.2">
      <c r="A89">
        <v>88</v>
      </c>
      <c r="B89">
        <v>775</v>
      </c>
      <c r="C89">
        <v>175</v>
      </c>
      <c r="D89">
        <v>0.42077040499928797</v>
      </c>
      <c r="E89">
        <v>109.53430132790599</v>
      </c>
      <c r="F89">
        <v>1.7862082175665399</v>
      </c>
      <c r="G89">
        <v>-1827.9602539581674</v>
      </c>
      <c r="H89">
        <v>-1494.4915199807122</v>
      </c>
      <c r="I89">
        <v>318.15291309718901</v>
      </c>
      <c r="J89">
        <v>161.780969686585</v>
      </c>
      <c r="K89">
        <v>61.3222468974705</v>
      </c>
      <c r="L89">
        <v>0.75255657027782319</v>
      </c>
      <c r="M89">
        <v>-0.75208185514574621</v>
      </c>
      <c r="N89">
        <v>46.125549644290501</v>
      </c>
      <c r="O89">
        <v>46.1255586894952</v>
      </c>
      <c r="P89">
        <v>46.125532638028197</v>
      </c>
      <c r="Q89" t="s">
        <v>51</v>
      </c>
    </row>
    <row r="90" spans="1:17" x14ac:dyDescent="0.2">
      <c r="A90">
        <v>89</v>
      </c>
      <c r="B90">
        <v>774</v>
      </c>
      <c r="C90">
        <v>175</v>
      </c>
      <c r="D90">
        <v>0.420150408250972</v>
      </c>
      <c r="E90">
        <v>109.534321618072</v>
      </c>
      <c r="F90">
        <v>1.78604497076327</v>
      </c>
      <c r="G90">
        <v>-1827.6425482689085</v>
      </c>
      <c r="H90">
        <v>-1494.7424931188784</v>
      </c>
      <c r="I90">
        <v>317.913685659235</v>
      </c>
      <c r="J90">
        <v>161.77265306247699</v>
      </c>
      <c r="K90">
        <v>61.327863189952097</v>
      </c>
      <c r="L90">
        <v>0.74874213911509013</v>
      </c>
      <c r="M90">
        <v>-0.74826488846613748</v>
      </c>
      <c r="N90">
        <v>45.895706423312603</v>
      </c>
      <c r="O90">
        <v>45.895715353717499</v>
      </c>
      <c r="P90">
        <v>45.895689142492699</v>
      </c>
      <c r="Q90" t="s">
        <v>51</v>
      </c>
    </row>
    <row r="91" spans="1:17" x14ac:dyDescent="0.2">
      <c r="A91">
        <v>90</v>
      </c>
      <c r="B91">
        <v>773</v>
      </c>
      <c r="C91">
        <v>175</v>
      </c>
      <c r="D91">
        <v>0.41952922621038902</v>
      </c>
      <c r="E91">
        <v>109.53434190108101</v>
      </c>
      <c r="F91">
        <v>1.78588857935826</v>
      </c>
      <c r="G91">
        <v>-1827.3250816748794</v>
      </c>
      <c r="H91">
        <v>-1494.9932573574233</v>
      </c>
      <c r="I91">
        <v>317.67442909212502</v>
      </c>
      <c r="J91">
        <v>161.76516958877099</v>
      </c>
      <c r="K91">
        <v>61.333245067528999</v>
      </c>
      <c r="L91">
        <v>0.74493263465791792</v>
      </c>
      <c r="M91">
        <v>-0.74445285506539283</v>
      </c>
      <c r="N91">
        <v>45.6659481414857</v>
      </c>
      <c r="O91">
        <v>45.6659569535637</v>
      </c>
      <c r="P91">
        <v>45.6659305827107</v>
      </c>
      <c r="Q91" t="s">
        <v>51</v>
      </c>
    </row>
    <row r="92" spans="1:17" x14ac:dyDescent="0.2">
      <c r="A92">
        <v>91</v>
      </c>
      <c r="B92">
        <v>772</v>
      </c>
      <c r="C92">
        <v>175</v>
      </c>
      <c r="D92">
        <v>0.418906855475288</v>
      </c>
      <c r="E92">
        <v>109.534362181079</v>
      </c>
      <c r="F92">
        <v>1.7857395980028199</v>
      </c>
      <c r="G92">
        <v>-1827.0078542514389</v>
      </c>
      <c r="H92">
        <v>-1495.2437680539088</v>
      </c>
      <c r="I92">
        <v>317.43518608775099</v>
      </c>
      <c r="J92">
        <v>161.75852556428299</v>
      </c>
      <c r="K92">
        <v>61.3383733572255</v>
      </c>
      <c r="L92">
        <v>0.74113026712976804</v>
      </c>
      <c r="M92">
        <v>-0.74064796671484923</v>
      </c>
      <c r="N92">
        <v>45.436399004117199</v>
      </c>
      <c r="O92">
        <v>45.436407694285201</v>
      </c>
      <c r="P92">
        <v>45.436381164028198</v>
      </c>
      <c r="Q92" t="s">
        <v>51</v>
      </c>
    </row>
    <row r="93" spans="1:17" x14ac:dyDescent="0.2">
      <c r="A93">
        <v>92</v>
      </c>
      <c r="B93">
        <v>771</v>
      </c>
      <c r="C93">
        <v>175</v>
      </c>
      <c r="D93">
        <v>0.41828329263037001</v>
      </c>
      <c r="E93">
        <v>109.534382462276</v>
      </c>
      <c r="F93">
        <v>1.7855985577378799</v>
      </c>
      <c r="G93">
        <v>-1826.6908660329027</v>
      </c>
      <c r="H93">
        <v>-1495.4939819191679</v>
      </c>
      <c r="I93">
        <v>317.19599816648901</v>
      </c>
      <c r="J93">
        <v>161.75272706365101</v>
      </c>
      <c r="K93">
        <v>61.343229690464398</v>
      </c>
      <c r="L93">
        <v>0.73733718293927597</v>
      </c>
      <c r="M93">
        <v>-0.7368523713243823</v>
      </c>
      <c r="N93">
        <v>45.207180220206197</v>
      </c>
      <c r="O93">
        <v>45.207188784828901</v>
      </c>
      <c r="P93">
        <v>45.207162095484001</v>
      </c>
      <c r="Q93" t="s">
        <v>51</v>
      </c>
    </row>
    <row r="94" spans="1:17" x14ac:dyDescent="0.2">
      <c r="A94">
        <v>93</v>
      </c>
      <c r="B94">
        <v>770</v>
      </c>
      <c r="C94">
        <v>175</v>
      </c>
      <c r="D94">
        <v>0.41765853424723398</v>
      </c>
      <c r="E94">
        <v>109.53440274899</v>
      </c>
      <c r="F94">
        <v>1.78546596414123</v>
      </c>
      <c r="G94">
        <v>-1826.3741170144365</v>
      </c>
      <c r="H94">
        <v>-1495.7438571959865</v>
      </c>
      <c r="I94">
        <v>316.95690550214698</v>
      </c>
      <c r="J94">
        <v>161.74777997965501</v>
      </c>
      <c r="K94">
        <v>61.347796568989203</v>
      </c>
      <c r="L94">
        <v>0.7335554560749542</v>
      </c>
      <c r="M94">
        <v>-0.73306814433154577</v>
      </c>
      <c r="N94">
        <v>44.978409498504703</v>
      </c>
      <c r="O94">
        <v>44.978417933897902</v>
      </c>
      <c r="P94">
        <v>44.978391085871003</v>
      </c>
      <c r="Q94" t="s">
        <v>51</v>
      </c>
    </row>
    <row r="95" spans="1:17" x14ac:dyDescent="0.2">
      <c r="A95">
        <v>94</v>
      </c>
      <c r="B95">
        <v>769</v>
      </c>
      <c r="C95">
        <v>175</v>
      </c>
      <c r="D95">
        <v>0.41703257688433099</v>
      </c>
      <c r="E95">
        <v>109.53442304561401</v>
      </c>
      <c r="F95">
        <v>1.7853422957826199</v>
      </c>
      <c r="G95">
        <v>-1826.0576071530138</v>
      </c>
      <c r="H95">
        <v>-1495.9933538148259</v>
      </c>
      <c r="I95">
        <v>316.71794676703701</v>
      </c>
      <c r="J95">
        <v>161.74369006831</v>
      </c>
      <c r="K95">
        <v>61.352057420226302</v>
      </c>
      <c r="L95">
        <v>0.72978708056779495</v>
      </c>
      <c r="M95">
        <v>-0.72929728115934633</v>
      </c>
      <c r="N95">
        <v>44.750200599328998</v>
      </c>
      <c r="O95">
        <v>44.750208901763799</v>
      </c>
      <c r="P95">
        <v>44.750181895547399</v>
      </c>
      <c r="Q95" t="s">
        <v>51</v>
      </c>
    </row>
    <row r="96" spans="1:17" x14ac:dyDescent="0.2">
      <c r="A96">
        <v>95</v>
      </c>
      <c r="B96">
        <v>768</v>
      </c>
      <c r="C96">
        <v>175</v>
      </c>
      <c r="D96">
        <v>0.416405417086878</v>
      </c>
      <c r="E96">
        <v>109.534443356552</v>
      </c>
      <c r="F96">
        <v>1.78522800301395</v>
      </c>
      <c r="G96">
        <v>-1825.7413363678963</v>
      </c>
      <c r="H96">
        <v>-1496.2424335237099</v>
      </c>
      <c r="I96">
        <v>316.479159000501</v>
      </c>
      <c r="J96">
        <v>161.74046299694001</v>
      </c>
      <c r="K96">
        <v>61.355996641116803</v>
      </c>
      <c r="L96">
        <v>0.72603396417245014</v>
      </c>
      <c r="M96">
        <v>-0.72554169089342002</v>
      </c>
      <c r="N96">
        <v>44.522662951151901</v>
      </c>
      <c r="O96">
        <v>44.522671116858199</v>
      </c>
      <c r="P96">
        <v>44.5226439530283</v>
      </c>
      <c r="Q96" t="s">
        <v>51</v>
      </c>
    </row>
    <row r="97" spans="1:17" x14ac:dyDescent="0.2">
      <c r="A97">
        <v>96</v>
      </c>
      <c r="B97">
        <v>767</v>
      </c>
      <c r="C97">
        <v>175</v>
      </c>
      <c r="D97">
        <v>0.41577705138682203</v>
      </c>
      <c r="E97">
        <v>109.53447260035701</v>
      </c>
      <c r="F97">
        <v>1.7835836738919699</v>
      </c>
      <c r="G97">
        <v>-1825.4255181932008</v>
      </c>
      <c r="H97">
        <v>-1496.7027749745014</v>
      </c>
      <c r="I97">
        <v>316.03727885320598</v>
      </c>
      <c r="J97">
        <v>161.742651855942</v>
      </c>
      <c r="K97">
        <v>61.412578621187798</v>
      </c>
      <c r="L97">
        <v>0.71193160345526607</v>
      </c>
      <c r="M97">
        <v>-0.71143131378314162</v>
      </c>
      <c r="N97">
        <v>43.697253967656501</v>
      </c>
      <c r="O97">
        <v>43.697262093707202</v>
      </c>
      <c r="P97">
        <v>43.697234448831097</v>
      </c>
      <c r="Q97" t="s">
        <v>51</v>
      </c>
    </row>
    <row r="98" spans="1:17" x14ac:dyDescent="0.2">
      <c r="A98">
        <v>97</v>
      </c>
      <c r="B98">
        <v>766</v>
      </c>
      <c r="C98">
        <v>175</v>
      </c>
      <c r="D98">
        <v>0.41514747630275201</v>
      </c>
      <c r="E98">
        <v>109.534505772356</v>
      </c>
      <c r="F98">
        <v>1.7811754035879299</v>
      </c>
      <c r="G98">
        <v>-1825.1102903515336</v>
      </c>
      <c r="H98">
        <v>-1497.2705623291351</v>
      </c>
      <c r="I98">
        <v>315.49173821633502</v>
      </c>
      <c r="J98">
        <v>161.748879644607</v>
      </c>
      <c r="K98">
        <v>61.495631228521297</v>
      </c>
      <c r="L98">
        <v>0.69255825802114923</v>
      </c>
      <c r="M98">
        <v>-0.69204714851370297</v>
      </c>
      <c r="N98">
        <v>42.564429794797199</v>
      </c>
      <c r="O98">
        <v>42.564437923813102</v>
      </c>
      <c r="P98">
        <v>42.564409632378599</v>
      </c>
      <c r="Q98" t="s">
        <v>51</v>
      </c>
    </row>
    <row r="99" spans="1:17" x14ac:dyDescent="0.2">
      <c r="A99">
        <v>98</v>
      </c>
      <c r="B99">
        <v>765</v>
      </c>
      <c r="C99">
        <v>175</v>
      </c>
      <c r="D99">
        <v>0.41451668833983701</v>
      </c>
      <c r="E99">
        <v>109.53453841729301</v>
      </c>
      <c r="F99">
        <v>1.7787319827374299</v>
      </c>
      <c r="G99">
        <v>-1824.7956031820572</v>
      </c>
      <c r="H99">
        <v>-1497.8460839346137</v>
      </c>
      <c r="I99">
        <v>314.93821889238598</v>
      </c>
      <c r="J99">
        <v>161.75692207119101</v>
      </c>
      <c r="K99">
        <v>61.5801253254144</v>
      </c>
      <c r="L99">
        <v>0.67278807722957845</v>
      </c>
      <c r="M99">
        <v>-0.67226596790482918</v>
      </c>
      <c r="N99">
        <v>41.404909305275403</v>
      </c>
      <c r="O99">
        <v>41.404917431047103</v>
      </c>
      <c r="P99">
        <v>41.404888480103203</v>
      </c>
      <c r="Q99" t="s">
        <v>51</v>
      </c>
    </row>
    <row r="100" spans="1:17" x14ac:dyDescent="0.2">
      <c r="A100">
        <v>99</v>
      </c>
      <c r="B100">
        <v>764</v>
      </c>
      <c r="C100">
        <v>175</v>
      </c>
      <c r="D100">
        <v>0.41388468398978101</v>
      </c>
      <c r="E100">
        <v>109.53457043243399</v>
      </c>
      <c r="F100">
        <v>1.77623681754559</v>
      </c>
      <c r="G100">
        <v>-1824.4814641434555</v>
      </c>
      <c r="H100">
        <v>-1498.4318796807754</v>
      </c>
      <c r="I100">
        <v>314.37425652964299</v>
      </c>
      <c r="J100">
        <v>161.76647373806099</v>
      </c>
      <c r="K100">
        <v>61.666647910039998</v>
      </c>
      <c r="L100">
        <v>0.65248669932953396</v>
      </c>
      <c r="M100">
        <v>-0.65195334816600581</v>
      </c>
      <c r="N100">
        <v>40.210600474367098</v>
      </c>
      <c r="O100">
        <v>40.2106085914061</v>
      </c>
      <c r="P100">
        <v>40.2105789642616</v>
      </c>
      <c r="Q100" t="s">
        <v>51</v>
      </c>
    </row>
    <row r="101" spans="1:17" x14ac:dyDescent="0.2">
      <c r="A101">
        <v>100</v>
      </c>
      <c r="B101">
        <v>763</v>
      </c>
      <c r="C101">
        <v>175</v>
      </c>
      <c r="D101">
        <v>0.41325145973073701</v>
      </c>
      <c r="E101">
        <v>109.534601664921</v>
      </c>
      <c r="F101">
        <v>1.7736648097138901</v>
      </c>
      <c r="G101">
        <v>-1824.1678828969359</v>
      </c>
      <c r="H101">
        <v>-1499.0317269864468</v>
      </c>
      <c r="I101">
        <v>313.79618525926298</v>
      </c>
      <c r="J101">
        <v>161.777120345957</v>
      </c>
      <c r="K101">
        <v>61.756088898550502</v>
      </c>
      <c r="L101">
        <v>0.63145603764822777</v>
      </c>
      <c r="M101">
        <v>-0.63091110974655717</v>
      </c>
      <c r="N101">
        <v>38.969565854949302</v>
      </c>
      <c r="O101">
        <v>38.969573958910701</v>
      </c>
      <c r="P101">
        <v>38.969543633261601</v>
      </c>
      <c r="Q101" t="s">
        <v>51</v>
      </c>
    </row>
    <row r="102" spans="1:17" x14ac:dyDescent="0.2">
      <c r="A102">
        <v>101</v>
      </c>
      <c r="B102">
        <v>762</v>
      </c>
      <c r="C102">
        <v>175</v>
      </c>
      <c r="D102">
        <v>0.41261701202724399</v>
      </c>
      <c r="E102">
        <v>109.534631877659</v>
      </c>
      <c r="F102">
        <v>1.77097700592534</v>
      </c>
      <c r="G102">
        <v>-1823.8548723006725</v>
      </c>
      <c r="H102">
        <v>-1499.6514364930795</v>
      </c>
      <c r="I102">
        <v>313.19836432054501</v>
      </c>
      <c r="J102">
        <v>161.788266429587</v>
      </c>
      <c r="K102">
        <v>61.849832895163701</v>
      </c>
      <c r="L102">
        <v>0.60939362915486528</v>
      </c>
      <c r="M102">
        <v>-0.60883664634432111</v>
      </c>
      <c r="N102">
        <v>37.663554673839201</v>
      </c>
      <c r="O102">
        <v>37.663562762205203</v>
      </c>
      <c r="P102">
        <v>37.663531707067797</v>
      </c>
      <c r="Q102" t="s">
        <v>51</v>
      </c>
    </row>
    <row r="103" spans="1:17" x14ac:dyDescent="0.2">
      <c r="A103">
        <v>102</v>
      </c>
      <c r="B103">
        <v>761</v>
      </c>
      <c r="C103">
        <v>175</v>
      </c>
      <c r="D103">
        <v>0.411981337330175</v>
      </c>
      <c r="E103">
        <v>109.534660680727</v>
      </c>
      <c r="F103">
        <v>1.7681105479246999</v>
      </c>
      <c r="G103">
        <v>-1823.5424499204203</v>
      </c>
      <c r="H103">
        <v>-1500.3003617319614</v>
      </c>
      <c r="I103">
        <v>312.57171042881703</v>
      </c>
      <c r="J103">
        <v>161.798992183395</v>
      </c>
      <c r="K103">
        <v>61.950120035928698</v>
      </c>
      <c r="L103">
        <v>0.58581567640540588</v>
      </c>
      <c r="M103">
        <v>-0.58524592998123837</v>
      </c>
      <c r="N103">
        <v>36.263321364465803</v>
      </c>
      <c r="O103">
        <v>36.2633294377232</v>
      </c>
      <c r="P103">
        <v>36.2632976081115</v>
      </c>
      <c r="Q103" t="s">
        <v>51</v>
      </c>
    </row>
    <row r="104" spans="1:17" x14ac:dyDescent="0.2">
      <c r="A104">
        <v>103</v>
      </c>
      <c r="B104">
        <v>760</v>
      </c>
      <c r="C104">
        <v>175</v>
      </c>
      <c r="D104">
        <v>0.41134443207665999</v>
      </c>
      <c r="E104">
        <v>109.534687383688</v>
      </c>
      <c r="F104">
        <v>1.7649583141922001</v>
      </c>
      <c r="G104">
        <v>-1823.2306403863042</v>
      </c>
      <c r="H104">
        <v>-1500.994495001936</v>
      </c>
      <c r="I104">
        <v>311.90068740504501</v>
      </c>
      <c r="J104">
        <v>161.80774644458401</v>
      </c>
      <c r="K104">
        <v>62.060778718063098</v>
      </c>
      <c r="L104">
        <v>0.55989976445847078</v>
      </c>
      <c r="M104">
        <v>-0.55931615290377357</v>
      </c>
      <c r="N104">
        <v>34.719032421962702</v>
      </c>
      <c r="O104">
        <v>34.719040485784703</v>
      </c>
      <c r="P104">
        <v>34.719007812788298</v>
      </c>
      <c r="Q104" t="s">
        <v>51</v>
      </c>
    </row>
    <row r="105" spans="1:17" x14ac:dyDescent="0.2">
      <c r="A105">
        <v>104</v>
      </c>
      <c r="B105">
        <v>759</v>
      </c>
      <c r="C105">
        <v>175</v>
      </c>
      <c r="D105">
        <v>0.41070629269001901</v>
      </c>
      <c r="E105">
        <v>109.534710639945</v>
      </c>
      <c r="F105">
        <v>1.76132498744074</v>
      </c>
      <c r="G105">
        <v>-1822.919478928118</v>
      </c>
      <c r="H105">
        <v>-1501.7632764750599</v>
      </c>
      <c r="I105">
        <v>311.15668253265102</v>
      </c>
      <c r="J105">
        <v>161.81163196557799</v>
      </c>
      <c r="K105">
        <v>62.188813206529801</v>
      </c>
      <c r="L105">
        <v>0.5301408562809512</v>
      </c>
      <c r="M105">
        <v>-0.52954155997995811</v>
      </c>
      <c r="N105">
        <v>32.939192918612001</v>
      </c>
      <c r="O105">
        <v>32.939200988210402</v>
      </c>
      <c r="P105">
        <v>32.939167359044902</v>
      </c>
      <c r="Q105" t="s">
        <v>51</v>
      </c>
    </row>
    <row r="106" spans="1:17" x14ac:dyDescent="0.2">
      <c r="A106">
        <v>105</v>
      </c>
      <c r="B106">
        <v>758</v>
      </c>
      <c r="C106">
        <v>175</v>
      </c>
      <c r="D106">
        <v>0.41006691557969399</v>
      </c>
      <c r="E106">
        <v>109.53472085928701</v>
      </c>
      <c r="F106">
        <v>1.7553953608916999</v>
      </c>
      <c r="G106">
        <v>-1822.6089290740272</v>
      </c>
      <c r="H106">
        <v>-1502.8906773957606</v>
      </c>
      <c r="I106">
        <v>310.06410397727399</v>
      </c>
      <c r="J106">
        <v>161.78050876194899</v>
      </c>
      <c r="K106">
        <v>62.398889332626503</v>
      </c>
      <c r="L106">
        <v>0.48259011894315618</v>
      </c>
      <c r="M106">
        <v>-0.48196662809799373</v>
      </c>
      <c r="N106">
        <v>30.082126257267301</v>
      </c>
      <c r="O106">
        <v>30.0821344443744</v>
      </c>
      <c r="P106">
        <v>30.0820993415185</v>
      </c>
      <c r="Q106" t="s">
        <v>51</v>
      </c>
    </row>
    <row r="107" spans="1:17" x14ac:dyDescent="0.2">
      <c r="A107">
        <v>106</v>
      </c>
      <c r="B107">
        <v>757</v>
      </c>
      <c r="C107">
        <v>175</v>
      </c>
      <c r="D107">
        <v>0.40942629714119499</v>
      </c>
      <c r="E107">
        <v>109.544706150068</v>
      </c>
      <c r="F107">
        <v>1.7205724466905199</v>
      </c>
      <c r="G107">
        <v>-1822.4649879335896</v>
      </c>
      <c r="H107">
        <v>-1508.7200300891495</v>
      </c>
      <c r="I107">
        <v>304.56757618182701</v>
      </c>
      <c r="J107">
        <v>161.25618554364601</v>
      </c>
      <c r="K107">
        <v>63.667592934418103</v>
      </c>
      <c r="L107">
        <v>0.22421976009335237</v>
      </c>
      <c r="M107">
        <v>-0.22346817285742757</v>
      </c>
      <c r="N107">
        <v>14.2374043669705</v>
      </c>
      <c r="O107">
        <v>14.2374141921595</v>
      </c>
      <c r="P107">
        <v>14.2373711580105</v>
      </c>
      <c r="Q107" t="s">
        <v>51</v>
      </c>
    </row>
    <row r="108" spans="1:17" x14ac:dyDescent="0.2">
      <c r="A108">
        <v>107</v>
      </c>
      <c r="B108">
        <v>756</v>
      </c>
      <c r="C108">
        <v>175</v>
      </c>
      <c r="D108">
        <v>0.40878443375601398</v>
      </c>
      <c r="E108">
        <v>109.547266260496</v>
      </c>
      <c r="F108">
        <v>1.71074608249504</v>
      </c>
      <c r="G108">
        <v>-1822.2031302415255</v>
      </c>
      <c r="H108">
        <v>-1510.6671461573685</v>
      </c>
      <c r="I108">
        <v>302.71741151075798</v>
      </c>
      <c r="J108">
        <v>161.11937387028999</v>
      </c>
      <c r="K108">
        <v>64.034790072836003</v>
      </c>
      <c r="L108">
        <v>0.14469162647926823</v>
      </c>
      <c r="M108">
        <v>-0.14390075678023023</v>
      </c>
      <c r="N108">
        <v>9.2249159792559396</v>
      </c>
      <c r="O108">
        <v>9.2249260662251107</v>
      </c>
      <c r="P108">
        <v>9.2248805269940792</v>
      </c>
      <c r="Q108" t="s">
        <v>51</v>
      </c>
    </row>
    <row r="109" spans="1:17" x14ac:dyDescent="0.2">
      <c r="A109">
        <v>108</v>
      </c>
      <c r="B109">
        <v>755</v>
      </c>
      <c r="C109">
        <v>175</v>
      </c>
      <c r="D109">
        <v>0.40814132179156798</v>
      </c>
      <c r="E109">
        <v>109.548412250206</v>
      </c>
      <c r="F109">
        <v>1.70654562166733</v>
      </c>
      <c r="G109">
        <v>-1821.9196036078342</v>
      </c>
      <c r="H109">
        <v>-1511.7117969336484</v>
      </c>
      <c r="I109">
        <v>301.72017639949001</v>
      </c>
      <c r="J109">
        <v>161.07693340127801</v>
      </c>
      <c r="K109">
        <v>64.193075684185303</v>
      </c>
      <c r="L109">
        <v>0.10571114730970357</v>
      </c>
      <c r="M109">
        <v>-0.10490106371919819</v>
      </c>
      <c r="N109">
        <v>6.7444314893675701</v>
      </c>
      <c r="O109">
        <v>6.74444151579302</v>
      </c>
      <c r="P109">
        <v>6.7443947346349598</v>
      </c>
      <c r="Q109" t="s">
        <v>51</v>
      </c>
    </row>
    <row r="110" spans="1:17" x14ac:dyDescent="0.2">
      <c r="A110">
        <v>109</v>
      </c>
      <c r="B110">
        <v>754</v>
      </c>
      <c r="C110">
        <v>175</v>
      </c>
      <c r="D110">
        <v>0.40749695760112897</v>
      </c>
      <c r="E110">
        <v>109.549001677809</v>
      </c>
      <c r="F110">
        <v>1.70423487465333</v>
      </c>
      <c r="G110">
        <v>-1821.6278415754025</v>
      </c>
      <c r="H110">
        <v>-1512.4554133409565</v>
      </c>
      <c r="I110">
        <v>301.00600799670099</v>
      </c>
      <c r="J110">
        <v>161.06544364858399</v>
      </c>
      <c r="K110">
        <v>64.280459992401703</v>
      </c>
      <c r="L110">
        <v>8.0190445570941488E-2</v>
      </c>
      <c r="M110">
        <v>-7.9367815777438788E-2</v>
      </c>
      <c r="N110">
        <v>5.1124602665170702</v>
      </c>
      <c r="O110">
        <v>5.11247011978113</v>
      </c>
      <c r="P110">
        <v>5.1124225208818803</v>
      </c>
      <c r="Q110" t="s">
        <v>51</v>
      </c>
    </row>
    <row r="111" spans="1:17" x14ac:dyDescent="0.2">
      <c r="A111">
        <v>110</v>
      </c>
      <c r="B111">
        <v>753</v>
      </c>
      <c r="C111">
        <v>175</v>
      </c>
      <c r="D111">
        <v>0.40685133752375702</v>
      </c>
      <c r="E111">
        <v>109.549078170749</v>
      </c>
      <c r="F111">
        <v>1.7030407195706301</v>
      </c>
      <c r="G111">
        <v>-1821.328366713296</v>
      </c>
      <c r="H111">
        <v>-1513.0135283274251</v>
      </c>
      <c r="I111">
        <v>300.46367489621798</v>
      </c>
      <c r="J111">
        <v>161.07355020505801</v>
      </c>
      <c r="K111">
        <v>64.325577722163203</v>
      </c>
      <c r="L111">
        <v>6.2730668990103877E-2</v>
      </c>
      <c r="M111">
        <v>-6.1899461592417937E-2</v>
      </c>
      <c r="N111">
        <v>3.9924719327732898</v>
      </c>
      <c r="O111">
        <v>3.99248154518523</v>
      </c>
      <c r="P111">
        <v>3.9924333827635601</v>
      </c>
      <c r="Q111" t="s">
        <v>51</v>
      </c>
    </row>
    <row r="112" spans="1:17" x14ac:dyDescent="0.2">
      <c r="A112">
        <v>111</v>
      </c>
      <c r="B112">
        <v>793</v>
      </c>
      <c r="C112">
        <v>150</v>
      </c>
      <c r="D112">
        <v>0.45752520752239401</v>
      </c>
      <c r="E112">
        <v>109.53409548072899</v>
      </c>
      <c r="F112">
        <v>1.6971663589388799</v>
      </c>
      <c r="G112">
        <v>-1835.2913666400725</v>
      </c>
      <c r="H112">
        <v>-1491.7010188051286</v>
      </c>
      <c r="I112">
        <v>322.27522858200001</v>
      </c>
      <c r="J112">
        <v>162.274125186828</v>
      </c>
      <c r="K112">
        <v>64.539398217398698</v>
      </c>
      <c r="L112">
        <v>0.73411548385056258</v>
      </c>
      <c r="M112">
        <v>-0.73351373963242383</v>
      </c>
      <c r="N112">
        <v>47.350458541623397</v>
      </c>
      <c r="O112">
        <v>47.350487099410998</v>
      </c>
      <c r="P112">
        <v>47.350447826058101</v>
      </c>
      <c r="Q112" t="s">
        <v>51</v>
      </c>
    </row>
    <row r="113" spans="1:17" x14ac:dyDescent="0.2">
      <c r="A113">
        <v>112</v>
      </c>
      <c r="B113">
        <v>792</v>
      </c>
      <c r="C113">
        <v>150</v>
      </c>
      <c r="D113">
        <v>0.456950194808243</v>
      </c>
      <c r="E113">
        <v>109.534114964476</v>
      </c>
      <c r="F113">
        <v>1.6970734698693599</v>
      </c>
      <c r="G113">
        <v>-1834.9695227001534</v>
      </c>
      <c r="H113">
        <v>-1491.948557192597</v>
      </c>
      <c r="I113">
        <v>322.04325082364699</v>
      </c>
      <c r="J113">
        <v>162.258101207349</v>
      </c>
      <c r="K113">
        <v>64.542942252764306</v>
      </c>
      <c r="L113">
        <v>0.7307311945723427</v>
      </c>
      <c r="M113">
        <v>-0.73012672659805511</v>
      </c>
      <c r="N113">
        <v>47.134474445154503</v>
      </c>
      <c r="O113">
        <v>47.134503013155701</v>
      </c>
      <c r="P113">
        <v>47.134463531496799</v>
      </c>
      <c r="Q113" t="s">
        <v>51</v>
      </c>
    </row>
    <row r="114" spans="1:17" x14ac:dyDescent="0.2">
      <c r="A114">
        <v>113</v>
      </c>
      <c r="B114">
        <v>791</v>
      </c>
      <c r="C114">
        <v>150</v>
      </c>
      <c r="D114">
        <v>0.45637410139548201</v>
      </c>
      <c r="E114">
        <v>109.534134426446</v>
      </c>
      <c r="F114">
        <v>1.6969840292196601</v>
      </c>
      <c r="G114">
        <v>-1834.6479104709483</v>
      </c>
      <c r="H114">
        <v>-1492.1961161652541</v>
      </c>
      <c r="I114">
        <v>321.81103551814402</v>
      </c>
      <c r="J114">
        <v>162.242792991025</v>
      </c>
      <c r="K114">
        <v>64.5463554991819</v>
      </c>
      <c r="L114">
        <v>0.72733987224451313</v>
      </c>
      <c r="M114">
        <v>-0.72673267522123186</v>
      </c>
      <c r="N114">
        <v>46.917916858867201</v>
      </c>
      <c r="O114">
        <v>46.917945434263103</v>
      </c>
      <c r="P114">
        <v>46.917905743431596</v>
      </c>
      <c r="Q114" t="s">
        <v>51</v>
      </c>
    </row>
    <row r="115" spans="1:17" x14ac:dyDescent="0.2">
      <c r="A115">
        <v>114</v>
      </c>
      <c r="B115">
        <v>790</v>
      </c>
      <c r="C115">
        <v>150</v>
      </c>
      <c r="D115">
        <v>0.45579692423458601</v>
      </c>
      <c r="E115">
        <v>109.53415386947199</v>
      </c>
      <c r="F115">
        <v>1.6968986192242601</v>
      </c>
      <c r="G115">
        <v>-1834.3265302174789</v>
      </c>
      <c r="H115">
        <v>-1492.4436550481626</v>
      </c>
      <c r="I115">
        <v>321.57862049487898</v>
      </c>
      <c r="J115">
        <v>162.22821094707101</v>
      </c>
      <c r="K115">
        <v>64.5496157687639</v>
      </c>
      <c r="L115">
        <v>0.72394344921959863</v>
      </c>
      <c r="M115">
        <v>-0.7233335193477235</v>
      </c>
      <c r="N115">
        <v>46.700895794076402</v>
      </c>
      <c r="O115">
        <v>46.700924373915598</v>
      </c>
      <c r="P115">
        <v>46.7008844731482</v>
      </c>
      <c r="Q115" t="s">
        <v>51</v>
      </c>
    </row>
    <row r="116" spans="1:17" x14ac:dyDescent="0.2">
      <c r="A116">
        <v>115</v>
      </c>
      <c r="B116">
        <v>789</v>
      </c>
      <c r="C116">
        <v>150</v>
      </c>
      <c r="D116">
        <v>0.45521866026455898</v>
      </c>
      <c r="E116">
        <v>109.53417329657999</v>
      </c>
      <c r="F116">
        <v>1.69681781671961</v>
      </c>
      <c r="G116">
        <v>-1834.0053821699905</v>
      </c>
      <c r="H116">
        <v>-1492.6911331387598</v>
      </c>
      <c r="I116">
        <v>321.34604371894397</v>
      </c>
      <c r="J116">
        <v>162.21436514858601</v>
      </c>
      <c r="K116">
        <v>64.552701072138902</v>
      </c>
      <c r="L116">
        <v>0.72054386185342734</v>
      </c>
      <c r="M116">
        <v>-0.71993119682879325</v>
      </c>
      <c r="N116">
        <v>46.483521995605699</v>
      </c>
      <c r="O116">
        <v>46.483550576804703</v>
      </c>
      <c r="P116">
        <v>46.4835104654425</v>
      </c>
      <c r="Q116" t="s">
        <v>51</v>
      </c>
    </row>
    <row r="117" spans="1:17" x14ac:dyDescent="0.2">
      <c r="A117">
        <v>116</v>
      </c>
      <c r="B117">
        <v>788</v>
      </c>
      <c r="C117">
        <v>150</v>
      </c>
      <c r="D117">
        <v>0.45463930641285699</v>
      </c>
      <c r="E117">
        <v>109.53419271096</v>
      </c>
      <c r="F117">
        <v>1.6967421902915401</v>
      </c>
      <c r="G117">
        <v>-1833.6844665234232</v>
      </c>
      <c r="H117">
        <v>-1492.9385099221761</v>
      </c>
      <c r="I117">
        <v>321.11334308841498</v>
      </c>
      <c r="J117">
        <v>162.20126531893899</v>
      </c>
      <c r="K117">
        <v>64.555589728183193</v>
      </c>
      <c r="L117">
        <v>0.71714304043172838</v>
      </c>
      <c r="M117">
        <v>-0.71652763944039399</v>
      </c>
      <c r="N117">
        <v>46.265906364203197</v>
      </c>
      <c r="O117">
        <v>46.2659349435473</v>
      </c>
      <c r="P117">
        <v>46.265894621035599</v>
      </c>
      <c r="Q117" t="s">
        <v>51</v>
      </c>
    </row>
    <row r="118" spans="1:17" x14ac:dyDescent="0.2">
      <c r="A118">
        <v>117</v>
      </c>
      <c r="B118">
        <v>787</v>
      </c>
      <c r="C118">
        <v>150</v>
      </c>
      <c r="D118">
        <v>0.45405885959534198</v>
      </c>
      <c r="E118">
        <v>109.534212115942</v>
      </c>
      <c r="F118">
        <v>1.69667229758553</v>
      </c>
      <c r="G118">
        <v>-1833.3637834372453</v>
      </c>
      <c r="H118">
        <v>-1493.1857452792783</v>
      </c>
      <c r="I118">
        <v>320.88055623767798</v>
      </c>
      <c r="J118">
        <v>162.188920822364</v>
      </c>
      <c r="K118">
        <v>64.558260467749705</v>
      </c>
      <c r="L118">
        <v>0.71374289944480385</v>
      </c>
      <c r="M118">
        <v>-0.71312476315073503</v>
      </c>
      <c r="N118">
        <v>46.048159393888</v>
      </c>
      <c r="O118">
        <v>46.0481879680326</v>
      </c>
      <c r="P118">
        <v>46.048147433920597</v>
      </c>
      <c r="Q118" t="s">
        <v>51</v>
      </c>
    </row>
    <row r="119" spans="1:17" x14ac:dyDescent="0.2">
      <c r="A119">
        <v>118</v>
      </c>
      <c r="B119">
        <v>786</v>
      </c>
      <c r="C119">
        <v>150</v>
      </c>
      <c r="D119">
        <v>0.45347731671623798</v>
      </c>
      <c r="E119">
        <v>109.534231515039</v>
      </c>
      <c r="F119">
        <v>1.69660868277941</v>
      </c>
      <c r="G119">
        <v>-1833.0433330364854</v>
      </c>
      <c r="H119">
        <v>-1493.4327996856871</v>
      </c>
      <c r="I119">
        <v>320.64772034929001</v>
      </c>
      <c r="J119">
        <v>162.17734065970299</v>
      </c>
      <c r="K119">
        <v>64.560692531408407</v>
      </c>
      <c r="L119">
        <v>0.71034532830180463</v>
      </c>
      <c r="M119">
        <v>-0.70972445882777369</v>
      </c>
      <c r="N119">
        <v>45.8303906303655</v>
      </c>
      <c r="O119">
        <v>45.830419195837699</v>
      </c>
      <c r="P119">
        <v>45.830378449777697</v>
      </c>
      <c r="Q119" t="s">
        <v>51</v>
      </c>
    </row>
    <row r="120" spans="1:17" x14ac:dyDescent="0.2">
      <c r="A120">
        <v>119</v>
      </c>
      <c r="B120">
        <v>785</v>
      </c>
      <c r="C120">
        <v>150</v>
      </c>
      <c r="D120">
        <v>0.452894674668055</v>
      </c>
      <c r="E120">
        <v>109.534250911877</v>
      </c>
      <c r="F120">
        <v>1.69655187426485</v>
      </c>
      <c r="G120">
        <v>-1832.7231154111146</v>
      </c>
      <c r="H120">
        <v>-1493.6796343971635</v>
      </c>
      <c r="I120">
        <v>320.41487197611298</v>
      </c>
      <c r="J120">
        <v>162.16653346848</v>
      </c>
      <c r="K120">
        <v>64.562865759315898</v>
      </c>
      <c r="L120">
        <v>0.70695218260471016</v>
      </c>
      <c r="M120">
        <v>-0.70632858350684435</v>
      </c>
      <c r="N120">
        <v>45.612708157177401</v>
      </c>
      <c r="O120">
        <v>45.6127367103783</v>
      </c>
      <c r="P120">
        <v>45.612695752124203</v>
      </c>
      <c r="Q120" t="s">
        <v>51</v>
      </c>
    </row>
    <row r="121" spans="1:17" x14ac:dyDescent="0.2">
      <c r="A121">
        <v>120</v>
      </c>
      <c r="B121">
        <v>784</v>
      </c>
      <c r="C121">
        <v>150</v>
      </c>
      <c r="D121">
        <v>0.45231093033155201</v>
      </c>
      <c r="E121">
        <v>109.534270310181</v>
      </c>
      <c r="F121">
        <v>1.6965023825619701</v>
      </c>
      <c r="G121">
        <v>-1832.403130616535</v>
      </c>
      <c r="H121">
        <v>-1493.926211620799</v>
      </c>
      <c r="I121">
        <v>320.18204687688399</v>
      </c>
      <c r="J121">
        <v>162.156507527987</v>
      </c>
      <c r="K121">
        <v>64.564760672347504</v>
      </c>
      <c r="L121">
        <v>0.7035652761095037</v>
      </c>
      <c r="M121">
        <v>-0.70293895234599657</v>
      </c>
      <c r="N121">
        <v>45.395218117513103</v>
      </c>
      <c r="O121">
        <v>45.395246654719898</v>
      </c>
      <c r="P121">
        <v>45.395205484125803</v>
      </c>
      <c r="Q121" t="s">
        <v>51</v>
      </c>
    </row>
    <row r="122" spans="1:17" x14ac:dyDescent="0.2">
      <c r="A122">
        <v>121</v>
      </c>
      <c r="B122">
        <v>783</v>
      </c>
      <c r="C122">
        <v>150</v>
      </c>
      <c r="D122">
        <v>0.45172608057567798</v>
      </c>
      <c r="E122">
        <v>109.534289713764</v>
      </c>
      <c r="F122">
        <v>1.6964606984686299</v>
      </c>
      <c r="G122">
        <v>-1832.0833786743094</v>
      </c>
      <c r="H122">
        <v>-1494.1724946715688</v>
      </c>
      <c r="I122">
        <v>319.94927986495702</v>
      </c>
      <c r="J122">
        <v>162.147270768412</v>
      </c>
      <c r="K122">
        <v>64.5663585443736</v>
      </c>
      <c r="L122">
        <v>0.70018637337392453</v>
      </c>
      <c r="M122">
        <v>-0.69955733126843223</v>
      </c>
      <c r="N122">
        <v>45.178024271895801</v>
      </c>
      <c r="O122">
        <v>45.178052789264903</v>
      </c>
      <c r="P122">
        <v>45.178011406282202</v>
      </c>
      <c r="Q122" t="s">
        <v>51</v>
      </c>
    </row>
    <row r="123" spans="1:17" x14ac:dyDescent="0.2">
      <c r="A123">
        <v>122</v>
      </c>
      <c r="B123">
        <v>782</v>
      </c>
      <c r="C123">
        <v>150</v>
      </c>
      <c r="D123">
        <v>0.451140122257502</v>
      </c>
      <c r="E123">
        <v>109.534309126493</v>
      </c>
      <c r="F123">
        <v>1.6964272914588201</v>
      </c>
      <c r="G123">
        <v>-1831.7638595725634</v>
      </c>
      <c r="H123">
        <v>-1494.4184481112843</v>
      </c>
      <c r="I123">
        <v>319.71660467253901</v>
      </c>
      <c r="J123">
        <v>162.13883078451599</v>
      </c>
      <c r="K123">
        <v>64.567641465081707</v>
      </c>
      <c r="L123">
        <v>0.6968171831944977</v>
      </c>
      <c r="M123">
        <v>-0.69618543039479874</v>
      </c>
      <c r="N123">
        <v>44.961227598306301</v>
      </c>
      <c r="O123">
        <v>44.961256091876201</v>
      </c>
      <c r="P123">
        <v>44.961214496551897</v>
      </c>
      <c r="Q123" t="s">
        <v>51</v>
      </c>
    </row>
    <row r="124" spans="1:17" x14ac:dyDescent="0.2">
      <c r="A124">
        <v>123</v>
      </c>
      <c r="B124">
        <v>781</v>
      </c>
      <c r="C124">
        <v>150</v>
      </c>
      <c r="D124">
        <v>0.45055305222216901</v>
      </c>
      <c r="E124">
        <v>109.534328552311</v>
      </c>
      <c r="F124">
        <v>1.6964026083382</v>
      </c>
      <c r="G124">
        <v>-1831.4445732675488</v>
      </c>
      <c r="H124">
        <v>-1494.664037871232</v>
      </c>
      <c r="I124">
        <v>319.48405383073703</v>
      </c>
      <c r="J124">
        <v>162.131194853148</v>
      </c>
      <c r="K124">
        <v>64.568592393059205</v>
      </c>
      <c r="L124">
        <v>0.69345935284698101</v>
      </c>
      <c r="M124">
        <v>-0.69282489827949967</v>
      </c>
      <c r="N124">
        <v>44.744925935829102</v>
      </c>
      <c r="O124">
        <v>44.744954401523501</v>
      </c>
      <c r="P124">
        <v>44.744912593996702</v>
      </c>
      <c r="Q124" t="s">
        <v>51</v>
      </c>
    </row>
    <row r="125" spans="1:17" x14ac:dyDescent="0.2">
      <c r="A125">
        <v>124</v>
      </c>
      <c r="B125">
        <v>780</v>
      </c>
      <c r="C125">
        <v>150</v>
      </c>
      <c r="D125">
        <v>0.44996486730285301</v>
      </c>
      <c r="E125">
        <v>109.53434799518701</v>
      </c>
      <c r="F125">
        <v>1.6963870721624501</v>
      </c>
      <c r="G125">
        <v>-1831.1255196839757</v>
      </c>
      <c r="H125">
        <v>-1494.9092313553533</v>
      </c>
      <c r="I125">
        <v>319.25165856621101</v>
      </c>
      <c r="J125">
        <v>162.12436995439</v>
      </c>
      <c r="K125">
        <v>64.569195198804906</v>
      </c>
      <c r="L125">
        <v>0.69011446317754788</v>
      </c>
      <c r="M125">
        <v>-0.68947731699837411</v>
      </c>
      <c r="N125">
        <v>44.529213675018703</v>
      </c>
      <c r="O125">
        <v>44.529242108650003</v>
      </c>
      <c r="P125">
        <v>44.5292000891491</v>
      </c>
      <c r="Q125" t="s">
        <v>51</v>
      </c>
    </row>
    <row r="126" spans="1:17" x14ac:dyDescent="0.2">
      <c r="A126">
        <v>125</v>
      </c>
      <c r="B126">
        <v>779</v>
      </c>
      <c r="C126">
        <v>150</v>
      </c>
      <c r="D126">
        <v>0.44937556432067799</v>
      </c>
      <c r="E126">
        <v>109.534367459091</v>
      </c>
      <c r="F126">
        <v>1.6963810813840601</v>
      </c>
      <c r="G126">
        <v>-1830.8066987161042</v>
      </c>
      <c r="H126">
        <v>-1495.1539975273192</v>
      </c>
      <c r="I126">
        <v>319.01944871328197</v>
      </c>
      <c r="J126">
        <v>162.11836279603901</v>
      </c>
      <c r="K126">
        <v>64.569434699025507</v>
      </c>
      <c r="L126">
        <v>0.68678402446534725</v>
      </c>
      <c r="M126">
        <v>-0.68614419800831083</v>
      </c>
      <c r="N126">
        <v>44.314181491169698</v>
      </c>
      <c r="O126">
        <v>44.314209888442697</v>
      </c>
      <c r="P126">
        <v>44.314167657282098</v>
      </c>
      <c r="Q126" t="s">
        <v>51</v>
      </c>
    </row>
    <row r="127" spans="1:17" x14ac:dyDescent="0.2">
      <c r="A127">
        <v>126</v>
      </c>
      <c r="B127">
        <v>778</v>
      </c>
      <c r="C127">
        <v>150</v>
      </c>
      <c r="D127">
        <v>0.44878514008467002</v>
      </c>
      <c r="E127">
        <v>109.53438694801</v>
      </c>
      <c r="F127">
        <v>1.69638500926707</v>
      </c>
      <c r="G127">
        <v>-1830.4881102293141</v>
      </c>
      <c r="H127">
        <v>-1495.3983069791457</v>
      </c>
      <c r="I127">
        <v>318.787452643535</v>
      </c>
      <c r="J127">
        <v>162.11317984111699</v>
      </c>
      <c r="K127">
        <v>64.569296680672295</v>
      </c>
      <c r="L127">
        <v>0.6834694731671771</v>
      </c>
      <c r="M127">
        <v>-0.68282697888963484</v>
      </c>
      <c r="N127">
        <v>44.099916126926701</v>
      </c>
      <c r="O127">
        <v>44.0999444834424</v>
      </c>
      <c r="P127">
        <v>44.099902041018701</v>
      </c>
      <c r="Q127" t="s">
        <v>51</v>
      </c>
    </row>
    <row r="128" spans="1:17" x14ac:dyDescent="0.2">
      <c r="A128">
        <v>127</v>
      </c>
      <c r="B128">
        <v>777</v>
      </c>
      <c r="C128">
        <v>150</v>
      </c>
      <c r="D128">
        <v>0.44819359139171</v>
      </c>
      <c r="E128">
        <v>109.534406465939</v>
      </c>
      <c r="F128">
        <v>1.69639920350275</v>
      </c>
      <c r="G128">
        <v>-1830.1697540614709</v>
      </c>
      <c r="H128">
        <v>-1495.6421319842827</v>
      </c>
      <c r="I128">
        <v>318.55569720961603</v>
      </c>
      <c r="J128">
        <v>162.108827337843</v>
      </c>
      <c r="K128">
        <v>64.568767917227802</v>
      </c>
      <c r="L128">
        <v>0.68017216937076175</v>
      </c>
      <c r="M128">
        <v>-0.6795270207976114</v>
      </c>
      <c r="N128">
        <v>43.886500215094202</v>
      </c>
      <c r="O128">
        <v>43.886528526353501</v>
      </c>
      <c r="P128">
        <v>43.886485873142099</v>
      </c>
      <c r="Q128" t="s">
        <v>51</v>
      </c>
    </row>
    <row r="129" spans="1:17" x14ac:dyDescent="0.2">
      <c r="A129">
        <v>128</v>
      </c>
      <c r="B129">
        <v>776</v>
      </c>
      <c r="C129">
        <v>150</v>
      </c>
      <c r="D129">
        <v>0.447600915026452</v>
      </c>
      <c r="E129">
        <v>109.53442601683</v>
      </c>
      <c r="F129">
        <v>1.6964239860630901</v>
      </c>
      <c r="G129">
        <v>-1829.8516300236761</v>
      </c>
      <c r="H129">
        <v>-1495.8854465326126</v>
      </c>
      <c r="I129">
        <v>318.32420770535401</v>
      </c>
      <c r="J129">
        <v>162.105311351979</v>
      </c>
      <c r="K129">
        <v>64.567836175806207</v>
      </c>
      <c r="L129">
        <v>0.67689339506727364</v>
      </c>
      <c r="M129">
        <v>-0.67624560673379197</v>
      </c>
      <c r="N129">
        <v>43.674012148116901</v>
      </c>
      <c r="O129">
        <v>43.674040409524302</v>
      </c>
      <c r="P129">
        <v>43.673997546075299</v>
      </c>
      <c r="Q129" t="s">
        <v>51</v>
      </c>
    </row>
    <row r="130" spans="1:17" x14ac:dyDescent="0.2">
      <c r="A130">
        <v>129</v>
      </c>
      <c r="B130">
        <v>775</v>
      </c>
      <c r="C130">
        <v>150</v>
      </c>
      <c r="D130">
        <v>0.44700710776129698</v>
      </c>
      <c r="E130">
        <v>109.534445687074</v>
      </c>
      <c r="F130">
        <v>1.6964433050648999</v>
      </c>
      <c r="G130">
        <v>-1829.5337392536933</v>
      </c>
      <c r="H130">
        <v>-1496.1301992524013</v>
      </c>
      <c r="I130">
        <v>318.09112719462001</v>
      </c>
      <c r="J130">
        <v>162.102548355414</v>
      </c>
      <c r="K130">
        <v>64.567112475877096</v>
      </c>
      <c r="L130">
        <v>0.67354000170076644</v>
      </c>
      <c r="M130">
        <v>-0.67288953217935454</v>
      </c>
      <c r="N130">
        <v>43.456850075898203</v>
      </c>
      <c r="O130">
        <v>43.456878285500601</v>
      </c>
      <c r="P130">
        <v>43.456835208322701</v>
      </c>
      <c r="Q130" t="s">
        <v>51</v>
      </c>
    </row>
    <row r="131" spans="1:17" x14ac:dyDescent="0.2">
      <c r="A131">
        <v>130</v>
      </c>
      <c r="B131">
        <v>774</v>
      </c>
      <c r="C131">
        <v>150</v>
      </c>
      <c r="D131">
        <v>0.44641216635630598</v>
      </c>
      <c r="E131">
        <v>109.534477799173</v>
      </c>
      <c r="F131">
        <v>1.6939523718640701</v>
      </c>
      <c r="G131">
        <v>-1829.216430441232</v>
      </c>
      <c r="H131">
        <v>-1496.6797081770312</v>
      </c>
      <c r="I131">
        <v>317.56717512821098</v>
      </c>
      <c r="J131">
        <v>162.087218750815</v>
      </c>
      <c r="K131">
        <v>64.6620764659625</v>
      </c>
      <c r="L131">
        <v>0.65560579943861386</v>
      </c>
      <c r="M131">
        <v>-0.65494386508068403</v>
      </c>
      <c r="N131">
        <v>42.360518277922097</v>
      </c>
      <c r="O131">
        <v>42.360546852011502</v>
      </c>
      <c r="P131">
        <v>42.3605029243801</v>
      </c>
      <c r="Q131" t="s">
        <v>51</v>
      </c>
    </row>
    <row r="132" spans="1:17" x14ac:dyDescent="0.2">
      <c r="A132">
        <v>131</v>
      </c>
      <c r="B132">
        <v>773</v>
      </c>
      <c r="C132">
        <v>150</v>
      </c>
      <c r="D132">
        <v>0.44581608755914398</v>
      </c>
      <c r="E132">
        <v>109.534509444943</v>
      </c>
      <c r="F132">
        <v>1.6914427072971501</v>
      </c>
      <c r="G132">
        <v>-1828.8996404993575</v>
      </c>
      <c r="H132">
        <v>-1497.2344329404939</v>
      </c>
      <c r="I132">
        <v>317.03773260528902</v>
      </c>
      <c r="J132">
        <v>162.07316966529501</v>
      </c>
      <c r="K132">
        <v>64.758037013251197</v>
      </c>
      <c r="L132">
        <v>0.63741118728807555</v>
      </c>
      <c r="M132">
        <v>-0.63673765561613282</v>
      </c>
      <c r="N132">
        <v>41.244542553241502</v>
      </c>
      <c r="O132">
        <v>41.244571490563203</v>
      </c>
      <c r="P132">
        <v>41.244526699239103</v>
      </c>
      <c r="Q132" t="s">
        <v>51</v>
      </c>
    </row>
    <row r="133" spans="1:17" x14ac:dyDescent="0.2">
      <c r="A133">
        <v>132</v>
      </c>
      <c r="B133">
        <v>772</v>
      </c>
      <c r="C133">
        <v>150</v>
      </c>
      <c r="D133">
        <v>0.44521886810505501</v>
      </c>
      <c r="E133">
        <v>109.53454054507201</v>
      </c>
      <c r="F133">
        <v>1.68890093714571</v>
      </c>
      <c r="G133">
        <v>-1828.5833744480153</v>
      </c>
      <c r="H133">
        <v>-1497.7961889738954</v>
      </c>
      <c r="I133">
        <v>316.50105195984497</v>
      </c>
      <c r="J133">
        <v>162.06003838874599</v>
      </c>
      <c r="K133">
        <v>64.855515285691098</v>
      </c>
      <c r="L133">
        <v>0.6188618723750261</v>
      </c>
      <c r="M133">
        <v>-0.61817656215596006</v>
      </c>
      <c r="N133">
        <v>40.102997958009702</v>
      </c>
      <c r="O133">
        <v>40.103027259346298</v>
      </c>
      <c r="P133">
        <v>40.102981587432097</v>
      </c>
      <c r="Q133" t="s">
        <v>51</v>
      </c>
    </row>
    <row r="134" spans="1:17" x14ac:dyDescent="0.2">
      <c r="A134">
        <v>133</v>
      </c>
      <c r="B134">
        <v>771</v>
      </c>
      <c r="C134">
        <v>150</v>
      </c>
      <c r="D134">
        <v>0.44462050471675502</v>
      </c>
      <c r="E134">
        <v>109.534570986194</v>
      </c>
      <c r="F134">
        <v>1.68630766922069</v>
      </c>
      <c r="G134">
        <v>-1828.2676388516682</v>
      </c>
      <c r="H134">
        <v>-1498.3675732736888</v>
      </c>
      <c r="I134">
        <v>315.95463192300701</v>
      </c>
      <c r="J134">
        <v>162.04734138583001</v>
      </c>
      <c r="K134">
        <v>64.955270610145803</v>
      </c>
      <c r="L134">
        <v>0.59982448639419583</v>
      </c>
      <c r="M134">
        <v>-0.59912714629281028</v>
      </c>
      <c r="N134">
        <v>38.927484925933399</v>
      </c>
      <c r="O134">
        <v>38.927514595077</v>
      </c>
      <c r="P134">
        <v>38.927468020397697</v>
      </c>
      <c r="Q134" t="s">
        <v>51</v>
      </c>
    </row>
    <row r="135" spans="1:17" x14ac:dyDescent="0.2">
      <c r="A135">
        <v>134</v>
      </c>
      <c r="B135">
        <v>770</v>
      </c>
      <c r="C135">
        <v>150</v>
      </c>
      <c r="D135">
        <v>0.44402099410439499</v>
      </c>
      <c r="E135">
        <v>109.53460060058499</v>
      </c>
      <c r="F135">
        <v>1.6836344164530299</v>
      </c>
      <c r="G135">
        <v>-1827.9524424240935</v>
      </c>
      <c r="H135">
        <v>-1498.9523760023969</v>
      </c>
      <c r="I135">
        <v>315.39482008439302</v>
      </c>
      <c r="J135">
        <v>162.034409130288</v>
      </c>
      <c r="K135">
        <v>65.0584233312035</v>
      </c>
      <c r="L135">
        <v>0.5801061950429488</v>
      </c>
      <c r="M135">
        <v>-0.57939647123472404</v>
      </c>
      <c r="N135">
        <v>37.705826154857803</v>
      </c>
      <c r="O135">
        <v>37.705856200084803</v>
      </c>
      <c r="P135">
        <v>37.705808692722101</v>
      </c>
      <c r="Q135" t="s">
        <v>51</v>
      </c>
    </row>
    <row r="136" spans="1:17" x14ac:dyDescent="0.2">
      <c r="A136">
        <v>135</v>
      </c>
      <c r="B136">
        <v>769</v>
      </c>
      <c r="C136">
        <v>150</v>
      </c>
      <c r="D136">
        <v>0.44342033296550898</v>
      </c>
      <c r="E136">
        <v>109.53462913138399</v>
      </c>
      <c r="F136">
        <v>1.6808383900411601</v>
      </c>
      <c r="G136">
        <v>-1827.6377969214659</v>
      </c>
      <c r="H136">
        <v>-1499.5562839059116</v>
      </c>
      <c r="I136">
        <v>314.81613337540301</v>
      </c>
      <c r="J136">
        <v>162.02027203269699</v>
      </c>
      <c r="K136">
        <v>65.166663125002401</v>
      </c>
      <c r="L136">
        <v>0.55941993210314156</v>
      </c>
      <c r="M136">
        <v>-0.55869731714061865</v>
      </c>
      <c r="N136">
        <v>36.419839759776302</v>
      </c>
      <c r="O136">
        <v>36.419870196175097</v>
      </c>
      <c r="P136">
        <v>36.419821714563703</v>
      </c>
      <c r="Q136" t="s">
        <v>51</v>
      </c>
    </row>
    <row r="137" spans="1:17" x14ac:dyDescent="0.2">
      <c r="A137">
        <v>136</v>
      </c>
      <c r="B137">
        <v>768</v>
      </c>
      <c r="C137">
        <v>150</v>
      </c>
      <c r="D137">
        <v>0.442818517984921</v>
      </c>
      <c r="E137">
        <v>109.534656164255</v>
      </c>
      <c r="F137">
        <v>1.6778532507363799</v>
      </c>
      <c r="G137">
        <v>-1827.3237184089794</v>
      </c>
      <c r="H137">
        <v>-1500.1881442331257</v>
      </c>
      <c r="I137">
        <v>314.21003673795599</v>
      </c>
      <c r="J137">
        <v>162.00345061375501</v>
      </c>
      <c r="K137">
        <v>65.282619988477407</v>
      </c>
      <c r="L137">
        <v>0.5373221508999062</v>
      </c>
      <c r="M137">
        <v>-0.53658589915627963</v>
      </c>
      <c r="N137">
        <v>35.041340495440402</v>
      </c>
      <c r="O137">
        <v>35.041371348761999</v>
      </c>
      <c r="P137">
        <v>35.041321833215299</v>
      </c>
      <c r="Q137" t="s">
        <v>51</v>
      </c>
    </row>
    <row r="138" spans="1:17" x14ac:dyDescent="0.2">
      <c r="A138">
        <v>137</v>
      </c>
      <c r="B138">
        <v>767</v>
      </c>
      <c r="C138">
        <v>150</v>
      </c>
      <c r="D138">
        <v>0.44221554583473799</v>
      </c>
      <c r="E138">
        <v>109.534680992864</v>
      </c>
      <c r="F138">
        <v>1.6745720833114499</v>
      </c>
      <c r="G138">
        <v>-1827.0102291448595</v>
      </c>
      <c r="H138">
        <v>-1500.8623305238409</v>
      </c>
      <c r="I138">
        <v>313.56265618483502</v>
      </c>
      <c r="J138">
        <v>161.981551831172</v>
      </c>
      <c r="K138">
        <v>65.410550005264497</v>
      </c>
      <c r="L138">
        <v>0.51309695617551687</v>
      </c>
      <c r="M138">
        <v>-0.51234593742251444</v>
      </c>
      <c r="N138">
        <v>33.524663324832403</v>
      </c>
      <c r="O138">
        <v>33.5246946381641</v>
      </c>
      <c r="P138">
        <v>33.524643999624701</v>
      </c>
      <c r="Q138" t="s">
        <v>51</v>
      </c>
    </row>
    <row r="139" spans="1:17" x14ac:dyDescent="0.2">
      <c r="A139">
        <v>138</v>
      </c>
      <c r="B139">
        <v>766</v>
      </c>
      <c r="C139">
        <v>150</v>
      </c>
      <c r="D139">
        <v>0.44161141317423203</v>
      </c>
      <c r="E139">
        <v>109.534702327085</v>
      </c>
      <c r="F139">
        <v>1.6708167406829699</v>
      </c>
      <c r="G139">
        <v>-1826.6973600878662</v>
      </c>
      <c r="H139">
        <v>-1501.6031361724431</v>
      </c>
      <c r="I139">
        <v>312.850528199618</v>
      </c>
      <c r="J139">
        <v>161.950486876702</v>
      </c>
      <c r="K139">
        <v>65.557580110378197</v>
      </c>
      <c r="L139">
        <v>0.48554308561258275</v>
      </c>
      <c r="M139">
        <v>-0.4847755259870366</v>
      </c>
      <c r="N139">
        <v>31.792801515374901</v>
      </c>
      <c r="O139">
        <v>31.7928333609545</v>
      </c>
      <c r="P139">
        <v>31.792781460988099</v>
      </c>
      <c r="Q139" t="s">
        <v>51</v>
      </c>
    </row>
    <row r="140" spans="1:17" x14ac:dyDescent="0.2">
      <c r="A140">
        <v>139</v>
      </c>
      <c r="B140">
        <v>765</v>
      </c>
      <c r="C140">
        <v>150</v>
      </c>
      <c r="D140">
        <v>0.44100611664981298</v>
      </c>
      <c r="E140">
        <v>109.53471769826599</v>
      </c>
      <c r="F140">
        <v>1.66629861563708</v>
      </c>
      <c r="G140">
        <v>-1826.3851538415379</v>
      </c>
      <c r="H140">
        <v>-1502.4510123027642</v>
      </c>
      <c r="I140">
        <v>312.03454871409701</v>
      </c>
      <c r="J140">
        <v>161.903226190954</v>
      </c>
      <c r="K140">
        <v>65.735346996244502</v>
      </c>
      <c r="L140">
        <v>0.45268074079122234</v>
      </c>
      <c r="M140">
        <v>-0.45189381379970062</v>
      </c>
      <c r="N140">
        <v>29.7177946294326</v>
      </c>
      <c r="O140">
        <v>29.717827127284298</v>
      </c>
      <c r="P140">
        <v>29.7177737461049</v>
      </c>
      <c r="Q140" t="s">
        <v>51</v>
      </c>
    </row>
    <row r="141" spans="1:17" x14ac:dyDescent="0.2">
      <c r="A141">
        <v>140</v>
      </c>
      <c r="B141">
        <v>764</v>
      </c>
      <c r="C141">
        <v>150</v>
      </c>
      <c r="D141">
        <v>0.44039965289495597</v>
      </c>
      <c r="E141">
        <v>109.543568622652</v>
      </c>
      <c r="F141">
        <v>1.6341951624140201</v>
      </c>
      <c r="G141">
        <v>-1826.2197370306305</v>
      </c>
      <c r="H141">
        <v>-1507.3028233484215</v>
      </c>
      <c r="I141">
        <v>307.49862417351301</v>
      </c>
      <c r="J141">
        <v>161.19421361059401</v>
      </c>
      <c r="K141">
        <v>67.032121463898207</v>
      </c>
      <c r="L141">
        <v>0.24501657017251521</v>
      </c>
      <c r="M141">
        <v>-0.24411321275769213</v>
      </c>
      <c r="N141">
        <v>16.377880115767098</v>
      </c>
      <c r="O141">
        <v>16.377917840602201</v>
      </c>
      <c r="P141">
        <v>16.377855464139099</v>
      </c>
      <c r="Q141" t="s">
        <v>51</v>
      </c>
    </row>
    <row r="142" spans="1:17" x14ac:dyDescent="0.2">
      <c r="A142">
        <v>141</v>
      </c>
      <c r="B142">
        <v>763</v>
      </c>
      <c r="C142">
        <v>150</v>
      </c>
      <c r="D142">
        <v>0.43979201853014099</v>
      </c>
      <c r="E142">
        <v>109.546814631787</v>
      </c>
      <c r="F142">
        <v>1.6211586576321899</v>
      </c>
      <c r="G142">
        <v>-1825.9663113820666</v>
      </c>
      <c r="H142">
        <v>-1509.551545765202</v>
      </c>
      <c r="I142">
        <v>305.38086843670499</v>
      </c>
      <c r="J142">
        <v>160.898995428761</v>
      </c>
      <c r="K142">
        <v>67.573160785994602</v>
      </c>
      <c r="L142">
        <v>0.15493297370501444</v>
      </c>
      <c r="M142">
        <v>-0.15397915495093234</v>
      </c>
      <c r="N142">
        <v>10.4201978420143</v>
      </c>
      <c r="O142">
        <v>10.4202376809468</v>
      </c>
      <c r="P142">
        <v>10.420171285911501</v>
      </c>
      <c r="Q142" t="s">
        <v>51</v>
      </c>
    </row>
    <row r="143" spans="1:17" x14ac:dyDescent="0.2">
      <c r="A143">
        <v>142</v>
      </c>
      <c r="B143">
        <v>762</v>
      </c>
      <c r="C143">
        <v>150</v>
      </c>
      <c r="D143">
        <v>0.439183210162781</v>
      </c>
      <c r="E143">
        <v>109.548219345242</v>
      </c>
      <c r="F143">
        <v>1.6155415156623201</v>
      </c>
      <c r="G143">
        <v>-1825.6844209130081</v>
      </c>
      <c r="H143">
        <v>-1510.734495196692</v>
      </c>
      <c r="I143">
        <v>304.26093954614402</v>
      </c>
      <c r="J143">
        <v>160.78076892807599</v>
      </c>
      <c r="K143">
        <v>67.808978155743006</v>
      </c>
      <c r="L143">
        <v>0.11136125519000757</v>
      </c>
      <c r="M143">
        <v>-0.11038287812700417</v>
      </c>
      <c r="N143">
        <v>7.5006997822570396</v>
      </c>
      <c r="O143">
        <v>7.50074047037646</v>
      </c>
      <c r="P143">
        <v>7.5006720867000602</v>
      </c>
      <c r="Q143" t="s">
        <v>51</v>
      </c>
    </row>
    <row r="144" spans="1:17" x14ac:dyDescent="0.2">
      <c r="A144">
        <v>143</v>
      </c>
      <c r="B144">
        <v>761</v>
      </c>
      <c r="C144">
        <v>150</v>
      </c>
      <c r="D144">
        <v>0.43857322438717999</v>
      </c>
      <c r="E144">
        <v>109.54897136628399</v>
      </c>
      <c r="F144">
        <v>1.6128649183186901</v>
      </c>
      <c r="G144">
        <v>-1825.3927882413109</v>
      </c>
      <c r="H144">
        <v>-1511.4872904854276</v>
      </c>
      <c r="I144">
        <v>303.54530654968403</v>
      </c>
      <c r="J144">
        <v>160.73573228468601</v>
      </c>
      <c r="K144">
        <v>67.921975437646793</v>
      </c>
      <c r="L144">
        <v>8.6304904211449152E-2</v>
      </c>
      <c r="M144">
        <v>-8.5312260110269267E-2</v>
      </c>
      <c r="N144">
        <v>5.8105447215388004</v>
      </c>
      <c r="O144">
        <v>5.8105857462390702</v>
      </c>
      <c r="P144">
        <v>5.8105161930871301</v>
      </c>
      <c r="Q144" t="s">
        <v>51</v>
      </c>
    </row>
    <row r="145" spans="1:17" x14ac:dyDescent="0.2">
      <c r="A145">
        <v>144</v>
      </c>
      <c r="B145">
        <v>760</v>
      </c>
      <c r="C145">
        <v>150</v>
      </c>
      <c r="D145">
        <v>0.43796205778444602</v>
      </c>
      <c r="E145">
        <v>109.54929607081</v>
      </c>
      <c r="F145">
        <v>1.61126771700833</v>
      </c>
      <c r="G145">
        <v>-1825.0948187413805</v>
      </c>
      <c r="H145">
        <v>-1512.0840320443779</v>
      </c>
      <c r="I145">
        <v>302.97317685413401</v>
      </c>
      <c r="J145">
        <v>160.716124414468</v>
      </c>
      <c r="K145">
        <v>67.989505973726196</v>
      </c>
      <c r="L145">
        <v>6.790812457577701E-2</v>
      </c>
      <c r="M145">
        <v>-6.6904916202177048E-2</v>
      </c>
      <c r="N145">
        <v>4.5649475041265397</v>
      </c>
      <c r="O145">
        <v>4.5649886738300296</v>
      </c>
      <c r="P145">
        <v>4.5649182479093096</v>
      </c>
      <c r="Q145" t="s">
        <v>51</v>
      </c>
    </row>
    <row r="146" spans="1:17" x14ac:dyDescent="0.2">
      <c r="A146">
        <v>145</v>
      </c>
      <c r="B146">
        <v>808</v>
      </c>
      <c r="C146">
        <v>125</v>
      </c>
      <c r="D146">
        <v>0.49145863201221102</v>
      </c>
      <c r="E146">
        <v>109.533951081005</v>
      </c>
      <c r="F146">
        <v>1.57273506926577</v>
      </c>
      <c r="G146">
        <v>-1841.8202113206976</v>
      </c>
      <c r="H146">
        <v>-1489.8169446848333</v>
      </c>
      <c r="I146">
        <v>325.585662984245</v>
      </c>
      <c r="J146">
        <v>162.20302135710801</v>
      </c>
      <c r="K146">
        <v>69.645519592908997</v>
      </c>
      <c r="L146">
        <v>0.67666652299648522</v>
      </c>
      <c r="M146">
        <v>-0.67587169481739773</v>
      </c>
      <c r="N146">
        <v>47.0886622291913</v>
      </c>
      <c r="O146">
        <v>47.088724182229903</v>
      </c>
      <c r="P146">
        <v>47.088659519539704</v>
      </c>
      <c r="Q146" t="s">
        <v>51</v>
      </c>
    </row>
    <row r="147" spans="1:17" x14ac:dyDescent="0.2">
      <c r="A147">
        <v>146</v>
      </c>
      <c r="B147">
        <v>807</v>
      </c>
      <c r="C147">
        <v>125</v>
      </c>
      <c r="D147">
        <v>0.49092301995093302</v>
      </c>
      <c r="E147">
        <v>109.533975053917</v>
      </c>
      <c r="F147">
        <v>1.57367009743947</v>
      </c>
      <c r="G147">
        <v>-1841.4950907899363</v>
      </c>
      <c r="H147">
        <v>-1489.9883379042258</v>
      </c>
      <c r="I147">
        <v>325.42741913951102</v>
      </c>
      <c r="J147">
        <v>162.212402841233</v>
      </c>
      <c r="K147">
        <v>69.604153521211998</v>
      </c>
      <c r="L147">
        <v>0.6766864468151087</v>
      </c>
      <c r="M147">
        <v>-0.67589096142473115</v>
      </c>
      <c r="N147">
        <v>47.062017764581398</v>
      </c>
      <c r="O147">
        <v>47.0620797104582</v>
      </c>
      <c r="P147">
        <v>47.062014999315501</v>
      </c>
      <c r="Q147" t="s">
        <v>51</v>
      </c>
    </row>
    <row r="148" spans="1:17" x14ac:dyDescent="0.2">
      <c r="A148">
        <v>147</v>
      </c>
      <c r="B148">
        <v>806</v>
      </c>
      <c r="C148">
        <v>125</v>
      </c>
      <c r="D148">
        <v>0.490386415234215</v>
      </c>
      <c r="E148">
        <v>109.533993383881</v>
      </c>
      <c r="F148">
        <v>1.57366748737319</v>
      </c>
      <c r="G148">
        <v>-1841.1700732631186</v>
      </c>
      <c r="H148">
        <v>-1490.2321447833945</v>
      </c>
      <c r="I148">
        <v>325.20188645925202</v>
      </c>
      <c r="J148">
        <v>162.19125262001799</v>
      </c>
      <c r="K148">
        <v>69.604280613764203</v>
      </c>
      <c r="L148">
        <v>0.67374076801655525</v>
      </c>
      <c r="M148">
        <v>-0.6729423491035641</v>
      </c>
      <c r="N148">
        <v>46.856898385683699</v>
      </c>
      <c r="O148">
        <v>46.856960532994698</v>
      </c>
      <c r="P148">
        <v>46.856895554511802</v>
      </c>
      <c r="Q148" t="s">
        <v>51</v>
      </c>
    </row>
    <row r="149" spans="1:17" x14ac:dyDescent="0.2">
      <c r="A149">
        <v>148</v>
      </c>
      <c r="B149">
        <v>805</v>
      </c>
      <c r="C149">
        <v>125</v>
      </c>
      <c r="D149">
        <v>0.48984881509993899</v>
      </c>
      <c r="E149">
        <v>109.534011699139</v>
      </c>
      <c r="F149">
        <v>1.5736687530079601</v>
      </c>
      <c r="G149">
        <v>-1840.8452810763606</v>
      </c>
      <c r="H149">
        <v>-1490.4758929337947</v>
      </c>
      <c r="I149">
        <v>324.97619891377502</v>
      </c>
      <c r="J149">
        <v>162.170745843888</v>
      </c>
      <c r="K149">
        <v>69.604236272578007</v>
      </c>
      <c r="L149">
        <v>0.67079103138500218</v>
      </c>
      <c r="M149">
        <v>-0.66998967161949408</v>
      </c>
      <c r="N149">
        <v>46.651380277704298</v>
      </c>
      <c r="O149">
        <v>46.6514426254165</v>
      </c>
      <c r="P149">
        <v>46.651377378436699</v>
      </c>
      <c r="Q149" t="s">
        <v>51</v>
      </c>
    </row>
    <row r="150" spans="1:17" x14ac:dyDescent="0.2">
      <c r="A150">
        <v>149</v>
      </c>
      <c r="B150">
        <v>804</v>
      </c>
      <c r="C150">
        <v>125</v>
      </c>
      <c r="D150">
        <v>0.48931021677575198</v>
      </c>
      <c r="E150">
        <v>109.53403000242</v>
      </c>
      <c r="F150">
        <v>1.5736744156117</v>
      </c>
      <c r="G150">
        <v>-1840.5207144133483</v>
      </c>
      <c r="H150">
        <v>-1490.7195478735598</v>
      </c>
      <c r="I150">
        <v>324.75038824809599</v>
      </c>
      <c r="J150">
        <v>162.15089506096501</v>
      </c>
      <c r="K150">
        <v>69.603997444314999</v>
      </c>
      <c r="L150">
        <v>0.66783878633924887</v>
      </c>
      <c r="M150">
        <v>-0.66703447965306184</v>
      </c>
      <c r="N150">
        <v>46.445557482137403</v>
      </c>
      <c r="O150">
        <v>46.445620029058503</v>
      </c>
      <c r="P150">
        <v>46.445554512536603</v>
      </c>
      <c r="Q150" t="s">
        <v>51</v>
      </c>
    </row>
    <row r="151" spans="1:17" x14ac:dyDescent="0.2">
      <c r="A151">
        <v>150</v>
      </c>
      <c r="B151">
        <v>803</v>
      </c>
      <c r="C151">
        <v>125</v>
      </c>
      <c r="D151">
        <v>0.48877061747897599</v>
      </c>
      <c r="E151">
        <v>109.534048296591</v>
      </c>
      <c r="F151">
        <v>1.5736849905980499</v>
      </c>
      <c r="G151">
        <v>-1840.1963734282922</v>
      </c>
      <c r="H151">
        <v>-1490.9630752794264</v>
      </c>
      <c r="I151">
        <v>324.524486150455</v>
      </c>
      <c r="J151">
        <v>162.13171254858801</v>
      </c>
      <c r="K151">
        <v>69.603541338323595</v>
      </c>
      <c r="L151">
        <v>0.66488557872471998</v>
      </c>
      <c r="M151">
        <v>-0.6640783203098477</v>
      </c>
      <c r="N151">
        <v>46.239524240723298</v>
      </c>
      <c r="O151">
        <v>46.239586985501298</v>
      </c>
      <c r="P151">
        <v>46.2395211985042</v>
      </c>
      <c r="Q151" t="s">
        <v>51</v>
      </c>
    </row>
    <row r="152" spans="1:17" x14ac:dyDescent="0.2">
      <c r="A152">
        <v>151</v>
      </c>
      <c r="B152">
        <v>802</v>
      </c>
      <c r="C152">
        <v>125</v>
      </c>
      <c r="D152">
        <v>0.48823001441659297</v>
      </c>
      <c r="E152">
        <v>109.534066584665</v>
      </c>
      <c r="F152">
        <v>1.57370098530409</v>
      </c>
      <c r="G152">
        <v>-1839.8722582462242</v>
      </c>
      <c r="H152">
        <v>-1491.2064411482042</v>
      </c>
      <c r="I152">
        <v>324.29852410218302</v>
      </c>
      <c r="J152">
        <v>162.11321028418101</v>
      </c>
      <c r="K152">
        <v>69.602845526273398</v>
      </c>
      <c r="L152">
        <v>0.66193294369194622</v>
      </c>
      <c r="M152">
        <v>-0.66112272999331267</v>
      </c>
      <c r="N152">
        <v>46.033374558731097</v>
      </c>
      <c r="O152">
        <v>46.033437499854102</v>
      </c>
      <c r="P152">
        <v>46.033371441559503</v>
      </c>
      <c r="Q152" t="s">
        <v>51</v>
      </c>
    </row>
    <row r="153" spans="1:17" x14ac:dyDescent="0.2">
      <c r="A153">
        <v>152</v>
      </c>
      <c r="B153">
        <v>801</v>
      </c>
      <c r="C153">
        <v>125</v>
      </c>
      <c r="D153">
        <v>0.487688404785181</v>
      </c>
      <c r="E153">
        <v>109.53408486978</v>
      </c>
      <c r="F153">
        <v>1.5737228968800101</v>
      </c>
      <c r="G153">
        <v>-1839.5483689628779</v>
      </c>
      <c r="H153">
        <v>-1491.4496119517175</v>
      </c>
      <c r="I153">
        <v>324.07253323240798</v>
      </c>
      <c r="J153">
        <v>162.09539991956501</v>
      </c>
      <c r="K153">
        <v>69.6018880369203</v>
      </c>
      <c r="L153">
        <v>0.65898239883076359</v>
      </c>
      <c r="M153">
        <v>-0.65816922753356177</v>
      </c>
      <c r="N153">
        <v>45.827201780424502</v>
      </c>
      <c r="O153">
        <v>45.827264916220898</v>
      </c>
      <c r="P153">
        <v>45.827198585917102</v>
      </c>
      <c r="Q153" t="s">
        <v>51</v>
      </c>
    </row>
    <row r="154" spans="1:17" x14ac:dyDescent="0.2">
      <c r="A154">
        <v>153</v>
      </c>
      <c r="B154">
        <v>800</v>
      </c>
      <c r="C154">
        <v>125</v>
      </c>
      <c r="D154">
        <v>0.48714578577086598</v>
      </c>
      <c r="E154">
        <v>109.53410315515301</v>
      </c>
      <c r="F154">
        <v>1.57375121034115</v>
      </c>
      <c r="G154">
        <v>-1839.2247056443648</v>
      </c>
      <c r="H154">
        <v>-1491.6925547815817</v>
      </c>
      <c r="I154">
        <v>323.84654418122602</v>
      </c>
      <c r="J154">
        <v>162.078292759725</v>
      </c>
      <c r="K154">
        <v>69.600647443765098</v>
      </c>
      <c r="L154">
        <v>0.65603543771711881</v>
      </c>
      <c r="M154">
        <v>-0.65521930772903936</v>
      </c>
      <c r="N154">
        <v>45.621098186336603</v>
      </c>
      <c r="O154">
        <v>45.621161514976002</v>
      </c>
      <c r="P154">
        <v>45.621094912060002</v>
      </c>
      <c r="Q154" t="s">
        <v>51</v>
      </c>
    </row>
    <row r="155" spans="1:17" x14ac:dyDescent="0.2">
      <c r="A155">
        <v>154</v>
      </c>
      <c r="B155">
        <v>799</v>
      </c>
      <c r="C155">
        <v>125</v>
      </c>
      <c r="D155">
        <v>0.48660215454927003</v>
      </c>
      <c r="E155">
        <v>109.534121444124</v>
      </c>
      <c r="F155">
        <v>1.5737863967833701</v>
      </c>
      <c r="G155">
        <v>-1838.9012683284966</v>
      </c>
      <c r="H155">
        <v>-1491.9352374854357</v>
      </c>
      <c r="I155">
        <v>323.62058697161899</v>
      </c>
      <c r="J155">
        <v>162.06189974579999</v>
      </c>
      <c r="K155">
        <v>69.599102945608394</v>
      </c>
      <c r="L155">
        <v>0.65309352388430864</v>
      </c>
      <c r="M155">
        <v>-0.652274435313</v>
      </c>
      <c r="N155">
        <v>45.415154613402997</v>
      </c>
      <c r="O155">
        <v>45.4152181328976</v>
      </c>
      <c r="P155">
        <v>45.415151256873301</v>
      </c>
      <c r="Q155" t="s">
        <v>51</v>
      </c>
    </row>
    <row r="156" spans="1:17" x14ac:dyDescent="0.2">
      <c r="A156">
        <v>155</v>
      </c>
      <c r="B156">
        <v>798</v>
      </c>
      <c r="C156">
        <v>125</v>
      </c>
      <c r="D156">
        <v>0.48605750828548999</v>
      </c>
      <c r="E156">
        <v>109.534139740081</v>
      </c>
      <c r="F156">
        <v>1.5738289117758399</v>
      </c>
      <c r="G156">
        <v>-1838.5780570241591</v>
      </c>
      <c r="H156">
        <v>-1492.1776287901175</v>
      </c>
      <c r="I156">
        <v>323.39469089101601</v>
      </c>
      <c r="J156">
        <v>162.046231442227</v>
      </c>
      <c r="K156">
        <v>69.597234439217402</v>
      </c>
      <c r="L156">
        <v>0.65015808527775898</v>
      </c>
      <c r="M156">
        <v>-0.64933603940389639</v>
      </c>
      <c r="N156">
        <v>45.209460101793198</v>
      </c>
      <c r="O156">
        <v>45.209523809999503</v>
      </c>
      <c r="P156">
        <v>45.209456660475098</v>
      </c>
      <c r="Q156" t="s">
        <v>51</v>
      </c>
    </row>
    <row r="157" spans="1:17" x14ac:dyDescent="0.2">
      <c r="A157">
        <v>156</v>
      </c>
      <c r="B157">
        <v>797</v>
      </c>
      <c r="C157">
        <v>125</v>
      </c>
      <c r="D157">
        <v>0.48551184413399801</v>
      </c>
      <c r="E157">
        <v>109.534158046481</v>
      </c>
      <c r="F157">
        <v>1.5738791939469601</v>
      </c>
      <c r="G157">
        <v>-1838.2550717124809</v>
      </c>
      <c r="H157">
        <v>-1492.4196984138907</v>
      </c>
      <c r="I157">
        <v>323.16888438410098</v>
      </c>
      <c r="J157">
        <v>162.031298028386</v>
      </c>
      <c r="K157">
        <v>69.595022583526401</v>
      </c>
      <c r="L157">
        <v>0.64723050924608716</v>
      </c>
      <c r="M157">
        <v>-0.64640550849248202</v>
      </c>
      <c r="N157">
        <v>45.004101571995299</v>
      </c>
      <c r="O157">
        <v>45.004165466615902</v>
      </c>
      <c r="P157">
        <v>45.004098043301397</v>
      </c>
      <c r="Q157" t="s">
        <v>51</v>
      </c>
    </row>
    <row r="158" spans="1:17" x14ac:dyDescent="0.2">
      <c r="A158">
        <v>157</v>
      </c>
      <c r="B158">
        <v>796</v>
      </c>
      <c r="C158">
        <v>125</v>
      </c>
      <c r="D158">
        <v>0.48496515923864703</v>
      </c>
      <c r="E158">
        <v>109.534176366843</v>
      </c>
      <c r="F158">
        <v>1.5739376637603499</v>
      </c>
      <c r="G158">
        <v>-1837.9323123476593</v>
      </c>
      <c r="H158">
        <v>-1492.6614171658143</v>
      </c>
      <c r="I158">
        <v>322.94319495671601</v>
      </c>
      <c r="J158">
        <v>162.01710929434</v>
      </c>
      <c r="K158">
        <v>69.592448855408193</v>
      </c>
      <c r="L158">
        <v>0.64431213807248044</v>
      </c>
      <c r="M158">
        <v>-0.64348418596965384</v>
      </c>
      <c r="N158">
        <v>44.799163532731797</v>
      </c>
      <c r="O158">
        <v>44.799227611318301</v>
      </c>
      <c r="P158">
        <v>44.799159914022198</v>
      </c>
      <c r="Q158" t="s">
        <v>51</v>
      </c>
    </row>
    <row r="159" spans="1:17" x14ac:dyDescent="0.2">
      <c r="A159">
        <v>158</v>
      </c>
      <c r="B159">
        <v>795</v>
      </c>
      <c r="C159">
        <v>125</v>
      </c>
      <c r="D159">
        <v>0.48441745073257497</v>
      </c>
      <c r="E159">
        <v>109.534194704716</v>
      </c>
      <c r="F159">
        <v>1.57400472249829</v>
      </c>
      <c r="G159">
        <v>-1837.6097788573281</v>
      </c>
      <c r="H159">
        <v>-1492.9027570307449</v>
      </c>
      <c r="I159">
        <v>322.71764909225499</v>
      </c>
      <c r="J159">
        <v>162.00367464091599</v>
      </c>
      <c r="K159">
        <v>69.589495596214803</v>
      </c>
      <c r="L159">
        <v>0.64140426511064241</v>
      </c>
      <c r="M159">
        <v>-0.64057336625934502</v>
      </c>
      <c r="N159">
        <v>44.594727823940097</v>
      </c>
      <c r="O159">
        <v>44.594792083895598</v>
      </c>
      <c r="P159">
        <v>44.594724112521497</v>
      </c>
      <c r="Q159" t="s">
        <v>51</v>
      </c>
    </row>
    <row r="160" spans="1:17" x14ac:dyDescent="0.2">
      <c r="A160">
        <v>159</v>
      </c>
      <c r="B160">
        <v>794</v>
      </c>
      <c r="C160">
        <v>125</v>
      </c>
      <c r="D160">
        <v>0.48386871573818202</v>
      </c>
      <c r="E160">
        <v>109.534213063659</v>
      </c>
      <c r="F160">
        <v>1.5740807514169499</v>
      </c>
      <c r="G160">
        <v>-1837.2874711433524</v>
      </c>
      <c r="H160">
        <v>-1493.1436912427657</v>
      </c>
      <c r="I160">
        <v>322.49227217881798</v>
      </c>
      <c r="J160">
        <v>161.991003083377</v>
      </c>
      <c r="K160">
        <v>69.586146050676803</v>
      </c>
      <c r="L160">
        <v>0.63850813143613938</v>
      </c>
      <c r="M160">
        <v>-0.6376742914672161</v>
      </c>
      <c r="N160">
        <v>44.390873389908599</v>
      </c>
      <c r="O160">
        <v>44.390937828490699</v>
      </c>
      <c r="P160">
        <v>44.390869583033599</v>
      </c>
      <c r="Q160" t="s">
        <v>51</v>
      </c>
    </row>
    <row r="161" spans="1:17" x14ac:dyDescent="0.2">
      <c r="A161">
        <v>160</v>
      </c>
      <c r="B161">
        <v>793</v>
      </c>
      <c r="C161">
        <v>125</v>
      </c>
      <c r="D161">
        <v>0.48331895136707098</v>
      </c>
      <c r="E161">
        <v>109.53423144724999</v>
      </c>
      <c r="F161">
        <v>1.5741661111190199</v>
      </c>
      <c r="G161">
        <v>-1836.9653890830828</v>
      </c>
      <c r="H161">
        <v>-1493.3841943445816</v>
      </c>
      <c r="I161">
        <v>322.26708844955499</v>
      </c>
      <c r="J161">
        <v>161.97910325906</v>
      </c>
      <c r="K161">
        <v>69.582384396133406</v>
      </c>
      <c r="L161">
        <v>0.63562492313137531</v>
      </c>
      <c r="M161">
        <v>-0.63478814866349176</v>
      </c>
      <c r="N161">
        <v>44.187676089765297</v>
      </c>
      <c r="O161">
        <v>44.187740704089201</v>
      </c>
      <c r="P161">
        <v>44.187672184631801</v>
      </c>
      <c r="Q161" t="s">
        <v>51</v>
      </c>
    </row>
    <row r="162" spans="1:17" x14ac:dyDescent="0.2">
      <c r="A162">
        <v>161</v>
      </c>
      <c r="B162">
        <v>792</v>
      </c>
      <c r="C162">
        <v>125</v>
      </c>
      <c r="D162">
        <v>0.48276815471999501</v>
      </c>
      <c r="E162">
        <v>109.534249859062</v>
      </c>
      <c r="F162">
        <v>1.57426114109225</v>
      </c>
      <c r="G162">
        <v>-1836.6435325301288</v>
      </c>
      <c r="H162">
        <v>-1493.6242422344133</v>
      </c>
      <c r="I162">
        <v>322.04212093394898</v>
      </c>
      <c r="J162">
        <v>161.96798343834899</v>
      </c>
      <c r="K162">
        <v>69.578195764309598</v>
      </c>
      <c r="L162">
        <v>0.63275576909342512</v>
      </c>
      <c r="M162">
        <v>-0.63191606768905639</v>
      </c>
      <c r="N162">
        <v>43.985208539290603</v>
      </c>
      <c r="O162">
        <v>43.985273326332802</v>
      </c>
      <c r="P162">
        <v>43.985204533040999</v>
      </c>
      <c r="Q162" t="s">
        <v>51</v>
      </c>
    </row>
    <row r="163" spans="1:17" x14ac:dyDescent="0.2">
      <c r="A163">
        <v>162</v>
      </c>
      <c r="B163">
        <v>791</v>
      </c>
      <c r="C163">
        <v>125</v>
      </c>
      <c r="D163">
        <v>0.48221632288681698</v>
      </c>
      <c r="E163">
        <v>109.534268302673</v>
      </c>
      <c r="F163">
        <v>1.57436615942001</v>
      </c>
      <c r="G163">
        <v>-1836.3219013157802</v>
      </c>
      <c r="H163">
        <v>-1493.8638122012405</v>
      </c>
      <c r="I163">
        <v>321.81739142039697</v>
      </c>
      <c r="J163">
        <v>161.95765153882499</v>
      </c>
      <c r="K163">
        <v>69.573566255403406</v>
      </c>
      <c r="L163">
        <v>0.6299017393759988</v>
      </c>
      <c r="M163">
        <v>-0.62905911949610394</v>
      </c>
      <c r="N163">
        <v>43.783539984925298</v>
      </c>
      <c r="O163">
        <v>43.783604941526903</v>
      </c>
      <c r="P163">
        <v>43.783535874645999</v>
      </c>
      <c r="Q163" t="s">
        <v>51</v>
      </c>
    </row>
    <row r="164" spans="1:17" x14ac:dyDescent="0.2">
      <c r="A164">
        <v>163</v>
      </c>
      <c r="B164">
        <v>790</v>
      </c>
      <c r="C164">
        <v>125</v>
      </c>
      <c r="D164">
        <v>0.48166345294643498</v>
      </c>
      <c r="E164">
        <v>109.53428678159</v>
      </c>
      <c r="F164">
        <v>1.5744814626630601</v>
      </c>
      <c r="G164">
        <v>-1836.0004952489762</v>
      </c>
      <c r="H164">
        <v>-1494.1028829467818</v>
      </c>
      <c r="I164">
        <v>321.59292042966501</v>
      </c>
      <c r="J164">
        <v>161.948115142201</v>
      </c>
      <c r="K164">
        <v>69.568482944425995</v>
      </c>
      <c r="L164">
        <v>0.62706384406045645</v>
      </c>
      <c r="M164">
        <v>-0.62621831501826086</v>
      </c>
      <c r="N164">
        <v>43.582736209811003</v>
      </c>
      <c r="O164">
        <v>43.5828013326812</v>
      </c>
      <c r="P164">
        <v>43.582731992531102</v>
      </c>
      <c r="Q164" t="s">
        <v>51</v>
      </c>
    </row>
    <row r="165" spans="1:17" x14ac:dyDescent="0.2">
      <c r="A165">
        <v>164</v>
      </c>
      <c r="B165">
        <v>789</v>
      </c>
      <c r="C165">
        <v>125</v>
      </c>
      <c r="D165">
        <v>0.48110954196676597</v>
      </c>
      <c r="E165">
        <v>109.534305299322</v>
      </c>
      <c r="F165">
        <v>1.5746073258887301</v>
      </c>
      <c r="G165">
        <v>-1835.6793141188339</v>
      </c>
      <c r="H165">
        <v>-1494.3414345989277</v>
      </c>
      <c r="I165">
        <v>321.36872719865499</v>
      </c>
      <c r="J165">
        <v>161.93938151397501</v>
      </c>
      <c r="K165">
        <v>69.562933880990798</v>
      </c>
      <c r="L165">
        <v>0.62424303259950997</v>
      </c>
      <c r="M165">
        <v>-0.62339460451376871</v>
      </c>
      <c r="N165">
        <v>43.382859468902701</v>
      </c>
      <c r="O165">
        <v>43.382924754622998</v>
      </c>
      <c r="P165">
        <v>43.382855141594</v>
      </c>
      <c r="Q165" t="s">
        <v>51</v>
      </c>
    </row>
    <row r="166" spans="1:17" x14ac:dyDescent="0.2">
      <c r="A166">
        <v>165</v>
      </c>
      <c r="B166">
        <v>788</v>
      </c>
      <c r="C166">
        <v>125</v>
      </c>
      <c r="D166">
        <v>0.48055458700466802</v>
      </c>
      <c r="E166">
        <v>109.534323859342</v>
      </c>
      <c r="F166">
        <v>1.57474400282661</v>
      </c>
      <c r="G166">
        <v>-1835.3583576952637</v>
      </c>
      <c r="H166">
        <v>-1494.5794487140752</v>
      </c>
      <c r="I166">
        <v>321.14482967275097</v>
      </c>
      <c r="J166">
        <v>161.93145762500399</v>
      </c>
      <c r="K166">
        <v>69.556908083302602</v>
      </c>
      <c r="L166">
        <v>0.62144019357684921</v>
      </c>
      <c r="M166">
        <v>-0.62058887732491641</v>
      </c>
      <c r="N166">
        <v>43.183968449855001</v>
      </c>
      <c r="O166">
        <v>43.184033894882297</v>
      </c>
      <c r="P166">
        <v>43.183964009430902</v>
      </c>
      <c r="Q166" t="s">
        <v>51</v>
      </c>
    </row>
    <row r="167" spans="1:17" x14ac:dyDescent="0.2">
      <c r="A167">
        <v>166</v>
      </c>
      <c r="B167">
        <v>787</v>
      </c>
      <c r="C167">
        <v>125</v>
      </c>
      <c r="D167">
        <v>0.479998585105882</v>
      </c>
      <c r="E167">
        <v>109.53434246505201</v>
      </c>
      <c r="F167">
        <v>1.57489172616632</v>
      </c>
      <c r="G167">
        <v>-1835.0376257296673</v>
      </c>
      <c r="H167">
        <v>-1494.8169082690022</v>
      </c>
      <c r="I167">
        <v>320.921244508033</v>
      </c>
      <c r="J167">
        <v>161.924350175493</v>
      </c>
      <c r="K167">
        <v>69.550395525720404</v>
      </c>
      <c r="L167">
        <v>0.61865615493205839</v>
      </c>
      <c r="M167">
        <v>-0.61780196210313121</v>
      </c>
      <c r="N167">
        <v>42.986118262886897</v>
      </c>
      <c r="O167">
        <v>42.986183863557599</v>
      </c>
      <c r="P167">
        <v>42.9861137062015</v>
      </c>
      <c r="Q167" t="s">
        <v>51</v>
      </c>
    </row>
    <row r="168" spans="1:17" x14ac:dyDescent="0.2">
      <c r="A168">
        <v>167</v>
      </c>
      <c r="B168">
        <v>786</v>
      </c>
      <c r="C168">
        <v>125</v>
      </c>
      <c r="D168">
        <v>0.47944153330501299</v>
      </c>
      <c r="E168">
        <v>109.534361119834</v>
      </c>
      <c r="F168">
        <v>1.5750507079368301</v>
      </c>
      <c r="G168">
        <v>-1834.7171179571785</v>
      </c>
      <c r="H168">
        <v>-1495.0537976475598</v>
      </c>
      <c r="I168">
        <v>320.69798707988298</v>
      </c>
      <c r="J168">
        <v>161.91806562020901</v>
      </c>
      <c r="K168">
        <v>69.5433871226371</v>
      </c>
      <c r="L168">
        <v>0.61589168447284526</v>
      </c>
      <c r="M168">
        <v>-0.6150346273216053</v>
      </c>
      <c r="N168">
        <v>42.789360449084199</v>
      </c>
      <c r="O168">
        <v>42.789426201617601</v>
      </c>
      <c r="P168">
        <v>42.789355772931799</v>
      </c>
      <c r="Q168" t="s">
        <v>51</v>
      </c>
    </row>
    <row r="169" spans="1:17" x14ac:dyDescent="0.2">
      <c r="A169">
        <v>168</v>
      </c>
      <c r="B169">
        <v>785</v>
      </c>
      <c r="C169">
        <v>125</v>
      </c>
      <c r="D169">
        <v>0.47888342862543298</v>
      </c>
      <c r="E169">
        <v>109.534379826975</v>
      </c>
      <c r="F169">
        <v>1.57522114001033</v>
      </c>
      <c r="G169">
        <v>-1834.3968340965287</v>
      </c>
      <c r="H169">
        <v>-1495.2901026164791</v>
      </c>
      <c r="I169">
        <v>320.47507149966299</v>
      </c>
      <c r="J169">
        <v>161.91261019522301</v>
      </c>
      <c r="K169">
        <v>69.535874706618301</v>
      </c>
      <c r="L169">
        <v>0.61314749078649411</v>
      </c>
      <c r="M169">
        <v>-0.6122875821874737</v>
      </c>
      <c r="N169">
        <v>42.593743013764197</v>
      </c>
      <c r="O169">
        <v>42.593808914266504</v>
      </c>
      <c r="P169">
        <v>42.593738214878499</v>
      </c>
      <c r="Q169" t="s">
        <v>51</v>
      </c>
    </row>
    <row r="170" spans="1:17" x14ac:dyDescent="0.2">
      <c r="A170">
        <v>169</v>
      </c>
      <c r="B170">
        <v>784</v>
      </c>
      <c r="C170">
        <v>125</v>
      </c>
      <c r="D170">
        <v>0.47832426807926898</v>
      </c>
      <c r="E170">
        <v>109.53440504441301</v>
      </c>
      <c r="F170">
        <v>1.5738942952381401</v>
      </c>
      <c r="G170">
        <v>-1834.0769204647208</v>
      </c>
      <c r="H170">
        <v>-1495.68621223224</v>
      </c>
      <c r="I170">
        <v>320.10094369585698</v>
      </c>
      <c r="J170">
        <v>161.886330125553</v>
      </c>
      <c r="K170">
        <v>69.594511763472696</v>
      </c>
      <c r="L170">
        <v>0.60307486159334633</v>
      </c>
      <c r="M170">
        <v>-0.60220715241021139</v>
      </c>
      <c r="N170">
        <v>41.9282420536723</v>
      </c>
      <c r="O170">
        <v>41.928308537814097</v>
      </c>
      <c r="P170">
        <v>41.928237098672497</v>
      </c>
      <c r="Q170" t="s">
        <v>51</v>
      </c>
    </row>
    <row r="171" spans="1:17" x14ac:dyDescent="0.2">
      <c r="A171">
        <v>170</v>
      </c>
      <c r="B171">
        <v>783</v>
      </c>
      <c r="C171">
        <v>125</v>
      </c>
      <c r="D171">
        <v>0.47776404866733202</v>
      </c>
      <c r="E171">
        <v>109.534435355957</v>
      </c>
      <c r="F171">
        <v>1.5713003597221</v>
      </c>
      <c r="G171">
        <v>-1833.7575632256664</v>
      </c>
      <c r="H171">
        <v>-1496.2192718191302</v>
      </c>
      <c r="I171">
        <v>319.59698653578403</v>
      </c>
      <c r="J171">
        <v>161.84266991104201</v>
      </c>
      <c r="K171">
        <v>69.709419130616595</v>
      </c>
      <c r="L171">
        <v>0.58672097877309792</v>
      </c>
      <c r="M171">
        <v>-0.58584123847143865</v>
      </c>
      <c r="N171">
        <v>40.856821092064699</v>
      </c>
      <c r="O171">
        <v>40.856888532762198</v>
      </c>
      <c r="P171">
        <v>40.856815949741403</v>
      </c>
      <c r="Q171" t="s">
        <v>51</v>
      </c>
    </row>
    <row r="172" spans="1:17" x14ac:dyDescent="0.2">
      <c r="A172">
        <v>171</v>
      </c>
      <c r="B172">
        <v>782</v>
      </c>
      <c r="C172">
        <v>125</v>
      </c>
      <c r="D172">
        <v>0.47720276737904699</v>
      </c>
      <c r="E172">
        <v>109.534465186679</v>
      </c>
      <c r="F172">
        <v>1.5686894832018601</v>
      </c>
      <c r="G172">
        <v>-1833.4387043137513</v>
      </c>
      <c r="H172">
        <v>-1496.7569817180238</v>
      </c>
      <c r="I172">
        <v>319.088139979532</v>
      </c>
      <c r="J172">
        <v>161.79940442385799</v>
      </c>
      <c r="K172">
        <v>69.825460270892904</v>
      </c>
      <c r="L172">
        <v>0.57014274709571122</v>
      </c>
      <c r="M172">
        <v>-0.56925084389757719</v>
      </c>
      <c r="N172">
        <v>39.766612803152803</v>
      </c>
      <c r="O172">
        <v>39.766681210352999</v>
      </c>
      <c r="P172">
        <v>39.7666074662678</v>
      </c>
      <c r="Q172" t="s">
        <v>51</v>
      </c>
    </row>
    <row r="173" spans="1:17" x14ac:dyDescent="0.2">
      <c r="A173">
        <v>172</v>
      </c>
      <c r="B173">
        <v>781</v>
      </c>
      <c r="C173">
        <v>125</v>
      </c>
      <c r="D173">
        <v>0.476640421192431</v>
      </c>
      <c r="E173">
        <v>109.534494447938</v>
      </c>
      <c r="F173">
        <v>1.5660456514552901</v>
      </c>
      <c r="G173">
        <v>-1833.1203480204301</v>
      </c>
      <c r="H173">
        <v>-1497.3012240880355</v>
      </c>
      <c r="I173">
        <v>318.57260899051403</v>
      </c>
      <c r="J173">
        <v>161.75599694991899</v>
      </c>
      <c r="K173">
        <v>69.943359790406305</v>
      </c>
      <c r="L173">
        <v>0.55324744653058433</v>
      </c>
      <c r="M173">
        <v>-0.55234319389079156</v>
      </c>
      <c r="N173">
        <v>38.651395233781201</v>
      </c>
      <c r="O173">
        <v>38.651464622189799</v>
      </c>
      <c r="P173">
        <v>38.651389694470303</v>
      </c>
      <c r="Q173" t="s">
        <v>51</v>
      </c>
    </row>
    <row r="174" spans="1:17" x14ac:dyDescent="0.2">
      <c r="A174">
        <v>173</v>
      </c>
      <c r="B174">
        <v>780</v>
      </c>
      <c r="C174">
        <v>125</v>
      </c>
      <c r="D174">
        <v>0.47607700707401701</v>
      </c>
      <c r="E174">
        <v>109.534523013805</v>
      </c>
      <c r="F174">
        <v>1.56334649557092</v>
      </c>
      <c r="G174">
        <v>-1832.8025001576407</v>
      </c>
      <c r="H174">
        <v>-1497.8546241914555</v>
      </c>
      <c r="I174">
        <v>318.04788767146499</v>
      </c>
      <c r="J174">
        <v>161.711726918343</v>
      </c>
      <c r="K174">
        <v>70.064136980589197</v>
      </c>
      <c r="L174">
        <v>0.53590721449929857</v>
      </c>
      <c r="M174">
        <v>-0.53499034955701907</v>
      </c>
      <c r="N174">
        <v>37.502545251876498</v>
      </c>
      <c r="O174">
        <v>37.502615642921597</v>
      </c>
      <c r="P174">
        <v>37.502539501453398</v>
      </c>
      <c r="Q174" t="s">
        <v>51</v>
      </c>
    </row>
    <row r="175" spans="1:17" x14ac:dyDescent="0.2">
      <c r="A175">
        <v>174</v>
      </c>
      <c r="B175">
        <v>779</v>
      </c>
      <c r="C175">
        <v>125</v>
      </c>
      <c r="D175">
        <v>0.475512521978807</v>
      </c>
      <c r="E175">
        <v>109.534550700976</v>
      </c>
      <c r="F175">
        <v>1.5605603830600401</v>
      </c>
      <c r="G175">
        <v>-1832.4851685972526</v>
      </c>
      <c r="H175">
        <v>-1498.4209034045127</v>
      </c>
      <c r="I175">
        <v>317.51042093871001</v>
      </c>
      <c r="J175">
        <v>161.665599727124</v>
      </c>
      <c r="K175">
        <v>70.189242204261305</v>
      </c>
      <c r="L175">
        <v>0.51794251815247971</v>
      </c>
      <c r="M175">
        <v>-0.51701267018113495</v>
      </c>
      <c r="N175">
        <v>36.307895612051198</v>
      </c>
      <c r="O175">
        <v>36.307967036766399</v>
      </c>
      <c r="P175">
        <v>36.307889640717498</v>
      </c>
      <c r="Q175" t="s">
        <v>51</v>
      </c>
    </row>
    <row r="176" spans="1:17" x14ac:dyDescent="0.2">
      <c r="A176">
        <v>175</v>
      </c>
      <c r="B176">
        <v>778</v>
      </c>
      <c r="C176">
        <v>125</v>
      </c>
      <c r="D176">
        <v>0.47494696285021398</v>
      </c>
      <c r="E176">
        <v>109.53457723393601</v>
      </c>
      <c r="F176">
        <v>1.5576417673765399</v>
      </c>
      <c r="G176">
        <v>-1832.168364003594</v>
      </c>
      <c r="H176">
        <v>-1499.0054502453736</v>
      </c>
      <c r="I176">
        <v>316.95505707318199</v>
      </c>
      <c r="J176">
        <v>161.616198952811</v>
      </c>
      <c r="K176">
        <v>70.320775628930306</v>
      </c>
      <c r="L176">
        <v>0.49909553122184591</v>
      </c>
      <c r="M176">
        <v>-0.49815217403565371</v>
      </c>
      <c r="N176">
        <v>35.049887411542997</v>
      </c>
      <c r="O176">
        <v>35.049959914928301</v>
      </c>
      <c r="P176">
        <v>35.049881207945397</v>
      </c>
      <c r="Q176" t="s">
        <v>51</v>
      </c>
    </row>
    <row r="177" spans="1:17" x14ac:dyDescent="0.2">
      <c r="A177">
        <v>176</v>
      </c>
      <c r="B177">
        <v>777</v>
      </c>
      <c r="C177">
        <v>125</v>
      </c>
      <c r="D177">
        <v>0.47438032662001101</v>
      </c>
      <c r="E177">
        <v>109.53460218314601</v>
      </c>
      <c r="F177">
        <v>1.5545236609487201</v>
      </c>
      <c r="G177">
        <v>-1831.8521008358719</v>
      </c>
      <c r="H177">
        <v>-1499.6162603576256</v>
      </c>
      <c r="I177">
        <v>316.374146119177</v>
      </c>
      <c r="J177">
        <v>161.56143942094599</v>
      </c>
      <c r="K177">
        <v>70.461843029328804</v>
      </c>
      <c r="L177">
        <v>0.47898659253902254</v>
      </c>
      <c r="M177">
        <v>-0.47802897080195145</v>
      </c>
      <c r="N177">
        <v>33.702532199417497</v>
      </c>
      <c r="O177">
        <v>33.7026058472117</v>
      </c>
      <c r="P177">
        <v>33.702525749952898</v>
      </c>
      <c r="Q177" t="s">
        <v>51</v>
      </c>
    </row>
    <row r="178" spans="1:17" x14ac:dyDescent="0.2">
      <c r="A178">
        <v>177</v>
      </c>
      <c r="B178">
        <v>776</v>
      </c>
      <c r="C178">
        <v>125</v>
      </c>
      <c r="D178">
        <v>0.47381261020826598</v>
      </c>
      <c r="E178">
        <v>109.534624851262</v>
      </c>
      <c r="F178">
        <v>1.55110585549927</v>
      </c>
      <c r="G178">
        <v>-1831.5363986652526</v>
      </c>
      <c r="H178">
        <v>-1500.2654517564652</v>
      </c>
      <c r="I178">
        <v>315.756085197125</v>
      </c>
      <c r="J178">
        <v>161.49816035692299</v>
      </c>
      <c r="K178">
        <v>70.617117756934306</v>
      </c>
      <c r="L178">
        <v>0.45704479581980295</v>
      </c>
      <c r="M178">
        <v>-0.45607181012191989</v>
      </c>
      <c r="N178">
        <v>32.226522428401204</v>
      </c>
      <c r="O178">
        <v>32.226597317690299</v>
      </c>
      <c r="P178">
        <v>32.2265157161128</v>
      </c>
      <c r="Q178" t="s">
        <v>51</v>
      </c>
    </row>
    <row r="179" spans="1:17" x14ac:dyDescent="0.2">
      <c r="A179">
        <v>178</v>
      </c>
      <c r="B179">
        <v>775</v>
      </c>
      <c r="C179">
        <v>125</v>
      </c>
      <c r="D179">
        <v>0.473243810523307</v>
      </c>
      <c r="E179">
        <v>109.534644066192</v>
      </c>
      <c r="F179">
        <v>1.5472399568608</v>
      </c>
      <c r="G179">
        <v>-1831.221283732506</v>
      </c>
      <c r="H179">
        <v>-1500.9713424441372</v>
      </c>
      <c r="I179">
        <v>315.08331925812303</v>
      </c>
      <c r="J179">
        <v>161.42154000322799</v>
      </c>
      <c r="K179">
        <v>70.793572503405997</v>
      </c>
      <c r="L179">
        <v>0.43241534290519185</v>
      </c>
      <c r="M179">
        <v>-0.4314253810350871</v>
      </c>
      <c r="N179">
        <v>30.562544158543702</v>
      </c>
      <c r="O179">
        <v>30.562620433452601</v>
      </c>
      <c r="P179">
        <v>30.562537161435799</v>
      </c>
      <c r="Q179" t="s">
        <v>51</v>
      </c>
    </row>
    <row r="180" spans="1:17" x14ac:dyDescent="0.2">
      <c r="A180">
        <v>179</v>
      </c>
      <c r="B180">
        <v>774</v>
      </c>
      <c r="C180">
        <v>125</v>
      </c>
      <c r="D180">
        <v>0.47267392446163797</v>
      </c>
      <c r="E180">
        <v>109.534657872848</v>
      </c>
      <c r="F180">
        <v>1.54273033486742</v>
      </c>
      <c r="G180">
        <v>-1830.9067905256161</v>
      </c>
      <c r="H180">
        <v>-1501.7590804079068</v>
      </c>
      <c r="I180">
        <v>314.33171258995901</v>
      </c>
      <c r="J180">
        <v>161.32479394524401</v>
      </c>
      <c r="K180">
        <v>71.000521216989895</v>
      </c>
      <c r="L180">
        <v>0.40394273256803592</v>
      </c>
      <c r="M180">
        <v>-0.40293349686989277</v>
      </c>
      <c r="N180">
        <v>28.629298518528199</v>
      </c>
      <c r="O180">
        <v>28.6293763866557</v>
      </c>
      <c r="P180">
        <v>28.629291207595799</v>
      </c>
      <c r="Q180" t="s">
        <v>51</v>
      </c>
    </row>
    <row r="181" spans="1:17" x14ac:dyDescent="0.2">
      <c r="A181">
        <v>180</v>
      </c>
      <c r="B181">
        <v>773</v>
      </c>
      <c r="C181">
        <v>125</v>
      </c>
      <c r="D181">
        <v>0.472102948907902</v>
      </c>
      <c r="E181">
        <v>109.54141718077101</v>
      </c>
      <c r="F181">
        <v>1.5189655135322</v>
      </c>
      <c r="G181">
        <v>-1830.7039793540378</v>
      </c>
      <c r="H181">
        <v>-1505.0326433069031</v>
      </c>
      <c r="I181">
        <v>311.30960644042102</v>
      </c>
      <c r="J181">
        <v>160.614711011303</v>
      </c>
      <c r="K181">
        <v>72.115802633361994</v>
      </c>
      <c r="L181">
        <v>0.27292452014948182</v>
      </c>
      <c r="M181">
        <v>-0.27183173703469543</v>
      </c>
      <c r="N181">
        <v>19.626179300902699</v>
      </c>
      <c r="O181">
        <v>19.626264732789402</v>
      </c>
      <c r="P181">
        <v>19.626171117974</v>
      </c>
      <c r="Q181" t="s">
        <v>51</v>
      </c>
    </row>
    <row r="182" spans="1:17" x14ac:dyDescent="0.2">
      <c r="A182">
        <v>181</v>
      </c>
      <c r="B182">
        <v>772</v>
      </c>
      <c r="C182">
        <v>125</v>
      </c>
      <c r="D182">
        <v>0.47153088073482102</v>
      </c>
      <c r="E182">
        <v>109.54583566490101</v>
      </c>
      <c r="F182">
        <v>1.5009382144613601</v>
      </c>
      <c r="G182">
        <v>-1830.4661297011771</v>
      </c>
      <c r="H182">
        <v>-1507.7093286649151</v>
      </c>
      <c r="I182">
        <v>308.81919640352299</v>
      </c>
      <c r="J182">
        <v>160.03683287261001</v>
      </c>
      <c r="K182">
        <v>72.984906779932302</v>
      </c>
      <c r="L182">
        <v>0.16966225642417671</v>
      </c>
      <c r="M182">
        <v>-0.16850402435828263</v>
      </c>
      <c r="N182">
        <v>12.322655609155801</v>
      </c>
      <c r="O182">
        <v>12.3227470543981</v>
      </c>
      <c r="P182">
        <v>12.3226466575773</v>
      </c>
      <c r="Q182" t="s">
        <v>51</v>
      </c>
    </row>
    <row r="183" spans="1:17" x14ac:dyDescent="0.2">
      <c r="A183">
        <v>182</v>
      </c>
      <c r="B183">
        <v>771</v>
      </c>
      <c r="C183">
        <v>125</v>
      </c>
      <c r="D183">
        <v>0.47095771680314102</v>
      </c>
      <c r="E183">
        <v>109.54774181085</v>
      </c>
      <c r="F183">
        <v>1.49289113077376</v>
      </c>
      <c r="G183">
        <v>-1830.1891139029692</v>
      </c>
      <c r="H183">
        <v>-1509.1167685182415</v>
      </c>
      <c r="I183">
        <v>307.501903195078</v>
      </c>
      <c r="J183">
        <v>159.77466874900699</v>
      </c>
      <c r="K183">
        <v>73.379591821991497</v>
      </c>
      <c r="L183">
        <v>0.1193605299603164</v>
      </c>
      <c r="M183">
        <v>-0.11816998226546481</v>
      </c>
      <c r="N183">
        <v>8.6964265750221994</v>
      </c>
      <c r="O183">
        <v>8.6965209161002601</v>
      </c>
      <c r="P183">
        <v>8.6964171213456396</v>
      </c>
      <c r="Q183" t="s">
        <v>51</v>
      </c>
    </row>
    <row r="184" spans="1:17" x14ac:dyDescent="0.2">
      <c r="A184">
        <v>183</v>
      </c>
      <c r="B184">
        <v>770</v>
      </c>
      <c r="C184">
        <v>125</v>
      </c>
      <c r="D184">
        <v>0.47038345396155901</v>
      </c>
      <c r="E184">
        <v>109.548721893443</v>
      </c>
      <c r="F184">
        <v>1.48893936481728</v>
      </c>
      <c r="G184">
        <v>-1829.8980302367413</v>
      </c>
      <c r="H184">
        <v>-1509.9885165784465</v>
      </c>
      <c r="I184">
        <v>306.68205507583502</v>
      </c>
      <c r="J184">
        <v>159.64835979220399</v>
      </c>
      <c r="K184">
        <v>73.575005458255603</v>
      </c>
      <c r="L184">
        <v>9.0920679591013631E-2</v>
      </c>
      <c r="M184">
        <v>-8.9711454239926033E-2</v>
      </c>
      <c r="N184">
        <v>6.6260875797691199</v>
      </c>
      <c r="O184">
        <v>6.6261835007909697</v>
      </c>
      <c r="P184">
        <v>6.62607773424652</v>
      </c>
      <c r="Q184" t="s">
        <v>51</v>
      </c>
    </row>
    <row r="185" spans="1:17" x14ac:dyDescent="0.2">
      <c r="A185">
        <v>184</v>
      </c>
      <c r="B185">
        <v>769</v>
      </c>
      <c r="C185">
        <v>125</v>
      </c>
      <c r="D185">
        <v>0.46980808904668597</v>
      </c>
      <c r="E185">
        <v>109.549300983278</v>
      </c>
      <c r="F185">
        <v>1.48695349530368</v>
      </c>
      <c r="G185">
        <v>-1829.6010921514819</v>
      </c>
      <c r="H185">
        <v>-1510.5996167530623</v>
      </c>
      <c r="I185">
        <v>306.10508475164198</v>
      </c>
      <c r="J185">
        <v>159.589237378192</v>
      </c>
      <c r="K185">
        <v>73.673656458842203</v>
      </c>
      <c r="L185">
        <v>7.300702100189467E-2</v>
      </c>
      <c r="M185">
        <v>-7.1785673018441826E-2</v>
      </c>
      <c r="N185">
        <v>5.31451437788101</v>
      </c>
      <c r="O185">
        <v>5.3146112364841303</v>
      </c>
      <c r="P185">
        <v>5.3145041916546401</v>
      </c>
      <c r="Q185" t="s">
        <v>51</v>
      </c>
    </row>
    <row r="186" spans="1:17" x14ac:dyDescent="0.2">
      <c r="A186">
        <v>185</v>
      </c>
      <c r="B186">
        <v>768</v>
      </c>
      <c r="C186">
        <v>125</v>
      </c>
      <c r="D186">
        <v>0.46923161888296799</v>
      </c>
      <c r="E186">
        <v>109.549680873228</v>
      </c>
      <c r="F186">
        <v>1.4860361001559199</v>
      </c>
      <c r="G186">
        <v>-1829.3014098569861</v>
      </c>
      <c r="H186">
        <v>-1511.0680756415588</v>
      </c>
      <c r="I186">
        <v>305.66135359904001</v>
      </c>
      <c r="J186">
        <v>159.56750418999701</v>
      </c>
      <c r="K186">
        <v>73.719394072414403</v>
      </c>
      <c r="L186">
        <v>6.0821220981678678E-2</v>
      </c>
      <c r="M186">
        <v>-5.9591313261490704E-2</v>
      </c>
      <c r="N186">
        <v>4.4189778456221704</v>
      </c>
      <c r="O186">
        <v>4.41907528811657</v>
      </c>
      <c r="P186">
        <v>4.4189673442868402</v>
      </c>
      <c r="Q18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4AD9B-62C9-48D0-AA53-B91B89EB9823}">
  <sheetPr codeName="Sheet4"/>
  <dimension ref="A1:AI18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751</v>
      </c>
      <c r="C2">
        <v>275</v>
      </c>
      <c r="D2">
        <v>0.29815017331445698</v>
      </c>
      <c r="E2">
        <v>105.839354496116</v>
      </c>
      <c r="F2">
        <v>2.1869967030259798</v>
      </c>
      <c r="G2">
        <v>-1734.7493000472</v>
      </c>
      <c r="H2">
        <v>-1447.0645783612301</v>
      </c>
      <c r="I2">
        <v>280.90096341939102</v>
      </c>
      <c r="J2">
        <v>144.18325960028</v>
      </c>
      <c r="K2">
        <v>48.394839530244397</v>
      </c>
      <c r="L2">
        <v>1.6587059562063914E-4</v>
      </c>
      <c r="M2">
        <v>1.8236839413150835E-5</v>
      </c>
      <c r="N2" s="1">
        <v>4.0779286270642899E-6</v>
      </c>
      <c r="O2" s="1">
        <v>1.10308566118887E-7</v>
      </c>
      <c r="P2" s="1">
        <v>-5.6606410830002595E-7</v>
      </c>
      <c r="Q2">
        <v>71.646317535698003</v>
      </c>
      <c r="R2">
        <v>7.5586250861852902E-2</v>
      </c>
      <c r="S2">
        <v>12.244972639620601</v>
      </c>
      <c r="T2">
        <v>0.17290922905530301</v>
      </c>
      <c r="V2">
        <v>0.41401913061853801</v>
      </c>
      <c r="W2">
        <v>3.7793125430926201E-2</v>
      </c>
      <c r="X2">
        <v>2.83448440731951E-2</v>
      </c>
      <c r="AA2">
        <v>0.56689688146389505</v>
      </c>
      <c r="AB2">
        <v>4.3745542686297103</v>
      </c>
      <c r="AC2">
        <v>3.6564848854420902</v>
      </c>
      <c r="AD2">
        <v>1.8896562715462799E-2</v>
      </c>
      <c r="AE2">
        <v>6.7632246463903396</v>
      </c>
    </row>
    <row r="3" spans="1:35" x14ac:dyDescent="0.2">
      <c r="A3">
        <v>2</v>
      </c>
      <c r="B3">
        <v>750</v>
      </c>
      <c r="C3">
        <v>275</v>
      </c>
      <c r="D3">
        <v>0.29739578751893703</v>
      </c>
      <c r="E3">
        <v>105.670529933735</v>
      </c>
      <c r="F3">
        <v>2.1874063509796899</v>
      </c>
      <c r="G3">
        <v>-1731.6745442284546</v>
      </c>
      <c r="H3">
        <v>-1444.8365887812943</v>
      </c>
      <c r="I3">
        <v>280.34790152681398</v>
      </c>
      <c r="J3">
        <v>143.959365609896</v>
      </c>
      <c r="K3">
        <v>48.308596108083599</v>
      </c>
      <c r="L3">
        <v>1.6591322326993003E-4</v>
      </c>
      <c r="M3">
        <v>1.8230636441308692E-5</v>
      </c>
      <c r="N3" s="1">
        <v>4.0780263144053901E-6</v>
      </c>
      <c r="O3" s="1">
        <v>1.10089376068452E-7</v>
      </c>
      <c r="P3" s="1">
        <v>-5.6554314386636101E-7</v>
      </c>
      <c r="Q3">
        <v>71.6086973011829</v>
      </c>
      <c r="R3">
        <v>7.5707011264321097E-2</v>
      </c>
      <c r="S3">
        <v>12.264535824821699</v>
      </c>
      <c r="T3">
        <v>0.173508215887547</v>
      </c>
      <c r="V3">
        <v>0.41439018493095803</v>
      </c>
      <c r="W3">
        <v>3.7853505632159501E-2</v>
      </c>
      <c r="X3">
        <v>2.83901292241216E-2</v>
      </c>
      <c r="AA3">
        <v>0.56780258448240295</v>
      </c>
      <c r="AB3">
        <v>4.3815432769224998</v>
      </c>
      <c r="AC3">
        <v>3.6623266699113799</v>
      </c>
      <c r="AD3">
        <v>1.8926752816078699E-2</v>
      </c>
      <c r="AE3">
        <v>6.76631854292377</v>
      </c>
    </row>
    <row r="4" spans="1:35" x14ac:dyDescent="0.2">
      <c r="A4">
        <v>3</v>
      </c>
      <c r="B4">
        <v>749</v>
      </c>
      <c r="C4">
        <v>275</v>
      </c>
      <c r="D4">
        <v>0.29663992564692099</v>
      </c>
      <c r="E4">
        <v>105.446376249102</v>
      </c>
      <c r="F4">
        <v>2.1878293578230799</v>
      </c>
      <c r="G4">
        <v>-1727.6857737837142</v>
      </c>
      <c r="H4">
        <v>-1441.8304860609144</v>
      </c>
      <c r="I4">
        <v>279.66080098106897</v>
      </c>
      <c r="J4">
        <v>143.66694964076299</v>
      </c>
      <c r="K4">
        <v>48.196801031147501</v>
      </c>
      <c r="L4">
        <v>1.6599048954949944E-4</v>
      </c>
      <c r="M4">
        <v>1.8225359438239036E-5</v>
      </c>
      <c r="N4" s="1">
        <v>4.0766497330818801E-6</v>
      </c>
      <c r="O4" s="1">
        <v>1.0982994692447601E-7</v>
      </c>
      <c r="P4" s="1">
        <v>-5.6490333209415004E-7</v>
      </c>
      <c r="Q4">
        <v>71.558468457795101</v>
      </c>
      <c r="R4">
        <v>7.5867946197612404E-2</v>
      </c>
      <c r="S4">
        <v>12.290607284015801</v>
      </c>
      <c r="T4">
        <v>0.17421692516934301</v>
      </c>
      <c r="V4">
        <v>0.41496525800885498</v>
      </c>
      <c r="W4">
        <v>3.7933973098804599E-2</v>
      </c>
      <c r="X4">
        <v>2.8450479824106499E-2</v>
      </c>
      <c r="AA4">
        <v>0.56900959648208604</v>
      </c>
      <c r="AB4">
        <v>4.3908573861866902</v>
      </c>
      <c r="AC4">
        <v>3.6701118973092699</v>
      </c>
      <c r="AD4">
        <v>1.89669865494007E-2</v>
      </c>
      <c r="AE4">
        <v>6.7705438093628798</v>
      </c>
    </row>
    <row r="5" spans="1:35" x14ac:dyDescent="0.2">
      <c r="A5">
        <v>4</v>
      </c>
      <c r="B5">
        <v>748</v>
      </c>
      <c r="C5">
        <v>275</v>
      </c>
      <c r="D5">
        <v>0.29588258336189799</v>
      </c>
      <c r="E5">
        <v>105.223285531626</v>
      </c>
      <c r="F5">
        <v>2.1882521146719598</v>
      </c>
      <c r="G5">
        <v>-1723.7159386859498</v>
      </c>
      <c r="H5">
        <v>-1438.8387037335317</v>
      </c>
      <c r="I5">
        <v>278.97687406592399</v>
      </c>
      <c r="J5">
        <v>143.37594575320901</v>
      </c>
      <c r="K5">
        <v>48.0855404302444</v>
      </c>
      <c r="L5">
        <v>1.6606801620670119E-4</v>
      </c>
      <c r="M5">
        <v>1.8220091703080664E-5</v>
      </c>
      <c r="N5" s="1">
        <v>4.0753045640018904E-6</v>
      </c>
      <c r="O5" s="1">
        <v>1.09572008394413E-7</v>
      </c>
      <c r="P5" s="1">
        <v>-5.6426902295172697E-7</v>
      </c>
      <c r="Q5">
        <v>71.508237474831802</v>
      </c>
      <c r="R5">
        <v>7.6028798754773794E-2</v>
      </c>
      <c r="S5">
        <v>12.316665398276299</v>
      </c>
      <c r="T5">
        <v>0.174928215432922</v>
      </c>
      <c r="V5">
        <v>0.415537387918895</v>
      </c>
      <c r="W5">
        <v>3.80143993773851E-2</v>
      </c>
      <c r="X5">
        <v>2.8510799533042201E-2</v>
      </c>
      <c r="AA5">
        <v>0.57021599066079498</v>
      </c>
      <c r="AB5">
        <v>4.4001667279323904</v>
      </c>
      <c r="AC5">
        <v>3.6778931397619301</v>
      </c>
      <c r="AD5">
        <v>1.9007199688690701E-2</v>
      </c>
      <c r="AE5">
        <v>6.7747944678310201</v>
      </c>
    </row>
    <row r="6" spans="1:35" x14ac:dyDescent="0.2">
      <c r="A6">
        <v>5</v>
      </c>
      <c r="B6">
        <v>747</v>
      </c>
      <c r="C6">
        <v>275</v>
      </c>
      <c r="D6">
        <v>0.29512375631034898</v>
      </c>
      <c r="E6">
        <v>103.90181458974</v>
      </c>
      <c r="F6">
        <v>2.1889672218671099</v>
      </c>
      <c r="G6">
        <v>-1701.4619532254596</v>
      </c>
      <c r="H6">
        <v>-1420.6394566378801</v>
      </c>
      <c r="I6">
        <v>275.27569140575298</v>
      </c>
      <c r="J6">
        <v>141.55308296380301</v>
      </c>
      <c r="K6">
        <v>47.466135423040299</v>
      </c>
      <c r="L6">
        <v>1.6594251457910939E-4</v>
      </c>
      <c r="M6">
        <v>1.8197477506067875E-5</v>
      </c>
      <c r="N6" s="1">
        <v>4.0239382272888497E-6</v>
      </c>
      <c r="O6" s="1">
        <v>1.0798708555317601E-7</v>
      </c>
      <c r="P6" s="1">
        <v>-5.5681815352982896E-7</v>
      </c>
      <c r="Q6">
        <v>71.4719760616603</v>
      </c>
      <c r="R6">
        <v>7.6995767894799602E-2</v>
      </c>
      <c r="S6">
        <v>12.330017342425201</v>
      </c>
      <c r="T6">
        <v>0.177509163038543</v>
      </c>
      <c r="V6">
        <v>0.42050193306287698</v>
      </c>
      <c r="W6">
        <v>3.8497883947396998E-2</v>
      </c>
      <c r="X6">
        <v>2.8873412960552899E-2</v>
      </c>
      <c r="AA6">
        <v>0.56058875621771498</v>
      </c>
      <c r="AB6">
        <v>4.3938237345483602</v>
      </c>
      <c r="AC6">
        <v>3.71533176083901</v>
      </c>
      <c r="AD6">
        <v>1.92489419736958E-2</v>
      </c>
      <c r="AE6">
        <v>6.7666352414315103</v>
      </c>
    </row>
    <row r="7" spans="1:35" x14ac:dyDescent="0.2">
      <c r="A7">
        <v>6</v>
      </c>
      <c r="B7">
        <v>746</v>
      </c>
      <c r="C7">
        <v>275</v>
      </c>
      <c r="D7">
        <v>0.29436344012167098</v>
      </c>
      <c r="E7">
        <v>101.505740338598</v>
      </c>
      <c r="F7">
        <v>2.1900000136781599</v>
      </c>
      <c r="G7">
        <v>-1661.3403974875946</v>
      </c>
      <c r="H7">
        <v>-1387.5690211974318</v>
      </c>
      <c r="I7">
        <v>268.62716606011099</v>
      </c>
      <c r="J7">
        <v>138.23306515030501</v>
      </c>
      <c r="K7">
        <v>46.3496528331601</v>
      </c>
      <c r="L7">
        <v>1.6560947587435248E-4</v>
      </c>
      <c r="M7">
        <v>1.8157222122706231E-5</v>
      </c>
      <c r="N7" s="1">
        <v>3.92356119188856E-6</v>
      </c>
      <c r="O7" s="1">
        <v>1.05109448316832E-7</v>
      </c>
      <c r="P7" s="1">
        <v>-5.4268888451120897E-7</v>
      </c>
      <c r="Q7">
        <v>71.448829884174501</v>
      </c>
      <c r="R7">
        <v>7.8813276700550702E-2</v>
      </c>
      <c r="S7">
        <v>12.3312883870666</v>
      </c>
      <c r="T7">
        <v>0.18206936225248299</v>
      </c>
      <c r="V7">
        <v>0.43009504389182002</v>
      </c>
      <c r="W7">
        <v>3.9406638350272E-2</v>
      </c>
      <c r="X7">
        <v>2.9554978762709901E-2</v>
      </c>
      <c r="AA7">
        <v>0.54177912805199802</v>
      </c>
      <c r="AB7">
        <v>4.3705587703893096</v>
      </c>
      <c r="AC7">
        <v>3.7821287948876199</v>
      </c>
      <c r="AD7">
        <v>1.9703319175132301E-2</v>
      </c>
      <c r="AE7">
        <v>6.7457724162969397</v>
      </c>
    </row>
    <row r="8" spans="1:35" x14ac:dyDescent="0.2">
      <c r="A8">
        <v>7</v>
      </c>
      <c r="B8">
        <v>745</v>
      </c>
      <c r="C8">
        <v>275</v>
      </c>
      <c r="D8">
        <v>0.29360163040809401</v>
      </c>
      <c r="E8">
        <v>99.032916973117295</v>
      </c>
      <c r="F8">
        <v>2.1910958248658798</v>
      </c>
      <c r="G8">
        <v>-1619.9738922331119</v>
      </c>
      <c r="H8">
        <v>-1353.446559998026</v>
      </c>
      <c r="I8">
        <v>261.77609609103303</v>
      </c>
      <c r="J8">
        <v>134.808528743783</v>
      </c>
      <c r="K8">
        <v>45.197894062519602</v>
      </c>
      <c r="L8">
        <v>1.6525200965213096E-4</v>
      </c>
      <c r="M8">
        <v>1.8114979181628666E-5</v>
      </c>
      <c r="N8" s="1">
        <v>3.8196900005084004E-6</v>
      </c>
      <c r="O8" s="1">
        <v>1.0214976390906499E-7</v>
      </c>
      <c r="P8" s="1">
        <v>-5.2808517333708002E-7</v>
      </c>
      <c r="Q8">
        <v>71.425685471377506</v>
      </c>
      <c r="R8">
        <v>8.0781221481865506E-2</v>
      </c>
      <c r="S8">
        <v>12.332214838613</v>
      </c>
      <c r="T8">
        <v>0.186990314573836</v>
      </c>
      <c r="V8">
        <v>0.44049720428702799</v>
      </c>
      <c r="W8">
        <v>4.0390610740924503E-2</v>
      </c>
      <c r="X8">
        <v>3.02929580557088E-2</v>
      </c>
      <c r="AA8">
        <v>0.52423311494783398</v>
      </c>
      <c r="AB8">
        <v>4.3440978017282399</v>
      </c>
      <c r="AC8">
        <v>3.8512319860077402</v>
      </c>
      <c r="AD8">
        <v>2.0195305370453599E-2</v>
      </c>
      <c r="AE8">
        <v>6.7233891728157102</v>
      </c>
    </row>
    <row r="9" spans="1:35" x14ac:dyDescent="0.2">
      <c r="A9">
        <v>8</v>
      </c>
      <c r="B9">
        <v>744</v>
      </c>
      <c r="C9">
        <v>275</v>
      </c>
      <c r="D9">
        <v>0.29283832276459099</v>
      </c>
      <c r="E9">
        <v>96.463831520165201</v>
      </c>
      <c r="F9">
        <v>2.1922605758246099</v>
      </c>
      <c r="G9">
        <v>-1577.0441877504104</v>
      </c>
      <c r="H9">
        <v>-1318.0045470724442</v>
      </c>
      <c r="I9">
        <v>254.67201561025001</v>
      </c>
      <c r="J9">
        <v>131.25313463928501</v>
      </c>
      <c r="K9">
        <v>44.001991635451702</v>
      </c>
      <c r="L9">
        <v>1.6486916787898908E-4</v>
      </c>
      <c r="M9">
        <v>1.8070653379648096E-5</v>
      </c>
      <c r="N9" s="1">
        <v>3.7116139169122098E-6</v>
      </c>
      <c r="O9" s="1">
        <v>9.9089476977252498E-8</v>
      </c>
      <c r="P9" s="1">
        <v>-5.1290989353860103E-7</v>
      </c>
      <c r="Q9">
        <v>71.402366864452603</v>
      </c>
      <c r="R9">
        <v>8.2932637797289405E-2</v>
      </c>
      <c r="S9">
        <v>12.3327441846296</v>
      </c>
      <c r="T9">
        <v>0.192349498331229</v>
      </c>
      <c r="V9">
        <v>0.451887648584891</v>
      </c>
      <c r="W9">
        <v>4.1466318898635897E-2</v>
      </c>
      <c r="X9">
        <v>3.1099739173993401E-2</v>
      </c>
      <c r="AA9">
        <v>0.508016169948591</v>
      </c>
      <c r="AB9">
        <v>4.3142551752313603</v>
      </c>
      <c r="AC9">
        <v>3.9227407791062299</v>
      </c>
      <c r="AD9">
        <v>2.0733159449308598E-2</v>
      </c>
      <c r="AE9">
        <v>6.6994078243962196</v>
      </c>
    </row>
    <row r="10" spans="1:35" x14ac:dyDescent="0.2">
      <c r="A10">
        <v>9</v>
      </c>
      <c r="B10">
        <v>743</v>
      </c>
      <c r="C10">
        <v>275</v>
      </c>
      <c r="D10">
        <v>0.29207351276878402</v>
      </c>
      <c r="E10">
        <v>93.7696519774519</v>
      </c>
      <c r="F10">
        <v>2.1935021536093302</v>
      </c>
      <c r="G10">
        <v>-1532.0808503240883</v>
      </c>
      <c r="H10">
        <v>-1280.847711281514</v>
      </c>
      <c r="I10">
        <v>247.24020965661899</v>
      </c>
      <c r="J10">
        <v>127.52794430081801</v>
      </c>
      <c r="K10">
        <v>42.748830596385297</v>
      </c>
      <c r="L10">
        <v>1.6446004393957776E-4</v>
      </c>
      <c r="M10">
        <v>1.8024144400738036E-5</v>
      </c>
      <c r="N10" s="1">
        <v>3.5982777576800599E-6</v>
      </c>
      <c r="O10" s="1">
        <v>9.5900966036272004E-8</v>
      </c>
      <c r="P10" s="1">
        <v>-4.9701840728044703E-7</v>
      </c>
      <c r="Q10">
        <v>71.378599796041001</v>
      </c>
      <c r="R10">
        <v>8.5315449415602596E-2</v>
      </c>
      <c r="S10">
        <v>12.332806671833801</v>
      </c>
      <c r="T10">
        <v>0.19825899862525401</v>
      </c>
      <c r="V10">
        <v>0.46452666651081498</v>
      </c>
      <c r="W10">
        <v>4.2657724707787101E-2</v>
      </c>
      <c r="X10">
        <v>3.1993293530866898E-2</v>
      </c>
      <c r="AA10">
        <v>0.49322154809481</v>
      </c>
      <c r="AB10">
        <v>4.2808045599454596</v>
      </c>
      <c r="AC10">
        <v>3.99674287764666</v>
      </c>
      <c r="AD10">
        <v>2.1328862353879E-2</v>
      </c>
      <c r="AE10">
        <v>6.6737435512939198</v>
      </c>
    </row>
    <row r="11" spans="1:35" x14ac:dyDescent="0.2">
      <c r="A11">
        <v>10</v>
      </c>
      <c r="B11">
        <v>742</v>
      </c>
      <c r="C11">
        <v>275</v>
      </c>
      <c r="D11">
        <v>0.291307195980888</v>
      </c>
      <c r="E11">
        <v>90.904486847423399</v>
      </c>
      <c r="F11">
        <v>2.1948319925964799</v>
      </c>
      <c r="G11">
        <v>-1484.3347164813965</v>
      </c>
      <c r="H11">
        <v>-1241.3468984124725</v>
      </c>
      <c r="I11">
        <v>239.36149147310601</v>
      </c>
      <c r="J11">
        <v>123.570937923838</v>
      </c>
      <c r="K11">
        <v>41.417514941489202</v>
      </c>
      <c r="L11">
        <v>1.6402381912903528E-4</v>
      </c>
      <c r="M11">
        <v>1.7975344522697961E-5</v>
      </c>
      <c r="N11" s="1">
        <v>3.4779914435747698E-6</v>
      </c>
      <c r="O11" s="1">
        <v>9.2539888000429906E-8</v>
      </c>
      <c r="P11" s="1">
        <v>-4.8017844884855404E-7</v>
      </c>
      <c r="Q11">
        <v>71.353932727342695</v>
      </c>
      <c r="R11">
        <v>8.8004456957426896E-2</v>
      </c>
      <c r="S11">
        <v>12.332302113141999</v>
      </c>
      <c r="T11">
        <v>0.20489326001385499</v>
      </c>
      <c r="V11">
        <v>0.47882097531915002</v>
      </c>
      <c r="W11">
        <v>4.4002228478697301E-2</v>
      </c>
      <c r="X11">
        <v>3.3001671359052798E-2</v>
      </c>
      <c r="AA11">
        <v>0.479995869445282</v>
      </c>
      <c r="AB11">
        <v>4.24344650457454</v>
      </c>
      <c r="AC11">
        <v>4.0732996168814797</v>
      </c>
      <c r="AD11">
        <v>2.2001114239332702E-2</v>
      </c>
      <c r="AE11">
        <v>6.6462994622463603</v>
      </c>
    </row>
    <row r="12" spans="1:35" x14ac:dyDescent="0.2">
      <c r="A12">
        <v>11</v>
      </c>
      <c r="B12">
        <v>741</v>
      </c>
      <c r="C12">
        <v>275</v>
      </c>
      <c r="D12">
        <v>0.29053936794360102</v>
      </c>
      <c r="E12">
        <v>87.788010429471001</v>
      </c>
      <c r="F12">
        <v>2.1962685229388099</v>
      </c>
      <c r="G12">
        <v>-1432.4938913234273</v>
      </c>
      <c r="H12">
        <v>-1198.4008524609064</v>
      </c>
      <c r="I12">
        <v>230.82683908940501</v>
      </c>
      <c r="J12">
        <v>119.273494822781</v>
      </c>
      <c r="K12">
        <v>39.971437696517199</v>
      </c>
      <c r="L12">
        <v>1.6355997318607114E-4</v>
      </c>
      <c r="M12">
        <v>1.7924141729592373E-5</v>
      </c>
      <c r="N12" s="1">
        <v>3.3477802146593101E-6</v>
      </c>
      <c r="O12" s="1">
        <v>8.8928046168875403E-8</v>
      </c>
      <c r="P12" s="1">
        <v>-4.6198036778922699E-7</v>
      </c>
      <c r="Q12">
        <v>71.327551193357905</v>
      </c>
      <c r="R12">
        <v>9.1128617232172096E-2</v>
      </c>
      <c r="S12">
        <v>12.3310727120196</v>
      </c>
      <c r="T12">
        <v>0.212552177101237</v>
      </c>
      <c r="V12">
        <v>0.49547252249017398</v>
      </c>
      <c r="W12">
        <v>4.5564308616067299E-2</v>
      </c>
      <c r="X12">
        <v>3.41732314620855E-2</v>
      </c>
      <c r="AA12">
        <v>0.46859770951649499</v>
      </c>
      <c r="AB12">
        <v>4.2017448101877202</v>
      </c>
      <c r="AC12">
        <v>4.1523991036332699</v>
      </c>
      <c r="AD12">
        <v>2.2782154308014502E-2</v>
      </c>
      <c r="AE12">
        <v>6.6169614600750997</v>
      </c>
    </row>
    <row r="13" spans="1:35" x14ac:dyDescent="0.2">
      <c r="A13">
        <v>12</v>
      </c>
      <c r="B13">
        <v>740</v>
      </c>
      <c r="C13">
        <v>275</v>
      </c>
      <c r="D13">
        <v>0.28977002418201098</v>
      </c>
      <c r="E13">
        <v>84.259071588337406</v>
      </c>
      <c r="F13">
        <v>2.1978459974037299</v>
      </c>
      <c r="G13">
        <v>-1373.9256082773413</v>
      </c>
      <c r="H13">
        <v>-1149.8002410796387</v>
      </c>
      <c r="I13">
        <v>221.216371907123</v>
      </c>
      <c r="J13">
        <v>114.417622912471</v>
      </c>
      <c r="K13">
        <v>38.337113559307902</v>
      </c>
      <c r="L13">
        <v>1.6306924038518391E-4</v>
      </c>
      <c r="M13">
        <v>1.7870459246936703E-5</v>
      </c>
      <c r="N13" s="1">
        <v>3.2016573369888699E-6</v>
      </c>
      <c r="O13" s="1">
        <v>8.4907820498152296E-8</v>
      </c>
      <c r="P13" s="1">
        <v>-4.4159848315384499E-7</v>
      </c>
      <c r="Q13">
        <v>71.297751438490494</v>
      </c>
      <c r="R13">
        <v>9.4945266416970805E-2</v>
      </c>
      <c r="S13">
        <v>12.328838603334599</v>
      </c>
      <c r="T13">
        <v>0.22183258080582</v>
      </c>
      <c r="V13">
        <v>0.51588351338878102</v>
      </c>
      <c r="W13">
        <v>4.7472633208463899E-2</v>
      </c>
      <c r="X13">
        <v>3.5604474906387802E-2</v>
      </c>
      <c r="AA13">
        <v>0.45955657433296399</v>
      </c>
      <c r="AB13">
        <v>4.1549911921541502</v>
      </c>
      <c r="AC13">
        <v>4.2337807911319203</v>
      </c>
      <c r="AD13">
        <v>2.3736316604209998E-2</v>
      </c>
      <c r="AE13">
        <v>6.5856066152251698</v>
      </c>
    </row>
    <row r="14" spans="1:35" x14ac:dyDescent="0.2">
      <c r="A14">
        <v>13</v>
      </c>
      <c r="B14">
        <v>739</v>
      </c>
      <c r="C14">
        <v>275</v>
      </c>
      <c r="D14">
        <v>0.28899916020352701</v>
      </c>
      <c r="E14">
        <v>68.039820091325495</v>
      </c>
      <c r="F14">
        <v>2.20047785782265</v>
      </c>
      <c r="G14">
        <v>-1107.9860483844477</v>
      </c>
      <c r="H14">
        <v>-927.23623878643343</v>
      </c>
      <c r="I14">
        <v>178.58006184657799</v>
      </c>
      <c r="J14">
        <v>92.405818659417406</v>
      </c>
      <c r="K14">
        <v>30.920474772988602</v>
      </c>
      <c r="L14">
        <v>1.6344923279366889E-4</v>
      </c>
      <c r="M14">
        <v>1.7875719027940064E-5</v>
      </c>
      <c r="N14" s="1">
        <v>2.5911239797713001E-6</v>
      </c>
      <c r="O14" s="1">
        <v>6.8574959713261603E-8</v>
      </c>
      <c r="P14" s="1">
        <v>-3.5711582370837498E-7</v>
      </c>
      <c r="Q14">
        <v>71.114585050494796</v>
      </c>
      <c r="R14">
        <v>0.117578206251336</v>
      </c>
      <c r="S14">
        <v>12.3111911921158</v>
      </c>
      <c r="T14">
        <v>0.27450871295444601</v>
      </c>
      <c r="V14">
        <v>0.63904282346656005</v>
      </c>
      <c r="W14">
        <v>5.8789103125632798E-2</v>
      </c>
      <c r="X14">
        <v>4.4091827344289299E-2</v>
      </c>
      <c r="AA14">
        <v>0.457827728268075</v>
      </c>
      <c r="AB14">
        <v>4.1520370161078004</v>
      </c>
      <c r="AC14">
        <v>4.2082441579518504</v>
      </c>
      <c r="AD14">
        <v>2.9394551562785101E-2</v>
      </c>
      <c r="AE14">
        <v>6.5927096303564401</v>
      </c>
    </row>
    <row r="15" spans="1:35" x14ac:dyDescent="0.2">
      <c r="A15">
        <v>14</v>
      </c>
      <c r="B15">
        <v>738</v>
      </c>
      <c r="C15">
        <v>275</v>
      </c>
      <c r="D15">
        <v>0.28822677149780002</v>
      </c>
      <c r="E15">
        <v>30.001244840946999</v>
      </c>
      <c r="F15">
        <v>2.2018654593619602</v>
      </c>
      <c r="G15">
        <v>-488.42149985532819</v>
      </c>
      <c r="H15">
        <v>-408.80039633692724</v>
      </c>
      <c r="I15">
        <v>78.743117755427903</v>
      </c>
      <c r="J15">
        <v>40.784628145434297</v>
      </c>
      <c r="K15">
        <v>13.625376025309199</v>
      </c>
      <c r="L15">
        <v>1.6391578096677694E-4</v>
      </c>
      <c r="M15">
        <v>1.7898472968961515E-5</v>
      </c>
      <c r="N15" s="1">
        <v>1.14775601150635E-6</v>
      </c>
      <c r="O15" s="1">
        <v>3.03067521755073E-8</v>
      </c>
      <c r="P15" s="1">
        <v>-1.5797953468590501E-7</v>
      </c>
      <c r="Q15">
        <v>70.907877456137399</v>
      </c>
      <c r="R15">
        <v>0.12675723360248101</v>
      </c>
      <c r="S15">
        <v>12.3741399867263</v>
      </c>
      <c r="T15">
        <v>0.27007280827612201</v>
      </c>
      <c r="V15">
        <v>0.62878152392423403</v>
      </c>
      <c r="W15">
        <v>0.133081215233152</v>
      </c>
      <c r="X15">
        <v>8.9690197416562006E-2</v>
      </c>
      <c r="AA15">
        <v>0.48547198521242702</v>
      </c>
      <c r="AB15">
        <v>4.1189225710763404</v>
      </c>
      <c r="AC15">
        <v>4.1832175800352998</v>
      </c>
      <c r="AD15">
        <v>6.6663900468069595E-2</v>
      </c>
      <c r="AE15">
        <v>6.6153235418914704</v>
      </c>
    </row>
    <row r="16" spans="1:35" x14ac:dyDescent="0.2">
      <c r="A16">
        <v>15</v>
      </c>
      <c r="B16">
        <v>737</v>
      </c>
      <c r="C16">
        <v>275</v>
      </c>
      <c r="D16">
        <v>0.28745285353660599</v>
      </c>
      <c r="E16">
        <v>18.4457808436254</v>
      </c>
      <c r="F16">
        <v>2.2038055650085102</v>
      </c>
      <c r="G16">
        <v>-300.16875775168489</v>
      </c>
      <c r="H16">
        <v>-251.28579829382218</v>
      </c>
      <c r="I16">
        <v>48.391782861815201</v>
      </c>
      <c r="J16">
        <v>25.098250455143301</v>
      </c>
      <c r="K16">
        <v>8.3699674492627896</v>
      </c>
      <c r="L16">
        <v>1.6421129291501965E-4</v>
      </c>
      <c r="M16">
        <v>1.7908601716281847E-5</v>
      </c>
      <c r="N16" s="1">
        <v>7.0789949484366398E-7</v>
      </c>
      <c r="O16" s="1">
        <v>1.8651246559160699E-8</v>
      </c>
      <c r="P16" s="1">
        <v>-9.7294134111237602E-8</v>
      </c>
      <c r="Q16">
        <v>70.683777120576707</v>
      </c>
      <c r="R16">
        <v>0.123540794627401</v>
      </c>
      <c r="S16">
        <v>12.4488057055912</v>
      </c>
      <c r="T16">
        <v>0.268373669850337</v>
      </c>
      <c r="V16">
        <v>0.62536698811783298</v>
      </c>
      <c r="W16">
        <v>0.215630900557403</v>
      </c>
      <c r="X16">
        <v>0.13488516115445601</v>
      </c>
      <c r="AA16">
        <v>0.53899637837828296</v>
      </c>
      <c r="AB16">
        <v>4.0451855482145698</v>
      </c>
      <c r="AC16">
        <v>4.1784731749710904</v>
      </c>
      <c r="AD16">
        <v>0.108425878901498</v>
      </c>
      <c r="AE16">
        <v>6.6285386790591598</v>
      </c>
    </row>
    <row r="17" spans="1:31" x14ac:dyDescent="0.2">
      <c r="A17">
        <v>16</v>
      </c>
      <c r="B17">
        <v>736</v>
      </c>
      <c r="C17">
        <v>275</v>
      </c>
      <c r="D17">
        <v>0.28667740177377199</v>
      </c>
      <c r="E17">
        <v>12.2631940440174</v>
      </c>
      <c r="F17">
        <v>2.2057265836992999</v>
      </c>
      <c r="G17">
        <v>-199.44520370094213</v>
      </c>
      <c r="H17">
        <v>-166.99021013749373</v>
      </c>
      <c r="I17">
        <v>32.160722948469903</v>
      </c>
      <c r="J17">
        <v>16.6997041025184</v>
      </c>
      <c r="K17">
        <v>5.5597072341805696</v>
      </c>
      <c r="L17">
        <v>1.6466370330963241E-4</v>
      </c>
      <c r="M17">
        <v>1.7934314868761569E-5</v>
      </c>
      <c r="N17" s="1">
        <v>4.7277312959973801E-7</v>
      </c>
      <c r="O17" s="1">
        <v>1.24279827734196E-8</v>
      </c>
      <c r="P17" s="1">
        <v>-6.4880816789794303E-8</v>
      </c>
      <c r="Q17">
        <v>70.406669911620398</v>
      </c>
      <c r="R17">
        <v>0.122105661380762</v>
      </c>
      <c r="S17">
        <v>12.5611091635117</v>
      </c>
      <c r="T17">
        <v>0.26719760375785601</v>
      </c>
      <c r="V17">
        <v>0.62343750163539402</v>
      </c>
      <c r="W17">
        <v>0.32256244911079301</v>
      </c>
      <c r="X17">
        <v>0.13898723919841299</v>
      </c>
      <c r="AA17">
        <v>0.60565458281756901</v>
      </c>
      <c r="AB17">
        <v>3.96113081475916</v>
      </c>
      <c r="AC17">
        <v>4.1769253808198004</v>
      </c>
      <c r="AD17">
        <v>0.163089647999901</v>
      </c>
      <c r="AE17">
        <v>6.6511300433881901</v>
      </c>
    </row>
    <row r="18" spans="1:31" x14ac:dyDescent="0.2">
      <c r="A18">
        <v>17</v>
      </c>
      <c r="B18">
        <v>735</v>
      </c>
      <c r="C18">
        <v>275</v>
      </c>
      <c r="D18">
        <v>0.285900411645091</v>
      </c>
      <c r="E18">
        <v>9.1385924734055504</v>
      </c>
      <c r="F18">
        <v>2.2076164637118398</v>
      </c>
      <c r="G18">
        <v>-148.54143487484077</v>
      </c>
      <c r="H18">
        <v>-124.38804741405248</v>
      </c>
      <c r="I18">
        <v>23.9581287117872</v>
      </c>
      <c r="J18">
        <v>12.454968025215299</v>
      </c>
      <c r="K18">
        <v>4.13957434347091</v>
      </c>
      <c r="L18">
        <v>1.6513980083497485E-4</v>
      </c>
      <c r="M18">
        <v>1.7962104880332265E-5</v>
      </c>
      <c r="N18" s="1">
        <v>3.53989049207466E-7</v>
      </c>
      <c r="O18" s="1">
        <v>9.2842072212556901E-9</v>
      </c>
      <c r="P18" s="1">
        <v>-4.8507418607385297E-8</v>
      </c>
      <c r="Q18">
        <v>70.125075530975195</v>
      </c>
      <c r="R18">
        <v>0.120970400120154</v>
      </c>
      <c r="S18">
        <v>12.676876286154799</v>
      </c>
      <c r="T18">
        <v>0.26602662290381901</v>
      </c>
      <c r="V18">
        <v>0.62149847131342095</v>
      </c>
      <c r="W18">
        <v>0.430624540760074</v>
      </c>
      <c r="X18">
        <v>0.138769540762781</v>
      </c>
      <c r="AA18">
        <v>0.67326703674399302</v>
      </c>
      <c r="AB18">
        <v>3.8778783902642</v>
      </c>
      <c r="AC18">
        <v>4.1750214401399797</v>
      </c>
      <c r="AD18">
        <v>0.21885208316410901</v>
      </c>
      <c r="AE18">
        <v>6.6751396566973904</v>
      </c>
    </row>
    <row r="19" spans="1:31" x14ac:dyDescent="0.2">
      <c r="A19">
        <v>18</v>
      </c>
      <c r="B19">
        <v>755</v>
      </c>
      <c r="C19">
        <v>250</v>
      </c>
      <c r="D19">
        <v>0.32790011185138401</v>
      </c>
      <c r="E19">
        <v>105.393505623134</v>
      </c>
      <c r="F19">
        <v>2.1870906974159099</v>
      </c>
      <c r="G19">
        <v>-1727.4173901659854</v>
      </c>
      <c r="H19">
        <v>-1441.8212966919132</v>
      </c>
      <c r="I19">
        <v>277.77667993393197</v>
      </c>
      <c r="J19">
        <v>143.22895255619599</v>
      </c>
      <c r="K19">
        <v>48.188904898940898</v>
      </c>
      <c r="L19">
        <v>1.6147483293644187E-4</v>
      </c>
      <c r="M19">
        <v>1.8219170095431947E-5</v>
      </c>
      <c r="N19" s="1">
        <v>3.8355063716831298E-6</v>
      </c>
      <c r="O19" s="1">
        <v>1.0636427786017299E-7</v>
      </c>
      <c r="P19" s="1">
        <v>-5.4724117669886497E-7</v>
      </c>
      <c r="Q19">
        <v>71.9494048060007</v>
      </c>
      <c r="R19">
        <v>7.5906005334013593E-2</v>
      </c>
      <c r="S19">
        <v>12.2967728641107</v>
      </c>
      <c r="T19">
        <v>0.174689790309805</v>
      </c>
      <c r="V19">
        <v>0.41482657574036802</v>
      </c>
      <c r="W19">
        <v>3.7953002667006498E-2</v>
      </c>
      <c r="X19">
        <v>2.84647520002555E-2</v>
      </c>
      <c r="AA19">
        <v>0.56929504000510101</v>
      </c>
      <c r="AB19">
        <v>4.39306005870601</v>
      </c>
      <c r="AC19">
        <v>3.67195300803286</v>
      </c>
      <c r="AD19">
        <v>1.8976501333502899E-2</v>
      </c>
      <c r="AE19">
        <v>6.3686975957596301</v>
      </c>
    </row>
    <row r="20" spans="1:31" x14ac:dyDescent="0.2">
      <c r="A20">
        <v>19</v>
      </c>
      <c r="B20">
        <v>754</v>
      </c>
      <c r="C20">
        <v>250</v>
      </c>
      <c r="D20">
        <v>0.32717762741566497</v>
      </c>
      <c r="E20">
        <v>105.280008936242</v>
      </c>
      <c r="F20">
        <v>2.1874772723715901</v>
      </c>
      <c r="G20">
        <v>-1725.2427384249133</v>
      </c>
      <c r="H20">
        <v>-1440.4033223548579</v>
      </c>
      <c r="I20">
        <v>277.31043768685697</v>
      </c>
      <c r="J20">
        <v>143.04912133271301</v>
      </c>
      <c r="K20">
        <v>48.128504129371599</v>
      </c>
      <c r="L20">
        <v>1.6135770676869028E-4</v>
      </c>
      <c r="M20">
        <v>1.8207092341175224E-5</v>
      </c>
      <c r="N20" s="1">
        <v>3.8340861310762601E-6</v>
      </c>
      <c r="O20" s="1">
        <v>1.06119871801663E-7</v>
      </c>
      <c r="P20" s="1">
        <v>-5.4622161670130804E-7</v>
      </c>
      <c r="Q20">
        <v>71.963064212667007</v>
      </c>
      <c r="R20">
        <v>7.5987835495386596E-2</v>
      </c>
      <c r="S20">
        <v>12.288882037712501</v>
      </c>
      <c r="T20">
        <v>0.175142212430067</v>
      </c>
      <c r="V20">
        <v>0.41503613911048998</v>
      </c>
      <c r="W20">
        <v>3.7993917747692597E-2</v>
      </c>
      <c r="X20">
        <v>2.8495438310770799E-2</v>
      </c>
      <c r="AA20">
        <v>0.56737345838534803</v>
      </c>
      <c r="AB20">
        <v>4.3885980082504101</v>
      </c>
      <c r="AC20">
        <v>3.6746123555924002</v>
      </c>
      <c r="AD20">
        <v>1.8996958873845601E-2</v>
      </c>
      <c r="AE20">
        <v>6.3658174254239297</v>
      </c>
    </row>
    <row r="21" spans="1:31" x14ac:dyDescent="0.2">
      <c r="A21">
        <v>20</v>
      </c>
      <c r="B21">
        <v>753</v>
      </c>
      <c r="C21">
        <v>250</v>
      </c>
      <c r="D21">
        <v>0.32645373483409301</v>
      </c>
      <c r="E21">
        <v>104.72725718580899</v>
      </c>
      <c r="F21">
        <v>2.1879618283643798</v>
      </c>
      <c r="G21">
        <v>-1715.7363314778966</v>
      </c>
      <c r="H21">
        <v>-1432.9413585684651</v>
      </c>
      <c r="I21">
        <v>275.588337874025</v>
      </c>
      <c r="J21">
        <v>142.229074223233</v>
      </c>
      <c r="K21">
        <v>47.865212193440698</v>
      </c>
      <c r="L21">
        <v>1.6101310909567948E-4</v>
      </c>
      <c r="M21">
        <v>1.8182357962611934E-5</v>
      </c>
      <c r="N21" s="1">
        <v>3.8106334522517498E-6</v>
      </c>
      <c r="O21" s="1">
        <v>1.05279066985604E-7</v>
      </c>
      <c r="P21" s="1">
        <v>-5.4183621784224205E-7</v>
      </c>
      <c r="Q21">
        <v>72.028955365663805</v>
      </c>
      <c r="R21">
        <v>7.6388900224955494E-2</v>
      </c>
      <c r="S21">
        <v>12.250230750834699</v>
      </c>
      <c r="T21">
        <v>0.17628170158916201</v>
      </c>
      <c r="V21">
        <v>0.41703316783334898</v>
      </c>
      <c r="W21">
        <v>3.8194450112476602E-2</v>
      </c>
      <c r="X21">
        <v>2.8645837584359599E-2</v>
      </c>
      <c r="AA21">
        <v>0.558220929634614</v>
      </c>
      <c r="AB21">
        <v>4.3665533295951198</v>
      </c>
      <c r="AC21">
        <v>3.6874881844560701</v>
      </c>
      <c r="AD21">
        <v>1.9097225056237101E-2</v>
      </c>
      <c r="AE21">
        <v>6.35291015741499</v>
      </c>
    </row>
    <row r="22" spans="1:31" x14ac:dyDescent="0.2">
      <c r="A22">
        <v>21</v>
      </c>
      <c r="B22">
        <v>752</v>
      </c>
      <c r="C22">
        <v>250</v>
      </c>
      <c r="D22">
        <v>0.32572842998585799</v>
      </c>
      <c r="E22">
        <v>103.527285940791</v>
      </c>
      <c r="F22">
        <v>2.1886259590806101</v>
      </c>
      <c r="G22">
        <v>-1695.479386771394</v>
      </c>
      <c r="H22">
        <v>-1416.4778216717057</v>
      </c>
      <c r="I22">
        <v>272.15682105027298</v>
      </c>
      <c r="J22">
        <v>140.53630770503</v>
      </c>
      <c r="K22">
        <v>47.302411593564699</v>
      </c>
      <c r="L22">
        <v>1.6068288796959769E-4</v>
      </c>
      <c r="M22">
        <v>1.8152660235760308E-5</v>
      </c>
      <c r="N22" s="1">
        <v>3.7624011233998801E-6</v>
      </c>
      <c r="O22" s="1">
        <v>1.03761248729449E-7</v>
      </c>
      <c r="P22" s="1">
        <v>-5.3423503432605997E-7</v>
      </c>
      <c r="Q22">
        <v>72.062635725076802</v>
      </c>
      <c r="R22">
        <v>7.7274313986898394E-2</v>
      </c>
      <c r="S22">
        <v>12.2259090120975</v>
      </c>
      <c r="T22">
        <v>0.178592530039936</v>
      </c>
      <c r="V22">
        <v>0.42162618211029301</v>
      </c>
      <c r="W22">
        <v>3.86371569934474E-2</v>
      </c>
      <c r="X22">
        <v>2.8977867745088801E-2</v>
      </c>
      <c r="AA22">
        <v>0.54596494267785101</v>
      </c>
      <c r="AB22">
        <v>4.3440724357611398</v>
      </c>
      <c r="AC22">
        <v>3.7191237430200901</v>
      </c>
      <c r="AD22">
        <v>1.93185784967221E-2</v>
      </c>
      <c r="AE22">
        <v>6.3378675119940997</v>
      </c>
    </row>
    <row r="23" spans="1:31" x14ac:dyDescent="0.2">
      <c r="A23">
        <v>22</v>
      </c>
      <c r="B23">
        <v>751</v>
      </c>
      <c r="C23">
        <v>250</v>
      </c>
      <c r="D23">
        <v>0.32500170873407402</v>
      </c>
      <c r="E23">
        <v>101.129049390388</v>
      </c>
      <c r="F23">
        <v>2.1896420535586398</v>
      </c>
      <c r="G23">
        <v>-1655.3299848862596</v>
      </c>
      <c r="H23">
        <v>-1383.3561123117556</v>
      </c>
      <c r="I23">
        <v>265.56058445979897</v>
      </c>
      <c r="J23">
        <v>137.227200937221</v>
      </c>
      <c r="K23">
        <v>46.185196902859701</v>
      </c>
      <c r="L23">
        <v>1.6037031381709811E-4</v>
      </c>
      <c r="M23">
        <v>1.8113123493956761E-5</v>
      </c>
      <c r="N23" s="1">
        <v>3.6681951009978E-6</v>
      </c>
      <c r="O23" s="1">
        <v>1.00989836390524E-7</v>
      </c>
      <c r="P23" s="1">
        <v>-5.2064514137035096E-7</v>
      </c>
      <c r="Q23">
        <v>72.037578070521107</v>
      </c>
      <c r="R23">
        <v>7.9106844652695393E-2</v>
      </c>
      <c r="S23">
        <v>12.2274836344631</v>
      </c>
      <c r="T23">
        <v>0.18319195013074799</v>
      </c>
      <c r="V23">
        <v>0.43129720367074398</v>
      </c>
      <c r="W23">
        <v>3.95534223263449E-2</v>
      </c>
      <c r="X23">
        <v>2.9665066744764001E-2</v>
      </c>
      <c r="AA23">
        <v>0.52844995936669403</v>
      </c>
      <c r="AB23">
        <v>4.3195240830990302</v>
      </c>
      <c r="AC23">
        <v>3.78596610433098</v>
      </c>
      <c r="AD23">
        <v>1.9776711163169699E-2</v>
      </c>
      <c r="AE23">
        <v>6.3184069495305</v>
      </c>
    </row>
    <row r="24" spans="1:31" x14ac:dyDescent="0.2">
      <c r="A24">
        <v>23</v>
      </c>
      <c r="B24">
        <v>750</v>
      </c>
      <c r="C24">
        <v>250</v>
      </c>
      <c r="D24">
        <v>0.324273566925672</v>
      </c>
      <c r="E24">
        <v>98.666138538254202</v>
      </c>
      <c r="F24">
        <v>2.1907147737108499</v>
      </c>
      <c r="G24">
        <v>-1614.1358167974895</v>
      </c>
      <c r="H24">
        <v>-1349.3480374024252</v>
      </c>
      <c r="I24">
        <v>258.79663724289099</v>
      </c>
      <c r="J24">
        <v>133.83068642833501</v>
      </c>
      <c r="K24">
        <v>45.038331654249703</v>
      </c>
      <c r="L24">
        <v>1.6003718280141027E-4</v>
      </c>
      <c r="M24">
        <v>1.8071845659945767E-5</v>
      </c>
      <c r="N24" s="1">
        <v>3.5712457412594102E-6</v>
      </c>
      <c r="O24" s="1">
        <v>9.8153709116470203E-8</v>
      </c>
      <c r="P24" s="1">
        <v>-5.0667432069131798E-7</v>
      </c>
      <c r="Q24">
        <v>72.012263651319202</v>
      </c>
      <c r="R24">
        <v>8.1081515082286199E-2</v>
      </c>
      <c r="S24">
        <v>12.228799848345099</v>
      </c>
      <c r="T24">
        <v>0.188133600713351</v>
      </c>
      <c r="V24">
        <v>0.44173142285136502</v>
      </c>
      <c r="W24">
        <v>4.0540757541137201E-2</v>
      </c>
      <c r="X24">
        <v>3.0405568155863798E-2</v>
      </c>
      <c r="AA24">
        <v>0.51217511435582697</v>
      </c>
      <c r="AB24">
        <v>4.2919994732200504</v>
      </c>
      <c r="AC24">
        <v>3.8549057814385601</v>
      </c>
      <c r="AD24">
        <v>2.0270378770563102E-2</v>
      </c>
      <c r="AE24">
        <v>6.2976928882065497</v>
      </c>
    </row>
    <row r="25" spans="1:31" x14ac:dyDescent="0.2">
      <c r="A25">
        <v>24</v>
      </c>
      <c r="B25">
        <v>749</v>
      </c>
      <c r="C25">
        <v>250</v>
      </c>
      <c r="D25">
        <v>0.32354400039133302</v>
      </c>
      <c r="E25">
        <v>96.123329062284796</v>
      </c>
      <c r="F25">
        <v>2.1918486186255599</v>
      </c>
      <c r="G25">
        <v>-1571.6489457783468</v>
      </c>
      <c r="H25">
        <v>-1314.2448498929948</v>
      </c>
      <c r="I25">
        <v>251.82614673516699</v>
      </c>
      <c r="J25">
        <v>130.326334293494</v>
      </c>
      <c r="K25">
        <v>43.854912353646299</v>
      </c>
      <c r="L25">
        <v>1.5968304325263507E-4</v>
      </c>
      <c r="M25">
        <v>1.8028771555872724E-5</v>
      </c>
      <c r="N25" s="1">
        <v>3.4710466516282302E-6</v>
      </c>
      <c r="O25" s="1">
        <v>9.5239275237290803E-8</v>
      </c>
      <c r="P25" s="1">
        <v>-4.92251642954909E-7</v>
      </c>
      <c r="Q25">
        <v>71.986520334946704</v>
      </c>
      <c r="R25">
        <v>8.3226414212274197E-2</v>
      </c>
      <c r="S25">
        <v>12.229819750019599</v>
      </c>
      <c r="T25">
        <v>0.19348362889882301</v>
      </c>
      <c r="V25">
        <v>0.45308099306469801</v>
      </c>
      <c r="W25">
        <v>4.1613207106130298E-2</v>
      </c>
      <c r="X25">
        <v>3.1209905329609901E-2</v>
      </c>
      <c r="AA25">
        <v>0.49718991640475302</v>
      </c>
      <c r="AB25">
        <v>4.2613728667651696</v>
      </c>
      <c r="AC25">
        <v>3.9259950689820502</v>
      </c>
      <c r="AD25">
        <v>2.08066035530588E-2</v>
      </c>
      <c r="AE25">
        <v>6.2756813107170499</v>
      </c>
    </row>
    <row r="26" spans="1:31" x14ac:dyDescent="0.2">
      <c r="A26">
        <v>25</v>
      </c>
      <c r="B26">
        <v>748</v>
      </c>
      <c r="C26">
        <v>250</v>
      </c>
      <c r="D26">
        <v>0.32281300494540499</v>
      </c>
      <c r="E26">
        <v>93.478712964418193</v>
      </c>
      <c r="F26">
        <v>2.1930494881803502</v>
      </c>
      <c r="G26">
        <v>-1527.5123397155262</v>
      </c>
      <c r="H26">
        <v>-1277.7461452931234</v>
      </c>
      <c r="I26">
        <v>244.59305138559699</v>
      </c>
      <c r="J26">
        <v>126.684716163517</v>
      </c>
      <c r="K26">
        <v>42.624990210312397</v>
      </c>
      <c r="L26">
        <v>1.5930753937833317E-4</v>
      </c>
      <c r="M26">
        <v>1.7983847507751245E-5</v>
      </c>
      <c r="N26" s="1">
        <v>3.3668612635889701E-6</v>
      </c>
      <c r="O26" s="1">
        <v>9.2226716751103102E-8</v>
      </c>
      <c r="P26" s="1">
        <v>-4.7727356491305397E-7</v>
      </c>
      <c r="Q26">
        <v>71.960097636384603</v>
      </c>
      <c r="R26">
        <v>8.5580981448105095E-2</v>
      </c>
      <c r="S26">
        <v>12.230493588860201</v>
      </c>
      <c r="T26">
        <v>0.19933464861594599</v>
      </c>
      <c r="V26">
        <v>0.46555978773458001</v>
      </c>
      <c r="W26">
        <v>4.2790490724043E-2</v>
      </c>
      <c r="X26">
        <v>3.2092868043049297E-2</v>
      </c>
      <c r="AA26">
        <v>0.48356432588514098</v>
      </c>
      <c r="AB26">
        <v>4.2274944371773797</v>
      </c>
      <c r="AC26">
        <v>3.9992692336743199</v>
      </c>
      <c r="AD26">
        <v>2.1395245362012299E-2</v>
      </c>
      <c r="AE26">
        <v>6.2523267560905103</v>
      </c>
    </row>
    <row r="27" spans="1:31" x14ac:dyDescent="0.2">
      <c r="A27">
        <v>26</v>
      </c>
      <c r="B27">
        <v>747</v>
      </c>
      <c r="C27">
        <v>250</v>
      </c>
      <c r="D27">
        <v>0.32208057638582899</v>
      </c>
      <c r="E27">
        <v>90.698848392197604</v>
      </c>
      <c r="F27">
        <v>2.1943257141135502</v>
      </c>
      <c r="G27">
        <v>-1481.1805992720224</v>
      </c>
      <c r="H27">
        <v>-1239.3933194934405</v>
      </c>
      <c r="I27">
        <v>237.01149809202701</v>
      </c>
      <c r="J27">
        <v>122.860862545788</v>
      </c>
      <c r="K27">
        <v>41.333357125989501</v>
      </c>
      <c r="L27">
        <v>1.5891045728454477E-4</v>
      </c>
      <c r="M27">
        <v>1.7937021083221846E-5</v>
      </c>
      <c r="N27" s="1">
        <v>3.2575524434204201E-6</v>
      </c>
      <c r="O27" s="1">
        <v>8.9085378325242005E-8</v>
      </c>
      <c r="P27" s="1">
        <v>-4.6157976646541901E-7</v>
      </c>
      <c r="Q27">
        <v>71.932613115013098</v>
      </c>
      <c r="R27">
        <v>8.8203986509368296E-2</v>
      </c>
      <c r="S27">
        <v>12.2307514234704</v>
      </c>
      <c r="T27">
        <v>0.20582426658876701</v>
      </c>
      <c r="V27">
        <v>0.47948686513831101</v>
      </c>
      <c r="W27">
        <v>4.41019932546741E-2</v>
      </c>
      <c r="X27">
        <v>3.3076494941023597E-2</v>
      </c>
      <c r="AA27">
        <v>0.47140596412858898</v>
      </c>
      <c r="AB27">
        <v>4.19017016505566</v>
      </c>
      <c r="AC27">
        <v>4.0747345937508497</v>
      </c>
      <c r="AD27">
        <v>2.2050996627327402E-2</v>
      </c>
      <c r="AE27">
        <v>6.2275801355218903</v>
      </c>
    </row>
    <row r="28" spans="1:31" x14ac:dyDescent="0.2">
      <c r="A28">
        <v>27</v>
      </c>
      <c r="B28">
        <v>746</v>
      </c>
      <c r="C28">
        <v>250</v>
      </c>
      <c r="D28">
        <v>0.32134671049404001</v>
      </c>
      <c r="E28">
        <v>87.728970964635593</v>
      </c>
      <c r="F28">
        <v>2.1956901061840801</v>
      </c>
      <c r="G28">
        <v>-1431.7600093660662</v>
      </c>
      <c r="H28">
        <v>-1198.4352890758526</v>
      </c>
      <c r="I28">
        <v>228.94050953266299</v>
      </c>
      <c r="J28">
        <v>118.781064070632</v>
      </c>
      <c r="K28">
        <v>39.955078686901103</v>
      </c>
      <c r="L28">
        <v>1.5849187081357329E-4</v>
      </c>
      <c r="M28">
        <v>1.7888244884448805E-5</v>
      </c>
      <c r="N28" s="1">
        <v>3.1412399616550501E-6</v>
      </c>
      <c r="O28" s="1">
        <v>8.5764496845280104E-8</v>
      </c>
      <c r="P28" s="1">
        <v>-4.4490457626001502E-7</v>
      </c>
      <c r="Q28">
        <v>71.903439371853196</v>
      </c>
      <c r="R28">
        <v>9.11899445762967E-2</v>
      </c>
      <c r="S28">
        <v>12.230487360840799</v>
      </c>
      <c r="T28">
        <v>0.213173160282665</v>
      </c>
      <c r="V28">
        <v>0.49537590712023599</v>
      </c>
      <c r="W28">
        <v>4.5594972288137497E-2</v>
      </c>
      <c r="X28">
        <v>3.4196229216122601E-2</v>
      </c>
      <c r="AA28">
        <v>0.46089548650851198</v>
      </c>
      <c r="AB28">
        <v>4.1491260326134602</v>
      </c>
      <c r="AC28">
        <v>4.1523368999670396</v>
      </c>
      <c r="AD28">
        <v>2.2797486144058101E-2</v>
      </c>
      <c r="AE28">
        <v>6.2013871485892897</v>
      </c>
    </row>
    <row r="29" spans="1:31" x14ac:dyDescent="0.2">
      <c r="A29">
        <v>28</v>
      </c>
      <c r="B29">
        <v>745</v>
      </c>
      <c r="C29">
        <v>250</v>
      </c>
      <c r="D29">
        <v>0.32061140303491598</v>
      </c>
      <c r="E29">
        <v>84.470661997680807</v>
      </c>
      <c r="F29">
        <v>2.1971644955837699</v>
      </c>
      <c r="G29">
        <v>-1377.6437185828372</v>
      </c>
      <c r="H29">
        <v>-1153.5221868270214</v>
      </c>
      <c r="I29">
        <v>220.12624049090499</v>
      </c>
      <c r="J29">
        <v>114.31277341974</v>
      </c>
      <c r="K29">
        <v>38.445306287928901</v>
      </c>
      <c r="L29">
        <v>1.5805263775469641E-4</v>
      </c>
      <c r="M29">
        <v>1.783749850621698E-5</v>
      </c>
      <c r="N29" s="1">
        <v>3.0145225357745602E-6</v>
      </c>
      <c r="O29" s="1">
        <v>8.2172136621934597E-8</v>
      </c>
      <c r="P29" s="1">
        <v>-4.2676663377626601E-7</v>
      </c>
      <c r="Q29">
        <v>71.871432354390194</v>
      </c>
      <c r="R29">
        <v>9.4707438189847004E-2</v>
      </c>
      <c r="S29">
        <v>12.2295265647316</v>
      </c>
      <c r="T29">
        <v>0.221773891733202</v>
      </c>
      <c r="V29">
        <v>0.51414409056448096</v>
      </c>
      <c r="W29">
        <v>4.7353719094909902E-2</v>
      </c>
      <c r="X29">
        <v>3.5515289321206997E-2</v>
      </c>
      <c r="AA29">
        <v>0.45236830812045598</v>
      </c>
      <c r="AB29">
        <v>4.1039414892202597</v>
      </c>
      <c r="AC29">
        <v>4.2318665456803499</v>
      </c>
      <c r="AD29">
        <v>2.3676859547441201E-2</v>
      </c>
      <c r="AE29">
        <v>6.1736934494059401</v>
      </c>
    </row>
    <row r="30" spans="1:31" x14ac:dyDescent="0.2">
      <c r="A30">
        <v>29</v>
      </c>
      <c r="B30">
        <v>744</v>
      </c>
      <c r="C30">
        <v>250</v>
      </c>
      <c r="D30">
        <v>0.31987464975667701</v>
      </c>
      <c r="E30">
        <v>80.721075276932794</v>
      </c>
      <c r="F30">
        <v>2.1987916820582698</v>
      </c>
      <c r="G30">
        <v>-1315.5191643669589</v>
      </c>
      <c r="H30">
        <v>-1101.871910838762</v>
      </c>
      <c r="I30">
        <v>210.044982085431</v>
      </c>
      <c r="J30">
        <v>109.18273659299</v>
      </c>
      <c r="K30">
        <v>36.711561143150298</v>
      </c>
      <c r="L30">
        <v>1.5759632597115819E-4</v>
      </c>
      <c r="M30">
        <v>1.7784894918709448E-5</v>
      </c>
      <c r="N30" s="1">
        <v>2.87037138060193E-6</v>
      </c>
      <c r="O30" s="1">
        <v>7.8118114131728302E-8</v>
      </c>
      <c r="P30" s="1">
        <v>-4.0617005821166399E-7</v>
      </c>
      <c r="Q30">
        <v>71.834142459546399</v>
      </c>
      <c r="R30">
        <v>9.9106707542670494E-2</v>
      </c>
      <c r="S30">
        <v>12.227544829567901</v>
      </c>
      <c r="T30">
        <v>0.23243999273577401</v>
      </c>
      <c r="V30">
        <v>0.53769873940374602</v>
      </c>
      <c r="W30">
        <v>4.9553353771320002E-2</v>
      </c>
      <c r="X30">
        <v>3.7165015328517299E-2</v>
      </c>
      <c r="AA30">
        <v>0.44653984590083701</v>
      </c>
      <c r="AB30">
        <v>4.0539213859713197</v>
      </c>
      <c r="AC30">
        <v>4.3126215072476901</v>
      </c>
      <c r="AD30">
        <v>2.4776676885644701E-2</v>
      </c>
      <c r="AE30">
        <v>6.1444894860980304</v>
      </c>
    </row>
    <row r="31" spans="1:31" x14ac:dyDescent="0.2">
      <c r="A31">
        <v>30</v>
      </c>
      <c r="B31">
        <v>743</v>
      </c>
      <c r="C31">
        <v>250</v>
      </c>
      <c r="D31">
        <v>0.31913644639078897</v>
      </c>
      <c r="E31">
        <v>65.6926782789035</v>
      </c>
      <c r="F31">
        <v>2.2015928962025102</v>
      </c>
      <c r="G31">
        <v>-1069.1475276364054</v>
      </c>
      <c r="H31">
        <v>-895.52841762994422</v>
      </c>
      <c r="I31">
        <v>170.85972544059501</v>
      </c>
      <c r="J31">
        <v>88.862458911335594</v>
      </c>
      <c r="K31">
        <v>29.838703782254999</v>
      </c>
      <c r="L31">
        <v>1.5788784774016106E-4</v>
      </c>
      <c r="M31">
        <v>1.7784054205429615E-5</v>
      </c>
      <c r="N31" s="1">
        <v>2.33941830440625E-6</v>
      </c>
      <c r="O31" s="1">
        <v>6.3541394108595804E-8</v>
      </c>
      <c r="P31" s="1">
        <v>-3.30762491568672E-7</v>
      </c>
      <c r="Q31">
        <v>71.654390221104194</v>
      </c>
      <c r="R31">
        <v>0.12177917249829399</v>
      </c>
      <c r="S31">
        <v>12.209867543867899</v>
      </c>
      <c r="T31">
        <v>0.28537030495381099</v>
      </c>
      <c r="V31">
        <v>0.66092718985231802</v>
      </c>
      <c r="W31">
        <v>6.0889586249114301E-2</v>
      </c>
      <c r="X31">
        <v>4.5667189686897203E-2</v>
      </c>
      <c r="AA31">
        <v>0.45012510048628601</v>
      </c>
      <c r="AB31">
        <v>4.0414208690059903</v>
      </c>
      <c r="AC31">
        <v>4.2926112264953602</v>
      </c>
      <c r="AD31">
        <v>3.04447931245262E-2</v>
      </c>
      <c r="AE31">
        <v>6.1465068026751597</v>
      </c>
    </row>
    <row r="32" spans="1:31" x14ac:dyDescent="0.2">
      <c r="A32">
        <v>31</v>
      </c>
      <c r="B32">
        <v>742</v>
      </c>
      <c r="C32">
        <v>250</v>
      </c>
      <c r="D32">
        <v>0.318396788651924</v>
      </c>
      <c r="E32">
        <v>27.5826965776196</v>
      </c>
      <c r="F32">
        <v>2.20299229405021</v>
      </c>
      <c r="G32">
        <v>-448.88933095867361</v>
      </c>
      <c r="H32">
        <v>-376.08809679434137</v>
      </c>
      <c r="I32">
        <v>71.714755616738501</v>
      </c>
      <c r="J32">
        <v>37.346005926755403</v>
      </c>
      <c r="K32">
        <v>12.520559718758101</v>
      </c>
      <c r="L32">
        <v>1.5812019847370761E-4</v>
      </c>
      <c r="M32">
        <v>1.7792198174282152E-5</v>
      </c>
      <c r="N32" s="1">
        <v>9.85127059496905E-7</v>
      </c>
      <c r="O32" s="1">
        <v>2.6699509328501701E-8</v>
      </c>
      <c r="P32" s="1">
        <v>-1.3905827962657601E-7</v>
      </c>
      <c r="Q32">
        <v>71.465737529514598</v>
      </c>
      <c r="R32">
        <v>0.140285709426823</v>
      </c>
      <c r="S32">
        <v>12.2871069762285</v>
      </c>
      <c r="T32">
        <v>0.26406929968230197</v>
      </c>
      <c r="V32">
        <v>0.611389258722704</v>
      </c>
      <c r="W32">
        <v>0.14501845346200001</v>
      </c>
      <c r="X32">
        <v>9.6599859772849003E-2</v>
      </c>
      <c r="AA32">
        <v>0.48883065663769099</v>
      </c>
      <c r="AB32">
        <v>3.9858786449536998</v>
      </c>
      <c r="AC32">
        <v>4.2851888810404999</v>
      </c>
      <c r="AD32">
        <v>7.2509226730894202E-2</v>
      </c>
      <c r="AE32">
        <v>6.1573855038273102</v>
      </c>
    </row>
    <row r="33" spans="1:31" x14ac:dyDescent="0.2">
      <c r="A33">
        <v>32</v>
      </c>
      <c r="B33">
        <v>741</v>
      </c>
      <c r="C33">
        <v>250</v>
      </c>
      <c r="D33">
        <v>0.31765567223783697</v>
      </c>
      <c r="E33">
        <v>17.6504096791199</v>
      </c>
      <c r="F33">
        <v>2.2046471458325998</v>
      </c>
      <c r="G33">
        <v>-287.13439477092402</v>
      </c>
      <c r="H33">
        <v>-240.6039576463385</v>
      </c>
      <c r="I33">
        <v>45.881217891421798</v>
      </c>
      <c r="J33">
        <v>23.920803794142699</v>
      </c>
      <c r="K33">
        <v>8.0060020999206891</v>
      </c>
      <c r="L33">
        <v>1.5852624695635706E-4</v>
      </c>
      <c r="M33">
        <v>1.7812360469658884E-5</v>
      </c>
      <c r="N33" s="1">
        <v>6.3309820107365297E-7</v>
      </c>
      <c r="O33" s="1">
        <v>1.7120071946088401E-8</v>
      </c>
      <c r="P33" s="1">
        <v>-8.92448519683752E-8</v>
      </c>
      <c r="Q33">
        <v>71.245282846026001</v>
      </c>
      <c r="R33">
        <v>0.133591455531508</v>
      </c>
      <c r="S33">
        <v>12.3586317550362</v>
      </c>
      <c r="T33">
        <v>0.26407438858306598</v>
      </c>
      <c r="V33">
        <v>0.61184738794569904</v>
      </c>
      <c r="W33">
        <v>0.22556496741005</v>
      </c>
      <c r="X33">
        <v>0.139902039375735</v>
      </c>
      <c r="AA33">
        <v>0.53029980606771099</v>
      </c>
      <c r="AB33">
        <v>3.93409901420255</v>
      </c>
      <c r="AC33">
        <v>4.2666300385865403</v>
      </c>
      <c r="AD33">
        <v>0.113311817479292</v>
      </c>
      <c r="AE33">
        <v>6.1767644837555196</v>
      </c>
    </row>
    <row r="34" spans="1:31" x14ac:dyDescent="0.2">
      <c r="A34">
        <v>33</v>
      </c>
      <c r="B34">
        <v>740</v>
      </c>
      <c r="C34">
        <v>250</v>
      </c>
      <c r="D34">
        <v>0.31691309282929903</v>
      </c>
      <c r="E34">
        <v>12.172287406654799</v>
      </c>
      <c r="F34">
        <v>2.2063308393818302</v>
      </c>
      <c r="G34">
        <v>-197.91721547266104</v>
      </c>
      <c r="H34">
        <v>-165.86632953095224</v>
      </c>
      <c r="I34">
        <v>31.634887175353001</v>
      </c>
      <c r="J34">
        <v>16.510723491476998</v>
      </c>
      <c r="K34">
        <v>5.5169819454934101</v>
      </c>
      <c r="L34">
        <v>1.5901503852768355E-4</v>
      </c>
      <c r="M34">
        <v>1.7842058656150286E-5</v>
      </c>
      <c r="N34" s="1">
        <v>4.3881865541574198E-7</v>
      </c>
      <c r="O34" s="1">
        <v>1.1839261536372E-8</v>
      </c>
      <c r="P34" s="1">
        <v>-6.1769424236711197E-8</v>
      </c>
      <c r="Q34">
        <v>70.985833057314395</v>
      </c>
      <c r="R34">
        <v>0.13146362033647599</v>
      </c>
      <c r="S34">
        <v>12.4607476042261</v>
      </c>
      <c r="T34">
        <v>0.26330184855522498</v>
      </c>
      <c r="V34">
        <v>0.61067697509890895</v>
      </c>
      <c r="W34">
        <v>0.32534241137908998</v>
      </c>
      <c r="X34">
        <v>0.14927711040743599</v>
      </c>
      <c r="AA34">
        <v>0.58298213502807505</v>
      </c>
      <c r="AB34">
        <v>3.8717531167025299</v>
      </c>
      <c r="AC34">
        <v>4.2533086661912902</v>
      </c>
      <c r="AD34">
        <v>0.164307655018192</v>
      </c>
      <c r="AE34">
        <v>6.20100579974208</v>
      </c>
    </row>
    <row r="35" spans="1:31" x14ac:dyDescent="0.2">
      <c r="A35">
        <v>34</v>
      </c>
      <c r="B35">
        <v>739</v>
      </c>
      <c r="C35">
        <v>250</v>
      </c>
      <c r="D35">
        <v>0.31616904609000601</v>
      </c>
      <c r="E35">
        <v>9.1717170624215605</v>
      </c>
      <c r="F35">
        <v>2.2080023870295</v>
      </c>
      <c r="G35">
        <v>-149.04949918392236</v>
      </c>
      <c r="H35">
        <v>-124.92791959997888</v>
      </c>
      <c r="I35">
        <v>23.832020534449899</v>
      </c>
      <c r="J35">
        <v>12.451145148159799</v>
      </c>
      <c r="K35">
        <v>4.1538528745707399</v>
      </c>
      <c r="L35">
        <v>1.5953558660117398E-4</v>
      </c>
      <c r="M35">
        <v>1.7875039257085071E-5</v>
      </c>
      <c r="N35" s="1">
        <v>3.3241814752259102E-7</v>
      </c>
      <c r="O35" s="1">
        <v>8.9479303528943003E-9</v>
      </c>
      <c r="P35" s="1">
        <v>-4.6724931317317499E-8</v>
      </c>
      <c r="Q35">
        <v>70.715499345061801</v>
      </c>
      <c r="R35">
        <v>0.12987940807516901</v>
      </c>
      <c r="S35">
        <v>12.571356163070501</v>
      </c>
      <c r="T35">
        <v>0.26255619398859398</v>
      </c>
      <c r="V35">
        <v>0.60959547573073702</v>
      </c>
      <c r="W35">
        <v>0.42950762367905998</v>
      </c>
      <c r="X35">
        <v>0.14904646117548701</v>
      </c>
      <c r="AA35">
        <v>0.63897758823600803</v>
      </c>
      <c r="AB35">
        <v>3.8075257364488699</v>
      </c>
      <c r="AC35">
        <v>4.2408576986470097</v>
      </c>
      <c r="AD35">
        <v>0.21806167660679601</v>
      </c>
      <c r="AE35">
        <v>6.2271366292798298</v>
      </c>
    </row>
    <row r="36" spans="1:31" x14ac:dyDescent="0.2">
      <c r="A36">
        <v>35</v>
      </c>
      <c r="B36">
        <v>763</v>
      </c>
      <c r="C36">
        <v>225</v>
      </c>
      <c r="D36">
        <v>0.360170342131933</v>
      </c>
      <c r="E36">
        <v>104.959678050085</v>
      </c>
      <c r="F36">
        <v>2.1860658764040899</v>
      </c>
      <c r="G36">
        <v>-1721.3931197392162</v>
      </c>
      <c r="H36">
        <v>-1436.180641727906</v>
      </c>
      <c r="I36">
        <v>275.26176519935399</v>
      </c>
      <c r="J36">
        <v>142.34515128132901</v>
      </c>
      <c r="K36">
        <v>48.013044429720402</v>
      </c>
      <c r="L36">
        <v>1.5711254886899062E-4</v>
      </c>
      <c r="M36">
        <v>1.8193219710115E-5</v>
      </c>
      <c r="N36" s="1">
        <v>3.58184470506739E-6</v>
      </c>
      <c r="O36" s="1">
        <v>1.02585567418831E-7</v>
      </c>
      <c r="P36" s="1">
        <v>-5.2715276514494298E-7</v>
      </c>
      <c r="Q36">
        <v>72.246791728758197</v>
      </c>
      <c r="R36">
        <v>7.6219745988383394E-2</v>
      </c>
      <c r="S36">
        <v>12.3475988501185</v>
      </c>
      <c r="T36">
        <v>0.17538655032688599</v>
      </c>
      <c r="V36">
        <v>0.41656391807139698</v>
      </c>
      <c r="W36">
        <v>3.8109872994191399E-2</v>
      </c>
      <c r="X36">
        <v>2.8582404745644101E-2</v>
      </c>
      <c r="AA36">
        <v>0.57164809491287405</v>
      </c>
      <c r="AB36">
        <v>4.4112177990776598</v>
      </c>
      <c r="AC36">
        <v>3.6871302121879999</v>
      </c>
      <c r="AD36">
        <v>1.9054936497095401E-2</v>
      </c>
      <c r="AE36">
        <v>5.9816958863210097</v>
      </c>
    </row>
    <row r="37" spans="1:31" x14ac:dyDescent="0.2">
      <c r="A37">
        <v>36</v>
      </c>
      <c r="B37">
        <v>762</v>
      </c>
      <c r="C37">
        <v>225</v>
      </c>
      <c r="D37">
        <v>0.35948461575617302</v>
      </c>
      <c r="E37">
        <v>104.67722204573499</v>
      </c>
      <c r="F37">
        <v>2.1864617752114999</v>
      </c>
      <c r="G37">
        <v>-1716.4004788830321</v>
      </c>
      <c r="H37">
        <v>-1432.4357438967536</v>
      </c>
      <c r="I37">
        <v>274.32230593274198</v>
      </c>
      <c r="J37">
        <v>141.920961203687</v>
      </c>
      <c r="K37">
        <v>47.875166733984997</v>
      </c>
      <c r="L37">
        <v>1.5692144111840957E-4</v>
      </c>
      <c r="M37">
        <v>1.8177123340076527E-5</v>
      </c>
      <c r="N37" s="1">
        <v>3.5728035685120502E-6</v>
      </c>
      <c r="O37" s="1">
        <v>1.02135776324323E-7</v>
      </c>
      <c r="P37" s="1">
        <v>-5.2495339379117396E-7</v>
      </c>
      <c r="Q37">
        <v>72.280293830088993</v>
      </c>
      <c r="R37">
        <v>7.6425413701795494E-2</v>
      </c>
      <c r="S37">
        <v>12.3274961661362</v>
      </c>
      <c r="T37">
        <v>0.176098142785165</v>
      </c>
      <c r="V37">
        <v>0.41747349523811</v>
      </c>
      <c r="W37">
        <v>3.8212706850896901E-2</v>
      </c>
      <c r="X37">
        <v>2.86595301381742E-2</v>
      </c>
      <c r="AA37">
        <v>0.56678887784628595</v>
      </c>
      <c r="AB37">
        <v>4.3998590492894296</v>
      </c>
      <c r="AC37">
        <v>3.69383306504887</v>
      </c>
      <c r="AD37">
        <v>1.9106353425447701E-2</v>
      </c>
      <c r="AE37">
        <v>5.9757533694504898</v>
      </c>
    </row>
    <row r="38" spans="1:31" x14ac:dyDescent="0.2">
      <c r="A38">
        <v>37</v>
      </c>
      <c r="B38">
        <v>761</v>
      </c>
      <c r="C38">
        <v>225</v>
      </c>
      <c r="D38">
        <v>0.35879756321617101</v>
      </c>
      <c r="E38">
        <v>104.14869695391199</v>
      </c>
      <c r="F38">
        <v>2.18690198314864</v>
      </c>
      <c r="G38">
        <v>-1707.3024926103744</v>
      </c>
      <c r="H38">
        <v>-1425.3039247247777</v>
      </c>
      <c r="I38">
        <v>272.68632972547101</v>
      </c>
      <c r="J38">
        <v>141.13960405362999</v>
      </c>
      <c r="K38">
        <v>47.623852260612999</v>
      </c>
      <c r="L38">
        <v>1.5660847672295476E-4</v>
      </c>
      <c r="M38">
        <v>1.8154235284130099E-5</v>
      </c>
      <c r="N38" s="1">
        <v>3.5523192089715799E-6</v>
      </c>
      <c r="O38" s="1">
        <v>1.01367168080281E-7</v>
      </c>
      <c r="P38" s="1">
        <v>-5.2095210642018899E-7</v>
      </c>
      <c r="Q38">
        <v>72.342973043592394</v>
      </c>
      <c r="R38">
        <v>7.6813250995739296E-2</v>
      </c>
      <c r="S38">
        <v>12.289862371861201</v>
      </c>
      <c r="T38">
        <v>0.177201702840208</v>
      </c>
      <c r="V38">
        <v>0.41940317372439301</v>
      </c>
      <c r="W38">
        <v>3.84066254978686E-2</v>
      </c>
      <c r="X38">
        <v>2.8804969123403398E-2</v>
      </c>
      <c r="AA38">
        <v>0.55796835550309198</v>
      </c>
      <c r="AB38">
        <v>4.3783385729142701</v>
      </c>
      <c r="AC38">
        <v>3.70630422568922</v>
      </c>
      <c r="AD38">
        <v>1.9203312748933301E-2</v>
      </c>
      <c r="AE38">
        <v>5.9647203955091701</v>
      </c>
    </row>
    <row r="39" spans="1:31" x14ac:dyDescent="0.2">
      <c r="A39">
        <v>38</v>
      </c>
      <c r="B39">
        <v>760</v>
      </c>
      <c r="C39">
        <v>225</v>
      </c>
      <c r="D39">
        <v>0.35810918066108399</v>
      </c>
      <c r="E39">
        <v>103.617997328001</v>
      </c>
      <c r="F39">
        <v>2.1873466171388798</v>
      </c>
      <c r="G39">
        <v>-1698.1726978840568</v>
      </c>
      <c r="H39">
        <v>-1418.1419253304539</v>
      </c>
      <c r="I39">
        <v>271.04561056342402</v>
      </c>
      <c r="J39">
        <v>140.35559844347799</v>
      </c>
      <c r="K39">
        <v>47.371548942497498</v>
      </c>
      <c r="L39">
        <v>1.5629237161671075E-4</v>
      </c>
      <c r="M39">
        <v>1.8131208470434278E-5</v>
      </c>
      <c r="N39" s="1">
        <v>3.5316889054731698E-6</v>
      </c>
      <c r="O39" s="1">
        <v>1.00597104747172E-7</v>
      </c>
      <c r="P39" s="1">
        <v>-5.1693624586767403E-7</v>
      </c>
      <c r="Q39">
        <v>72.406034321489102</v>
      </c>
      <c r="R39">
        <v>7.7206664925941804E-2</v>
      </c>
      <c r="S39">
        <v>12.252072995888399</v>
      </c>
      <c r="T39">
        <v>0.17831982490453699</v>
      </c>
      <c r="V39">
        <v>0.421361773709235</v>
      </c>
      <c r="W39">
        <v>3.8603332462969202E-2</v>
      </c>
      <c r="X39">
        <v>2.8952499347230001E-2</v>
      </c>
      <c r="AA39">
        <v>0.54946023037859004</v>
      </c>
      <c r="AB39">
        <v>4.3564031163669297</v>
      </c>
      <c r="AC39">
        <v>3.7187335131583801</v>
      </c>
      <c r="AD39">
        <v>1.9301666231483001E-2</v>
      </c>
      <c r="AE39">
        <v>5.9535500611371397</v>
      </c>
    </row>
    <row r="40" spans="1:31" x14ac:dyDescent="0.2">
      <c r="A40">
        <v>39</v>
      </c>
      <c r="B40">
        <v>759</v>
      </c>
      <c r="C40">
        <v>225</v>
      </c>
      <c r="D40">
        <v>0.35741946422516302</v>
      </c>
      <c r="E40">
        <v>103.085484606023</v>
      </c>
      <c r="F40">
        <v>2.1877954300517901</v>
      </c>
      <c r="G40">
        <v>-1689.0171708326175</v>
      </c>
      <c r="H40">
        <v>-1410.9547092864091</v>
      </c>
      <c r="I40">
        <v>269.40121256232902</v>
      </c>
      <c r="J40">
        <v>139.56946451984001</v>
      </c>
      <c r="K40">
        <v>47.118429442730402</v>
      </c>
      <c r="L40">
        <v>1.5597328447774454E-4</v>
      </c>
      <c r="M40">
        <v>1.8108055065361034E-5</v>
      </c>
      <c r="N40" s="1">
        <v>3.5109310101250502E-6</v>
      </c>
      <c r="O40" s="1">
        <v>9.9826111187704105E-8</v>
      </c>
      <c r="P40" s="1">
        <v>-5.1290876120925802E-7</v>
      </c>
      <c r="Q40">
        <v>72.469461562062193</v>
      </c>
      <c r="R40">
        <v>7.7605494416356197E-2</v>
      </c>
      <c r="S40">
        <v>12.2141363675976</v>
      </c>
      <c r="T40">
        <v>0.17945220784931701</v>
      </c>
      <c r="V40">
        <v>0.423348352310909</v>
      </c>
      <c r="W40">
        <v>3.88027472081761E-2</v>
      </c>
      <c r="X40">
        <v>2.91020604061357E-2</v>
      </c>
      <c r="AA40">
        <v>0.54125982563121899</v>
      </c>
      <c r="AB40">
        <v>4.33407105718093</v>
      </c>
      <c r="AC40">
        <v>3.7311086651810301</v>
      </c>
      <c r="AD40">
        <v>1.9401373604086201E-2</v>
      </c>
      <c r="AE40">
        <v>5.9422502865519302</v>
      </c>
    </row>
    <row r="41" spans="1:31" x14ac:dyDescent="0.2">
      <c r="A41">
        <v>40</v>
      </c>
      <c r="B41">
        <v>758</v>
      </c>
      <c r="C41">
        <v>225</v>
      </c>
      <c r="D41">
        <v>0.356728410027642</v>
      </c>
      <c r="E41">
        <v>102.55152505872</v>
      </c>
      <c r="F41">
        <v>2.1882481678912402</v>
      </c>
      <c r="G41">
        <v>-1679.8420597599911</v>
      </c>
      <c r="H41">
        <v>-1403.7473059612864</v>
      </c>
      <c r="I41">
        <v>267.75421015245502</v>
      </c>
      <c r="J41">
        <v>138.78172839056799</v>
      </c>
      <c r="K41">
        <v>46.864668534166597</v>
      </c>
      <c r="L41">
        <v>1.5565137963341068E-4</v>
      </c>
      <c r="M41">
        <v>1.8084787477478474E-5</v>
      </c>
      <c r="N41" s="1">
        <v>3.4900640800513001E-6</v>
      </c>
      <c r="O41" s="1">
        <v>9.9054714137121999E-8</v>
      </c>
      <c r="P41" s="1">
        <v>-5.0887262207577696E-7</v>
      </c>
      <c r="Q41">
        <v>72.533237667216099</v>
      </c>
      <c r="R41">
        <v>7.8009566365974406E-2</v>
      </c>
      <c r="S41">
        <v>12.1760613208364</v>
      </c>
      <c r="T41">
        <v>0.18059852477246199</v>
      </c>
      <c r="V41">
        <v>0.42536189922052797</v>
      </c>
      <c r="W41">
        <v>3.9004783182984802E-2</v>
      </c>
      <c r="X41">
        <v>2.9253587387242999E-2</v>
      </c>
      <c r="AA41">
        <v>0.53336197048224798</v>
      </c>
      <c r="AB41">
        <v>4.3113616019796899</v>
      </c>
      <c r="AC41">
        <v>3.74341746396914</v>
      </c>
      <c r="AD41">
        <v>1.9502391591490201E-2</v>
      </c>
      <c r="AE41">
        <v>5.9308292229956301</v>
      </c>
    </row>
    <row r="42" spans="1:31" x14ac:dyDescent="0.2">
      <c r="A42">
        <v>41</v>
      </c>
      <c r="B42">
        <v>757</v>
      </c>
      <c r="C42">
        <v>225</v>
      </c>
      <c r="D42">
        <v>0.35603601417269398</v>
      </c>
      <c r="E42">
        <v>102.016487248728</v>
      </c>
      <c r="F42">
        <v>2.1887045714289299</v>
      </c>
      <c r="G42">
        <v>-1670.653542626635</v>
      </c>
      <c r="H42">
        <v>-1396.5247756427909</v>
      </c>
      <c r="I42">
        <v>266.105680710424</v>
      </c>
      <c r="J42">
        <v>137.99291848651399</v>
      </c>
      <c r="K42">
        <v>46.610441893546898</v>
      </c>
      <c r="L42">
        <v>1.5532682593116684E-4</v>
      </c>
      <c r="M42">
        <v>1.8061418278025604E-5</v>
      </c>
      <c r="N42" s="1">
        <v>3.46910675091084E-6</v>
      </c>
      <c r="O42" s="1">
        <v>9.8283438661533004E-8</v>
      </c>
      <c r="P42" s="1">
        <v>-5.0483079857472799E-7</v>
      </c>
      <c r="Q42">
        <v>72.5973446748486</v>
      </c>
      <c r="R42">
        <v>7.8418696974884197E-2</v>
      </c>
      <c r="S42">
        <v>12.137857125309001</v>
      </c>
      <c r="T42">
        <v>0.18175842576208201</v>
      </c>
      <c r="V42">
        <v>0.42740134420869202</v>
      </c>
      <c r="W42">
        <v>3.9209348487439198E-2</v>
      </c>
      <c r="X42">
        <v>2.9407011365584702E-2</v>
      </c>
      <c r="AA42">
        <v>0.52576103870559399</v>
      </c>
      <c r="AB42">
        <v>4.2882946542796798</v>
      </c>
      <c r="AC42">
        <v>3.7556478081331899</v>
      </c>
      <c r="AD42">
        <v>1.96046742437169E-2</v>
      </c>
      <c r="AE42">
        <v>5.9192951976814401</v>
      </c>
    </row>
    <row r="43" spans="1:31" x14ac:dyDescent="0.2">
      <c r="A43">
        <v>42</v>
      </c>
      <c r="B43">
        <v>756</v>
      </c>
      <c r="C43">
        <v>225</v>
      </c>
      <c r="D43">
        <v>0.35534227274935698</v>
      </c>
      <c r="E43">
        <v>100.063258779782</v>
      </c>
      <c r="F43">
        <v>2.1895815913024799</v>
      </c>
      <c r="G43">
        <v>-1637.9122251685908</v>
      </c>
      <c r="H43">
        <v>-1369.5758260011444</v>
      </c>
      <c r="I43">
        <v>260.73594633187201</v>
      </c>
      <c r="J43">
        <v>135.29642000719301</v>
      </c>
      <c r="K43">
        <v>45.699716867029103</v>
      </c>
      <c r="L43">
        <v>1.5502404657949609E-4</v>
      </c>
      <c r="M43">
        <v>1.8026224022680316E-5</v>
      </c>
      <c r="N43" s="1">
        <v>3.3970178450359901E-6</v>
      </c>
      <c r="O43" s="1">
        <v>9.6076932904491003E-8</v>
      </c>
      <c r="P43" s="1">
        <v>-4.9396494587858403E-7</v>
      </c>
      <c r="Q43">
        <v>72.592449086695396</v>
      </c>
      <c r="R43">
        <v>7.9949424969323502E-2</v>
      </c>
      <c r="S43">
        <v>12.129917936880499</v>
      </c>
      <c r="T43">
        <v>0.185630532033142</v>
      </c>
      <c r="V43">
        <v>0.43545247863713699</v>
      </c>
      <c r="W43">
        <v>3.9974712484658302E-2</v>
      </c>
      <c r="X43">
        <v>2.9981034363500001E-2</v>
      </c>
      <c r="AA43">
        <v>0.51201589243857004</v>
      </c>
      <c r="AB43">
        <v>4.2624321423787199</v>
      </c>
      <c r="AC43">
        <v>3.8095867069747502</v>
      </c>
      <c r="AD43">
        <v>1.99873562423259E-2</v>
      </c>
      <c r="AE43">
        <v>5.9026226959019201</v>
      </c>
    </row>
    <row r="44" spans="1:31" x14ac:dyDescent="0.2">
      <c r="A44">
        <v>43</v>
      </c>
      <c r="B44">
        <v>755</v>
      </c>
      <c r="C44">
        <v>225</v>
      </c>
      <c r="D44">
        <v>0.354647181831445</v>
      </c>
      <c r="E44">
        <v>97.604957103228102</v>
      </c>
      <c r="F44">
        <v>2.1906383545416399</v>
      </c>
      <c r="G44">
        <v>-1596.8082232939689</v>
      </c>
      <c r="H44">
        <v>-1335.6120845692906</v>
      </c>
      <c r="I44">
        <v>254.04477821784499</v>
      </c>
      <c r="J44">
        <v>131.92068996003599</v>
      </c>
      <c r="K44">
        <v>44.555486258547802</v>
      </c>
      <c r="L44">
        <v>1.5471365852867027E-4</v>
      </c>
      <c r="M44">
        <v>1.7985918455754686E-5</v>
      </c>
      <c r="N44" s="1">
        <v>3.3065861694765602E-6</v>
      </c>
      <c r="O44" s="1">
        <v>9.3363488318164405E-8</v>
      </c>
      <c r="P44" s="1">
        <v>-4.8063339097444301E-7</v>
      </c>
      <c r="Q44">
        <v>72.564904528221902</v>
      </c>
      <c r="R44">
        <v>8.1963050212084901E-2</v>
      </c>
      <c r="S44">
        <v>12.1315440301124</v>
      </c>
      <c r="T44">
        <v>0.190669608840042</v>
      </c>
      <c r="V44">
        <v>0.44609258928372603</v>
      </c>
      <c r="W44">
        <v>4.0981525106038301E-2</v>
      </c>
      <c r="X44">
        <v>3.0736143829536201E-2</v>
      </c>
      <c r="AA44">
        <v>0.49730378972389999</v>
      </c>
      <c r="AB44">
        <v>4.23330735102655</v>
      </c>
      <c r="AC44">
        <v>3.8785910982040601</v>
      </c>
      <c r="AD44">
        <v>2.0490762553015501E-2</v>
      </c>
      <c r="AE44">
        <v>5.8834155228866498</v>
      </c>
    </row>
    <row r="45" spans="1:31" x14ac:dyDescent="0.2">
      <c r="A45">
        <v>44</v>
      </c>
      <c r="B45">
        <v>754</v>
      </c>
      <c r="C45">
        <v>225</v>
      </c>
      <c r="D45">
        <v>0.35395073747748601</v>
      </c>
      <c r="E45">
        <v>95.077419270345999</v>
      </c>
      <c r="F45">
        <v>2.1917502496491301</v>
      </c>
      <c r="G45">
        <v>-1554.5884266042931</v>
      </c>
      <c r="H45">
        <v>-1300.6996739487797</v>
      </c>
      <c r="I45">
        <v>247.17787339289501</v>
      </c>
      <c r="J45">
        <v>128.45223441563499</v>
      </c>
      <c r="K45">
        <v>43.379677627761701</v>
      </c>
      <c r="L45">
        <v>1.5438600410522813E-4</v>
      </c>
      <c r="M45">
        <v>1.7944070293947491E-5</v>
      </c>
      <c r="N45" s="1">
        <v>3.2135644782301898E-6</v>
      </c>
      <c r="O45" s="1">
        <v>9.05871333713203E-8</v>
      </c>
      <c r="P45" s="1">
        <v>-4.6693382802714802E-7</v>
      </c>
      <c r="Q45">
        <v>72.5366921449979</v>
      </c>
      <c r="R45">
        <v>8.4141955696682202E-2</v>
      </c>
      <c r="S45">
        <v>12.1329480107356</v>
      </c>
      <c r="T45">
        <v>0.196106463028246</v>
      </c>
      <c r="V45">
        <v>0.45762029844093399</v>
      </c>
      <c r="W45">
        <v>4.2070977848336098E-2</v>
      </c>
      <c r="X45">
        <v>3.1553233386260898E-2</v>
      </c>
      <c r="AA45">
        <v>0.48383769728497</v>
      </c>
      <c r="AB45">
        <v>4.2013378552065896</v>
      </c>
      <c r="AC45">
        <v>3.9494995260957899</v>
      </c>
      <c r="AD45">
        <v>2.1035488924163501E-2</v>
      </c>
      <c r="AE45">
        <v>5.8631563483544697</v>
      </c>
    </row>
    <row r="46" spans="1:31" x14ac:dyDescent="0.2">
      <c r="A46">
        <v>45</v>
      </c>
      <c r="B46">
        <v>753</v>
      </c>
      <c r="C46">
        <v>225</v>
      </c>
      <c r="D46">
        <v>0.35325293573064698</v>
      </c>
      <c r="E46">
        <v>92.462082037990399</v>
      </c>
      <c r="F46">
        <v>2.1929220859576799</v>
      </c>
      <c r="G46">
        <v>-1510.9505493680324</v>
      </c>
      <c r="H46">
        <v>-1264.5840034354383</v>
      </c>
      <c r="I46">
        <v>240.088238495925</v>
      </c>
      <c r="J46">
        <v>124.86623414972399</v>
      </c>
      <c r="K46">
        <v>42.163870130210697</v>
      </c>
      <c r="L46">
        <v>1.5404110538779956E-4</v>
      </c>
      <c r="M46">
        <v>1.7900658680501196E-5</v>
      </c>
      <c r="N46" s="1">
        <v>3.1173780238943499E-6</v>
      </c>
      <c r="O46" s="1">
        <v>8.7731953994015394E-8</v>
      </c>
      <c r="P46" s="1">
        <v>-4.5278341153960202E-7</v>
      </c>
      <c r="Q46">
        <v>72.507567656411695</v>
      </c>
      <c r="R46">
        <v>8.6521953904449403E-2</v>
      </c>
      <c r="S46">
        <v>12.134090507133701</v>
      </c>
      <c r="T46">
        <v>0.202025439909468</v>
      </c>
      <c r="V46">
        <v>0.47022958786054297</v>
      </c>
      <c r="W46">
        <v>4.32609769522182E-2</v>
      </c>
      <c r="X46">
        <v>3.2445732714175397E-2</v>
      </c>
      <c r="AA46">
        <v>0.471673915140708</v>
      </c>
      <c r="AB46">
        <v>4.1664258887255698</v>
      </c>
      <c r="AC46">
        <v>4.0223033300868201</v>
      </c>
      <c r="AD46">
        <v>2.16304884761029E-2</v>
      </c>
      <c r="AE46">
        <v>5.8418245226844396</v>
      </c>
    </row>
    <row r="47" spans="1:31" x14ac:dyDescent="0.2">
      <c r="A47">
        <v>46</v>
      </c>
      <c r="B47">
        <v>752</v>
      </c>
      <c r="C47">
        <v>225</v>
      </c>
      <c r="D47">
        <v>0.35255377261864101</v>
      </c>
      <c r="E47">
        <v>89.731141973366107</v>
      </c>
      <c r="F47">
        <v>2.19416066387521</v>
      </c>
      <c r="G47">
        <v>-1465.4414170612408</v>
      </c>
      <c r="H47">
        <v>-1226.8836787856071</v>
      </c>
      <c r="I47">
        <v>232.70520243440799</v>
      </c>
      <c r="J47">
        <v>121.125464178127</v>
      </c>
      <c r="K47">
        <v>40.895429150063798</v>
      </c>
      <c r="L47">
        <v>1.5367914806253146E-4</v>
      </c>
      <c r="M47">
        <v>1.7855667935496793E-5</v>
      </c>
      <c r="N47" s="1">
        <v>3.0171520461857501E-6</v>
      </c>
      <c r="O47" s="1">
        <v>8.4773697476842003E-8</v>
      </c>
      <c r="P47" s="1">
        <v>-4.3805567728500899E-7</v>
      </c>
      <c r="Q47">
        <v>72.4771731617722</v>
      </c>
      <c r="R47">
        <v>8.9155223304468997E-2</v>
      </c>
      <c r="S47">
        <v>12.1349160530745</v>
      </c>
      <c r="T47">
        <v>0.20854906867415299</v>
      </c>
      <c r="V47">
        <v>0.48420341223982399</v>
      </c>
      <c r="W47">
        <v>4.4577611652227199E-2</v>
      </c>
      <c r="X47">
        <v>3.3433208739183602E-2</v>
      </c>
      <c r="AA47">
        <v>0.46090054066628</v>
      </c>
      <c r="AB47">
        <v>4.1284418626290202</v>
      </c>
      <c r="AC47">
        <v>4.0969619114225901</v>
      </c>
      <c r="AD47">
        <v>2.22888058261064E-2</v>
      </c>
      <c r="AE47">
        <v>5.8193991399993301</v>
      </c>
    </row>
    <row r="48" spans="1:31" x14ac:dyDescent="0.2">
      <c r="A48">
        <v>47</v>
      </c>
      <c r="B48">
        <v>751</v>
      </c>
      <c r="C48">
        <v>225</v>
      </c>
      <c r="D48">
        <v>0.35185324415369101</v>
      </c>
      <c r="E48">
        <v>86.840609887882096</v>
      </c>
      <c r="F48">
        <v>2.1954762998680399</v>
      </c>
      <c r="G48">
        <v>-1417.3435090468201</v>
      </c>
      <c r="H48">
        <v>-1186.9951785774813</v>
      </c>
      <c r="I48">
        <v>224.91659470715999</v>
      </c>
      <c r="J48">
        <v>117.170964398156</v>
      </c>
      <c r="K48">
        <v>39.554337203777401</v>
      </c>
      <c r="L48">
        <v>1.5330061214525594E-4</v>
      </c>
      <c r="M48">
        <v>1.7809092473943709E-5</v>
      </c>
      <c r="N48" s="1">
        <v>2.9114848855971799E-6</v>
      </c>
      <c r="O48" s="1">
        <v>8.1673468945431795E-8</v>
      </c>
      <c r="P48" s="1">
        <v>-4.2254755607003799E-7</v>
      </c>
      <c r="Q48">
        <v>72.444950151437396</v>
      </c>
      <c r="R48">
        <v>9.2122798427246702E-2</v>
      </c>
      <c r="S48">
        <v>12.1353416639872</v>
      </c>
      <c r="T48">
        <v>0.215867106004273</v>
      </c>
      <c r="V48">
        <v>0.49998168846747998</v>
      </c>
      <c r="W48">
        <v>4.6061399213614899E-2</v>
      </c>
      <c r="X48">
        <v>3.45460494102263E-2</v>
      </c>
      <c r="AA48">
        <v>0.451664327518707</v>
      </c>
      <c r="AB48">
        <v>4.0872000419808998</v>
      </c>
      <c r="AC48">
        <v>4.1733748546530096</v>
      </c>
      <c r="AD48">
        <v>2.30306996067993E-2</v>
      </c>
      <c r="AE48">
        <v>5.7958592192930096</v>
      </c>
    </row>
    <row r="49" spans="1:31" x14ac:dyDescent="0.2">
      <c r="A49">
        <v>48</v>
      </c>
      <c r="B49">
        <v>750</v>
      </c>
      <c r="C49">
        <v>225</v>
      </c>
      <c r="D49">
        <v>0.35115134633240402</v>
      </c>
      <c r="E49">
        <v>83.715815818353605</v>
      </c>
      <c r="F49">
        <v>2.1968859525065798</v>
      </c>
      <c r="G49">
        <v>-1365.4382420557383</v>
      </c>
      <c r="H49">
        <v>-1143.8939474690696</v>
      </c>
      <c r="I49">
        <v>216.53158831712699</v>
      </c>
      <c r="J49">
        <v>112.902578923174</v>
      </c>
      <c r="K49">
        <v>38.106582511867003</v>
      </c>
      <c r="L49">
        <v>1.5290664796675793E-4</v>
      </c>
      <c r="M49">
        <v>1.7760955657657565E-5</v>
      </c>
      <c r="N49" s="1">
        <v>2.7979767909569901E-6</v>
      </c>
      <c r="O49" s="1">
        <v>7.8364634926988804E-8</v>
      </c>
      <c r="P49" s="1">
        <v>-4.0591085955685101E-7</v>
      </c>
      <c r="Q49">
        <v>72.409948415820296</v>
      </c>
      <c r="R49">
        <v>9.5561393289876506E-2</v>
      </c>
      <c r="S49">
        <v>12.1352345151367</v>
      </c>
      <c r="T49">
        <v>0.22429885656071399</v>
      </c>
      <c r="V49">
        <v>0.51830735560167995</v>
      </c>
      <c r="W49">
        <v>4.7780696644929302E-2</v>
      </c>
      <c r="X49">
        <v>3.5835522483712599E-2</v>
      </c>
      <c r="AA49">
        <v>0.44422723114637103</v>
      </c>
      <c r="AB49">
        <v>4.0424179257761601</v>
      </c>
      <c r="AC49">
        <v>4.2513083527690103</v>
      </c>
      <c r="AD49">
        <v>2.3890348322455901E-2</v>
      </c>
      <c r="AE49">
        <v>5.7711893864480102</v>
      </c>
    </row>
    <row r="50" spans="1:31" x14ac:dyDescent="0.2">
      <c r="A50">
        <v>49</v>
      </c>
      <c r="B50">
        <v>749</v>
      </c>
      <c r="C50">
        <v>225</v>
      </c>
      <c r="D50">
        <v>0.350448075135744</v>
      </c>
      <c r="E50">
        <v>80.216937296035596</v>
      </c>
      <c r="F50">
        <v>2.1984205068220599</v>
      </c>
      <c r="G50">
        <v>-1307.4431586993439</v>
      </c>
      <c r="H50">
        <v>-1095.661430002317</v>
      </c>
      <c r="I50">
        <v>207.19241666783401</v>
      </c>
      <c r="J50">
        <v>108.132696803161</v>
      </c>
      <c r="K50">
        <v>36.4884411545058</v>
      </c>
      <c r="L50">
        <v>1.5250027353321178E-4</v>
      </c>
      <c r="M50">
        <v>1.7711379786713407E-5</v>
      </c>
      <c r="N50" s="1">
        <v>2.6721149591453902E-6</v>
      </c>
      <c r="O50" s="1">
        <v>7.4721815290246205E-8</v>
      </c>
      <c r="P50" s="1">
        <v>-3.87490120137759E-7</v>
      </c>
      <c r="Q50">
        <v>72.370343129532898</v>
      </c>
      <c r="R50">
        <v>9.9729561731797006E-2</v>
      </c>
      <c r="S50">
        <v>12.134362758001901</v>
      </c>
      <c r="T50">
        <v>0.234446733789995</v>
      </c>
      <c r="V50">
        <v>0.54058677187647197</v>
      </c>
      <c r="W50">
        <v>4.9864780865887103E-2</v>
      </c>
      <c r="X50">
        <v>3.7398585649435698E-2</v>
      </c>
      <c r="AA50">
        <v>0.43910225438915901</v>
      </c>
      <c r="AB50">
        <v>3.9936490839421701</v>
      </c>
      <c r="AC50">
        <v>4.3301750505587</v>
      </c>
      <c r="AD50">
        <v>2.4932390432932199E-2</v>
      </c>
      <c r="AE50">
        <v>5.7454088992285204</v>
      </c>
    </row>
    <row r="51" spans="1:31" x14ac:dyDescent="0.2">
      <c r="A51">
        <v>50</v>
      </c>
      <c r="B51">
        <v>748</v>
      </c>
      <c r="C51">
        <v>225</v>
      </c>
      <c r="D51">
        <v>0.34974342652891699</v>
      </c>
      <c r="E51">
        <v>74.358126532630394</v>
      </c>
      <c r="F51">
        <v>2.2003010010619599</v>
      </c>
      <c r="G51">
        <v>-1210.908308947282</v>
      </c>
      <c r="H51">
        <v>-1015.0433991959704</v>
      </c>
      <c r="I51">
        <v>191.80816701886201</v>
      </c>
      <c r="J51">
        <v>100.194942769875</v>
      </c>
      <c r="K51">
        <v>33.794524702184702</v>
      </c>
      <c r="L51">
        <v>1.5218442651838824E-4</v>
      </c>
      <c r="M51">
        <v>1.7667592745158443E-5</v>
      </c>
      <c r="N51" s="1">
        <v>2.4699017550604701E-6</v>
      </c>
      <c r="O51" s="1">
        <v>6.8955568574097101E-8</v>
      </c>
      <c r="P51" s="1">
        <v>-3.5798324812988198E-7</v>
      </c>
      <c r="Q51">
        <v>72.303932183270405</v>
      </c>
      <c r="R51">
        <v>0.107587433587242</v>
      </c>
      <c r="S51">
        <v>12.1301515912585</v>
      </c>
      <c r="T51">
        <v>0.25318109858307403</v>
      </c>
      <c r="V51">
        <v>0.58294493131674296</v>
      </c>
      <c r="W51">
        <v>5.3793716793599997E-2</v>
      </c>
      <c r="X51">
        <v>4.03452875952389E-2</v>
      </c>
      <c r="AA51">
        <v>0.43859983181469198</v>
      </c>
      <c r="AB51">
        <v>3.9454720675047699</v>
      </c>
      <c r="AC51">
        <v>4.3945813559806597</v>
      </c>
      <c r="AD51">
        <v>2.6896858396779601E-2</v>
      </c>
      <c r="AE51">
        <v>5.7225136438981901</v>
      </c>
    </row>
    <row r="52" spans="1:31" x14ac:dyDescent="0.2">
      <c r="A52">
        <v>51</v>
      </c>
      <c r="B52">
        <v>747</v>
      </c>
      <c r="C52">
        <v>225</v>
      </c>
      <c r="D52">
        <v>0.34903739646130499</v>
      </c>
      <c r="E52">
        <v>39.992958025403802</v>
      </c>
      <c r="F52">
        <v>2.20265608823602</v>
      </c>
      <c r="G52">
        <v>-650.79983518264237</v>
      </c>
      <c r="H52">
        <v>-545.62284101003945</v>
      </c>
      <c r="I52">
        <v>103.099538472384</v>
      </c>
      <c r="J52">
        <v>53.9121962036509</v>
      </c>
      <c r="K52">
        <v>18.156696471591101</v>
      </c>
      <c r="L52">
        <v>1.523338013621211E-4</v>
      </c>
      <c r="M52">
        <v>1.7662505033783712E-5</v>
      </c>
      <c r="N52" s="1">
        <v>1.3298704596169901E-6</v>
      </c>
      <c r="O52" s="1">
        <v>3.7054229053623901E-8</v>
      </c>
      <c r="P52" s="1">
        <v>-1.92484938601524E-7</v>
      </c>
      <c r="Q52">
        <v>72.123482956258897</v>
      </c>
      <c r="R52">
        <v>0.13421553786614801</v>
      </c>
      <c r="S52">
        <v>12.1583081806414</v>
      </c>
      <c r="T52">
        <v>0.26871198874549002</v>
      </c>
      <c r="V52">
        <v>0.61906253467231598</v>
      </c>
      <c r="W52">
        <v>0.100017608036333</v>
      </c>
      <c r="X52">
        <v>7.0145298474139001E-2</v>
      </c>
      <c r="AA52">
        <v>0.46721525741491099</v>
      </c>
      <c r="AB52">
        <v>3.8990459050896198</v>
      </c>
      <c r="AC52">
        <v>4.3875508973975004</v>
      </c>
      <c r="AD52">
        <v>5.0008804018105799E-2</v>
      </c>
      <c r="AE52">
        <v>5.7222350313849901</v>
      </c>
    </row>
    <row r="53" spans="1:31" x14ac:dyDescent="0.2">
      <c r="A53">
        <v>52</v>
      </c>
      <c r="B53">
        <v>746</v>
      </c>
      <c r="C53">
        <v>225</v>
      </c>
      <c r="D53">
        <v>0.34832998086640898</v>
      </c>
      <c r="E53">
        <v>22.9194253577359</v>
      </c>
      <c r="F53">
        <v>2.2044535345280698</v>
      </c>
      <c r="G53">
        <v>-372.85063858772122</v>
      </c>
      <c r="H53">
        <v>-312.6667028348071</v>
      </c>
      <c r="I53">
        <v>59.053069472515503</v>
      </c>
      <c r="J53">
        <v>30.919786568277502</v>
      </c>
      <c r="K53">
        <v>10.3968738731625</v>
      </c>
      <c r="L53">
        <v>1.5250453528080276E-4</v>
      </c>
      <c r="M53">
        <v>1.7664690216122428E-5</v>
      </c>
      <c r="N53" s="1">
        <v>7.6375732442063401E-7</v>
      </c>
      <c r="O53" s="1">
        <v>2.12363621934727E-8</v>
      </c>
      <c r="P53" s="1">
        <v>-1.1037159004430899E-7</v>
      </c>
      <c r="Q53">
        <v>71.933617716649096</v>
      </c>
      <c r="R53">
        <v>0.148862364910227</v>
      </c>
      <c r="S53">
        <v>12.2242366279624</v>
      </c>
      <c r="T53">
        <v>0.26026093612089701</v>
      </c>
      <c r="V53">
        <v>0.59970657907841096</v>
      </c>
      <c r="W53">
        <v>0.174524445424106</v>
      </c>
      <c r="X53">
        <v>0.112923951947816</v>
      </c>
      <c r="AA53">
        <v>0.50849040251656896</v>
      </c>
      <c r="AB53">
        <v>3.8380607696737901</v>
      </c>
      <c r="AC53">
        <v>4.3841412678324696</v>
      </c>
      <c r="AD53">
        <v>8.7262222711934304E-2</v>
      </c>
      <c r="AE53">
        <v>5.7279127151721196</v>
      </c>
    </row>
    <row r="54" spans="1:31" x14ac:dyDescent="0.2">
      <c r="A54">
        <v>53</v>
      </c>
      <c r="B54">
        <v>745</v>
      </c>
      <c r="C54">
        <v>225</v>
      </c>
      <c r="D54">
        <v>0.347621175661739</v>
      </c>
      <c r="E54">
        <v>15.698847324174</v>
      </c>
      <c r="F54">
        <v>2.2061918586227001</v>
      </c>
      <c r="G54">
        <v>-255.28373501342574</v>
      </c>
      <c r="H54">
        <v>-214.11555809337986</v>
      </c>
      <c r="I54">
        <v>40.434294475318801</v>
      </c>
      <c r="J54">
        <v>21.197239688671001</v>
      </c>
      <c r="K54">
        <v>7.1158123727165998</v>
      </c>
      <c r="L54">
        <v>1.5282067926835865E-4</v>
      </c>
      <c r="M54">
        <v>1.7679145473246792E-5</v>
      </c>
      <c r="N54" s="1">
        <v>5.2503027456199702E-7</v>
      </c>
      <c r="O54" s="1">
        <v>1.45666332001667E-8</v>
      </c>
      <c r="P54" s="1">
        <v>-7.5763574525221102E-8</v>
      </c>
      <c r="Q54">
        <v>71.722272712403395</v>
      </c>
      <c r="R54">
        <v>0.14431185980630301</v>
      </c>
      <c r="S54">
        <v>12.295116584429801</v>
      </c>
      <c r="T54">
        <v>0.25933726618312503</v>
      </c>
      <c r="V54">
        <v>0.59799393213009699</v>
      </c>
      <c r="W54">
        <v>0.25371112776904398</v>
      </c>
      <c r="X54">
        <v>0.153987728982276</v>
      </c>
      <c r="AA54">
        <v>0.55128766392911199</v>
      </c>
      <c r="AB54">
        <v>3.7823025166919102</v>
      </c>
      <c r="AC54">
        <v>4.3702340162571396</v>
      </c>
      <c r="AD54">
        <v>0.12739788843706601</v>
      </c>
      <c r="AE54">
        <v>5.74204670298049</v>
      </c>
    </row>
    <row r="55" spans="1:31" x14ac:dyDescent="0.2">
      <c r="A55">
        <v>54</v>
      </c>
      <c r="B55">
        <v>744</v>
      </c>
      <c r="C55">
        <v>225</v>
      </c>
      <c r="D55">
        <v>0.34691097674876298</v>
      </c>
      <c r="E55">
        <v>11.220759099548401</v>
      </c>
      <c r="F55">
        <v>2.2079471976675098</v>
      </c>
      <c r="G55">
        <v>-182.36854848058096</v>
      </c>
      <c r="H55">
        <v>-152.98193562969453</v>
      </c>
      <c r="I55">
        <v>28.891129971868899</v>
      </c>
      <c r="J55">
        <v>15.1626407291063</v>
      </c>
      <c r="K55">
        <v>5.0819870653619104</v>
      </c>
      <c r="L55">
        <v>1.5323395012229753E-4</v>
      </c>
      <c r="M55">
        <v>1.7704755169741758E-5</v>
      </c>
      <c r="N55" s="1">
        <v>3.7698548341254598E-7</v>
      </c>
      <c r="O55" s="1">
        <v>1.04357645674098E-8</v>
      </c>
      <c r="P55" s="1">
        <v>-5.4318258497560997E-8</v>
      </c>
      <c r="Q55">
        <v>71.469521501127304</v>
      </c>
      <c r="R55">
        <v>0.14227685907351101</v>
      </c>
      <c r="S55">
        <v>12.397885526227499</v>
      </c>
      <c r="T55">
        <v>0.25846729313884098</v>
      </c>
      <c r="V55">
        <v>0.59660726739141101</v>
      </c>
      <c r="W55">
        <v>0.35301224945721699</v>
      </c>
      <c r="X55">
        <v>0.16001581018129701</v>
      </c>
      <c r="AA55">
        <v>0.60475512603078696</v>
      </c>
      <c r="AB55">
        <v>3.7175074872015901</v>
      </c>
      <c r="AC55">
        <v>4.35990552749334</v>
      </c>
      <c r="AD55">
        <v>0.17824106036422899</v>
      </c>
      <c r="AE55">
        <v>5.7618042923128803</v>
      </c>
    </row>
    <row r="56" spans="1:31" x14ac:dyDescent="0.2">
      <c r="A56">
        <v>55</v>
      </c>
      <c r="B56">
        <v>743</v>
      </c>
      <c r="C56">
        <v>225</v>
      </c>
      <c r="D56">
        <v>0.34619938001279399</v>
      </c>
      <c r="E56">
        <v>8.6686318368488706</v>
      </c>
      <c r="F56">
        <v>2.2096780525307498</v>
      </c>
      <c r="G56">
        <v>-140.81355882915364</v>
      </c>
      <c r="H56">
        <v>-118.1402739609381</v>
      </c>
      <c r="I56">
        <v>22.312931032047899</v>
      </c>
      <c r="J56">
        <v>11.723027041709599</v>
      </c>
      <c r="K56">
        <v>3.9230293421797899</v>
      </c>
      <c r="L56">
        <v>1.5367101570970489E-4</v>
      </c>
      <c r="M56">
        <v>1.7732794008922649E-5</v>
      </c>
      <c r="N56" s="1">
        <v>2.9264188483668597E-7</v>
      </c>
      <c r="O56" s="1">
        <v>8.0826817231935899E-9</v>
      </c>
      <c r="P56" s="1">
        <v>-4.2102220455331097E-8</v>
      </c>
      <c r="Q56">
        <v>71.210552047726296</v>
      </c>
      <c r="R56">
        <v>0.14065593641416699</v>
      </c>
      <c r="S56">
        <v>12.505846446880501</v>
      </c>
      <c r="T56">
        <v>0.25761327333363898</v>
      </c>
      <c r="V56">
        <v>0.59525306821661506</v>
      </c>
      <c r="W56">
        <v>0.45451599640093798</v>
      </c>
      <c r="X56">
        <v>0.15980536320421701</v>
      </c>
      <c r="AA56">
        <v>0.65976644041773502</v>
      </c>
      <c r="AB56">
        <v>3.6528816896391598</v>
      </c>
      <c r="AC56">
        <v>4.34945428209131</v>
      </c>
      <c r="AD56">
        <v>0.230716915614436</v>
      </c>
      <c r="AE56">
        <v>5.7829385400608704</v>
      </c>
    </row>
    <row r="57" spans="1:31" x14ac:dyDescent="0.2">
      <c r="A57">
        <v>56</v>
      </c>
      <c r="B57">
        <v>772</v>
      </c>
      <c r="C57">
        <v>200</v>
      </c>
      <c r="D57">
        <v>0.39259484284552498</v>
      </c>
      <c r="E57">
        <v>104.52688817200401</v>
      </c>
      <c r="F57">
        <v>2.1853881943814701</v>
      </c>
      <c r="G57">
        <v>-1715.5866824537163</v>
      </c>
      <c r="H57">
        <v>-1430.4389335072938</v>
      </c>
      <c r="I57">
        <v>272.82949715009499</v>
      </c>
      <c r="J57">
        <v>141.46029894089401</v>
      </c>
      <c r="K57">
        <v>47.829895137503797</v>
      </c>
      <c r="L57">
        <v>1.5241482076400477E-4</v>
      </c>
      <c r="M57">
        <v>1.8116013664193784E-5</v>
      </c>
      <c r="N57" s="1">
        <v>3.3257081004398201E-6</v>
      </c>
      <c r="O57" s="1">
        <v>9.8523566078159995E-8</v>
      </c>
      <c r="P57" s="1">
        <v>-5.0439843285670195E-7</v>
      </c>
      <c r="Q57">
        <v>72.545927010896307</v>
      </c>
      <c r="R57">
        <v>7.6535331146905999E-2</v>
      </c>
      <c r="S57">
        <v>12.398723645799301</v>
      </c>
      <c r="T57">
        <v>0.17587551443372501</v>
      </c>
      <c r="V57">
        <v>0.41850213731108199</v>
      </c>
      <c r="W57">
        <v>3.8267665573452701E-2</v>
      </c>
      <c r="X57">
        <v>2.87007491800901E-2</v>
      </c>
      <c r="AA57">
        <v>0.57401498360179404</v>
      </c>
      <c r="AB57">
        <v>4.4294822901271598</v>
      </c>
      <c r="AC57">
        <v>3.7023966442315301</v>
      </c>
      <c r="AD57">
        <v>1.9133832786726E-2</v>
      </c>
      <c r="AE57">
        <v>5.5924401949118998</v>
      </c>
    </row>
    <row r="58" spans="1:31" x14ac:dyDescent="0.2">
      <c r="A58">
        <v>57</v>
      </c>
      <c r="B58">
        <v>771</v>
      </c>
      <c r="C58">
        <v>200</v>
      </c>
      <c r="D58">
        <v>0.391946080543984</v>
      </c>
      <c r="E58">
        <v>104.26544198240001</v>
      </c>
      <c r="F58">
        <v>2.1857507860672398</v>
      </c>
      <c r="G58">
        <v>-1710.9477509155583</v>
      </c>
      <c r="H58">
        <v>-1426.9812722071711</v>
      </c>
      <c r="I58">
        <v>271.95946818789099</v>
      </c>
      <c r="J58">
        <v>141.068640631379</v>
      </c>
      <c r="K58">
        <v>47.702346784924401</v>
      </c>
      <c r="L58">
        <v>1.5224805145472311E-4</v>
      </c>
      <c r="M58">
        <v>1.8101515605427896E-5</v>
      </c>
      <c r="N58" s="1">
        <v>3.31843761787883E-6</v>
      </c>
      <c r="O58" s="1">
        <v>9.8126119346860306E-8</v>
      </c>
      <c r="P58" s="1">
        <v>-5.0247682405590296E-7</v>
      </c>
      <c r="Q58">
        <v>72.5766884247804</v>
      </c>
      <c r="R58">
        <v>7.6727243925656705E-2</v>
      </c>
      <c r="S58">
        <v>12.379767854712901</v>
      </c>
      <c r="T58">
        <v>0.176549759988466</v>
      </c>
      <c r="V58">
        <v>0.41934166485232699</v>
      </c>
      <c r="W58">
        <v>3.8363621962827402E-2</v>
      </c>
      <c r="X58">
        <v>2.87727164721223E-2</v>
      </c>
      <c r="AA58">
        <v>0.56943444527006704</v>
      </c>
      <c r="AB58">
        <v>4.4187929129072101</v>
      </c>
      <c r="AC58">
        <v>3.7086837039435601</v>
      </c>
      <c r="AD58">
        <v>1.9181810981412799E-2</v>
      </c>
      <c r="AE58">
        <v>5.5876958402028896</v>
      </c>
    </row>
    <row r="59" spans="1:31" x14ac:dyDescent="0.2">
      <c r="A59">
        <v>58</v>
      </c>
      <c r="B59">
        <v>770</v>
      </c>
      <c r="C59">
        <v>200</v>
      </c>
      <c r="D59">
        <v>0.39129607439006903</v>
      </c>
      <c r="E59">
        <v>103.76101226278401</v>
      </c>
      <c r="F59">
        <v>2.1861446544624199</v>
      </c>
      <c r="G59">
        <v>-1702.2540496801867</v>
      </c>
      <c r="H59">
        <v>-1420.1783904119288</v>
      </c>
      <c r="I59">
        <v>270.40757251426601</v>
      </c>
      <c r="J59">
        <v>140.32548000481299</v>
      </c>
      <c r="K59">
        <v>47.463013049472401</v>
      </c>
      <c r="L59">
        <v>1.519675087525024E-4</v>
      </c>
      <c r="M59">
        <v>1.8080680007536628E-5</v>
      </c>
      <c r="N59" s="1">
        <v>3.3007648092396802E-6</v>
      </c>
      <c r="O59" s="1">
        <v>9.7428827733611397E-8</v>
      </c>
      <c r="P59" s="1">
        <v>-4.9886411305591503E-7</v>
      </c>
      <c r="Q59">
        <v>72.6361316341509</v>
      </c>
      <c r="R59">
        <v>7.71002501376849E-2</v>
      </c>
      <c r="S59">
        <v>12.343213884107399</v>
      </c>
      <c r="T59">
        <v>0.17761201892636699</v>
      </c>
      <c r="V59">
        <v>0.42119674210071401</v>
      </c>
      <c r="W59">
        <v>3.8550125068841201E-2</v>
      </c>
      <c r="X59">
        <v>2.8912593801633201E-2</v>
      </c>
      <c r="AA59">
        <v>0.56085058656012599</v>
      </c>
      <c r="AB59">
        <v>4.3979380962650998</v>
      </c>
      <c r="AC59">
        <v>3.7207541169341498</v>
      </c>
      <c r="AD59">
        <v>1.92750625344194E-2</v>
      </c>
      <c r="AE59">
        <v>5.5784648894125599</v>
      </c>
    </row>
    <row r="60" spans="1:31" x14ac:dyDescent="0.2">
      <c r="A60">
        <v>59</v>
      </c>
      <c r="B60">
        <v>769</v>
      </c>
      <c r="C60">
        <v>200</v>
      </c>
      <c r="D60">
        <v>0.390644820803149</v>
      </c>
      <c r="E60">
        <v>103.254737332628</v>
      </c>
      <c r="F60">
        <v>2.1865424319978399</v>
      </c>
      <c r="G60">
        <v>-1693.5336943312989</v>
      </c>
      <c r="H60">
        <v>-1413.3498101989776</v>
      </c>
      <c r="I60">
        <v>268.85178154039301</v>
      </c>
      <c r="J60">
        <v>139.580106888968</v>
      </c>
      <c r="K60">
        <v>47.2228372162364</v>
      </c>
      <c r="L60">
        <v>1.5168424930319944E-4</v>
      </c>
      <c r="M60">
        <v>1.8059724044928798E-5</v>
      </c>
      <c r="N60" s="1">
        <v>3.2829700723621799E-6</v>
      </c>
      <c r="O60" s="1">
        <v>9.6730361399259295E-8</v>
      </c>
      <c r="P60" s="1">
        <v>-4.9523910436921204E-7</v>
      </c>
      <c r="Q60">
        <v>72.695898283473994</v>
      </c>
      <c r="R60">
        <v>7.7478285322915993E-2</v>
      </c>
      <c r="S60">
        <v>12.3065263397793</v>
      </c>
      <c r="T60">
        <v>0.178687493504644</v>
      </c>
      <c r="V60">
        <v>0.423077825232334</v>
      </c>
      <c r="W60">
        <v>3.8739142661456401E-2</v>
      </c>
      <c r="X60">
        <v>2.90543569960953E-2</v>
      </c>
      <c r="AA60">
        <v>0.55255892103474402</v>
      </c>
      <c r="AB60">
        <v>4.3767014253156402</v>
      </c>
      <c r="AC60">
        <v>3.7327869828493898</v>
      </c>
      <c r="AD60">
        <v>1.9369571330726601E-2</v>
      </c>
      <c r="AE60">
        <v>5.5691213724987296</v>
      </c>
    </row>
    <row r="61" spans="1:31" x14ac:dyDescent="0.2">
      <c r="A61">
        <v>60</v>
      </c>
      <c r="B61">
        <v>768</v>
      </c>
      <c r="C61">
        <v>200</v>
      </c>
      <c r="D61">
        <v>0.38999231618883101</v>
      </c>
      <c r="E61">
        <v>102.746930692501</v>
      </c>
      <c r="F61">
        <v>2.1869439164760598</v>
      </c>
      <c r="G61">
        <v>-1684.7919526471085</v>
      </c>
      <c r="H61">
        <v>-1406.4998370586752</v>
      </c>
      <c r="I61">
        <v>267.293008297011</v>
      </c>
      <c r="J61">
        <v>138.832970054924</v>
      </c>
      <c r="K61">
        <v>46.981968727420899</v>
      </c>
      <c r="L61">
        <v>1.5139840105437809E-4</v>
      </c>
      <c r="M61">
        <v>1.8038657698674726E-5</v>
      </c>
      <c r="N61" s="1">
        <v>3.2650679760920201E-6</v>
      </c>
      <c r="O61" s="1">
        <v>9.6031151500241803E-8</v>
      </c>
      <c r="P61" s="1">
        <v>-4.9160421653482902E-7</v>
      </c>
      <c r="Q61">
        <v>72.755975010790294</v>
      </c>
      <c r="R61">
        <v>7.7861206617862999E-2</v>
      </c>
      <c r="S61">
        <v>12.2697125242443</v>
      </c>
      <c r="T61">
        <v>0.179775919479531</v>
      </c>
      <c r="V61">
        <v>0.42498407542244798</v>
      </c>
      <c r="W61">
        <v>3.8930603308929598E-2</v>
      </c>
      <c r="X61">
        <v>2.9197952481700599E-2</v>
      </c>
      <c r="AA61">
        <v>0.54455501599499001</v>
      </c>
      <c r="AB61">
        <v>4.3550992521923604</v>
      </c>
      <c r="AC61">
        <v>3.74477174564253</v>
      </c>
      <c r="AD61">
        <v>1.9465301654462999E-2</v>
      </c>
      <c r="AE61">
        <v>5.5596713921704204</v>
      </c>
    </row>
    <row r="62" spans="1:31" x14ac:dyDescent="0.2">
      <c r="A62">
        <v>61</v>
      </c>
      <c r="B62">
        <v>767</v>
      </c>
      <c r="C62">
        <v>200</v>
      </c>
      <c r="D62">
        <v>0.38933855693890601</v>
      </c>
      <c r="E62">
        <v>102.23790942594199</v>
      </c>
      <c r="F62">
        <v>2.1873489005097499</v>
      </c>
      <c r="G62">
        <v>-1676.0341451912836</v>
      </c>
      <c r="H62">
        <v>-1399.6328253039358</v>
      </c>
      <c r="I62">
        <v>265.73217313594</v>
      </c>
      <c r="J62">
        <v>138.084522616177</v>
      </c>
      <c r="K62">
        <v>46.7405585830939</v>
      </c>
      <c r="L62">
        <v>1.5111009628457114E-4</v>
      </c>
      <c r="M62">
        <v>1.8017491130165034E-5</v>
      </c>
      <c r="N62" s="1">
        <v>3.24707323619957E-6</v>
      </c>
      <c r="O62" s="1">
        <v>9.5331630302574797E-8</v>
      </c>
      <c r="P62" s="1">
        <v>-4.8796188248182795E-7</v>
      </c>
      <c r="Q62">
        <v>72.816347664186495</v>
      </c>
      <c r="R62">
        <v>7.8248861356022603E-2</v>
      </c>
      <c r="S62">
        <v>12.232780149078399</v>
      </c>
      <c r="T62">
        <v>0.180877011709454</v>
      </c>
      <c r="V62">
        <v>0.42691459877646798</v>
      </c>
      <c r="W62">
        <v>3.9124430678008998E-2</v>
      </c>
      <c r="X62">
        <v>2.9343323008510998E-2</v>
      </c>
      <c r="AA62">
        <v>0.53683402905161304</v>
      </c>
      <c r="AB62">
        <v>4.3331486056391997</v>
      </c>
      <c r="AC62">
        <v>3.75669789421221</v>
      </c>
      <c r="AD62">
        <v>1.9562215339002199E-2</v>
      </c>
      <c r="AE62">
        <v>5.5501212169645902</v>
      </c>
    </row>
    <row r="63" spans="1:31" x14ac:dyDescent="0.2">
      <c r="A63">
        <v>62</v>
      </c>
      <c r="B63">
        <v>766</v>
      </c>
      <c r="C63">
        <v>200</v>
      </c>
      <c r="D63">
        <v>0.38868353943126899</v>
      </c>
      <c r="E63">
        <v>101.72799218217401</v>
      </c>
      <c r="F63">
        <v>2.1877571727426499</v>
      </c>
      <c r="G63">
        <v>-1667.2656115705286</v>
      </c>
      <c r="H63">
        <v>-1392.7531503792034</v>
      </c>
      <c r="I63">
        <v>264.170197941899</v>
      </c>
      <c r="J63">
        <v>137.33521915416199</v>
      </c>
      <c r="K63">
        <v>46.498758385805999</v>
      </c>
      <c r="L63">
        <v>1.5081947076039202E-4</v>
      </c>
      <c r="M63">
        <v>1.7996234621173779E-5</v>
      </c>
      <c r="N63" s="1">
        <v>3.2290006232462602E-6</v>
      </c>
      <c r="O63" s="1">
        <v>9.4632228515242495E-8</v>
      </c>
      <c r="P63" s="1">
        <v>-4.8431453442460497E-7</v>
      </c>
      <c r="Q63">
        <v>72.877001404421407</v>
      </c>
      <c r="R63">
        <v>7.8641088144880994E-2</v>
      </c>
      <c r="S63">
        <v>12.195737279280699</v>
      </c>
      <c r="T63">
        <v>0.18199046638681399</v>
      </c>
      <c r="V63">
        <v>0.42886845243813998</v>
      </c>
      <c r="W63">
        <v>3.9320544072437902E-2</v>
      </c>
      <c r="X63">
        <v>2.94904080543332E-2</v>
      </c>
      <c r="AA63">
        <v>0.52939074059903701</v>
      </c>
      <c r="AB63">
        <v>4.3108670837275698</v>
      </c>
      <c r="AC63">
        <v>3.7685550187217598</v>
      </c>
      <c r="AD63">
        <v>1.9660272036216401E-2</v>
      </c>
      <c r="AE63">
        <v>5.5404772421165402</v>
      </c>
    </row>
    <row r="64" spans="1:31" x14ac:dyDescent="0.2">
      <c r="A64">
        <v>63</v>
      </c>
      <c r="B64">
        <v>765</v>
      </c>
      <c r="C64">
        <v>200</v>
      </c>
      <c r="D64">
        <v>0.38802726002986099</v>
      </c>
      <c r="E64">
        <v>101.217497200964</v>
      </c>
      <c r="F64">
        <v>2.1881685190698299</v>
      </c>
      <c r="G64">
        <v>-1658.4916774664741</v>
      </c>
      <c r="H64">
        <v>-1385.8651817530397</v>
      </c>
      <c r="I64">
        <v>262.608000494566</v>
      </c>
      <c r="J64">
        <v>136.58551291143499</v>
      </c>
      <c r="K64">
        <v>46.256719406598101</v>
      </c>
      <c r="L64">
        <v>1.5052666288675815E-4</v>
      </c>
      <c r="M64">
        <v>1.7974898514665199E-5</v>
      </c>
      <c r="N64" s="1">
        <v>3.2108648727200099E-6</v>
      </c>
      <c r="O64" s="1">
        <v>9.3933372717406596E-8</v>
      </c>
      <c r="P64" s="1">
        <v>-4.8066458921543699E-7</v>
      </c>
      <c r="Q64">
        <v>72.937920811179197</v>
      </c>
      <c r="R64">
        <v>7.9037717995697795E-2</v>
      </c>
      <c r="S64">
        <v>12.158592275772</v>
      </c>
      <c r="T64">
        <v>0.183115963385482</v>
      </c>
      <c r="V64">
        <v>0.43084465099089703</v>
      </c>
      <c r="W64">
        <v>3.9518858997846101E-2</v>
      </c>
      <c r="X64">
        <v>2.96391442483897E-2</v>
      </c>
      <c r="AA64">
        <v>0.52221958895254394</v>
      </c>
      <c r="AB64">
        <v>4.2882727441721702</v>
      </c>
      <c r="AC64">
        <v>3.7803328643279799</v>
      </c>
      <c r="AD64">
        <v>1.97594294989204E-2</v>
      </c>
      <c r="AE64">
        <v>5.5307459504787104</v>
      </c>
    </row>
    <row r="65" spans="1:31" x14ac:dyDescent="0.2">
      <c r="A65">
        <v>64</v>
      </c>
      <c r="B65">
        <v>764</v>
      </c>
      <c r="C65">
        <v>200</v>
      </c>
      <c r="D65">
        <v>0.38736971508460899</v>
      </c>
      <c r="E65">
        <v>100.70674040973999</v>
      </c>
      <c r="F65">
        <v>2.18858272384051</v>
      </c>
      <c r="G65">
        <v>-1649.7176229416348</v>
      </c>
      <c r="H65">
        <v>-1378.9732568075731</v>
      </c>
      <c r="I65">
        <v>261.04648906528502</v>
      </c>
      <c r="J65">
        <v>135.83585309499199</v>
      </c>
      <c r="K65">
        <v>46.0145916865416</v>
      </c>
      <c r="L65">
        <v>1.5023181286281752E-4</v>
      </c>
      <c r="M65">
        <v>1.7953493157138548E-5</v>
      </c>
      <c r="N65" s="1">
        <v>3.1926805987553502E-6</v>
      </c>
      <c r="O65" s="1">
        <v>9.3235482916094603E-8</v>
      </c>
      <c r="P65" s="1">
        <v>-4.7701443436563405E-7</v>
      </c>
      <c r="Q65">
        <v>72.999089991107596</v>
      </c>
      <c r="R65">
        <v>7.9438575486119503E-2</v>
      </c>
      <c r="S65">
        <v>12.121353737045</v>
      </c>
      <c r="T65">
        <v>0.184253168682529</v>
      </c>
      <c r="V65">
        <v>0.43284217304006301</v>
      </c>
      <c r="W65">
        <v>3.9719287743056698E-2</v>
      </c>
      <c r="X65">
        <v>2.9789465807298101E-2</v>
      </c>
      <c r="AA65">
        <v>0.515314707469816</v>
      </c>
      <c r="AB65">
        <v>4.2653839940894702</v>
      </c>
      <c r="AC65">
        <v>3.7920213816192598</v>
      </c>
      <c r="AD65">
        <v>1.98596438715254E-2</v>
      </c>
      <c r="AE65">
        <v>5.5209338740382101</v>
      </c>
    </row>
    <row r="66" spans="1:31" x14ac:dyDescent="0.2">
      <c r="A66">
        <v>65</v>
      </c>
      <c r="B66">
        <v>763</v>
      </c>
      <c r="C66">
        <v>200</v>
      </c>
      <c r="D66">
        <v>0.38671090093133698</v>
      </c>
      <c r="E66">
        <v>100.196033618966</v>
      </c>
      <c r="F66">
        <v>2.1889995710326899</v>
      </c>
      <c r="G66">
        <v>-1640.9486524472436</v>
      </c>
      <c r="H66">
        <v>-1372.0816560809433</v>
      </c>
      <c r="I66">
        <v>259.48655731921002</v>
      </c>
      <c r="J66">
        <v>135.086682325813</v>
      </c>
      <c r="K66">
        <v>45.772523185875798</v>
      </c>
      <c r="L66">
        <v>1.4993506185146166E-4</v>
      </c>
      <c r="M66">
        <v>1.7932028842927389E-5</v>
      </c>
      <c r="N66" s="1">
        <v>3.1744622124605898E-6</v>
      </c>
      <c r="O66" s="1">
        <v>9.2538970262259098E-8</v>
      </c>
      <c r="P66" s="1">
        <v>-4.73366414896073E-7</v>
      </c>
      <c r="Q66">
        <v>73.060492686226198</v>
      </c>
      <c r="R66">
        <v>7.9843479936773695E-2</v>
      </c>
      <c r="S66">
        <v>12.084030440827499</v>
      </c>
      <c r="T66">
        <v>0.18540173681470301</v>
      </c>
      <c r="V66">
        <v>0.43485996786912601</v>
      </c>
      <c r="W66">
        <v>3.9921739968383399E-2</v>
      </c>
      <c r="X66">
        <v>2.9941304976293898E-2</v>
      </c>
      <c r="AA66">
        <v>0.50866996292725197</v>
      </c>
      <c r="AB66">
        <v>4.2422194808660496</v>
      </c>
      <c r="AC66">
        <v>3.8036107732601301</v>
      </c>
      <c r="AD66">
        <v>1.99608699841884E-2</v>
      </c>
      <c r="AE66">
        <v>5.51104755634322</v>
      </c>
    </row>
    <row r="67" spans="1:31" x14ac:dyDescent="0.2">
      <c r="A67">
        <v>66</v>
      </c>
      <c r="B67">
        <v>762</v>
      </c>
      <c r="C67">
        <v>200</v>
      </c>
      <c r="D67">
        <v>0.38605081389170998</v>
      </c>
      <c r="E67">
        <v>99.685682836359206</v>
      </c>
      <c r="F67">
        <v>2.1894188453724901</v>
      </c>
      <c r="G67">
        <v>-1632.1898668743013</v>
      </c>
      <c r="H67">
        <v>-1365.1945801447921</v>
      </c>
      <c r="I67">
        <v>257.92907958219399</v>
      </c>
      <c r="J67">
        <v>134.33843426378601</v>
      </c>
      <c r="K67">
        <v>45.5306589906507</v>
      </c>
      <c r="L67">
        <v>1.4963655117971502E-4</v>
      </c>
      <c r="M67">
        <v>1.7910515761692841E-5</v>
      </c>
      <c r="N67" s="1">
        <v>3.1562238459853102E-6</v>
      </c>
      <c r="O67" s="1">
        <v>9.18442349553543E-8</v>
      </c>
      <c r="P67" s="1">
        <v>-4.6972282119800403E-7</v>
      </c>
      <c r="Q67">
        <v>73.122112381080697</v>
      </c>
      <c r="R67">
        <v>8.0252246585227199E-2</v>
      </c>
      <c r="S67">
        <v>12.046631286422</v>
      </c>
      <c r="T67">
        <v>0.18656131333411199</v>
      </c>
      <c r="V67">
        <v>0.43689696207689599</v>
      </c>
      <c r="W67">
        <v>4.0126123292609901E-2</v>
      </c>
      <c r="X67">
        <v>3.0094592469464301E-2</v>
      </c>
      <c r="AA67">
        <v>0.502278994493213</v>
      </c>
      <c r="AB67">
        <v>4.2187979856414897</v>
      </c>
      <c r="AC67">
        <v>3.8150915362856601</v>
      </c>
      <c r="AD67">
        <v>2.0063061646301401E-2</v>
      </c>
      <c r="AE67">
        <v>5.5010935166722099</v>
      </c>
    </row>
    <row r="68" spans="1:31" x14ac:dyDescent="0.2">
      <c r="A68">
        <v>67</v>
      </c>
      <c r="B68">
        <v>761</v>
      </c>
      <c r="C68">
        <v>200</v>
      </c>
      <c r="D68">
        <v>0.38538945027317301</v>
      </c>
      <c r="E68">
        <v>97.731967889774594</v>
      </c>
      <c r="F68">
        <v>2.1902874536437</v>
      </c>
      <c r="G68">
        <v>-1599.4646667009654</v>
      </c>
      <c r="H68">
        <v>-1338.2268882256601</v>
      </c>
      <c r="I68">
        <v>252.61110909955499</v>
      </c>
      <c r="J68">
        <v>131.65420060645701</v>
      </c>
      <c r="K68">
        <v>44.620612571738199</v>
      </c>
      <c r="L68">
        <v>1.4935356279718274E-4</v>
      </c>
      <c r="M68">
        <v>1.787630943735718E-5</v>
      </c>
      <c r="N68" s="1">
        <v>3.0892427741141198E-6</v>
      </c>
      <c r="O68" s="1">
        <v>8.9744717732353904E-8</v>
      </c>
      <c r="P68" s="1">
        <v>-4.5941820743998102E-7</v>
      </c>
      <c r="Q68">
        <v>73.114833727906202</v>
      </c>
      <c r="R68">
        <v>8.18565324400609E-2</v>
      </c>
      <c r="S68">
        <v>12.0390247254228</v>
      </c>
      <c r="T68">
        <v>0.19061181799166699</v>
      </c>
      <c r="V68">
        <v>0.44534189083597098</v>
      </c>
      <c r="W68">
        <v>4.09282662200256E-2</v>
      </c>
      <c r="X68">
        <v>3.0696199665027998E-2</v>
      </c>
      <c r="AA68">
        <v>0.49044101932955197</v>
      </c>
      <c r="AB68">
        <v>4.1907838992229802</v>
      </c>
      <c r="AC68">
        <v>3.86935024456145</v>
      </c>
      <c r="AD68">
        <v>2.04641331100083E-2</v>
      </c>
      <c r="AE68">
        <v>5.4856675432941699</v>
      </c>
    </row>
    <row r="69" spans="1:31" x14ac:dyDescent="0.2">
      <c r="A69">
        <v>68</v>
      </c>
      <c r="B69">
        <v>760</v>
      </c>
      <c r="C69">
        <v>200</v>
      </c>
      <c r="D69">
        <v>0.38472680636887402</v>
      </c>
      <c r="E69">
        <v>95.267235424446397</v>
      </c>
      <c r="F69">
        <v>2.1913421195892702</v>
      </c>
      <c r="G69">
        <v>-1558.2809545500093</v>
      </c>
      <c r="H69">
        <v>-1304.1601906963697</v>
      </c>
      <c r="I69">
        <v>245.96695915756601</v>
      </c>
      <c r="J69">
        <v>128.285060016036</v>
      </c>
      <c r="K69">
        <v>43.4743779042144</v>
      </c>
      <c r="L69">
        <v>1.4906363622748422E-4</v>
      </c>
      <c r="M69">
        <v>1.78368919149796E-5</v>
      </c>
      <c r="N69" s="1">
        <v>3.0049584125815402E-6</v>
      </c>
      <c r="O69" s="1">
        <v>8.7153894593743494E-8</v>
      </c>
      <c r="P69" s="1">
        <v>-4.4673406409788302E-7</v>
      </c>
      <c r="Q69">
        <v>73.084694989456906</v>
      </c>
      <c r="R69">
        <v>8.3974306217219005E-2</v>
      </c>
      <c r="S69">
        <v>12.040878447849099</v>
      </c>
      <c r="T69">
        <v>0.195903497592082</v>
      </c>
      <c r="V69">
        <v>0.45653955183669398</v>
      </c>
      <c r="W69">
        <v>4.1987153108604E-2</v>
      </c>
      <c r="X69">
        <v>3.1490364831462697E-2</v>
      </c>
      <c r="AA69">
        <v>0.47782955878878502</v>
      </c>
      <c r="AB69">
        <v>4.1591062357190296</v>
      </c>
      <c r="AC69">
        <v>3.93883990969575</v>
      </c>
      <c r="AD69">
        <v>2.0993576554297198E-2</v>
      </c>
      <c r="AE69">
        <v>5.4677624083499801</v>
      </c>
    </row>
    <row r="70" spans="1:31" x14ac:dyDescent="0.2">
      <c r="A70">
        <v>69</v>
      </c>
      <c r="B70">
        <v>759</v>
      </c>
      <c r="C70">
        <v>200</v>
      </c>
      <c r="D70">
        <v>0.38406287845759102</v>
      </c>
      <c r="E70">
        <v>92.736746271786501</v>
      </c>
      <c r="F70">
        <v>2.1924478429792398</v>
      </c>
      <c r="G70">
        <v>-1516.0408961444803</v>
      </c>
      <c r="H70">
        <v>-1269.1928776738937</v>
      </c>
      <c r="I70">
        <v>239.159054856936</v>
      </c>
      <c r="J70">
        <v>124.828552792287</v>
      </c>
      <c r="K70">
        <v>42.298267924024898</v>
      </c>
      <c r="L70">
        <v>1.4875994091601621E-4</v>
      </c>
      <c r="M70">
        <v>1.7796176548375115E-5</v>
      </c>
      <c r="N70" s="1">
        <v>2.9184626382523301E-6</v>
      </c>
      <c r="O70" s="1">
        <v>8.4508379385154103E-8</v>
      </c>
      <c r="P70" s="1">
        <v>-4.33728689885434E-7</v>
      </c>
      <c r="Q70">
        <v>73.0536071074348</v>
      </c>
      <c r="R70">
        <v>8.6265696410725304E-2</v>
      </c>
      <c r="S70">
        <v>12.042559058469701</v>
      </c>
      <c r="T70">
        <v>0.20161342815647301</v>
      </c>
      <c r="V70">
        <v>0.46866920894515401</v>
      </c>
      <c r="W70">
        <v>4.31328482053564E-2</v>
      </c>
      <c r="X70">
        <v>3.2349636154028499E-2</v>
      </c>
      <c r="AA70">
        <v>0.46642031447736898</v>
      </c>
      <c r="AB70">
        <v>4.1248373364220798</v>
      </c>
      <c r="AC70">
        <v>4.0099610727874699</v>
      </c>
      <c r="AD70">
        <v>2.1566424102672399E-2</v>
      </c>
      <c r="AE70">
        <v>5.44901786843403</v>
      </c>
    </row>
    <row r="71" spans="1:31" x14ac:dyDescent="0.2">
      <c r="A71">
        <v>70</v>
      </c>
      <c r="B71">
        <v>758</v>
      </c>
      <c r="C71">
        <v>200</v>
      </c>
      <c r="D71">
        <v>0.383397662803666</v>
      </c>
      <c r="E71">
        <v>90.1215787110646</v>
      </c>
      <c r="F71">
        <v>2.1936092707011001</v>
      </c>
      <c r="G71">
        <v>-1472.4363383238469</v>
      </c>
      <c r="H71">
        <v>-1233.0653476141322</v>
      </c>
      <c r="I71">
        <v>232.13983485401201</v>
      </c>
      <c r="J71">
        <v>121.259464433158</v>
      </c>
      <c r="K71">
        <v>41.083697044305701</v>
      </c>
      <c r="L71">
        <v>1.4844280310003416E-4</v>
      </c>
      <c r="M71">
        <v>1.7754168080347857E-5</v>
      </c>
      <c r="N71" s="1">
        <v>2.8292104898704799E-6</v>
      </c>
      <c r="O71" s="1">
        <v>8.1792621459939206E-8</v>
      </c>
      <c r="P71" s="1">
        <v>-4.2032149077823503E-7</v>
      </c>
      <c r="Q71">
        <v>73.021299386112105</v>
      </c>
      <c r="R71">
        <v>8.87689731407071E-2</v>
      </c>
      <c r="S71">
        <v>12.044028868283799</v>
      </c>
      <c r="T71">
        <v>0.20783181434158701</v>
      </c>
      <c r="V71">
        <v>0.481938091945532</v>
      </c>
      <c r="W71">
        <v>4.4384486570343801E-2</v>
      </c>
      <c r="X71">
        <v>3.3288364927775399E-2</v>
      </c>
      <c r="AA71">
        <v>0.45626871422689602</v>
      </c>
      <c r="AB71">
        <v>4.0879107230265497</v>
      </c>
      <c r="AC71">
        <v>4.08265873231906</v>
      </c>
      <c r="AD71">
        <v>2.21922432851633E-2</v>
      </c>
      <c r="AE71">
        <v>5.4294296018203498</v>
      </c>
    </row>
    <row r="72" spans="1:31" x14ac:dyDescent="0.2">
      <c r="A72">
        <v>71</v>
      </c>
      <c r="B72">
        <v>757</v>
      </c>
      <c r="C72">
        <v>200</v>
      </c>
      <c r="D72">
        <v>0.38273115565694399</v>
      </c>
      <c r="E72">
        <v>87.393387205632806</v>
      </c>
      <c r="F72">
        <v>2.1948331695262402</v>
      </c>
      <c r="G72">
        <v>-1427.0052300739892</v>
      </c>
      <c r="H72">
        <v>-1195.3886079996535</v>
      </c>
      <c r="I72">
        <v>224.837763504669</v>
      </c>
      <c r="J72">
        <v>117.539970265112</v>
      </c>
      <c r="K72">
        <v>39.817781332554198</v>
      </c>
      <c r="L72">
        <v>1.4811274812054326E-4</v>
      </c>
      <c r="M72">
        <v>1.7710879578439243E-5</v>
      </c>
      <c r="N72" s="1">
        <v>2.7363712770714299E-6</v>
      </c>
      <c r="O72" s="1">
        <v>7.8982910112846697E-8</v>
      </c>
      <c r="P72" s="1">
        <v>-4.0638932664815E-7</v>
      </c>
      <c r="Q72">
        <v>72.987377634210901</v>
      </c>
      <c r="R72">
        <v>9.1540106818116404E-2</v>
      </c>
      <c r="S72">
        <v>12.045233586618901</v>
      </c>
      <c r="T72">
        <v>0.21469020142635201</v>
      </c>
      <c r="V72">
        <v>0.49664961817041497</v>
      </c>
      <c r="W72">
        <v>4.5770053409047801E-2</v>
      </c>
      <c r="X72">
        <v>3.4327540056804703E-2</v>
      </c>
      <c r="AA72">
        <v>0.44746543965248498</v>
      </c>
      <c r="AB72">
        <v>4.0482292604901398</v>
      </c>
      <c r="AC72">
        <v>4.1568369214774297</v>
      </c>
      <c r="AD72">
        <v>2.2885026704514599E-2</v>
      </c>
      <c r="AE72">
        <v>5.4089946109647098</v>
      </c>
    </row>
    <row r="73" spans="1:31" x14ac:dyDescent="0.2">
      <c r="A73">
        <v>72</v>
      </c>
      <c r="B73">
        <v>756</v>
      </c>
      <c r="C73">
        <v>200</v>
      </c>
      <c r="D73">
        <v>0.38206335325268598</v>
      </c>
      <c r="E73">
        <v>84.507707746055004</v>
      </c>
      <c r="F73">
        <v>2.1961299725946701</v>
      </c>
      <c r="G73">
        <v>-1379.0223075479121</v>
      </c>
      <c r="H73">
        <v>-1155.5523630119544</v>
      </c>
      <c r="I73">
        <v>217.14030465525599</v>
      </c>
      <c r="J73">
        <v>113.610679074356</v>
      </c>
      <c r="K73">
        <v>38.480285229298602</v>
      </c>
      <c r="L73">
        <v>1.477706725853771E-4</v>
      </c>
      <c r="M73">
        <v>1.7666341135371531E-5</v>
      </c>
      <c r="N73" s="1">
        <v>2.6386257271697101E-6</v>
      </c>
      <c r="O73" s="1">
        <v>7.6041585550516005E-8</v>
      </c>
      <c r="P73" s="1">
        <v>-3.9173631585596302E-7</v>
      </c>
      <c r="Q73">
        <v>72.951231273073901</v>
      </c>
      <c r="R73">
        <v>9.4665921173021403E-2</v>
      </c>
      <c r="S73">
        <v>12.046091148575901</v>
      </c>
      <c r="T73">
        <v>0.222392104535823</v>
      </c>
      <c r="V73">
        <v>0.51327495090410802</v>
      </c>
      <c r="W73">
        <v>4.7332960586497802E-2</v>
      </c>
      <c r="X73">
        <v>3.5499720439896999E-2</v>
      </c>
      <c r="AA73">
        <v>0.44016409874965401</v>
      </c>
      <c r="AB73">
        <v>4.0056451823519899</v>
      </c>
      <c r="AC73">
        <v>4.2323225984000903</v>
      </c>
      <c r="AD73">
        <v>2.36664802932374E-2</v>
      </c>
      <c r="AE73">
        <v>5.38771356091579</v>
      </c>
    </row>
    <row r="74" spans="1:31" x14ac:dyDescent="0.2">
      <c r="A74">
        <v>73</v>
      </c>
      <c r="B74">
        <v>755</v>
      </c>
      <c r="C74">
        <v>200</v>
      </c>
      <c r="D74">
        <v>0.38139425181150599</v>
      </c>
      <c r="E74">
        <v>81.390451527242604</v>
      </c>
      <c r="F74">
        <v>2.1975168690111202</v>
      </c>
      <c r="G74">
        <v>-1327.2786135300753</v>
      </c>
      <c r="H74">
        <v>-1112.539610609535</v>
      </c>
      <c r="I74">
        <v>208.85960503870001</v>
      </c>
      <c r="J74">
        <v>109.372572219406</v>
      </c>
      <c r="K74">
        <v>37.037463818818303</v>
      </c>
      <c r="L74">
        <v>1.4741829477886212E-4</v>
      </c>
      <c r="M74">
        <v>1.7620626190874209E-5</v>
      </c>
      <c r="N74" s="1">
        <v>2.53375880730201E-6</v>
      </c>
      <c r="O74" s="1">
        <v>7.2905413127767806E-8</v>
      </c>
      <c r="P74" s="1">
        <v>-3.7603321257357002E-7</v>
      </c>
      <c r="Q74">
        <v>72.911835525377896</v>
      </c>
      <c r="R74">
        <v>9.8291628193306099E-2</v>
      </c>
      <c r="S74">
        <v>12.046470217627901</v>
      </c>
      <c r="T74">
        <v>0.23127707270650999</v>
      </c>
      <c r="V74">
        <v>0.53260285231313997</v>
      </c>
      <c r="W74">
        <v>4.9145814096635099E-2</v>
      </c>
      <c r="X74">
        <v>3.6859360572509201E-2</v>
      </c>
      <c r="AA74">
        <v>0.43463740820628499</v>
      </c>
      <c r="AB74">
        <v>3.9599305098740998</v>
      </c>
      <c r="AC74">
        <v>4.3087761416394796</v>
      </c>
      <c r="AD74">
        <v>2.4572907048301701E-2</v>
      </c>
      <c r="AE74">
        <v>5.3656005623438103</v>
      </c>
    </row>
    <row r="75" spans="1:31" x14ac:dyDescent="0.2">
      <c r="A75">
        <v>74</v>
      </c>
      <c r="B75">
        <v>754</v>
      </c>
      <c r="C75">
        <v>200</v>
      </c>
      <c r="D75">
        <v>0.38072384753930699</v>
      </c>
      <c r="E75">
        <v>77.907551912536107</v>
      </c>
      <c r="F75">
        <v>2.1990247055571199</v>
      </c>
      <c r="G75">
        <v>-1269.5861460341271</v>
      </c>
      <c r="H75">
        <v>-1064.5100494552923</v>
      </c>
      <c r="I75">
        <v>199.655451081959</v>
      </c>
      <c r="J75">
        <v>104.64643439503401</v>
      </c>
      <c r="K75">
        <v>35.428229485397402</v>
      </c>
      <c r="L75">
        <v>1.4705945285863785E-4</v>
      </c>
      <c r="M75">
        <v>1.7573934857767024E-5</v>
      </c>
      <c r="N75" s="1">
        <v>2.41774950840883E-6</v>
      </c>
      <c r="O75" s="1">
        <v>6.9459579849945201E-8</v>
      </c>
      <c r="P75" s="1">
        <v>-3.5868185075975199E-7</v>
      </c>
      <c r="Q75">
        <v>72.867276304154302</v>
      </c>
      <c r="R75">
        <v>0.10268580905972199</v>
      </c>
      <c r="S75">
        <v>12.0461440808883</v>
      </c>
      <c r="T75">
        <v>0.241971717378995</v>
      </c>
      <c r="V75">
        <v>0.55609347130072395</v>
      </c>
      <c r="W75">
        <v>5.1342904529841103E-2</v>
      </c>
      <c r="X75">
        <v>3.8507178397417602E-2</v>
      </c>
      <c r="AA75">
        <v>0.43140489999743198</v>
      </c>
      <c r="AB75">
        <v>3.9107393579273699</v>
      </c>
      <c r="AC75">
        <v>4.3854437861032496</v>
      </c>
      <c r="AD75">
        <v>2.5671452264902299E-2</v>
      </c>
      <c r="AE75">
        <v>5.3427190379976102</v>
      </c>
    </row>
    <row r="76" spans="1:31" x14ac:dyDescent="0.2">
      <c r="A76">
        <v>75</v>
      </c>
      <c r="B76">
        <v>753</v>
      </c>
      <c r="C76">
        <v>200</v>
      </c>
      <c r="D76">
        <v>0.380052136627202</v>
      </c>
      <c r="E76">
        <v>73.787631316554396</v>
      </c>
      <c r="F76">
        <v>2.2007156722438799</v>
      </c>
      <c r="G76">
        <v>-1201.516310588752</v>
      </c>
      <c r="H76">
        <v>-1007.738912971894</v>
      </c>
      <c r="I76">
        <v>188.83925119802899</v>
      </c>
      <c r="J76">
        <v>99.069557462852202</v>
      </c>
      <c r="K76">
        <v>33.528925270623198</v>
      </c>
      <c r="L76">
        <v>1.4670445669621665E-4</v>
      </c>
      <c r="M76">
        <v>1.7526893294683102E-5</v>
      </c>
      <c r="N76" s="1">
        <v>2.2824679332448499E-6</v>
      </c>
      <c r="O76" s="1">
        <v>6.5471866059781106E-8</v>
      </c>
      <c r="P76" s="1">
        <v>-3.38472061284646E-7</v>
      </c>
      <c r="Q76">
        <v>72.813416827796203</v>
      </c>
      <c r="R76">
        <v>0.108419254789201</v>
      </c>
      <c r="S76">
        <v>12.0446776640569</v>
      </c>
      <c r="T76">
        <v>0.25580481134128802</v>
      </c>
      <c r="V76">
        <v>0.58685254469513004</v>
      </c>
      <c r="W76">
        <v>5.42096273945782E-2</v>
      </c>
      <c r="X76">
        <v>4.0657220545974898E-2</v>
      </c>
      <c r="AA76">
        <v>0.43156553204786002</v>
      </c>
      <c r="AB76">
        <v>3.85761186934098</v>
      </c>
      <c r="AC76">
        <v>4.4603571511086804</v>
      </c>
      <c r="AD76">
        <v>2.7104813697267902E-2</v>
      </c>
      <c r="AE76">
        <v>5.3193226831858098</v>
      </c>
    </row>
    <row r="77" spans="1:31" x14ac:dyDescent="0.2">
      <c r="A77">
        <v>76</v>
      </c>
      <c r="B77">
        <v>752</v>
      </c>
      <c r="C77">
        <v>200</v>
      </c>
      <c r="D77">
        <v>0.37937911525142798</v>
      </c>
      <c r="E77">
        <v>44.832780581815499</v>
      </c>
      <c r="F77">
        <v>2.2030941509929902</v>
      </c>
      <c r="G77">
        <v>-729.46760048619774</v>
      </c>
      <c r="H77">
        <v>-611.9548301650234</v>
      </c>
      <c r="I77">
        <v>114.62983009430199</v>
      </c>
      <c r="J77">
        <v>60.204431942291599</v>
      </c>
      <c r="K77">
        <v>20.349915849764301</v>
      </c>
      <c r="L77">
        <v>1.4666131926093393E-4</v>
      </c>
      <c r="M77">
        <v>1.7505992123565674E-5</v>
      </c>
      <c r="N77" s="1">
        <v>1.3858498956104299E-6</v>
      </c>
      <c r="O77" s="1">
        <v>3.9680734912370697E-8</v>
      </c>
      <c r="P77" s="1">
        <v>-2.0525410923094501E-7</v>
      </c>
      <c r="Q77">
        <v>72.663516920252306</v>
      </c>
      <c r="R77">
        <v>0.13275243769827999</v>
      </c>
      <c r="S77">
        <v>12.0660277075756</v>
      </c>
      <c r="T77">
        <v>0.271015706572588</v>
      </c>
      <c r="V77">
        <v>0.62186493453965797</v>
      </c>
      <c r="W77">
        <v>8.9220430856355407E-2</v>
      </c>
      <c r="X77">
        <v>6.3515567621470495E-2</v>
      </c>
      <c r="AA77">
        <v>0.46094554355898198</v>
      </c>
      <c r="AB77">
        <v>3.7983735965300598</v>
      </c>
      <c r="AC77">
        <v>4.4785675822903004</v>
      </c>
      <c r="AD77">
        <v>4.4610215428118702E-2</v>
      </c>
      <c r="AE77">
        <v>5.3095893570761197</v>
      </c>
    </row>
    <row r="78" spans="1:31" x14ac:dyDescent="0.2">
      <c r="A78">
        <v>77</v>
      </c>
      <c r="B78">
        <v>751</v>
      </c>
      <c r="C78">
        <v>200</v>
      </c>
      <c r="D78">
        <v>0.378704779573308</v>
      </c>
      <c r="E78">
        <v>25.027299580332301</v>
      </c>
      <c r="F78">
        <v>2.20498894935099</v>
      </c>
      <c r="G78">
        <v>-407.0904926228975</v>
      </c>
      <c r="H78">
        <v>-341.60132516338598</v>
      </c>
      <c r="I78">
        <v>63.944898168736401</v>
      </c>
      <c r="J78">
        <v>33.630454180082403</v>
      </c>
      <c r="K78">
        <v>11.350306126340699</v>
      </c>
      <c r="L78">
        <v>1.4672417902205864E-4</v>
      </c>
      <c r="M78">
        <v>1.7499756197814429E-5</v>
      </c>
      <c r="N78" s="1">
        <v>7.7449672271437999E-7</v>
      </c>
      <c r="O78" s="1">
        <v>2.2131978172352999E-8</v>
      </c>
      <c r="P78" s="1">
        <v>-1.14519083148997E-7</v>
      </c>
      <c r="Q78">
        <v>72.4855667881165</v>
      </c>
      <c r="R78">
        <v>0.151530325766489</v>
      </c>
      <c r="S78">
        <v>12.129472467007201</v>
      </c>
      <c r="T78">
        <v>0.26110779257008199</v>
      </c>
      <c r="V78">
        <v>0.59918758758791302</v>
      </c>
      <c r="W78">
        <v>0.15982547326604801</v>
      </c>
      <c r="X78">
        <v>0.104763070635049</v>
      </c>
      <c r="AA78">
        <v>0.50551331059510296</v>
      </c>
      <c r="AB78">
        <v>3.7291949465747098</v>
      </c>
      <c r="AC78">
        <v>4.4844482295825703</v>
      </c>
      <c r="AD78">
        <v>7.9912736632901105E-2</v>
      </c>
      <c r="AE78">
        <v>5.3094772716653802</v>
      </c>
    </row>
    <row r="79" spans="1:31" x14ac:dyDescent="0.2">
      <c r="A79">
        <v>78</v>
      </c>
      <c r="B79">
        <v>750</v>
      </c>
      <c r="C79">
        <v>200</v>
      </c>
      <c r="D79">
        <v>0.37802912573913899</v>
      </c>
      <c r="E79">
        <v>17.109386188143802</v>
      </c>
      <c r="F79">
        <v>2.2067931781938301</v>
      </c>
      <c r="G79">
        <v>-278.20144285200337</v>
      </c>
      <c r="H79">
        <v>-233.50014484652064</v>
      </c>
      <c r="I79">
        <v>43.689877344947199</v>
      </c>
      <c r="J79">
        <v>23.007560287366601</v>
      </c>
      <c r="K79">
        <v>7.7530537783097202</v>
      </c>
      <c r="L79">
        <v>1.4689413898951356E-4</v>
      </c>
      <c r="M79">
        <v>1.7502869482651283E-5</v>
      </c>
      <c r="N79" s="1">
        <v>5.3064382631803197E-7</v>
      </c>
      <c r="O79" s="1">
        <v>1.5132331442875302E-8</v>
      </c>
      <c r="P79" s="1">
        <v>-7.8339281946449599E-8</v>
      </c>
      <c r="Q79">
        <v>72.295690016164698</v>
      </c>
      <c r="R79">
        <v>0.16154981447005301</v>
      </c>
      <c r="S79">
        <v>12.1958374497622</v>
      </c>
      <c r="T79">
        <v>0.25506894331853103</v>
      </c>
      <c r="V79">
        <v>0.585516856268119</v>
      </c>
      <c r="W79">
        <v>0.23378980145818001</v>
      </c>
      <c r="X79">
        <v>0.14389790076499601</v>
      </c>
      <c r="AA79">
        <v>0.54710872537439603</v>
      </c>
      <c r="AB79">
        <v>3.6689382029786901</v>
      </c>
      <c r="AC79">
        <v>4.4804881775938004</v>
      </c>
      <c r="AD79">
        <v>0.11689490072888201</v>
      </c>
      <c r="AE79">
        <v>5.3152192111172401</v>
      </c>
    </row>
    <row r="80" spans="1:31" x14ac:dyDescent="0.2">
      <c r="A80">
        <v>79</v>
      </c>
      <c r="B80">
        <v>749</v>
      </c>
      <c r="C80">
        <v>200</v>
      </c>
      <c r="D80">
        <v>0.37735214988015597</v>
      </c>
      <c r="E80">
        <v>12.746753157079899</v>
      </c>
      <c r="F80">
        <v>2.2085438163317699</v>
      </c>
      <c r="G80">
        <v>-207.17632671238115</v>
      </c>
      <c r="H80">
        <v>-173.91972162216416</v>
      </c>
      <c r="I80">
        <v>32.535934148820601</v>
      </c>
      <c r="J80">
        <v>17.155240482133301</v>
      </c>
      <c r="K80">
        <v>5.7715645317154598</v>
      </c>
      <c r="L80">
        <v>1.4717803593129801E-4</v>
      </c>
      <c r="M80">
        <v>1.7516145807825025E-5</v>
      </c>
      <c r="N80" s="1">
        <v>3.9670891565556802E-7</v>
      </c>
      <c r="O80" s="1">
        <v>1.1288477049705801E-8</v>
      </c>
      <c r="P80" s="1">
        <v>-5.8480601271930499E-8</v>
      </c>
      <c r="Q80">
        <v>72.0883895928106</v>
      </c>
      <c r="R80">
        <v>0.15476489971117099</v>
      </c>
      <c r="S80">
        <v>12.266919276170199</v>
      </c>
      <c r="T80">
        <v>0.25492929659958402</v>
      </c>
      <c r="V80">
        <v>0.58562428621320195</v>
      </c>
      <c r="W80">
        <v>0.31219226424333701</v>
      </c>
      <c r="X80">
        <v>0.181945411264474</v>
      </c>
      <c r="AA80">
        <v>0.59021340416315804</v>
      </c>
      <c r="AB80">
        <v>3.6132773299017402</v>
      </c>
      <c r="AC80">
        <v>4.46723970739228</v>
      </c>
      <c r="AD80">
        <v>0.15690270105239401</v>
      </c>
      <c r="AE80">
        <v>5.3276018304777697</v>
      </c>
    </row>
    <row r="81" spans="1:31" x14ac:dyDescent="0.2">
      <c r="A81">
        <v>80</v>
      </c>
      <c r="B81">
        <v>748</v>
      </c>
      <c r="C81">
        <v>200</v>
      </c>
      <c r="D81">
        <v>0.37667384811242399</v>
      </c>
      <c r="E81">
        <v>9.4613505616723401</v>
      </c>
      <c r="F81">
        <v>2.2103418399061301</v>
      </c>
      <c r="G81">
        <v>-153.68822123739145</v>
      </c>
      <c r="H81">
        <v>-129.03743090696443</v>
      </c>
      <c r="I81">
        <v>24.140224580548399</v>
      </c>
      <c r="J81">
        <v>12.742297458326799</v>
      </c>
      <c r="K81">
        <v>4.2804919994067996</v>
      </c>
      <c r="L81">
        <v>1.4756433811640999E-4</v>
      </c>
      <c r="M81">
        <v>1.7542672634389389E-5</v>
      </c>
      <c r="N81" s="1">
        <v>2.95804909990607E-7</v>
      </c>
      <c r="O81" s="1">
        <v>8.3984787578920307E-9</v>
      </c>
      <c r="P81" s="1">
        <v>-4.3536277694005599E-8</v>
      </c>
      <c r="Q81">
        <v>71.827104018042306</v>
      </c>
      <c r="R81">
        <v>0.15341086874707099</v>
      </c>
      <c r="S81">
        <v>12.3821393949005</v>
      </c>
      <c r="T81">
        <v>0.25407622368474497</v>
      </c>
      <c r="V81">
        <v>0.58434896112604495</v>
      </c>
      <c r="W81">
        <v>0.41799649939741701</v>
      </c>
      <c r="X81">
        <v>0.17124457215126099</v>
      </c>
      <c r="AA81">
        <v>0.64772337435126703</v>
      </c>
      <c r="AB81">
        <v>3.5441310693095902</v>
      </c>
      <c r="AC81">
        <v>4.4605605240828599</v>
      </c>
      <c r="AD81">
        <v>0.21138631181211201</v>
      </c>
      <c r="AE81">
        <v>5.3458781823947996</v>
      </c>
    </row>
    <row r="82" spans="1:31" x14ac:dyDescent="0.2">
      <c r="A82">
        <v>81</v>
      </c>
      <c r="B82">
        <v>782</v>
      </c>
      <c r="C82">
        <v>175</v>
      </c>
      <c r="D82">
        <v>0.42507747713595301</v>
      </c>
      <c r="E82">
        <v>104.08415869720599</v>
      </c>
      <c r="F82">
        <v>2.18550504692766</v>
      </c>
      <c r="G82">
        <v>-1709.7451285816555</v>
      </c>
      <c r="H82">
        <v>-1424.4619151868903</v>
      </c>
      <c r="I82">
        <v>270.37218726698899</v>
      </c>
      <c r="J82">
        <v>140.54495282552301</v>
      </c>
      <c r="K82">
        <v>47.624762451830101</v>
      </c>
      <c r="L82">
        <v>1.4715366442557296E-4</v>
      </c>
      <c r="M82">
        <v>1.7966189739363602E-5</v>
      </c>
      <c r="N82" s="1">
        <v>3.0617298102924798E-6</v>
      </c>
      <c r="O82" s="1">
        <v>9.3984374306482404E-8</v>
      </c>
      <c r="P82" s="1">
        <v>-4.7782083434134102E-7</v>
      </c>
      <c r="Q82">
        <v>72.854506342906603</v>
      </c>
      <c r="R82">
        <v>7.68608796971018E-2</v>
      </c>
      <c r="S82">
        <v>12.451462510930799</v>
      </c>
      <c r="T82">
        <v>0.17620257352969701</v>
      </c>
      <c r="V82">
        <v>0.42066112283843299</v>
      </c>
      <c r="W82">
        <v>3.8430439848550699E-2</v>
      </c>
      <c r="X82">
        <v>2.8822829886413399E-2</v>
      </c>
      <c r="AA82">
        <v>0.57645659772826197</v>
      </c>
      <c r="AB82">
        <v>4.4483234124697502</v>
      </c>
      <c r="AC82">
        <v>3.7181450553472599</v>
      </c>
      <c r="AD82">
        <v>1.92152199242751E-2</v>
      </c>
      <c r="AE82">
        <v>5.1909130148926899</v>
      </c>
    </row>
    <row r="83" spans="1:31" x14ac:dyDescent="0.2">
      <c r="A83">
        <v>82</v>
      </c>
      <c r="B83">
        <v>781</v>
      </c>
      <c r="C83">
        <v>175</v>
      </c>
      <c r="D83">
        <v>0.42446568325190898</v>
      </c>
      <c r="E83">
        <v>103.82539962851099</v>
      </c>
      <c r="F83">
        <v>2.1858341245208699</v>
      </c>
      <c r="G83">
        <v>-1705.1539690189561</v>
      </c>
      <c r="H83">
        <v>-1421.0395372301095</v>
      </c>
      <c r="I83">
        <v>269.519927703691</v>
      </c>
      <c r="J83">
        <v>140.159332892208</v>
      </c>
      <c r="K83">
        <v>47.499212526599699</v>
      </c>
      <c r="L83">
        <v>1.4700357748307323E-4</v>
      </c>
      <c r="M83">
        <v>1.7953013815022442E-5</v>
      </c>
      <c r="N83" s="1">
        <v>3.0553929381847002E-6</v>
      </c>
      <c r="O83" s="1">
        <v>9.3617584406764198E-8</v>
      </c>
      <c r="P83" s="1">
        <v>-4.76058794000749E-7</v>
      </c>
      <c r="Q83">
        <v>72.884667275922595</v>
      </c>
      <c r="R83">
        <v>7.7052436384778294E-2</v>
      </c>
      <c r="S83">
        <v>12.43235563578</v>
      </c>
      <c r="T83">
        <v>0.17686673574446701</v>
      </c>
      <c r="V83">
        <v>0.42150704004006101</v>
      </c>
      <c r="W83">
        <v>3.8526218192388599E-2</v>
      </c>
      <c r="X83">
        <v>2.8894663644292402E-2</v>
      </c>
      <c r="AA83">
        <v>0.57185769100188399</v>
      </c>
      <c r="AB83">
        <v>4.4375574962054802</v>
      </c>
      <c r="AC83">
        <v>3.7244399773540602</v>
      </c>
      <c r="AD83">
        <v>1.92631090961938E-2</v>
      </c>
      <c r="AE83">
        <v>5.1870117206336799</v>
      </c>
    </row>
    <row r="84" spans="1:31" x14ac:dyDescent="0.2">
      <c r="A84">
        <v>83</v>
      </c>
      <c r="B84">
        <v>780</v>
      </c>
      <c r="C84">
        <v>175</v>
      </c>
      <c r="D84">
        <v>0.42385272753169101</v>
      </c>
      <c r="E84">
        <v>103.34416186703901</v>
      </c>
      <c r="F84">
        <v>2.1861805377642298</v>
      </c>
      <c r="G84">
        <v>-1696.8493653213516</v>
      </c>
      <c r="H84">
        <v>-1414.5537930693085</v>
      </c>
      <c r="I84">
        <v>268.04877961547902</v>
      </c>
      <c r="J84">
        <v>139.45304301659601</v>
      </c>
      <c r="K84">
        <v>47.271558813128401</v>
      </c>
      <c r="L84">
        <v>1.4675534716195878E-4</v>
      </c>
      <c r="M84">
        <v>1.7934413460401246E-5</v>
      </c>
      <c r="N84" s="1">
        <v>3.0403602652567898E-6</v>
      </c>
      <c r="O84" s="1">
        <v>9.2991190670046395E-8</v>
      </c>
      <c r="P84" s="1">
        <v>-4.7283878944311898E-7</v>
      </c>
      <c r="Q84">
        <v>72.940982156442601</v>
      </c>
      <c r="R84">
        <v>7.7411242739505004E-2</v>
      </c>
      <c r="S84">
        <v>12.396883351149899</v>
      </c>
      <c r="T84">
        <v>0.17788747707013899</v>
      </c>
      <c r="V84">
        <v>0.42329246765344802</v>
      </c>
      <c r="W84">
        <v>3.8705621369751697E-2</v>
      </c>
      <c r="X84">
        <v>2.9029216027315299E-2</v>
      </c>
      <c r="AA84">
        <v>0.56354688802509001</v>
      </c>
      <c r="AB84">
        <v>4.4173374798369798</v>
      </c>
      <c r="AC84">
        <v>3.7360966714547099</v>
      </c>
      <c r="AD84">
        <v>1.9352810684874999E-2</v>
      </c>
      <c r="AE84">
        <v>5.1794746175455497</v>
      </c>
    </row>
    <row r="85" spans="1:31" x14ac:dyDescent="0.2">
      <c r="A85">
        <v>84</v>
      </c>
      <c r="B85">
        <v>779</v>
      </c>
      <c r="C85">
        <v>175</v>
      </c>
      <c r="D85">
        <v>0.42323860666254698</v>
      </c>
      <c r="E85">
        <v>102.861421615643</v>
      </c>
      <c r="F85">
        <v>2.1865303652133199</v>
      </c>
      <c r="G85">
        <v>-1688.5235126312914</v>
      </c>
      <c r="H85">
        <v>-1408.0470261623188</v>
      </c>
      <c r="I85">
        <v>266.574620034188</v>
      </c>
      <c r="J85">
        <v>138.74499608952999</v>
      </c>
      <c r="K85">
        <v>47.043216619407701</v>
      </c>
      <c r="L85">
        <v>1.465048098465909E-4</v>
      </c>
      <c r="M85">
        <v>1.7915711780563377E-5</v>
      </c>
      <c r="N85" s="1">
        <v>3.0252286155473099E-6</v>
      </c>
      <c r="O85" s="1">
        <v>9.2363917245220997E-8</v>
      </c>
      <c r="P85" s="1">
        <v>-4.6960881933756601E-7</v>
      </c>
      <c r="Q85">
        <v>72.997565165547996</v>
      </c>
      <c r="R85">
        <v>7.7774542431401E-2</v>
      </c>
      <c r="S85">
        <v>12.361299201219699</v>
      </c>
      <c r="T85">
        <v>0.178920106064406</v>
      </c>
      <c r="V85">
        <v>0.425101059614299</v>
      </c>
      <c r="W85">
        <v>3.8887271215699397E-2</v>
      </c>
      <c r="X85">
        <v>2.91654534117767E-2</v>
      </c>
      <c r="AA85">
        <v>0.55550819683958597</v>
      </c>
      <c r="AB85">
        <v>4.3967698545051803</v>
      </c>
      <c r="AC85">
        <v>3.7477179514393102</v>
      </c>
      <c r="AD85">
        <v>1.9443635607848501E-2</v>
      </c>
      <c r="AE85">
        <v>5.1718475621026601</v>
      </c>
    </row>
    <row r="86" spans="1:31" x14ac:dyDescent="0.2">
      <c r="A86">
        <v>85</v>
      </c>
      <c r="B86">
        <v>778</v>
      </c>
      <c r="C86">
        <v>175</v>
      </c>
      <c r="D86">
        <v>0.422623317319128</v>
      </c>
      <c r="E86">
        <v>102.377449793457</v>
      </c>
      <c r="F86">
        <v>2.18688344231014</v>
      </c>
      <c r="G86">
        <v>-1680.1809606655536</v>
      </c>
      <c r="H86">
        <v>-1401.5229570900433</v>
      </c>
      <c r="I86">
        <v>265.09822915426901</v>
      </c>
      <c r="J86">
        <v>138.035577715426</v>
      </c>
      <c r="K86">
        <v>46.814314751640197</v>
      </c>
      <c r="L86">
        <v>1.4625206797435242E-4</v>
      </c>
      <c r="M86">
        <v>1.7896916861375179E-5</v>
      </c>
      <c r="N86" s="1">
        <v>3.01000940672595E-6</v>
      </c>
      <c r="O86" s="1">
        <v>9.1736114089019601E-8</v>
      </c>
      <c r="P86" s="1">
        <v>-4.6637083960158899E-7</v>
      </c>
      <c r="Q86">
        <v>73.054405208793796</v>
      </c>
      <c r="R86">
        <v>7.8142208231791105E-2</v>
      </c>
      <c r="S86">
        <v>12.325609581978901</v>
      </c>
      <c r="T86">
        <v>0.17996438980356899</v>
      </c>
      <c r="V86">
        <v>0.42693206673689899</v>
      </c>
      <c r="W86">
        <v>3.9071104115894102E-2</v>
      </c>
      <c r="X86">
        <v>2.9303328086923298E-2</v>
      </c>
      <c r="AA86">
        <v>0.547737393413535</v>
      </c>
      <c r="AB86">
        <v>4.37586918301984</v>
      </c>
      <c r="AC86">
        <v>3.7592947813395901</v>
      </c>
      <c r="AD86">
        <v>1.9535552057945601E-2</v>
      </c>
      <c r="AE86">
        <v>5.1641352024211402</v>
      </c>
    </row>
    <row r="87" spans="1:31" x14ac:dyDescent="0.2">
      <c r="A87">
        <v>86</v>
      </c>
      <c r="B87">
        <v>777</v>
      </c>
      <c r="C87">
        <v>175</v>
      </c>
      <c r="D87">
        <v>0.42200685616340999</v>
      </c>
      <c r="E87">
        <v>101.892519674772</v>
      </c>
      <c r="F87">
        <v>2.1872396007578301</v>
      </c>
      <c r="G87">
        <v>-1671.8262926692896</v>
      </c>
      <c r="H87">
        <v>-1394.9853385350671</v>
      </c>
      <c r="I87">
        <v>263.62039150047298</v>
      </c>
      <c r="J87">
        <v>137.325176234699</v>
      </c>
      <c r="K87">
        <v>46.584983025850804</v>
      </c>
      <c r="L87">
        <v>1.459972271704852E-4</v>
      </c>
      <c r="M87">
        <v>1.7878036912926333E-5</v>
      </c>
      <c r="N87" s="1">
        <v>2.9947141501959998E-6</v>
      </c>
      <c r="O87" s="1">
        <v>9.1108131441856401E-8</v>
      </c>
      <c r="P87" s="1">
        <v>-4.6312681430909998E-7</v>
      </c>
      <c r="Q87">
        <v>73.111490582093893</v>
      </c>
      <c r="R87">
        <v>7.8514105113261207E-2</v>
      </c>
      <c r="S87">
        <v>12.289821211366601</v>
      </c>
      <c r="T87">
        <v>0.18102007884843599</v>
      </c>
      <c r="V87">
        <v>0.42878469592642598</v>
      </c>
      <c r="W87">
        <v>3.9257052556628799E-2</v>
      </c>
      <c r="X87">
        <v>2.9442789417474899E-2</v>
      </c>
      <c r="AA87">
        <v>0.54022992052647401</v>
      </c>
      <c r="AB87">
        <v>4.3546505622054203</v>
      </c>
      <c r="AC87">
        <v>3.77081817640464</v>
      </c>
      <c r="AD87">
        <v>1.9628526278312599E-2</v>
      </c>
      <c r="AE87">
        <v>5.1563422992622696</v>
      </c>
    </row>
    <row r="88" spans="1:31" x14ac:dyDescent="0.2">
      <c r="A88">
        <v>87</v>
      </c>
      <c r="B88">
        <v>776</v>
      </c>
      <c r="C88">
        <v>175</v>
      </c>
      <c r="D88">
        <v>0.42138921984463801</v>
      </c>
      <c r="E88">
        <v>101.406905309406</v>
      </c>
      <c r="F88">
        <v>2.1875986694120102</v>
      </c>
      <c r="G88">
        <v>-1663.4640990117864</v>
      </c>
      <c r="H88">
        <v>-1388.4379335997787</v>
      </c>
      <c r="I88">
        <v>262.14189144736901</v>
      </c>
      <c r="J88">
        <v>136.614180485291</v>
      </c>
      <c r="K88">
        <v>46.3553515218873</v>
      </c>
      <c r="L88">
        <v>1.4574039563326486E-4</v>
      </c>
      <c r="M88">
        <v>1.7859080225752602E-5</v>
      </c>
      <c r="N88" s="1">
        <v>2.97935438562649E-6</v>
      </c>
      <c r="O88" s="1">
        <v>9.0480317868460497E-8</v>
      </c>
      <c r="P88" s="1">
        <v>-4.5987870462227998E-7</v>
      </c>
      <c r="Q88">
        <v>73.1688090503811</v>
      </c>
      <c r="R88">
        <v>7.8890091119446101E-2</v>
      </c>
      <c r="S88">
        <v>12.2539410846382</v>
      </c>
      <c r="T88">
        <v>0.182086909034681</v>
      </c>
      <c r="V88">
        <v>0.43065811512249702</v>
      </c>
      <c r="W88">
        <v>3.94450455597209E-2</v>
      </c>
      <c r="X88">
        <v>2.9583784169794701E-2</v>
      </c>
      <c r="AA88">
        <v>0.53298091524361502</v>
      </c>
      <c r="AB88">
        <v>4.3331295364522502</v>
      </c>
      <c r="AC88">
        <v>3.7822792464680002</v>
      </c>
      <c r="AD88">
        <v>1.9722522779858202E-2</v>
      </c>
      <c r="AE88">
        <v>5.1484736990308102</v>
      </c>
    </row>
    <row r="89" spans="1:31" x14ac:dyDescent="0.2">
      <c r="A89">
        <v>88</v>
      </c>
      <c r="B89">
        <v>775</v>
      </c>
      <c r="C89">
        <v>175</v>
      </c>
      <c r="D89">
        <v>0.42077040499928797</v>
      </c>
      <c r="E89">
        <v>100.920879983796</v>
      </c>
      <c r="F89">
        <v>2.1879604751740498</v>
      </c>
      <c r="G89">
        <v>-1655.0989515134895</v>
      </c>
      <c r="H89">
        <v>-1381.8844946869629</v>
      </c>
      <c r="I89">
        <v>260.66350887423101</v>
      </c>
      <c r="J89">
        <v>135.90297762723</v>
      </c>
      <c r="K89">
        <v>46.125549857461799</v>
      </c>
      <c r="L89">
        <v>1.454816835139382E-4</v>
      </c>
      <c r="M89">
        <v>1.7840055127523882E-5</v>
      </c>
      <c r="N89" s="1">
        <v>2.9639416172252699E-6</v>
      </c>
      <c r="O89" s="1">
        <v>8.9853018371369899E-8</v>
      </c>
      <c r="P89" s="1">
        <v>-4.5662845807798299E-7</v>
      </c>
      <c r="Q89">
        <v>73.226347928467604</v>
      </c>
      <c r="R89">
        <v>7.9270018268613907E-2</v>
      </c>
      <c r="S89">
        <v>12.2179764287458</v>
      </c>
      <c r="T89">
        <v>0.183164603337859</v>
      </c>
      <c r="V89">
        <v>0.43255145843037801</v>
      </c>
      <c r="W89">
        <v>3.9635009134304601E-2</v>
      </c>
      <c r="X89">
        <v>2.97262568507329E-2</v>
      </c>
      <c r="AA89">
        <v>0.52598523826340904</v>
      </c>
      <c r="AB89">
        <v>4.3113220099932601</v>
      </c>
      <c r="AC89">
        <v>3.7936692371710601</v>
      </c>
      <c r="AD89">
        <v>1.98175045671499E-2</v>
      </c>
      <c r="AE89">
        <v>5.1405343067696601</v>
      </c>
    </row>
    <row r="90" spans="1:31" x14ac:dyDescent="0.2">
      <c r="A90">
        <v>89</v>
      </c>
      <c r="B90">
        <v>774</v>
      </c>
      <c r="C90">
        <v>175</v>
      </c>
      <c r="D90">
        <v>0.420150408250972</v>
      </c>
      <c r="E90">
        <v>100.434714738883</v>
      </c>
      <c r="F90">
        <v>2.18832484387003</v>
      </c>
      <c r="G90">
        <v>-1646.7353787712434</v>
      </c>
      <c r="H90">
        <v>-1375.3287431631111</v>
      </c>
      <c r="I90">
        <v>259.18601500084202</v>
      </c>
      <c r="J90">
        <v>135.19195105271601</v>
      </c>
      <c r="K90">
        <v>45.895706489931101</v>
      </c>
      <c r="L90">
        <v>1.4522120230029109E-4</v>
      </c>
      <c r="M90">
        <v>1.7820969940858227E-5</v>
      </c>
      <c r="N90" s="1">
        <v>2.94848725248903E-6</v>
      </c>
      <c r="O90" s="1">
        <v>8.9226572598201407E-8</v>
      </c>
      <c r="P90" s="1">
        <v>-4.5337799835104703E-7</v>
      </c>
      <c r="Q90">
        <v>73.284094163435498</v>
      </c>
      <c r="R90">
        <v>7.9653733480491401E-2</v>
      </c>
      <c r="S90">
        <v>12.1819346560035</v>
      </c>
      <c r="T90">
        <v>0.184252873790758</v>
      </c>
      <c r="V90">
        <v>0.43446383137992101</v>
      </c>
      <c r="W90">
        <v>3.9826866740243001E-2</v>
      </c>
      <c r="X90">
        <v>2.9870150055187301E-2</v>
      </c>
      <c r="AA90">
        <v>0.51923750454956896</v>
      </c>
      <c r="AB90">
        <v>4.2892441589819397</v>
      </c>
      <c r="AC90">
        <v>3.8049795686488901</v>
      </c>
      <c r="AD90">
        <v>1.9913433370118701E-2</v>
      </c>
      <c r="AE90">
        <v>5.1325290595638204</v>
      </c>
    </row>
    <row r="91" spans="1:31" x14ac:dyDescent="0.2">
      <c r="A91">
        <v>90</v>
      </c>
      <c r="B91">
        <v>773</v>
      </c>
      <c r="C91">
        <v>175</v>
      </c>
      <c r="D91">
        <v>0.41952922621038902</v>
      </c>
      <c r="E91">
        <v>99.948676971661996</v>
      </c>
      <c r="F91">
        <v>2.1886916011010098</v>
      </c>
      <c r="G91">
        <v>-1638.3778429267493</v>
      </c>
      <c r="H91">
        <v>-1368.7743501727009</v>
      </c>
      <c r="I91">
        <v>257.71016847875302</v>
      </c>
      <c r="J91">
        <v>134.48147841964399</v>
      </c>
      <c r="K91">
        <v>45.665948058366602</v>
      </c>
      <c r="L91">
        <v>1.4495906421697498E-4</v>
      </c>
      <c r="M91">
        <v>1.7801832943068957E-5</v>
      </c>
      <c r="N91" s="1">
        <v>2.9330025445382399E-6</v>
      </c>
      <c r="O91" s="1">
        <v>8.8601313174397993E-8</v>
      </c>
      <c r="P91" s="1">
        <v>-4.5012921567889202E-7</v>
      </c>
      <c r="Q91">
        <v>73.3420344162882</v>
      </c>
      <c r="R91">
        <v>8.0041079505919002E-2</v>
      </c>
      <c r="S91">
        <v>12.145823318312599</v>
      </c>
      <c r="T91">
        <v>0.18535142341058</v>
      </c>
      <c r="V91">
        <v>0.43639431619740099</v>
      </c>
      <c r="W91">
        <v>4.0020539752956399E-2</v>
      </c>
      <c r="X91">
        <v>3.0015404814723E-2</v>
      </c>
      <c r="AA91">
        <v>0.51273211483672498</v>
      </c>
      <c r="AB91">
        <v>4.2669123449636697</v>
      </c>
      <c r="AC91">
        <v>3.8162018711516499</v>
      </c>
      <c r="AD91">
        <v>2.0010269876475001E-2</v>
      </c>
      <c r="AE91">
        <v>5.12446290088893</v>
      </c>
    </row>
    <row r="92" spans="1:31" x14ac:dyDescent="0.2">
      <c r="A92">
        <v>91</v>
      </c>
      <c r="B92">
        <v>772</v>
      </c>
      <c r="C92">
        <v>175</v>
      </c>
      <c r="D92">
        <v>0.418906855475288</v>
      </c>
      <c r="E92">
        <v>99.4630291250336</v>
      </c>
      <c r="F92">
        <v>2.18906057306133</v>
      </c>
      <c r="G92">
        <v>-1630.0307179514025</v>
      </c>
      <c r="H92">
        <v>-1362.2249186669846</v>
      </c>
      <c r="I92">
        <v>256.23671174895202</v>
      </c>
      <c r="J92">
        <v>133.771929814256</v>
      </c>
      <c r="K92">
        <v>45.436398768051198</v>
      </c>
      <c r="L92">
        <v>1.4469538164170825E-4</v>
      </c>
      <c r="M92">
        <v>1.7782652327755872E-5</v>
      </c>
      <c r="N92" s="1">
        <v>2.9174985381450298E-6</v>
      </c>
      <c r="O92" s="1">
        <v>8.7977564163295394E-8</v>
      </c>
      <c r="P92" s="1">
        <v>-4.4688395795915798E-7</v>
      </c>
      <c r="Q92">
        <v>73.400155143256796</v>
      </c>
      <c r="R92">
        <v>8.0431895854926799E-2</v>
      </c>
      <c r="S92">
        <v>12.109650061753999</v>
      </c>
      <c r="T92">
        <v>0.186459948126629</v>
      </c>
      <c r="V92">
        <v>0.43834197706461397</v>
      </c>
      <c r="W92">
        <v>4.0215947927459701E-2</v>
      </c>
      <c r="X92">
        <v>3.0161960945601599E-2</v>
      </c>
      <c r="AA92">
        <v>0.506463287395717</v>
      </c>
      <c r="AB92">
        <v>4.2443430303856102</v>
      </c>
      <c r="AC92">
        <v>3.8273280174664599</v>
      </c>
      <c r="AD92">
        <v>2.0107973963726201E-2</v>
      </c>
      <c r="AE92">
        <v>5.1163407558583502</v>
      </c>
    </row>
    <row r="93" spans="1:31" x14ac:dyDescent="0.2">
      <c r="A93">
        <v>92</v>
      </c>
      <c r="B93">
        <v>771</v>
      </c>
      <c r="C93">
        <v>175</v>
      </c>
      <c r="D93">
        <v>0.41828329263037001</v>
      </c>
      <c r="E93">
        <v>98.978027488601498</v>
      </c>
      <c r="F93">
        <v>2.18943158731128</v>
      </c>
      <c r="G93">
        <v>-1621.6982698212105</v>
      </c>
      <c r="H93">
        <v>-1355.6839669576709</v>
      </c>
      <c r="I93">
        <v>254.76636772833399</v>
      </c>
      <c r="J93">
        <v>133.06366607481201</v>
      </c>
      <c r="K93">
        <v>45.207179827962001</v>
      </c>
      <c r="L93">
        <v>1.4443026655036595E-4</v>
      </c>
      <c r="M93">
        <v>1.7763436169029028E-5</v>
      </c>
      <c r="N93" s="1">
        <v>2.9019860204111401E-6</v>
      </c>
      <c r="O93" s="1">
        <v>8.73556396801659E-8</v>
      </c>
      <c r="P93" s="1">
        <v>-4.4364402267796099E-7</v>
      </c>
      <c r="Q93">
        <v>73.458442674482498</v>
      </c>
      <c r="R93">
        <v>8.0826019703429397E-2</v>
      </c>
      <c r="S93">
        <v>12.073422582808499</v>
      </c>
      <c r="T93">
        <v>0.18757813866703699</v>
      </c>
      <c r="V93">
        <v>0.44030586525403898</v>
      </c>
      <c r="W93">
        <v>4.0413009851710598E-2</v>
      </c>
      <c r="X93">
        <v>3.0309757388790499E-2</v>
      </c>
      <c r="AA93">
        <v>0.50042508969927801</v>
      </c>
      <c r="AB93">
        <v>4.2215526976003499</v>
      </c>
      <c r="AC93">
        <v>3.8383501517205199</v>
      </c>
      <c r="AD93">
        <v>2.0206504925851201E-2</v>
      </c>
      <c r="AE93">
        <v>5.1081675078978801</v>
      </c>
    </row>
    <row r="94" spans="1:31" x14ac:dyDescent="0.2">
      <c r="A94">
        <v>93</v>
      </c>
      <c r="B94">
        <v>770</v>
      </c>
      <c r="C94">
        <v>175</v>
      </c>
      <c r="D94">
        <v>0.41765853424723398</v>
      </c>
      <c r="E94">
        <v>98.493921122416296</v>
      </c>
      <c r="F94">
        <v>2.1898044734940498</v>
      </c>
      <c r="G94">
        <v>-1613.3846387771366</v>
      </c>
      <c r="H94">
        <v>-1349.1549139596484</v>
      </c>
      <c r="I94">
        <v>253.299836857103</v>
      </c>
      <c r="J94">
        <v>132.35703729282201</v>
      </c>
      <c r="K94">
        <v>44.978408946831301</v>
      </c>
      <c r="L94">
        <v>1.4416382999888955E-4</v>
      </c>
      <c r="M94">
        <v>1.7744192388843908E-5</v>
      </c>
      <c r="N94" s="1">
        <v>2.8864754766107E-6</v>
      </c>
      <c r="O94" s="1">
        <v>8.6735842673504205E-8</v>
      </c>
      <c r="P94" s="1">
        <v>-4.4041114975036102E-7</v>
      </c>
      <c r="Q94">
        <v>73.516883288880706</v>
      </c>
      <c r="R94">
        <v>8.1223286765659694E-2</v>
      </c>
      <c r="S94">
        <v>12.037148586831099</v>
      </c>
      <c r="T94">
        <v>0.18870568237690599</v>
      </c>
      <c r="V94">
        <v>0.44228502406720899</v>
      </c>
      <c r="W94">
        <v>4.0611643382825503E-2</v>
      </c>
      <c r="X94">
        <v>3.0458732537127199E-2</v>
      </c>
      <c r="AA94">
        <v>0.49461146960716201</v>
      </c>
      <c r="AB94">
        <v>4.1985577722579102</v>
      </c>
      <c r="AC94">
        <v>3.8492607144253301</v>
      </c>
      <c r="AD94">
        <v>2.03058216914083E-2</v>
      </c>
      <c r="AE94">
        <v>5.0999479771765799</v>
      </c>
    </row>
    <row r="95" spans="1:31" x14ac:dyDescent="0.2">
      <c r="A95">
        <v>94</v>
      </c>
      <c r="B95">
        <v>769</v>
      </c>
      <c r="C95">
        <v>175</v>
      </c>
      <c r="D95">
        <v>0.41703257688433099</v>
      </c>
      <c r="E95">
        <v>98.010950897673197</v>
      </c>
      <c r="F95">
        <v>2.1901790639960201</v>
      </c>
      <c r="G95">
        <v>-1605.0938235660467</v>
      </c>
      <c r="H95">
        <v>-1342.6410660400491</v>
      </c>
      <c r="I95">
        <v>251.83779448831501</v>
      </c>
      <c r="J95">
        <v>131.65238148249799</v>
      </c>
      <c r="K95">
        <v>44.750199884958299</v>
      </c>
      <c r="L95">
        <v>1.4389618163901328E-4</v>
      </c>
      <c r="M95">
        <v>1.772492872721518E-5</v>
      </c>
      <c r="N95" s="1">
        <v>2.8709770509139601E-6</v>
      </c>
      <c r="O95" s="1">
        <v>8.6118463863248403E-8</v>
      </c>
      <c r="P95" s="1">
        <v>-4.3718701521875598E-7</v>
      </c>
      <c r="Q95">
        <v>73.575463285968695</v>
      </c>
      <c r="R95">
        <v>8.1623532133185794E-2</v>
      </c>
      <c r="S95">
        <v>12.0008357483027</v>
      </c>
      <c r="T95">
        <v>0.18984226497002499</v>
      </c>
      <c r="V95">
        <v>0.44427849358118499</v>
      </c>
      <c r="W95">
        <v>4.08117660665882E-2</v>
      </c>
      <c r="X95">
        <v>3.0608824549949901E-2</v>
      </c>
      <c r="AA95">
        <v>0.48901628553713899</v>
      </c>
      <c r="AB95">
        <v>4.1753745513036096</v>
      </c>
      <c r="AC95">
        <v>3.8600524638926101</v>
      </c>
      <c r="AD95">
        <v>2.0405883033289302E-2</v>
      </c>
      <c r="AE95">
        <v>5.0916869006608696</v>
      </c>
    </row>
    <row r="96" spans="1:31" x14ac:dyDescent="0.2">
      <c r="A96">
        <v>95</v>
      </c>
      <c r="B96">
        <v>768</v>
      </c>
      <c r="C96">
        <v>175</v>
      </c>
      <c r="D96">
        <v>0.416405417086878</v>
      </c>
      <c r="E96">
        <v>97.529348674263801</v>
      </c>
      <c r="F96">
        <v>2.1905551945472101</v>
      </c>
      <c r="G96">
        <v>-1596.8296679876614</v>
      </c>
      <c r="H96">
        <v>-1336.1456057467667</v>
      </c>
      <c r="I96">
        <v>250.38088867203999</v>
      </c>
      <c r="J96">
        <v>130.950023446198</v>
      </c>
      <c r="K96">
        <v>44.522662070801097</v>
      </c>
      <c r="L96">
        <v>1.4362742927681674E-4</v>
      </c>
      <c r="M96">
        <v>1.7705652715697464E-5</v>
      </c>
      <c r="N96" s="1">
        <v>2.8555005127072901E-6</v>
      </c>
      <c r="O96" s="1">
        <v>8.5503780855127795E-8</v>
      </c>
      <c r="P96" s="1">
        <v>-4.3397322592274299E-7</v>
      </c>
      <c r="Q96">
        <v>73.634169052149105</v>
      </c>
      <c r="R96">
        <v>8.2026591059470397E-2</v>
      </c>
      <c r="S96">
        <v>11.964491674405</v>
      </c>
      <c r="T96">
        <v>0.19098757216967999</v>
      </c>
      <c r="V96">
        <v>0.44628531508458102</v>
      </c>
      <c r="W96">
        <v>4.1013295529730202E-2</v>
      </c>
      <c r="X96">
        <v>3.07599716473069E-2</v>
      </c>
      <c r="AA96">
        <v>0.48363333548836701</v>
      </c>
      <c r="AB96">
        <v>4.1520191368529797</v>
      </c>
      <c r="AC96">
        <v>3.8707184937567201</v>
      </c>
      <c r="AD96">
        <v>2.0506647764860001E-2</v>
      </c>
      <c r="AE96">
        <v>5.0833889140921098</v>
      </c>
    </row>
    <row r="97" spans="1:31" x14ac:dyDescent="0.2">
      <c r="A97">
        <v>96</v>
      </c>
      <c r="B97">
        <v>767</v>
      </c>
      <c r="C97">
        <v>175</v>
      </c>
      <c r="D97">
        <v>0.41577705138682203</v>
      </c>
      <c r="E97">
        <v>95.755865389719006</v>
      </c>
      <c r="F97">
        <v>2.1913474877743999</v>
      </c>
      <c r="G97">
        <v>-1567.1161859964031</v>
      </c>
      <c r="H97">
        <v>-1311.6731513626203</v>
      </c>
      <c r="I97">
        <v>245.582881924513</v>
      </c>
      <c r="J97">
        <v>128.52028608717001</v>
      </c>
      <c r="K97">
        <v>43.697252911253798</v>
      </c>
      <c r="L97">
        <v>1.4337043539390409E-4</v>
      </c>
      <c r="M97">
        <v>1.7674677102819804E-5</v>
      </c>
      <c r="N97" s="1">
        <v>2.7995073067131099E-6</v>
      </c>
      <c r="O97" s="1">
        <v>8.36881593780263E-8</v>
      </c>
      <c r="P97" s="1">
        <v>-4.2510905668682798E-7</v>
      </c>
      <c r="Q97">
        <v>73.631878333052796</v>
      </c>
      <c r="R97">
        <v>8.3545796045401799E-2</v>
      </c>
      <c r="S97">
        <v>11.954124145763201</v>
      </c>
      <c r="T97">
        <v>0.19482965356603901</v>
      </c>
      <c r="V97">
        <v>0.45427663085017</v>
      </c>
      <c r="W97">
        <v>4.1772898022694599E-2</v>
      </c>
      <c r="X97">
        <v>3.1329673517032697E-2</v>
      </c>
      <c r="AA97">
        <v>0.47401380529800702</v>
      </c>
      <c r="AB97">
        <v>4.1232375448591796</v>
      </c>
      <c r="AC97">
        <v>3.9199287669005098</v>
      </c>
      <c r="AD97">
        <v>2.0886449011340898E-2</v>
      </c>
      <c r="AE97">
        <v>5.0701763031135796</v>
      </c>
    </row>
    <row r="98" spans="1:31" x14ac:dyDescent="0.2">
      <c r="A98">
        <v>97</v>
      </c>
      <c r="B98">
        <v>766</v>
      </c>
      <c r="C98">
        <v>175</v>
      </c>
      <c r="D98">
        <v>0.41514747630275201</v>
      </c>
      <c r="E98">
        <v>93.317268116135494</v>
      </c>
      <c r="F98">
        <v>2.1923768576940699</v>
      </c>
      <c r="G98">
        <v>-1526.3849298812827</v>
      </c>
      <c r="H98">
        <v>-1277.9550165583589</v>
      </c>
      <c r="I98">
        <v>239.070310660562</v>
      </c>
      <c r="J98">
        <v>125.201894729879</v>
      </c>
      <c r="K98">
        <v>42.564428550977297</v>
      </c>
      <c r="L98">
        <v>1.4311036737057575E-4</v>
      </c>
      <c r="M98">
        <v>1.763715360585547E-5</v>
      </c>
      <c r="N98" s="1">
        <v>2.7226640906530998E-6</v>
      </c>
      <c r="O98" s="1">
        <v>8.1260711623745096E-8</v>
      </c>
      <c r="P98" s="1">
        <v>-4.1332425423003998E-7</v>
      </c>
      <c r="Q98">
        <v>73.599253226934295</v>
      </c>
      <c r="R98">
        <v>8.5729042025150901E-2</v>
      </c>
      <c r="S98">
        <v>11.9562413690658</v>
      </c>
      <c r="T98">
        <v>0.20027581016639701</v>
      </c>
      <c r="V98">
        <v>0.465828678806394</v>
      </c>
      <c r="W98">
        <v>4.2864521012568498E-2</v>
      </c>
      <c r="X98">
        <v>3.2148390759439198E-2</v>
      </c>
      <c r="AA98">
        <v>0.46320114418566299</v>
      </c>
      <c r="AB98">
        <v>4.08998376071664</v>
      </c>
      <c r="AC98">
        <v>3.9889877120819399</v>
      </c>
      <c r="AD98">
        <v>2.1432260506277299E-2</v>
      </c>
      <c r="AE98">
        <v>5.0540540837393202</v>
      </c>
    </row>
    <row r="99" spans="1:31" x14ac:dyDescent="0.2">
      <c r="A99">
        <v>98</v>
      </c>
      <c r="B99">
        <v>765</v>
      </c>
      <c r="C99">
        <v>175</v>
      </c>
      <c r="D99">
        <v>0.41451668833983701</v>
      </c>
      <c r="E99">
        <v>90.819692041781906</v>
      </c>
      <c r="F99">
        <v>2.19345233996378</v>
      </c>
      <c r="G99">
        <v>-1484.7098461108794</v>
      </c>
      <c r="H99">
        <v>-1243.4296262258897</v>
      </c>
      <c r="I99">
        <v>232.41363953666601</v>
      </c>
      <c r="J99">
        <v>121.80575278603</v>
      </c>
      <c r="K99">
        <v>41.404907864686699</v>
      </c>
      <c r="L99">
        <v>1.4283977103687331E-4</v>
      </c>
      <c r="M99">
        <v>1.759857848913032E-5</v>
      </c>
      <c r="N99" s="1">
        <v>2.6440352950988998E-6</v>
      </c>
      <c r="O99" s="1">
        <v>7.8788558804557398E-8</v>
      </c>
      <c r="P99" s="1">
        <v>-4.0127440437058499E-7</v>
      </c>
      <c r="Q99">
        <v>73.565495610414203</v>
      </c>
      <c r="R99">
        <v>8.8086623287822394E-2</v>
      </c>
      <c r="S99">
        <v>11.958232427590399</v>
      </c>
      <c r="T99">
        <v>0.206142240542983</v>
      </c>
      <c r="V99">
        <v>0.47831631997437302</v>
      </c>
      <c r="W99">
        <v>4.4043311643903599E-2</v>
      </c>
      <c r="X99">
        <v>3.3032483732941799E-2</v>
      </c>
      <c r="AA99">
        <v>0.453518439421918</v>
      </c>
      <c r="AB99">
        <v>4.0544397103240302</v>
      </c>
      <c r="AC99">
        <v>4.0593849344334503</v>
      </c>
      <c r="AD99">
        <v>2.2021655821943899E-2</v>
      </c>
      <c r="AE99">
        <v>5.0372862428119802</v>
      </c>
    </row>
    <row r="100" spans="1:31" x14ac:dyDescent="0.2">
      <c r="A100">
        <v>99</v>
      </c>
      <c r="B100">
        <v>764</v>
      </c>
      <c r="C100">
        <v>175</v>
      </c>
      <c r="D100">
        <v>0.41388468398978101</v>
      </c>
      <c r="E100">
        <v>88.245304997482094</v>
      </c>
      <c r="F100">
        <v>2.1945782348765102</v>
      </c>
      <c r="G100">
        <v>-1441.8004448028569</v>
      </c>
      <c r="H100">
        <v>-1207.8522351721733</v>
      </c>
      <c r="I100">
        <v>225.56834559194201</v>
      </c>
      <c r="J100">
        <v>118.30817245736699</v>
      </c>
      <c r="K100">
        <v>40.210598827180803</v>
      </c>
      <c r="L100">
        <v>1.4255913581874772E-4</v>
      </c>
      <c r="M100">
        <v>1.7558972972829892E-5</v>
      </c>
      <c r="N100" s="1">
        <v>2.5631454142196101E-6</v>
      </c>
      <c r="O100" s="1">
        <v>7.6257704133117705E-8</v>
      </c>
      <c r="P100" s="1">
        <v>-3.8888749781247899E-7</v>
      </c>
      <c r="Q100">
        <v>73.530335227110996</v>
      </c>
      <c r="R100">
        <v>9.0656381098449298E-2</v>
      </c>
      <c r="S100">
        <v>11.9600621904489</v>
      </c>
      <c r="T100">
        <v>0.212518155290182</v>
      </c>
      <c r="V100">
        <v>0.49194444682970301</v>
      </c>
      <c r="W100">
        <v>4.5328190549214602E-2</v>
      </c>
      <c r="X100">
        <v>3.3996142911929698E-2</v>
      </c>
      <c r="AA100">
        <v>0.44501656694367397</v>
      </c>
      <c r="AB100">
        <v>4.01656646809879</v>
      </c>
      <c r="AC100">
        <v>4.1310338792243</v>
      </c>
      <c r="AD100">
        <v>2.2664095274597298E-2</v>
      </c>
      <c r="AE100">
        <v>5.0198782562191804</v>
      </c>
    </row>
    <row r="101" spans="1:31" x14ac:dyDescent="0.2">
      <c r="A101">
        <v>100</v>
      </c>
      <c r="B101">
        <v>763</v>
      </c>
      <c r="C101">
        <v>175</v>
      </c>
      <c r="D101">
        <v>0.41325145973073701</v>
      </c>
      <c r="E101">
        <v>85.567842750394604</v>
      </c>
      <c r="F101">
        <v>2.19576084481881</v>
      </c>
      <c r="G101">
        <v>-1397.2285286732761</v>
      </c>
      <c r="H101">
        <v>-1170.8622741154327</v>
      </c>
      <c r="I101">
        <v>218.46861415609999</v>
      </c>
      <c r="J101">
        <v>114.67422195649</v>
      </c>
      <c r="K101">
        <v>38.969563990679099</v>
      </c>
      <c r="L101">
        <v>1.4226915359378828E-4</v>
      </c>
      <c r="M101">
        <v>1.7518368105124775E-5</v>
      </c>
      <c r="N101" s="1">
        <v>2.47928204908717E-6</v>
      </c>
      <c r="O101" s="1">
        <v>7.3647191369548394E-8</v>
      </c>
      <c r="P101" s="1">
        <v>-3.7605545505393199E-7</v>
      </c>
      <c r="Q101">
        <v>73.493383814886698</v>
      </c>
      <c r="R101">
        <v>9.3493066353642698E-2</v>
      </c>
      <c r="S101">
        <v>11.961680147668</v>
      </c>
      <c r="T101">
        <v>0.219532272208775</v>
      </c>
      <c r="V101">
        <v>0.507009830853828</v>
      </c>
      <c r="W101">
        <v>4.6746533176809602E-2</v>
      </c>
      <c r="X101">
        <v>3.5059899882628497E-2</v>
      </c>
      <c r="AA101">
        <v>0.43778035435309698</v>
      </c>
      <c r="AB101">
        <v>3.9762991417420301</v>
      </c>
      <c r="AC101">
        <v>4.2038037956518997</v>
      </c>
      <c r="AD101">
        <v>2.33732665883934E-2</v>
      </c>
      <c r="AE101">
        <v>5.0018378766341298</v>
      </c>
    </row>
    <row r="102" spans="1:31" x14ac:dyDescent="0.2">
      <c r="A102">
        <v>101</v>
      </c>
      <c r="B102">
        <v>762</v>
      </c>
      <c r="C102">
        <v>175</v>
      </c>
      <c r="D102">
        <v>0.41261701202724399</v>
      </c>
      <c r="E102">
        <v>82.747194533315195</v>
      </c>
      <c r="F102">
        <v>2.19700981088471</v>
      </c>
      <c r="G102">
        <v>-1350.3398100278546</v>
      </c>
      <c r="H102">
        <v>-1131.9089915944032</v>
      </c>
      <c r="I102">
        <v>211.01368732401201</v>
      </c>
      <c r="J102">
        <v>110.850510315766</v>
      </c>
      <c r="K102">
        <v>37.663552581038999</v>
      </c>
      <c r="L102">
        <v>1.4197088902076084E-4</v>
      </c>
      <c r="M102">
        <v>1.7476814604599236E-5</v>
      </c>
      <c r="N102" s="1">
        <v>2.3913446444914901E-6</v>
      </c>
      <c r="O102" s="1">
        <v>7.0924665289017605E-8</v>
      </c>
      <c r="P102" s="1">
        <v>-3.6261110543254301E-7</v>
      </c>
      <c r="Q102">
        <v>73.454052456209894</v>
      </c>
      <c r="R102">
        <v>9.6680014895004801E-2</v>
      </c>
      <c r="S102">
        <v>11.963010874234101</v>
      </c>
      <c r="T102">
        <v>0.227380018677659</v>
      </c>
      <c r="V102">
        <v>0.52396462865761895</v>
      </c>
      <c r="W102">
        <v>4.8340007447489203E-2</v>
      </c>
      <c r="X102">
        <v>3.6255005585641001E-2</v>
      </c>
      <c r="AA102">
        <v>0.431952390441182</v>
      </c>
      <c r="AB102">
        <v>3.9335333622889701</v>
      </c>
      <c r="AC102">
        <v>4.2774828880724503</v>
      </c>
      <c r="AD102">
        <v>2.4170003723731699E-2</v>
      </c>
      <c r="AE102">
        <v>4.9831783497661197</v>
      </c>
    </row>
    <row r="103" spans="1:31" x14ac:dyDescent="0.2">
      <c r="A103">
        <v>102</v>
      </c>
      <c r="B103">
        <v>761</v>
      </c>
      <c r="C103">
        <v>175</v>
      </c>
      <c r="D103">
        <v>0.411981337330175</v>
      </c>
      <c r="E103">
        <v>79.719128420272895</v>
      </c>
      <c r="F103">
        <v>2.1983406525445202</v>
      </c>
      <c r="G103">
        <v>-1300.0862401185104</v>
      </c>
      <c r="H103">
        <v>-1090.1103727366826</v>
      </c>
      <c r="I103">
        <v>203.04198364050399</v>
      </c>
      <c r="J103">
        <v>106.751501816058</v>
      </c>
      <c r="K103">
        <v>36.263319030196598</v>
      </c>
      <c r="L103">
        <v>1.4166618358230594E-4</v>
      </c>
      <c r="M103">
        <v>1.7434408553956301E-5</v>
      </c>
      <c r="N103" s="1">
        <v>2.29755891801911E-6</v>
      </c>
      <c r="O103" s="1">
        <v>6.8037986019805502E-8</v>
      </c>
      <c r="P103" s="1">
        <v>-3.4828471337376E-7</v>
      </c>
      <c r="Q103">
        <v>73.411385594008607</v>
      </c>
      <c r="R103">
        <v>0.100352326455771</v>
      </c>
      <c r="S103">
        <v>11.9639363441404</v>
      </c>
      <c r="T103">
        <v>0.23637748805626099</v>
      </c>
      <c r="V103">
        <v>0.54354250390284997</v>
      </c>
      <c r="W103">
        <v>5.0176163227871197E-2</v>
      </c>
      <c r="X103">
        <v>3.7632122420930197E-2</v>
      </c>
      <c r="AA103">
        <v>0.427778492005986</v>
      </c>
      <c r="AB103">
        <v>3.8881084931093999</v>
      </c>
      <c r="AC103">
        <v>4.3516940933085202</v>
      </c>
      <c r="AD103">
        <v>2.5088081613920898E-2</v>
      </c>
      <c r="AE103">
        <v>4.9639282977493302</v>
      </c>
    </row>
    <row r="104" spans="1:31" x14ac:dyDescent="0.2">
      <c r="A104">
        <v>103</v>
      </c>
      <c r="B104">
        <v>760</v>
      </c>
      <c r="C104">
        <v>175</v>
      </c>
      <c r="D104">
        <v>0.41134443207665999</v>
      </c>
      <c r="E104">
        <v>76.374228476870101</v>
      </c>
      <c r="F104">
        <v>2.1997800298309298</v>
      </c>
      <c r="G104">
        <v>-1244.6823953558865</v>
      </c>
      <c r="H104">
        <v>-1043.9639753007898</v>
      </c>
      <c r="I104">
        <v>194.27810100672301</v>
      </c>
      <c r="J104">
        <v>102.231474481877</v>
      </c>
      <c r="K104">
        <v>34.7190298307871</v>
      </c>
      <c r="L104">
        <v>1.4135869210457378E-4</v>
      </c>
      <c r="M104">
        <v>1.7391361972781149E-5</v>
      </c>
      <c r="N104" s="1">
        <v>2.1948947045725199E-6</v>
      </c>
      <c r="O104" s="1">
        <v>6.4898125742102499E-8</v>
      </c>
      <c r="P104" s="1">
        <v>-3.3261532440977501E-7</v>
      </c>
      <c r="Q104">
        <v>73.363695166965798</v>
      </c>
      <c r="R104">
        <v>0.10474737564679699</v>
      </c>
      <c r="S104">
        <v>11.9642601045147</v>
      </c>
      <c r="T104">
        <v>0.24707889186158299</v>
      </c>
      <c r="V104">
        <v>0.567033584490093</v>
      </c>
      <c r="W104">
        <v>5.23736878233792E-2</v>
      </c>
      <c r="X104">
        <v>3.9280265867570503E-2</v>
      </c>
      <c r="AA104">
        <v>0.42570224467055401</v>
      </c>
      <c r="AB104">
        <v>3.8397949351659801</v>
      </c>
      <c r="AC104">
        <v>4.4256853584329203</v>
      </c>
      <c r="AD104">
        <v>2.6186843911669901E-2</v>
      </c>
      <c r="AE104">
        <v>4.94416154064883</v>
      </c>
    </row>
    <row r="105" spans="1:31" x14ac:dyDescent="0.2">
      <c r="A105">
        <v>104</v>
      </c>
      <c r="B105">
        <v>759</v>
      </c>
      <c r="C105">
        <v>175</v>
      </c>
      <c r="D105">
        <v>0.41070629269001901</v>
      </c>
      <c r="E105">
        <v>72.5115980205222</v>
      </c>
      <c r="F105">
        <v>2.2013776874678199</v>
      </c>
      <c r="G105">
        <v>-1180.8505744216318</v>
      </c>
      <c r="H105">
        <v>-990.71149711928706</v>
      </c>
      <c r="I105">
        <v>184.21651630319599</v>
      </c>
      <c r="J105">
        <v>97.022927409469304</v>
      </c>
      <c r="K105">
        <v>32.939190050540603</v>
      </c>
      <c r="L105">
        <v>1.4105684681756927E-4</v>
      </c>
      <c r="M105">
        <v>1.7348215974142633E-5</v>
      </c>
      <c r="N105" s="1">
        <v>2.0777963427140902E-6</v>
      </c>
      <c r="O105" s="1">
        <v>6.1341853488923806E-8</v>
      </c>
      <c r="P105" s="1">
        <v>-3.1475734308694199E-7</v>
      </c>
      <c r="Q105">
        <v>73.307663352347902</v>
      </c>
      <c r="R105">
        <v>0.11032717824998101</v>
      </c>
      <c r="S105">
        <v>11.9636273693459</v>
      </c>
      <c r="T105">
        <v>0.26056069064608001</v>
      </c>
      <c r="V105">
        <v>0.59695092944149097</v>
      </c>
      <c r="W105">
        <v>5.5163589124968201E-2</v>
      </c>
      <c r="X105">
        <v>4.1372691843767198E-2</v>
      </c>
      <c r="AA105">
        <v>0.42657887937253403</v>
      </c>
      <c r="AB105">
        <v>3.78833372671855</v>
      </c>
      <c r="AC105">
        <v>4.4977464605948398</v>
      </c>
      <c r="AD105">
        <v>2.7581794562461799E-2</v>
      </c>
      <c r="AE105">
        <v>4.9240933377513398</v>
      </c>
    </row>
    <row r="106" spans="1:31" x14ac:dyDescent="0.2">
      <c r="A106">
        <v>105</v>
      </c>
      <c r="B106">
        <v>758</v>
      </c>
      <c r="C106">
        <v>175</v>
      </c>
      <c r="D106">
        <v>0.41006691557969399</v>
      </c>
      <c r="E106">
        <v>66.283611221656997</v>
      </c>
      <c r="F106">
        <v>2.2034219823592198</v>
      </c>
      <c r="G106">
        <v>-1078.4171910620616</v>
      </c>
      <c r="H106">
        <v>-904.97798192932385</v>
      </c>
      <c r="I106">
        <v>168.199785804914</v>
      </c>
      <c r="J106">
        <v>88.663835335230601</v>
      </c>
      <c r="K106">
        <v>30.082123057829499</v>
      </c>
      <c r="L106">
        <v>1.4087052877896172E-4</v>
      </c>
      <c r="M106">
        <v>1.731316366873029E-5</v>
      </c>
      <c r="N106" s="1">
        <v>1.8951684443066699E-6</v>
      </c>
      <c r="O106" s="1">
        <v>5.5860568598144301E-8</v>
      </c>
      <c r="P106" s="1">
        <v>-2.8693792207439901E-7</v>
      </c>
      <c r="Q106">
        <v>73.217613873872196</v>
      </c>
      <c r="R106">
        <v>0.120693484445937</v>
      </c>
      <c r="S106">
        <v>11.958809768549999</v>
      </c>
      <c r="T106">
        <v>0.28519677016209899</v>
      </c>
      <c r="V106">
        <v>0.65290178320152104</v>
      </c>
      <c r="W106">
        <v>6.03467422229347E-2</v>
      </c>
      <c r="X106">
        <v>4.5260056667263598E-2</v>
      </c>
      <c r="AA106">
        <v>0.43333885063842298</v>
      </c>
      <c r="AB106">
        <v>3.7396590535796799</v>
      </c>
      <c r="AC106">
        <v>4.5483066427155903</v>
      </c>
      <c r="AD106">
        <v>3.0173371111433998E-2</v>
      </c>
      <c r="AE106">
        <v>4.90769960283275</v>
      </c>
    </row>
    <row r="107" spans="1:31" x14ac:dyDescent="0.2">
      <c r="A107">
        <v>106</v>
      </c>
      <c r="B107">
        <v>757</v>
      </c>
      <c r="C107">
        <v>175</v>
      </c>
      <c r="D107">
        <v>0.40942629714119499</v>
      </c>
      <c r="E107">
        <v>31.399254665832</v>
      </c>
      <c r="F107">
        <v>2.2054064695932198</v>
      </c>
      <c r="G107">
        <v>-510.7542805715326</v>
      </c>
      <c r="H107">
        <v>-428.76211927684142</v>
      </c>
      <c r="I107">
        <v>79.592448958589799</v>
      </c>
      <c r="J107">
        <v>42.022606685447201</v>
      </c>
      <c r="K107">
        <v>14.2374002700841</v>
      </c>
      <c r="L107">
        <v>1.4071311498376667E-4</v>
      </c>
      <c r="M107">
        <v>1.7289043532819537E-5</v>
      </c>
      <c r="N107" s="1">
        <v>8.9684789048041698E-7</v>
      </c>
      <c r="O107" s="1">
        <v>2.63872046747596E-8</v>
      </c>
      <c r="P107" s="1">
        <v>-1.3553999195141499E-7</v>
      </c>
      <c r="Q107">
        <v>73.061741683703403</v>
      </c>
      <c r="R107">
        <v>0.14864307587454501</v>
      </c>
      <c r="S107">
        <v>12.0254872049039</v>
      </c>
      <c r="T107">
        <v>0.26584177636050799</v>
      </c>
      <c r="V107">
        <v>0.60840454909497899</v>
      </c>
      <c r="W107">
        <v>0.12739155889426099</v>
      </c>
      <c r="X107">
        <v>8.6362206419680496E-2</v>
      </c>
      <c r="AA107">
        <v>0.49070259101583102</v>
      </c>
      <c r="AB107">
        <v>3.64475746566661</v>
      </c>
      <c r="AC107">
        <v>4.5798394094552899</v>
      </c>
      <c r="AD107">
        <v>6.3695779447045298E-2</v>
      </c>
      <c r="AE107">
        <v>4.8971326991638904</v>
      </c>
    </row>
    <row r="108" spans="1:31" x14ac:dyDescent="0.2">
      <c r="A108">
        <v>107</v>
      </c>
      <c r="B108">
        <v>756</v>
      </c>
      <c r="C108">
        <v>175</v>
      </c>
      <c r="D108">
        <v>0.40878443375601398</v>
      </c>
      <c r="E108">
        <v>20.361720084921501</v>
      </c>
      <c r="F108">
        <v>2.2072537351352799</v>
      </c>
      <c r="G108">
        <v>-331.10201084118961</v>
      </c>
      <c r="H108">
        <v>-278.02048106975843</v>
      </c>
      <c r="I108">
        <v>51.5780301913532</v>
      </c>
      <c r="J108">
        <v>27.268178836671702</v>
      </c>
      <c r="K108">
        <v>9.2249113732606407</v>
      </c>
      <c r="L108">
        <v>1.4079096730132065E-4</v>
      </c>
      <c r="M108">
        <v>1.7284799434978637E-5</v>
      </c>
      <c r="N108" s="1">
        <v>5.8235659302868203E-7</v>
      </c>
      <c r="O108" s="1">
        <v>1.7100294205303401E-8</v>
      </c>
      <c r="P108" s="1">
        <v>-8.7867898214852796E-8</v>
      </c>
      <c r="Q108">
        <v>72.885622990748899</v>
      </c>
      <c r="R108">
        <v>0.16342537561801701</v>
      </c>
      <c r="S108">
        <v>12.0881094202798</v>
      </c>
      <c r="T108">
        <v>0.258098524110497</v>
      </c>
      <c r="V108">
        <v>0.59078279813402201</v>
      </c>
      <c r="W108">
        <v>0.19644705768055501</v>
      </c>
      <c r="X108">
        <v>0.12448317676122</v>
      </c>
      <c r="AA108">
        <v>0.53374605716805801</v>
      </c>
      <c r="AB108">
        <v>3.57910308473198</v>
      </c>
      <c r="AC108">
        <v>4.5839034168138797</v>
      </c>
      <c r="AD108">
        <v>9.8223528840127305E-2</v>
      </c>
      <c r="AE108">
        <v>4.8980545691128397</v>
      </c>
    </row>
    <row r="109" spans="1:31" x14ac:dyDescent="0.2">
      <c r="A109">
        <v>108</v>
      </c>
      <c r="B109">
        <v>755</v>
      </c>
      <c r="C109">
        <v>175</v>
      </c>
      <c r="D109">
        <v>0.40814132179156798</v>
      </c>
      <c r="E109">
        <v>14.8987007394639</v>
      </c>
      <c r="F109">
        <v>2.2090389481819201</v>
      </c>
      <c r="G109">
        <v>-242.18013949270841</v>
      </c>
      <c r="H109">
        <v>-203.40115407832346</v>
      </c>
      <c r="I109">
        <v>37.717244968521101</v>
      </c>
      <c r="J109">
        <v>19.965950134236401</v>
      </c>
      <c r="K109">
        <v>6.7444264627954302</v>
      </c>
      <c r="L109">
        <v>1.4094089813460425E-4</v>
      </c>
      <c r="M109">
        <v>1.728714479263048E-5</v>
      </c>
      <c r="N109" s="1">
        <v>4.2701157738811999E-7</v>
      </c>
      <c r="O109" s="1">
        <v>1.25131828191612E-8</v>
      </c>
      <c r="P109" s="1">
        <v>-6.4327198812677497E-8</v>
      </c>
      <c r="Q109">
        <v>72.701129558417605</v>
      </c>
      <c r="R109">
        <v>0.17238414394945201</v>
      </c>
      <c r="S109">
        <v>12.1531998965228</v>
      </c>
      <c r="T109">
        <v>0.25278495937981699</v>
      </c>
      <c r="V109">
        <v>0.57880347439341095</v>
      </c>
      <c r="W109">
        <v>0.26847978692546798</v>
      </c>
      <c r="X109">
        <v>0.16089804327895499</v>
      </c>
      <c r="AA109">
        <v>0.57453880464501506</v>
      </c>
      <c r="AB109">
        <v>3.5201063881660599</v>
      </c>
      <c r="AC109">
        <v>4.5805968267116501</v>
      </c>
      <c r="AD109">
        <v>0.13423989346249701</v>
      </c>
      <c r="AE109">
        <v>4.9028382241471604</v>
      </c>
    </row>
    <row r="110" spans="1:31" x14ac:dyDescent="0.2">
      <c r="A110">
        <v>109</v>
      </c>
      <c r="B110">
        <v>754</v>
      </c>
      <c r="C110">
        <v>175</v>
      </c>
      <c r="D110">
        <v>0.40749695760112897</v>
      </c>
      <c r="E110">
        <v>11.302672054767401</v>
      </c>
      <c r="F110">
        <v>2.2108111264143502</v>
      </c>
      <c r="G110">
        <v>-183.64091729604607</v>
      </c>
      <c r="H110">
        <v>-154.26492498609721</v>
      </c>
      <c r="I110">
        <v>28.599515465072098</v>
      </c>
      <c r="J110">
        <v>15.1579015444192</v>
      </c>
      <c r="K110">
        <v>5.1124548450680596</v>
      </c>
      <c r="L110">
        <v>1.4119570900643325E-4</v>
      </c>
      <c r="M110">
        <v>1.7300540002162659E-5</v>
      </c>
      <c r="N110" s="1">
        <v>3.2503472761080402E-7</v>
      </c>
      <c r="O110" s="1">
        <v>9.5045025577475101E-9</v>
      </c>
      <c r="P110" s="1">
        <v>-4.8888877976391203E-8</v>
      </c>
      <c r="Q110">
        <v>72.488569124223602</v>
      </c>
      <c r="R110">
        <v>0.168578098560342</v>
      </c>
      <c r="S110">
        <v>12.2345556225088</v>
      </c>
      <c r="T110">
        <v>0.251869134211132</v>
      </c>
      <c r="V110">
        <v>0.57716293440958999</v>
      </c>
      <c r="W110">
        <v>0.35210950617802</v>
      </c>
      <c r="X110">
        <v>0.18356417716460599</v>
      </c>
      <c r="AA110">
        <v>0.62071017627608005</v>
      </c>
      <c r="AB110">
        <v>3.4604654208174601</v>
      </c>
      <c r="AC110">
        <v>4.5717201819994298</v>
      </c>
      <c r="AD110">
        <v>0.17694930811958501</v>
      </c>
      <c r="AE110">
        <v>4.9137463155312799</v>
      </c>
    </row>
    <row r="111" spans="1:31" x14ac:dyDescent="0.2">
      <c r="A111">
        <v>110</v>
      </c>
      <c r="B111">
        <v>753</v>
      </c>
      <c r="C111">
        <v>175</v>
      </c>
      <c r="D111">
        <v>0.40685133752375702</v>
      </c>
      <c r="E111">
        <v>8.8337037015589992</v>
      </c>
      <c r="F111">
        <v>2.2125932720404702</v>
      </c>
      <c r="G111">
        <v>-143.4489306132682</v>
      </c>
      <c r="H111">
        <v>-120.5232973509785</v>
      </c>
      <c r="I111">
        <v>22.341405508249</v>
      </c>
      <c r="J111">
        <v>11.854646200751001</v>
      </c>
      <c r="K111">
        <v>3.99246613156898</v>
      </c>
      <c r="L111">
        <v>1.4150121555954297E-4</v>
      </c>
      <c r="M111">
        <v>1.7320541560492862E-5</v>
      </c>
      <c r="N111" s="1">
        <v>2.5503471023669501E-7</v>
      </c>
      <c r="O111" s="1">
        <v>7.4413938034796197E-9</v>
      </c>
      <c r="P111" s="1">
        <v>-3.8298272929040299E-8</v>
      </c>
      <c r="Q111">
        <v>72.251177021191495</v>
      </c>
      <c r="R111">
        <v>0.166726827912031</v>
      </c>
      <c r="S111">
        <v>12.3364663862792</v>
      </c>
      <c r="T111">
        <v>0.25087640864635902</v>
      </c>
      <c r="V111">
        <v>0.57545218796016995</v>
      </c>
      <c r="W111">
        <v>0.44800451487073001</v>
      </c>
      <c r="X111">
        <v>0.18335506343014199</v>
      </c>
      <c r="AA111">
        <v>0.67301369719686199</v>
      </c>
      <c r="AB111">
        <v>3.3961324704528701</v>
      </c>
      <c r="AC111">
        <v>4.5648641271796704</v>
      </c>
      <c r="AD111">
        <v>0.22640560149649699</v>
      </c>
      <c r="AE111">
        <v>4.92752569338389</v>
      </c>
    </row>
    <row r="112" spans="1:31" x14ac:dyDescent="0.2">
      <c r="A112">
        <v>111</v>
      </c>
      <c r="B112">
        <v>793</v>
      </c>
      <c r="C112">
        <v>150</v>
      </c>
      <c r="D112">
        <v>0.45752520752239401</v>
      </c>
      <c r="E112">
        <v>103.555218999812</v>
      </c>
      <c r="F112">
        <v>2.18699449329673</v>
      </c>
      <c r="G112">
        <v>-1702.5096106186895</v>
      </c>
      <c r="H112">
        <v>-1417.2206506350142</v>
      </c>
      <c r="I112">
        <v>267.58801292845698</v>
      </c>
      <c r="J112">
        <v>139.473493843395</v>
      </c>
      <c r="K112">
        <v>47.3504708481045</v>
      </c>
      <c r="L112">
        <v>1.4101515059716639E-4</v>
      </c>
      <c r="M112">
        <v>1.7713605704856319E-5</v>
      </c>
      <c r="N112" s="1">
        <v>2.78170900196152E-6</v>
      </c>
      <c r="O112" s="1">
        <v>8.8662253632492599E-8</v>
      </c>
      <c r="P112" s="1">
        <v>-4.4558914709693502E-7</v>
      </c>
      <c r="Q112">
        <v>73.188862000208502</v>
      </c>
      <c r="R112">
        <v>7.7253469958038001E-2</v>
      </c>
      <c r="S112">
        <v>12.502546776612601</v>
      </c>
      <c r="T112">
        <v>0.176521032709924</v>
      </c>
      <c r="V112">
        <v>0.42333306126444498</v>
      </c>
      <c r="W112">
        <v>3.8626734979018501E-2</v>
      </c>
      <c r="X112">
        <v>2.8970051234264799E-2</v>
      </c>
      <c r="AA112">
        <v>0.57788903564137994</v>
      </c>
      <c r="AB112">
        <v>4.4655898643662901</v>
      </c>
      <c r="AC112">
        <v>3.7364041293950998</v>
      </c>
      <c r="AD112">
        <v>1.93133674895088E-2</v>
      </c>
      <c r="AE112">
        <v>4.76469047614082</v>
      </c>
    </row>
    <row r="113" spans="1:31" x14ac:dyDescent="0.2">
      <c r="A113">
        <v>112</v>
      </c>
      <c r="B113">
        <v>792</v>
      </c>
      <c r="C113">
        <v>150</v>
      </c>
      <c r="D113">
        <v>0.456950194808243</v>
      </c>
      <c r="E113">
        <v>103.09680672955599</v>
      </c>
      <c r="F113">
        <v>2.1872903244277802</v>
      </c>
      <c r="G113">
        <v>-1694.5861090132601</v>
      </c>
      <c r="H113">
        <v>-1411.0479879873619</v>
      </c>
      <c r="I113">
        <v>266.19548516725098</v>
      </c>
      <c r="J113">
        <v>138.80341671514401</v>
      </c>
      <c r="K113">
        <v>47.134486710870398</v>
      </c>
      <c r="L113">
        <v>1.408000808970507E-4</v>
      </c>
      <c r="M113">
        <v>1.7697476521248913E-5</v>
      </c>
      <c r="N113" s="1">
        <v>2.7692090410270502E-6</v>
      </c>
      <c r="O113" s="1">
        <v>8.81073736428128E-8</v>
      </c>
      <c r="P113" s="1">
        <v>-4.42773325775755E-7</v>
      </c>
      <c r="Q113">
        <v>73.2420631918488</v>
      </c>
      <c r="R113">
        <v>7.7596971756706504E-2</v>
      </c>
      <c r="S113">
        <v>12.4681928643323</v>
      </c>
      <c r="T113">
        <v>0.17749454858652999</v>
      </c>
      <c r="V113">
        <v>0.42504565040075498</v>
      </c>
      <c r="W113">
        <v>3.8798485878352398E-2</v>
      </c>
      <c r="X113">
        <v>2.9098864408765801E-2</v>
      </c>
      <c r="AA113">
        <v>0.56977316829489599</v>
      </c>
      <c r="AB113">
        <v>4.4461111683618402</v>
      </c>
      <c r="AC113">
        <v>3.7476511363593299</v>
      </c>
      <c r="AD113">
        <v>1.9399242939175401E-2</v>
      </c>
      <c r="AE113">
        <v>4.7587747068324404</v>
      </c>
    </row>
    <row r="114" spans="1:31" x14ac:dyDescent="0.2">
      <c r="A114">
        <v>113</v>
      </c>
      <c r="B114">
        <v>791</v>
      </c>
      <c r="C114">
        <v>150</v>
      </c>
      <c r="D114">
        <v>0.45637410139548201</v>
      </c>
      <c r="E114">
        <v>102.63715242403499</v>
      </c>
      <c r="F114">
        <v>2.1875891462853199</v>
      </c>
      <c r="G114">
        <v>-1686.6454072788015</v>
      </c>
      <c r="H114">
        <v>-1404.8578567452978</v>
      </c>
      <c r="I114">
        <v>264.800592523143</v>
      </c>
      <c r="J114">
        <v>138.13192196640901</v>
      </c>
      <c r="K114">
        <v>46.917929081116597</v>
      </c>
      <c r="L114">
        <v>1.4058307225898344E-4</v>
      </c>
      <c r="M114">
        <v>1.7681263231409826E-5</v>
      </c>
      <c r="N114" s="1">
        <v>2.7566283966649201E-6</v>
      </c>
      <c r="O114" s="1">
        <v>8.7551804483353997E-8</v>
      </c>
      <c r="P114" s="1">
        <v>-4.3994927053790702E-7</v>
      </c>
      <c r="Q114">
        <v>73.2954831124202</v>
      </c>
      <c r="R114">
        <v>7.7944485121224497E-2</v>
      </c>
      <c r="S114">
        <v>12.433746652292699</v>
      </c>
      <c r="T114">
        <v>0.17847870849734901</v>
      </c>
      <c r="V114">
        <v>0.426778892376101</v>
      </c>
      <c r="W114">
        <v>3.8972242560611103E-2</v>
      </c>
      <c r="X114">
        <v>2.9229181920460399E-2</v>
      </c>
      <c r="AA114">
        <v>0.56191130236253795</v>
      </c>
      <c r="AB114">
        <v>4.4263147055930796</v>
      </c>
      <c r="AC114">
        <v>3.7588662242589499</v>
      </c>
      <c r="AD114">
        <v>1.94861212803045E-2</v>
      </c>
      <c r="AE114">
        <v>4.7527883713163099</v>
      </c>
    </row>
    <row r="115" spans="1:31" x14ac:dyDescent="0.2">
      <c r="A115">
        <v>114</v>
      </c>
      <c r="B115">
        <v>790</v>
      </c>
      <c r="C115">
        <v>150</v>
      </c>
      <c r="D115">
        <v>0.45579692423458601</v>
      </c>
      <c r="E115">
        <v>102.17648817210301</v>
      </c>
      <c r="F115">
        <v>2.18789082725293</v>
      </c>
      <c r="G115">
        <v>-1678.6914024126993</v>
      </c>
      <c r="H115">
        <v>-1398.6534437910179</v>
      </c>
      <c r="I115">
        <v>263.40399625798898</v>
      </c>
      <c r="J115">
        <v>137.45933805144901</v>
      </c>
      <c r="K115">
        <v>46.700907970071597</v>
      </c>
      <c r="L115">
        <v>1.403642047984962E-4</v>
      </c>
      <c r="M115">
        <v>1.7664972230744834E-5</v>
      </c>
      <c r="N115" s="1">
        <v>2.7439758168397801E-6</v>
      </c>
      <c r="O115" s="1">
        <v>8.6995825209596206E-8</v>
      </c>
      <c r="P115" s="1">
        <v>-4.37118528728636E-7</v>
      </c>
      <c r="Q115">
        <v>73.349112763813096</v>
      </c>
      <c r="R115">
        <v>7.82958990186189E-2</v>
      </c>
      <c r="S115">
        <v>12.399213618509499</v>
      </c>
      <c r="T115">
        <v>0.17947331193728</v>
      </c>
      <c r="V115">
        <v>0.42853213088210701</v>
      </c>
      <c r="W115">
        <v>3.9147949509308E-2</v>
      </c>
      <c r="X115">
        <v>2.9360962131983699E-2</v>
      </c>
      <c r="AA115">
        <v>0.55429950627395497</v>
      </c>
      <c r="AB115">
        <v>4.4062132636860003</v>
      </c>
      <c r="AC115">
        <v>3.7700417039644898</v>
      </c>
      <c r="AD115">
        <v>1.9573974754652598E-2</v>
      </c>
      <c r="AE115">
        <v>4.7467349155188696</v>
      </c>
    </row>
    <row r="116" spans="1:31" x14ac:dyDescent="0.2">
      <c r="A116">
        <v>115</v>
      </c>
      <c r="B116">
        <v>789</v>
      </c>
      <c r="C116">
        <v>150</v>
      </c>
      <c r="D116">
        <v>0.45521866026455898</v>
      </c>
      <c r="E116">
        <v>101.71504777602701</v>
      </c>
      <c r="F116">
        <v>2.1881952329190701</v>
      </c>
      <c r="G116">
        <v>-1670.7280152881222</v>
      </c>
      <c r="H116">
        <v>-1392.4379593942642</v>
      </c>
      <c r="I116">
        <v>262.00636058358702</v>
      </c>
      <c r="J116">
        <v>136.785995368557</v>
      </c>
      <c r="K116">
        <v>46.483534122473401</v>
      </c>
      <c r="L116">
        <v>1.4014356104030776E-4</v>
      </c>
      <c r="M116">
        <v>1.7648610003808677E-5</v>
      </c>
      <c r="N116" s="1">
        <v>2.7312601171875802E-6</v>
      </c>
      <c r="O116" s="1">
        <v>8.6439714987306004E-8</v>
      </c>
      <c r="P116" s="1">
        <v>-4.34282653547011E-7</v>
      </c>
      <c r="Q116">
        <v>73.402942669409796</v>
      </c>
      <c r="R116">
        <v>7.8651096125086903E-2</v>
      </c>
      <c r="S116">
        <v>12.3645994987401</v>
      </c>
      <c r="T116">
        <v>0.180478145211557</v>
      </c>
      <c r="V116">
        <v>0.430304674072014</v>
      </c>
      <c r="W116">
        <v>3.9325548062541502E-2</v>
      </c>
      <c r="X116">
        <v>2.94941610469097E-2</v>
      </c>
      <c r="AA116">
        <v>0.54693357498418504</v>
      </c>
      <c r="AB116">
        <v>4.3858200616284</v>
      </c>
      <c r="AC116">
        <v>3.7811699328492798</v>
      </c>
      <c r="AD116">
        <v>1.9662774031268902E-2</v>
      </c>
      <c r="AE116">
        <v>4.7406178638386898</v>
      </c>
    </row>
    <row r="117" spans="1:31" x14ac:dyDescent="0.2">
      <c r="A117">
        <v>116</v>
      </c>
      <c r="B117">
        <v>788</v>
      </c>
      <c r="C117">
        <v>150</v>
      </c>
      <c r="D117">
        <v>0.45463930641285699</v>
      </c>
      <c r="E117">
        <v>101.25306552523701</v>
      </c>
      <c r="F117">
        <v>2.1885022267259302</v>
      </c>
      <c r="G117">
        <v>-1662.7591701564147</v>
      </c>
      <c r="H117">
        <v>-1386.2146203841526</v>
      </c>
      <c r="I117">
        <v>260.60834921760397</v>
      </c>
      <c r="J117">
        <v>136.11222453109201</v>
      </c>
      <c r="K117">
        <v>46.2659184389845</v>
      </c>
      <c r="L117">
        <v>1.3992122547521347E-4</v>
      </c>
      <c r="M117">
        <v>1.7632183092616148E-5</v>
      </c>
      <c r="N117" s="1">
        <v>2.7184901353192402E-6</v>
      </c>
      <c r="O117" s="1">
        <v>8.5883751670530604E-8</v>
      </c>
      <c r="P117" s="1">
        <v>-4.3144319606736702E-7</v>
      </c>
      <c r="Q117">
        <v>73.456962932947704</v>
      </c>
      <c r="R117">
        <v>7.9009953511048198E-2</v>
      </c>
      <c r="S117">
        <v>12.3299102517155</v>
      </c>
      <c r="T117">
        <v>0.181492982833451</v>
      </c>
      <c r="V117">
        <v>0.43209579846547302</v>
      </c>
      <c r="W117">
        <v>3.9504976755521601E-2</v>
      </c>
      <c r="X117">
        <v>2.9628732566645801E-2</v>
      </c>
      <c r="AA117">
        <v>0.53980905264721901</v>
      </c>
      <c r="AB117">
        <v>4.3651486813351097</v>
      </c>
      <c r="AC117">
        <v>3.7922433480922302</v>
      </c>
      <c r="AD117">
        <v>1.97524883777584E-2</v>
      </c>
      <c r="AE117">
        <v>4.7344408007522496</v>
      </c>
    </row>
    <row r="118" spans="1:31" x14ac:dyDescent="0.2">
      <c r="A118">
        <v>117</v>
      </c>
      <c r="B118">
        <v>787</v>
      </c>
      <c r="C118">
        <v>150</v>
      </c>
      <c r="D118">
        <v>0.45405885959534198</v>
      </c>
      <c r="E118">
        <v>100.79077499998201</v>
      </c>
      <c r="F118">
        <v>2.1888116706051601</v>
      </c>
      <c r="G118">
        <v>-1654.7887746893932</v>
      </c>
      <c r="H118">
        <v>-1379.9866337330202</v>
      </c>
      <c r="I118">
        <v>259.210622040629</v>
      </c>
      <c r="J118">
        <v>135.43835468491099</v>
      </c>
      <c r="K118">
        <v>46.0481714135394</v>
      </c>
      <c r="L118">
        <v>1.3969728412029488E-4</v>
      </c>
      <c r="M118">
        <v>1.7615698065964316E-5</v>
      </c>
      <c r="N118" s="1">
        <v>2.7056746864508901E-6</v>
      </c>
      <c r="O118" s="1">
        <v>8.5328210435461798E-8</v>
      </c>
      <c r="P118" s="1">
        <v>-4.2860169753835098E-7</v>
      </c>
      <c r="Q118">
        <v>73.5111632989518</v>
      </c>
      <c r="R118">
        <v>7.9372343351875096E-2</v>
      </c>
      <c r="S118">
        <v>12.295152023437501</v>
      </c>
      <c r="T118">
        <v>0.182517588977612</v>
      </c>
      <c r="V118">
        <v>0.433904752996776</v>
      </c>
      <c r="W118">
        <v>3.96861716759348E-2</v>
      </c>
      <c r="X118">
        <v>2.97646287569561E-2</v>
      </c>
      <c r="AA118">
        <v>0.532921256593892</v>
      </c>
      <c r="AB118">
        <v>4.3442129982428401</v>
      </c>
      <c r="AC118">
        <v>3.8032544983815901</v>
      </c>
      <c r="AD118">
        <v>1.9843085837964701E-2</v>
      </c>
      <c r="AE118">
        <v>4.7282073527951898</v>
      </c>
    </row>
    <row r="119" spans="1:31" x14ac:dyDescent="0.2">
      <c r="A119">
        <v>118</v>
      </c>
      <c r="B119">
        <v>786</v>
      </c>
      <c r="C119">
        <v>150</v>
      </c>
      <c r="D119">
        <v>0.45347731671623798</v>
      </c>
      <c r="E119">
        <v>100.328407918962</v>
      </c>
      <c r="F119">
        <v>2.1891234256144299</v>
      </c>
      <c r="G119">
        <v>-1646.8207007911878</v>
      </c>
      <c r="H119">
        <v>-1373.7571807461777</v>
      </c>
      <c r="I119">
        <v>257.81383188878698</v>
      </c>
      <c r="J119">
        <v>134.76471189104799</v>
      </c>
      <c r="K119">
        <v>45.830402591759899</v>
      </c>
      <c r="L119">
        <v>1.3947182407557176E-4</v>
      </c>
      <c r="M119">
        <v>1.7599161489025215E-5</v>
      </c>
      <c r="N119" s="1">
        <v>2.69282252052136E-6</v>
      </c>
      <c r="O119" s="1">
        <v>8.4773362475080402E-8</v>
      </c>
      <c r="P119" s="1">
        <v>-4.2575968197970602E-7</v>
      </c>
      <c r="Q119">
        <v>73.565533214411204</v>
      </c>
      <c r="R119">
        <v>7.9738133654647506E-2</v>
      </c>
      <c r="S119">
        <v>12.2603311110921</v>
      </c>
      <c r="T119">
        <v>0.18355171896976499</v>
      </c>
      <c r="V119">
        <v>0.43573076315093301</v>
      </c>
      <c r="W119">
        <v>3.9869066827320797E-2</v>
      </c>
      <c r="X119">
        <v>2.9901800120496001E-2</v>
      </c>
      <c r="AA119">
        <v>0.52626530223822798</v>
      </c>
      <c r="AB119">
        <v>4.32302711188954</v>
      </c>
      <c r="AC119">
        <v>3.8141960737146299</v>
      </c>
      <c r="AD119">
        <v>1.9934533413657501E-2</v>
      </c>
      <c r="AE119">
        <v>4.7219211705174304</v>
      </c>
    </row>
    <row r="120" spans="1:31" x14ac:dyDescent="0.2">
      <c r="A120">
        <v>119</v>
      </c>
      <c r="B120">
        <v>785</v>
      </c>
      <c r="C120">
        <v>150</v>
      </c>
      <c r="D120">
        <v>0.452894674668055</v>
      </c>
      <c r="E120">
        <v>99.866193044505593</v>
      </c>
      <c r="F120">
        <v>2.18943735255159</v>
      </c>
      <c r="G120">
        <v>-1638.8587664062907</v>
      </c>
      <c r="H120">
        <v>-1367.529402042727</v>
      </c>
      <c r="I120">
        <v>256.41862152205601</v>
      </c>
      <c r="J120">
        <v>134.09161759306099</v>
      </c>
      <c r="K120">
        <v>45.6127200571053</v>
      </c>
      <c r="L120">
        <v>1.3924493309149262E-4</v>
      </c>
      <c r="M120">
        <v>1.7582579894337375E-5</v>
      </c>
      <c r="N120" s="1">
        <v>2.6799422815483301E-6</v>
      </c>
      <c r="O120" s="1">
        <v>8.4219473776638001E-8</v>
      </c>
      <c r="P120" s="1">
        <v>-4.2291864920992801E-7</v>
      </c>
      <c r="Q120">
        <v>73.620061890499201</v>
      </c>
      <c r="R120">
        <v>8.0107188990722805E-2</v>
      </c>
      <c r="S120">
        <v>12.2254539270132</v>
      </c>
      <c r="T120">
        <v>0.18459512079132301</v>
      </c>
      <c r="V120">
        <v>0.43757303513047502</v>
      </c>
      <c r="W120">
        <v>4.0053594495358197E-2</v>
      </c>
      <c r="X120">
        <v>3.0040195871524501E-2</v>
      </c>
      <c r="AA120">
        <v>0.51983612854568395</v>
      </c>
      <c r="AB120">
        <v>4.3016052773546303</v>
      </c>
      <c r="AC120">
        <v>3.8250609329902301</v>
      </c>
      <c r="AD120">
        <v>2.0026797247676E-2</v>
      </c>
      <c r="AE120">
        <v>4.7155859110698897</v>
      </c>
    </row>
    <row r="121" spans="1:31" x14ac:dyDescent="0.2">
      <c r="A121">
        <v>120</v>
      </c>
      <c r="B121">
        <v>784</v>
      </c>
      <c r="C121">
        <v>150</v>
      </c>
      <c r="D121">
        <v>0.45231093033155201</v>
      </c>
      <c r="E121">
        <v>99.404355162708697</v>
      </c>
      <c r="F121">
        <v>2.1897533125467099</v>
      </c>
      <c r="G121">
        <v>-1630.9067186105938</v>
      </c>
      <c r="H121">
        <v>-1361.3063835669313</v>
      </c>
      <c r="I121">
        <v>255.02562081413399</v>
      </c>
      <c r="J121">
        <v>133.41938719316701</v>
      </c>
      <c r="K121">
        <v>45.3952299526836</v>
      </c>
      <c r="L121">
        <v>1.3901669915053236E-4</v>
      </c>
      <c r="M121">
        <v>1.7565959754259562E-5</v>
      </c>
      <c r="N121" s="1">
        <v>2.6670424697306602E-6</v>
      </c>
      <c r="O121" s="1">
        <v>8.3666803996806905E-8</v>
      </c>
      <c r="P121" s="1">
        <v>-4.2008006838777102E-7</v>
      </c>
      <c r="Q121">
        <v>73.674738363034095</v>
      </c>
      <c r="R121">
        <v>8.0479371219757304E-2</v>
      </c>
      <c r="S121">
        <v>12.1905269636055</v>
      </c>
      <c r="T121">
        <v>0.185647536568949</v>
      </c>
      <c r="V121">
        <v>0.439430759971217</v>
      </c>
      <c r="W121">
        <v>4.0239685609875203E-2</v>
      </c>
      <c r="X121">
        <v>3.01797642074128E-2</v>
      </c>
      <c r="AA121">
        <v>0.51362852378474799</v>
      </c>
      <c r="AB121">
        <v>4.27996183864696</v>
      </c>
      <c r="AC121">
        <v>3.8358421290557501</v>
      </c>
      <c r="AD121">
        <v>2.0119842804934202E-2</v>
      </c>
      <c r="AE121">
        <v>4.7092052214907696</v>
      </c>
    </row>
    <row r="122" spans="1:31" x14ac:dyDescent="0.2">
      <c r="A122">
        <v>121</v>
      </c>
      <c r="B122">
        <v>783</v>
      </c>
      <c r="C122">
        <v>150</v>
      </c>
      <c r="D122">
        <v>0.45172608057567798</v>
      </c>
      <c r="E122">
        <v>98.943114138592094</v>
      </c>
      <c r="F122">
        <v>2.1900711676203399</v>
      </c>
      <c r="G122">
        <v>-1622.9682179843246</v>
      </c>
      <c r="H122">
        <v>-1355.0911436300644</v>
      </c>
      <c r="I122">
        <v>253.63544416442701</v>
      </c>
      <c r="J122">
        <v>132.748328736893</v>
      </c>
      <c r="K122">
        <v>45.178036038938401</v>
      </c>
      <c r="L122">
        <v>1.3878721006685659E-4</v>
      </c>
      <c r="M122">
        <v>1.7549307455239932E-5</v>
      </c>
      <c r="N122" s="1">
        <v>2.65413140641037E-6</v>
      </c>
      <c r="O122" s="1">
        <v>8.3115605436675605E-8</v>
      </c>
      <c r="P122" s="1">
        <v>-4.1724537208586098E-7</v>
      </c>
      <c r="Q122">
        <v>73.729551551935003</v>
      </c>
      <c r="R122">
        <v>8.0854540203722097E-2</v>
      </c>
      <c r="S122">
        <v>12.1555567589151</v>
      </c>
      <c r="T122">
        <v>0.18670870404604101</v>
      </c>
      <c r="V122">
        <v>0.44130311759886298</v>
      </c>
      <c r="W122">
        <v>4.0427270101857198E-2</v>
      </c>
      <c r="X122">
        <v>3.0320452576400099E-2</v>
      </c>
      <c r="AA122">
        <v>0.50763715109877205</v>
      </c>
      <c r="AB122">
        <v>4.2581111643584997</v>
      </c>
      <c r="AC122">
        <v>3.8465329312182099</v>
      </c>
      <c r="AD122">
        <v>2.0213635050924699E-2</v>
      </c>
      <c r="AE122">
        <v>4.7027827228964698</v>
      </c>
    </row>
    <row r="123" spans="1:31" x14ac:dyDescent="0.2">
      <c r="A123">
        <v>122</v>
      </c>
      <c r="B123">
        <v>782</v>
      </c>
      <c r="C123">
        <v>150</v>
      </c>
      <c r="D123">
        <v>0.451140122257502</v>
      </c>
      <c r="E123">
        <v>98.482684060932002</v>
      </c>
      <c r="F123">
        <v>2.1903907812116801</v>
      </c>
      <c r="G123">
        <v>-1615.0468245063769</v>
      </c>
      <c r="H123">
        <v>-1348.8866211841064</v>
      </c>
      <c r="I123">
        <v>252.24868816970999</v>
      </c>
      <c r="J123">
        <v>132.07874172641499</v>
      </c>
      <c r="K123">
        <v>44.961239293772501</v>
      </c>
      <c r="L123">
        <v>1.3855655310599844E-4</v>
      </c>
      <c r="M123">
        <v>1.7532629273827708E-5</v>
      </c>
      <c r="N123" s="1">
        <v>2.64121720227518E-6</v>
      </c>
      <c r="O123" s="1">
        <v>8.2566122127309904E-8</v>
      </c>
      <c r="P123" s="1">
        <v>-4.1441595095681599E-7</v>
      </c>
      <c r="Q123">
        <v>73.784490318310702</v>
      </c>
      <c r="R123">
        <v>8.1232554497099402E-2</v>
      </c>
      <c r="S123">
        <v>12.1205498638165</v>
      </c>
      <c r="T123">
        <v>0.187778358007572</v>
      </c>
      <c r="V123">
        <v>0.44318928074818398</v>
      </c>
      <c r="W123">
        <v>4.0616277248545503E-2</v>
      </c>
      <c r="X123">
        <v>3.04622079364169E-2</v>
      </c>
      <c r="AA123">
        <v>0.50185657369335701</v>
      </c>
      <c r="AB123">
        <v>4.2360675865597202</v>
      </c>
      <c r="AC123">
        <v>3.8571268449852001</v>
      </c>
      <c r="AD123">
        <v>2.0308138624268599E-2</v>
      </c>
      <c r="AE123">
        <v>4.6963219955723501</v>
      </c>
    </row>
    <row r="124" spans="1:31" x14ac:dyDescent="0.2">
      <c r="A124">
        <v>123</v>
      </c>
      <c r="B124">
        <v>781</v>
      </c>
      <c r="C124">
        <v>150</v>
      </c>
      <c r="D124">
        <v>0.45055305222216901</v>
      </c>
      <c r="E124">
        <v>98.023272478739898</v>
      </c>
      <c r="F124">
        <v>2.1907120186643398</v>
      </c>
      <c r="G124">
        <v>-1607.1459850008655</v>
      </c>
      <c r="H124">
        <v>-1342.6956653538132</v>
      </c>
      <c r="I124">
        <v>250.86592956130701</v>
      </c>
      <c r="J124">
        <v>131.41091606516801</v>
      </c>
      <c r="K124">
        <v>44.744937556193896</v>
      </c>
      <c r="L124">
        <v>1.3832481463092169E-4</v>
      </c>
      <c r="M124">
        <v>1.7515931354927826E-5</v>
      </c>
      <c r="N124" s="1">
        <v>2.6283077290090602E-6</v>
      </c>
      <c r="O124" s="1">
        <v>8.2018589030687097E-8</v>
      </c>
      <c r="P124" s="1">
        <v>-4.11593149025986E-7</v>
      </c>
      <c r="Q124">
        <v>73.839543518872205</v>
      </c>
      <c r="R124">
        <v>8.1613272008802001E-2</v>
      </c>
      <c r="S124">
        <v>12.0855128108277</v>
      </c>
      <c r="T124">
        <v>0.188856231648521</v>
      </c>
      <c r="V124">
        <v>0.44508841871967197</v>
      </c>
      <c r="W124">
        <v>4.0806636004396303E-2</v>
      </c>
      <c r="X124">
        <v>3.0604977003305799E-2</v>
      </c>
      <c r="AA124">
        <v>0.49628127931856503</v>
      </c>
      <c r="AB124">
        <v>4.2138453433058496</v>
      </c>
      <c r="AC124">
        <v>3.8676176290265598</v>
      </c>
      <c r="AD124">
        <v>2.04033180021936E-2</v>
      </c>
      <c r="AE124">
        <v>4.6898265652620497</v>
      </c>
    </row>
    <row r="125" spans="1:31" x14ac:dyDescent="0.2">
      <c r="A125">
        <v>124</v>
      </c>
      <c r="B125">
        <v>780</v>
      </c>
      <c r="C125">
        <v>150</v>
      </c>
      <c r="D125">
        <v>0.44996486730285301</v>
      </c>
      <c r="E125">
        <v>97.565079736486197</v>
      </c>
      <c r="F125">
        <v>2.1910347476680099</v>
      </c>
      <c r="G125">
        <v>-1599.2690222501578</v>
      </c>
      <c r="H125">
        <v>-1336.5210263243475</v>
      </c>
      <c r="I125">
        <v>249.48772342573201</v>
      </c>
      <c r="J125">
        <v>130.74513114342</v>
      </c>
      <c r="K125">
        <v>44.529225216682597</v>
      </c>
      <c r="L125">
        <v>1.380920797780548E-4</v>
      </c>
      <c r="M125">
        <v>1.7499219692436026E-5</v>
      </c>
      <c r="N125" s="1">
        <v>2.6154105946218502E-6</v>
      </c>
      <c r="O125" s="1">
        <v>8.1473231361707694E-8</v>
      </c>
      <c r="P125" s="1">
        <v>-4.0877825964674398E-7</v>
      </c>
      <c r="Q125">
        <v>73.894700056700998</v>
      </c>
      <c r="R125">
        <v>8.1996550626592696E-2</v>
      </c>
      <c r="S125">
        <v>12.0504520851454</v>
      </c>
      <c r="T125">
        <v>0.18994205786676999</v>
      </c>
      <c r="V125">
        <v>0.44699970092180402</v>
      </c>
      <c r="W125">
        <v>4.0998275313291199E-2</v>
      </c>
      <c r="X125">
        <v>3.0748706484977899E-2</v>
      </c>
      <c r="AA125">
        <v>0.49090570385113902</v>
      </c>
      <c r="AB125">
        <v>4.1914585253787804</v>
      </c>
      <c r="AC125">
        <v>3.8779993092892302</v>
      </c>
      <c r="AD125">
        <v>2.04991376566405E-2</v>
      </c>
      <c r="AE125">
        <v>4.6832998907643004</v>
      </c>
    </row>
    <row r="126" spans="1:31" x14ac:dyDescent="0.2">
      <c r="A126">
        <v>125</v>
      </c>
      <c r="B126">
        <v>779</v>
      </c>
      <c r="C126">
        <v>150</v>
      </c>
      <c r="D126">
        <v>0.44937556432067799</v>
      </c>
      <c r="E126">
        <v>97.108298400186897</v>
      </c>
      <c r="F126">
        <v>2.1913588386624898</v>
      </c>
      <c r="G126">
        <v>-1591.4191256382871</v>
      </c>
      <c r="H126">
        <v>-1330.3653474762027</v>
      </c>
      <c r="I126">
        <v>248.11460168425</v>
      </c>
      <c r="J126">
        <v>130.081655052858</v>
      </c>
      <c r="K126">
        <v>44.314192950460502</v>
      </c>
      <c r="L126">
        <v>1.3785843215649969E-4</v>
      </c>
      <c r="M126">
        <v>1.7482500111705662E-5</v>
      </c>
      <c r="N126" s="1">
        <v>2.6025331220501102E-6</v>
      </c>
      <c r="O126" s="1">
        <v>8.09302640175996E-8</v>
      </c>
      <c r="P126" s="1">
        <v>-4.0597252204158701E-7</v>
      </c>
      <c r="Q126">
        <v>73.949948929273503</v>
      </c>
      <c r="R126">
        <v>8.2382248806709302E-2</v>
      </c>
      <c r="S126">
        <v>12.0153740974465</v>
      </c>
      <c r="T126">
        <v>0.19103557048620901</v>
      </c>
      <c r="V126">
        <v>0.44892230021378798</v>
      </c>
      <c r="W126">
        <v>4.11911244033491E-2</v>
      </c>
      <c r="X126">
        <v>3.0893343302522101E-2</v>
      </c>
      <c r="AA126">
        <v>0.48572425367752597</v>
      </c>
      <c r="AB126">
        <v>4.1689210271694996</v>
      </c>
      <c r="AC126">
        <v>3.8882661904915099</v>
      </c>
      <c r="AD126">
        <v>2.0595562201669099E-2</v>
      </c>
      <c r="AE126">
        <v>4.6767453525271003</v>
      </c>
    </row>
    <row r="127" spans="1:31" x14ac:dyDescent="0.2">
      <c r="A127">
        <v>126</v>
      </c>
      <c r="B127">
        <v>778</v>
      </c>
      <c r="C127">
        <v>150</v>
      </c>
      <c r="D127">
        <v>0.44878514008467002</v>
      </c>
      <c r="E127">
        <v>96.653112787916996</v>
      </c>
      <c r="F127">
        <v>2.19168416518812</v>
      </c>
      <c r="G127">
        <v>-1583.5993435490291</v>
      </c>
      <c r="H127">
        <v>-1324.2311589531525</v>
      </c>
      <c r="I127">
        <v>246.74707186973899</v>
      </c>
      <c r="J127">
        <v>129.420743949664</v>
      </c>
      <c r="K127">
        <v>44.0999275001016</v>
      </c>
      <c r="L127">
        <v>1.3762395358563897E-4</v>
      </c>
      <c r="M127">
        <v>1.7465778254890447E-5</v>
      </c>
      <c r="N127" s="1">
        <v>2.5896823317257898E-6</v>
      </c>
      <c r="O127" s="1">
        <v>8.0389891134250006E-8</v>
      </c>
      <c r="P127" s="1">
        <v>-4.0317711854898499E-7</v>
      </c>
      <c r="Q127">
        <v>74.005279271491304</v>
      </c>
      <c r="R127">
        <v>8.2770226113198703E-2</v>
      </c>
      <c r="S127">
        <v>11.980285159592301</v>
      </c>
      <c r="T127">
        <v>0.19213650537688501</v>
      </c>
      <c r="V127">
        <v>0.45085539596191099</v>
      </c>
      <c r="W127">
        <v>4.1385113056593502E-2</v>
      </c>
      <c r="X127">
        <v>3.1038834792456001E-2</v>
      </c>
      <c r="AA127">
        <v>0.48073132686217801</v>
      </c>
      <c r="AB127">
        <v>4.1462465025408504</v>
      </c>
      <c r="AC127">
        <v>3.8984128648047198</v>
      </c>
      <c r="AD127">
        <v>2.0692556528290999E-2</v>
      </c>
      <c r="AE127">
        <v>4.6701662428792803</v>
      </c>
    </row>
    <row r="128" spans="1:31" x14ac:dyDescent="0.2">
      <c r="A128">
        <v>127</v>
      </c>
      <c r="B128">
        <v>777</v>
      </c>
      <c r="C128">
        <v>150</v>
      </c>
      <c r="D128">
        <v>0.44819359139171</v>
      </c>
      <c r="E128">
        <v>96.1996985856143</v>
      </c>
      <c r="F128">
        <v>2.1920106041978</v>
      </c>
      <c r="G128">
        <v>-1575.8125771944201</v>
      </c>
      <c r="H128">
        <v>-1318.1208724005</v>
      </c>
      <c r="I128">
        <v>245.385616144284</v>
      </c>
      <c r="J128">
        <v>128.762641538005</v>
      </c>
      <c r="K128">
        <v>43.886511498341903</v>
      </c>
      <c r="L128">
        <v>1.3738872385624738E-4</v>
      </c>
      <c r="M128">
        <v>1.7449059568043059E-5</v>
      </c>
      <c r="N128" s="1">
        <v>2.5768649272067402E-6</v>
      </c>
      <c r="O128" s="1">
        <v>7.9852305740771606E-8</v>
      </c>
      <c r="P128" s="1">
        <v>-4.0039317241207302E-7</v>
      </c>
      <c r="Q128">
        <v>74.060680395819006</v>
      </c>
      <c r="R128">
        <v>8.3160343718548205E-2</v>
      </c>
      <c r="S128">
        <v>11.9451914621438</v>
      </c>
      <c r="T128">
        <v>0.193244601497017</v>
      </c>
      <c r="V128">
        <v>0.45279817687455998</v>
      </c>
      <c r="W128">
        <v>4.1580171859267899E-2</v>
      </c>
      <c r="X128">
        <v>3.1185128894462299E-2</v>
      </c>
      <c r="AA128">
        <v>0.47592133280458898</v>
      </c>
      <c r="AB128">
        <v>4.1234483250279297</v>
      </c>
      <c r="AC128">
        <v>3.9084342181840701</v>
      </c>
      <c r="AD128">
        <v>2.0790085929627899E-2</v>
      </c>
      <c r="AE128">
        <v>4.6635657572470501</v>
      </c>
    </row>
    <row r="129" spans="1:31" x14ac:dyDescent="0.2">
      <c r="A129">
        <v>128</v>
      </c>
      <c r="B129">
        <v>776</v>
      </c>
      <c r="C129">
        <v>150</v>
      </c>
      <c r="D129">
        <v>0.447600915026452</v>
      </c>
      <c r="E129">
        <v>95.748222562001502</v>
      </c>
      <c r="F129">
        <v>2.1923380363186902</v>
      </c>
      <c r="G129">
        <v>-1568.0615761020886</v>
      </c>
      <c r="H129">
        <v>-1312.0367770632738</v>
      </c>
      <c r="I129">
        <v>244.03069059602001</v>
      </c>
      <c r="J129">
        <v>128.10757869377099</v>
      </c>
      <c r="K129">
        <v>43.674023337559198</v>
      </c>
      <c r="L129">
        <v>1.371528205290013E-4</v>
      </c>
      <c r="M129">
        <v>1.7432349290871205E-5</v>
      </c>
      <c r="N129" s="1">
        <v>2.5640872845248298E-6</v>
      </c>
      <c r="O129" s="1">
        <v>7.9317689530697699E-8</v>
      </c>
      <c r="P129" s="1">
        <v>-3.9762174622119102E-7</v>
      </c>
      <c r="Q129">
        <v>74.116141827121098</v>
      </c>
      <c r="R129">
        <v>8.3552464849361102E-2</v>
      </c>
      <c r="S129">
        <v>11.910099054982201</v>
      </c>
      <c r="T129">
        <v>0.19435960182216599</v>
      </c>
      <c r="V129">
        <v>0.45474984352479503</v>
      </c>
      <c r="W129">
        <v>4.1776232424674001E-2</v>
      </c>
      <c r="X129">
        <v>3.1332174318517501E-2</v>
      </c>
      <c r="AA129">
        <v>0.47128871046333198</v>
      </c>
      <c r="AB129">
        <v>4.1005395532142499</v>
      </c>
      <c r="AC129">
        <v>3.9183254341492901</v>
      </c>
      <c r="AD129">
        <v>2.0888116212330599E-2</v>
      </c>
      <c r="AE129">
        <v>4.6569469869178102</v>
      </c>
    </row>
    <row r="130" spans="1:31" x14ac:dyDescent="0.2">
      <c r="A130">
        <v>129</v>
      </c>
      <c r="B130">
        <v>775</v>
      </c>
      <c r="C130">
        <v>150</v>
      </c>
      <c r="D130">
        <v>0.44700710776129698</v>
      </c>
      <c r="E130">
        <v>95.286570233931201</v>
      </c>
      <c r="F130">
        <v>2.1926703326327099</v>
      </c>
      <c r="G130">
        <v>-1560.1450823048515</v>
      </c>
      <c r="H130">
        <v>-1305.8102266973958</v>
      </c>
      <c r="I130">
        <v>242.65120031241301</v>
      </c>
      <c r="J130">
        <v>127.439413432951</v>
      </c>
      <c r="K130">
        <v>43.456861168692797</v>
      </c>
      <c r="L130">
        <v>1.3691646131514006E-4</v>
      </c>
      <c r="M130">
        <v>1.7415541214843661E-5</v>
      </c>
      <c r="N130" s="1">
        <v>2.5510024830204499E-6</v>
      </c>
      <c r="O130" s="1">
        <v>7.8775392388132699E-8</v>
      </c>
      <c r="P130" s="1">
        <v>-3.9481375427843798E-7</v>
      </c>
      <c r="Q130">
        <v>74.171075515936906</v>
      </c>
      <c r="R130">
        <v>8.3957266804339598E-2</v>
      </c>
      <c r="S130">
        <v>11.875256520199599</v>
      </c>
      <c r="T130">
        <v>0.19550729278727799</v>
      </c>
      <c r="V130">
        <v>0.45676765524854701</v>
      </c>
      <c r="W130">
        <v>4.1978633402160598E-2</v>
      </c>
      <c r="X130">
        <v>3.1483975051637601E-2</v>
      </c>
      <c r="AA130">
        <v>0.46678956343640698</v>
      </c>
      <c r="AB130">
        <v>4.0774748298679402</v>
      </c>
      <c r="AC130">
        <v>3.9284510152281098</v>
      </c>
      <c r="AD130">
        <v>2.09893167010714E-2</v>
      </c>
      <c r="AE130">
        <v>4.6502684153359102</v>
      </c>
    </row>
    <row r="131" spans="1:31" x14ac:dyDescent="0.2">
      <c r="A131">
        <v>130</v>
      </c>
      <c r="B131">
        <v>774</v>
      </c>
      <c r="C131">
        <v>150</v>
      </c>
      <c r="D131">
        <v>0.44641216635630598</v>
      </c>
      <c r="E131">
        <v>92.923494293664405</v>
      </c>
      <c r="F131">
        <v>2.19363392114085</v>
      </c>
      <c r="G131">
        <v>-1520.6608789743862</v>
      </c>
      <c r="H131">
        <v>-1273.1230891362077</v>
      </c>
      <c r="I131">
        <v>236.39191122396801</v>
      </c>
      <c r="J131">
        <v>124.23729944819701</v>
      </c>
      <c r="K131">
        <v>42.3605294384476</v>
      </c>
      <c r="L131">
        <v>1.3669759026775671E-4</v>
      </c>
      <c r="M131">
        <v>1.7381238378928544E-5</v>
      </c>
      <c r="N131" s="1">
        <v>2.4832324178839199E-6</v>
      </c>
      <c r="O131" s="1">
        <v>7.6561261220761205E-8</v>
      </c>
      <c r="P131" s="1">
        <v>-3.8424452030081098E-7</v>
      </c>
      <c r="Q131">
        <v>74.136818601897204</v>
      </c>
      <c r="R131">
        <v>8.6092328541998803E-2</v>
      </c>
      <c r="S131">
        <v>11.877647965457401</v>
      </c>
      <c r="T131">
        <v>0.20082403232952001</v>
      </c>
      <c r="V131">
        <v>0.46807304608239603</v>
      </c>
      <c r="W131">
        <v>4.3046164270988702E-2</v>
      </c>
      <c r="X131">
        <v>3.22846232032616E-2</v>
      </c>
      <c r="AA131">
        <v>0.456989537546313</v>
      </c>
      <c r="AB131">
        <v>4.0444606817157203</v>
      </c>
      <c r="AC131">
        <v>3.99573343836474</v>
      </c>
      <c r="AD131">
        <v>2.1523082135484001E-2</v>
      </c>
      <c r="AE131">
        <v>4.6365064984547901</v>
      </c>
    </row>
    <row r="132" spans="1:31" x14ac:dyDescent="0.2">
      <c r="A132">
        <v>131</v>
      </c>
      <c r="B132">
        <v>773</v>
      </c>
      <c r="C132">
        <v>150</v>
      </c>
      <c r="D132">
        <v>0.44581608755914398</v>
      </c>
      <c r="E132">
        <v>90.516810390093994</v>
      </c>
      <c r="F132">
        <v>2.19463667567195</v>
      </c>
      <c r="G132">
        <v>-1480.4846397093902</v>
      </c>
      <c r="H132">
        <v>-1239.8400422837381</v>
      </c>
      <c r="I132">
        <v>230.02876970382101</v>
      </c>
      <c r="J132">
        <v>120.978272105448</v>
      </c>
      <c r="K132">
        <v>41.244553776710802</v>
      </c>
      <c r="L132">
        <v>1.3647079240609525E-4</v>
      </c>
      <c r="M132">
        <v>1.7346102258159849E-5</v>
      </c>
      <c r="N132" s="1">
        <v>2.4142598083003899E-6</v>
      </c>
      <c r="O132" s="1">
        <v>7.4317705428148996E-8</v>
      </c>
      <c r="P132" s="1">
        <v>-3.7349326338053699E-7</v>
      </c>
      <c r="Q132">
        <v>74.101440816808307</v>
      </c>
      <c r="R132">
        <v>8.8381373200444993E-2</v>
      </c>
      <c r="S132">
        <v>11.8799686559496</v>
      </c>
      <c r="T132">
        <v>0.20651254416471401</v>
      </c>
      <c r="V132">
        <v>0.48020430045729701</v>
      </c>
      <c r="W132">
        <v>4.4190686600209902E-2</v>
      </c>
      <c r="X132">
        <v>3.3143014950181099E-2</v>
      </c>
      <c r="AA132">
        <v>0.44821215791906199</v>
      </c>
      <c r="AB132">
        <v>4.00947914914385</v>
      </c>
      <c r="AC132">
        <v>4.0641097889895201</v>
      </c>
      <c r="AD132">
        <v>2.20953433000926E-2</v>
      </c>
      <c r="AE132">
        <v>4.6222621685166096</v>
      </c>
    </row>
    <row r="133" spans="1:31" x14ac:dyDescent="0.2">
      <c r="A133">
        <v>132</v>
      </c>
      <c r="B133">
        <v>772</v>
      </c>
      <c r="C133">
        <v>150</v>
      </c>
      <c r="D133">
        <v>0.44521886810505501</v>
      </c>
      <c r="E133">
        <v>88.053445538093001</v>
      </c>
      <c r="F133">
        <v>2.1956817507267399</v>
      </c>
      <c r="G133">
        <v>-1439.4034091161582</v>
      </c>
      <c r="H133">
        <v>-1205.7816353992828</v>
      </c>
      <c r="I133">
        <v>223.529420386428</v>
      </c>
      <c r="J133">
        <v>117.645032733864</v>
      </c>
      <c r="K133">
        <v>40.103009240272698</v>
      </c>
      <c r="L133">
        <v>1.3623654048157123E-4</v>
      </c>
      <c r="M133">
        <v>1.7310158914522599E-5</v>
      </c>
      <c r="N133" s="1">
        <v>2.3437687288963201E-6</v>
      </c>
      <c r="O133" s="1">
        <v>7.2035098279051995E-8</v>
      </c>
      <c r="P133" s="1">
        <v>-3.6251113990941003E-7</v>
      </c>
      <c r="Q133">
        <v>74.064731502738894</v>
      </c>
      <c r="R133">
        <v>9.0853912088425304E-2</v>
      </c>
      <c r="S133">
        <v>11.8821918710755</v>
      </c>
      <c r="T133">
        <v>0.21264242555579799</v>
      </c>
      <c r="V133">
        <v>0.49332118604816599</v>
      </c>
      <c r="W133">
        <v>4.5426956044199301E-2</v>
      </c>
      <c r="X133">
        <v>3.4070217033174602E-2</v>
      </c>
      <c r="AA133">
        <v>0.44048981209912502</v>
      </c>
      <c r="AB133">
        <v>3.97252183923049</v>
      </c>
      <c r="AC133">
        <v>4.13349205178978</v>
      </c>
      <c r="AD133">
        <v>2.2713478022086599E-2</v>
      </c>
      <c r="AE133">
        <v>4.6075447482741998</v>
      </c>
    </row>
    <row r="134" spans="1:31" x14ac:dyDescent="0.2">
      <c r="A134">
        <v>133</v>
      </c>
      <c r="B134">
        <v>771</v>
      </c>
      <c r="C134">
        <v>150</v>
      </c>
      <c r="D134">
        <v>0.44462050471675502</v>
      </c>
      <c r="E134">
        <v>85.514898338918997</v>
      </c>
      <c r="F134">
        <v>2.1967736573488699</v>
      </c>
      <c r="G134">
        <v>-1397.1155573842127</v>
      </c>
      <c r="H134">
        <v>-1170.6938242128392</v>
      </c>
      <c r="I134">
        <v>216.84789845460199</v>
      </c>
      <c r="J134">
        <v>114.21306872533501</v>
      </c>
      <c r="K134">
        <v>38.927496263825702</v>
      </c>
      <c r="L134">
        <v>1.3599544430585833E-4</v>
      </c>
      <c r="M134">
        <v>1.7273441536753041E-5</v>
      </c>
      <c r="N134" s="1">
        <v>2.2713032978321698E-6</v>
      </c>
      <c r="O134" s="1">
        <v>6.9699571458371404E-8</v>
      </c>
      <c r="P134" s="1">
        <v>-3.5122754660800702E-7</v>
      </c>
      <c r="Q134">
        <v>74.0264002739966</v>
      </c>
      <c r="R134">
        <v>9.3550950248397102E-2</v>
      </c>
      <c r="S134">
        <v>11.8842804274479</v>
      </c>
      <c r="T134">
        <v>0.21931011105786299</v>
      </c>
      <c r="V134">
        <v>0.50764593680411996</v>
      </c>
      <c r="W134">
        <v>4.6775475124183098E-2</v>
      </c>
      <c r="X134">
        <v>3.5081606343166198E-2</v>
      </c>
      <c r="AA134">
        <v>0.43387784004594199</v>
      </c>
      <c r="AB134">
        <v>3.9335641855568499</v>
      </c>
      <c r="AC134">
        <v>4.2037601279524397</v>
      </c>
      <c r="AD134">
        <v>2.33877375620767E-2</v>
      </c>
      <c r="AE134">
        <v>4.5923653278603496</v>
      </c>
    </row>
    <row r="135" spans="1:31" x14ac:dyDescent="0.2">
      <c r="A135">
        <v>134</v>
      </c>
      <c r="B135">
        <v>770</v>
      </c>
      <c r="C135">
        <v>150</v>
      </c>
      <c r="D135">
        <v>0.44402099410439499</v>
      </c>
      <c r="E135">
        <v>82.874377795643596</v>
      </c>
      <c r="F135">
        <v>2.1979190276025502</v>
      </c>
      <c r="G135">
        <v>-1353.1840800427035</v>
      </c>
      <c r="H135">
        <v>-1134.2086669221726</v>
      </c>
      <c r="I135">
        <v>209.91747411257299</v>
      </c>
      <c r="J135">
        <v>110.646855070104</v>
      </c>
      <c r="K135">
        <v>37.705837546727601</v>
      </c>
      <c r="L135">
        <v>1.3574834381846463E-4</v>
      </c>
      <c r="M135">
        <v>1.7235995992713709E-5</v>
      </c>
      <c r="N135" s="1">
        <v>2.1961945387432902E-6</v>
      </c>
      <c r="O135" s="1">
        <v>6.72908027852258E-8</v>
      </c>
      <c r="P135" s="1">
        <v>-3.39538759205008E-7</v>
      </c>
      <c r="Q135">
        <v>73.986030334257194</v>
      </c>
      <c r="R135">
        <v>9.6531644795305196E-2</v>
      </c>
      <c r="S135">
        <v>11.8861811579449</v>
      </c>
      <c r="T135">
        <v>0.226654375535084</v>
      </c>
      <c r="V135">
        <v>0.52349947924037199</v>
      </c>
      <c r="W135">
        <v>4.8265822397636E-2</v>
      </c>
      <c r="X135">
        <v>3.6199366798257901E-2</v>
      </c>
      <c r="AA135">
        <v>0.42846791257462202</v>
      </c>
      <c r="AB135">
        <v>3.89255838563323</v>
      </c>
      <c r="AC135">
        <v>4.2747401042522402</v>
      </c>
      <c r="AD135">
        <v>2.4132911198801801E-2</v>
      </c>
      <c r="AE135">
        <v>4.57673850537223</v>
      </c>
    </row>
    <row r="136" spans="1:31" x14ac:dyDescent="0.2">
      <c r="A136">
        <v>135</v>
      </c>
      <c r="B136">
        <v>769</v>
      </c>
      <c r="C136">
        <v>150</v>
      </c>
      <c r="D136">
        <v>0.44342033296550898</v>
      </c>
      <c r="E136">
        <v>80.091912122712102</v>
      </c>
      <c r="F136">
        <v>2.1991279335273601</v>
      </c>
      <c r="G136">
        <v>-1306.9567875272567</v>
      </c>
      <c r="H136">
        <v>-1095.7771452996553</v>
      </c>
      <c r="I136">
        <v>202.638432305907</v>
      </c>
      <c r="J136">
        <v>106.89336375094599</v>
      </c>
      <c r="K136">
        <v>36.419851206312501</v>
      </c>
      <c r="L136">
        <v>1.3549650418182929E-4</v>
      </c>
      <c r="M136">
        <v>1.7197893518322938E-5</v>
      </c>
      <c r="N136" s="1">
        <v>2.1174360047739001E-6</v>
      </c>
      <c r="O136" s="1">
        <v>6.4778252244666195E-8</v>
      </c>
      <c r="P136" s="1">
        <v>-3.2728860515838E-7</v>
      </c>
      <c r="Q136">
        <v>73.942994210444994</v>
      </c>
      <c r="R136">
        <v>9.9885241692622098E-2</v>
      </c>
      <c r="S136">
        <v>11.887815501794799</v>
      </c>
      <c r="T136">
        <v>0.234884104493638</v>
      </c>
      <c r="V136">
        <v>0.54136639783988805</v>
      </c>
      <c r="W136">
        <v>4.9942620846287797E-2</v>
      </c>
      <c r="X136">
        <v>3.7456965634759497E-2</v>
      </c>
      <c r="AA136">
        <v>0.42441098135281802</v>
      </c>
      <c r="AB136">
        <v>3.8494256047840101</v>
      </c>
      <c r="AC136">
        <v>4.3461600879020503</v>
      </c>
      <c r="AD136">
        <v>2.4971310423120899E-2</v>
      </c>
      <c r="AE136">
        <v>4.5606869727909798</v>
      </c>
    </row>
    <row r="137" spans="1:31" x14ac:dyDescent="0.2">
      <c r="A137">
        <v>136</v>
      </c>
      <c r="B137">
        <v>768</v>
      </c>
      <c r="C137">
        <v>150</v>
      </c>
      <c r="D137">
        <v>0.442818517984921</v>
      </c>
      <c r="E137">
        <v>77.105562225447002</v>
      </c>
      <c r="F137">
        <v>2.20041630309133</v>
      </c>
      <c r="G137">
        <v>-1257.4229788866633</v>
      </c>
      <c r="H137">
        <v>-1054.5485057427306</v>
      </c>
      <c r="I137">
        <v>194.85614286503599</v>
      </c>
      <c r="J137">
        <v>102.87040931951999</v>
      </c>
      <c r="K137">
        <v>35.041352001038199</v>
      </c>
      <c r="L137">
        <v>1.3524204374412498E-4</v>
      </c>
      <c r="M137">
        <v>1.7159260328540408E-5</v>
      </c>
      <c r="N137" s="1">
        <v>2.03346154188669E-6</v>
      </c>
      <c r="O137" s="1">
        <v>6.2114433444207204E-8</v>
      </c>
      <c r="P137" s="1">
        <v>-3.1423391608898202E-7</v>
      </c>
      <c r="Q137">
        <v>73.896291885913001</v>
      </c>
      <c r="R137">
        <v>0.10375386378236</v>
      </c>
      <c r="S137">
        <v>11.889062417634999</v>
      </c>
      <c r="T137">
        <v>0.244331256687847</v>
      </c>
      <c r="V137">
        <v>0.56201900532800897</v>
      </c>
      <c r="W137">
        <v>5.18769318911559E-2</v>
      </c>
      <c r="X137">
        <v>3.89076989184126E-2</v>
      </c>
      <c r="AA137">
        <v>0.421959004542109</v>
      </c>
      <c r="AB137">
        <v>3.8040506830005101</v>
      </c>
      <c r="AC137">
        <v>4.41755563311738</v>
      </c>
      <c r="AD137">
        <v>2.59384659455539E-2</v>
      </c>
      <c r="AE137">
        <v>4.5442531532385697</v>
      </c>
    </row>
    <row r="138" spans="1:31" x14ac:dyDescent="0.2">
      <c r="A138">
        <v>137</v>
      </c>
      <c r="B138">
        <v>767</v>
      </c>
      <c r="C138">
        <v>150</v>
      </c>
      <c r="D138">
        <v>0.44221554583473799</v>
      </c>
      <c r="E138">
        <v>73.814985247963307</v>
      </c>
      <c r="F138">
        <v>2.2018106206324402</v>
      </c>
      <c r="G138">
        <v>-1202.9454474976358</v>
      </c>
      <c r="H138">
        <v>-1009.1446003819046</v>
      </c>
      <c r="I138">
        <v>186.32009528984301</v>
      </c>
      <c r="J138">
        <v>98.444860580292698</v>
      </c>
      <c r="K138">
        <v>33.524674899951599</v>
      </c>
      <c r="L138">
        <v>1.3498893545600262E-4</v>
      </c>
      <c r="M138">
        <v>1.7120350417298333E-5</v>
      </c>
      <c r="N138" s="1">
        <v>1.9417323854229702E-6</v>
      </c>
      <c r="O138" s="1">
        <v>5.9222408476537001E-8</v>
      </c>
      <c r="P138" s="1">
        <v>-2.9998031123163099E-7</v>
      </c>
      <c r="Q138">
        <v>73.844218090158904</v>
      </c>
      <c r="R138">
        <v>0.108379077407215</v>
      </c>
      <c r="S138">
        <v>11.8897252017761</v>
      </c>
      <c r="T138">
        <v>0.255558956935167</v>
      </c>
      <c r="V138">
        <v>0.586770997476456</v>
      </c>
      <c r="W138">
        <v>5.4189538703580502E-2</v>
      </c>
      <c r="X138">
        <v>4.06421540277358E-2</v>
      </c>
      <c r="AA138">
        <v>0.42154497979418298</v>
      </c>
      <c r="AB138">
        <v>3.7562934724748098</v>
      </c>
      <c r="AC138">
        <v>4.4880532026323499</v>
      </c>
      <c r="AD138">
        <v>2.7094769351764299E-2</v>
      </c>
      <c r="AE138">
        <v>4.5275295592616098</v>
      </c>
    </row>
    <row r="139" spans="1:31" x14ac:dyDescent="0.2">
      <c r="A139">
        <v>138</v>
      </c>
      <c r="B139">
        <v>766</v>
      </c>
      <c r="C139">
        <v>150</v>
      </c>
      <c r="D139">
        <v>0.44161141317423203</v>
      </c>
      <c r="E139">
        <v>70.050931251781506</v>
      </c>
      <c r="F139">
        <v>2.2033574334445398</v>
      </c>
      <c r="G139">
        <v>-1140.7635415162385</v>
      </c>
      <c r="H139">
        <v>-957.24126442951354</v>
      </c>
      <c r="I139">
        <v>176.608071103041</v>
      </c>
      <c r="J139">
        <v>93.392247381254094</v>
      </c>
      <c r="K139">
        <v>31.792813180687499</v>
      </c>
      <c r="L139">
        <v>1.3474552004830279E-4</v>
      </c>
      <c r="M139">
        <v>1.7081736437089561E-5</v>
      </c>
      <c r="N139" s="1">
        <v>1.8379797353592799E-6</v>
      </c>
      <c r="O139" s="1">
        <v>5.5972849385377402E-8</v>
      </c>
      <c r="P139" s="1">
        <v>-2.8386432443749598E-7</v>
      </c>
      <c r="Q139">
        <v>73.7836384122391</v>
      </c>
      <c r="R139">
        <v>0.114202621678895</v>
      </c>
      <c r="S139">
        <v>11.8894634131819</v>
      </c>
      <c r="T139">
        <v>0.26959491057063101</v>
      </c>
      <c r="V139">
        <v>0.61802650234981305</v>
      </c>
      <c r="W139">
        <v>5.71013108394176E-2</v>
      </c>
      <c r="X139">
        <v>4.2825983129619903E-2</v>
      </c>
      <c r="AA139">
        <v>0.423939507968848</v>
      </c>
      <c r="AB139">
        <v>3.7060750220331098</v>
      </c>
      <c r="AC139">
        <v>4.5558392831337402</v>
      </c>
      <c r="AD139">
        <v>2.8550655419679799E-2</v>
      </c>
      <c r="AE139">
        <v>4.5107423774552098</v>
      </c>
    </row>
    <row r="140" spans="1:31" x14ac:dyDescent="0.2">
      <c r="A140">
        <v>139</v>
      </c>
      <c r="B140">
        <v>765</v>
      </c>
      <c r="C140">
        <v>150</v>
      </c>
      <c r="D140">
        <v>0.44100611664981298</v>
      </c>
      <c r="E140">
        <v>65.531954060056506</v>
      </c>
      <c r="F140">
        <v>2.20514102316106</v>
      </c>
      <c r="G140">
        <v>-1066.2898620627768</v>
      </c>
      <c r="H140">
        <v>-894.97493077083698</v>
      </c>
      <c r="I140">
        <v>165.019439668583</v>
      </c>
      <c r="J140">
        <v>87.339624011622703</v>
      </c>
      <c r="K140">
        <v>29.717806422247101</v>
      </c>
      <c r="L140">
        <v>1.3453094545289498E-4</v>
      </c>
      <c r="M140">
        <v>1.7044821328953889E-5</v>
      </c>
      <c r="N140" s="1">
        <v>1.7151680212533E-6</v>
      </c>
      <c r="O140" s="1">
        <v>5.2152691586096502E-8</v>
      </c>
      <c r="P140" s="1">
        <v>-2.6479180312489999E-7</v>
      </c>
      <c r="Q140">
        <v>73.708460571837506</v>
      </c>
      <c r="R140">
        <v>0.122077849115715</v>
      </c>
      <c r="S140">
        <v>11.887657604777299</v>
      </c>
      <c r="T140">
        <v>0.28841985519982699</v>
      </c>
      <c r="V140">
        <v>0.66043394568133795</v>
      </c>
      <c r="W140">
        <v>6.1038924557824399E-2</v>
      </c>
      <c r="X140">
        <v>4.5779193418430598E-2</v>
      </c>
      <c r="AA140">
        <v>0.43051303222206799</v>
      </c>
      <c r="AB140">
        <v>3.6537704112749201</v>
      </c>
      <c r="AC140">
        <v>4.6168424899262304</v>
      </c>
      <c r="AD140">
        <v>3.051946227888E-2</v>
      </c>
      <c r="AE140">
        <v>4.4944866597098398</v>
      </c>
    </row>
    <row r="141" spans="1:31" x14ac:dyDescent="0.2">
      <c r="A141">
        <v>140</v>
      </c>
      <c r="B141">
        <v>764</v>
      </c>
      <c r="C141">
        <v>150</v>
      </c>
      <c r="D141">
        <v>0.44039965289495597</v>
      </c>
      <c r="E141">
        <v>36.146073911803001</v>
      </c>
      <c r="F141">
        <v>2.2070038162330601</v>
      </c>
      <c r="G141">
        <v>-587.99301004019276</v>
      </c>
      <c r="H141">
        <v>-493.71189677572943</v>
      </c>
      <c r="I141">
        <v>90.904028601902496</v>
      </c>
      <c r="J141">
        <v>48.186317198754402</v>
      </c>
      <c r="K141">
        <v>16.3778937063631</v>
      </c>
      <c r="L141">
        <v>1.3424859996412505E-4</v>
      </c>
      <c r="M141">
        <v>1.7008627822816705E-5</v>
      </c>
      <c r="N141" s="1">
        <v>9.4370573247540603E-7</v>
      </c>
      <c r="O141" s="1">
        <v>2.86484714279984E-8</v>
      </c>
      <c r="P141" s="1">
        <v>-1.4546772866700399E-7</v>
      </c>
      <c r="Q141">
        <v>73.586997669972405</v>
      </c>
      <c r="R141">
        <v>0.14728366511310001</v>
      </c>
      <c r="S141">
        <v>11.9425368996313</v>
      </c>
      <c r="T141">
        <v>0.271275390459917</v>
      </c>
      <c r="V141">
        <v>0.62064957296272905</v>
      </c>
      <c r="W141">
        <v>0.11066208766567701</v>
      </c>
      <c r="X141">
        <v>7.6587231418550297E-2</v>
      </c>
      <c r="AA141">
        <v>0.48400714727403699</v>
      </c>
      <c r="AB141">
        <v>3.5532020875277399</v>
      </c>
      <c r="AC141">
        <v>4.6732217733990602</v>
      </c>
      <c r="AD141">
        <v>5.5331043832749997E-2</v>
      </c>
      <c r="AE141">
        <v>4.4782454307426098</v>
      </c>
    </row>
    <row r="142" spans="1:31" x14ac:dyDescent="0.2">
      <c r="A142">
        <v>141</v>
      </c>
      <c r="B142">
        <v>763</v>
      </c>
      <c r="C142">
        <v>150</v>
      </c>
      <c r="D142">
        <v>0.43979201853014099</v>
      </c>
      <c r="E142">
        <v>23.0167656881843</v>
      </c>
      <c r="F142">
        <v>2.2088577050966101</v>
      </c>
      <c r="G142">
        <v>-374.29612825253099</v>
      </c>
      <c r="H142">
        <v>-314.36705277368907</v>
      </c>
      <c r="I142">
        <v>57.838223692363002</v>
      </c>
      <c r="J142">
        <v>30.7003959922964</v>
      </c>
      <c r="K142">
        <v>10.4202120557953</v>
      </c>
      <c r="L142">
        <v>1.3425058274852531E-4</v>
      </c>
      <c r="M142">
        <v>1.6998011377013164E-5</v>
      </c>
      <c r="N142" s="1">
        <v>6.0123415134575796E-7</v>
      </c>
      <c r="O142" s="1">
        <v>1.8217419118704999E-8</v>
      </c>
      <c r="P142" s="1">
        <v>-9.2523878616318003E-8</v>
      </c>
      <c r="Q142">
        <v>73.424601923770993</v>
      </c>
      <c r="R142">
        <v>0.16587481883400201</v>
      </c>
      <c r="S142">
        <v>12.001485675193001</v>
      </c>
      <c r="T142">
        <v>0.26229065377896099</v>
      </c>
      <c r="V142">
        <v>0.60009511559301199</v>
      </c>
      <c r="W142">
        <v>0.17378636313142401</v>
      </c>
      <c r="X142">
        <v>0.11235120967547101</v>
      </c>
      <c r="AA142">
        <v>0.52890236787127698</v>
      </c>
      <c r="AB142">
        <v>3.4821772662761199</v>
      </c>
      <c r="AC142">
        <v>4.6860758116841001</v>
      </c>
      <c r="AD142">
        <v>8.6893181565555505E-2</v>
      </c>
      <c r="AE142">
        <v>4.47546561262594</v>
      </c>
    </row>
    <row r="143" spans="1:31" x14ac:dyDescent="0.2">
      <c r="A143">
        <v>142</v>
      </c>
      <c r="B143">
        <v>762</v>
      </c>
      <c r="C143">
        <v>150</v>
      </c>
      <c r="D143">
        <v>0.439183210162781</v>
      </c>
      <c r="E143">
        <v>16.581333888195999</v>
      </c>
      <c r="F143">
        <v>2.2106340237006599</v>
      </c>
      <c r="G143">
        <v>-269.54977730646573</v>
      </c>
      <c r="H143">
        <v>-226.4472320809993</v>
      </c>
      <c r="I143">
        <v>41.638936603841401</v>
      </c>
      <c r="J143">
        <v>22.1303749674816</v>
      </c>
      <c r="K143">
        <v>7.5007141437361904</v>
      </c>
      <c r="L143">
        <v>1.3434256398776434E-4</v>
      </c>
      <c r="M143">
        <v>1.6995884160564583E-5</v>
      </c>
      <c r="N143" s="1">
        <v>4.3380539655433602E-7</v>
      </c>
      <c r="O143" s="1">
        <v>1.3118335946635401E-8</v>
      </c>
      <c r="P143" s="1">
        <v>-6.6650642796774503E-8</v>
      </c>
      <c r="Q143">
        <v>73.252033744674705</v>
      </c>
      <c r="R143">
        <v>0.17767012481866501</v>
      </c>
      <c r="S143">
        <v>12.062916418061899</v>
      </c>
      <c r="T143">
        <v>0.25610123971280402</v>
      </c>
      <c r="V143">
        <v>0.586049342588285</v>
      </c>
      <c r="W143">
        <v>0.241235115761401</v>
      </c>
      <c r="X143">
        <v>0.14735009332914401</v>
      </c>
      <c r="AA143">
        <v>0.56959400707821495</v>
      </c>
      <c r="AB143">
        <v>3.4212446011217899</v>
      </c>
      <c r="AC143">
        <v>4.6878343541815797</v>
      </c>
      <c r="AD143">
        <v>0.120617557880462</v>
      </c>
      <c r="AE143">
        <v>4.4773534007908999</v>
      </c>
    </row>
    <row r="144" spans="1:31" x14ac:dyDescent="0.2">
      <c r="A144">
        <v>143</v>
      </c>
      <c r="B144">
        <v>761</v>
      </c>
      <c r="C144">
        <v>150</v>
      </c>
      <c r="D144">
        <v>0.43857322438717999</v>
      </c>
      <c r="E144">
        <v>12.855130324759999</v>
      </c>
      <c r="F144">
        <v>2.2123741009392002</v>
      </c>
      <c r="G144">
        <v>-208.89889410509332</v>
      </c>
      <c r="H144">
        <v>-175.53503416645967</v>
      </c>
      <c r="I144">
        <v>32.262108919048103</v>
      </c>
      <c r="J144">
        <v>17.1683874091257</v>
      </c>
      <c r="K144">
        <v>5.8105590366940101</v>
      </c>
      <c r="L144">
        <v>1.3448014617262438E-4</v>
      </c>
      <c r="M144">
        <v>1.6998143530388864E-5</v>
      </c>
      <c r="N144" s="1">
        <v>3.3702382546872197E-7</v>
      </c>
      <c r="O144" s="1">
        <v>1.01710519143228E-8</v>
      </c>
      <c r="P144" s="1">
        <v>-5.1698828924711199E-8</v>
      </c>
      <c r="Q144">
        <v>73.073587903182599</v>
      </c>
      <c r="R144">
        <v>0.185564466290639</v>
      </c>
      <c r="S144">
        <v>12.1264294286487</v>
      </c>
      <c r="T144">
        <v>0.25144636873109899</v>
      </c>
      <c r="V144">
        <v>0.57556827289847901</v>
      </c>
      <c r="W144">
        <v>0.31115981704928902</v>
      </c>
      <c r="X144">
        <v>0.180893057693643</v>
      </c>
      <c r="AA144">
        <v>0.608877694245756</v>
      </c>
      <c r="AB144">
        <v>3.3648119351747101</v>
      </c>
      <c r="AC144">
        <v>4.6844348557299202</v>
      </c>
      <c r="AD144">
        <v>0.15557990852430001</v>
      </c>
      <c r="AE144">
        <v>4.4816462918308204</v>
      </c>
    </row>
    <row r="145" spans="1:31" x14ac:dyDescent="0.2">
      <c r="A145">
        <v>144</v>
      </c>
      <c r="B145">
        <v>760</v>
      </c>
      <c r="C145">
        <v>150</v>
      </c>
      <c r="D145">
        <v>0.43796205778444602</v>
      </c>
      <c r="E145">
        <v>10.107412439696599</v>
      </c>
      <c r="F145">
        <v>2.2141286410623402</v>
      </c>
      <c r="G145">
        <v>-164.17086196957817</v>
      </c>
      <c r="H145">
        <v>-137.97816399620095</v>
      </c>
      <c r="I145">
        <v>25.352270215725898</v>
      </c>
      <c r="J145">
        <v>13.507529116139199</v>
      </c>
      <c r="K145">
        <v>4.5649616974590703</v>
      </c>
      <c r="L145">
        <v>1.3469524973274137E-4</v>
      </c>
      <c r="M145">
        <v>1.7009695056126867E-5</v>
      </c>
      <c r="N145" s="1">
        <v>2.6581161267121002E-7</v>
      </c>
      <c r="O145" s="1">
        <v>8.0050683688006298E-9</v>
      </c>
      <c r="P145" s="1">
        <v>-4.0709367555443502E-8</v>
      </c>
      <c r="Q145">
        <v>72.867016983348606</v>
      </c>
      <c r="R145">
        <v>0.184503427119658</v>
      </c>
      <c r="S145">
        <v>12.209115246433701</v>
      </c>
      <c r="T145">
        <v>0.24980143125958901</v>
      </c>
      <c r="V145">
        <v>0.57221726014480701</v>
      </c>
      <c r="W145">
        <v>0.39406642070502501</v>
      </c>
      <c r="X145">
        <v>0.196858013123937</v>
      </c>
      <c r="AA145">
        <v>0.65445860940533196</v>
      </c>
      <c r="AB145">
        <v>3.3053907521151098</v>
      </c>
      <c r="AC145">
        <v>4.6781885349143302</v>
      </c>
      <c r="AD145">
        <v>0.19787458085093901</v>
      </c>
      <c r="AE145">
        <v>4.4905087405788198</v>
      </c>
    </row>
    <row r="146" spans="1:31" x14ac:dyDescent="0.2">
      <c r="A146">
        <v>145</v>
      </c>
      <c r="B146">
        <v>808</v>
      </c>
      <c r="C146">
        <v>125</v>
      </c>
      <c r="D146">
        <v>0.49145863201221102</v>
      </c>
      <c r="E146">
        <v>103.115731177944</v>
      </c>
      <c r="F146">
        <v>2.18981942047348</v>
      </c>
      <c r="G146">
        <v>-1697.492115552647</v>
      </c>
      <c r="H146">
        <v>-1410.7482248088045</v>
      </c>
      <c r="I146">
        <v>265.22119108712201</v>
      </c>
      <c r="J146">
        <v>138.511200603437</v>
      </c>
      <c r="K146">
        <v>47.088691521262099</v>
      </c>
      <c r="L146">
        <v>1.3376478646829463E-4</v>
      </c>
      <c r="M146">
        <v>1.7338473856426393E-5</v>
      </c>
      <c r="N146" s="1">
        <v>2.4755155162182501E-6</v>
      </c>
      <c r="O146" s="1">
        <v>8.2605667629739603E-8</v>
      </c>
      <c r="P146" s="1">
        <v>-4.0704390848696502E-7</v>
      </c>
      <c r="Q146">
        <v>73.538730835510194</v>
      </c>
      <c r="R146">
        <v>7.7582730671759206E-2</v>
      </c>
      <c r="S146">
        <v>12.5684023688253</v>
      </c>
      <c r="T146">
        <v>0.17587565612372899</v>
      </c>
      <c r="V146">
        <v>0.42639502934124701</v>
      </c>
      <c r="W146">
        <v>3.8791365335879402E-2</v>
      </c>
      <c r="X146">
        <v>2.9093524001909898E-2</v>
      </c>
      <c r="AA146">
        <v>0.58187048003819297</v>
      </c>
      <c r="AB146">
        <v>4.4901005376280398</v>
      </c>
      <c r="AC146">
        <v>3.7530645962463201</v>
      </c>
      <c r="AD146">
        <v>1.9395682667939399E-2</v>
      </c>
      <c r="AE146">
        <v>4.3006971936093796</v>
      </c>
    </row>
    <row r="147" spans="1:31" x14ac:dyDescent="0.2">
      <c r="A147">
        <v>146</v>
      </c>
      <c r="B147">
        <v>807</v>
      </c>
      <c r="C147">
        <v>125</v>
      </c>
      <c r="D147">
        <v>0.49092301995093302</v>
      </c>
      <c r="E147">
        <v>103.06966300889999</v>
      </c>
      <c r="F147">
        <v>2.1900803175722499</v>
      </c>
      <c r="G147">
        <v>-1696.4615583046286</v>
      </c>
      <c r="H147">
        <v>-1410.2515336835104</v>
      </c>
      <c r="I147">
        <v>264.97248032321198</v>
      </c>
      <c r="J147">
        <v>138.434770716174</v>
      </c>
      <c r="K147">
        <v>47.062047077412899</v>
      </c>
      <c r="L147">
        <v>1.3372898645834297E-4</v>
      </c>
      <c r="M147">
        <v>1.7332727409918767E-5</v>
      </c>
      <c r="N147" s="1">
        <v>2.47748043529962E-6</v>
      </c>
      <c r="O147" s="1">
        <v>8.25167138413454E-8</v>
      </c>
      <c r="P147" s="1">
        <v>-4.0680017768775801E-7</v>
      </c>
      <c r="Q147">
        <v>73.543561666345795</v>
      </c>
      <c r="R147">
        <v>7.7617407163824495E-2</v>
      </c>
      <c r="S147">
        <v>12.564740613450301</v>
      </c>
      <c r="T147">
        <v>0.17618641621040901</v>
      </c>
      <c r="V147">
        <v>0.42637671996908999</v>
      </c>
      <c r="W147">
        <v>3.8808703581911699E-2</v>
      </c>
      <c r="X147">
        <v>2.9106527686434801E-2</v>
      </c>
      <c r="AA147">
        <v>0.58101731615368601</v>
      </c>
      <c r="AB147">
        <v>4.48805475591048</v>
      </c>
      <c r="AC147">
        <v>3.7541985777201501</v>
      </c>
      <c r="AD147">
        <v>1.9404351790955301E-2</v>
      </c>
      <c r="AE147">
        <v>4.3009269440168696</v>
      </c>
    </row>
    <row r="148" spans="1:31" x14ac:dyDescent="0.2">
      <c r="A148">
        <v>147</v>
      </c>
      <c r="B148">
        <v>806</v>
      </c>
      <c r="C148">
        <v>125</v>
      </c>
      <c r="D148">
        <v>0.490386415234215</v>
      </c>
      <c r="E148">
        <v>102.631905544937</v>
      </c>
      <c r="F148">
        <v>2.1903251093123002</v>
      </c>
      <c r="G148">
        <v>-1688.8835590178405</v>
      </c>
      <c r="H148">
        <v>-1404.3630884076017</v>
      </c>
      <c r="I148">
        <v>263.65238438607997</v>
      </c>
      <c r="J148">
        <v>137.79801873123199</v>
      </c>
      <c r="K148">
        <v>46.856927817971602</v>
      </c>
      <c r="L148">
        <v>1.3354558424959293E-4</v>
      </c>
      <c r="M148">
        <v>1.7319197425425347E-5</v>
      </c>
      <c r="N148" s="1">
        <v>2.4673219285093599E-6</v>
      </c>
      <c r="O148" s="1">
        <v>8.2033134423413493E-8</v>
      </c>
      <c r="P148" s="1">
        <v>-4.0439070412666001E-7</v>
      </c>
      <c r="Q148">
        <v>73.5939447325553</v>
      </c>
      <c r="R148">
        <v>7.7948469898546702E-2</v>
      </c>
      <c r="S148">
        <v>12.531418703671701</v>
      </c>
      <c r="T148">
        <v>0.17711616881523701</v>
      </c>
      <c r="V148">
        <v>0.42803494917017698</v>
      </c>
      <c r="W148">
        <v>3.89742349492724E-2</v>
      </c>
      <c r="X148">
        <v>2.9230676211955998E-2</v>
      </c>
      <c r="AA148">
        <v>0.57322844756983304</v>
      </c>
      <c r="AB148">
        <v>4.4691212024765203</v>
      </c>
      <c r="AC148">
        <v>3.76503032747152</v>
      </c>
      <c r="AD148">
        <v>1.9487117474635302E-2</v>
      </c>
      <c r="AE148">
        <v>4.2964649697351804</v>
      </c>
    </row>
    <row r="149" spans="1:31" x14ac:dyDescent="0.2">
      <c r="A149">
        <v>148</v>
      </c>
      <c r="B149">
        <v>805</v>
      </c>
      <c r="C149">
        <v>125</v>
      </c>
      <c r="D149">
        <v>0.48984881509993899</v>
      </c>
      <c r="E149">
        <v>102.19329191096</v>
      </c>
      <c r="F149">
        <v>2.19057242399834</v>
      </c>
      <c r="G149">
        <v>-1681.2945481581187</v>
      </c>
      <c r="H149">
        <v>-1398.4624571577449</v>
      </c>
      <c r="I149">
        <v>262.33092890634299</v>
      </c>
      <c r="J149">
        <v>137.16036775238001</v>
      </c>
      <c r="K149">
        <v>46.651409828501201</v>
      </c>
      <c r="L149">
        <v>1.3336064108361313E-4</v>
      </c>
      <c r="M149">
        <v>1.7305604447102394E-5</v>
      </c>
      <c r="N149" s="1">
        <v>2.4571043906532498E-6</v>
      </c>
      <c r="O149" s="1">
        <v>8.1549205330956499E-8</v>
      </c>
      <c r="P149" s="1">
        <v>-4.0197552549650199E-7</v>
      </c>
      <c r="Q149">
        <v>73.644494762712696</v>
      </c>
      <c r="R149">
        <v>7.8283024750493105E-2</v>
      </c>
      <c r="S149">
        <v>12.498026863642901</v>
      </c>
      <c r="T149">
        <v>0.178055234910409</v>
      </c>
      <c r="V149">
        <v>0.42971111397438799</v>
      </c>
      <c r="W149">
        <v>3.9141512375245303E-2</v>
      </c>
      <c r="X149">
        <v>2.93561342814362E-2</v>
      </c>
      <c r="AA149">
        <v>0.56567475507063403</v>
      </c>
      <c r="AB149">
        <v>4.4499058365958799</v>
      </c>
      <c r="AC149">
        <v>3.7758281825362499</v>
      </c>
      <c r="AD149">
        <v>1.95707561876215E-2</v>
      </c>
      <c r="AE149">
        <v>4.2919518229618596</v>
      </c>
    </row>
    <row r="150" spans="1:31" x14ac:dyDescent="0.2">
      <c r="A150">
        <v>149</v>
      </c>
      <c r="B150">
        <v>804</v>
      </c>
      <c r="C150">
        <v>125</v>
      </c>
      <c r="D150">
        <v>0.48931021677575198</v>
      </c>
      <c r="E150">
        <v>101.754021372335</v>
      </c>
      <c r="F150">
        <v>2.1908221558882701</v>
      </c>
      <c r="G150">
        <v>-1673.6978686946045</v>
      </c>
      <c r="H150">
        <v>-1392.5523751549886</v>
      </c>
      <c r="I150">
        <v>261.00867431612602</v>
      </c>
      <c r="J150">
        <v>136.52209775603799</v>
      </c>
      <c r="K150">
        <v>46.445587150399497</v>
      </c>
      <c r="L150">
        <v>1.3317421994846486E-4</v>
      </c>
      <c r="M150">
        <v>1.7291953473458988E-5</v>
      </c>
      <c r="N150" s="1">
        <v>2.4468344037426802E-6</v>
      </c>
      <c r="O150" s="1">
        <v>8.1065145061590904E-8</v>
      </c>
      <c r="P150" s="1">
        <v>-3.9955584043324699E-7</v>
      </c>
      <c r="Q150">
        <v>73.695204255624702</v>
      </c>
      <c r="R150">
        <v>7.8620971359222497E-2</v>
      </c>
      <c r="S150">
        <v>12.4645698960344</v>
      </c>
      <c r="T150">
        <v>0.17900343482084199</v>
      </c>
      <c r="V150">
        <v>0.43140461975660999</v>
      </c>
      <c r="W150">
        <v>3.9310485679609701E-2</v>
      </c>
      <c r="X150">
        <v>2.9482864259710102E-2</v>
      </c>
      <c r="AA150">
        <v>0.55835241475886699</v>
      </c>
      <c r="AB150">
        <v>4.4304201215622996</v>
      </c>
      <c r="AC150">
        <v>3.7865856539996399</v>
      </c>
      <c r="AD150">
        <v>1.9655242839803501E-2</v>
      </c>
      <c r="AE150">
        <v>4.2873900393041398</v>
      </c>
    </row>
    <row r="151" spans="1:31" x14ac:dyDescent="0.2">
      <c r="A151">
        <v>150</v>
      </c>
      <c r="B151">
        <v>803</v>
      </c>
      <c r="C151">
        <v>125</v>
      </c>
      <c r="D151">
        <v>0.48877061747897599</v>
      </c>
      <c r="E151">
        <v>101.31429372914</v>
      </c>
      <c r="F151">
        <v>2.1910741975081498</v>
      </c>
      <c r="G151">
        <v>-1666.0968686442911</v>
      </c>
      <c r="H151">
        <v>-1386.6355848976852</v>
      </c>
      <c r="I151">
        <v>259.68618105896502</v>
      </c>
      <c r="J151">
        <v>135.883489099141</v>
      </c>
      <c r="K151">
        <v>46.2395540253099</v>
      </c>
      <c r="L151">
        <v>1.3298638540162763E-4</v>
      </c>
      <c r="M151">
        <v>1.7278249548292274E-5</v>
      </c>
      <c r="N151" s="1">
        <v>2.4365185751515698E-6</v>
      </c>
      <c r="O151" s="1">
        <v>8.0581171385137302E-8</v>
      </c>
      <c r="P151" s="1">
        <v>-3.9713284767005898E-7</v>
      </c>
      <c r="Q151">
        <v>73.746065368425405</v>
      </c>
      <c r="R151">
        <v>7.8962204695299396E-2</v>
      </c>
      <c r="S151">
        <v>12.431052788986801</v>
      </c>
      <c r="T151">
        <v>0.17996057920000499</v>
      </c>
      <c r="V151">
        <v>0.43311484540950901</v>
      </c>
      <c r="W151">
        <v>3.9481102347647998E-2</v>
      </c>
      <c r="X151">
        <v>2.96108267607391E-2</v>
      </c>
      <c r="AA151">
        <v>0.551257391817218</v>
      </c>
      <c r="AB151">
        <v>4.4106758285758998</v>
      </c>
      <c r="AC151">
        <v>3.7972963140486802</v>
      </c>
      <c r="AD151">
        <v>1.9740551173822399E-2</v>
      </c>
      <c r="AE151">
        <v>4.2827821985589303</v>
      </c>
    </row>
    <row r="152" spans="1:31" x14ac:dyDescent="0.2">
      <c r="A152">
        <v>151</v>
      </c>
      <c r="B152">
        <v>802</v>
      </c>
      <c r="C152">
        <v>125</v>
      </c>
      <c r="D152">
        <v>0.48823001441659297</v>
      </c>
      <c r="E152">
        <v>100.87430838466901</v>
      </c>
      <c r="F152">
        <v>2.1913284401074802</v>
      </c>
      <c r="G152">
        <v>-1658.4948855203531</v>
      </c>
      <c r="H152">
        <v>-1380.7148233841488</v>
      </c>
      <c r="I152">
        <v>258.36400700944398</v>
      </c>
      <c r="J152">
        <v>135.24482121528899</v>
      </c>
      <c r="K152">
        <v>46.033404458403297</v>
      </c>
      <c r="L152">
        <v>1.3279720326015812E-4</v>
      </c>
      <c r="M152">
        <v>1.7264497739021944E-5</v>
      </c>
      <c r="N152" s="1">
        <v>2.4261635071923798E-6</v>
      </c>
      <c r="O152" s="1">
        <v>8.0097500361043102E-8</v>
      </c>
      <c r="P152" s="1">
        <v>-3.9470774057241499E-7</v>
      </c>
      <c r="Q152">
        <v>73.797069960883704</v>
      </c>
      <c r="R152">
        <v>7.9306615610124101E-2</v>
      </c>
      <c r="S152">
        <v>12.3974806888078</v>
      </c>
      <c r="T152">
        <v>0.18092647014043001</v>
      </c>
      <c r="V152">
        <v>0.43484114648764</v>
      </c>
      <c r="W152">
        <v>3.9653307805060101E-2</v>
      </c>
      <c r="X152">
        <v>2.97399808537986E-2</v>
      </c>
      <c r="AA152">
        <v>0.544385459895388</v>
      </c>
      <c r="AB152">
        <v>4.3906849823180396</v>
      </c>
      <c r="AC152">
        <v>3.8079538204971399</v>
      </c>
      <c r="AD152">
        <v>1.9826653902528201E-2</v>
      </c>
      <c r="AE152">
        <v>4.2781309127982503</v>
      </c>
    </row>
    <row r="153" spans="1:31" x14ac:dyDescent="0.2">
      <c r="A153">
        <v>152</v>
      </c>
      <c r="B153">
        <v>801</v>
      </c>
      <c r="C153">
        <v>125</v>
      </c>
      <c r="D153">
        <v>0.487688404785181</v>
      </c>
      <c r="E153">
        <v>100.434263439034</v>
      </c>
      <c r="F153">
        <v>2.1915847741107402</v>
      </c>
      <c r="G153">
        <v>-1650.8952312265549</v>
      </c>
      <c r="H153">
        <v>-1374.7928096801124</v>
      </c>
      <c r="I153">
        <v>257.042704972715</v>
      </c>
      <c r="J153">
        <v>134.60637134843199</v>
      </c>
      <c r="K153">
        <v>45.827231793845002</v>
      </c>
      <c r="L153">
        <v>1.3260674028811665E-4</v>
      </c>
      <c r="M153">
        <v>1.7250703115302711E-5</v>
      </c>
      <c r="N153" s="1">
        <v>2.4157757674716501E-6</v>
      </c>
      <c r="O153" s="1">
        <v>7.96143453914883E-8</v>
      </c>
      <c r="P153" s="1">
        <v>-3.9228170184307798E-7</v>
      </c>
      <c r="Q153">
        <v>73.848209641299505</v>
      </c>
      <c r="R153">
        <v>7.9654091403341704E-2</v>
      </c>
      <c r="S153">
        <v>12.3638588718414</v>
      </c>
      <c r="T153">
        <v>0.18190090232254499</v>
      </c>
      <c r="V153">
        <v>0.43658285844963401</v>
      </c>
      <c r="W153">
        <v>3.9827045701668597E-2</v>
      </c>
      <c r="X153">
        <v>2.9870284276255599E-2</v>
      </c>
      <c r="AA153">
        <v>0.537732221107175</v>
      </c>
      <c r="AB153">
        <v>4.3704598060692597</v>
      </c>
      <c r="AC153">
        <v>3.8185519402039798</v>
      </c>
      <c r="AD153">
        <v>1.9913522850832099E-2</v>
      </c>
      <c r="AE153">
        <v>4.2734388144743196</v>
      </c>
    </row>
    <row r="154" spans="1:31" x14ac:dyDescent="0.2">
      <c r="A154">
        <v>153</v>
      </c>
      <c r="B154">
        <v>800</v>
      </c>
      <c r="C154">
        <v>125</v>
      </c>
      <c r="D154">
        <v>0.48714578577086598</v>
      </c>
      <c r="E154">
        <v>99.994354828680002</v>
      </c>
      <c r="F154">
        <v>2.19184308955868</v>
      </c>
      <c r="G154">
        <v>-1643.3011777455556</v>
      </c>
      <c r="H154">
        <v>-1368.8722331178146</v>
      </c>
      <c r="I154">
        <v>255.72282032124099</v>
      </c>
      <c r="J154">
        <v>133.968413353632</v>
      </c>
      <c r="K154">
        <v>45.621128312069601</v>
      </c>
      <c r="L154">
        <v>1.3241506389042858E-4</v>
      </c>
      <c r="M154">
        <v>1.7236870728504963E-5</v>
      </c>
      <c r="N154" s="1">
        <v>2.4053618607239599E-6</v>
      </c>
      <c r="O154" s="1">
        <v>7.9131916332217105E-8</v>
      </c>
      <c r="P154" s="1">
        <v>-3.8985589851906599E-7</v>
      </c>
      <c r="Q154">
        <v>73.899475812041999</v>
      </c>
      <c r="R154">
        <v>8.0004516392015695E-2</v>
      </c>
      <c r="S154">
        <v>12.3301927167625</v>
      </c>
      <c r="T154">
        <v>0.182883664168903</v>
      </c>
      <c r="V154">
        <v>0.43833929990888798</v>
      </c>
      <c r="W154">
        <v>4.0002258196005398E-2</v>
      </c>
      <c r="X154">
        <v>3.0001693647008599E-2</v>
      </c>
      <c r="AA154">
        <v>0.53129312662490402</v>
      </c>
      <c r="AB154">
        <v>4.3500126676507698</v>
      </c>
      <c r="AC154">
        <v>3.8290845706283601</v>
      </c>
      <c r="AD154">
        <v>2.0001129098000298E-2</v>
      </c>
      <c r="AE154">
        <v>4.2687085448805</v>
      </c>
    </row>
    <row r="155" spans="1:31" x14ac:dyDescent="0.2">
      <c r="A155">
        <v>154</v>
      </c>
      <c r="B155">
        <v>799</v>
      </c>
      <c r="C155">
        <v>125</v>
      </c>
      <c r="D155">
        <v>0.48660215454927003</v>
      </c>
      <c r="E155">
        <v>99.554775513916496</v>
      </c>
      <c r="F155">
        <v>2.1921032765344899</v>
      </c>
      <c r="G155">
        <v>-1635.7159436532525</v>
      </c>
      <c r="H155">
        <v>-1362.9557421544116</v>
      </c>
      <c r="I155">
        <v>254.40488877381</v>
      </c>
      <c r="J155">
        <v>133.331216567334</v>
      </c>
      <c r="K155">
        <v>45.415184849914098</v>
      </c>
      <c r="L155">
        <v>1.3222224181371148E-4</v>
      </c>
      <c r="M155">
        <v>1.72230055920914E-5</v>
      </c>
      <c r="N155" s="1">
        <v>2.3949282021911501E-6</v>
      </c>
      <c r="O155" s="1">
        <v>7.8650418662617596E-8</v>
      </c>
      <c r="P155" s="1">
        <v>-3.8743147727272198E-7</v>
      </c>
      <c r="Q155">
        <v>73.950859715009997</v>
      </c>
      <c r="R155">
        <v>8.0357772479552197E-2</v>
      </c>
      <c r="S155">
        <v>12.2964876770515</v>
      </c>
      <c r="T155">
        <v>0.18387453899981299</v>
      </c>
      <c r="V155">
        <v>0.44010977588086397</v>
      </c>
      <c r="W155">
        <v>4.0178886239773198E-2</v>
      </c>
      <c r="X155">
        <v>3.0134164679835301E-2</v>
      </c>
      <c r="AA155">
        <v>0.52506349743608305</v>
      </c>
      <c r="AB155">
        <v>4.3293560263851898</v>
      </c>
      <c r="AC155">
        <v>3.8395457597272298</v>
      </c>
      <c r="AD155">
        <v>2.0089443119883799E-2</v>
      </c>
      <c r="AE155">
        <v>4.26394274299013</v>
      </c>
    </row>
    <row r="156" spans="1:31" x14ac:dyDescent="0.2">
      <c r="A156">
        <v>155</v>
      </c>
      <c r="B156">
        <v>798</v>
      </c>
      <c r="C156">
        <v>125</v>
      </c>
      <c r="D156">
        <v>0.48605750828548999</v>
      </c>
      <c r="E156">
        <v>99.115714722802593</v>
      </c>
      <c r="F156">
        <v>2.1923652255716601</v>
      </c>
      <c r="G156">
        <v>-1628.1426815964628</v>
      </c>
      <c r="H156">
        <v>-1357.0459340041646</v>
      </c>
      <c r="I156">
        <v>253.089434339072</v>
      </c>
      <c r="J156">
        <v>132.695044758705</v>
      </c>
      <c r="K156">
        <v>45.209490447449497</v>
      </c>
      <c r="L156">
        <v>1.3202834185739869E-4</v>
      </c>
      <c r="M156">
        <v>1.720911266306803E-5</v>
      </c>
      <c r="N156" s="1">
        <v>2.38448109281015E-6</v>
      </c>
      <c r="O156" s="1">
        <v>7.8170052722833599E-8</v>
      </c>
      <c r="P156" s="1">
        <v>-3.8500956006177599E-7</v>
      </c>
      <c r="Q156">
        <v>74.002352476287797</v>
      </c>
      <c r="R156">
        <v>8.0713739716994998E-2</v>
      </c>
      <c r="S156">
        <v>12.262749254106801</v>
      </c>
      <c r="T156">
        <v>0.18487330617544301</v>
      </c>
      <c r="V156">
        <v>0.44189358098540599</v>
      </c>
      <c r="W156">
        <v>4.0356869858494203E-2</v>
      </c>
      <c r="X156">
        <v>3.0267652393876701E-2</v>
      </c>
      <c r="AA156">
        <v>0.51903854506358404</v>
      </c>
      <c r="AB156">
        <v>4.3085023817335104</v>
      </c>
      <c r="AC156">
        <v>3.8499297239652299</v>
      </c>
      <c r="AD156">
        <v>2.0178434929244E-2</v>
      </c>
      <c r="AE156">
        <v>4.2591440347835103</v>
      </c>
    </row>
    <row r="157" spans="1:31" x14ac:dyDescent="0.2">
      <c r="A157">
        <v>156</v>
      </c>
      <c r="B157">
        <v>797</v>
      </c>
      <c r="C157">
        <v>125</v>
      </c>
      <c r="D157">
        <v>0.48551184413399801</v>
      </c>
      <c r="E157">
        <v>98.677357259033698</v>
      </c>
      <c r="F157">
        <v>2.1926288280390298</v>
      </c>
      <c r="G157">
        <v>-1620.5844668595632</v>
      </c>
      <c r="H157">
        <v>-1351.1453451494206</v>
      </c>
      <c r="I157">
        <v>251.77696744394899</v>
      </c>
      <c r="J157">
        <v>132.06015517256799</v>
      </c>
      <c r="K157">
        <v>45.004132025065701</v>
      </c>
      <c r="L157">
        <v>1.3183343159895025E-4</v>
      </c>
      <c r="M157">
        <v>1.7195196824741944E-5</v>
      </c>
      <c r="N157" s="1">
        <v>2.3740266964695501E-6</v>
      </c>
      <c r="O157" s="1">
        <v>7.7691013025429701E-8</v>
      </c>
      <c r="P157" s="1">
        <v>-3.8259124017253901E-7</v>
      </c>
      <c r="Q157">
        <v>74.053945149360402</v>
      </c>
      <c r="R157">
        <v>8.1072296849213105E-2</v>
      </c>
      <c r="S157">
        <v>12.2289829713714</v>
      </c>
      <c r="T157">
        <v>0.18587974220860001</v>
      </c>
      <c r="V157">
        <v>0.44369000256132402</v>
      </c>
      <c r="W157">
        <v>4.0536148424603097E-2</v>
      </c>
      <c r="X157">
        <v>3.0402111318458699E-2</v>
      </c>
      <c r="AA157">
        <v>0.51321339204310401</v>
      </c>
      <c r="AB157">
        <v>4.2874642241632701</v>
      </c>
      <c r="AC157">
        <v>3.86023086428535</v>
      </c>
      <c r="AD157">
        <v>2.02680742122982E-2</v>
      </c>
      <c r="AE157">
        <v>4.2543150232019098</v>
      </c>
    </row>
    <row r="158" spans="1:31" x14ac:dyDescent="0.2">
      <c r="A158">
        <v>157</v>
      </c>
      <c r="B158">
        <v>796</v>
      </c>
      <c r="C158">
        <v>125</v>
      </c>
      <c r="D158">
        <v>0.48496515923864703</v>
      </c>
      <c r="E158">
        <v>98.239882875092803</v>
      </c>
      <c r="F158">
        <v>2.1928939765007498</v>
      </c>
      <c r="G158">
        <v>-1613.0442870384468</v>
      </c>
      <c r="H158">
        <v>-1345.2564427472646</v>
      </c>
      <c r="I158">
        <v>250.46798324948</v>
      </c>
      <c r="J158">
        <v>131.42679766538399</v>
      </c>
      <c r="K158">
        <v>44.799194091387797</v>
      </c>
      <c r="L158">
        <v>1.3163757813395384E-4</v>
      </c>
      <c r="M158">
        <v>1.7181262870806625E-5</v>
      </c>
      <c r="N158" s="1">
        <v>2.3635710193720001E-6</v>
      </c>
      <c r="O158" s="1">
        <v>7.7213487641937906E-8</v>
      </c>
      <c r="P158" s="1">
        <v>-3.8017757866081901E-7</v>
      </c>
      <c r="Q158">
        <v>74.105628756806894</v>
      </c>
      <c r="R158">
        <v>8.1433321843144404E-2</v>
      </c>
      <c r="S158">
        <v>12.1951943494999</v>
      </c>
      <c r="T158">
        <v>0.18689362184257299</v>
      </c>
      <c r="V158">
        <v>0.445498323677257</v>
      </c>
      <c r="W158">
        <v>4.0716660921568497E-2</v>
      </c>
      <c r="X158">
        <v>3.0537495691183199E-2</v>
      </c>
      <c r="AA158">
        <v>0.50758309190449002</v>
      </c>
      <c r="AB158">
        <v>4.2662539885244897</v>
      </c>
      <c r="AC158">
        <v>3.8704437800775602</v>
      </c>
      <c r="AD158">
        <v>2.03583304607808E-2</v>
      </c>
      <c r="AE158">
        <v>4.2494582787501196</v>
      </c>
    </row>
    <row r="159" spans="1:31" x14ac:dyDescent="0.2">
      <c r="A159">
        <v>158</v>
      </c>
      <c r="B159">
        <v>795</v>
      </c>
      <c r="C159">
        <v>125</v>
      </c>
      <c r="D159">
        <v>0.48441745073257497</v>
      </c>
      <c r="E159">
        <v>97.803465719899293</v>
      </c>
      <c r="F159">
        <v>2.1931605650480299</v>
      </c>
      <c r="G159">
        <v>-1605.5250329733312</v>
      </c>
      <c r="H159">
        <v>-1339.3816170586067</v>
      </c>
      <c r="I159">
        <v>249.16296017855501</v>
      </c>
      <c r="J159">
        <v>130.79521394711301</v>
      </c>
      <c r="K159">
        <v>44.594758486256602</v>
      </c>
      <c r="L159">
        <v>1.3144084783597016E-4</v>
      </c>
      <c r="M159">
        <v>1.716731549101381E-5</v>
      </c>
      <c r="N159" s="1">
        <v>2.3531198918076398E-6</v>
      </c>
      <c r="O159" s="1">
        <v>7.6737657673122599E-8</v>
      </c>
      <c r="P159" s="1">
        <v>-3.7776960124268802E-7</v>
      </c>
      <c r="Q159">
        <v>74.157394329342594</v>
      </c>
      <c r="R159">
        <v>8.1796692388300202E-2</v>
      </c>
      <c r="S159">
        <v>12.1613888832524</v>
      </c>
      <c r="T159">
        <v>0.187914719073657</v>
      </c>
      <c r="V159">
        <v>0.44731782598338099</v>
      </c>
      <c r="W159">
        <v>4.0898346194146097E-2</v>
      </c>
      <c r="X159">
        <v>3.0673759645616899E-2</v>
      </c>
      <c r="AA159">
        <v>0.50214264855273505</v>
      </c>
      <c r="AB159">
        <v>4.2448840105757597</v>
      </c>
      <c r="AC159">
        <v>3.8805632809840702</v>
      </c>
      <c r="AD159">
        <v>2.0449173097069302E-2</v>
      </c>
      <c r="AE159">
        <v>4.2445763309101698</v>
      </c>
    </row>
    <row r="160" spans="1:31" x14ac:dyDescent="0.2">
      <c r="A160">
        <v>159</v>
      </c>
      <c r="B160">
        <v>794</v>
      </c>
      <c r="C160">
        <v>125</v>
      </c>
      <c r="D160">
        <v>0.48386871573818202</v>
      </c>
      <c r="E160">
        <v>97.3682738504464</v>
      </c>
      <c r="F160">
        <v>2.1934284896057799</v>
      </c>
      <c r="G160">
        <v>-1598.0294907619161</v>
      </c>
      <c r="H160">
        <v>-1333.5231747551104</v>
      </c>
      <c r="I160">
        <v>247.862358625128</v>
      </c>
      <c r="J160">
        <v>130.16563691356501</v>
      </c>
      <c r="K160">
        <v>44.390904153864597</v>
      </c>
      <c r="L160">
        <v>1.3124330613006668E-4</v>
      </c>
      <c r="M160">
        <v>1.7153359257999228E-5</v>
      </c>
      <c r="N160" s="1">
        <v>2.3426789519440199E-6</v>
      </c>
      <c r="O160" s="1">
        <v>7.6263696789508805E-8</v>
      </c>
      <c r="P160" s="1">
        <v>-3.7536829556105097E-7</v>
      </c>
      <c r="Q160">
        <v>74.209232943448498</v>
      </c>
      <c r="R160">
        <v>8.2162286375621105E-2</v>
      </c>
      <c r="S160">
        <v>12.127572019375799</v>
      </c>
      <c r="T160">
        <v>0.188942808131148</v>
      </c>
      <c r="V160">
        <v>0.44914779243817698</v>
      </c>
      <c r="W160">
        <v>4.1081143187806403E-2</v>
      </c>
      <c r="X160">
        <v>3.0810857390862499E-2</v>
      </c>
      <c r="AA160">
        <v>0.49688703474074503</v>
      </c>
      <c r="AB160">
        <v>4.2233664863548004</v>
      </c>
      <c r="AC160">
        <v>3.8905843968345502</v>
      </c>
      <c r="AD160">
        <v>2.0540571593899201E-2</v>
      </c>
      <c r="AE160">
        <v>4.2396716601279598</v>
      </c>
    </row>
    <row r="161" spans="1:31" x14ac:dyDescent="0.2">
      <c r="A161">
        <v>160</v>
      </c>
      <c r="B161">
        <v>793</v>
      </c>
      <c r="C161">
        <v>125</v>
      </c>
      <c r="D161">
        <v>0.48331895136707098</v>
      </c>
      <c r="E161">
        <v>96.934468822769603</v>
      </c>
      <c r="F161">
        <v>2.1936976482019399</v>
      </c>
      <c r="G161">
        <v>-1590.560335107815</v>
      </c>
      <c r="H161">
        <v>-1327.6833333144955</v>
      </c>
      <c r="I161">
        <v>246.56661988774499</v>
      </c>
      <c r="J161">
        <v>129.53829009117101</v>
      </c>
      <c r="K161">
        <v>44.1877069532446</v>
      </c>
      <c r="L161">
        <v>1.3104501729324463E-4</v>
      </c>
      <c r="M161">
        <v>1.7139398616162932E-5</v>
      </c>
      <c r="N161" s="1">
        <v>2.3322536322777701E-6</v>
      </c>
      <c r="O161" s="1">
        <v>7.57917708615698E-8</v>
      </c>
      <c r="P161" s="1">
        <v>-3.7297460894319302E-7</v>
      </c>
      <c r="Q161">
        <v>74.261135755362801</v>
      </c>
      <c r="R161">
        <v>8.2529982339172997E-2</v>
      </c>
      <c r="S161">
        <v>12.093749136693001</v>
      </c>
      <c r="T161">
        <v>0.189977664382079</v>
      </c>
      <c r="V161">
        <v>0.45098750982282998</v>
      </c>
      <c r="W161">
        <v>4.1264991169582099E-2</v>
      </c>
      <c r="X161">
        <v>3.09487433771947E-2</v>
      </c>
      <c r="AA161">
        <v>0.49181120968630399</v>
      </c>
      <c r="AB161">
        <v>4.2017134352869103</v>
      </c>
      <c r="AC161">
        <v>3.90050238540447</v>
      </c>
      <c r="AD161">
        <v>2.06324955847869E-2</v>
      </c>
      <c r="AE161">
        <v>4.2347466908908604</v>
      </c>
    </row>
    <row r="162" spans="1:31" x14ac:dyDescent="0.2">
      <c r="A162">
        <v>161</v>
      </c>
      <c r="B162">
        <v>792</v>
      </c>
      <c r="C162">
        <v>125</v>
      </c>
      <c r="D162">
        <v>0.48276815471999501</v>
      </c>
      <c r="E162">
        <v>96.502205349689902</v>
      </c>
      <c r="F162">
        <v>2.1939679412114201</v>
      </c>
      <c r="G162">
        <v>-1583.1201237903729</v>
      </c>
      <c r="H162">
        <v>-1321.8642163317941</v>
      </c>
      <c r="I162">
        <v>245.276165289939</v>
      </c>
      <c r="J162">
        <v>128.91338717568601</v>
      </c>
      <c r="K162">
        <v>43.985239500083601</v>
      </c>
      <c r="L162">
        <v>1.3084604427086104E-4</v>
      </c>
      <c r="M162">
        <v>1.7125437871737871E-5</v>
      </c>
      <c r="N162" s="1">
        <v>2.3218491481724601E-6</v>
      </c>
      <c r="O162" s="1">
        <v>7.5322037660540995E-8</v>
      </c>
      <c r="P162" s="1">
        <v>-3.7058944654101602E-7</v>
      </c>
      <c r="Q162">
        <v>74.3130940328561</v>
      </c>
      <c r="R162">
        <v>8.2899659867990902E-2</v>
      </c>
      <c r="S162">
        <v>12.0599255276723</v>
      </c>
      <c r="T162">
        <v>0.19101906517637399</v>
      </c>
      <c r="V162">
        <v>0.45283627108436902</v>
      </c>
      <c r="W162">
        <v>4.1449829933990802E-2</v>
      </c>
      <c r="X162">
        <v>3.10873724505017E-2</v>
      </c>
      <c r="AA162">
        <v>0.486910135584041</v>
      </c>
      <c r="AB162">
        <v>4.1799366666276896</v>
      </c>
      <c r="AC162">
        <v>3.9103127383523399</v>
      </c>
      <c r="AD162">
        <v>2.0724914966991002E-2</v>
      </c>
      <c r="AE162">
        <v>4.2298037854271699</v>
      </c>
    </row>
    <row r="163" spans="1:31" x14ac:dyDescent="0.2">
      <c r="A163">
        <v>162</v>
      </c>
      <c r="B163">
        <v>791</v>
      </c>
      <c r="C163">
        <v>125</v>
      </c>
      <c r="D163">
        <v>0.48221632288681698</v>
      </c>
      <c r="E163">
        <v>96.071631027148001</v>
      </c>
      <c r="F163">
        <v>2.1942392715700998</v>
      </c>
      <c r="G163">
        <v>-1575.7112932844946</v>
      </c>
      <c r="H163">
        <v>-1316.0678497713677</v>
      </c>
      <c r="I163">
        <v>243.991395492295</v>
      </c>
      <c r="J163">
        <v>128.29113166736201</v>
      </c>
      <c r="K163">
        <v>43.783571040729399</v>
      </c>
      <c r="L163">
        <v>1.3064644851324661E-4</v>
      </c>
      <c r="M163">
        <v>1.7111481184332518E-5</v>
      </c>
      <c r="N163" s="1">
        <v>2.3114704886066601E-6</v>
      </c>
      <c r="O163" s="1">
        <v>7.4854646632817101E-8</v>
      </c>
      <c r="P163" s="1">
        <v>-3.68213669874733E-7</v>
      </c>
      <c r="Q163">
        <v>74.365099184179201</v>
      </c>
      <c r="R163">
        <v>8.3271199983475805E-2</v>
      </c>
      <c r="S163">
        <v>12.026106381779501</v>
      </c>
      <c r="T163">
        <v>0.19206679062252299</v>
      </c>
      <c r="V163">
        <v>0.45469337748163902</v>
      </c>
      <c r="W163">
        <v>4.1635599991732802E-2</v>
      </c>
      <c r="X163">
        <v>3.1226699993809101E-2</v>
      </c>
      <c r="AA163">
        <v>0.48217879298161298</v>
      </c>
      <c r="AB163">
        <v>4.1580477494560402</v>
      </c>
      <c r="AC163">
        <v>3.9200111853391202</v>
      </c>
      <c r="AD163">
        <v>2.0817799995861499E-2</v>
      </c>
      <c r="AE163">
        <v>4.22484523819546</v>
      </c>
    </row>
    <row r="164" spans="1:31" x14ac:dyDescent="0.2">
      <c r="A164">
        <v>163</v>
      </c>
      <c r="B164">
        <v>790</v>
      </c>
      <c r="C164">
        <v>125</v>
      </c>
      <c r="D164">
        <v>0.48166345294643498</v>
      </c>
      <c r="E164">
        <v>95.642886128737999</v>
      </c>
      <c r="F164">
        <v>2.1945115449552102</v>
      </c>
      <c r="G164">
        <v>-1568.3361555222396</v>
      </c>
      <c r="H164">
        <v>-1310.2961591541402</v>
      </c>
      <c r="I164">
        <v>242.71268999492</v>
      </c>
      <c r="J164">
        <v>127.671716602027</v>
      </c>
      <c r="K164">
        <v>43.582767358232203</v>
      </c>
      <c r="L164">
        <v>1.3044628983577774E-4</v>
      </c>
      <c r="M164">
        <v>1.7097532560163584E-5</v>
      </c>
      <c r="N164" s="1">
        <v>2.30112240917963E-6</v>
      </c>
      <c r="O164" s="1">
        <v>7.4389738748426502E-8</v>
      </c>
      <c r="P164" s="1">
        <v>-3.6584809578711101E-7</v>
      </c>
      <c r="Q164">
        <v>74.417142783720706</v>
      </c>
      <c r="R164">
        <v>8.3644485479371006E-2</v>
      </c>
      <c r="S164">
        <v>11.9922967708171</v>
      </c>
      <c r="T164">
        <v>0.193120624287513</v>
      </c>
      <c r="V164">
        <v>0.456558140517694</v>
      </c>
      <c r="W164">
        <v>4.182224273968E-2</v>
      </c>
      <c r="X164">
        <v>3.1366682054770299E-2</v>
      </c>
      <c r="AA164">
        <v>0.47761219498830099</v>
      </c>
      <c r="AB164">
        <v>4.1360579863445999</v>
      </c>
      <c r="AC164">
        <v>3.9295936963866498</v>
      </c>
      <c r="AD164">
        <v>2.0911121369834699E-2</v>
      </c>
      <c r="AE164">
        <v>4.2198732712937499</v>
      </c>
    </row>
    <row r="165" spans="1:31" x14ac:dyDescent="0.2">
      <c r="A165">
        <v>164</v>
      </c>
      <c r="B165">
        <v>789</v>
      </c>
      <c r="C165">
        <v>125</v>
      </c>
      <c r="D165">
        <v>0.48110954196676597</v>
      </c>
      <c r="E165">
        <v>95.216103462303494</v>
      </c>
      <c r="F165">
        <v>2.1947846699375599</v>
      </c>
      <c r="G165">
        <v>-1560.9968956909586</v>
      </c>
      <c r="H165">
        <v>-1304.5509675958826</v>
      </c>
      <c r="I165">
        <v>241.44040681172601</v>
      </c>
      <c r="J165">
        <v>127.055324369028</v>
      </c>
      <c r="K165">
        <v>43.382890707457001</v>
      </c>
      <c r="L165">
        <v>1.3024562629817936E-4</v>
      </c>
      <c r="M165">
        <v>1.7083595846626043E-5</v>
      </c>
      <c r="N165" s="1">
        <v>2.2908094271093699E-6</v>
      </c>
      <c r="O165" s="1">
        <v>7.3927446414427004E-8</v>
      </c>
      <c r="P165" s="1">
        <v>-3.6349349575715201E-7</v>
      </c>
      <c r="Q165">
        <v>74.469216594852199</v>
      </c>
      <c r="R165">
        <v>8.4019401226260199E-2</v>
      </c>
      <c r="S165">
        <v>11.9585016360202</v>
      </c>
      <c r="T165">
        <v>0.194180353824743</v>
      </c>
      <c r="V165">
        <v>0.45842988366919202</v>
      </c>
      <c r="W165">
        <v>4.2009700613124298E-2</v>
      </c>
      <c r="X165">
        <v>3.15072754598541E-2</v>
      </c>
      <c r="AA165">
        <v>0.47320540025077201</v>
      </c>
      <c r="AB165">
        <v>4.1139783905057099</v>
      </c>
      <c r="AC165">
        <v>3.9390564826687999</v>
      </c>
      <c r="AD165">
        <v>2.10048503065564E-2</v>
      </c>
      <c r="AE165">
        <v>4.2148900306024704</v>
      </c>
    </row>
    <row r="166" spans="1:31" x14ac:dyDescent="0.2">
      <c r="A166">
        <v>165</v>
      </c>
      <c r="B166">
        <v>788</v>
      </c>
      <c r="C166">
        <v>125</v>
      </c>
      <c r="D166">
        <v>0.48055458700466802</v>
      </c>
      <c r="E166">
        <v>94.791408281528007</v>
      </c>
      <c r="F166">
        <v>2.19505855810689</v>
      </c>
      <c r="G166">
        <v>-1553.6955709485264</v>
      </c>
      <c r="H166">
        <v>-1298.8339945994583</v>
      </c>
      <c r="I166">
        <v>240.17488229662899</v>
      </c>
      <c r="J166">
        <v>126.442126605966</v>
      </c>
      <c r="K166">
        <v>43.183999775969497</v>
      </c>
      <c r="L166">
        <v>1.3004451410138313E-4</v>
      </c>
      <c r="M166">
        <v>1.7069674728073298E-5</v>
      </c>
      <c r="N166" s="1">
        <v>2.2805358180030101E-6</v>
      </c>
      <c r="O166" s="1">
        <v>7.3467893445477102E-8</v>
      </c>
      <c r="P166" s="1">
        <v>-3.6115059553227901E-7</v>
      </c>
      <c r="Q166">
        <v>74.521312590280303</v>
      </c>
      <c r="R166">
        <v>8.4395834443567103E-2</v>
      </c>
      <c r="S166">
        <v>11.924725776689501</v>
      </c>
      <c r="T166">
        <v>0.19524577153640801</v>
      </c>
      <c r="V166">
        <v>0.46030794393018798</v>
      </c>
      <c r="W166">
        <v>4.2197917221777299E-2</v>
      </c>
      <c r="X166">
        <v>3.1648437916344599E-2</v>
      </c>
      <c r="AA166">
        <v>0.46895352466484003</v>
      </c>
      <c r="AB166">
        <v>4.0918196662052697</v>
      </c>
      <c r="AC166">
        <v>3.9483959959058001</v>
      </c>
      <c r="AD166">
        <v>2.1098958610882498E-2</v>
      </c>
      <c r="AE166">
        <v>4.2098975825950502</v>
      </c>
    </row>
    <row r="167" spans="1:31" x14ac:dyDescent="0.2">
      <c r="A167">
        <v>166</v>
      </c>
      <c r="B167">
        <v>787</v>
      </c>
      <c r="C167">
        <v>125</v>
      </c>
      <c r="D167">
        <v>0.479998585105882</v>
      </c>
      <c r="E167">
        <v>94.368918259597606</v>
      </c>
      <c r="F167">
        <v>2.19533312416891</v>
      </c>
      <c r="G167">
        <v>-1546.4341101713819</v>
      </c>
      <c r="H167">
        <v>-1293.1468556980631</v>
      </c>
      <c r="I167">
        <v>238.91643114023401</v>
      </c>
      <c r="J167">
        <v>125.83228418020801</v>
      </c>
      <c r="K167">
        <v>42.986149673900897</v>
      </c>
      <c r="L167">
        <v>1.2984300750718385E-4</v>
      </c>
      <c r="M167">
        <v>1.7055772723079315E-5</v>
      </c>
      <c r="N167" s="1">
        <v>2.2703056146502798E-6</v>
      </c>
      <c r="O167" s="1">
        <v>7.3011195098723897E-8</v>
      </c>
      <c r="P167" s="1">
        <v>-3.5882007512229201E-7</v>
      </c>
      <c r="Q167">
        <v>74.573422968561303</v>
      </c>
      <c r="R167">
        <v>8.4773674929635098E-2</v>
      </c>
      <c r="S167">
        <v>11.890973841154899</v>
      </c>
      <c r="T167">
        <v>0.196316674850324</v>
      </c>
      <c r="V167">
        <v>0.46219167311701498</v>
      </c>
      <c r="W167">
        <v>4.2386837464810999E-2</v>
      </c>
      <c r="X167">
        <v>3.1790128098620397E-2</v>
      </c>
      <c r="AA167">
        <v>0.464851751923822</v>
      </c>
      <c r="AB167">
        <v>4.0695921928283703</v>
      </c>
      <c r="AC167">
        <v>3.9576089263476701</v>
      </c>
      <c r="AD167">
        <v>2.1193418732399098E-2</v>
      </c>
      <c r="AE167">
        <v>4.2048979119909999</v>
      </c>
    </row>
    <row r="168" spans="1:31" x14ac:dyDescent="0.2">
      <c r="A168">
        <v>167</v>
      </c>
      <c r="B168">
        <v>786</v>
      </c>
      <c r="C168">
        <v>125</v>
      </c>
      <c r="D168">
        <v>0.47944153330501299</v>
      </c>
      <c r="E168">
        <v>93.948743502222598</v>
      </c>
      <c r="F168">
        <v>2.1956082860213799</v>
      </c>
      <c r="G168">
        <v>-1539.2143143558621</v>
      </c>
      <c r="H168">
        <v>-1287.4910626380238</v>
      </c>
      <c r="I168">
        <v>237.665346473906</v>
      </c>
      <c r="J168">
        <v>125.225947224797</v>
      </c>
      <c r="K168">
        <v>42.789391942250901</v>
      </c>
      <c r="L168">
        <v>1.296411587692648E-4</v>
      </c>
      <c r="M168">
        <v>1.704189318246916E-5</v>
      </c>
      <c r="N168" s="1">
        <v>2.2601226070538901E-6</v>
      </c>
      <c r="O168" s="1">
        <v>7.2557458147621299E-8</v>
      </c>
      <c r="P168" s="1">
        <v>-3.5650256901148799E-7</v>
      </c>
      <c r="Q168">
        <v>74.625540169218894</v>
      </c>
      <c r="R168">
        <v>8.5152815266882204E-2</v>
      </c>
      <c r="S168">
        <v>11.8572503186278</v>
      </c>
      <c r="T168">
        <v>0.19739286674647399</v>
      </c>
      <c r="V168">
        <v>0.46408043903028701</v>
      </c>
      <c r="W168">
        <v>4.2576407633434003E-2</v>
      </c>
      <c r="X168">
        <v>3.1932305725088601E-2</v>
      </c>
      <c r="AA168">
        <v>0.46089534277656802</v>
      </c>
      <c r="AB168">
        <v>4.0473060116042401</v>
      </c>
      <c r="AC168">
        <v>3.9666921997183202</v>
      </c>
      <c r="AD168">
        <v>2.1288203816710202E-2</v>
      </c>
      <c r="AE168">
        <v>4.1998929198351904</v>
      </c>
    </row>
    <row r="169" spans="1:31" x14ac:dyDescent="0.2">
      <c r="A169">
        <v>168</v>
      </c>
      <c r="B169">
        <v>785</v>
      </c>
      <c r="C169">
        <v>125</v>
      </c>
      <c r="D169">
        <v>0.47888342862543298</v>
      </c>
      <c r="E169">
        <v>93.530986614190297</v>
      </c>
      <c r="F169">
        <v>2.1958839647984498</v>
      </c>
      <c r="G169">
        <v>-1532.0378579080311</v>
      </c>
      <c r="H169">
        <v>-1281.8680242951179</v>
      </c>
      <c r="I169">
        <v>236.42190012088301</v>
      </c>
      <c r="J169">
        <v>124.623255249168</v>
      </c>
      <c r="K169">
        <v>42.593774586251698</v>
      </c>
      <c r="L169">
        <v>1.2943901808925009E-4</v>
      </c>
      <c r="M169">
        <v>1.7028039289010579E-5</v>
      </c>
      <c r="N169" s="1">
        <v>2.24999034430808E-6</v>
      </c>
      <c r="O169" s="1">
        <v>7.2106781013071E-8</v>
      </c>
      <c r="P169" s="1">
        <v>-3.5419866669975701E-7</v>
      </c>
      <c r="Q169">
        <v>74.677656883953503</v>
      </c>
      <c r="R169">
        <v>8.5533150986635095E-2</v>
      </c>
      <c r="S169">
        <v>11.823559533297701</v>
      </c>
      <c r="T169">
        <v>0.19847415610100599</v>
      </c>
      <c r="V169">
        <v>0.46597362638776602</v>
      </c>
      <c r="W169">
        <v>4.2766575493310102E-2</v>
      </c>
      <c r="X169">
        <v>3.20749316199965E-2</v>
      </c>
      <c r="AA169">
        <v>0.45707964318771299</v>
      </c>
      <c r="AB169">
        <v>4.0249708156889703</v>
      </c>
      <c r="AC169">
        <v>3.9756429730089899</v>
      </c>
      <c r="AD169">
        <v>2.13832877466478E-2</v>
      </c>
      <c r="AE169">
        <v>4.1948844225276698</v>
      </c>
    </row>
    <row r="170" spans="1:31" x14ac:dyDescent="0.2">
      <c r="A170">
        <v>169</v>
      </c>
      <c r="B170">
        <v>784</v>
      </c>
      <c r="C170">
        <v>125</v>
      </c>
      <c r="D170">
        <v>0.47832426807926898</v>
      </c>
      <c r="E170">
        <v>92.095465740865507</v>
      </c>
      <c r="F170">
        <v>2.1965002882898101</v>
      </c>
      <c r="G170">
        <v>-1507.9588001908915</v>
      </c>
      <c r="H170">
        <v>-1262.0793363723985</v>
      </c>
      <c r="I170">
        <v>232.587110455936</v>
      </c>
      <c r="J170">
        <v>122.669330675303</v>
      </c>
      <c r="K170">
        <v>41.928273914578099</v>
      </c>
      <c r="L170">
        <v>1.2925009354772401E-4</v>
      </c>
      <c r="M170">
        <v>1.7004962474400917E-5</v>
      </c>
      <c r="N170" s="1">
        <v>2.2134961113523801E-6</v>
      </c>
      <c r="O170" s="1">
        <v>7.0820776997826905E-8</v>
      </c>
      <c r="P170" s="1">
        <v>-3.4811540856141401E-7</v>
      </c>
      <c r="Q170">
        <v>74.681846947254698</v>
      </c>
      <c r="R170">
        <v>8.6866383004247399E-2</v>
      </c>
      <c r="S170">
        <v>11.8095916585778</v>
      </c>
      <c r="T170">
        <v>0.201841136110572</v>
      </c>
      <c r="V170">
        <v>0.47299098386875799</v>
      </c>
      <c r="W170">
        <v>4.3433191502114998E-2</v>
      </c>
      <c r="X170">
        <v>3.25748936266025E-2</v>
      </c>
      <c r="AA170">
        <v>0.45078210273040697</v>
      </c>
      <c r="AB170">
        <v>3.9966658009748302</v>
      </c>
      <c r="AC170">
        <v>4.0153587412559197</v>
      </c>
      <c r="AD170">
        <v>2.1716595751048999E-2</v>
      </c>
      <c r="AE170">
        <v>4.1863315653429396</v>
      </c>
    </row>
    <row r="171" spans="1:31" x14ac:dyDescent="0.2">
      <c r="A171">
        <v>170</v>
      </c>
      <c r="B171">
        <v>783</v>
      </c>
      <c r="C171">
        <v>125</v>
      </c>
      <c r="D171">
        <v>0.47776404866733202</v>
      </c>
      <c r="E171">
        <v>89.779980831148805</v>
      </c>
      <c r="F171">
        <v>2.1974276850771401</v>
      </c>
      <c r="G171">
        <v>-1469.2867117118299</v>
      </c>
      <c r="H171">
        <v>-1230.0508069927273</v>
      </c>
      <c r="I171">
        <v>226.51697648923101</v>
      </c>
      <c r="J171">
        <v>119.54782211686199</v>
      </c>
      <c r="K171">
        <v>40.856853420410403</v>
      </c>
      <c r="L171">
        <v>1.2906808250594563E-4</v>
      </c>
      <c r="M171">
        <v>1.6973652772314767E-5</v>
      </c>
      <c r="N171" s="1">
        <v>2.1542526103988298E-6</v>
      </c>
      <c r="O171" s="1">
        <v>6.8818027103008199E-8</v>
      </c>
      <c r="P171" s="1">
        <v>-3.3875952974172201E-7</v>
      </c>
      <c r="Q171">
        <v>74.6450069355799</v>
      </c>
      <c r="R171">
        <v>8.9106724304680196E-2</v>
      </c>
      <c r="S171">
        <v>11.8121046561577</v>
      </c>
      <c r="T171">
        <v>0.207383734692595</v>
      </c>
      <c r="V171">
        <v>0.48488651261273902</v>
      </c>
      <c r="W171">
        <v>4.4553362152329898E-2</v>
      </c>
      <c r="X171">
        <v>3.3415021614266398E-2</v>
      </c>
      <c r="AA171">
        <v>0.44303077548516701</v>
      </c>
      <c r="AB171">
        <v>3.9621030310298</v>
      </c>
      <c r="AC171">
        <v>4.0815884712698196</v>
      </c>
      <c r="AD171">
        <v>2.22766810761547E-2</v>
      </c>
      <c r="AE171">
        <v>4.1745440940247196</v>
      </c>
    </row>
    <row r="172" spans="1:31" x14ac:dyDescent="0.2">
      <c r="A172">
        <v>171</v>
      </c>
      <c r="B172">
        <v>782</v>
      </c>
      <c r="C172">
        <v>125</v>
      </c>
      <c r="D172">
        <v>0.47720276737904699</v>
      </c>
      <c r="E172">
        <v>87.422625775261807</v>
      </c>
      <c r="F172">
        <v>2.1983907480697402</v>
      </c>
      <c r="G172">
        <v>-1429.9517208385428</v>
      </c>
      <c r="H172">
        <v>-1197.4506304983151</v>
      </c>
      <c r="I172">
        <v>220.34885119672799</v>
      </c>
      <c r="J172">
        <v>116.37205236842701</v>
      </c>
      <c r="K172">
        <v>39.766645602935498</v>
      </c>
      <c r="L172">
        <v>1.288808522918961E-4</v>
      </c>
      <c r="M172">
        <v>1.6941735847440631E-5</v>
      </c>
      <c r="N172" s="1">
        <v>2.0940090005881799E-6</v>
      </c>
      <c r="O172" s="1">
        <v>6.6790038552519297E-8</v>
      </c>
      <c r="P172" s="1">
        <v>-3.2924809929190402E-7</v>
      </c>
      <c r="Q172">
        <v>74.606892606699503</v>
      </c>
      <c r="R172">
        <v>9.1509491153541705E-2</v>
      </c>
      <c r="S172">
        <v>11.814565808925501</v>
      </c>
      <c r="T172">
        <v>0.213316426550682</v>
      </c>
      <c r="V172">
        <v>0.49765504163999402</v>
      </c>
      <c r="W172">
        <v>4.5754745576759598E-2</v>
      </c>
      <c r="X172">
        <v>3.4316059182590501E-2</v>
      </c>
      <c r="AA172">
        <v>0.43621746705924702</v>
      </c>
      <c r="AB172">
        <v>3.9258897318225401</v>
      </c>
      <c r="AC172">
        <v>4.1485839605973904</v>
      </c>
      <c r="AD172">
        <v>2.2877372788368499E-2</v>
      </c>
      <c r="AE172">
        <v>4.1624212880037099</v>
      </c>
    </row>
    <row r="173" spans="1:31" x14ac:dyDescent="0.2">
      <c r="A173">
        <v>172</v>
      </c>
      <c r="B173">
        <v>781</v>
      </c>
      <c r="C173">
        <v>125</v>
      </c>
      <c r="D173">
        <v>0.476640421192431</v>
      </c>
      <c r="E173">
        <v>85.009677323056394</v>
      </c>
      <c r="F173">
        <v>2.1993928969112502</v>
      </c>
      <c r="G173">
        <v>-1389.7299971336925</v>
      </c>
      <c r="H173">
        <v>-1164.090351094301</v>
      </c>
      <c r="I173">
        <v>214.04889820176501</v>
      </c>
      <c r="J173">
        <v>113.123904562175</v>
      </c>
      <c r="K173">
        <v>38.651428511222697</v>
      </c>
      <c r="L173">
        <v>1.2868892763878616E-4</v>
      </c>
      <c r="M173">
        <v>1.690924383463816E-5</v>
      </c>
      <c r="N173" s="1">
        <v>2.0324622782817898E-6</v>
      </c>
      <c r="O173" s="1">
        <v>6.4727227411831003E-8</v>
      </c>
      <c r="P173" s="1">
        <v>-3.19533301024849E-7</v>
      </c>
      <c r="Q173">
        <v>74.567278538338201</v>
      </c>
      <c r="R173">
        <v>9.41069329036376E-2</v>
      </c>
      <c r="S173">
        <v>11.816945729363701</v>
      </c>
      <c r="T173">
        <v>0.21971484589401399</v>
      </c>
      <c r="V173">
        <v>0.51147153993530303</v>
      </c>
      <c r="W173">
        <v>4.7053466451806497E-2</v>
      </c>
      <c r="X173">
        <v>3.5290099838877799E-2</v>
      </c>
      <c r="AA173">
        <v>0.43037958781612801</v>
      </c>
      <c r="AB173">
        <v>3.8880250173114201</v>
      </c>
      <c r="AC173">
        <v>4.2162328712032204</v>
      </c>
      <c r="AD173">
        <v>2.3526733225891199E-2</v>
      </c>
      <c r="AE173">
        <v>4.1499746377176701</v>
      </c>
    </row>
    <row r="174" spans="1:31" x14ac:dyDescent="0.2">
      <c r="A174">
        <v>173</v>
      </c>
      <c r="B174">
        <v>780</v>
      </c>
      <c r="C174">
        <v>125</v>
      </c>
      <c r="D174">
        <v>0.47607700707401701</v>
      </c>
      <c r="E174">
        <v>82.522137519413803</v>
      </c>
      <c r="F174">
        <v>2.2004390013656301</v>
      </c>
      <c r="G174">
        <v>-1348.3115478228679</v>
      </c>
      <c r="H174">
        <v>-1129.709026154959</v>
      </c>
      <c r="I174">
        <v>207.57016727712801</v>
      </c>
      <c r="J174">
        <v>109.778280434499</v>
      </c>
      <c r="K174">
        <v>37.5025790163685</v>
      </c>
      <c r="L174">
        <v>1.2849298436488077E-4</v>
      </c>
      <c r="M174">
        <v>1.6876217558095707E-5</v>
      </c>
      <c r="N174" s="1">
        <v>1.9691872029090202E-6</v>
      </c>
      <c r="O174" s="1">
        <v>6.2616175088888202E-8</v>
      </c>
      <c r="P174" s="1">
        <v>-3.0954796018087502E-7</v>
      </c>
      <c r="Q174">
        <v>74.525853901104696</v>
      </c>
      <c r="R174">
        <v>9.6943683725094307E-2</v>
      </c>
      <c r="S174">
        <v>11.819204021976001</v>
      </c>
      <c r="T174">
        <v>0.22668341698297301</v>
      </c>
      <c r="V174">
        <v>0.52657840069443596</v>
      </c>
      <c r="W174">
        <v>4.84718418625339E-2</v>
      </c>
      <c r="X174">
        <v>3.6353881396924699E-2</v>
      </c>
      <c r="AA174">
        <v>0.42557913105989698</v>
      </c>
      <c r="AB174">
        <v>3.8484936105723002</v>
      </c>
      <c r="AC174">
        <v>4.2843841748199996</v>
      </c>
      <c r="AD174">
        <v>2.42359209312536E-2</v>
      </c>
      <c r="AE174">
        <v>4.1372180148737803</v>
      </c>
    </row>
    <row r="175" spans="1:31" x14ac:dyDescent="0.2">
      <c r="A175">
        <v>174</v>
      </c>
      <c r="B175">
        <v>779</v>
      </c>
      <c r="C175">
        <v>125</v>
      </c>
      <c r="D175">
        <v>0.475512521978807</v>
      </c>
      <c r="E175">
        <v>79.933219532851794</v>
      </c>
      <c r="F175">
        <v>2.2015361328074898</v>
      </c>
      <c r="G175">
        <v>-1305.2591982925771</v>
      </c>
      <c r="H175">
        <v>-1093.9386935596622</v>
      </c>
      <c r="I175">
        <v>200.84636670903799</v>
      </c>
      <c r="J175">
        <v>106.29977751627</v>
      </c>
      <c r="K175">
        <v>36.307929877543003</v>
      </c>
      <c r="L175">
        <v>1.2829395492423154E-4</v>
      </c>
      <c r="M175">
        <v>1.6842713628631766E-5</v>
      </c>
      <c r="N175" s="1">
        <v>1.90357888478018E-6</v>
      </c>
      <c r="O175" s="1">
        <v>6.0437830007012897E-8</v>
      </c>
      <c r="P175" s="1">
        <v>-2.9919645338273801E-7</v>
      </c>
      <c r="Q175">
        <v>74.4821752962403</v>
      </c>
      <c r="R175">
        <v>0.10008354532389301</v>
      </c>
      <c r="S175">
        <v>11.821283792462999</v>
      </c>
      <c r="T175">
        <v>0.234371079686719</v>
      </c>
      <c r="V175">
        <v>0.54332240467374504</v>
      </c>
      <c r="W175">
        <v>5.0041772661931203E-2</v>
      </c>
      <c r="X175">
        <v>3.7531329496477098E-2</v>
      </c>
      <c r="AA175">
        <v>0.42191527796512901</v>
      </c>
      <c r="AB175">
        <v>3.8072625404970299</v>
      </c>
      <c r="AC175">
        <v>4.3528219440277303</v>
      </c>
      <c r="AD175">
        <v>2.5020886330949899E-2</v>
      </c>
      <c r="AE175">
        <v>4.1241701306329901</v>
      </c>
    </row>
    <row r="176" spans="1:31" x14ac:dyDescent="0.2">
      <c r="A176">
        <v>175</v>
      </c>
      <c r="B176">
        <v>778</v>
      </c>
      <c r="C176">
        <v>125</v>
      </c>
      <c r="D176">
        <v>0.47494696285021398</v>
      </c>
      <c r="E176">
        <v>77.204281960873502</v>
      </c>
      <c r="F176">
        <v>2.20269481693366</v>
      </c>
      <c r="G176">
        <v>-1259.9422809290409</v>
      </c>
      <c r="H176">
        <v>-1056.2485387229237</v>
      </c>
      <c r="I176">
        <v>193.78180298351</v>
      </c>
      <c r="J176">
        <v>102.63731813139199</v>
      </c>
      <c r="K176">
        <v>35.049922198640402</v>
      </c>
      <c r="L176">
        <v>1.2809323331157342E-4</v>
      </c>
      <c r="M176">
        <v>1.6808818989389069E-5</v>
      </c>
      <c r="N176" s="1">
        <v>1.8347604388013301E-6</v>
      </c>
      <c r="O176" s="1">
        <v>5.8164613872159601E-8</v>
      </c>
      <c r="P176" s="1">
        <v>-2.8834008026471497E-7</v>
      </c>
      <c r="Q176">
        <v>74.435585196607605</v>
      </c>
      <c r="R176">
        <v>0.103621195571191</v>
      </c>
      <c r="S176">
        <v>11.8231024705676</v>
      </c>
      <c r="T176">
        <v>0.24299841004820799</v>
      </c>
      <c r="V176">
        <v>0.56221855098946205</v>
      </c>
      <c r="W176">
        <v>5.1810597785576798E-2</v>
      </c>
      <c r="X176">
        <v>3.8857948339217102E-2</v>
      </c>
      <c r="AA176">
        <v>0.41954503260531401</v>
      </c>
      <c r="AB176">
        <v>3.76427995742596</v>
      </c>
      <c r="AC176">
        <v>4.4212154091437803</v>
      </c>
      <c r="AD176">
        <v>2.59052988927694E-2</v>
      </c>
      <c r="AE176">
        <v>4.1108599320232004</v>
      </c>
    </row>
    <row r="177" spans="1:31" x14ac:dyDescent="0.2">
      <c r="A177">
        <v>176</v>
      </c>
      <c r="B177">
        <v>777</v>
      </c>
      <c r="C177">
        <v>125</v>
      </c>
      <c r="D177">
        <v>0.47438032662001101</v>
      </c>
      <c r="E177">
        <v>74.278140248485101</v>
      </c>
      <c r="F177">
        <v>2.20393120385619</v>
      </c>
      <c r="G177">
        <v>-1211.4275952205965</v>
      </c>
      <c r="H177">
        <v>-1015.853063720907</v>
      </c>
      <c r="I177">
        <v>186.23485359204801</v>
      </c>
      <c r="J177">
        <v>98.715318447756005</v>
      </c>
      <c r="K177">
        <v>33.702567538642398</v>
      </c>
      <c r="L177">
        <v>1.2789308830871124E-4</v>
      </c>
      <c r="M177">
        <v>1.6774681567599931E-5</v>
      </c>
      <c r="N177" s="1">
        <v>1.7614320724739499E-6</v>
      </c>
      <c r="O177" s="1">
        <v>5.5755691871855999E-8</v>
      </c>
      <c r="P177" s="1">
        <v>-2.7677314397930802E-7</v>
      </c>
      <c r="Q177">
        <v>74.385064813776907</v>
      </c>
      <c r="R177">
        <v>0.107703288925092</v>
      </c>
      <c r="S177">
        <v>11.8245357554331</v>
      </c>
      <c r="T177">
        <v>0.25290643812486402</v>
      </c>
      <c r="V177">
        <v>0.58406513937286297</v>
      </c>
      <c r="W177">
        <v>5.3851644462525702E-2</v>
      </c>
      <c r="X177">
        <v>4.03887333469315E-2</v>
      </c>
      <c r="AA177">
        <v>0.41871806990827398</v>
      </c>
      <c r="AB177">
        <v>3.7194818312922102</v>
      </c>
      <c r="AC177">
        <v>4.4890199056409896</v>
      </c>
      <c r="AD177">
        <v>2.6925822231242701E-2</v>
      </c>
      <c r="AE177">
        <v>4.0973385574848296</v>
      </c>
    </row>
    <row r="178" spans="1:31" x14ac:dyDescent="0.2">
      <c r="A178">
        <v>177</v>
      </c>
      <c r="B178">
        <v>776</v>
      </c>
      <c r="C178">
        <v>125</v>
      </c>
      <c r="D178">
        <v>0.47381261020826598</v>
      </c>
      <c r="E178">
        <v>71.068291838104201</v>
      </c>
      <c r="F178">
        <v>2.20527091452115</v>
      </c>
      <c r="G178">
        <v>-1158.3038953584937</v>
      </c>
      <c r="H178">
        <v>-971.56420994224698</v>
      </c>
      <c r="I178">
        <v>177.991407726489</v>
      </c>
      <c r="J178">
        <v>94.419475868968405</v>
      </c>
      <c r="K178">
        <v>32.226558365295297</v>
      </c>
      <c r="L178">
        <v>1.2769753132054406E-4</v>
      </c>
      <c r="M178">
        <v>1.6740577201173466E-5</v>
      </c>
      <c r="N178" s="1">
        <v>1.6816305550832899E-6</v>
      </c>
      <c r="O178" s="1">
        <v>5.3149436006643003E-8</v>
      </c>
      <c r="P178" s="1">
        <v>-2.6418479575595298E-7</v>
      </c>
      <c r="Q178">
        <v>74.328959873320599</v>
      </c>
      <c r="R178">
        <v>0.112567782242823</v>
      </c>
      <c r="S178">
        <v>11.8253884648573</v>
      </c>
      <c r="T178">
        <v>0.26464749221588402</v>
      </c>
      <c r="V178">
        <v>0.61015837997171096</v>
      </c>
      <c r="W178">
        <v>5.6283891121389901E-2</v>
      </c>
      <c r="X178">
        <v>4.2212918341081998E-2</v>
      </c>
      <c r="AA178">
        <v>0.41983586755339303</v>
      </c>
      <c r="AB178">
        <v>3.67282433904021</v>
      </c>
      <c r="AC178">
        <v>4.5552724949681798</v>
      </c>
      <c r="AD178">
        <v>2.81419455606732E-2</v>
      </c>
      <c r="AE178">
        <v>4.0837065508065704</v>
      </c>
    </row>
    <row r="179" spans="1:31" x14ac:dyDescent="0.2">
      <c r="A179">
        <v>178</v>
      </c>
      <c r="B179">
        <v>775</v>
      </c>
      <c r="C179">
        <v>125</v>
      </c>
      <c r="D179">
        <v>0.473243810523307</v>
      </c>
      <c r="E179">
        <v>67.4441472002989</v>
      </c>
      <c r="F179">
        <v>2.20675563124867</v>
      </c>
      <c r="G179">
        <v>-1098.4418202457007</v>
      </c>
      <c r="H179">
        <v>-921.58884793100503</v>
      </c>
      <c r="I179">
        <v>168.72868607994599</v>
      </c>
      <c r="J179">
        <v>89.577333069096497</v>
      </c>
      <c r="K179">
        <v>30.5625807612128</v>
      </c>
      <c r="L179">
        <v>1.2751417300832217E-4</v>
      </c>
      <c r="M179">
        <v>1.6707058426369812E-5</v>
      </c>
      <c r="N179" s="1">
        <v>1.5924078861682199E-6</v>
      </c>
      <c r="O179" s="1">
        <v>5.0253373616546597E-8</v>
      </c>
      <c r="P179" s="1">
        <v>-2.5010797143510098E-7</v>
      </c>
      <c r="Q179">
        <v>74.264474417710105</v>
      </c>
      <c r="R179">
        <v>0.11861666774794501</v>
      </c>
      <c r="S179">
        <v>11.825341618338999</v>
      </c>
      <c r="T179">
        <v>0.279152817452473</v>
      </c>
      <c r="V179">
        <v>0.64268967120978604</v>
      </c>
      <c r="W179">
        <v>5.9308333873943998E-2</v>
      </c>
      <c r="X179">
        <v>4.4481250405510701E-2</v>
      </c>
      <c r="AA179">
        <v>0.42354386752506901</v>
      </c>
      <c r="AB179">
        <v>3.6243960379514499</v>
      </c>
      <c r="AC179">
        <v>4.61816433384256</v>
      </c>
      <c r="AD179">
        <v>2.9654166936943799E-2</v>
      </c>
      <c r="AE179">
        <v>4.0701768170051604</v>
      </c>
    </row>
    <row r="180" spans="1:31" x14ac:dyDescent="0.2">
      <c r="A180">
        <v>179</v>
      </c>
      <c r="B180">
        <v>774</v>
      </c>
      <c r="C180">
        <v>125</v>
      </c>
      <c r="D180">
        <v>0.47267392446163797</v>
      </c>
      <c r="E180">
        <v>63.226505854545103</v>
      </c>
      <c r="F180">
        <v>2.2084517121654899</v>
      </c>
      <c r="G180">
        <v>-1028.9227638407485</v>
      </c>
      <c r="H180">
        <v>-863.46759311101664</v>
      </c>
      <c r="I180">
        <v>158.00522439930401</v>
      </c>
      <c r="J180">
        <v>83.952535069983796</v>
      </c>
      <c r="K180">
        <v>28.6293358855233</v>
      </c>
      <c r="L180">
        <v>1.2735788363166755E-4</v>
      </c>
      <c r="M180">
        <v>1.6675261742433719E-5</v>
      </c>
      <c r="N180" s="1">
        <v>1.48977118707683E-6</v>
      </c>
      <c r="O180" s="1">
        <v>4.6942415529077698E-8</v>
      </c>
      <c r="P180" s="1">
        <v>-2.3390944363319101E-7</v>
      </c>
      <c r="Q180">
        <v>74.186889186773499</v>
      </c>
      <c r="R180">
        <v>0.126529212580652</v>
      </c>
      <c r="S180">
        <v>11.8238695767633</v>
      </c>
      <c r="T180">
        <v>0.29799217822308699</v>
      </c>
      <c r="V180">
        <v>0.68536536010280102</v>
      </c>
      <c r="W180">
        <v>6.32646062902915E-2</v>
      </c>
      <c r="X180">
        <v>4.7448454717783202E-2</v>
      </c>
      <c r="AA180">
        <v>0.43081433927972901</v>
      </c>
      <c r="AB180">
        <v>3.5747559610930502</v>
      </c>
      <c r="AC180">
        <v>4.6742278569411404</v>
      </c>
      <c r="AD180">
        <v>3.1632303145111403E-2</v>
      </c>
      <c r="AE180">
        <v>4.0572109640894398</v>
      </c>
    </row>
    <row r="181" spans="1:31" x14ac:dyDescent="0.2">
      <c r="A181">
        <v>180</v>
      </c>
      <c r="B181">
        <v>773</v>
      </c>
      <c r="C181">
        <v>125</v>
      </c>
      <c r="D181">
        <v>0.472102948907902</v>
      </c>
      <c r="E181">
        <v>43.3717237258263</v>
      </c>
      <c r="F181">
        <v>2.2098867252165801</v>
      </c>
      <c r="G181">
        <v>-705.63486520585559</v>
      </c>
      <c r="H181">
        <v>-592.4119037449799</v>
      </c>
      <c r="I181">
        <v>108.228228706089</v>
      </c>
      <c r="J181">
        <v>57.584783847261797</v>
      </c>
      <c r="K181">
        <v>19.626220308452901</v>
      </c>
      <c r="L181">
        <v>1.2696555634139083E-4</v>
      </c>
      <c r="M181">
        <v>1.6628010694574719E-5</v>
      </c>
      <c r="N181" s="1">
        <v>1.01800583795364E-6</v>
      </c>
      <c r="O181" s="1">
        <v>3.2031905413820803E-8</v>
      </c>
      <c r="P181" s="1">
        <v>-1.5968666252206699E-7</v>
      </c>
      <c r="Q181">
        <v>74.114508307898902</v>
      </c>
      <c r="R181">
        <v>0.14315774978991</v>
      </c>
      <c r="S181">
        <v>11.865875498918101</v>
      </c>
      <c r="T181">
        <v>0.28083808349544798</v>
      </c>
      <c r="V181">
        <v>0.64473494377849105</v>
      </c>
      <c r="W181">
        <v>9.2225986342706401E-2</v>
      </c>
      <c r="X181">
        <v>6.5584535816659795E-2</v>
      </c>
      <c r="AA181">
        <v>0.473376635902794</v>
      </c>
      <c r="AB181">
        <v>3.4726487559137902</v>
      </c>
      <c r="AC181">
        <v>4.7639682880625998</v>
      </c>
      <c r="AD181">
        <v>4.6112993171271099E-2</v>
      </c>
      <c r="AE181">
        <v>4.0369682209092099</v>
      </c>
    </row>
    <row r="182" spans="1:31" x14ac:dyDescent="0.2">
      <c r="A182">
        <v>181</v>
      </c>
      <c r="B182">
        <v>772</v>
      </c>
      <c r="C182">
        <v>125</v>
      </c>
      <c r="D182">
        <v>0.47153088073482102</v>
      </c>
      <c r="E182">
        <v>27.254270657707998</v>
      </c>
      <c r="F182">
        <v>2.2117126725063798</v>
      </c>
      <c r="G182">
        <v>-443.27754962350087</v>
      </c>
      <c r="H182">
        <v>-372.26416197847027</v>
      </c>
      <c r="I182">
        <v>67.945641912673295</v>
      </c>
      <c r="J182">
        <v>36.200986969361402</v>
      </c>
      <c r="K182">
        <v>12.3226995063615</v>
      </c>
      <c r="L182">
        <v>1.2688690609691599E-4</v>
      </c>
      <c r="M182">
        <v>1.661010924837274E-5</v>
      </c>
      <c r="N182" s="1">
        <v>6.3940593074016999E-7</v>
      </c>
      <c r="O182" s="1">
        <v>2.0083398171794402E-8</v>
      </c>
      <c r="P182" s="1">
        <v>-1.00133044484219E-7</v>
      </c>
      <c r="Q182">
        <v>73.969489446623996</v>
      </c>
      <c r="R182">
        <v>0.16581048728401401</v>
      </c>
      <c r="S182">
        <v>11.920442296384101</v>
      </c>
      <c r="T182">
        <v>0.27043188168961502</v>
      </c>
      <c r="V182">
        <v>0.62069493703510004</v>
      </c>
      <c r="W182">
        <v>0.14676598945663299</v>
      </c>
      <c r="X182">
        <v>9.7555835601703694E-2</v>
      </c>
      <c r="AA182">
        <v>0.52150686817860303</v>
      </c>
      <c r="AB182">
        <v>3.39397296128059</v>
      </c>
      <c r="AC182">
        <v>4.7894460899791396</v>
      </c>
      <c r="AD182">
        <v>7.3382994728173404E-2</v>
      </c>
      <c r="AE182">
        <v>4.0305002117581896</v>
      </c>
    </row>
    <row r="183" spans="1:31" x14ac:dyDescent="0.2">
      <c r="A183">
        <v>182</v>
      </c>
      <c r="B183">
        <v>771</v>
      </c>
      <c r="C183">
        <v>125</v>
      </c>
      <c r="D183">
        <v>0.47095771680314102</v>
      </c>
      <c r="E183">
        <v>19.249267447901602</v>
      </c>
      <c r="F183">
        <v>2.2134571081401502</v>
      </c>
      <c r="G183">
        <v>-312.97714423634716</v>
      </c>
      <c r="H183">
        <v>-262.90702932812161</v>
      </c>
      <c r="I183">
        <v>47.952990382823799</v>
      </c>
      <c r="J183">
        <v>25.581852680104699</v>
      </c>
      <c r="K183">
        <v>8.6964718571283495</v>
      </c>
      <c r="L183">
        <v>1.269170359212691E-4</v>
      </c>
      <c r="M183">
        <v>1.6602766033022952E-5</v>
      </c>
      <c r="N183" s="1">
        <v>4.5199850163209599E-7</v>
      </c>
      <c r="O183" s="1">
        <v>1.4170084083789699E-8</v>
      </c>
      <c r="P183" s="1">
        <v>-7.06689862133663E-8</v>
      </c>
      <c r="Q183">
        <v>73.811541967669697</v>
      </c>
      <c r="R183">
        <v>0.18136454322040799</v>
      </c>
      <c r="S183">
        <v>11.9774221852824</v>
      </c>
      <c r="T183">
        <v>0.26305238834135602</v>
      </c>
      <c r="V183">
        <v>0.60376641836324896</v>
      </c>
      <c r="W183">
        <v>0.20780011555365299</v>
      </c>
      <c r="X183">
        <v>0.13039607949340201</v>
      </c>
      <c r="AA183">
        <v>0.562786652289059</v>
      </c>
      <c r="AB183">
        <v>3.3297624354619102</v>
      </c>
      <c r="AC183">
        <v>4.7987614139575898</v>
      </c>
      <c r="AD183">
        <v>0.103900057776598</v>
      </c>
      <c r="AE183">
        <v>4.02944574259062</v>
      </c>
    </row>
    <row r="184" spans="1:31" x14ac:dyDescent="0.2">
      <c r="A184">
        <v>183</v>
      </c>
      <c r="B184">
        <v>770</v>
      </c>
      <c r="C184">
        <v>125</v>
      </c>
      <c r="D184">
        <v>0.47038345396155901</v>
      </c>
      <c r="E184">
        <v>14.677969359666101</v>
      </c>
      <c r="F184">
        <v>2.2151635059732002</v>
      </c>
      <c r="G184">
        <v>-238.56822264108584</v>
      </c>
      <c r="H184">
        <v>-200.45061458983193</v>
      </c>
      <c r="I184">
        <v>36.5408695309916</v>
      </c>
      <c r="J184">
        <v>19.518104311926901</v>
      </c>
      <c r="K184">
        <v>6.6261336104928201</v>
      </c>
      <c r="L184">
        <v>1.2700309136353072E-4</v>
      </c>
      <c r="M184">
        <v>1.6600992005764714E-5</v>
      </c>
      <c r="N184" s="1">
        <v>3.4520509633572199E-7</v>
      </c>
      <c r="O184" s="1">
        <v>1.0800892668725999E-8</v>
      </c>
      <c r="P184" s="1">
        <v>-5.3884905917981302E-8</v>
      </c>
      <c r="Q184">
        <v>73.646088792469996</v>
      </c>
      <c r="R184">
        <v>0.19215120640157399</v>
      </c>
      <c r="S184">
        <v>12.0366137026546</v>
      </c>
      <c r="T184">
        <v>0.25751362794197602</v>
      </c>
      <c r="V184">
        <v>0.59115038677659404</v>
      </c>
      <c r="W184">
        <v>0.27251726052709202</v>
      </c>
      <c r="X184">
        <v>0.16258188601200599</v>
      </c>
      <c r="AA184">
        <v>0.60143381937776597</v>
      </c>
      <c r="AB184">
        <v>3.2721805768022798</v>
      </c>
      <c r="AC184">
        <v>4.80025781977404</v>
      </c>
      <c r="AD184">
        <v>0.13625863026321799</v>
      </c>
      <c r="AE184">
        <v>4.0312522909987001</v>
      </c>
    </row>
    <row r="185" spans="1:31" x14ac:dyDescent="0.2">
      <c r="A185">
        <v>184</v>
      </c>
      <c r="B185">
        <v>769</v>
      </c>
      <c r="C185">
        <v>125</v>
      </c>
      <c r="D185">
        <v>0.46980808904668597</v>
      </c>
      <c r="E185">
        <v>11.7815726560441</v>
      </c>
      <c r="F185">
        <v>2.21684782590409</v>
      </c>
      <c r="G185">
        <v>-191.42177389773647</v>
      </c>
      <c r="H185">
        <v>-160.87420286258615</v>
      </c>
      <c r="I185">
        <v>29.3120673944732</v>
      </c>
      <c r="J185">
        <v>15.676158041858701</v>
      </c>
      <c r="K185">
        <v>5.3145608455281499</v>
      </c>
      <c r="L185">
        <v>1.2712183567799721E-4</v>
      </c>
      <c r="M185">
        <v>1.6602534095030946E-5</v>
      </c>
      <c r="N185" s="1">
        <v>2.77642073472236E-7</v>
      </c>
      <c r="O185" s="1">
        <v>8.6695893526234693E-9</v>
      </c>
      <c r="P185" s="1">
        <v>-4.3269232336261197E-8</v>
      </c>
      <c r="Q185">
        <v>73.4759100286674</v>
      </c>
      <c r="R185">
        <v>0.19987829015455399</v>
      </c>
      <c r="S185">
        <v>12.097636031371</v>
      </c>
      <c r="T185">
        <v>0.25311633088769903</v>
      </c>
      <c r="V185">
        <v>0.58119925771349801</v>
      </c>
      <c r="W185">
        <v>0.33951324808445199</v>
      </c>
      <c r="X185">
        <v>0.193579071378117</v>
      </c>
      <c r="AA185">
        <v>0.638995574866982</v>
      </c>
      <c r="AB185">
        <v>3.21816052862517</v>
      </c>
      <c r="AC185">
        <v>4.7974963389466598</v>
      </c>
      <c r="AD185">
        <v>0.16975662404177799</v>
      </c>
      <c r="AE185">
        <v>4.0347586752626201</v>
      </c>
    </row>
    <row r="186" spans="1:31" x14ac:dyDescent="0.2">
      <c r="A186">
        <v>185</v>
      </c>
      <c r="B186">
        <v>768</v>
      </c>
      <c r="C186">
        <v>125</v>
      </c>
      <c r="D186">
        <v>0.46923161888296799</v>
      </c>
      <c r="E186">
        <v>9.8036787478418894</v>
      </c>
      <c r="F186">
        <v>2.2185164566815301</v>
      </c>
      <c r="G186">
        <v>-159.22586695819308</v>
      </c>
      <c r="H186">
        <v>-133.84615915795891</v>
      </c>
      <c r="I186">
        <v>24.3766102869271</v>
      </c>
      <c r="J186">
        <v>13.052559299539899</v>
      </c>
      <c r="K186">
        <v>4.4190245775802204</v>
      </c>
      <c r="L186">
        <v>1.2726197773195249E-4</v>
      </c>
      <c r="M186">
        <v>1.6606270919399192E-5</v>
      </c>
      <c r="N186" s="1">
        <v>2.31558927845244E-7</v>
      </c>
      <c r="O186" s="1">
        <v>7.2159781874388699E-9</v>
      </c>
      <c r="P186" s="1">
        <v>-3.6030051696847003E-8</v>
      </c>
      <c r="Q186">
        <v>73.302556869467395</v>
      </c>
      <c r="R186">
        <v>0.20560803094348901</v>
      </c>
      <c r="S186">
        <v>12.160149913112701</v>
      </c>
      <c r="T186">
        <v>0.24946269160952</v>
      </c>
      <c r="V186">
        <v>0.57297637813500202</v>
      </c>
      <c r="W186">
        <v>0.40801010547972499</v>
      </c>
      <c r="X186">
        <v>0.223225311731193</v>
      </c>
      <c r="AA186">
        <v>0.67609159352316905</v>
      </c>
      <c r="AB186">
        <v>3.1663743329787102</v>
      </c>
      <c r="AC186">
        <v>4.79215365836684</v>
      </c>
      <c r="AD186">
        <v>0.20400505273929501</v>
      </c>
      <c r="AE186">
        <v>4.0393860619127997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2D65-8E02-4BFC-A9F6-BCD74DDE0EE5}">
  <sheetPr codeName="Sheet5"/>
  <dimension ref="A1:P18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751</v>
      </c>
      <c r="C2">
        <v>275</v>
      </c>
      <c r="D2">
        <v>0.29815017331445698</v>
      </c>
      <c r="E2">
        <v>3.6947619511381902</v>
      </c>
      <c r="F2">
        <v>0.55793424403356595</v>
      </c>
      <c r="G2">
        <v>-79.871264892436884</v>
      </c>
      <c r="H2">
        <v>-47.119837939858833</v>
      </c>
      <c r="I2">
        <v>31.981195452083</v>
      </c>
      <c r="J2">
        <v>14.3008967040483</v>
      </c>
      <c r="K2">
        <v>6.62221756532999</v>
      </c>
      <c r="L2">
        <v>1.2032692437403828E-3</v>
      </c>
      <c r="M2">
        <v>1.9212262755833814E-4</v>
      </c>
      <c r="N2" s="1">
        <v>5.43819215138237E-6</v>
      </c>
      <c r="O2" s="1">
        <v>1.0322343494898599E-6</v>
      </c>
      <c r="P2" s="1">
        <v>-3.9003608251884704E-6</v>
      </c>
    </row>
    <row r="3" spans="1:16" x14ac:dyDescent="0.2">
      <c r="A3">
        <v>2</v>
      </c>
      <c r="B3">
        <v>750</v>
      </c>
      <c r="C3">
        <v>275</v>
      </c>
      <c r="D3">
        <v>0.29739578751893703</v>
      </c>
      <c r="E3">
        <v>3.8636206819618102</v>
      </c>
      <c r="F3">
        <v>0.57734784122975402</v>
      </c>
      <c r="G3">
        <v>-82.633777128183326</v>
      </c>
      <c r="H3">
        <v>-49.534040672551562</v>
      </c>
      <c r="I3">
        <v>32.352886173543503</v>
      </c>
      <c r="J3">
        <v>14.5245314075121</v>
      </c>
      <c r="K3">
        <v>6.6920154645980503</v>
      </c>
      <c r="L3">
        <v>1.1925277508316931E-3</v>
      </c>
      <c r="M3">
        <v>1.8996580800609029E-4</v>
      </c>
      <c r="N3" s="1">
        <v>5.4905344708422304E-6</v>
      </c>
      <c r="O3" s="1">
        <v>1.03083966418024E-6</v>
      </c>
      <c r="P3" s="1">
        <v>-3.90683496147322E-6</v>
      </c>
    </row>
    <row r="4" spans="1:16" x14ac:dyDescent="0.2">
      <c r="A4">
        <v>3</v>
      </c>
      <c r="B4">
        <v>749</v>
      </c>
      <c r="C4">
        <v>275</v>
      </c>
      <c r="D4">
        <v>0.29663992564692099</v>
      </c>
      <c r="E4">
        <v>4.0878102726860401</v>
      </c>
      <c r="F4">
        <v>0.60229029649478905</v>
      </c>
      <c r="G4">
        <v>-86.310521335751602</v>
      </c>
      <c r="H4">
        <v>-52.735307525419849</v>
      </c>
      <c r="I4">
        <v>32.849717725357898</v>
      </c>
      <c r="J4">
        <v>14.819151621146901</v>
      </c>
      <c r="K4">
        <v>6.7871096321430002</v>
      </c>
      <c r="L4">
        <v>1.1784063013464969E-3</v>
      </c>
      <c r="M4">
        <v>1.8728416727825851E-4</v>
      </c>
      <c r="N4" s="1">
        <v>5.5469181011056798E-6</v>
      </c>
      <c r="O4" s="1">
        <v>1.03013859392411E-6</v>
      </c>
      <c r="P4" s="1">
        <v>-3.9159568205014799E-6</v>
      </c>
    </row>
    <row r="5" spans="1:16" x14ac:dyDescent="0.2">
      <c r="A5">
        <v>4</v>
      </c>
      <c r="B5">
        <v>748</v>
      </c>
      <c r="C5">
        <v>275</v>
      </c>
      <c r="D5">
        <v>0.29588258336189799</v>
      </c>
      <c r="E5">
        <v>4.3109370362902997</v>
      </c>
      <c r="F5">
        <v>0.62644088056861202</v>
      </c>
      <c r="G5">
        <v>-89.968522690382159</v>
      </c>
      <c r="H5">
        <v>-55.922092913203009</v>
      </c>
      <c r="I5">
        <v>33.343349188635301</v>
      </c>
      <c r="J5">
        <v>15.1122846740122</v>
      </c>
      <c r="K5">
        <v>6.8816342770882404</v>
      </c>
      <c r="L5">
        <v>1.164735992101802E-3</v>
      </c>
      <c r="M5">
        <v>1.8468492890172616E-4</v>
      </c>
      <c r="N5" s="1">
        <v>5.6034492175985801E-6</v>
      </c>
      <c r="O5" s="1">
        <v>1.0293930925290599E-6</v>
      </c>
      <c r="P5" s="1">
        <v>-3.9249362626913101E-6</v>
      </c>
    </row>
    <row r="6" spans="1:16" x14ac:dyDescent="0.2">
      <c r="A6">
        <v>5</v>
      </c>
      <c r="B6">
        <v>747</v>
      </c>
      <c r="C6">
        <v>275</v>
      </c>
      <c r="D6">
        <v>0.29512375631034898</v>
      </c>
      <c r="E6">
        <v>5.6324450507605404</v>
      </c>
      <c r="F6">
        <v>0.74842132541849404</v>
      </c>
      <c r="G6">
        <v>-111.91093029871661</v>
      </c>
      <c r="H6">
        <v>-74.509838339516037</v>
      </c>
      <c r="I6">
        <v>36.664489820323901</v>
      </c>
      <c r="J6">
        <v>16.963805162207301</v>
      </c>
      <c r="K6">
        <v>7.5257677186189804</v>
      </c>
      <c r="L6">
        <v>1.0934522108812705E-3</v>
      </c>
      <c r="M6">
        <v>1.7288464929589116E-4</v>
      </c>
      <c r="N6" s="1">
        <v>5.7781058208109004E-6</v>
      </c>
      <c r="O6" s="1">
        <v>1.05269127191206E-6</v>
      </c>
      <c r="P6" s="1">
        <v>-4.0258363435165299E-6</v>
      </c>
    </row>
    <row r="7" spans="1:16" x14ac:dyDescent="0.2">
      <c r="A7">
        <v>6</v>
      </c>
      <c r="B7">
        <v>746</v>
      </c>
      <c r="C7">
        <v>275</v>
      </c>
      <c r="D7">
        <v>0.29436344012167098</v>
      </c>
      <c r="E7">
        <v>8.0285569341913803</v>
      </c>
      <c r="F7">
        <v>0.92206005091465804</v>
      </c>
      <c r="G7">
        <v>-151.72143465357721</v>
      </c>
      <c r="H7">
        <v>-108.15699527068627</v>
      </c>
      <c r="I7">
        <v>42.748105397103799</v>
      </c>
      <c r="J7">
        <v>20.341676385108201</v>
      </c>
      <c r="K7">
        <v>8.7071952919197404</v>
      </c>
      <c r="L7">
        <v>9.9164864842088592E-4</v>
      </c>
      <c r="M7">
        <v>1.5626147097105465E-4</v>
      </c>
      <c r="N7" s="1">
        <v>6.0693277290070903E-6</v>
      </c>
      <c r="O7" s="1">
        <v>1.0992058399729301E-6</v>
      </c>
      <c r="P7" s="1">
        <v>-4.2163139528838098E-6</v>
      </c>
    </row>
    <row r="8" spans="1:16" x14ac:dyDescent="0.2">
      <c r="A8">
        <v>7</v>
      </c>
      <c r="B8">
        <v>745</v>
      </c>
      <c r="C8">
        <v>275</v>
      </c>
      <c r="D8">
        <v>0.29360163040809401</v>
      </c>
      <c r="E8">
        <v>10.5014174810248</v>
      </c>
      <c r="F8">
        <v>1.0579519880385699</v>
      </c>
      <c r="G8">
        <v>-192.77745188767386</v>
      </c>
      <c r="H8">
        <v>-142.8680076923726</v>
      </c>
      <c r="I8">
        <v>49.022093574207503</v>
      </c>
      <c r="J8">
        <v>23.830092363889602</v>
      </c>
      <c r="K8">
        <v>9.9261758565190092</v>
      </c>
      <c r="L8">
        <v>9.1196463199284654E-4</v>
      </c>
      <c r="M8">
        <v>1.4322659480309468E-4</v>
      </c>
      <c r="N8" s="1">
        <v>6.3700774794600197E-6</v>
      </c>
      <c r="O8" s="1">
        <v>1.14690523415753E-6</v>
      </c>
      <c r="P8" s="1">
        <v>-4.4124632502872001E-6</v>
      </c>
    </row>
    <row r="9" spans="1:16" x14ac:dyDescent="0.2">
      <c r="A9">
        <v>8</v>
      </c>
      <c r="B9">
        <v>744</v>
      </c>
      <c r="C9">
        <v>275</v>
      </c>
      <c r="D9">
        <v>0.29283832276459099</v>
      </c>
      <c r="E9">
        <v>13.070539576423601</v>
      </c>
      <c r="F9">
        <v>1.16784087107763</v>
      </c>
      <c r="G9">
        <v>-235.39724384265855</v>
      </c>
      <c r="H9">
        <v>-178.9133821794629</v>
      </c>
      <c r="I9">
        <v>55.533966598117999</v>
      </c>
      <c r="J9">
        <v>27.455744862731301</v>
      </c>
      <c r="K9">
        <v>11.1920552706489</v>
      </c>
      <c r="L9">
        <v>8.4750566777922474E-4</v>
      </c>
      <c r="M9">
        <v>1.3266321194737999E-4</v>
      </c>
      <c r="N9" s="1">
        <v>6.6820392944860302E-6</v>
      </c>
      <c r="O9" s="1">
        <v>1.19610435407677E-6</v>
      </c>
      <c r="P9" s="1">
        <v>-4.6155454897019399E-6</v>
      </c>
    </row>
    <row r="10" spans="1:16" x14ac:dyDescent="0.2">
      <c r="A10">
        <v>9</v>
      </c>
      <c r="B10">
        <v>743</v>
      </c>
      <c r="C10">
        <v>275</v>
      </c>
      <c r="D10">
        <v>0.29207351276878402</v>
      </c>
      <c r="E10">
        <v>15.764755095010001</v>
      </c>
      <c r="F10">
        <v>1.2592999791239601</v>
      </c>
      <c r="G10">
        <v>-280.05125931613514</v>
      </c>
      <c r="H10">
        <v>-216.69280528136014</v>
      </c>
      <c r="I10">
        <v>62.354065402047603</v>
      </c>
      <c r="J10">
        <v>31.258057031759702</v>
      </c>
      <c r="K10">
        <v>12.518665414397001</v>
      </c>
      <c r="L10">
        <v>7.9382083013486893E-4</v>
      </c>
      <c r="M10">
        <v>1.238509458012402E-4</v>
      </c>
      <c r="N10" s="1">
        <v>7.0077489468858797E-6</v>
      </c>
      <c r="O10" s="1">
        <v>1.2472743704898299E-6</v>
      </c>
      <c r="P10" s="1">
        <v>-4.8274413683056797E-6</v>
      </c>
    </row>
    <row r="11" spans="1:16" x14ac:dyDescent="0.2">
      <c r="A11">
        <v>10</v>
      </c>
      <c r="B11">
        <v>742</v>
      </c>
      <c r="C11">
        <v>275</v>
      </c>
      <c r="D11">
        <v>0.291307195980888</v>
      </c>
      <c r="E11">
        <v>18.629955330693701</v>
      </c>
      <c r="F11">
        <v>1.33758418252012</v>
      </c>
      <c r="G11">
        <v>-327.4886811694534</v>
      </c>
      <c r="H11">
        <v>-256.84248555189436</v>
      </c>
      <c r="I11">
        <v>69.594590791570297</v>
      </c>
      <c r="J11">
        <v>35.2997826075907</v>
      </c>
      <c r="K11">
        <v>13.928061929973801</v>
      </c>
      <c r="L11">
        <v>7.4781419702990223E-4</v>
      </c>
      <c r="M11">
        <v>1.1628967602361897E-4</v>
      </c>
      <c r="N11" s="1">
        <v>7.3513132158494101E-6</v>
      </c>
      <c r="O11" s="1">
        <v>1.3011753250239999E-6</v>
      </c>
      <c r="P11" s="1">
        <v>-5.0511747536293203E-6</v>
      </c>
    </row>
    <row r="12" spans="1:16" x14ac:dyDescent="0.2">
      <c r="A12">
        <v>11</v>
      </c>
      <c r="B12">
        <v>741</v>
      </c>
      <c r="C12">
        <v>275</v>
      </c>
      <c r="D12">
        <v>0.29053936794360102</v>
      </c>
      <c r="E12">
        <v>21.746465628752102</v>
      </c>
      <c r="F12">
        <v>1.4067270011272099</v>
      </c>
      <c r="G12">
        <v>-379.02143052438686</v>
      </c>
      <c r="H12">
        <v>-300.47607552775975</v>
      </c>
      <c r="I12">
        <v>77.452291566902403</v>
      </c>
      <c r="J12">
        <v>39.690781411979003</v>
      </c>
      <c r="K12">
        <v>15.4589096614529</v>
      </c>
      <c r="L12">
        <v>7.0709655173390069E-4</v>
      </c>
      <c r="M12">
        <v>1.0959504459566655E-4</v>
      </c>
      <c r="N12" s="1">
        <v>7.7200208428263397E-6</v>
      </c>
      <c r="O12" s="1">
        <v>1.35915283646961E-6</v>
      </c>
      <c r="P12" s="1">
        <v>-5.2920844730492503E-6</v>
      </c>
    </row>
    <row r="13" spans="1:16" x14ac:dyDescent="0.2">
      <c r="A13">
        <v>12</v>
      </c>
      <c r="B13">
        <v>740</v>
      </c>
      <c r="C13">
        <v>275</v>
      </c>
      <c r="D13">
        <v>0.28977002418201098</v>
      </c>
      <c r="E13">
        <v>25.275436404782099</v>
      </c>
      <c r="F13">
        <v>1.47045474303325</v>
      </c>
      <c r="G13">
        <v>-437.28231178555473</v>
      </c>
      <c r="H13">
        <v>-349.8278648125908</v>
      </c>
      <c r="I13">
        <v>86.322343399865105</v>
      </c>
      <c r="J13">
        <v>44.651442997396799</v>
      </c>
      <c r="K13">
        <v>17.1888570692382</v>
      </c>
      <c r="L13">
        <v>6.6943669058040496E-4</v>
      </c>
      <c r="M13">
        <v>1.0341104528088642E-4</v>
      </c>
      <c r="N13" s="1">
        <v>8.1286286495977008E-6</v>
      </c>
      <c r="O13" s="1">
        <v>1.42392745847193E-6</v>
      </c>
      <c r="P13" s="1">
        <v>-5.5609402385217097E-6</v>
      </c>
    </row>
    <row r="14" spans="1:16" x14ac:dyDescent="0.2">
      <c r="A14">
        <v>13</v>
      </c>
      <c r="B14">
        <v>739</v>
      </c>
      <c r="C14">
        <v>275</v>
      </c>
      <c r="D14">
        <v>0.28899916020352701</v>
      </c>
      <c r="E14">
        <v>41.494673991950698</v>
      </c>
      <c r="F14">
        <v>1.6585755309847301</v>
      </c>
      <c r="G14">
        <v>-702.9154499854568</v>
      </c>
      <c r="H14">
        <v>-575.20571255690072</v>
      </c>
      <c r="I14">
        <v>126.18029062743901</v>
      </c>
      <c r="J14">
        <v>66.8879265940176</v>
      </c>
      <c r="K14">
        <v>25.018260077257001</v>
      </c>
      <c r="L14">
        <v>5.55429142019539E-4</v>
      </c>
      <c r="M14">
        <v>8.5312911810370588E-5</v>
      </c>
      <c r="N14" s="1">
        <v>9.6931135307610305E-6</v>
      </c>
      <c r="O14" s="1">
        <v>1.7030894641542E-6</v>
      </c>
      <c r="P14" s="1">
        <v>-6.6707846951141197E-6</v>
      </c>
    </row>
    <row r="15" spans="1:16" x14ac:dyDescent="0.2">
      <c r="A15">
        <v>14</v>
      </c>
      <c r="B15">
        <v>738</v>
      </c>
      <c r="C15">
        <v>275</v>
      </c>
      <c r="D15">
        <v>0.28822677149780002</v>
      </c>
      <c r="E15">
        <v>79.542824647924107</v>
      </c>
      <c r="F15">
        <v>1.8367441523294601</v>
      </c>
      <c r="G15">
        <v>-1322.3345827699272</v>
      </c>
      <c r="H15">
        <v>-1100.3044014699396</v>
      </c>
      <c r="I15">
        <v>219.586848489148</v>
      </c>
      <c r="J15">
        <v>118.986555139912</v>
      </c>
      <c r="K15">
        <v>43.306425964140601</v>
      </c>
      <c r="L15">
        <v>4.4942608963087304E-4</v>
      </c>
      <c r="M15">
        <v>6.85561903487785E-5</v>
      </c>
      <c r="N15" s="1">
        <v>1.3300593700471301E-5</v>
      </c>
      <c r="O15" s="1">
        <v>2.3565818064772E-6</v>
      </c>
      <c r="P15" s="1">
        <v>-9.2573706266493995E-6</v>
      </c>
    </row>
    <row r="16" spans="1:16" x14ac:dyDescent="0.2">
      <c r="A16">
        <v>15</v>
      </c>
      <c r="B16">
        <v>737</v>
      </c>
      <c r="C16">
        <v>275</v>
      </c>
      <c r="D16">
        <v>0.28745285353660599</v>
      </c>
      <c r="E16">
        <v>91.101203297444997</v>
      </c>
      <c r="F16">
        <v>1.8666385304480899</v>
      </c>
      <c r="G16">
        <v>-1510.3375527079374</v>
      </c>
      <c r="H16">
        <v>-1260.0420801163925</v>
      </c>
      <c r="I16">
        <v>247.78590083231799</v>
      </c>
      <c r="J16">
        <v>134.92519921288499</v>
      </c>
      <c r="K16">
        <v>48.804951687981898</v>
      </c>
      <c r="L16">
        <v>4.3027684993312177E-4</v>
      </c>
      <c r="M16">
        <v>6.5438774426711146E-5</v>
      </c>
      <c r="N16" s="1">
        <v>1.43839636475983E-5</v>
      </c>
      <c r="O16" s="1">
        <v>2.53086493129708E-6</v>
      </c>
      <c r="P16" s="1">
        <v>-9.9719859105204699E-6</v>
      </c>
    </row>
    <row r="17" spans="1:16" x14ac:dyDescent="0.2">
      <c r="A17">
        <v>16</v>
      </c>
      <c r="B17">
        <v>736</v>
      </c>
      <c r="C17">
        <v>275</v>
      </c>
      <c r="D17">
        <v>0.28667740177377199</v>
      </c>
      <c r="E17">
        <v>97.284379540790894</v>
      </c>
      <c r="F17">
        <v>1.8810519378825601</v>
      </c>
      <c r="G17">
        <v>-1610.775186046046</v>
      </c>
      <c r="H17">
        <v>-1345.6191234488379</v>
      </c>
      <c r="I17">
        <v>262.75748567684798</v>
      </c>
      <c r="J17">
        <v>143.495470764125</v>
      </c>
      <c r="K17">
        <v>51.718071990239999</v>
      </c>
      <c r="L17">
        <v>4.2085130948450684E-4</v>
      </c>
      <c r="M17">
        <v>6.3838316239562106E-5</v>
      </c>
      <c r="N17" s="1">
        <v>1.4977318348831501E-5</v>
      </c>
      <c r="O17" s="1">
        <v>2.6133429942879098E-6</v>
      </c>
      <c r="P17" s="1">
        <v>-1.0328126652371399E-5</v>
      </c>
    </row>
    <row r="18" spans="1:16" x14ac:dyDescent="0.2">
      <c r="A18">
        <v>17</v>
      </c>
      <c r="B18">
        <v>735</v>
      </c>
      <c r="C18">
        <v>275</v>
      </c>
      <c r="D18">
        <v>0.285900411645091</v>
      </c>
      <c r="E18">
        <v>100.409233628603</v>
      </c>
      <c r="F18">
        <v>1.88866543456226</v>
      </c>
      <c r="G18">
        <v>-1661.3885343847498</v>
      </c>
      <c r="H18">
        <v>-1388.9775283812489</v>
      </c>
      <c r="I18">
        <v>270.21450027553402</v>
      </c>
      <c r="J18">
        <v>147.87043985263199</v>
      </c>
      <c r="K18">
        <v>53.164118848754804</v>
      </c>
      <c r="L18">
        <v>4.1562176976726986E-4</v>
      </c>
      <c r="M18">
        <v>6.2892963968614804E-5</v>
      </c>
      <c r="N18" s="1">
        <v>1.5291529362740301E-5</v>
      </c>
      <c r="O18" s="1">
        <v>2.6442153954558198E-6</v>
      </c>
      <c r="P18" s="1">
        <v>-1.0481830873035301E-5</v>
      </c>
    </row>
    <row r="19" spans="1:16" x14ac:dyDescent="0.2">
      <c r="A19">
        <v>18</v>
      </c>
      <c r="B19">
        <v>755</v>
      </c>
      <c r="C19">
        <v>250</v>
      </c>
      <c r="D19">
        <v>0.32790011185138401</v>
      </c>
      <c r="E19">
        <v>4.14072160129263</v>
      </c>
      <c r="F19">
        <v>0.52685606622883996</v>
      </c>
      <c r="G19">
        <v>-89.84653339893157</v>
      </c>
      <c r="H19">
        <v>-52.689028617254998</v>
      </c>
      <c r="I19">
        <v>36.142463995376403</v>
      </c>
      <c r="J19">
        <v>16.158256390410699</v>
      </c>
      <c r="K19">
        <v>7.8593032646113699</v>
      </c>
      <c r="L19">
        <v>1.2968387578846607E-3</v>
      </c>
      <c r="M19">
        <v>2.2813534073467382E-4</v>
      </c>
      <c r="N19" s="1">
        <v>6.3630785637871998E-6</v>
      </c>
      <c r="O19" s="1">
        <v>1.66087181577369E-6</v>
      </c>
      <c r="P19" s="1">
        <v>-5.5910302566393701E-6</v>
      </c>
    </row>
    <row r="20" spans="1:16" x14ac:dyDescent="0.2">
      <c r="A20">
        <v>19</v>
      </c>
      <c r="B20">
        <v>754</v>
      </c>
      <c r="C20">
        <v>250</v>
      </c>
      <c r="D20">
        <v>0.32717762741566497</v>
      </c>
      <c r="E20">
        <v>4.2542461450547098</v>
      </c>
      <c r="F20">
        <v>0.53792449706658996</v>
      </c>
      <c r="G20">
        <v>-91.707794750481511</v>
      </c>
      <c r="H20">
        <v>-54.287696460746304</v>
      </c>
      <c r="I20">
        <v>36.4333093867454</v>
      </c>
      <c r="J20">
        <v>16.332763539214501</v>
      </c>
      <c r="K20">
        <v>7.9086306131324404</v>
      </c>
      <c r="L20">
        <v>1.291294087492133E-3</v>
      </c>
      <c r="M20">
        <v>2.2657476218630336E-4</v>
      </c>
      <c r="N20" s="1">
        <v>6.4373501555579898E-6</v>
      </c>
      <c r="O20" s="1">
        <v>1.65928331675488E-6</v>
      </c>
      <c r="P20" s="1">
        <v>-5.6035831742673001E-6</v>
      </c>
    </row>
    <row r="21" spans="1:16" x14ac:dyDescent="0.2">
      <c r="A21">
        <v>20</v>
      </c>
      <c r="B21">
        <v>753</v>
      </c>
      <c r="C21">
        <v>250</v>
      </c>
      <c r="D21">
        <v>0.32645373483409301</v>
      </c>
      <c r="E21">
        <v>4.8070204634989002</v>
      </c>
      <c r="F21">
        <v>0.58720647167516804</v>
      </c>
      <c r="G21">
        <v>-100.90094804130696</v>
      </c>
      <c r="H21">
        <v>-62.011058139145582</v>
      </c>
      <c r="I21">
        <v>37.9011774309621</v>
      </c>
      <c r="J21">
        <v>17.148764444296202</v>
      </c>
      <c r="K21">
        <v>8.1862525284940304</v>
      </c>
      <c r="L21">
        <v>1.2620987911934995E-3</v>
      </c>
      <c r="M21">
        <v>2.2080996741480517E-4</v>
      </c>
      <c r="N21" s="1">
        <v>6.5652503512601099E-6</v>
      </c>
      <c r="O21" s="1">
        <v>1.67297647559911E-6</v>
      </c>
      <c r="P21" s="1">
        <v>-5.6679180386278301E-6</v>
      </c>
    </row>
    <row r="22" spans="1:16" x14ac:dyDescent="0.2">
      <c r="A22">
        <v>21</v>
      </c>
      <c r="B22">
        <v>752</v>
      </c>
      <c r="C22">
        <v>250</v>
      </c>
      <c r="D22">
        <v>0.32572842998585799</v>
      </c>
      <c r="E22">
        <v>6.0070194617349699</v>
      </c>
      <c r="F22">
        <v>0.68406951827301699</v>
      </c>
      <c r="G22">
        <v>-120.84499706546751</v>
      </c>
      <c r="H22">
        <v>-78.846471418893969</v>
      </c>
      <c r="I22">
        <v>40.9705716260234</v>
      </c>
      <c r="J22">
        <v>18.853997487309201</v>
      </c>
      <c r="K22">
        <v>8.7812997089829707</v>
      </c>
      <c r="L22">
        <v>1.2026445589943756E-3</v>
      </c>
      <c r="M22">
        <v>2.0976800704806774E-4</v>
      </c>
      <c r="N22" s="1">
        <v>6.7569125214840603E-6</v>
      </c>
      <c r="O22" s="1">
        <v>1.7036413548585199E-6</v>
      </c>
      <c r="P22" s="1">
        <v>-5.7902823534824701E-6</v>
      </c>
    </row>
    <row r="23" spans="1:16" x14ac:dyDescent="0.2">
      <c r="A23">
        <v>22</v>
      </c>
      <c r="B23">
        <v>751</v>
      </c>
      <c r="C23">
        <v>250</v>
      </c>
      <c r="D23">
        <v>0.32500170873407402</v>
      </c>
      <c r="E23">
        <v>8.4052929096602398</v>
      </c>
      <c r="F23">
        <v>0.84355598590157499</v>
      </c>
      <c r="G23">
        <v>-160.6821474937897</v>
      </c>
      <c r="H23">
        <v>-112.54404292363769</v>
      </c>
      <c r="I23">
        <v>47.005476414891199</v>
      </c>
      <c r="J23">
        <v>22.206581391910898</v>
      </c>
      <c r="K23">
        <v>9.9641198096375803</v>
      </c>
      <c r="L23">
        <v>1.1032150904779639E-3</v>
      </c>
      <c r="M23">
        <v>1.9179259456941951E-4</v>
      </c>
      <c r="N23" s="1">
        <v>7.0674788732564202E-6</v>
      </c>
      <c r="O23" s="1">
        <v>1.76564664028317E-6</v>
      </c>
      <c r="P23" s="1">
        <v>-6.0202062225602897E-6</v>
      </c>
    </row>
    <row r="24" spans="1:16" x14ac:dyDescent="0.2">
      <c r="A24">
        <v>23</v>
      </c>
      <c r="B24">
        <v>750</v>
      </c>
      <c r="C24">
        <v>250</v>
      </c>
      <c r="D24">
        <v>0.324273566925672</v>
      </c>
      <c r="E24">
        <v>10.868240218897601</v>
      </c>
      <c r="F24">
        <v>0.97225446983451402</v>
      </c>
      <c r="G24">
        <v>-201.56462305197738</v>
      </c>
      <c r="H24">
        <v>-147.13767767595755</v>
      </c>
      <c r="I24">
        <v>53.1980650201549</v>
      </c>
      <c r="J24">
        <v>25.651274270613499</v>
      </c>
      <c r="K24">
        <v>11.1783905922772</v>
      </c>
      <c r="L24">
        <v>1.022975102414358E-3</v>
      </c>
      <c r="M24">
        <v>1.7726179050127149E-4</v>
      </c>
      <c r="N24" s="1">
        <v>7.3876942071359804E-6</v>
      </c>
      <c r="O24" s="1">
        <v>1.82889808297767E-6</v>
      </c>
      <c r="P24" s="1">
        <v>-6.2558176331999296E-6</v>
      </c>
    </row>
    <row r="25" spans="1:16" x14ac:dyDescent="0.2">
      <c r="A25">
        <v>24</v>
      </c>
      <c r="B25">
        <v>749</v>
      </c>
      <c r="C25">
        <v>250</v>
      </c>
      <c r="D25">
        <v>0.32354400039133302</v>
      </c>
      <c r="E25">
        <v>13.411085637321101</v>
      </c>
      <c r="F25">
        <v>1.0788091513329201</v>
      </c>
      <c r="G25">
        <v>-243.74037034424987</v>
      </c>
      <c r="H25">
        <v>-182.83839775176554</v>
      </c>
      <c r="I25">
        <v>59.584925099916099</v>
      </c>
      <c r="J25">
        <v>29.208626124786999</v>
      </c>
      <c r="K25">
        <v>12.4313791932067</v>
      </c>
      <c r="L25">
        <v>9.5652560889679763E-4</v>
      </c>
      <c r="M25">
        <v>1.6520824688910676E-4</v>
      </c>
      <c r="N25" s="1">
        <v>7.71890520079944E-6</v>
      </c>
      <c r="O25" s="1">
        <v>1.8937167902858801E-6</v>
      </c>
      <c r="P25" s="1">
        <v>-6.4982669753955096E-6</v>
      </c>
    </row>
    <row r="26" spans="1:16" x14ac:dyDescent="0.2">
      <c r="A26">
        <v>25</v>
      </c>
      <c r="B26">
        <v>748</v>
      </c>
      <c r="C26">
        <v>250</v>
      </c>
      <c r="D26">
        <v>0.32281300494540499</v>
      </c>
      <c r="E26">
        <v>16.055737057838499</v>
      </c>
      <c r="F26">
        <v>1.1690867840118599</v>
      </c>
      <c r="G26">
        <v>-287.56643356127051</v>
      </c>
      <c r="H26">
        <v>-219.94989878948402</v>
      </c>
      <c r="I26">
        <v>66.218871703887402</v>
      </c>
      <c r="J26">
        <v>32.908229313683798</v>
      </c>
      <c r="K26">
        <v>13.733571602564201</v>
      </c>
      <c r="L26">
        <v>9.001984785420228E-4</v>
      </c>
      <c r="M26">
        <v>1.5497534905699832E-4</v>
      </c>
      <c r="N26" s="1">
        <v>8.0630832205224606E-6</v>
      </c>
      <c r="O26" s="1">
        <v>1.9605739434144502E-6</v>
      </c>
      <c r="P26" s="1">
        <v>-6.7492355468532498E-6</v>
      </c>
    </row>
    <row r="27" spans="1:16" x14ac:dyDescent="0.2">
      <c r="A27">
        <v>26</v>
      </c>
      <c r="B27">
        <v>747</v>
      </c>
      <c r="C27">
        <v>250</v>
      </c>
      <c r="D27">
        <v>0.32208057638582899</v>
      </c>
      <c r="E27">
        <v>18.835636172787598</v>
      </c>
      <c r="F27">
        <v>1.24730908128368</v>
      </c>
      <c r="G27">
        <v>-333.58822725664214</v>
      </c>
      <c r="H27">
        <v>-258.93583936226207</v>
      </c>
      <c r="I27">
        <v>73.180773680300007</v>
      </c>
      <c r="J27">
        <v>36.795301613791402</v>
      </c>
      <c r="K27">
        <v>15.1010174265729</v>
      </c>
      <c r="L27">
        <v>8.5134833926013933E-4</v>
      </c>
      <c r="M27">
        <v>1.460904742313294E-4</v>
      </c>
      <c r="N27" s="1">
        <v>8.4232864149506407E-6</v>
      </c>
      <c r="O27" s="1">
        <v>2.03020242044079E-6</v>
      </c>
      <c r="P27" s="1">
        <v>-7.0113293316719698E-6</v>
      </c>
    </row>
    <row r="28" spans="1:16" x14ac:dyDescent="0.2">
      <c r="A28">
        <v>27</v>
      </c>
      <c r="B28">
        <v>746</v>
      </c>
      <c r="C28">
        <v>250</v>
      </c>
      <c r="D28">
        <v>0.32134671049404001</v>
      </c>
      <c r="E28">
        <v>21.8055471016106</v>
      </c>
      <c r="F28">
        <v>1.31675541789002</v>
      </c>
      <c r="G28">
        <v>-382.69948650179703</v>
      </c>
      <c r="H28">
        <v>-300.55562813421182</v>
      </c>
      <c r="I28">
        <v>80.603400611950207</v>
      </c>
      <c r="J28">
        <v>40.943962313236398</v>
      </c>
      <c r="K28">
        <v>16.5600587666857</v>
      </c>
      <c r="L28">
        <v>8.0791115631424434E-4</v>
      </c>
      <c r="M28">
        <v>1.3818629346159963E-4</v>
      </c>
      <c r="N28" s="1">
        <v>8.8045899324527102E-6</v>
      </c>
      <c r="O28" s="1">
        <v>2.10382108622165E-6</v>
      </c>
      <c r="P28" s="1">
        <v>-7.2888705093894897E-6</v>
      </c>
    </row>
    <row r="29" spans="1:16" x14ac:dyDescent="0.2">
      <c r="A29">
        <v>28</v>
      </c>
      <c r="B29">
        <v>745</v>
      </c>
      <c r="C29">
        <v>250</v>
      </c>
      <c r="D29">
        <v>0.32061140303491598</v>
      </c>
      <c r="E29">
        <v>25.063888054477001</v>
      </c>
      <c r="F29">
        <v>1.3803136437807999</v>
      </c>
      <c r="G29">
        <v>-436.50709034178288</v>
      </c>
      <c r="H29">
        <v>-346.17416686935195</v>
      </c>
      <c r="I29">
        <v>88.725777004171704</v>
      </c>
      <c r="J29">
        <v>45.487493682965699</v>
      </c>
      <c r="K29">
        <v>18.158110779681</v>
      </c>
      <c r="L29">
        <v>7.6805398133935753E-4</v>
      </c>
      <c r="M29">
        <v>1.3093897724098875E-4</v>
      </c>
      <c r="N29" s="1">
        <v>9.2162002359482407E-6</v>
      </c>
      <c r="O29" s="1">
        <v>2.1836443718305999E-6</v>
      </c>
      <c r="P29" s="1">
        <v>-7.5896953545219301E-6</v>
      </c>
    </row>
    <row r="30" spans="1:16" x14ac:dyDescent="0.2">
      <c r="A30">
        <v>29</v>
      </c>
      <c r="B30">
        <v>744</v>
      </c>
      <c r="C30">
        <v>250</v>
      </c>
      <c r="D30">
        <v>0.31987464975667701</v>
      </c>
      <c r="E30">
        <v>28.813504249570599</v>
      </c>
      <c r="F30">
        <v>1.4411813140340901</v>
      </c>
      <c r="G30">
        <v>-498.32364196327364</v>
      </c>
      <c r="H30">
        <v>-398.60466017209814</v>
      </c>
      <c r="I30">
        <v>98.040951813925005</v>
      </c>
      <c r="J30">
        <v>50.700611404890203</v>
      </c>
      <c r="K30">
        <v>19.992976573445201</v>
      </c>
      <c r="L30">
        <v>7.2972015539417095E-4</v>
      </c>
      <c r="M30">
        <v>1.2398929232565806E-4</v>
      </c>
      <c r="N30" s="1">
        <v>9.6771830366780204E-6</v>
      </c>
      <c r="O30" s="1">
        <v>2.2742631390039999E-6</v>
      </c>
      <c r="P30" s="1">
        <v>-7.9300236507526908E-6</v>
      </c>
    </row>
    <row r="31" spans="1:16" x14ac:dyDescent="0.2">
      <c r="A31">
        <v>30</v>
      </c>
      <c r="B31">
        <v>743</v>
      </c>
      <c r="C31">
        <v>250</v>
      </c>
      <c r="D31">
        <v>0.31913644639078897</v>
      </c>
      <c r="E31">
        <v>43.841885151171297</v>
      </c>
      <c r="F31">
        <v>1.60854351379186</v>
      </c>
      <c r="G31">
        <v>-744.38817293955879</v>
      </c>
      <c r="H31">
        <v>-607.54361182985451</v>
      </c>
      <c r="I31">
        <v>134.67348436188101</v>
      </c>
      <c r="J31">
        <v>71.140805374157694</v>
      </c>
      <c r="K31">
        <v>27.255641376975699</v>
      </c>
      <c r="L31">
        <v>6.2168317501402177E-4</v>
      </c>
      <c r="M31">
        <v>1.0509260728985948E-4</v>
      </c>
      <c r="N31" s="1">
        <v>1.11859125741426E-5</v>
      </c>
      <c r="O31" s="1">
        <v>2.6206865947974502E-6</v>
      </c>
      <c r="P31" s="1">
        <v>-9.1670177091781101E-6</v>
      </c>
    </row>
    <row r="32" spans="1:16" x14ac:dyDescent="0.2">
      <c r="A32">
        <v>31</v>
      </c>
      <c r="B32">
        <v>742</v>
      </c>
      <c r="C32">
        <v>250</v>
      </c>
      <c r="D32">
        <v>0.318396788651924</v>
      </c>
      <c r="E32">
        <v>81.962282724233802</v>
      </c>
      <c r="F32">
        <v>1.79713438503177</v>
      </c>
      <c r="G32">
        <v>-1364.5145953592948</v>
      </c>
      <c r="H32">
        <v>-1133.5881512469427</v>
      </c>
      <c r="I32">
        <v>227.48528089800399</v>
      </c>
      <c r="J32">
        <v>122.851046300363</v>
      </c>
      <c r="K32">
        <v>45.607208568759702</v>
      </c>
      <c r="L32">
        <v>5.0274193772411506E-4</v>
      </c>
      <c r="M32">
        <v>8.4412978509655008E-5</v>
      </c>
      <c r="N32" s="1">
        <v>1.4930570368931801E-5</v>
      </c>
      <c r="O32" s="1">
        <v>3.5076311579487302E-6</v>
      </c>
      <c r="P32" s="1">
        <v>-1.23081687085987E-5</v>
      </c>
    </row>
    <row r="33" spans="1:16" x14ac:dyDescent="0.2">
      <c r="A33">
        <v>32</v>
      </c>
      <c r="B33">
        <v>741</v>
      </c>
      <c r="C33">
        <v>250</v>
      </c>
      <c r="D33">
        <v>0.31765567223783697</v>
      </c>
      <c r="E33">
        <v>91.896951079938404</v>
      </c>
      <c r="F33">
        <v>1.8244676752836899</v>
      </c>
      <c r="G33">
        <v>-1526.0100332819727</v>
      </c>
      <c r="H33">
        <v>-1270.9096013152584</v>
      </c>
      <c r="I33">
        <v>251.54663390821401</v>
      </c>
      <c r="J33">
        <v>136.362591370508</v>
      </c>
      <c r="K33">
        <v>50.369185667073403</v>
      </c>
      <c r="L33">
        <v>4.8584355369005731E-4</v>
      </c>
      <c r="M33">
        <v>8.1305683978246038E-5</v>
      </c>
      <c r="N33" s="1">
        <v>1.5993573373570198E-5</v>
      </c>
      <c r="O33" s="1">
        <v>3.7270809227463498E-6</v>
      </c>
      <c r="P33" s="1">
        <v>-1.3120249999931401E-5</v>
      </c>
    </row>
    <row r="34" spans="1:16" x14ac:dyDescent="0.2">
      <c r="A34">
        <v>33</v>
      </c>
      <c r="B34">
        <v>740</v>
      </c>
      <c r="C34">
        <v>250</v>
      </c>
      <c r="D34">
        <v>0.31691309282929903</v>
      </c>
      <c r="E34">
        <v>97.375666528631697</v>
      </c>
      <c r="F34">
        <v>1.8379381987991601</v>
      </c>
      <c r="G34">
        <v>-1614.9399800818846</v>
      </c>
      <c r="H34">
        <v>-1346.7251821058567</v>
      </c>
      <c r="I34">
        <v>264.73925552508899</v>
      </c>
      <c r="J34">
        <v>143.840850747025</v>
      </c>
      <c r="K34">
        <v>52.980925360957798</v>
      </c>
      <c r="L34">
        <v>4.7780287351254641E-4</v>
      </c>
      <c r="M34">
        <v>7.9724854666080784E-5</v>
      </c>
      <c r="N34" s="1">
        <v>1.6635266512342701E-5</v>
      </c>
      <c r="O34" s="1">
        <v>3.8410832422837403E-6</v>
      </c>
      <c r="P34" s="1">
        <v>-1.3565147073676E-5</v>
      </c>
    </row>
    <row r="35" spans="1:16" x14ac:dyDescent="0.2">
      <c r="A35">
        <v>34</v>
      </c>
      <c r="B35">
        <v>739</v>
      </c>
      <c r="C35">
        <v>250</v>
      </c>
      <c r="D35">
        <v>0.31616904609000601</v>
      </c>
      <c r="E35">
        <v>100.37643502791801</v>
      </c>
      <c r="F35">
        <v>1.84520469033067</v>
      </c>
      <c r="G35">
        <v>-1663.5148892103412</v>
      </c>
      <c r="H35">
        <v>-1388.3266278460117</v>
      </c>
      <c r="I35">
        <v>271.89067354657499</v>
      </c>
      <c r="J35">
        <v>147.96164573778199</v>
      </c>
      <c r="K35">
        <v>54.3985366793803</v>
      </c>
      <c r="L35">
        <v>4.7368634734640638E-4</v>
      </c>
      <c r="M35">
        <v>7.8819881643888367E-5</v>
      </c>
      <c r="N35" s="1">
        <v>1.7040464035318599E-5</v>
      </c>
      <c r="O35" s="1">
        <v>3.8966269237735702E-6</v>
      </c>
      <c r="P35" s="1">
        <v>-1.3805728610714E-5</v>
      </c>
    </row>
    <row r="36" spans="1:16" x14ac:dyDescent="0.2">
      <c r="A36">
        <v>35</v>
      </c>
      <c r="B36">
        <v>763</v>
      </c>
      <c r="C36">
        <v>225</v>
      </c>
      <c r="D36">
        <v>0.360170342131933</v>
      </c>
      <c r="E36">
        <v>4.57454651578223</v>
      </c>
      <c r="F36">
        <v>0.48937938642464501</v>
      </c>
      <c r="G36">
        <v>-99.805984709070088</v>
      </c>
      <c r="H36">
        <v>-57.978023870394949</v>
      </c>
      <c r="I36">
        <v>40.371161197800298</v>
      </c>
      <c r="J36">
        <v>17.948774115342299</v>
      </c>
      <c r="K36">
        <v>9.34764855790797</v>
      </c>
      <c r="L36">
        <v>1.3991225925674422E-3</v>
      </c>
      <c r="M36">
        <v>2.7853131249827383E-4</v>
      </c>
      <c r="N36" s="1">
        <v>6.37085311596666E-6</v>
      </c>
      <c r="O36" s="1">
        <v>2.7752368398413701E-6</v>
      </c>
      <c r="P36" s="1">
        <v>-8.0309687881042593E-6</v>
      </c>
    </row>
    <row r="37" spans="1:16" x14ac:dyDescent="0.2">
      <c r="A37">
        <v>36</v>
      </c>
      <c r="B37">
        <v>762</v>
      </c>
      <c r="C37">
        <v>225</v>
      </c>
      <c r="D37">
        <v>0.35948461575617302</v>
      </c>
      <c r="E37">
        <v>4.8570275158577196</v>
      </c>
      <c r="F37">
        <v>0.51221250543695196</v>
      </c>
      <c r="G37">
        <v>-104.4834867669729</v>
      </c>
      <c r="H37">
        <v>-61.935810879682762</v>
      </c>
      <c r="I37">
        <v>41.105450371617202</v>
      </c>
      <c r="J37">
        <v>18.367012450975999</v>
      </c>
      <c r="K37">
        <v>9.4824461806420395</v>
      </c>
      <c r="L37">
        <v>1.3858565078415045E-3</v>
      </c>
      <c r="M37">
        <v>2.7512723370987563E-4</v>
      </c>
      <c r="N37" s="1">
        <v>6.48761764735677E-6</v>
      </c>
      <c r="O37" s="1">
        <v>2.7805280421765701E-6</v>
      </c>
      <c r="P37" s="1">
        <v>-8.0737582098124605E-6</v>
      </c>
    </row>
    <row r="38" spans="1:16" x14ac:dyDescent="0.2">
      <c r="A38">
        <v>37</v>
      </c>
      <c r="B38">
        <v>761</v>
      </c>
      <c r="C38">
        <v>225</v>
      </c>
      <c r="D38">
        <v>0.35879756321617101</v>
      </c>
      <c r="E38">
        <v>5.3855745110695699</v>
      </c>
      <c r="F38">
        <v>0.55261430585662197</v>
      </c>
      <c r="G38">
        <v>-113.26652266205393</v>
      </c>
      <c r="H38">
        <v>-69.325808403565802</v>
      </c>
      <c r="I38">
        <v>42.492259317310499</v>
      </c>
      <c r="J38">
        <v>19.140242355067599</v>
      </c>
      <c r="K38">
        <v>9.7456299158257291</v>
      </c>
      <c r="L38">
        <v>1.3609934376073651E-3</v>
      </c>
      <c r="M38">
        <v>2.6940390493164414E-4</v>
      </c>
      <c r="N38" s="1">
        <v>6.6309829150684399E-6</v>
      </c>
      <c r="O38" s="1">
        <v>2.7977462156959502E-6</v>
      </c>
      <c r="P38" s="1">
        <v>-8.1515125510152501E-6</v>
      </c>
    </row>
    <row r="39" spans="1:16" x14ac:dyDescent="0.2">
      <c r="A39">
        <v>38</v>
      </c>
      <c r="B39">
        <v>760</v>
      </c>
      <c r="C39">
        <v>225</v>
      </c>
      <c r="D39">
        <v>0.35810918066108399</v>
      </c>
      <c r="E39">
        <v>5.9162959949485003</v>
      </c>
      <c r="F39">
        <v>0.591053830532425</v>
      </c>
      <c r="G39">
        <v>-122.08161562998868</v>
      </c>
      <c r="H39">
        <v>-76.746194626810848</v>
      </c>
      <c r="I39">
        <v>43.883367813099497</v>
      </c>
      <c r="J39">
        <v>19.917158901696101</v>
      </c>
      <c r="K39">
        <v>10.0097413963446</v>
      </c>
      <c r="L39">
        <v>1.3373419345857709E-3</v>
      </c>
      <c r="M39">
        <v>2.6395072249016063E-4</v>
      </c>
      <c r="N39" s="1">
        <v>6.7761174749613797E-6</v>
      </c>
      <c r="O39" s="1">
        <v>2.8148755740079401E-6</v>
      </c>
      <c r="P39" s="1">
        <v>-8.2294726526412506E-6</v>
      </c>
    </row>
    <row r="40" spans="1:16" x14ac:dyDescent="0.2">
      <c r="A40">
        <v>39</v>
      </c>
      <c r="B40">
        <v>759</v>
      </c>
      <c r="C40">
        <v>225</v>
      </c>
      <c r="D40">
        <v>0.35741946422516302</v>
      </c>
      <c r="E40">
        <v>6.4488305327675297</v>
      </c>
      <c r="F40">
        <v>0.62764882699637903</v>
      </c>
      <c r="G40">
        <v>-130.92269000862424</v>
      </c>
      <c r="H40">
        <v>-84.191941361975211</v>
      </c>
      <c r="I40">
        <v>45.277773490441596</v>
      </c>
      <c r="J40">
        <v>20.697249006490399</v>
      </c>
      <c r="K40">
        <v>10.2745839000902</v>
      </c>
      <c r="L40">
        <v>1.3148303872231443E-3</v>
      </c>
      <c r="M40">
        <v>2.5875140474307672E-4</v>
      </c>
      <c r="N40" s="1">
        <v>6.9229706924726804E-6</v>
      </c>
      <c r="O40" s="1">
        <v>2.83189532537683E-6</v>
      </c>
      <c r="P40" s="1">
        <v>-8.3075774546378993E-6</v>
      </c>
    </row>
    <row r="41" spans="1:16" x14ac:dyDescent="0.2">
      <c r="A41">
        <v>40</v>
      </c>
      <c r="B41">
        <v>758</v>
      </c>
      <c r="C41">
        <v>225</v>
      </c>
      <c r="D41">
        <v>0.356728410027642</v>
      </c>
      <c r="E41">
        <v>6.9828118575059097</v>
      </c>
      <c r="F41">
        <v>0.66250846241483197</v>
      </c>
      <c r="G41">
        <v>-139.78359790521768</v>
      </c>
      <c r="H41">
        <v>-91.657954119041349</v>
      </c>
      <c r="I41">
        <v>46.6744643433912</v>
      </c>
      <c r="J41">
        <v>21.479993201995001</v>
      </c>
      <c r="K41">
        <v>10.539958738117299</v>
      </c>
      <c r="L41">
        <v>1.2933923669083754E-3</v>
      </c>
      <c r="M41">
        <v>2.5379085849461404E-4</v>
      </c>
      <c r="N41" s="1">
        <v>7.0714885383208304E-6</v>
      </c>
      <c r="O41" s="1">
        <v>2.8487848074689799E-6</v>
      </c>
      <c r="P41" s="1">
        <v>-8.3857654236437703E-6</v>
      </c>
    </row>
    <row r="42" spans="1:16" x14ac:dyDescent="0.2">
      <c r="A42">
        <v>41</v>
      </c>
      <c r="B42">
        <v>757</v>
      </c>
      <c r="C42">
        <v>225</v>
      </c>
      <c r="D42">
        <v>0.35603601417269398</v>
      </c>
      <c r="E42">
        <v>7.5178714105312503</v>
      </c>
      <c r="F42">
        <v>0.69573416200114602</v>
      </c>
      <c r="G42">
        <v>-148.65816171253346</v>
      </c>
      <c r="H42">
        <v>-99.1391074377715</v>
      </c>
      <c r="I42">
        <v>48.0724256554386</v>
      </c>
      <c r="J42">
        <v>22.264869373633399</v>
      </c>
      <c r="K42">
        <v>10.805666619715099</v>
      </c>
      <c r="L42">
        <v>1.2729661163544792E-3</v>
      </c>
      <c r="M42">
        <v>2.490550631655935E-4</v>
      </c>
      <c r="N42" s="1">
        <v>7.2216138385485699E-6</v>
      </c>
      <c r="O42" s="1">
        <v>2.86552362254506E-6</v>
      </c>
      <c r="P42" s="1">
        <v>-8.4639749492717598E-6</v>
      </c>
    </row>
    <row r="43" spans="1:16" x14ac:dyDescent="0.2">
      <c r="A43">
        <v>42</v>
      </c>
      <c r="B43">
        <v>756</v>
      </c>
      <c r="C43">
        <v>225</v>
      </c>
      <c r="D43">
        <v>0.35534227274935698</v>
      </c>
      <c r="E43">
        <v>9.4711323806617909</v>
      </c>
      <c r="F43">
        <v>0.80461442067389</v>
      </c>
      <c r="G43">
        <v>-181.08603921682712</v>
      </c>
      <c r="H43">
        <v>-126.58595161368856</v>
      </c>
      <c r="I43">
        <v>52.959158847344</v>
      </c>
      <c r="J43">
        <v>24.9842539131891</v>
      </c>
      <c r="K43">
        <v>11.771019928687499</v>
      </c>
      <c r="L43">
        <v>1.2011922937890703E-3</v>
      </c>
      <c r="M43">
        <v>2.3426677679389736E-4</v>
      </c>
      <c r="N43" s="1">
        <v>7.4986985843424298E-6</v>
      </c>
      <c r="O43" s="1">
        <v>2.9347651143434601E-6</v>
      </c>
      <c r="P43" s="1">
        <v>-8.6982220411794497E-6</v>
      </c>
    </row>
    <row r="44" spans="1:16" x14ac:dyDescent="0.2">
      <c r="A44">
        <v>43</v>
      </c>
      <c r="B44">
        <v>755</v>
      </c>
      <c r="C44">
        <v>225</v>
      </c>
      <c r="D44">
        <v>0.354647181831445</v>
      </c>
      <c r="E44">
        <v>11.929469627382501</v>
      </c>
      <c r="F44">
        <v>0.918707988497109</v>
      </c>
      <c r="G44">
        <v>-221.87720276048384</v>
      </c>
      <c r="H44">
        <v>-161.13160953344388</v>
      </c>
      <c r="I44">
        <v>59.085267439082799</v>
      </c>
      <c r="J44">
        <v>28.394496865960001</v>
      </c>
      <c r="K44">
        <v>12.9850505021706</v>
      </c>
      <c r="L44">
        <v>1.1255889255766501E-3</v>
      </c>
      <c r="M44">
        <v>2.1880922580001346E-4</v>
      </c>
      <c r="N44" s="1">
        <v>7.8250132675224995E-6</v>
      </c>
      <c r="O44" s="1">
        <v>3.0221380531357901E-6</v>
      </c>
      <c r="P44" s="1">
        <v>-8.9879157863705907E-6</v>
      </c>
    </row>
    <row r="45" spans="1:16" x14ac:dyDescent="0.2">
      <c r="A45">
        <v>44</v>
      </c>
      <c r="B45">
        <v>754</v>
      </c>
      <c r="C45">
        <v>225</v>
      </c>
      <c r="D45">
        <v>0.35395073747748601</v>
      </c>
      <c r="E45">
        <v>14.4570425238652</v>
      </c>
      <c r="F45">
        <v>1.0157816536003399</v>
      </c>
      <c r="G45">
        <v>-263.7847227995062</v>
      </c>
      <c r="H45">
        <v>-196.63594602580113</v>
      </c>
      <c r="I45">
        <v>65.376816809082797</v>
      </c>
      <c r="J45">
        <v>31.901122146869199</v>
      </c>
      <c r="K45">
        <v>14.2324312243911</v>
      </c>
      <c r="L45">
        <v>1.0612548980904397E-3</v>
      </c>
      <c r="M45">
        <v>2.05634927167856E-4</v>
      </c>
      <c r="N45" s="1">
        <v>8.1623809044157197E-6</v>
      </c>
      <c r="O45" s="1">
        <v>3.11128644168898E-6</v>
      </c>
      <c r="P45" s="1">
        <v>-9.2848232039945505E-6</v>
      </c>
    </row>
    <row r="46" spans="1:16" x14ac:dyDescent="0.2">
      <c r="A46">
        <v>45</v>
      </c>
      <c r="B46">
        <v>753</v>
      </c>
      <c r="C46">
        <v>225</v>
      </c>
      <c r="D46">
        <v>0.35325293573064698</v>
      </c>
      <c r="E46">
        <v>17.0724142177034</v>
      </c>
      <c r="F46">
        <v>1.0998811727411699</v>
      </c>
      <c r="G46">
        <v>-307.1108950611308</v>
      </c>
      <c r="H46">
        <v>-233.35628475442334</v>
      </c>
      <c r="I46">
        <v>71.878117192383499</v>
      </c>
      <c r="J46">
        <v>35.528924782401901</v>
      </c>
      <c r="K46">
        <v>15.522053327956099</v>
      </c>
      <c r="L46">
        <v>1.0054972338030905E-3</v>
      </c>
      <c r="M46">
        <v>1.9420098700215316E-4</v>
      </c>
      <c r="N46" s="1">
        <v>8.5123995434696804E-6</v>
      </c>
      <c r="O46" s="1">
        <v>3.2027614971224099E-6</v>
      </c>
      <c r="P46" s="1">
        <v>-9.5906611261747896E-6</v>
      </c>
    </row>
    <row r="47" spans="1:16" x14ac:dyDescent="0.2">
      <c r="A47">
        <v>46</v>
      </c>
      <c r="B47">
        <v>752</v>
      </c>
      <c r="C47">
        <v>225</v>
      </c>
      <c r="D47">
        <v>0.35255377261864101</v>
      </c>
      <c r="E47">
        <v>19.803387999255399</v>
      </c>
      <c r="F47">
        <v>1.17407119825735</v>
      </c>
      <c r="G47">
        <v>-352.3089066102263</v>
      </c>
      <c r="H47">
        <v>-271.678148589133</v>
      </c>
      <c r="I47">
        <v>78.655787429567994</v>
      </c>
      <c r="J47">
        <v>39.315112773762301</v>
      </c>
      <c r="K47">
        <v>16.867280305188501</v>
      </c>
      <c r="L47">
        <v>9.5627075091583944E-4</v>
      </c>
      <c r="M47">
        <v>1.840961146696926E-4</v>
      </c>
      <c r="N47" s="1">
        <v>8.8774907112527495E-6</v>
      </c>
      <c r="O47" s="1">
        <v>3.29740819020796E-6</v>
      </c>
      <c r="P47" s="1">
        <v>-9.9080520719766006E-6</v>
      </c>
    </row>
    <row r="48" spans="1:16" x14ac:dyDescent="0.2">
      <c r="A48">
        <v>47</v>
      </c>
      <c r="B48">
        <v>751</v>
      </c>
      <c r="C48">
        <v>225</v>
      </c>
      <c r="D48">
        <v>0.35185324415369101</v>
      </c>
      <c r="E48">
        <v>22.693952831612702</v>
      </c>
      <c r="F48">
        <v>1.2408313381722</v>
      </c>
      <c r="G48">
        <v>-400.09629441140538</v>
      </c>
      <c r="H48">
        <v>-312.21163951704159</v>
      </c>
      <c r="I48">
        <v>85.815540024397606</v>
      </c>
      <c r="J48">
        <v>43.318646110073402</v>
      </c>
      <c r="K48">
        <v>18.289313086693799</v>
      </c>
      <c r="L48">
        <v>9.1191277416484938E-4</v>
      </c>
      <c r="M48">
        <v>1.7498745556216111E-4</v>
      </c>
      <c r="N48" s="1">
        <v>9.2615239641096504E-6</v>
      </c>
      <c r="O48" s="1">
        <v>3.3965874232676798E-6</v>
      </c>
      <c r="P48" s="1">
        <v>-1.02412094343816E-5</v>
      </c>
    </row>
    <row r="49" spans="1:16" x14ac:dyDescent="0.2">
      <c r="A49">
        <v>48</v>
      </c>
      <c r="B49">
        <v>750</v>
      </c>
      <c r="C49">
        <v>225</v>
      </c>
      <c r="D49">
        <v>0.35115134633240402</v>
      </c>
      <c r="E49">
        <v>25.818778290996001</v>
      </c>
      <c r="F49">
        <v>1.30238642769766</v>
      </c>
      <c r="G49">
        <v>-451.69166391991689</v>
      </c>
      <c r="H49">
        <v>-355.99254877875853</v>
      </c>
      <c r="I49">
        <v>93.537175412148102</v>
      </c>
      <c r="J49">
        <v>47.639708943215098</v>
      </c>
      <c r="K49">
        <v>19.824207118495501</v>
      </c>
      <c r="L49">
        <v>8.7091905991895386E-4</v>
      </c>
      <c r="M49">
        <v>1.6657621768356671E-4</v>
      </c>
      <c r="N49" s="1">
        <v>9.6711152013869001E-6</v>
      </c>
      <c r="O49" s="1">
        <v>3.5026374865967101E-6</v>
      </c>
      <c r="P49" s="1">
        <v>-1.0597360499118399E-5</v>
      </c>
    </row>
    <row r="50" spans="1:16" x14ac:dyDescent="0.2">
      <c r="A50">
        <v>49</v>
      </c>
      <c r="B50">
        <v>749</v>
      </c>
      <c r="C50">
        <v>225</v>
      </c>
      <c r="D50">
        <v>0.350448075135744</v>
      </c>
      <c r="E50">
        <v>29.317686105843901</v>
      </c>
      <c r="F50">
        <v>1.36110971655483</v>
      </c>
      <c r="G50">
        <v>-509.3775041954799</v>
      </c>
      <c r="H50">
        <v>-404.96056336275564</v>
      </c>
      <c r="I50">
        <v>102.157720592895</v>
      </c>
      <c r="J50">
        <v>52.465973541716203</v>
      </c>
      <c r="K50">
        <v>21.539546554741602</v>
      </c>
      <c r="L50">
        <v>8.3166505956187018E-4</v>
      </c>
      <c r="M50">
        <v>1.58543428215646E-4</v>
      </c>
      <c r="N50" s="1">
        <v>1.0118699762580101E-5</v>
      </c>
      <c r="O50" s="1">
        <v>3.61996655747375E-6</v>
      </c>
      <c r="P50" s="1">
        <v>-1.0990114105135E-5</v>
      </c>
    </row>
    <row r="51" spans="1:16" x14ac:dyDescent="0.2">
      <c r="A51">
        <v>50</v>
      </c>
      <c r="B51">
        <v>748</v>
      </c>
      <c r="C51">
        <v>225</v>
      </c>
      <c r="D51">
        <v>0.34974342652891699</v>
      </c>
      <c r="E51">
        <v>35.176516379614398</v>
      </c>
      <c r="F51">
        <v>1.4419268509325101</v>
      </c>
      <c r="G51">
        <v>-605.60373266888996</v>
      </c>
      <c r="H51">
        <v>-486.68451737356605</v>
      </c>
      <c r="I51">
        <v>116.459864799003</v>
      </c>
      <c r="J51">
        <v>60.4591525111504</v>
      </c>
      <c r="K51">
        <v>24.395492986946699</v>
      </c>
      <c r="L51">
        <v>7.7680322213314885E-4</v>
      </c>
      <c r="M51">
        <v>1.475448374387334E-4</v>
      </c>
      <c r="N51" s="1">
        <v>1.07767726398417E-5</v>
      </c>
      <c r="O51" s="1">
        <v>3.8121174458007002E-6</v>
      </c>
      <c r="P51" s="1">
        <v>-1.16133759856986E-5</v>
      </c>
    </row>
    <row r="52" spans="1:16" x14ac:dyDescent="0.2">
      <c r="A52">
        <v>51</v>
      </c>
      <c r="B52">
        <v>747</v>
      </c>
      <c r="C52">
        <v>225</v>
      </c>
      <c r="D52">
        <v>0.34903739646130499</v>
      </c>
      <c r="E52">
        <v>69.549248257925797</v>
      </c>
      <c r="F52">
        <v>1.6956868010580299</v>
      </c>
      <c r="G52">
        <v>-1165.5292901844759</v>
      </c>
      <c r="H52">
        <v>-961.96042894933055</v>
      </c>
      <c r="I52">
        <v>199.55277392990399</v>
      </c>
      <c r="J52">
        <v>106.714751335811</v>
      </c>
      <c r="K52">
        <v>41.015385750794302</v>
      </c>
      <c r="L52">
        <v>6.0387930595196156E-4</v>
      </c>
      <c r="M52">
        <v>1.139162110938086E-4</v>
      </c>
      <c r="N52" s="1">
        <v>1.39770648928906E-5</v>
      </c>
      <c r="O52" s="1">
        <v>4.9317508601410903E-6</v>
      </c>
      <c r="P52" s="1">
        <v>-1.50755058749457E-5</v>
      </c>
    </row>
    <row r="53" spans="1:16" x14ac:dyDescent="0.2">
      <c r="A53">
        <v>52</v>
      </c>
      <c r="B53">
        <v>746</v>
      </c>
      <c r="C53">
        <v>225</v>
      </c>
      <c r="D53">
        <v>0.34832998086640898</v>
      </c>
      <c r="E53">
        <v>86.626872404829598</v>
      </c>
      <c r="F53">
        <v>1.75908044571661</v>
      </c>
      <c r="G53">
        <v>-1443.2440307762731</v>
      </c>
      <c r="H53">
        <v>-1197.9225873471191</v>
      </c>
      <c r="I53">
        <v>240.71716907840599</v>
      </c>
      <c r="J53">
        <v>129.71003079311399</v>
      </c>
      <c r="K53">
        <v>49.245543383628103</v>
      </c>
      <c r="L53">
        <v>5.6135775213121946E-4</v>
      </c>
      <c r="M53">
        <v>1.0546236243070151E-4</v>
      </c>
      <c r="N53" s="1">
        <v>1.56717466611361E-5</v>
      </c>
      <c r="O53" s="1">
        <v>5.4749279866534804E-6</v>
      </c>
      <c r="P53" s="1">
        <v>-1.67935967244782E-5</v>
      </c>
    </row>
    <row r="54" spans="1:16" x14ac:dyDescent="0.2">
      <c r="A54">
        <v>53</v>
      </c>
      <c r="B54">
        <v>745</v>
      </c>
      <c r="C54">
        <v>225</v>
      </c>
      <c r="D54">
        <v>0.347621175661739</v>
      </c>
      <c r="E54">
        <v>93.849160581622201</v>
      </c>
      <c r="F54">
        <v>1.78062273927785</v>
      </c>
      <c r="G54">
        <v>-1560.539691674607</v>
      </c>
      <c r="H54">
        <v>-1297.8409390856054</v>
      </c>
      <c r="I54">
        <v>258.02135975741601</v>
      </c>
      <c r="J54">
        <v>139.459854143028</v>
      </c>
      <c r="K54">
        <v>52.7058082048773</v>
      </c>
      <c r="L54">
        <v>5.4731394135562226E-4</v>
      </c>
      <c r="M54">
        <v>1.0249660105473238E-4</v>
      </c>
      <c r="N54" s="1">
        <v>1.6495093259157901E-5</v>
      </c>
      <c r="O54" s="1">
        <v>5.69148828287539E-6</v>
      </c>
      <c r="P54" s="1">
        <v>-1.75182979222021E-5</v>
      </c>
    </row>
    <row r="55" spans="1:16" x14ac:dyDescent="0.2">
      <c r="A55">
        <v>54</v>
      </c>
      <c r="B55">
        <v>744</v>
      </c>
      <c r="C55">
        <v>225</v>
      </c>
      <c r="D55">
        <v>0.34691097674876298</v>
      </c>
      <c r="E55">
        <v>98.327611817950299</v>
      </c>
      <c r="F55">
        <v>1.79308532481147</v>
      </c>
      <c r="G55">
        <v>-1633.1627896427415</v>
      </c>
      <c r="H55">
        <v>-1359.8764636789358</v>
      </c>
      <c r="I55">
        <v>268.684232110268</v>
      </c>
      <c r="J55">
        <v>145.52752360927701</v>
      </c>
      <c r="K55">
        <v>54.837107000632102</v>
      </c>
      <c r="L55">
        <v>5.3950041209257593E-4</v>
      </c>
      <c r="M55">
        <v>1.007324564987939E-4</v>
      </c>
      <c r="N55" s="1">
        <v>1.7078364004272499E-5</v>
      </c>
      <c r="O55" s="1">
        <v>5.8172238298093704E-6</v>
      </c>
      <c r="P55" s="1">
        <v>-1.7967390220363501E-5</v>
      </c>
    </row>
    <row r="56" spans="1:16" x14ac:dyDescent="0.2">
      <c r="A56">
        <v>55</v>
      </c>
      <c r="B56">
        <v>743</v>
      </c>
      <c r="C56">
        <v>225</v>
      </c>
      <c r="D56">
        <v>0.34619938001279399</v>
      </c>
      <c r="E56">
        <v>100.879879083251</v>
      </c>
      <c r="F56">
        <v>1.8002127465237701</v>
      </c>
      <c r="G56">
        <v>-1674.4227823542251</v>
      </c>
      <c r="H56">
        <v>-1395.3019264881789</v>
      </c>
      <c r="I56">
        <v>274.69052767309398</v>
      </c>
      <c r="J56">
        <v>149.008119480977</v>
      </c>
      <c r="K56">
        <v>56.037754025490003</v>
      </c>
      <c r="L56">
        <v>5.3530225438794678E-4</v>
      </c>
      <c r="M56">
        <v>9.9664355782578298E-5</v>
      </c>
      <c r="N56" s="1">
        <v>1.7490292053882299E-5</v>
      </c>
      <c r="O56" s="1">
        <v>5.8796106990573403E-6</v>
      </c>
      <c r="P56" s="1">
        <v>-1.8223127798461099E-5</v>
      </c>
    </row>
    <row r="57" spans="1:16" x14ac:dyDescent="0.2">
      <c r="A57">
        <v>56</v>
      </c>
      <c r="B57">
        <v>772</v>
      </c>
      <c r="C57">
        <v>200</v>
      </c>
      <c r="D57">
        <v>0.39259484284552498</v>
      </c>
      <c r="E57">
        <v>5.0073115513781499</v>
      </c>
      <c r="F57">
        <v>0.446840204205251</v>
      </c>
      <c r="G57">
        <v>-109.91547596220094</v>
      </c>
      <c r="H57">
        <v>-63.148672224224796</v>
      </c>
      <c r="I57">
        <v>44.749240998067201</v>
      </c>
      <c r="J57">
        <v>19.683510321351701</v>
      </c>
      <c r="K57">
        <v>11.2060452579108</v>
      </c>
      <c r="L57">
        <v>1.5073421466128541E-3</v>
      </c>
      <c r="M57">
        <v>3.4805098602411916E-4</v>
      </c>
      <c r="N57" s="1">
        <v>4.4600851496505299E-6</v>
      </c>
      <c r="O57" s="1">
        <v>4.7985317934840703E-6</v>
      </c>
      <c r="P57" s="1">
        <v>-1.1516849958244701E-5</v>
      </c>
    </row>
    <row r="58" spans="1:16" x14ac:dyDescent="0.2">
      <c r="A58">
        <v>57</v>
      </c>
      <c r="B58">
        <v>771</v>
      </c>
      <c r="C58">
        <v>200</v>
      </c>
      <c r="D58">
        <v>0.391946080543984</v>
      </c>
      <c r="E58">
        <v>5.2687821055144202</v>
      </c>
      <c r="F58">
        <v>0.46515790360618903</v>
      </c>
      <c r="G58">
        <v>-114.23731158873545</v>
      </c>
      <c r="H58">
        <v>-66.816308088042447</v>
      </c>
      <c r="I58">
        <v>45.4186469279568</v>
      </c>
      <c r="J58">
        <v>20.069661461573801</v>
      </c>
      <c r="K58">
        <v>11.3268678542653</v>
      </c>
      <c r="L58">
        <v>1.4969486366796466E-3</v>
      </c>
      <c r="M58">
        <v>3.4467780073600706E-4</v>
      </c>
      <c r="N58" s="1">
        <v>4.5941127485159403E-6</v>
      </c>
      <c r="O58" s="1">
        <v>4.80433948156232E-6</v>
      </c>
      <c r="P58" s="1">
        <v>-1.15725997636015E-5</v>
      </c>
    </row>
    <row r="59" spans="1:16" x14ac:dyDescent="0.2">
      <c r="A59">
        <v>58</v>
      </c>
      <c r="B59">
        <v>770</v>
      </c>
      <c r="C59">
        <v>200</v>
      </c>
      <c r="D59">
        <v>0.39129607439006903</v>
      </c>
      <c r="E59">
        <v>5.7732330292657199</v>
      </c>
      <c r="F59">
        <v>0.49874394546275302</v>
      </c>
      <c r="G59">
        <v>-122.6140986409081</v>
      </c>
      <c r="H59">
        <v>-73.873962427524646</v>
      </c>
      <c r="I59">
        <v>46.726774206459901</v>
      </c>
      <c r="J59">
        <v>20.8017190239649</v>
      </c>
      <c r="K59">
        <v>11.575545090395201</v>
      </c>
      <c r="L59">
        <v>1.4758751354440368E-3</v>
      </c>
      <c r="M59">
        <v>3.3882742051766641E-4</v>
      </c>
      <c r="N59" s="1">
        <v>4.7446164721570296E-6</v>
      </c>
      <c r="O59" s="1">
        <v>4.8273503265890701E-6</v>
      </c>
      <c r="P59" s="1">
        <v>-1.1670248163049201E-5</v>
      </c>
    </row>
    <row r="60" spans="1:16" x14ac:dyDescent="0.2">
      <c r="A60">
        <v>59</v>
      </c>
      <c r="B60">
        <v>769</v>
      </c>
      <c r="C60">
        <v>200</v>
      </c>
      <c r="D60">
        <v>0.390644820803149</v>
      </c>
      <c r="E60">
        <v>6.2795291267105799</v>
      </c>
      <c r="F60">
        <v>0.53103918428732</v>
      </c>
      <c r="G60">
        <v>-131.01778312961068</v>
      </c>
      <c r="H60">
        <v>-80.957457715972879</v>
      </c>
      <c r="I60">
        <v>48.038425751287001</v>
      </c>
      <c r="J60">
        <v>21.5368780495259</v>
      </c>
      <c r="K60">
        <v>11.8249826237173</v>
      </c>
      <c r="L60">
        <v>1.4556175522396722E-3</v>
      </c>
      <c r="M60">
        <v>3.3319444466271413E-4</v>
      </c>
      <c r="N60" s="1">
        <v>4.8975519370943298E-6</v>
      </c>
      <c r="O60" s="1">
        <v>4.8502447238036499E-6</v>
      </c>
      <c r="P60" s="1">
        <v>-1.1768237310331901E-5</v>
      </c>
    </row>
    <row r="61" spans="1:16" x14ac:dyDescent="0.2">
      <c r="A61">
        <v>60</v>
      </c>
      <c r="B61">
        <v>768</v>
      </c>
      <c r="C61">
        <v>200</v>
      </c>
      <c r="D61">
        <v>0.38999231618883101</v>
      </c>
      <c r="E61">
        <v>6.78735690045146</v>
      </c>
      <c r="F61">
        <v>0.56209956262543004</v>
      </c>
      <c r="G61">
        <v>-139.44309767305944</v>
      </c>
      <c r="H61">
        <v>-88.062432612621265</v>
      </c>
      <c r="I61">
        <v>49.352741472099702</v>
      </c>
      <c r="J61">
        <v>22.2746969812255</v>
      </c>
      <c r="K61">
        <v>12.075008329039299</v>
      </c>
      <c r="L61">
        <v>1.436141772389374E-3</v>
      </c>
      <c r="M61">
        <v>3.2776938276533473E-4</v>
      </c>
      <c r="N61" s="1">
        <v>5.0529071388525096E-6</v>
      </c>
      <c r="O61" s="1">
        <v>4.8729961312167399E-6</v>
      </c>
      <c r="P61" s="1">
        <v>-1.18665034357829E-5</v>
      </c>
    </row>
    <row r="62" spans="1:16" x14ac:dyDescent="0.2">
      <c r="A62">
        <v>61</v>
      </c>
      <c r="B62">
        <v>767</v>
      </c>
      <c r="C62">
        <v>200</v>
      </c>
      <c r="D62">
        <v>0.38933855693890601</v>
      </c>
      <c r="E62">
        <v>7.2963992704508502</v>
      </c>
      <c r="F62">
        <v>0.59197838990499596</v>
      </c>
      <c r="G62">
        <v>-147.88472205614707</v>
      </c>
      <c r="H62">
        <v>-95.184476643282096</v>
      </c>
      <c r="I62">
        <v>50.668854413836897</v>
      </c>
      <c r="J62">
        <v>23.0147295131245</v>
      </c>
      <c r="K62">
        <v>12.325448690148599</v>
      </c>
      <c r="L62">
        <v>1.4174152356079476E-3</v>
      </c>
      <c r="M62">
        <v>3.2254319233513697E-4</v>
      </c>
      <c r="N62" s="1">
        <v>5.2106670242810902E-6</v>
      </c>
      <c r="O62" s="1">
        <v>4.8955781448136002E-6</v>
      </c>
      <c r="P62" s="1">
        <v>-1.1964982142875001E-5</v>
      </c>
    </row>
    <row r="63" spans="1:16" x14ac:dyDescent="0.2">
      <c r="A63">
        <v>62</v>
      </c>
      <c r="B63">
        <v>766</v>
      </c>
      <c r="C63">
        <v>200</v>
      </c>
      <c r="D63">
        <v>0.38868353943126899</v>
      </c>
      <c r="E63">
        <v>7.806337591198</v>
      </c>
      <c r="F63">
        <v>0.62072653971554503</v>
      </c>
      <c r="G63">
        <v>-156.33731697073574</v>
      </c>
      <c r="H63">
        <v>-102.31915825105362</v>
      </c>
      <c r="I63">
        <v>51.9858961990033</v>
      </c>
      <c r="J63">
        <v>23.756527514267699</v>
      </c>
      <c r="K63">
        <v>12.576129892521299</v>
      </c>
      <c r="L63">
        <v>1.3994068136775203E-3</v>
      </c>
      <c r="M63">
        <v>3.175072455016756E-4</v>
      </c>
      <c r="N63" s="1">
        <v>5.3708135652202898E-6</v>
      </c>
      <c r="O63" s="1">
        <v>4.9179646550675098E-6</v>
      </c>
      <c r="P63" s="1">
        <v>-1.20636087856041E-5</v>
      </c>
    </row>
    <row r="64" spans="1:16" x14ac:dyDescent="0.2">
      <c r="A64">
        <v>63</v>
      </c>
      <c r="B64">
        <v>765</v>
      </c>
      <c r="C64">
        <v>200</v>
      </c>
      <c r="D64">
        <v>0.38802726002986099</v>
      </c>
      <c r="E64">
        <v>8.3168536269066795</v>
      </c>
      <c r="F64">
        <v>0.64839262143638599</v>
      </c>
      <c r="G64">
        <v>-164.79555698465566</v>
      </c>
      <c r="H64">
        <v>-109.46205225504828</v>
      </c>
      <c r="I64">
        <v>53.303002328684002</v>
      </c>
      <c r="J64">
        <v>24.499643892001099</v>
      </c>
      <c r="K64">
        <v>12.826878887798401</v>
      </c>
      <c r="L64">
        <v>1.3820867047707351E-3</v>
      </c>
      <c r="M64">
        <v>3.1265330002569047E-4</v>
      </c>
      <c r="N64" s="1">
        <v>5.53332584771838E-6</v>
      </c>
      <c r="O64" s="1">
        <v>4.9401299961632202E-6</v>
      </c>
      <c r="P64" s="1">
        <v>-1.2162318836360799E-5</v>
      </c>
    </row>
    <row r="65" spans="1:16" x14ac:dyDescent="0.2">
      <c r="A65">
        <v>64</v>
      </c>
      <c r="B65">
        <v>764</v>
      </c>
      <c r="C65">
        <v>200</v>
      </c>
      <c r="D65">
        <v>0.38736971508460899</v>
      </c>
      <c r="E65">
        <v>8.82763145434566</v>
      </c>
      <c r="F65">
        <v>0.67502312936852804</v>
      </c>
      <c r="G65">
        <v>-173.25416223536666</v>
      </c>
      <c r="H65">
        <v>-116.60876629491257</v>
      </c>
      <c r="I65">
        <v>54.619317262445001</v>
      </c>
      <c r="J65">
        <v>25.243635351215602</v>
      </c>
      <c r="K65">
        <v>13.0775244140208</v>
      </c>
      <c r="L65">
        <v>1.3654263424290639E-3</v>
      </c>
      <c r="M65">
        <v>3.0797347408497843E-4</v>
      </c>
      <c r="N65" s="1">
        <v>5.6981801742183704E-6</v>
      </c>
      <c r="O65" s="1">
        <v>4.9620490858897498E-6</v>
      </c>
      <c r="P65" s="1">
        <v>-1.22610482389367E-5</v>
      </c>
    </row>
    <row r="66" spans="1:16" x14ac:dyDescent="0.2">
      <c r="A66">
        <v>65</v>
      </c>
      <c r="B66">
        <v>763</v>
      </c>
      <c r="C66">
        <v>200</v>
      </c>
      <c r="D66">
        <v>0.38671090093133698</v>
      </c>
      <c r="E66">
        <v>9.3383592674280695</v>
      </c>
      <c r="F66">
        <v>0.70066257234124996</v>
      </c>
      <c r="G66">
        <v>-181.70792842221547</v>
      </c>
      <c r="H66">
        <v>-123.75496590218945</v>
      </c>
      <c r="I66">
        <v>55.933999210852399</v>
      </c>
      <c r="J66">
        <v>25.9880650129328</v>
      </c>
      <c r="K66">
        <v>13.3278979583911</v>
      </c>
      <c r="L66">
        <v>1.3493983172988171E-3</v>
      </c>
      <c r="M66">
        <v>3.0346022433485302E-4</v>
      </c>
      <c r="N66" s="1">
        <v>5.8653501764107503E-6</v>
      </c>
      <c r="O66" s="1">
        <v>4.9836975547000901E-6</v>
      </c>
      <c r="P66" s="1">
        <v>-1.23597337425032E-5</v>
      </c>
    </row>
    <row r="67" spans="1:16" x14ac:dyDescent="0.2">
      <c r="A67">
        <v>66</v>
      </c>
      <c r="B67">
        <v>762</v>
      </c>
      <c r="C67">
        <v>200</v>
      </c>
      <c r="D67">
        <v>0.38605081389170998</v>
      </c>
      <c r="E67">
        <v>9.8487310629445002</v>
      </c>
      <c r="F67">
        <v>0.72535358663518701</v>
      </c>
      <c r="G67">
        <v>-190.1517547555548</v>
      </c>
      <c r="H67">
        <v>-130.89639791270866</v>
      </c>
      <c r="I67">
        <v>57.246224584640999</v>
      </c>
      <c r="J67">
        <v>26.732504861504498</v>
      </c>
      <c r="K67">
        <v>13.5778346511407</v>
      </c>
      <c r="L67">
        <v>1.3339763097834133E-3</v>
      </c>
      <c r="M67">
        <v>2.9910632676568026E-4</v>
      </c>
      <c r="N67" s="1">
        <v>6.0348069357514102E-6</v>
      </c>
      <c r="O67" s="1">
        <v>5.0050518623150698E-6</v>
      </c>
      <c r="P67" s="1">
        <v>-1.24583132119668E-5</v>
      </c>
    </row>
    <row r="68" spans="1:16" x14ac:dyDescent="0.2">
      <c r="A68">
        <v>67</v>
      </c>
      <c r="B68">
        <v>761</v>
      </c>
      <c r="C68">
        <v>200</v>
      </c>
      <c r="D68">
        <v>0.38538945027317301</v>
      </c>
      <c r="E68">
        <v>11.8024774450567</v>
      </c>
      <c r="F68">
        <v>0.81140336034042204</v>
      </c>
      <c r="G68">
        <v>-222.56249821435239</v>
      </c>
      <c r="H68">
        <v>-158.35850814659167</v>
      </c>
      <c r="I68">
        <v>62.086866252833197</v>
      </c>
      <c r="J68">
        <v>29.430647975891901</v>
      </c>
      <c r="K68">
        <v>14.545758647222</v>
      </c>
      <c r="L68">
        <v>1.2741027434875294E-3</v>
      </c>
      <c r="M68">
        <v>2.8477370453405896E-4</v>
      </c>
      <c r="N68" s="1">
        <v>6.2957574442826796E-6</v>
      </c>
      <c r="O68" s="1">
        <v>5.1047123765188301E-6</v>
      </c>
      <c r="P68" s="1">
        <v>-1.2753116146109601E-5</v>
      </c>
    </row>
    <row r="69" spans="1:16" x14ac:dyDescent="0.2">
      <c r="A69">
        <v>68</v>
      </c>
      <c r="B69">
        <v>760</v>
      </c>
      <c r="C69">
        <v>200</v>
      </c>
      <c r="D69">
        <v>0.38472680636887402</v>
      </c>
      <c r="E69">
        <v>14.267244291815</v>
      </c>
      <c r="F69">
        <v>0.90487676252675098</v>
      </c>
      <c r="G69">
        <v>-263.43234731022898</v>
      </c>
      <c r="H69">
        <v>-193.0032909384903</v>
      </c>
      <c r="I69">
        <v>68.172372041415997</v>
      </c>
      <c r="J69">
        <v>32.821658220155101</v>
      </c>
      <c r="K69">
        <v>15.767057883081799</v>
      </c>
      <c r="L69">
        <v>1.2085806837061524E-3</v>
      </c>
      <c r="M69">
        <v>2.6925239058303341E-4</v>
      </c>
      <c r="N69" s="1">
        <v>6.5946845630606998E-6</v>
      </c>
      <c r="O69" s="1">
        <v>5.2312174148855804E-6</v>
      </c>
      <c r="P69" s="1">
        <v>-1.31172893131477E-5</v>
      </c>
    </row>
    <row r="70" spans="1:16" x14ac:dyDescent="0.2">
      <c r="A70">
        <v>69</v>
      </c>
      <c r="B70">
        <v>759</v>
      </c>
      <c r="C70">
        <v>200</v>
      </c>
      <c r="D70">
        <v>0.38406287845759102</v>
      </c>
      <c r="E70">
        <v>16.7977672970814</v>
      </c>
      <c r="F70">
        <v>0.98695156993918598</v>
      </c>
      <c r="G70">
        <v>-305.35909709191753</v>
      </c>
      <c r="H70">
        <v>-228.55779177715516</v>
      </c>
      <c r="I70">
        <v>74.412269770880201</v>
      </c>
      <c r="J70">
        <v>36.302699501562103</v>
      </c>
      <c r="K70">
        <v>17.0198496144207</v>
      </c>
      <c r="L70">
        <v>1.1510434248899527E-3</v>
      </c>
      <c r="M70">
        <v>2.5560259877578488E-4</v>
      </c>
      <c r="N70" s="1">
        <v>6.9047327280735702E-6</v>
      </c>
      <c r="O70" s="1">
        <v>5.3600799577121097E-6</v>
      </c>
      <c r="P70" s="1">
        <v>-1.3489975039542899E-5</v>
      </c>
    </row>
    <row r="71" spans="1:16" x14ac:dyDescent="0.2">
      <c r="A71">
        <v>70</v>
      </c>
      <c r="B71">
        <v>758</v>
      </c>
      <c r="C71">
        <v>200</v>
      </c>
      <c r="D71">
        <v>0.383397662803666</v>
      </c>
      <c r="E71">
        <v>19.412968078534199</v>
      </c>
      <c r="F71">
        <v>1.0600502795498301</v>
      </c>
      <c r="G71">
        <v>-348.65090965527264</v>
      </c>
      <c r="H71">
        <v>-265.28435431143447</v>
      </c>
      <c r="I71">
        <v>80.851443459398894</v>
      </c>
      <c r="J71">
        <v>39.898814544926303</v>
      </c>
      <c r="K71">
        <v>18.3132521664709</v>
      </c>
      <c r="L71">
        <v>1.0997773209852305E-3</v>
      </c>
      <c r="M71">
        <v>2.4342644589888567E-4</v>
      </c>
      <c r="N71" s="1">
        <v>7.2272085568633597E-6</v>
      </c>
      <c r="O71" s="1">
        <v>5.4921258460821303E-6</v>
      </c>
      <c r="P71" s="1">
        <v>-1.38733434935687E-5</v>
      </c>
    </row>
    <row r="72" spans="1:16" x14ac:dyDescent="0.2">
      <c r="A72">
        <v>71</v>
      </c>
      <c r="B72">
        <v>757</v>
      </c>
      <c r="C72">
        <v>200</v>
      </c>
      <c r="D72">
        <v>0.38273115565694399</v>
      </c>
      <c r="E72">
        <v>22.141192017857701</v>
      </c>
      <c r="F72">
        <v>1.12614926544391</v>
      </c>
      <c r="G72">
        <v>-393.76984741101978</v>
      </c>
      <c r="H72">
        <v>-303.57611880444409</v>
      </c>
      <c r="I72">
        <v>87.557379189606394</v>
      </c>
      <c r="J72">
        <v>43.647603916641103</v>
      </c>
      <c r="K72">
        <v>19.6609745237723</v>
      </c>
      <c r="L72">
        <v>1.0533783648740064E-3</v>
      </c>
      <c r="M72">
        <v>2.3239929119506594E-4</v>
      </c>
      <c r="N72" s="1">
        <v>7.5640681602139002E-6</v>
      </c>
      <c r="O72" s="1">
        <v>5.6286203903924603E-6</v>
      </c>
      <c r="P72" s="1">
        <v>-1.4270710479114499E-5</v>
      </c>
    </row>
    <row r="73" spans="1:16" x14ac:dyDescent="0.2">
      <c r="A73">
        <v>72</v>
      </c>
      <c r="B73">
        <v>756</v>
      </c>
      <c r="C73">
        <v>200</v>
      </c>
      <c r="D73">
        <v>0.38206335325268598</v>
      </c>
      <c r="E73">
        <v>25.026902879852699</v>
      </c>
      <c r="F73">
        <v>1.1869767963351101</v>
      </c>
      <c r="G73">
        <v>-441.44118925917621</v>
      </c>
      <c r="H73">
        <v>-344.04993675329479</v>
      </c>
      <c r="I73">
        <v>94.636212102449505</v>
      </c>
      <c r="J73">
        <v>47.608145204657198</v>
      </c>
      <c r="K73">
        <v>21.084576343130902</v>
      </c>
      <c r="L73">
        <v>1.0106101496942313E-3</v>
      </c>
      <c r="M73">
        <v>2.222371974413099E-4</v>
      </c>
      <c r="N73" s="1">
        <v>7.9183829797970297E-6</v>
      </c>
      <c r="O73" s="1">
        <v>5.77157982468179E-6</v>
      </c>
      <c r="P73" s="1">
        <v>-1.46873509106325E-5</v>
      </c>
    </row>
    <row r="74" spans="1:16" x14ac:dyDescent="0.2">
      <c r="A74">
        <v>73</v>
      </c>
      <c r="B74">
        <v>755</v>
      </c>
      <c r="C74">
        <v>200</v>
      </c>
      <c r="D74">
        <v>0.38139425181150599</v>
      </c>
      <c r="E74">
        <v>28.144189053775701</v>
      </c>
      <c r="F74">
        <v>1.24421487007107</v>
      </c>
      <c r="G74">
        <v>-492.87391301595386</v>
      </c>
      <c r="H74">
        <v>-387.73379520702224</v>
      </c>
      <c r="I74">
        <v>102.26506774148601</v>
      </c>
      <c r="J74">
        <v>51.878970625128403</v>
      </c>
      <c r="K74">
        <v>22.6200391353367</v>
      </c>
      <c r="L74">
        <v>9.7025654684147332E-4</v>
      </c>
      <c r="M74">
        <v>2.1266374293235572E-4</v>
      </c>
      <c r="N74" s="1">
        <v>8.2952756407528299E-6</v>
      </c>
      <c r="O74" s="1">
        <v>5.9243965875338196E-6</v>
      </c>
      <c r="P74" s="1">
        <v>-1.51321316886534E-5</v>
      </c>
    </row>
    <row r="75" spans="1:16" x14ac:dyDescent="0.2">
      <c r="A75">
        <v>74</v>
      </c>
      <c r="B75">
        <v>754</v>
      </c>
      <c r="C75">
        <v>200</v>
      </c>
      <c r="D75">
        <v>0.38072384753930699</v>
      </c>
      <c r="E75">
        <v>31.627116399611602</v>
      </c>
      <c r="F75">
        <v>1.2997879361447799</v>
      </c>
      <c r="G75">
        <v>-550.25604996259949</v>
      </c>
      <c r="H75">
        <v>-436.48795351969665</v>
      </c>
      <c r="I75">
        <v>110.764664534979</v>
      </c>
      <c r="J75">
        <v>56.6384290927259</v>
      </c>
      <c r="K75">
        <v>24.3325203443714</v>
      </c>
      <c r="L75">
        <v>9.309071596861492E-4</v>
      </c>
      <c r="M75">
        <v>2.0336251091128182E-4</v>
      </c>
      <c r="N75" s="1">
        <v>8.7040129299046293E-6</v>
      </c>
      <c r="O75" s="1">
        <v>6.0932375558645897E-6</v>
      </c>
      <c r="P75" s="1">
        <v>-1.56211620005753E-5</v>
      </c>
    </row>
    <row r="76" spans="1:16" x14ac:dyDescent="0.2">
      <c r="A76">
        <v>75</v>
      </c>
      <c r="B76">
        <v>753</v>
      </c>
      <c r="C76">
        <v>200</v>
      </c>
      <c r="D76">
        <v>0.380052136627202</v>
      </c>
      <c r="E76">
        <v>35.7470608476197</v>
      </c>
      <c r="F76">
        <v>1.3564241276839599</v>
      </c>
      <c r="G76">
        <v>-618.01623764953331</v>
      </c>
      <c r="H76">
        <v>-494.07769198180347</v>
      </c>
      <c r="I76">
        <v>120.784008424693</v>
      </c>
      <c r="J76">
        <v>62.2473889969773</v>
      </c>
      <c r="K76">
        <v>26.353896335253399</v>
      </c>
      <c r="L76">
        <v>8.9053556837613351E-4</v>
      </c>
      <c r="M76">
        <v>1.9388468968057612E-4</v>
      </c>
      <c r="N76" s="1">
        <v>9.1633133821700694E-6</v>
      </c>
      <c r="O76" s="1">
        <v>6.2905816697532197E-6</v>
      </c>
      <c r="P76" s="1">
        <v>-1.6187028875674298E-5</v>
      </c>
    </row>
    <row r="77" spans="1:16" x14ac:dyDescent="0.2">
      <c r="A77">
        <v>76</v>
      </c>
      <c r="B77">
        <v>752</v>
      </c>
      <c r="C77">
        <v>200</v>
      </c>
      <c r="D77">
        <v>0.37937911525142798</v>
      </c>
      <c r="E77">
        <v>64.7083465483541</v>
      </c>
      <c r="F77">
        <v>1.5999103100560499</v>
      </c>
      <c r="G77">
        <v>-1089.8616389552637</v>
      </c>
      <c r="H77">
        <v>-894.75472511928228</v>
      </c>
      <c r="I77">
        <v>190.325086385964</v>
      </c>
      <c r="J77">
        <v>100.917360300493</v>
      </c>
      <c r="K77">
        <v>40.4449837854267</v>
      </c>
      <c r="L77">
        <v>7.1324305948350104E-4</v>
      </c>
      <c r="M77">
        <v>1.5433738415233469E-4</v>
      </c>
      <c r="N77" s="1">
        <v>1.13005433277457E-5</v>
      </c>
      <c r="O77" s="1">
        <v>7.6699871628095603E-6</v>
      </c>
      <c r="P77" s="1">
        <v>-1.9809518456507099E-5</v>
      </c>
    </row>
    <row r="78" spans="1:16" x14ac:dyDescent="0.2">
      <c r="A78">
        <v>77</v>
      </c>
      <c r="B78">
        <v>751</v>
      </c>
      <c r="C78">
        <v>200</v>
      </c>
      <c r="D78">
        <v>0.378704779573308</v>
      </c>
      <c r="E78">
        <v>84.518741900619702</v>
      </c>
      <c r="F78">
        <v>1.68869145542897</v>
      </c>
      <c r="G78">
        <v>-1412.015645101179</v>
      </c>
      <c r="H78">
        <v>-1168.527982230765</v>
      </c>
      <c r="I78">
        <v>237.75141643632699</v>
      </c>
      <c r="J78">
        <v>127.357540866861</v>
      </c>
      <c r="K78">
        <v>50.0498428110715</v>
      </c>
      <c r="L78">
        <v>6.4939900788168017E-4</v>
      </c>
      <c r="M78">
        <v>1.3990141323288275E-4</v>
      </c>
      <c r="N78" s="1">
        <v>1.287282873919E-5</v>
      </c>
      <c r="O78" s="1">
        <v>8.5959587288814807E-6</v>
      </c>
      <c r="P78" s="1">
        <v>-2.22835808407585E-5</v>
      </c>
    </row>
    <row r="79" spans="1:16" x14ac:dyDescent="0.2">
      <c r="A79">
        <v>78</v>
      </c>
      <c r="B79">
        <v>750</v>
      </c>
      <c r="C79">
        <v>200</v>
      </c>
      <c r="D79">
        <v>0.37802912573913899</v>
      </c>
      <c r="E79">
        <v>92.438388695615203</v>
      </c>
      <c r="F79">
        <v>1.71609955165797</v>
      </c>
      <c r="G79">
        <v>-1540.6319671077943</v>
      </c>
      <c r="H79">
        <v>-1278.0911612650323</v>
      </c>
      <c r="I79">
        <v>256.60606571079899</v>
      </c>
      <c r="J79">
        <v>137.954037873663</v>
      </c>
      <c r="K79">
        <v>53.865399945071601</v>
      </c>
      <c r="L79">
        <v>6.3029595877343988E-4</v>
      </c>
      <c r="M79">
        <v>1.3533257383797263E-4</v>
      </c>
      <c r="N79" s="1">
        <v>1.36605733120292E-5</v>
      </c>
      <c r="O79" s="1">
        <v>8.9472153485542703E-6</v>
      </c>
      <c r="P79" s="1">
        <v>-2.3280706252133999E-5</v>
      </c>
    </row>
    <row r="80" spans="1:16" x14ac:dyDescent="0.2">
      <c r="A80">
        <v>79</v>
      </c>
      <c r="B80">
        <v>749</v>
      </c>
      <c r="C80">
        <v>200</v>
      </c>
      <c r="D80">
        <v>0.37735214988015597</v>
      </c>
      <c r="E80">
        <v>96.802108014879494</v>
      </c>
      <c r="F80">
        <v>1.7301724321104499</v>
      </c>
      <c r="G80">
        <v>-1611.3749150703557</v>
      </c>
      <c r="H80">
        <v>-1338.5545401459099</v>
      </c>
      <c r="I80">
        <v>266.91405078356797</v>
      </c>
      <c r="J80">
        <v>143.81327521417899</v>
      </c>
      <c r="K80">
        <v>55.949399157169999</v>
      </c>
      <c r="L80">
        <v>6.2091592725956231E-4</v>
      </c>
      <c r="M80">
        <v>1.3290835505973318E-4</v>
      </c>
      <c r="N80" s="1">
        <v>1.42145039224614E-5</v>
      </c>
      <c r="O80" s="1">
        <v>9.1264371021169597E-6</v>
      </c>
      <c r="P80" s="1">
        <v>-2.3835826727514898E-5</v>
      </c>
    </row>
    <row r="81" spans="1:16" x14ac:dyDescent="0.2">
      <c r="A81">
        <v>80</v>
      </c>
      <c r="B81">
        <v>748</v>
      </c>
      <c r="C81">
        <v>200</v>
      </c>
      <c r="D81">
        <v>0.37667384811242399</v>
      </c>
      <c r="E81">
        <v>100.087422619476</v>
      </c>
      <c r="F81">
        <v>1.74045259919187</v>
      </c>
      <c r="G81">
        <v>-1664.5625290319231</v>
      </c>
      <c r="H81">
        <v>-1384.1311861867821</v>
      </c>
      <c r="I81">
        <v>274.62886363834798</v>
      </c>
      <c r="J81">
        <v>148.240912027121</v>
      </c>
      <c r="K81">
        <v>57.5065489666015</v>
      </c>
      <c r="L81">
        <v>6.1435499790452605E-4</v>
      </c>
      <c r="M81">
        <v>1.3110814595512245E-4</v>
      </c>
      <c r="N81" s="1">
        <v>1.47017691945446E-5</v>
      </c>
      <c r="O81" s="1">
        <v>9.2533293352312707E-6</v>
      </c>
      <c r="P81" s="1">
        <v>-2.42577213496957E-5</v>
      </c>
    </row>
    <row r="82" spans="1:16" x14ac:dyDescent="0.2">
      <c r="A82">
        <v>81</v>
      </c>
      <c r="B82">
        <v>782</v>
      </c>
      <c r="C82">
        <v>175</v>
      </c>
      <c r="D82">
        <v>0.42507747713595301</v>
      </c>
      <c r="E82">
        <v>5.44999711974513</v>
      </c>
      <c r="F82">
        <v>0.39868395404437801</v>
      </c>
      <c r="G82">
        <v>-120.44568749486341</v>
      </c>
      <c r="H82">
        <v>-68.311757739534613</v>
      </c>
      <c r="I82">
        <v>49.411977992085298</v>
      </c>
      <c r="J82">
        <v>21.307727932970501</v>
      </c>
      <c r="K82">
        <v>13.6699685664763</v>
      </c>
      <c r="L82">
        <v>1.6094568511722069E-3</v>
      </c>
      <c r="M82">
        <v>4.4466643715777659E-4</v>
      </c>
      <c r="N82" s="1">
        <v>-1.15699663728298E-6</v>
      </c>
      <c r="O82" s="1">
        <v>8.6269584439090805E-6</v>
      </c>
      <c r="P82" s="1">
        <v>-1.63802811029227E-5</v>
      </c>
    </row>
    <row r="83" spans="1:16" x14ac:dyDescent="0.2">
      <c r="A83">
        <v>82</v>
      </c>
      <c r="B83">
        <v>781</v>
      </c>
      <c r="C83">
        <v>175</v>
      </c>
      <c r="D83">
        <v>0.42446568325190898</v>
      </c>
      <c r="E83">
        <v>5.7087795955077798</v>
      </c>
      <c r="F83">
        <v>0.41411277821932002</v>
      </c>
      <c r="G83">
        <v>-124.71753063850548</v>
      </c>
      <c r="H83">
        <v>-71.944372758434824</v>
      </c>
      <c r="I83">
        <v>50.065253244459001</v>
      </c>
      <c r="J83">
        <v>21.688642934170201</v>
      </c>
      <c r="K83">
        <v>13.7855673521002</v>
      </c>
      <c r="L83">
        <v>1.6013695526400152E-3</v>
      </c>
      <c r="M83">
        <v>4.4117146028026602E-4</v>
      </c>
      <c r="N83" s="1">
        <v>-1.02728233329103E-6</v>
      </c>
      <c r="O83" s="1">
        <v>8.6361847969972592E-6</v>
      </c>
      <c r="P83" s="1">
        <v>-1.6459468837697898E-5</v>
      </c>
    </row>
    <row r="84" spans="1:16" x14ac:dyDescent="0.2">
      <c r="A84">
        <v>83</v>
      </c>
      <c r="B84">
        <v>780</v>
      </c>
      <c r="C84">
        <v>175</v>
      </c>
      <c r="D84">
        <v>0.42385272753169101</v>
      </c>
      <c r="E84">
        <v>6.1900377682074197</v>
      </c>
      <c r="F84">
        <v>0.44152089224167002</v>
      </c>
      <c r="G84">
        <v>-132.70299797987835</v>
      </c>
      <c r="H84">
        <v>-78.681357947955362</v>
      </c>
      <c r="I84">
        <v>51.298283816778998</v>
      </c>
      <c r="J84">
        <v>22.381766406505601</v>
      </c>
      <c r="K84">
        <v>14.019807164230899</v>
      </c>
      <c r="L84">
        <v>1.5844985083257844E-3</v>
      </c>
      <c r="M84">
        <v>4.3523948181093866E-4</v>
      </c>
      <c r="N84" s="1">
        <v>-8.9919006338646901E-7</v>
      </c>
      <c r="O84" s="1">
        <v>8.6692897976164201E-6</v>
      </c>
      <c r="P84" s="1">
        <v>-1.65848475641811E-5</v>
      </c>
    </row>
    <row r="85" spans="1:16" x14ac:dyDescent="0.2">
      <c r="A85">
        <v>84</v>
      </c>
      <c r="B85">
        <v>779</v>
      </c>
      <c r="C85">
        <v>175</v>
      </c>
      <c r="D85">
        <v>0.42323860666254698</v>
      </c>
      <c r="E85">
        <v>6.6727984023165199</v>
      </c>
      <c r="F85">
        <v>0.46811452558552702</v>
      </c>
      <c r="G85">
        <v>-140.70995208452467</v>
      </c>
      <c r="H85">
        <v>-85.439440666066815</v>
      </c>
      <c r="I85">
        <v>52.534028214819799</v>
      </c>
      <c r="J85">
        <v>23.077435737682698</v>
      </c>
      <c r="K85">
        <v>14.254627954494699</v>
      </c>
      <c r="L85">
        <v>1.5681390873247636E-3</v>
      </c>
      <c r="M85">
        <v>4.2947691424072477E-4</v>
      </c>
      <c r="N85" s="1">
        <v>-7.6810952885550502E-7</v>
      </c>
      <c r="O85" s="1">
        <v>8.7022555848213504E-6</v>
      </c>
      <c r="P85" s="1">
        <v>-1.67108244326081E-5</v>
      </c>
    </row>
    <row r="86" spans="1:16" x14ac:dyDescent="0.2">
      <c r="A86">
        <v>85</v>
      </c>
      <c r="B86">
        <v>778</v>
      </c>
      <c r="C86">
        <v>175</v>
      </c>
      <c r="D86">
        <v>0.422623317319128</v>
      </c>
      <c r="E86">
        <v>7.1567905817428299</v>
      </c>
      <c r="F86">
        <v>0.49391652214321602</v>
      </c>
      <c r="G86">
        <v>-148.7338435605657</v>
      </c>
      <c r="H86">
        <v>-92.214852441151493</v>
      </c>
      <c r="I86">
        <v>53.771751252874701</v>
      </c>
      <c r="J86">
        <v>23.775273615722501</v>
      </c>
      <c r="K86">
        <v>14.4898788780903</v>
      </c>
      <c r="L86">
        <v>1.5522783662022313E-3</v>
      </c>
      <c r="M86">
        <v>4.2387896779609412E-4</v>
      </c>
      <c r="N86" s="1">
        <v>-6.3400245922008501E-7</v>
      </c>
      <c r="O86" s="1">
        <v>8.7350473322655198E-6</v>
      </c>
      <c r="P86" s="1">
        <v>-1.6837335901682501E-5</v>
      </c>
    </row>
    <row r="87" spans="1:16" x14ac:dyDescent="0.2">
      <c r="A87">
        <v>86</v>
      </c>
      <c r="B87">
        <v>777</v>
      </c>
      <c r="C87">
        <v>175</v>
      </c>
      <c r="D87">
        <v>0.42200685616340999</v>
      </c>
      <c r="E87">
        <v>7.6417410354706599</v>
      </c>
      <c r="F87">
        <v>0.51894934859756403</v>
      </c>
      <c r="G87">
        <v>-156.77008944640573</v>
      </c>
      <c r="H87">
        <v>-99.003792581723275</v>
      </c>
      <c r="I87">
        <v>55.010713659505299</v>
      </c>
      <c r="J87">
        <v>24.4748996082315</v>
      </c>
      <c r="K87">
        <v>14.7254082814095</v>
      </c>
      <c r="L87">
        <v>1.5369035574533427E-3</v>
      </c>
      <c r="M87">
        <v>4.1844093126217383E-4</v>
      </c>
      <c r="N87" s="1">
        <v>-4.9683267025758598E-7</v>
      </c>
      <c r="O87" s="1">
        <v>8.7676303636326801E-6</v>
      </c>
      <c r="P87" s="1">
        <v>-1.6964317694386801E-5</v>
      </c>
    </row>
    <row r="88" spans="1:16" x14ac:dyDescent="0.2">
      <c r="A88">
        <v>87</v>
      </c>
      <c r="B88">
        <v>776</v>
      </c>
      <c r="C88">
        <v>175</v>
      </c>
      <c r="D88">
        <v>0.42138921984463801</v>
      </c>
      <c r="E88">
        <v>8.12737571718346</v>
      </c>
      <c r="F88">
        <v>0.54323512074172298</v>
      </c>
      <c r="G88">
        <v>-164.81409961474978</v>
      </c>
      <c r="H88">
        <v>-105.80245013858297</v>
      </c>
      <c r="I88">
        <v>56.250176291905099</v>
      </c>
      <c r="J88">
        <v>25.175932414309798</v>
      </c>
      <c r="K88">
        <v>14.9610645682968</v>
      </c>
      <c r="L88">
        <v>1.5220019920728263E-3</v>
      </c>
      <c r="M88">
        <v>4.131581666032883E-4</v>
      </c>
      <c r="N88" s="1">
        <v>-3.5656616580361698E-7</v>
      </c>
      <c r="O88" s="1">
        <v>8.7999703364836808E-6</v>
      </c>
      <c r="P88" s="1">
        <v>-1.7091705143996599E-5</v>
      </c>
    </row>
    <row r="89" spans="1:16" x14ac:dyDescent="0.2">
      <c r="A89">
        <v>88</v>
      </c>
      <c r="B89">
        <v>775</v>
      </c>
      <c r="C89">
        <v>175</v>
      </c>
      <c r="D89">
        <v>0.42077040499928797</v>
      </c>
      <c r="E89">
        <v>8.6134213441100194</v>
      </c>
      <c r="F89">
        <v>0.56679562153757701</v>
      </c>
      <c r="G89">
        <v>-172.86130244467816</v>
      </c>
      <c r="H89">
        <v>-112.60702529374937</v>
      </c>
      <c r="I89">
        <v>57.489404222957901</v>
      </c>
      <c r="J89">
        <v>25.8779920593546</v>
      </c>
      <c r="K89">
        <v>15.196697040008701</v>
      </c>
      <c r="L89">
        <v>1.5075611080628719E-3</v>
      </c>
      <c r="M89">
        <v>4.0802610530018125E-4</v>
      </c>
      <c r="N89" s="1">
        <v>-2.1317122415225501E-7</v>
      </c>
      <c r="O89" s="1">
        <v>8.8320334177860092E-6</v>
      </c>
      <c r="P89" s="1">
        <v>-1.72194335319694E-5</v>
      </c>
    </row>
    <row r="90" spans="1:16" x14ac:dyDescent="0.2">
      <c r="A90">
        <v>89</v>
      </c>
      <c r="B90">
        <v>774</v>
      </c>
      <c r="C90">
        <v>175</v>
      </c>
      <c r="D90">
        <v>0.420150408250972</v>
      </c>
      <c r="E90">
        <v>9.0996068791889808</v>
      </c>
      <c r="F90">
        <v>0.58965231212151803</v>
      </c>
      <c r="G90">
        <v>-180.90716949766494</v>
      </c>
      <c r="H90">
        <v>-119.41374995576739</v>
      </c>
      <c r="I90">
        <v>58.7276706583935</v>
      </c>
      <c r="J90">
        <v>26.580702009760898</v>
      </c>
      <c r="K90">
        <v>15.432156700021</v>
      </c>
      <c r="L90">
        <v>1.4935684440795019E-3</v>
      </c>
      <c r="M90">
        <v>4.0304024615213217E-4</v>
      </c>
      <c r="N90" s="1">
        <v>-6.6618468938110799E-8</v>
      </c>
      <c r="O90" s="1">
        <v>8.8637864492291495E-6</v>
      </c>
      <c r="P90" s="1">
        <v>-1.7347438413745301E-5</v>
      </c>
    </row>
    <row r="91" spans="1:16" x14ac:dyDescent="0.2">
      <c r="A91">
        <v>90</v>
      </c>
      <c r="B91">
        <v>773</v>
      </c>
      <c r="C91">
        <v>175</v>
      </c>
      <c r="D91">
        <v>0.41952922621038902</v>
      </c>
      <c r="E91">
        <v>9.5856649294196394</v>
      </c>
      <c r="F91">
        <v>0.61182633633701</v>
      </c>
      <c r="G91">
        <v>-188.94723874813025</v>
      </c>
      <c r="H91">
        <v>-126.21890718472267</v>
      </c>
      <c r="I91">
        <v>59.964260613371998</v>
      </c>
      <c r="J91">
        <v>27.283691169127</v>
      </c>
      <c r="K91">
        <v>15.6672970091624</v>
      </c>
      <c r="L91">
        <v>1.4800116378698089E-3</v>
      </c>
      <c r="M91">
        <v>3.9819615442085416E-4</v>
      </c>
      <c r="N91" s="1">
        <v>8.3119075365687402E-8</v>
      </c>
      <c r="O91" s="1">
        <v>8.8951970994870208E-6</v>
      </c>
      <c r="P91" s="1">
        <v>-1.7475655926519599E-5</v>
      </c>
    </row>
    <row r="92" spans="1:16" x14ac:dyDescent="0.2">
      <c r="A92">
        <v>91</v>
      </c>
      <c r="B92">
        <v>772</v>
      </c>
      <c r="C92">
        <v>175</v>
      </c>
      <c r="D92">
        <v>0.418906855475288</v>
      </c>
      <c r="E92">
        <v>10.071333056045701</v>
      </c>
      <c r="F92">
        <v>0.63333852029307702</v>
      </c>
      <c r="G92">
        <v>-196.97713630003616</v>
      </c>
      <c r="H92">
        <v>-133.0188493869243</v>
      </c>
      <c r="I92">
        <v>61.198474338798597</v>
      </c>
      <c r="J92">
        <v>27.986595750026201</v>
      </c>
      <c r="K92">
        <v>15.9019745891742</v>
      </c>
      <c r="L92">
        <v>1.466878428456576E-3</v>
      </c>
      <c r="M92">
        <v>3.9348946200533407E-4</v>
      </c>
      <c r="N92" s="1">
        <v>2.36065942721919E-7</v>
      </c>
      <c r="O92" s="1">
        <v>8.9262340033545104E-6</v>
      </c>
      <c r="P92" s="1">
        <v>-1.7604023078319701E-5</v>
      </c>
    </row>
    <row r="93" spans="1:16" x14ac:dyDescent="0.2">
      <c r="A93">
        <v>92</v>
      </c>
      <c r="B93">
        <v>771</v>
      </c>
      <c r="C93">
        <v>175</v>
      </c>
      <c r="D93">
        <v>0.41828329263037001</v>
      </c>
      <c r="E93">
        <v>10.5563549736752</v>
      </c>
      <c r="F93">
        <v>0.65420936744912805</v>
      </c>
      <c r="G93">
        <v>-204.99259621169199</v>
      </c>
      <c r="H93">
        <v>-139.81001496149707</v>
      </c>
      <c r="I93">
        <v>62.4296304381553</v>
      </c>
      <c r="J93">
        <v>28.6890609888396</v>
      </c>
      <c r="K93">
        <v>16.136049862502301</v>
      </c>
      <c r="L93">
        <v>1.4541566617528418E-3</v>
      </c>
      <c r="M93">
        <v>3.8891586854090775E-4</v>
      </c>
      <c r="N93" s="1">
        <v>3.92244198962598E-7</v>
      </c>
      <c r="O93" s="1">
        <v>8.9568668854244793E-6</v>
      </c>
      <c r="P93" s="1">
        <v>-1.7732478013227199E-5</v>
      </c>
    </row>
    <row r="94" spans="1:16" x14ac:dyDescent="0.2">
      <c r="A94">
        <v>93</v>
      </c>
      <c r="B94">
        <v>770</v>
      </c>
      <c r="C94">
        <v>175</v>
      </c>
      <c r="D94">
        <v>0.41765853424723398</v>
      </c>
      <c r="E94">
        <v>11.0404816265742</v>
      </c>
      <c r="F94">
        <v>0.67445905011313001</v>
      </c>
      <c r="G94">
        <v>-212.98947823730001</v>
      </c>
      <c r="H94">
        <v>-146.58894323633788</v>
      </c>
      <c r="I94">
        <v>63.657068645043601</v>
      </c>
      <c r="J94">
        <v>29.390742686833399</v>
      </c>
      <c r="K94">
        <v>16.369387622157902</v>
      </c>
      <c r="L94">
        <v>1.4418342989918451E-3</v>
      </c>
      <c r="M94">
        <v>3.844711432370714E-4</v>
      </c>
      <c r="N94" s="1">
        <v>5.5167342831993801E-7</v>
      </c>
      <c r="O94" s="1">
        <v>8.9870666672173607E-6</v>
      </c>
      <c r="P94" s="1">
        <v>-1.7860960249898499E-5</v>
      </c>
    </row>
    <row r="95" spans="1:16" x14ac:dyDescent="0.2">
      <c r="A95">
        <v>94</v>
      </c>
      <c r="B95">
        <v>769</v>
      </c>
      <c r="C95">
        <v>175</v>
      </c>
      <c r="D95">
        <v>0.41703257688433099</v>
      </c>
      <c r="E95">
        <v>11.5234721479413</v>
      </c>
      <c r="F95">
        <v>0.69410739873303395</v>
      </c>
      <c r="G95">
        <v>-220.96378358696694</v>
      </c>
      <c r="H95">
        <v>-153.35228777477678</v>
      </c>
      <c r="I95">
        <v>64.880152278722704</v>
      </c>
      <c r="J95">
        <v>30.091308585812499</v>
      </c>
      <c r="K95">
        <v>16.601857535268</v>
      </c>
      <c r="L95">
        <v>1.4298994269750401E-3</v>
      </c>
      <c r="M95">
        <v>3.8015112716894791E-4</v>
      </c>
      <c r="N95" s="1">
        <v>7.1437073187655195E-7</v>
      </c>
      <c r="O95" s="1">
        <v>9.0168055588504497E-6</v>
      </c>
      <c r="P95" s="1">
        <v>-1.7989410894797601E-5</v>
      </c>
    </row>
    <row r="96" spans="1:16" x14ac:dyDescent="0.2">
      <c r="A96">
        <v>95</v>
      </c>
      <c r="B96">
        <v>768</v>
      </c>
      <c r="C96">
        <v>175</v>
      </c>
      <c r="D96">
        <v>0.416405417086878</v>
      </c>
      <c r="E96">
        <v>12.0050946822883</v>
      </c>
      <c r="F96">
        <v>0.71317388911513802</v>
      </c>
      <c r="G96">
        <v>-228.91166838023486</v>
      </c>
      <c r="H96">
        <v>-160.09682777694317</v>
      </c>
      <c r="I96">
        <v>66.098270328461496</v>
      </c>
      <c r="J96">
        <v>30.790439550742001</v>
      </c>
      <c r="K96">
        <v>16.8333345703156</v>
      </c>
      <c r="L96">
        <v>1.4183402700587973E-3</v>
      </c>
      <c r="M96">
        <v>3.7595173599109784E-4</v>
      </c>
      <c r="N96" s="1">
        <v>8.80350736705223E-7</v>
      </c>
      <c r="O96" s="1">
        <v>9.0460571336539492E-6</v>
      </c>
      <c r="P96" s="1">
        <v>-1.81177728262284E-5</v>
      </c>
    </row>
    <row r="97" spans="1:16" x14ac:dyDescent="0.2">
      <c r="A97">
        <v>96</v>
      </c>
      <c r="B97">
        <v>767</v>
      </c>
      <c r="C97">
        <v>175</v>
      </c>
      <c r="D97">
        <v>0.41577705138682203</v>
      </c>
      <c r="E97">
        <v>13.7786072106388</v>
      </c>
      <c r="F97">
        <v>0.77777893764112305</v>
      </c>
      <c r="G97">
        <v>-258.30933219679758</v>
      </c>
      <c r="H97">
        <v>-185.02962361188108</v>
      </c>
      <c r="I97">
        <v>70.454396928693598</v>
      </c>
      <c r="J97">
        <v>33.2223657687721</v>
      </c>
      <c r="K97">
        <v>17.7153257099339</v>
      </c>
      <c r="L97">
        <v>1.3718437498051899E-3</v>
      </c>
      <c r="M97">
        <v>3.6247823364453835E-4</v>
      </c>
      <c r="N97" s="1">
        <v>1.0564026783725401E-6</v>
      </c>
      <c r="O97" s="1">
        <v>9.1824533772829102E-6</v>
      </c>
      <c r="P97" s="1">
        <v>-1.8462422769984799E-5</v>
      </c>
    </row>
    <row r="98" spans="1:16" x14ac:dyDescent="0.2">
      <c r="A98">
        <v>97</v>
      </c>
      <c r="B98">
        <v>766</v>
      </c>
      <c r="C98">
        <v>175</v>
      </c>
      <c r="D98">
        <v>0.41514747630275201</v>
      </c>
      <c r="E98">
        <v>16.217237656220501</v>
      </c>
      <c r="F98">
        <v>0.85664064414973795</v>
      </c>
      <c r="G98">
        <v>-298.72536047025102</v>
      </c>
      <c r="H98">
        <v>-219.31554577077625</v>
      </c>
      <c r="I98">
        <v>76.421427555773505</v>
      </c>
      <c r="J98">
        <v>36.546984914727801</v>
      </c>
      <c r="K98">
        <v>18.931202677544</v>
      </c>
      <c r="L98">
        <v>1.3141631296301334E-3</v>
      </c>
      <c r="M98">
        <v>3.4611183137879704E-4</v>
      </c>
      <c r="N98" s="1">
        <v>1.2438199323430599E-6</v>
      </c>
      <c r="O98" s="1">
        <v>9.3728358441151798E-6</v>
      </c>
      <c r="P98" s="1">
        <v>-1.89185986871261E-5</v>
      </c>
    </row>
    <row r="99" spans="1:16" x14ac:dyDescent="0.2">
      <c r="A99">
        <v>98</v>
      </c>
      <c r="B99">
        <v>765</v>
      </c>
      <c r="C99">
        <v>175</v>
      </c>
      <c r="D99">
        <v>0.41451668833983701</v>
      </c>
      <c r="E99">
        <v>18.714846375511801</v>
      </c>
      <c r="F99">
        <v>0.92761559630975599</v>
      </c>
      <c r="G99">
        <v>-340.08575707117774</v>
      </c>
      <c r="H99">
        <v>-254.41645770872415</v>
      </c>
      <c r="I99">
        <v>82.524579355720505</v>
      </c>
      <c r="J99">
        <v>39.9511692851611</v>
      </c>
      <c r="K99">
        <v>20.175217460727598</v>
      </c>
      <c r="L99">
        <v>1.2622539808975844E-3</v>
      </c>
      <c r="M99">
        <v>3.3136243063386248E-4</v>
      </c>
      <c r="N99" s="1">
        <v>1.44058874655615E-6</v>
      </c>
      <c r="O99" s="1">
        <v>9.5663603894477101E-6</v>
      </c>
      <c r="P99" s="1">
        <v>-1.9384583471241899E-5</v>
      </c>
    </row>
    <row r="100" spans="1:16" x14ac:dyDescent="0.2">
      <c r="A100">
        <v>99</v>
      </c>
      <c r="B100">
        <v>764</v>
      </c>
      <c r="C100">
        <v>175</v>
      </c>
      <c r="D100">
        <v>0.41388468398978101</v>
      </c>
      <c r="E100">
        <v>21.289265434952</v>
      </c>
      <c r="F100">
        <v>0.99222673068731604</v>
      </c>
      <c r="G100">
        <v>-382.68101934059865</v>
      </c>
      <c r="H100">
        <v>-290.57964450860214</v>
      </c>
      <c r="I100">
        <v>88.805910937701199</v>
      </c>
      <c r="J100">
        <v>43.458301280694798</v>
      </c>
      <c r="K100">
        <v>21.456049082859199</v>
      </c>
      <c r="L100">
        <v>1.2149826026706598E-3</v>
      </c>
      <c r="M100">
        <v>3.1791743343053286E-4</v>
      </c>
      <c r="N100" s="1">
        <v>1.6471862960032199E-6</v>
      </c>
      <c r="O100" s="1">
        <v>9.7642253542102801E-6</v>
      </c>
      <c r="P100" s="1">
        <v>-1.98629191770041E-5</v>
      </c>
    </row>
    <row r="101" spans="1:16" x14ac:dyDescent="0.2">
      <c r="A101">
        <v>100</v>
      </c>
      <c r="B101">
        <v>763</v>
      </c>
      <c r="C101">
        <v>175</v>
      </c>
      <c r="D101">
        <v>0.41325145973073701</v>
      </c>
      <c r="E101">
        <v>23.966758914527301</v>
      </c>
      <c r="F101">
        <v>1.05179526107766</v>
      </c>
      <c r="G101">
        <v>-426.93935422365973</v>
      </c>
      <c r="H101">
        <v>-328.1694528710139</v>
      </c>
      <c r="I101">
        <v>95.327571103162796</v>
      </c>
      <c r="J101">
        <v>47.102898389466503</v>
      </c>
      <c r="K101">
        <v>22.7865249078713</v>
      </c>
      <c r="L101">
        <v>1.1713592116030294E-3</v>
      </c>
      <c r="M101">
        <v>3.0550556154390401E-4</v>
      </c>
      <c r="N101" s="1">
        <v>1.8642701688029799E-6</v>
      </c>
      <c r="O101" s="1">
        <v>9.9682316019086295E-6</v>
      </c>
      <c r="P101" s="1">
        <v>-2.03574175316867E-5</v>
      </c>
    </row>
    <row r="102" spans="1:16" x14ac:dyDescent="0.2">
      <c r="A102">
        <v>101</v>
      </c>
      <c r="B102">
        <v>762</v>
      </c>
      <c r="C102">
        <v>175</v>
      </c>
      <c r="D102">
        <v>0.41261701202724399</v>
      </c>
      <c r="E102">
        <v>26.787437344344401</v>
      </c>
      <c r="F102">
        <v>1.1075467991124099</v>
      </c>
      <c r="G102">
        <v>-473.51506227281811</v>
      </c>
      <c r="H102">
        <v>-367.74244489867618</v>
      </c>
      <c r="I102">
        <v>102.184676996532</v>
      </c>
      <c r="J102">
        <v>50.937756113821699</v>
      </c>
      <c r="K102">
        <v>24.186280314124701</v>
      </c>
      <c r="L102">
        <v>1.1304569868394163E-3</v>
      </c>
      <c r="M102">
        <v>2.9387504397395802E-4</v>
      </c>
      <c r="N102" s="1">
        <v>2.0928001978754698E-6</v>
      </c>
      <c r="O102" s="1">
        <v>1.01811661545153E-5</v>
      </c>
      <c r="P102" s="1">
        <v>-2.0873971164839599E-5</v>
      </c>
    </row>
    <row r="103" spans="1:16" x14ac:dyDescent="0.2">
      <c r="A103">
        <v>102</v>
      </c>
      <c r="B103">
        <v>761</v>
      </c>
      <c r="C103">
        <v>175</v>
      </c>
      <c r="D103">
        <v>0.411981337330175</v>
      </c>
      <c r="E103">
        <v>29.815532260453999</v>
      </c>
      <c r="F103">
        <v>1.16073357105856</v>
      </c>
      <c r="G103">
        <v>-523.45620980190995</v>
      </c>
      <c r="H103">
        <v>-410.18998899527867</v>
      </c>
      <c r="I103">
        <v>109.529726788313</v>
      </c>
      <c r="J103">
        <v>55.047490367336998</v>
      </c>
      <c r="K103">
        <v>25.686801005732001</v>
      </c>
      <c r="L103">
        <v>1.0913169779595056E-3</v>
      </c>
      <c r="M103">
        <v>2.8276846613067993E-4</v>
      </c>
      <c r="N103" s="1">
        <v>2.3342691790790599E-6</v>
      </c>
      <c r="O103" s="1">
        <v>1.04075265506224E-5</v>
      </c>
      <c r="P103" s="1">
        <v>-2.1422085113645199E-5</v>
      </c>
    </row>
    <row r="104" spans="1:16" x14ac:dyDescent="0.2">
      <c r="A104">
        <v>103</v>
      </c>
      <c r="B104">
        <v>760</v>
      </c>
      <c r="C104">
        <v>175</v>
      </c>
      <c r="D104">
        <v>0.41134443207665999</v>
      </c>
      <c r="E104">
        <v>33.160458906818</v>
      </c>
      <c r="F104">
        <v>1.21281411234999</v>
      </c>
      <c r="G104">
        <v>-578.54824503041755</v>
      </c>
      <c r="H104">
        <v>-457.03051970114643</v>
      </c>
      <c r="I104">
        <v>117.622586398321</v>
      </c>
      <c r="J104">
        <v>59.576271962707203</v>
      </c>
      <c r="K104">
        <v>27.341748887275902</v>
      </c>
      <c r="L104">
        <v>1.0528059373342291E-3</v>
      </c>
      <c r="M104">
        <v>2.7188575311634509E-4</v>
      </c>
      <c r="N104" s="1">
        <v>2.5911755134665998E-6</v>
      </c>
      <c r="O104" s="1">
        <v>1.06549975480476E-5</v>
      </c>
      <c r="P104" s="1">
        <v>-2.20179988886082E-5</v>
      </c>
    </row>
    <row r="105" spans="1:16" x14ac:dyDescent="0.2">
      <c r="A105">
        <v>104</v>
      </c>
      <c r="B105">
        <v>759</v>
      </c>
      <c r="C105">
        <v>175</v>
      </c>
      <c r="D105">
        <v>0.41070629269001901</v>
      </c>
      <c r="E105">
        <v>37.0231126194236</v>
      </c>
      <c r="F105">
        <v>1.2657637475183201</v>
      </c>
      <c r="G105">
        <v>-642.06890450648598</v>
      </c>
      <c r="H105">
        <v>-511.05177935577268</v>
      </c>
      <c r="I105">
        <v>126.94016622945399</v>
      </c>
      <c r="J105">
        <v>64.788704556108698</v>
      </c>
      <c r="K105">
        <v>29.249623155989202</v>
      </c>
      <c r="L105">
        <v>1.0133680597229212E-3</v>
      </c>
      <c r="M105">
        <v>2.608201757648019E-4</v>
      </c>
      <c r="N105" s="1">
        <v>2.8680714459984399E-6</v>
      </c>
      <c r="O105" s="1">
        <v>1.09376697599165E-5</v>
      </c>
      <c r="P105" s="1">
        <v>-2.2691495722330799E-5</v>
      </c>
    </row>
    <row r="106" spans="1:16" x14ac:dyDescent="0.2">
      <c r="A106">
        <v>105</v>
      </c>
      <c r="B106">
        <v>758</v>
      </c>
      <c r="C106">
        <v>175</v>
      </c>
      <c r="D106">
        <v>0.41006691557969399</v>
      </c>
      <c r="E106">
        <v>43.2511096376304</v>
      </c>
      <c r="F106">
        <v>1.3383489322494699</v>
      </c>
      <c r="G106">
        <v>-744.19173801196541</v>
      </c>
      <c r="H106">
        <v>-597.91269546643662</v>
      </c>
      <c r="I106">
        <v>141.86431817235899</v>
      </c>
      <c r="J106">
        <v>73.116673426718904</v>
      </c>
      <c r="K106">
        <v>32.316766274796898</v>
      </c>
      <c r="L106">
        <v>9.5815177979718751E-4</v>
      </c>
      <c r="M106">
        <v>2.4571669876200756E-4</v>
      </c>
      <c r="N106" s="1">
        <v>3.1994377434996402E-6</v>
      </c>
      <c r="O106" s="1">
        <v>1.13865448967101E-5</v>
      </c>
      <c r="P106" s="1">
        <v>-2.3716311093545799E-5</v>
      </c>
    </row>
    <row r="107" spans="1:16" x14ac:dyDescent="0.2">
      <c r="A107">
        <v>106</v>
      </c>
      <c r="B107">
        <v>757</v>
      </c>
      <c r="C107">
        <v>175</v>
      </c>
      <c r="D107">
        <v>0.40942629714119499</v>
      </c>
      <c r="E107">
        <v>78.145451484236403</v>
      </c>
      <c r="F107">
        <v>1.5809254884944399</v>
      </c>
      <c r="G107">
        <v>-1311.7107073620568</v>
      </c>
      <c r="H107">
        <v>-1079.957910812308</v>
      </c>
      <c r="I107">
        <v>224.975127223237</v>
      </c>
      <c r="J107">
        <v>119.233578858199</v>
      </c>
      <c r="K107">
        <v>49.430192664333902</v>
      </c>
      <c r="L107">
        <v>7.7143424568899052E-4</v>
      </c>
      <c r="M107">
        <v>1.9663299443914678E-4</v>
      </c>
      <c r="N107" s="1">
        <v>4.0968864083690103E-6</v>
      </c>
      <c r="O107" s="1">
        <v>1.39220753565183E-5</v>
      </c>
      <c r="P107" s="1">
        <v>-2.9112073644395702E-5</v>
      </c>
    </row>
    <row r="108" spans="1:16" x14ac:dyDescent="0.2">
      <c r="A108">
        <v>107</v>
      </c>
      <c r="B108">
        <v>756</v>
      </c>
      <c r="C108">
        <v>175</v>
      </c>
      <c r="D108">
        <v>0.40878443375601398</v>
      </c>
      <c r="E108">
        <v>89.185546175575197</v>
      </c>
      <c r="F108">
        <v>1.6271801414562499</v>
      </c>
      <c r="G108">
        <v>-1491.1011194003358</v>
      </c>
      <c r="H108">
        <v>-1232.64666508761</v>
      </c>
      <c r="I108">
        <v>251.139381319405</v>
      </c>
      <c r="J108">
        <v>133.85119503361901</v>
      </c>
      <c r="K108">
        <v>54.8098786995754</v>
      </c>
      <c r="L108">
        <v>7.3684807546962677E-4</v>
      </c>
      <c r="M108">
        <v>1.8713089245421535E-4</v>
      </c>
      <c r="N108" s="1">
        <v>4.6059953045158299E-6</v>
      </c>
      <c r="O108" s="1">
        <v>1.4692964469808499E-5</v>
      </c>
      <c r="P108" s="1">
        <v>-3.0846266558299402E-5</v>
      </c>
    </row>
    <row r="109" spans="1:16" x14ac:dyDescent="0.2">
      <c r="A109">
        <v>108</v>
      </c>
      <c r="B109">
        <v>755</v>
      </c>
      <c r="C109">
        <v>175</v>
      </c>
      <c r="D109">
        <v>0.40814132179156798</v>
      </c>
      <c r="E109">
        <v>94.649711510742193</v>
      </c>
      <c r="F109">
        <v>1.6475532983550301</v>
      </c>
      <c r="G109">
        <v>-1579.7394641151259</v>
      </c>
      <c r="H109">
        <v>-1308.3106428553251</v>
      </c>
      <c r="I109">
        <v>264.002931430969</v>
      </c>
      <c r="J109">
        <v>141.11098326704101</v>
      </c>
      <c r="K109">
        <v>57.4486492213898</v>
      </c>
      <c r="L109">
        <v>7.2233581956840332E-4</v>
      </c>
      <c r="M109">
        <v>1.8285095054048432E-4</v>
      </c>
      <c r="N109" s="1">
        <v>5.0265721441624999E-6</v>
      </c>
      <c r="O109" s="1">
        <v>1.50529975902993E-5</v>
      </c>
      <c r="P109" s="1">
        <v>-3.17281604734242E-5</v>
      </c>
    </row>
    <row r="110" spans="1:16" x14ac:dyDescent="0.2">
      <c r="A110">
        <v>109</v>
      </c>
      <c r="B110">
        <v>754</v>
      </c>
      <c r="C110">
        <v>175</v>
      </c>
      <c r="D110">
        <v>0.40749695760112897</v>
      </c>
      <c r="E110">
        <v>98.246329623041802</v>
      </c>
      <c r="F110">
        <v>1.66046378238373</v>
      </c>
      <c r="G110">
        <v>-1637.9869242793563</v>
      </c>
      <c r="H110">
        <v>-1358.1904883548591</v>
      </c>
      <c r="I110">
        <v>272.406492531629</v>
      </c>
      <c r="J110">
        <v>145.907542104165</v>
      </c>
      <c r="K110">
        <v>59.168005147333602</v>
      </c>
      <c r="L110">
        <v>7.1362695298862722E-4</v>
      </c>
      <c r="M110">
        <v>1.8008277067258096E-4</v>
      </c>
      <c r="N110" s="1">
        <v>5.4214490129474197E-6</v>
      </c>
      <c r="O110" s="1">
        <v>1.5274713068893899E-5</v>
      </c>
      <c r="P110" s="1">
        <v>-3.23241861835908E-5</v>
      </c>
    </row>
    <row r="111" spans="1:16" x14ac:dyDescent="0.2">
      <c r="A111">
        <v>110</v>
      </c>
      <c r="B111">
        <v>753</v>
      </c>
      <c r="C111">
        <v>175</v>
      </c>
      <c r="D111">
        <v>0.40685133752375702</v>
      </c>
      <c r="E111">
        <v>100.71537446919</v>
      </c>
      <c r="F111">
        <v>1.6693217341850399</v>
      </c>
      <c r="G111">
        <v>-1677.8794361000278</v>
      </c>
      <c r="H111">
        <v>-1392.4902309764466</v>
      </c>
      <c r="I111">
        <v>278.12226938796903</v>
      </c>
      <c r="J111">
        <v>149.21890400430701</v>
      </c>
      <c r="K111">
        <v>60.3331115905942</v>
      </c>
      <c r="L111">
        <v>7.080753999085677E-4</v>
      </c>
      <c r="M111">
        <v>1.7813607921925026E-4</v>
      </c>
      <c r="N111" s="1">
        <v>5.8012043063316699E-6</v>
      </c>
      <c r="O111" s="1">
        <v>1.5413616249116599E-5</v>
      </c>
      <c r="P111" s="1">
        <v>-3.2748805419074098E-5</v>
      </c>
    </row>
    <row r="112" spans="1:16" x14ac:dyDescent="0.2">
      <c r="A112">
        <v>111</v>
      </c>
      <c r="B112">
        <v>793</v>
      </c>
      <c r="C112">
        <v>150</v>
      </c>
      <c r="D112">
        <v>0.45752520752239401</v>
      </c>
      <c r="E112">
        <v>5.9788764809172896</v>
      </c>
      <c r="F112">
        <v>0.34783301787624998</v>
      </c>
      <c r="G112">
        <v>-132.78175602138307</v>
      </c>
      <c r="H112">
        <v>-74.480368170114147</v>
      </c>
      <c r="I112">
        <v>54.687215653543397</v>
      </c>
      <c r="J112">
        <v>22.800631343433398</v>
      </c>
      <c r="K112">
        <v>17.188927369294198</v>
      </c>
      <c r="L112">
        <v>1.6813557393298084E-3</v>
      </c>
      <c r="M112">
        <v>5.7801791936935723E-4</v>
      </c>
      <c r="N112" s="1">
        <v>-1.23064811319111E-5</v>
      </c>
      <c r="O112" s="1">
        <v>1.62513065304564E-5</v>
      </c>
      <c r="P112" s="1">
        <v>-2.30220463422124E-5</v>
      </c>
    </row>
    <row r="113" spans="1:16" x14ac:dyDescent="0.2">
      <c r="A113">
        <v>112</v>
      </c>
      <c r="B113">
        <v>792</v>
      </c>
      <c r="C113">
        <v>150</v>
      </c>
      <c r="D113">
        <v>0.456950194808243</v>
      </c>
      <c r="E113">
        <v>6.4373082349201596</v>
      </c>
      <c r="F113">
        <v>0.36978054827601398</v>
      </c>
      <c r="G113">
        <v>-140.38341368689348</v>
      </c>
      <c r="H113">
        <v>-80.900569205235342</v>
      </c>
      <c r="I113">
        <v>55.847765656396298</v>
      </c>
      <c r="J113">
        <v>23.454684492204901</v>
      </c>
      <c r="K113">
        <v>17.4084555418939</v>
      </c>
      <c r="L113">
        <v>1.6689925557081297E-3</v>
      </c>
      <c r="M113">
        <v>5.7211042233600701E-4</v>
      </c>
      <c r="N113" s="1">
        <v>-1.22657158968094E-5</v>
      </c>
      <c r="O113" s="1">
        <v>1.6302285303987E-5</v>
      </c>
      <c r="P113" s="1">
        <v>-2.31793735449306E-5</v>
      </c>
    </row>
    <row r="114" spans="1:16" x14ac:dyDescent="0.2">
      <c r="A114">
        <v>113</v>
      </c>
      <c r="B114">
        <v>791</v>
      </c>
      <c r="C114">
        <v>150</v>
      </c>
      <c r="D114">
        <v>0.45637410139548201</v>
      </c>
      <c r="E114">
        <v>6.8969820024112298</v>
      </c>
      <c r="F114">
        <v>0.39124206771758802</v>
      </c>
      <c r="G114">
        <v>-148.00250319214678</v>
      </c>
      <c r="H114">
        <v>-87.338259419956145</v>
      </c>
      <c r="I114">
        <v>57.010442995000801</v>
      </c>
      <c r="J114">
        <v>24.110871024615999</v>
      </c>
      <c r="K114">
        <v>17.628426418065299</v>
      </c>
      <c r="L114">
        <v>1.6569193877314634E-3</v>
      </c>
      <c r="M114">
        <v>5.6632810999140905E-4</v>
      </c>
      <c r="N114" s="1">
        <v>-1.22222493428654E-5</v>
      </c>
      <c r="O114" s="1">
        <v>1.6353146544007802E-5</v>
      </c>
      <c r="P114" s="1">
        <v>-2.3337684982118298E-5</v>
      </c>
    </row>
    <row r="115" spans="1:16" x14ac:dyDescent="0.2">
      <c r="A115">
        <v>114</v>
      </c>
      <c r="B115">
        <v>790</v>
      </c>
      <c r="C115">
        <v>150</v>
      </c>
      <c r="D115">
        <v>0.45579692423458601</v>
      </c>
      <c r="E115">
        <v>7.3576656973690797</v>
      </c>
      <c r="F115">
        <v>0.41222399852991898</v>
      </c>
      <c r="G115">
        <v>-155.63512780477976</v>
      </c>
      <c r="H115">
        <v>-93.790211257144492</v>
      </c>
      <c r="I115">
        <v>58.174624236889699</v>
      </c>
      <c r="J115">
        <v>24.768872895622099</v>
      </c>
      <c r="K115">
        <v>17.8487077986922</v>
      </c>
      <c r="L115">
        <v>1.6451339614193899E-3</v>
      </c>
      <c r="M115">
        <v>5.6066935607942156E-4</v>
      </c>
      <c r="N115" s="1">
        <v>-1.21759952385548E-5</v>
      </c>
      <c r="O115" s="1">
        <v>1.64038439527313E-5</v>
      </c>
      <c r="P115" s="1">
        <v>-2.3496923422237899E-5</v>
      </c>
    </row>
    <row r="116" spans="1:16" x14ac:dyDescent="0.2">
      <c r="A116">
        <v>115</v>
      </c>
      <c r="B116">
        <v>789</v>
      </c>
      <c r="C116">
        <v>150</v>
      </c>
      <c r="D116">
        <v>0.45521866026455898</v>
      </c>
      <c r="E116">
        <v>7.81912552055321</v>
      </c>
      <c r="F116">
        <v>0.43273303868045498</v>
      </c>
      <c r="G116">
        <v>-163.27736688186835</v>
      </c>
      <c r="H116">
        <v>-100.2531737444955</v>
      </c>
      <c r="I116">
        <v>59.339683135356502</v>
      </c>
      <c r="J116">
        <v>25.428369780029101</v>
      </c>
      <c r="K116">
        <v>18.069166949665501</v>
      </c>
      <c r="L116">
        <v>1.6336337584168376E-3</v>
      </c>
      <c r="M116">
        <v>5.5513245879323242E-4</v>
      </c>
      <c r="N116" s="1">
        <v>-1.2126867668312399E-5</v>
      </c>
      <c r="O116" s="1">
        <v>1.6454331341883E-5</v>
      </c>
      <c r="P116" s="1">
        <v>-2.36570308700362E-5</v>
      </c>
    </row>
    <row r="117" spans="1:16" x14ac:dyDescent="0.2">
      <c r="A117">
        <v>116</v>
      </c>
      <c r="B117">
        <v>788</v>
      </c>
      <c r="C117">
        <v>150</v>
      </c>
      <c r="D117">
        <v>0.45463930641285699</v>
      </c>
      <c r="E117">
        <v>8.2811271857223403</v>
      </c>
      <c r="F117">
        <v>0.45277616282873701</v>
      </c>
      <c r="G117">
        <v>-170.9252963670088</v>
      </c>
      <c r="H117">
        <v>-106.72388953802356</v>
      </c>
      <c r="I117">
        <v>60.504993870810701</v>
      </c>
      <c r="J117">
        <v>26.089040787847502</v>
      </c>
      <c r="K117">
        <v>18.289671289198701</v>
      </c>
      <c r="L117">
        <v>1.6224160116864697E-3</v>
      </c>
      <c r="M117">
        <v>5.4971564047508019E-4</v>
      </c>
      <c r="N117" s="1">
        <v>-1.2074781259930499E-5</v>
      </c>
      <c r="O117" s="1">
        <v>1.6504562855764299E-5</v>
      </c>
      <c r="P117" s="1">
        <v>-2.3817948873177201E-5</v>
      </c>
    </row>
    <row r="118" spans="1:16" x14ac:dyDescent="0.2">
      <c r="A118">
        <v>117</v>
      </c>
      <c r="B118">
        <v>787</v>
      </c>
      <c r="C118">
        <v>150</v>
      </c>
      <c r="D118">
        <v>0.45405885959534198</v>
      </c>
      <c r="E118">
        <v>8.7434371159597699</v>
      </c>
      <c r="F118">
        <v>0.472360618598482</v>
      </c>
      <c r="G118">
        <v>-178.57500874785225</v>
      </c>
      <c r="H118">
        <v>-113.19911154625811</v>
      </c>
      <c r="I118">
        <v>61.669934197048903</v>
      </c>
      <c r="J118">
        <v>26.7505661374529</v>
      </c>
      <c r="K118">
        <v>18.510089054210301</v>
      </c>
      <c r="L118">
        <v>1.6114777048215343E-3</v>
      </c>
      <c r="M118">
        <v>5.444170485847205E-4</v>
      </c>
      <c r="N118" s="1">
        <v>-1.2019651400127801E-5</v>
      </c>
      <c r="O118" s="1">
        <v>1.6554493184348301E-5</v>
      </c>
      <c r="P118" s="1">
        <v>-2.3979618821429E-5</v>
      </c>
    </row>
    <row r="119" spans="1:16" x14ac:dyDescent="0.2">
      <c r="A119">
        <v>118</v>
      </c>
      <c r="B119">
        <v>786</v>
      </c>
      <c r="C119">
        <v>150</v>
      </c>
      <c r="D119">
        <v>0.45347731671623798</v>
      </c>
      <c r="E119">
        <v>9.2058235960772006</v>
      </c>
      <c r="F119">
        <v>0.49149391844651702</v>
      </c>
      <c r="G119">
        <v>-186.22263224529755</v>
      </c>
      <c r="H119">
        <v>-119.67561893950931</v>
      </c>
      <c r="I119">
        <v>62.833888460502699</v>
      </c>
      <c r="J119">
        <v>27.4126287686552</v>
      </c>
      <c r="K119">
        <v>18.730289939648401</v>
      </c>
      <c r="L119">
        <v>1.6008155747623332E-3</v>
      </c>
      <c r="M119">
        <v>5.3923475783785701E-4</v>
      </c>
      <c r="N119" s="1">
        <v>-1.1961394437530301E-5</v>
      </c>
      <c r="O119" s="1">
        <v>1.66040777657808E-5</v>
      </c>
      <c r="P119" s="1">
        <v>-2.41419822372902E-5</v>
      </c>
    </row>
    <row r="120" spans="1:16" x14ac:dyDescent="0.2">
      <c r="A120">
        <v>119</v>
      </c>
      <c r="B120">
        <v>785</v>
      </c>
      <c r="C120">
        <v>150</v>
      </c>
      <c r="D120">
        <v>0.452894674668055</v>
      </c>
      <c r="E120">
        <v>9.6680578673722497</v>
      </c>
      <c r="F120">
        <v>0.51018382757048897</v>
      </c>
      <c r="G120">
        <v>-193.86434900482385</v>
      </c>
      <c r="H120">
        <v>-126.15023235443651</v>
      </c>
      <c r="I120">
        <v>63.996250454057197</v>
      </c>
      <c r="J120">
        <v>28.074915875419101</v>
      </c>
      <c r="K120">
        <v>18.950145702210499</v>
      </c>
      <c r="L120">
        <v>1.5904261176443661E-3</v>
      </c>
      <c r="M120">
        <v>5.3416677339847556E-4</v>
      </c>
      <c r="N120" s="1">
        <v>-1.1899927870377201E-5</v>
      </c>
      <c r="O120" s="1">
        <v>1.66532729748374E-5</v>
      </c>
      <c r="P120" s="1">
        <v>-2.4304981052796099E-5</v>
      </c>
    </row>
    <row r="121" spans="1:16" x14ac:dyDescent="0.2">
      <c r="A121">
        <v>120</v>
      </c>
      <c r="B121">
        <v>784</v>
      </c>
      <c r="C121">
        <v>150</v>
      </c>
      <c r="D121">
        <v>0.45231093033155201</v>
      </c>
      <c r="E121">
        <v>10.129915147472699</v>
      </c>
      <c r="F121">
        <v>0.52843834810633294</v>
      </c>
      <c r="G121">
        <v>-201.49641200594112</v>
      </c>
      <c r="H121">
        <v>-132.61982805386771</v>
      </c>
      <c r="I121">
        <v>65.156426062749603</v>
      </c>
      <c r="J121">
        <v>28.737120334819899</v>
      </c>
      <c r="K121">
        <v>19.169530719663801</v>
      </c>
      <c r="L121">
        <v>1.5803055976448424E-3</v>
      </c>
      <c r="M121">
        <v>5.2921103505848847E-4</v>
      </c>
      <c r="N121" s="1">
        <v>-1.18351705172426E-5</v>
      </c>
      <c r="O121" s="1">
        <v>1.6702036295153901E-5</v>
      </c>
      <c r="P121" s="1">
        <v>-2.4468557868934499E-5</v>
      </c>
    </row>
    <row r="122" spans="1:16" x14ac:dyDescent="0.2">
      <c r="A122">
        <v>121</v>
      </c>
      <c r="B122">
        <v>783</v>
      </c>
      <c r="C122">
        <v>150</v>
      </c>
      <c r="D122">
        <v>0.45172608057567798</v>
      </c>
      <c r="E122">
        <v>10.591175575172199</v>
      </c>
      <c r="F122">
        <v>0.54626570051139101</v>
      </c>
      <c r="G122">
        <v>-209.115160689985</v>
      </c>
      <c r="H122">
        <v>-139.08135104150452</v>
      </c>
      <c r="I122">
        <v>66.313835700529694</v>
      </c>
      <c r="J122">
        <v>29.398942031518299</v>
      </c>
      <c r="K122">
        <v>19.388322505435099</v>
      </c>
      <c r="L122">
        <v>1.5704500581963869E-3</v>
      </c>
      <c r="M122">
        <v>5.243654221699283E-4</v>
      </c>
      <c r="N122" s="1">
        <v>-1.17670426706479E-5</v>
      </c>
      <c r="O122" s="1">
        <v>1.67503264749382E-5</v>
      </c>
      <c r="P122" s="1">
        <v>-2.4632656196781802E-5</v>
      </c>
    </row>
    <row r="123" spans="1:16" x14ac:dyDescent="0.2">
      <c r="A123">
        <v>122</v>
      </c>
      <c r="B123">
        <v>782</v>
      </c>
      <c r="C123">
        <v>150</v>
      </c>
      <c r="D123">
        <v>0.451140122257502</v>
      </c>
      <c r="E123">
        <v>11.0516250655609</v>
      </c>
      <c r="F123">
        <v>0.56367430235279403</v>
      </c>
      <c r="G123">
        <v>-216.71703506618653</v>
      </c>
      <c r="H123">
        <v>-145.53182692717792</v>
      </c>
      <c r="I123">
        <v>67.467916502828999</v>
      </c>
      <c r="J123">
        <v>30.0600890581009</v>
      </c>
      <c r="K123">
        <v>19.606402171309099</v>
      </c>
      <c r="L123">
        <v>1.560855335440908E-3</v>
      </c>
      <c r="M123">
        <v>5.1962775927060769E-4</v>
      </c>
      <c r="N123" s="1">
        <v>-1.16954662325756E-5</v>
      </c>
      <c r="O123" s="1">
        <v>1.6798103664645299E-5</v>
      </c>
      <c r="P123" s="1">
        <v>-2.4797220677612299E-5</v>
      </c>
    </row>
    <row r="124" spans="1:16" x14ac:dyDescent="0.2">
      <c r="A124">
        <v>123</v>
      </c>
      <c r="B124">
        <v>781</v>
      </c>
      <c r="C124">
        <v>150</v>
      </c>
      <c r="D124">
        <v>0.45055305222216901</v>
      </c>
      <c r="E124">
        <v>11.511056073571799</v>
      </c>
      <c r="F124">
        <v>0.58067274517739997</v>
      </c>
      <c r="G124">
        <v>-224.29858826668328</v>
      </c>
      <c r="H124">
        <v>-151.96837251741886</v>
      </c>
      <c r="I124">
        <v>68.618124269429501</v>
      </c>
      <c r="J124">
        <v>30.720278787979801</v>
      </c>
      <c r="K124">
        <v>19.823654836865199</v>
      </c>
      <c r="L124">
        <v>1.5515170734410329E-3</v>
      </c>
      <c r="M124">
        <v>5.1499582222503748E-4</v>
      </c>
      <c r="N124" s="1">
        <v>-1.16203648316264E-5</v>
      </c>
      <c r="O124" s="1">
        <v>1.6845329535933001E-5</v>
      </c>
      <c r="P124" s="1">
        <v>-2.4962197280411299E-5</v>
      </c>
    </row>
    <row r="125" spans="1:16" x14ac:dyDescent="0.2">
      <c r="A125">
        <v>124</v>
      </c>
      <c r="B125">
        <v>780</v>
      </c>
      <c r="C125">
        <v>150</v>
      </c>
      <c r="D125">
        <v>0.44996486730285301</v>
      </c>
      <c r="E125">
        <v>11.9692682587007</v>
      </c>
      <c r="F125">
        <v>0.597269769833913</v>
      </c>
      <c r="G125">
        <v>-231.85649743381794</v>
      </c>
      <c r="H125">
        <v>-158.38820503100578</v>
      </c>
      <c r="I125">
        <v>69.763935140478694</v>
      </c>
      <c r="J125">
        <v>31.3792388109696</v>
      </c>
      <c r="K125">
        <v>20.039969982122301</v>
      </c>
      <c r="L125">
        <v>1.5424307408911596E-3</v>
      </c>
      <c r="M125">
        <v>5.1046734478181629E-4</v>
      </c>
      <c r="N125" s="1">
        <v>-1.1541663921559701E-5</v>
      </c>
      <c r="O125" s="1">
        <v>1.6891967381139402E-5</v>
      </c>
      <c r="P125" s="1">
        <v>-2.5127533475043598E-5</v>
      </c>
    </row>
    <row r="126" spans="1:16" x14ac:dyDescent="0.2">
      <c r="A126">
        <v>125</v>
      </c>
      <c r="B126">
        <v>779</v>
      </c>
      <c r="C126">
        <v>150</v>
      </c>
      <c r="D126">
        <v>0.44937556432067799</v>
      </c>
      <c r="E126">
        <v>12.426069058904</v>
      </c>
      <c r="F126">
        <v>0.61347424104599502</v>
      </c>
      <c r="G126">
        <v>-239.38757307781725</v>
      </c>
      <c r="H126">
        <v>-164.78865005111658</v>
      </c>
      <c r="I126">
        <v>70.904847029031501</v>
      </c>
      <c r="J126">
        <v>32.036707743180102</v>
      </c>
      <c r="K126">
        <v>20.255241748564998</v>
      </c>
      <c r="L126">
        <v>1.5335916487332758E-3</v>
      </c>
      <c r="M126">
        <v>5.0604002533756411E-4</v>
      </c>
      <c r="N126" s="1">
        <v>-1.14592908632253E-5</v>
      </c>
      <c r="O126" s="1">
        <v>1.69379821955378E-5</v>
      </c>
      <c r="P126" s="1">
        <v>-2.52931783837806E-5</v>
      </c>
    </row>
    <row r="127" spans="1:16" x14ac:dyDescent="0.2">
      <c r="A127">
        <v>126</v>
      </c>
      <c r="B127">
        <v>778</v>
      </c>
      <c r="C127">
        <v>150</v>
      </c>
      <c r="D127">
        <v>0.44878514008467002</v>
      </c>
      <c r="E127">
        <v>12.8812741600936</v>
      </c>
      <c r="F127">
        <v>0.62929512123512099</v>
      </c>
      <c r="G127">
        <v>-246.88876668028507</v>
      </c>
      <c r="H127">
        <v>-171.1671480259931</v>
      </c>
      <c r="I127">
        <v>72.040380773796002</v>
      </c>
      <c r="J127">
        <v>32.692435891452199</v>
      </c>
      <c r="K127">
        <v>20.469369180570599</v>
      </c>
      <c r="L127">
        <v>1.5249949686886124E-3</v>
      </c>
      <c r="M127">
        <v>5.0171153390493454E-4</v>
      </c>
      <c r="N127" s="1">
        <v>-1.1373174988186201E-5</v>
      </c>
      <c r="O127" s="1">
        <v>1.69833407394136E-5</v>
      </c>
      <c r="P127" s="1">
        <v>-2.5459082906165299E-5</v>
      </c>
    </row>
    <row r="128" spans="1:16" x14ac:dyDescent="0.2">
      <c r="A128">
        <v>127</v>
      </c>
      <c r="B128">
        <v>777</v>
      </c>
      <c r="C128">
        <v>150</v>
      </c>
      <c r="D128">
        <v>0.44819359139171</v>
      </c>
      <c r="E128">
        <v>13.3347078803254</v>
      </c>
      <c r="F128">
        <v>0.64474144456254301</v>
      </c>
      <c r="G128">
        <v>-254.35717686705087</v>
      </c>
      <c r="H128">
        <v>-177.52125958378252</v>
      </c>
      <c r="I128">
        <v>73.1700810653318</v>
      </c>
      <c r="J128">
        <v>33.346185799837997</v>
      </c>
      <c r="K128">
        <v>20.6822564188858</v>
      </c>
      <c r="L128">
        <v>1.5166357519628064E-3</v>
      </c>
      <c r="M128">
        <v>4.9747951903065157E-4</v>
      </c>
      <c r="N128" s="1">
        <v>-1.1283247647775E-5</v>
      </c>
      <c r="O128" s="1">
        <v>1.7028011584553199E-5</v>
      </c>
      <c r="P128" s="1">
        <v>-2.56251998233874E-5</v>
      </c>
    </row>
    <row r="129" spans="1:16" x14ac:dyDescent="0.2">
      <c r="A129">
        <v>128</v>
      </c>
      <c r="B129">
        <v>776</v>
      </c>
      <c r="C129">
        <v>150</v>
      </c>
      <c r="D129">
        <v>0.447600915026452</v>
      </c>
      <c r="E129">
        <v>13.786203454828501</v>
      </c>
      <c r="F129">
        <v>0.65982229100819201</v>
      </c>
      <c r="G129">
        <v>-261.79005392158729</v>
      </c>
      <c r="H129">
        <v>-183.84866946933889</v>
      </c>
      <c r="I129">
        <v>74.293517109334104</v>
      </c>
      <c r="J129">
        <v>33.997732658208101</v>
      </c>
      <c r="K129">
        <v>20.893812838247001</v>
      </c>
      <c r="L129">
        <v>1.508508948262681E-3</v>
      </c>
      <c r="M129">
        <v>4.9334161470836451E-4</v>
      </c>
      <c r="N129" s="1">
        <v>-1.1189442246097799E-5</v>
      </c>
      <c r="O129" s="1">
        <v>1.7071965142389701E-5</v>
      </c>
      <c r="P129" s="1">
        <v>-2.57914838774415E-5</v>
      </c>
    </row>
    <row r="130" spans="1:16" x14ac:dyDescent="0.2">
      <c r="A130">
        <v>129</v>
      </c>
      <c r="B130">
        <v>775</v>
      </c>
      <c r="C130">
        <v>150</v>
      </c>
      <c r="D130">
        <v>0.44700710776129698</v>
      </c>
      <c r="E130">
        <v>14.2478754531435</v>
      </c>
      <c r="F130">
        <v>0.67492685169004096</v>
      </c>
      <c r="G130">
        <v>-269.38865694884191</v>
      </c>
      <c r="H130">
        <v>-190.31997255500539</v>
      </c>
      <c r="I130">
        <v>75.439926882207502</v>
      </c>
      <c r="J130">
        <v>34.663134922462199</v>
      </c>
      <c r="K130">
        <v>21.110251307184299</v>
      </c>
      <c r="L130">
        <v>1.5003079623351844E-3</v>
      </c>
      <c r="M130">
        <v>4.8919647984253182E-4</v>
      </c>
      <c r="N130" s="1">
        <v>-1.1092794576111601E-5</v>
      </c>
      <c r="O130" s="1">
        <v>1.7116807841513001E-5</v>
      </c>
      <c r="P130" s="1">
        <v>-2.5960370103876401E-5</v>
      </c>
    </row>
    <row r="131" spans="1:16" x14ac:dyDescent="0.2">
      <c r="A131">
        <v>130</v>
      </c>
      <c r="B131">
        <v>774</v>
      </c>
      <c r="C131">
        <v>150</v>
      </c>
      <c r="D131">
        <v>0.44641216635630598</v>
      </c>
      <c r="E131">
        <v>16.610983505508699</v>
      </c>
      <c r="F131">
        <v>0.74483548092043705</v>
      </c>
      <c r="G131">
        <v>-308.55555146684554</v>
      </c>
      <c r="H131">
        <v>-223.55661904082353</v>
      </c>
      <c r="I131">
        <v>81.175263904243806</v>
      </c>
      <c r="J131">
        <v>37.849919302618403</v>
      </c>
      <c r="K131">
        <v>22.3015470275148</v>
      </c>
      <c r="L131">
        <v>1.4484598911738309E-3</v>
      </c>
      <c r="M131">
        <v>4.7078140697915706E-4</v>
      </c>
      <c r="N131" s="1">
        <v>-1.116052549612E-5</v>
      </c>
      <c r="O131" s="1">
        <v>1.7413563864726901E-5</v>
      </c>
      <c r="P131" s="1">
        <v>-2.65140675361375E-5</v>
      </c>
    </row>
    <row r="132" spans="1:16" x14ac:dyDescent="0.2">
      <c r="A132">
        <v>131</v>
      </c>
      <c r="B132">
        <v>773</v>
      </c>
      <c r="C132">
        <v>150</v>
      </c>
      <c r="D132">
        <v>0.44581608755914398</v>
      </c>
      <c r="E132">
        <v>19.0176990548491</v>
      </c>
      <c r="F132">
        <v>0.80879973688012796</v>
      </c>
      <c r="G132">
        <v>-348.41500078996711</v>
      </c>
      <c r="H132">
        <v>-257.39439065675589</v>
      </c>
      <c r="I132">
        <v>87.008962901468493</v>
      </c>
      <c r="J132">
        <v>41.094897559847098</v>
      </c>
      <c r="K132">
        <v>23.513483236540299</v>
      </c>
      <c r="L132">
        <v>1.4010464557436806E-3</v>
      </c>
      <c r="M132">
        <v>4.5391431304136467E-4</v>
      </c>
      <c r="N132" s="1">
        <v>-1.1223469359016099E-5</v>
      </c>
      <c r="O132" s="1">
        <v>1.77138523624287E-5</v>
      </c>
      <c r="P132" s="1">
        <v>-2.70774717413441E-5</v>
      </c>
    </row>
    <row r="133" spans="1:16" x14ac:dyDescent="0.2">
      <c r="A133">
        <v>132</v>
      </c>
      <c r="B133">
        <v>772</v>
      </c>
      <c r="C133">
        <v>150</v>
      </c>
      <c r="D133">
        <v>0.44521886810505501</v>
      </c>
      <c r="E133">
        <v>21.4810950069791</v>
      </c>
      <c r="F133">
        <v>0.867835158491161</v>
      </c>
      <c r="G133">
        <v>-389.17996533185715</v>
      </c>
      <c r="H133">
        <v>-292.01455357461259</v>
      </c>
      <c r="I133">
        <v>92.9716315734169</v>
      </c>
      <c r="J133">
        <v>44.4150056548824</v>
      </c>
      <c r="K133">
        <v>24.7525060454184</v>
      </c>
      <c r="L133">
        <v>1.3572921956092672E-3</v>
      </c>
      <c r="M133">
        <v>4.3832992469323311E-4</v>
      </c>
      <c r="N133" s="1">
        <v>-1.12822630104033E-5</v>
      </c>
      <c r="O133" s="1">
        <v>1.80190735904204E-5</v>
      </c>
      <c r="P133" s="1">
        <v>-2.7652840600857499E-5</v>
      </c>
    </row>
    <row r="134" spans="1:16" x14ac:dyDescent="0.2">
      <c r="A134">
        <v>133</v>
      </c>
      <c r="B134">
        <v>771</v>
      </c>
      <c r="C134">
        <v>150</v>
      </c>
      <c r="D134">
        <v>0.44462050471675502</v>
      </c>
      <c r="E134">
        <v>24.019672647275399</v>
      </c>
      <c r="F134">
        <v>0.92284773671673603</v>
      </c>
      <c r="G134">
        <v>-431.15208146745556</v>
      </c>
      <c r="H134">
        <v>-327.67374906084967</v>
      </c>
      <c r="I134">
        <v>99.106733468404798</v>
      </c>
      <c r="J134">
        <v>47.834272660495401</v>
      </c>
      <c r="K134">
        <v>26.027774346320001</v>
      </c>
      <c r="L134">
        <v>1.316500137317093E-3</v>
      </c>
      <c r="M134">
        <v>4.2379138319878246E-4</v>
      </c>
      <c r="N134" s="1">
        <v>-1.1337892299673499E-5</v>
      </c>
      <c r="O134" s="1">
        <v>1.83312513214852E-5</v>
      </c>
      <c r="P134" s="1">
        <v>-2.8243428035173902E-5</v>
      </c>
    </row>
    <row r="135" spans="1:16" x14ac:dyDescent="0.2">
      <c r="A135">
        <v>134</v>
      </c>
      <c r="B135">
        <v>770</v>
      </c>
      <c r="C135">
        <v>150</v>
      </c>
      <c r="D135">
        <v>0.44402099410439499</v>
      </c>
      <c r="E135">
        <v>26.660222804941899</v>
      </c>
      <c r="F135">
        <v>0.97468747616808604</v>
      </c>
      <c r="G135">
        <v>-474.76836238139009</v>
      </c>
      <c r="H135">
        <v>-364.74370908022433</v>
      </c>
      <c r="I135">
        <v>105.47734597182</v>
      </c>
      <c r="J135">
        <v>51.387554060184499</v>
      </c>
      <c r="K135">
        <v>27.352585784475899</v>
      </c>
      <c r="L135">
        <v>1.2780096077835629E-3</v>
      </c>
      <c r="M135">
        <v>4.1007620346467647E-4</v>
      </c>
      <c r="N135" s="1">
        <v>-1.1391869773478101E-5</v>
      </c>
      <c r="O135" s="1">
        <v>1.8653357236994702E-5</v>
      </c>
      <c r="P135" s="1">
        <v>-2.88540054970332E-5</v>
      </c>
    </row>
    <row r="136" spans="1:16" x14ac:dyDescent="0.2">
      <c r="A136">
        <v>135</v>
      </c>
      <c r="B136">
        <v>769</v>
      </c>
      <c r="C136">
        <v>150</v>
      </c>
      <c r="D136">
        <v>0.44342033296550898</v>
      </c>
      <c r="E136">
        <v>29.442717008672101</v>
      </c>
      <c r="F136">
        <v>1.0242080788628101</v>
      </c>
      <c r="G136">
        <v>-520.68100939420935</v>
      </c>
      <c r="H136">
        <v>-403.7791386062562</v>
      </c>
      <c r="I136">
        <v>112.177701069496</v>
      </c>
      <c r="J136">
        <v>55.126908281751398</v>
      </c>
      <c r="K136">
        <v>28.746811918689801</v>
      </c>
      <c r="L136">
        <v>1.2411482207328019E-3</v>
      </c>
      <c r="M136">
        <v>3.9696058816805156E-4</v>
      </c>
      <c r="N136" s="1">
        <v>-1.14465361925291E-5</v>
      </c>
      <c r="O136" s="1">
        <v>1.89898625777112E-5</v>
      </c>
      <c r="P136" s="1">
        <v>-2.9491748825238998E-5</v>
      </c>
    </row>
    <row r="137" spans="1:16" x14ac:dyDescent="0.2">
      <c r="A137">
        <v>136</v>
      </c>
      <c r="B137">
        <v>768</v>
      </c>
      <c r="C137">
        <v>150</v>
      </c>
      <c r="D137">
        <v>0.442818517984921</v>
      </c>
      <c r="E137">
        <v>32.429093938808101</v>
      </c>
      <c r="F137">
        <v>1.07234570826453</v>
      </c>
      <c r="G137">
        <v>-569.90073952231637</v>
      </c>
      <c r="H137">
        <v>-445.63963849039504</v>
      </c>
      <c r="I137">
        <v>119.353893872919</v>
      </c>
      <c r="J137">
        <v>59.133041294235198</v>
      </c>
      <c r="K137">
        <v>30.241267987439102</v>
      </c>
      <c r="L137">
        <v>1.20516730868404E-3</v>
      </c>
      <c r="M137">
        <v>3.8419868003658188E-4</v>
      </c>
      <c r="N137" s="1">
        <v>-1.1505597893430001E-5</v>
      </c>
      <c r="O137" s="1">
        <v>1.93477237629671E-5</v>
      </c>
      <c r="P137" s="1">
        <v>-3.0167822957126E-5</v>
      </c>
    </row>
    <row r="138" spans="1:16" x14ac:dyDescent="0.2">
      <c r="A138">
        <v>137</v>
      </c>
      <c r="B138">
        <v>767</v>
      </c>
      <c r="C138">
        <v>150</v>
      </c>
      <c r="D138">
        <v>0.44221554583473799</v>
      </c>
      <c r="E138">
        <v>35.719695744901003</v>
      </c>
      <c r="F138">
        <v>1.1202357039574899</v>
      </c>
      <c r="G138">
        <v>-624.06478164722387</v>
      </c>
      <c r="H138">
        <v>-491.71773014193616</v>
      </c>
      <c r="I138">
        <v>127.242560894991</v>
      </c>
      <c r="J138">
        <v>63.536691250880203</v>
      </c>
      <c r="K138">
        <v>31.885875105312898</v>
      </c>
      <c r="L138">
        <v>1.1691449393489953E-3</v>
      </c>
      <c r="M138">
        <v>3.7149177003780717E-4</v>
      </c>
      <c r="N138" s="1">
        <v>-1.15751191804782E-5</v>
      </c>
      <c r="O138" s="1">
        <v>1.97382125934062E-5</v>
      </c>
      <c r="P138" s="1">
        <v>-3.0900326851544703E-5</v>
      </c>
    </row>
    <row r="139" spans="1:16" x14ac:dyDescent="0.2">
      <c r="A139">
        <v>138</v>
      </c>
      <c r="B139">
        <v>766</v>
      </c>
      <c r="C139">
        <v>150</v>
      </c>
      <c r="D139">
        <v>0.44161141317423203</v>
      </c>
      <c r="E139">
        <v>39.483771075303899</v>
      </c>
      <c r="F139">
        <v>1.1693778653210301</v>
      </c>
      <c r="G139">
        <v>-685.93381857162763</v>
      </c>
      <c r="H139">
        <v>-544.36187174292979</v>
      </c>
      <c r="I139">
        <v>136.242457096577</v>
      </c>
      <c r="J139">
        <v>68.558239495448206</v>
      </c>
      <c r="K139">
        <v>33.764766929690701</v>
      </c>
      <c r="L139">
        <v>1.1318470368588203E-3</v>
      </c>
      <c r="M139">
        <v>3.584446552477144E-4</v>
      </c>
      <c r="N139" s="1">
        <v>-1.1665312586710499E-5</v>
      </c>
      <c r="O139" s="1">
        <v>2.0180267038607901E-5</v>
      </c>
      <c r="P139" s="1">
        <v>-3.1719699396962497E-5</v>
      </c>
    </row>
    <row r="140" spans="1:16" x14ac:dyDescent="0.2">
      <c r="A140">
        <v>139</v>
      </c>
      <c r="B140">
        <v>765</v>
      </c>
      <c r="C140">
        <v>150</v>
      </c>
      <c r="D140">
        <v>0.44100611664981298</v>
      </c>
      <c r="E140">
        <v>44.002763638209501</v>
      </c>
      <c r="F140">
        <v>1.2217037292650901</v>
      </c>
      <c r="G140">
        <v>-760.09529177876095</v>
      </c>
      <c r="H140">
        <v>-607.47608153192732</v>
      </c>
      <c r="I140">
        <v>147.01510904551299</v>
      </c>
      <c r="J140">
        <v>74.563602179332094</v>
      </c>
      <c r="K140">
        <v>36.017540573997302</v>
      </c>
      <c r="L140">
        <v>1.0916667699752232E-3</v>
      </c>
      <c r="M140">
        <v>3.4454786389500106E-4</v>
      </c>
      <c r="N140" s="1">
        <v>-1.17928145113789E-5</v>
      </c>
      <c r="O140" s="1">
        <v>2.0705037133168501E-5</v>
      </c>
      <c r="P140" s="1">
        <v>-3.2676142228673097E-5</v>
      </c>
    </row>
    <row r="141" spans="1:16" x14ac:dyDescent="0.2">
      <c r="A141">
        <v>140</v>
      </c>
      <c r="B141">
        <v>764</v>
      </c>
      <c r="C141">
        <v>150</v>
      </c>
      <c r="D141">
        <v>0.44039965289495597</v>
      </c>
      <c r="E141">
        <v>73.397494710849003</v>
      </c>
      <c r="F141">
        <v>1.44899049813133</v>
      </c>
      <c r="G141">
        <v>-1238.2267269904378</v>
      </c>
      <c r="H141">
        <v>-1013.5909265726921</v>
      </c>
      <c r="I141">
        <v>216.59459557161</v>
      </c>
      <c r="J141">
        <v>113.00789641183999</v>
      </c>
      <c r="K141">
        <v>50.654227757534997</v>
      </c>
      <c r="L141">
        <v>9.0983098842607789E-4</v>
      </c>
      <c r="M141">
        <v>2.8560652264578216E-4</v>
      </c>
      <c r="N141" s="1">
        <v>-1.35905960079522E-5</v>
      </c>
      <c r="O141" s="1">
        <v>2.41342390122856E-5</v>
      </c>
      <c r="P141" s="1">
        <v>-3.8242224068633498E-5</v>
      </c>
    </row>
    <row r="142" spans="1:16" x14ac:dyDescent="0.2">
      <c r="A142">
        <v>141</v>
      </c>
      <c r="B142">
        <v>763</v>
      </c>
      <c r="C142">
        <v>150</v>
      </c>
      <c r="D142">
        <v>0.43979201853014099</v>
      </c>
      <c r="E142">
        <v>86.530048943603106</v>
      </c>
      <c r="F142">
        <v>1.5140084784091099</v>
      </c>
      <c r="G142">
        <v>-1451.6701831295356</v>
      </c>
      <c r="H142">
        <v>-1195.1844929915128</v>
      </c>
      <c r="I142">
        <v>247.542644744342</v>
      </c>
      <c r="J142">
        <v>130.19859943646401</v>
      </c>
      <c r="K142">
        <v>57.152948730199199</v>
      </c>
      <c r="L142">
        <v>8.5907531486427793E-4</v>
      </c>
      <c r="M142">
        <v>2.686451171040892E-4</v>
      </c>
      <c r="N142" s="1">
        <v>-1.42137810216541E-5</v>
      </c>
      <c r="O142" s="1">
        <v>2.5625151403278701E-5</v>
      </c>
      <c r="P142" s="1">
        <v>-4.0769883847148202E-5</v>
      </c>
    </row>
    <row r="143" spans="1:16" x14ac:dyDescent="0.2">
      <c r="A143">
        <v>142</v>
      </c>
      <c r="B143">
        <v>762</v>
      </c>
      <c r="C143">
        <v>150</v>
      </c>
      <c r="D143">
        <v>0.439183210162781</v>
      </c>
      <c r="E143">
        <v>92.966885457046203</v>
      </c>
      <c r="F143">
        <v>1.5415281301835699</v>
      </c>
      <c r="G143">
        <v>-1556.1346436065423</v>
      </c>
      <c r="H143">
        <v>-1284.2872631156927</v>
      </c>
      <c r="I143">
        <v>262.622002942302</v>
      </c>
      <c r="J143">
        <v>138.65039396059501</v>
      </c>
      <c r="K143">
        <v>60.308264012006802</v>
      </c>
      <c r="L143">
        <v>8.3867074716466696E-4</v>
      </c>
      <c r="M143">
        <v>2.6138991583283936E-4</v>
      </c>
      <c r="N143" s="1">
        <v>-1.43614791470047E-5</v>
      </c>
      <c r="O143" s="1">
        <v>2.6326640269111199E-5</v>
      </c>
      <c r="P143" s="1">
        <v>-4.2057036129735502E-5</v>
      </c>
    </row>
    <row r="144" spans="1:16" x14ac:dyDescent="0.2">
      <c r="A144">
        <v>143</v>
      </c>
      <c r="B144">
        <v>761</v>
      </c>
      <c r="C144">
        <v>150</v>
      </c>
      <c r="D144">
        <v>0.43857322438717999</v>
      </c>
      <c r="E144">
        <v>96.693841041524806</v>
      </c>
      <c r="F144">
        <v>1.55678048649429</v>
      </c>
      <c r="G144">
        <v>-1616.4938941362177</v>
      </c>
      <c r="H144">
        <v>-1335.9522563189678</v>
      </c>
      <c r="I144">
        <v>271.28319763063598</v>
      </c>
      <c r="J144">
        <v>143.56734487556</v>
      </c>
      <c r="K144">
        <v>62.111416400952798</v>
      </c>
      <c r="L144">
        <v>8.2819794307108501E-4</v>
      </c>
      <c r="M144">
        <v>2.5730858963183309E-4</v>
      </c>
      <c r="N144" s="1">
        <v>-1.4315155213500401E-5</v>
      </c>
      <c r="O144" s="1">
        <v>2.6709545061113199E-5</v>
      </c>
      <c r="P144" s="1">
        <v>-4.2843606882604598E-5</v>
      </c>
    </row>
    <row r="145" spans="1:16" x14ac:dyDescent="0.2">
      <c r="A145">
        <v>144</v>
      </c>
      <c r="B145">
        <v>760</v>
      </c>
      <c r="C145">
        <v>150</v>
      </c>
      <c r="D145">
        <v>0.43796205778444602</v>
      </c>
      <c r="E145">
        <v>99.441883631113598</v>
      </c>
      <c r="F145">
        <v>1.5678769909321</v>
      </c>
      <c r="G145">
        <v>-1660.9239567718023</v>
      </c>
      <c r="H145">
        <v>-1374.1058680481769</v>
      </c>
      <c r="I145">
        <v>277.62090663840797</v>
      </c>
      <c r="J145">
        <v>147.20859529832899</v>
      </c>
      <c r="K145">
        <v>63.424544276267099</v>
      </c>
      <c r="L145">
        <v>8.2110395343820892E-4</v>
      </c>
      <c r="M145">
        <v>2.5431002845286414E-4</v>
      </c>
      <c r="N145" s="1">
        <v>-1.4193332529069201E-5</v>
      </c>
      <c r="O145" s="1">
        <v>2.69763709600808E-5</v>
      </c>
      <c r="P145" s="1">
        <v>-4.3449549762437502E-5</v>
      </c>
    </row>
    <row r="146" spans="1:16" x14ac:dyDescent="0.2">
      <c r="A146">
        <v>145</v>
      </c>
      <c r="B146">
        <v>808</v>
      </c>
      <c r="C146">
        <v>125</v>
      </c>
      <c r="D146">
        <v>0.49145863201221102</v>
      </c>
      <c r="E146">
        <v>6.4182199030603098</v>
      </c>
      <c r="F146">
        <v>0.284535568683425</v>
      </c>
      <c r="G146">
        <v>-144.32809576805047</v>
      </c>
      <c r="H146">
        <v>-79.068719876028794</v>
      </c>
      <c r="I146">
        <v>60.364471897122499</v>
      </c>
      <c r="J146">
        <v>23.691820753671301</v>
      </c>
      <c r="K146">
        <v>22.556828071646901</v>
      </c>
      <c r="L146">
        <v>1.6890701048132032E-3</v>
      </c>
      <c r="M146">
        <v>7.6500816114738793E-4</v>
      </c>
      <c r="N146" s="1">
        <v>-2.9292070804078099E-5</v>
      </c>
      <c r="O146" s="1">
        <v>3.2660967858642402E-5</v>
      </c>
      <c r="P146" s="1">
        <v>-3.2001722414518201E-5</v>
      </c>
    </row>
    <row r="147" spans="1:16" x14ac:dyDescent="0.2">
      <c r="A147">
        <v>146</v>
      </c>
      <c r="B147">
        <v>807</v>
      </c>
      <c r="C147">
        <v>125</v>
      </c>
      <c r="D147">
        <v>0.49092301995093302</v>
      </c>
      <c r="E147">
        <v>6.4643120450171203</v>
      </c>
      <c r="F147">
        <v>0.28676610418523302</v>
      </c>
      <c r="G147">
        <v>-145.03353248530766</v>
      </c>
      <c r="H147">
        <v>-79.736804220715342</v>
      </c>
      <c r="I147">
        <v>60.454938816299403</v>
      </c>
      <c r="J147">
        <v>23.777632125058801</v>
      </c>
      <c r="K147">
        <v>22.542106443799099</v>
      </c>
      <c r="L147">
        <v>1.6919560079477404E-3</v>
      </c>
      <c r="M147">
        <v>7.6429569034687983E-4</v>
      </c>
      <c r="N147" s="1">
        <v>-2.9312831458279498E-5</v>
      </c>
      <c r="O147" s="1">
        <v>3.2633045323453802E-5</v>
      </c>
      <c r="P147" s="1">
        <v>-3.2078097334168103E-5</v>
      </c>
    </row>
    <row r="148" spans="1:16" x14ac:dyDescent="0.2">
      <c r="A148">
        <v>147</v>
      </c>
      <c r="B148">
        <v>806</v>
      </c>
      <c r="C148">
        <v>125</v>
      </c>
      <c r="D148">
        <v>0.490386415234215</v>
      </c>
      <c r="E148">
        <v>6.9020878389434701</v>
      </c>
      <c r="F148">
        <v>0.30342378301795597</v>
      </c>
      <c r="G148">
        <v>-152.28651424527828</v>
      </c>
      <c r="H148">
        <v>-85.869056375792795</v>
      </c>
      <c r="I148">
        <v>61.549502073171901</v>
      </c>
      <c r="J148">
        <v>24.3932338887867</v>
      </c>
      <c r="K148">
        <v>22.747352795792501</v>
      </c>
      <c r="L148">
        <v>1.684312910149619E-3</v>
      </c>
      <c r="M148">
        <v>7.5875704027788616E-4</v>
      </c>
      <c r="N148" s="1">
        <v>-2.9432287942518599E-5</v>
      </c>
      <c r="O148" s="1">
        <v>3.2715023066762897E-5</v>
      </c>
      <c r="P148" s="1">
        <v>-3.22634597898979E-5</v>
      </c>
    </row>
    <row r="149" spans="1:16" x14ac:dyDescent="0.2">
      <c r="A149">
        <v>148</v>
      </c>
      <c r="B149">
        <v>805</v>
      </c>
      <c r="C149">
        <v>125</v>
      </c>
      <c r="D149">
        <v>0.48984881509993899</v>
      </c>
      <c r="E149">
        <v>7.3407197881790696</v>
      </c>
      <c r="F149">
        <v>0.31981768372031699</v>
      </c>
      <c r="G149">
        <v>-159.55073291824164</v>
      </c>
      <c r="H149">
        <v>-92.013435776050059</v>
      </c>
      <c r="I149">
        <v>62.6452700074327</v>
      </c>
      <c r="J149">
        <v>25.0103780915077</v>
      </c>
      <c r="K149">
        <v>22.952826444076699</v>
      </c>
      <c r="L149">
        <v>1.6768135131632088E-3</v>
      </c>
      <c r="M149">
        <v>7.5330264676444763E-4</v>
      </c>
      <c r="N149" s="1">
        <v>-2.9550796917530199E-5</v>
      </c>
      <c r="O149" s="1">
        <v>3.2796915231888597E-5</v>
      </c>
      <c r="P149" s="1">
        <v>-3.2450064576119797E-5</v>
      </c>
    </row>
    <row r="150" spans="1:16" x14ac:dyDescent="0.2">
      <c r="A150">
        <v>149</v>
      </c>
      <c r="B150">
        <v>804</v>
      </c>
      <c r="C150">
        <v>125</v>
      </c>
      <c r="D150">
        <v>0.48931021677575198</v>
      </c>
      <c r="E150">
        <v>7.7800086300854998</v>
      </c>
      <c r="F150">
        <v>0.33594743902302998</v>
      </c>
      <c r="G150">
        <v>-166.82284571874382</v>
      </c>
      <c r="H150">
        <v>-98.167172718571223</v>
      </c>
      <c r="I150">
        <v>63.741713931969599</v>
      </c>
      <c r="J150">
        <v>25.628797304927598</v>
      </c>
      <c r="K150">
        <v>23.158410293915399</v>
      </c>
      <c r="L150">
        <v>1.6694594612186057E-3</v>
      </c>
      <c r="M150">
        <v>7.4793274400163318E-4</v>
      </c>
      <c r="N150" s="1">
        <v>-2.9668262187779501E-5</v>
      </c>
      <c r="O150" s="1">
        <v>3.2878658903708599E-5</v>
      </c>
      <c r="P150" s="1">
        <v>-3.2637862925620397E-5</v>
      </c>
    </row>
    <row r="151" spans="1:16" x14ac:dyDescent="0.2">
      <c r="A151">
        <v>150</v>
      </c>
      <c r="B151">
        <v>803</v>
      </c>
      <c r="C151">
        <v>125</v>
      </c>
      <c r="D151">
        <v>0.48877061747897599</v>
      </c>
      <c r="E151">
        <v>8.2197545674505808</v>
      </c>
      <c r="F151">
        <v>0.35181300423289302</v>
      </c>
      <c r="G151">
        <v>-174.09950478400091</v>
      </c>
      <c r="H151">
        <v>-104.32749038174123</v>
      </c>
      <c r="I151">
        <v>64.838305091489403</v>
      </c>
      <c r="J151">
        <v>26.248223449447099</v>
      </c>
      <c r="K151">
        <v>23.363987313013698</v>
      </c>
      <c r="L151">
        <v>1.6622521743009122E-3</v>
      </c>
      <c r="M151">
        <v>7.4264745595097059E-4</v>
      </c>
      <c r="N151" s="1">
        <v>-2.9784586567588698E-5</v>
      </c>
      <c r="O151" s="1">
        <v>3.2960191463595401E-5</v>
      </c>
      <c r="P151" s="1">
        <v>-3.28268057127526E-5</v>
      </c>
    </row>
    <row r="152" spans="1:16" x14ac:dyDescent="0.2">
      <c r="A152">
        <v>151</v>
      </c>
      <c r="B152">
        <v>802</v>
      </c>
      <c r="C152">
        <v>125</v>
      </c>
      <c r="D152">
        <v>0.48823001441659297</v>
      </c>
      <c r="E152">
        <v>8.6597581999956699</v>
      </c>
      <c r="F152">
        <v>0.36741466100359299</v>
      </c>
      <c r="G152">
        <v>-181.377372725871</v>
      </c>
      <c r="H152">
        <v>-110.49161776405545</v>
      </c>
      <c r="I152">
        <v>65.9345170927391</v>
      </c>
      <c r="J152">
        <v>26.868389068891901</v>
      </c>
      <c r="K152">
        <v>23.569441067870098</v>
      </c>
      <c r="L152">
        <v>1.6551928417115379E-3</v>
      </c>
      <c r="M152">
        <v>7.37446794793791E-4</v>
      </c>
      <c r="N152" s="1">
        <v>-2.98996721401114E-5</v>
      </c>
      <c r="O152" s="1">
        <v>3.3041450862850002E-5</v>
      </c>
      <c r="P152" s="1">
        <v>-3.3016843717617802E-5</v>
      </c>
    </row>
    <row r="153" spans="1:16" x14ac:dyDescent="0.2">
      <c r="A153">
        <v>152</v>
      </c>
      <c r="B153">
        <v>801</v>
      </c>
      <c r="C153">
        <v>125</v>
      </c>
      <c r="D153">
        <v>0.487688404785181</v>
      </c>
      <c r="E153">
        <v>9.0998214307461307</v>
      </c>
      <c r="F153">
        <v>0.382753018075564</v>
      </c>
      <c r="G153">
        <v>-188.65313773632309</v>
      </c>
      <c r="H153">
        <v>-116.65680227160512</v>
      </c>
      <c r="I153">
        <v>67.029828259692806</v>
      </c>
      <c r="J153">
        <v>27.489028571133002</v>
      </c>
      <c r="K153">
        <v>23.774656243075199</v>
      </c>
      <c r="L153">
        <v>1.6482824178106668E-3</v>
      </c>
      <c r="M153">
        <v>7.3233066041934356E-4</v>
      </c>
      <c r="N153" s="1">
        <v>-3.00134205098865E-5</v>
      </c>
      <c r="O153" s="1">
        <v>3.3122375885355501E-5</v>
      </c>
      <c r="P153" s="1">
        <v>-3.3207927884680097E-5</v>
      </c>
    </row>
    <row r="154" spans="1:16" x14ac:dyDescent="0.2">
      <c r="A154">
        <v>153</v>
      </c>
      <c r="B154">
        <v>800</v>
      </c>
      <c r="C154">
        <v>125</v>
      </c>
      <c r="D154">
        <v>0.48714578577086598</v>
      </c>
      <c r="E154">
        <v>9.5397483264731502</v>
      </c>
      <c r="F154">
        <v>0.39782900875037702</v>
      </c>
      <c r="G154">
        <v>-195.92352789880925</v>
      </c>
      <c r="H154">
        <v>-122.82032166376715</v>
      </c>
      <c r="I154">
        <v>68.123723859984395</v>
      </c>
      <c r="J154">
        <v>28.109879406093199</v>
      </c>
      <c r="K154">
        <v>23.979519131695501</v>
      </c>
      <c r="L154">
        <v>1.6415216201597987E-3</v>
      </c>
      <c r="M154">
        <v>7.2729884102761889E-4</v>
      </c>
      <c r="N154" s="1">
        <v>-3.0125733043030601E-5</v>
      </c>
      <c r="O154" s="1">
        <v>3.3202906393321203E-5</v>
      </c>
      <c r="P154" s="1">
        <v>-3.3400009569546001E-5</v>
      </c>
    </row>
    <row r="155" spans="1:16" x14ac:dyDescent="0.2">
      <c r="A155">
        <v>154</v>
      </c>
      <c r="B155">
        <v>799</v>
      </c>
      <c r="C155">
        <v>125</v>
      </c>
      <c r="D155">
        <v>0.48660215454927003</v>
      </c>
      <c r="E155">
        <v>9.9793459302080105</v>
      </c>
      <c r="F155">
        <v>0.41264388552427</v>
      </c>
      <c r="G155">
        <v>-203.185324675244</v>
      </c>
      <c r="H155">
        <v>-128.97949533102394</v>
      </c>
      <c r="I155">
        <v>69.215698197809203</v>
      </c>
      <c r="J155">
        <v>28.730683178465998</v>
      </c>
      <c r="K155">
        <v>24.183918095694299</v>
      </c>
      <c r="L155">
        <v>1.6349109298006053E-3</v>
      </c>
      <c r="M155">
        <v>7.2235101470768145E-4</v>
      </c>
      <c r="N155" s="1">
        <v>-3.0236511094414102E-5</v>
      </c>
      <c r="O155" s="1">
        <v>3.3282983555762399E-5</v>
      </c>
      <c r="P155" s="1">
        <v>-3.3593040773287302E-5</v>
      </c>
    </row>
    <row r="156" spans="1:16" x14ac:dyDescent="0.2">
      <c r="A156">
        <v>155</v>
      </c>
      <c r="B156">
        <v>798</v>
      </c>
      <c r="C156">
        <v>125</v>
      </c>
      <c r="D156">
        <v>0.48605750828548999</v>
      </c>
      <c r="E156">
        <v>10.418425017279199</v>
      </c>
      <c r="F156">
        <v>0.42719921206307399</v>
      </c>
      <c r="G156">
        <v>-210.43537542769613</v>
      </c>
      <c r="H156">
        <v>-135.1316947859531</v>
      </c>
      <c r="I156">
        <v>70.305256551943202</v>
      </c>
      <c r="J156">
        <v>29.351186683522901</v>
      </c>
      <c r="K156">
        <v>24.387743991767898</v>
      </c>
      <c r="L156">
        <v>1.6284505935775192E-3</v>
      </c>
      <c r="M156">
        <v>7.1748675193163559E-4</v>
      </c>
      <c r="N156" s="1">
        <v>-3.0345656219551698E-5</v>
      </c>
      <c r="O156" s="1">
        <v>3.3362550057602999E-5</v>
      </c>
      <c r="P156" s="1">
        <v>-3.3786974361893298E-5</v>
      </c>
    </row>
    <row r="157" spans="1:16" x14ac:dyDescent="0.2">
      <c r="A157">
        <v>156</v>
      </c>
      <c r="B157">
        <v>797</v>
      </c>
      <c r="C157">
        <v>125</v>
      </c>
      <c r="D157">
        <v>0.48551184413399801</v>
      </c>
      <c r="E157">
        <v>10.856800787447501</v>
      </c>
      <c r="F157">
        <v>0.44149685273241002</v>
      </c>
      <c r="G157">
        <v>-217.67060485291765</v>
      </c>
      <c r="H157">
        <v>-141.27435326447002</v>
      </c>
      <c r="I157">
        <v>71.391916940151603</v>
      </c>
      <c r="J157">
        <v>29.971142855818499</v>
      </c>
      <c r="K157">
        <v>24.5908905584607</v>
      </c>
      <c r="L157">
        <v>1.6221406283853743E-3</v>
      </c>
      <c r="M157">
        <v>7.1270551889354218E-4</v>
      </c>
      <c r="N157" s="1">
        <v>-3.0453070368939501E-5</v>
      </c>
      <c r="O157" s="1">
        <v>3.3441550287375299E-5</v>
      </c>
      <c r="P157" s="1">
        <v>-3.3981764268462297E-5</v>
      </c>
    </row>
    <row r="158" spans="1:16" x14ac:dyDescent="0.2">
      <c r="A158">
        <v>157</v>
      </c>
      <c r="B158">
        <v>796</v>
      </c>
      <c r="C158">
        <v>125</v>
      </c>
      <c r="D158">
        <v>0.48496515923864703</v>
      </c>
      <c r="E158">
        <v>11.2942934917505</v>
      </c>
      <c r="F158">
        <v>0.45553896006185801</v>
      </c>
      <c r="G158">
        <v>-224.88802530921245</v>
      </c>
      <c r="H158">
        <v>-147.40497441854976</v>
      </c>
      <c r="I158">
        <v>72.475211707235999</v>
      </c>
      <c r="J158">
        <v>30.590311628955501</v>
      </c>
      <c r="K158">
        <v>24.7932547640204</v>
      </c>
      <c r="L158">
        <v>1.615980827095998E-3</v>
      </c>
      <c r="M158">
        <v>7.0800668156697816E-4</v>
      </c>
      <c r="N158" s="1">
        <v>-3.0558656064488097E-5</v>
      </c>
      <c r="O158" s="1">
        <v>3.3519930503499002E-5</v>
      </c>
      <c r="P158" s="1">
        <v>-3.4177365677714598E-5</v>
      </c>
    </row>
    <row r="159" spans="1:16" x14ac:dyDescent="0.2">
      <c r="A159">
        <v>158</v>
      </c>
      <c r="B159">
        <v>795</v>
      </c>
      <c r="C159">
        <v>125</v>
      </c>
      <c r="D159">
        <v>0.48441745073257497</v>
      </c>
      <c r="E159">
        <v>11.730728984817</v>
      </c>
      <c r="F159">
        <v>0.46932796025061402</v>
      </c>
      <c r="G159">
        <v>-232.0847458839971</v>
      </c>
      <c r="H159">
        <v>-153.52113997213797</v>
      </c>
      <c r="I159">
        <v>73.554688913700502</v>
      </c>
      <c r="J159">
        <v>31.208460693802898</v>
      </c>
      <c r="K159">
        <v>24.994737109958098</v>
      </c>
      <c r="L159">
        <v>1.6099707661157627E-3</v>
      </c>
      <c r="M159">
        <v>7.0338951044529563E-4</v>
      </c>
      <c r="N159" s="1">
        <v>-3.0662316555478803E-5</v>
      </c>
      <c r="O159" s="1">
        <v>3.3597638976753897E-5</v>
      </c>
      <c r="P159" s="1">
        <v>-3.4373735189983E-5</v>
      </c>
    </row>
    <row r="160" spans="1:16" x14ac:dyDescent="0.2">
      <c r="A160">
        <v>159</v>
      </c>
      <c r="B160">
        <v>794</v>
      </c>
      <c r="C160">
        <v>125</v>
      </c>
      <c r="D160">
        <v>0.48386871573818202</v>
      </c>
      <c r="E160">
        <v>12.1659392132129</v>
      </c>
      <c r="F160">
        <v>0.482866537381896</v>
      </c>
      <c r="G160">
        <v>-239.25798038143614</v>
      </c>
      <c r="H160">
        <v>-159.62051648765524</v>
      </c>
      <c r="I160">
        <v>74.629913553690301</v>
      </c>
      <c r="J160">
        <v>31.825366169811701</v>
      </c>
      <c r="K160">
        <v>25.195241896812099</v>
      </c>
      <c r="L160">
        <v>1.6041098140999249E-3</v>
      </c>
      <c r="M160">
        <v>6.9885318574035575E-4</v>
      </c>
      <c r="N160" s="1">
        <v>-3.0763955957223601E-5</v>
      </c>
      <c r="O160" s="1">
        <v>3.3674626112793302E-5</v>
      </c>
      <c r="P160" s="1">
        <v>-3.4570830968147803E-5</v>
      </c>
    </row>
    <row r="161" spans="1:16" x14ac:dyDescent="0.2">
      <c r="A161">
        <v>160</v>
      </c>
      <c r="B161">
        <v>793</v>
      </c>
      <c r="C161">
        <v>125</v>
      </c>
      <c r="D161">
        <v>0.48331895136707098</v>
      </c>
      <c r="E161">
        <v>12.5997626244811</v>
      </c>
      <c r="F161">
        <v>0.49615761620982801</v>
      </c>
      <c r="G161">
        <v>-246.40505397526778</v>
      </c>
      <c r="H161">
        <v>-165.70086103008606</v>
      </c>
      <c r="I161">
        <v>75.700468561809103</v>
      </c>
      <c r="J161">
        <v>32.440813167888898</v>
      </c>
      <c r="K161">
        <v>25.3946774428887</v>
      </c>
      <c r="L161">
        <v>1.5983971419489657E-3</v>
      </c>
      <c r="M161">
        <v>6.9439680308491325E-4</v>
      </c>
      <c r="N161" s="1">
        <v>-3.08634793671402E-5</v>
      </c>
      <c r="O161" s="1">
        <v>3.3750844549312497E-5</v>
      </c>
      <c r="P161" s="1">
        <v>-3.47686128615711E-5</v>
      </c>
    </row>
    <row r="162" spans="1:16" x14ac:dyDescent="0.2">
      <c r="A162">
        <v>161</v>
      </c>
      <c r="B162">
        <v>792</v>
      </c>
      <c r="C162">
        <v>125</v>
      </c>
      <c r="D162">
        <v>0.48276815471999501</v>
      </c>
      <c r="E162">
        <v>13.0320445093727</v>
      </c>
      <c r="F162">
        <v>0.50920434414952698</v>
      </c>
      <c r="G162">
        <v>-253.52340873975587</v>
      </c>
      <c r="H162">
        <v>-171.76002590261902</v>
      </c>
      <c r="I162">
        <v>76.765955644010504</v>
      </c>
      <c r="J162">
        <v>33.054596262663097</v>
      </c>
      <c r="K162">
        <v>25.592956264226</v>
      </c>
      <c r="L162">
        <v>1.5928317336297718E-3</v>
      </c>
      <c r="M162">
        <v>6.9001937952600659E-4</v>
      </c>
      <c r="N162" s="1">
        <v>-3.0960792962970001E-5</v>
      </c>
      <c r="O162" s="1">
        <v>3.3826249233322597E-5</v>
      </c>
      <c r="P162" s="1">
        <v>-3.4967042512111099E-5</v>
      </c>
    </row>
    <row r="163" spans="1:16" x14ac:dyDescent="0.2">
      <c r="A163">
        <v>162</v>
      </c>
      <c r="B163">
        <v>791</v>
      </c>
      <c r="C163">
        <v>125</v>
      </c>
      <c r="D163">
        <v>0.48221632288681698</v>
      </c>
      <c r="E163">
        <v>13.4626372755256</v>
      </c>
      <c r="F163">
        <v>0.522010072644981</v>
      </c>
      <c r="G163">
        <v>-260.61060803128544</v>
      </c>
      <c r="H163">
        <v>-177.7959624298729</v>
      </c>
      <c r="I163">
        <v>77.825995928101904</v>
      </c>
      <c r="J163">
        <v>33.666519871463301</v>
      </c>
      <c r="K163">
        <v>25.789995214673901</v>
      </c>
      <c r="L163">
        <v>1.5874123977018366E-3</v>
      </c>
      <c r="M163">
        <v>6.8571985974944481E-4</v>
      </c>
      <c r="N163" s="1">
        <v>-3.1055804082080799E-5</v>
      </c>
      <c r="O163" s="1">
        <v>3.3900797477745797E-5</v>
      </c>
      <c r="P163" s="1">
        <v>-3.5166083440984999E-5</v>
      </c>
    </row>
    <row r="164" spans="1:16" x14ac:dyDescent="0.2">
      <c r="A164">
        <v>163</v>
      </c>
      <c r="B164">
        <v>790</v>
      </c>
      <c r="C164">
        <v>125</v>
      </c>
      <c r="D164">
        <v>0.48166345294643498</v>
      </c>
      <c r="E164">
        <v>13.891400652852001</v>
      </c>
      <c r="F164">
        <v>0.53457833811713595</v>
      </c>
      <c r="G164">
        <v>-267.66433972673667</v>
      </c>
      <c r="H164">
        <v>-183.80672379264158</v>
      </c>
      <c r="I164">
        <v>78.880230434744803</v>
      </c>
      <c r="J164">
        <v>34.276398540174</v>
      </c>
      <c r="K164">
        <v>25.985715586193699</v>
      </c>
      <c r="L164">
        <v>1.5821377794047185E-3</v>
      </c>
      <c r="M164">
        <v>6.8149712246613542E-4</v>
      </c>
      <c r="N164" s="1">
        <v>-3.1148421281574499E-5</v>
      </c>
      <c r="O164" s="1">
        <v>3.3974448997243401E-5</v>
      </c>
      <c r="P164" s="1">
        <v>-3.5365701115916298E-5</v>
      </c>
    </row>
    <row r="165" spans="1:16" x14ac:dyDescent="0.2">
      <c r="A165">
        <v>164</v>
      </c>
      <c r="B165">
        <v>789</v>
      </c>
      <c r="C165">
        <v>125</v>
      </c>
      <c r="D165">
        <v>0.48110954196676597</v>
      </c>
      <c r="E165">
        <v>14.318201837018499</v>
      </c>
      <c r="F165">
        <v>0.54691284281353802</v>
      </c>
      <c r="G165">
        <v>-274.68241842787552</v>
      </c>
      <c r="H165">
        <v>-189.79046700304499</v>
      </c>
      <c r="I165">
        <v>79.928320386929101</v>
      </c>
      <c r="J165">
        <v>34.884057144946702</v>
      </c>
      <c r="K165">
        <v>26.180043173533701</v>
      </c>
      <c r="L165">
        <v>1.5770063730674213E-3</v>
      </c>
      <c r="M165">
        <v>6.7734998685070049E-4</v>
      </c>
      <c r="N165" s="1">
        <v>-3.1238554381364601E-5</v>
      </c>
      <c r="O165" s="1">
        <v>3.4047165925911799E-5</v>
      </c>
      <c r="P165" s="1">
        <v>-3.5565863000846203E-5</v>
      </c>
    </row>
    <row r="166" spans="1:16" x14ac:dyDescent="0.2">
      <c r="A166">
        <v>165</v>
      </c>
      <c r="B166">
        <v>788</v>
      </c>
      <c r="C166">
        <v>125</v>
      </c>
      <c r="D166">
        <v>0.48055458700466802</v>
      </c>
      <c r="E166">
        <v>14.742915577814699</v>
      </c>
      <c r="F166">
        <v>0.55901743584780705</v>
      </c>
      <c r="G166">
        <v>-281.66278674673737</v>
      </c>
      <c r="H166">
        <v>-195.74545411461682</v>
      </c>
      <c r="I166">
        <v>80.969947376121596</v>
      </c>
      <c r="J166">
        <v>35.489331019038801</v>
      </c>
      <c r="K166">
        <v>26.372908307333098</v>
      </c>
      <c r="L166">
        <v>1.5720165346203238E-3</v>
      </c>
      <c r="M166">
        <v>6.7327721893381152E-4</v>
      </c>
      <c r="N166" s="1">
        <v>-3.1326114492092603E-5</v>
      </c>
      <c r="O166" s="1">
        <v>3.4118912819055601E-5</v>
      </c>
      <c r="P166" s="1">
        <v>-3.5766538590097898E-5</v>
      </c>
    </row>
    <row r="167" spans="1:16" x14ac:dyDescent="0.2">
      <c r="A167">
        <v>166</v>
      </c>
      <c r="B167">
        <v>787</v>
      </c>
      <c r="C167">
        <v>125</v>
      </c>
      <c r="D167">
        <v>0.479998585105882</v>
      </c>
      <c r="E167">
        <v>15.165424205454499</v>
      </c>
      <c r="F167">
        <v>0.57089609432355903</v>
      </c>
      <c r="G167">
        <v>-288.60351555828538</v>
      </c>
      <c r="H167">
        <v>-201.67005257093894</v>
      </c>
      <c r="I167">
        <v>82.004813367799599</v>
      </c>
      <c r="J167">
        <v>36.092065995284202</v>
      </c>
      <c r="K167">
        <v>26.5642458518194</v>
      </c>
      <c r="L167">
        <v>1.5671664942903275E-3</v>
      </c>
      <c r="M167">
        <v>6.6927753798228656E-4</v>
      </c>
      <c r="N167" s="1">
        <v>-3.14110140259208E-5</v>
      </c>
      <c r="O167" s="1">
        <v>3.4189656637109101E-5</v>
      </c>
      <c r="P167" s="1">
        <v>-3.5967699424577401E-5</v>
      </c>
    </row>
    <row r="168" spans="1:16" x14ac:dyDescent="0.2">
      <c r="A168">
        <v>167</v>
      </c>
      <c r="B168">
        <v>786</v>
      </c>
      <c r="C168">
        <v>125</v>
      </c>
      <c r="D168">
        <v>0.47944153330501299</v>
      </c>
      <c r="E168">
        <v>15.585617617612201</v>
      </c>
      <c r="F168">
        <v>0.58255290518398095</v>
      </c>
      <c r="G168">
        <v>-295.50280360131632</v>
      </c>
      <c r="H168">
        <v>-207.56273500953594</v>
      </c>
      <c r="I168">
        <v>83.032640605977505</v>
      </c>
      <c r="J168">
        <v>36.692118395411697</v>
      </c>
      <c r="K168">
        <v>26.753995180386202</v>
      </c>
      <c r="L168">
        <v>1.5624543689804499E-3</v>
      </c>
      <c r="M168">
        <v>6.6534962264912852E-4</v>
      </c>
      <c r="N168" s="1">
        <v>-3.14931666966497E-5</v>
      </c>
      <c r="O168" s="1">
        <v>3.4259366718804803E-5</v>
      </c>
      <c r="P168" s="1">
        <v>-3.6169319097066003E-5</v>
      </c>
    </row>
    <row r="169" spans="1:16" x14ac:dyDescent="0.2">
      <c r="A169">
        <v>168</v>
      </c>
      <c r="B169">
        <v>785</v>
      </c>
      <c r="C169">
        <v>125</v>
      </c>
      <c r="D169">
        <v>0.47888342862543298</v>
      </c>
      <c r="E169">
        <v>16.0033932127849</v>
      </c>
      <c r="F169">
        <v>0.59399204743832601</v>
      </c>
      <c r="G169">
        <v>-302.35897618849725</v>
      </c>
      <c r="H169">
        <v>-213.42207832136125</v>
      </c>
      <c r="I169">
        <v>84.053171378779595</v>
      </c>
      <c r="J169">
        <v>37.289354946054601</v>
      </c>
      <c r="K169">
        <v>26.9421001203666</v>
      </c>
      <c r="L169">
        <v>1.5578781745967736E-3</v>
      </c>
      <c r="M169">
        <v>6.6149211700960943E-4</v>
      </c>
      <c r="N169" s="1">
        <v>-3.1572487504339803E-5</v>
      </c>
      <c r="O169" s="1">
        <v>3.4328014738484102E-5</v>
      </c>
      <c r="P169" s="1">
        <v>-3.6371373240914E-5</v>
      </c>
    </row>
    <row r="170" spans="1:16" x14ac:dyDescent="0.2">
      <c r="A170">
        <v>169</v>
      </c>
      <c r="B170">
        <v>784</v>
      </c>
      <c r="C170">
        <v>125</v>
      </c>
      <c r="D170">
        <v>0.47832426807926898</v>
      </c>
      <c r="E170">
        <v>17.438939303548299</v>
      </c>
      <c r="F170">
        <v>0.63033287716223196</v>
      </c>
      <c r="G170">
        <v>-326.11812027382945</v>
      </c>
      <c r="H170">
        <v>-233.60687585984141</v>
      </c>
      <c r="I170">
        <v>87.513833239921198</v>
      </c>
      <c r="J170">
        <v>39.216999450250398</v>
      </c>
      <c r="K170">
        <v>27.6662378488945</v>
      </c>
      <c r="L170">
        <v>1.5335165939939575E-3</v>
      </c>
      <c r="M170">
        <v>6.4920869315164575E-4</v>
      </c>
      <c r="N170" s="1">
        <v>-3.1860905829020499E-5</v>
      </c>
      <c r="O170" s="1">
        <v>3.46232359533577E-5</v>
      </c>
      <c r="P170" s="1">
        <v>-3.6815905605455201E-5</v>
      </c>
    </row>
    <row r="171" spans="1:16" x14ac:dyDescent="0.2">
      <c r="A171">
        <v>170</v>
      </c>
      <c r="B171">
        <v>783</v>
      </c>
      <c r="C171">
        <v>125</v>
      </c>
      <c r="D171">
        <v>0.47776404866733202</v>
      </c>
      <c r="E171">
        <v>19.754454524808299</v>
      </c>
      <c r="F171">
        <v>0.68466890339046804</v>
      </c>
      <c r="G171">
        <v>-364.47085151383681</v>
      </c>
      <c r="H171">
        <v>-266.1684648264029</v>
      </c>
      <c r="I171">
        <v>93.080010046552701</v>
      </c>
      <c r="J171">
        <v>42.294847794180001</v>
      </c>
      <c r="K171">
        <v>28.8525657102061</v>
      </c>
      <c r="L171">
        <v>1.4946747558670758E-3</v>
      </c>
      <c r="M171">
        <v>6.3082721960399518E-4</v>
      </c>
      <c r="N171" s="1">
        <v>-3.2328345725231002E-5</v>
      </c>
      <c r="O171" s="1">
        <v>3.5112351813768302E-5</v>
      </c>
      <c r="P171" s="1">
        <v>-3.7470669073917301E-5</v>
      </c>
    </row>
    <row r="172" spans="1:16" x14ac:dyDescent="0.2">
      <c r="A172">
        <v>171</v>
      </c>
      <c r="B172">
        <v>782</v>
      </c>
      <c r="C172">
        <v>125</v>
      </c>
      <c r="D172">
        <v>0.47720276737904699</v>
      </c>
      <c r="E172">
        <v>22.111839411417701</v>
      </c>
      <c r="F172">
        <v>0.73561914053080901</v>
      </c>
      <c r="G172">
        <v>-403.48698347520855</v>
      </c>
      <c r="H172">
        <v>-299.30635121970846</v>
      </c>
      <c r="I172">
        <v>98.739288782804095</v>
      </c>
      <c r="J172">
        <v>45.427352055430603</v>
      </c>
      <c r="K172">
        <v>30.0588146679574</v>
      </c>
      <c r="L172">
        <v>1.4582788316199529E-3</v>
      </c>
      <c r="M172">
        <v>6.1357769415246394E-4</v>
      </c>
      <c r="N172" s="1">
        <v>-3.2799782650535901E-5</v>
      </c>
      <c r="O172" s="1">
        <v>3.5607417582085297E-5</v>
      </c>
      <c r="P172" s="1">
        <v>-3.8136667647148601E-5</v>
      </c>
    </row>
    <row r="173" spans="1:16" x14ac:dyDescent="0.2">
      <c r="A173">
        <v>172</v>
      </c>
      <c r="B173">
        <v>781</v>
      </c>
      <c r="C173">
        <v>125</v>
      </c>
      <c r="D173">
        <v>0.476640421192431</v>
      </c>
      <c r="E173">
        <v>24.524817124882201</v>
      </c>
      <c r="F173">
        <v>0.78374252154889801</v>
      </c>
      <c r="G173">
        <v>-443.39035088673762</v>
      </c>
      <c r="H173">
        <v>-333.21087299373437</v>
      </c>
      <c r="I173">
        <v>104.523710788749</v>
      </c>
      <c r="J173">
        <v>48.632092387744599</v>
      </c>
      <c r="K173">
        <v>31.291931279183601</v>
      </c>
      <c r="L173">
        <v>1.4239036316431258E-3</v>
      </c>
      <c r="M173">
        <v>5.9727132116399082E-4</v>
      </c>
      <c r="N173" s="1">
        <v>-3.3277441448060703E-5</v>
      </c>
      <c r="O173" s="1">
        <v>3.6110967124477302E-5</v>
      </c>
      <c r="P173" s="1">
        <v>-3.8816752359219598E-5</v>
      </c>
    </row>
    <row r="174" spans="1:16" x14ac:dyDescent="0.2">
      <c r="A174">
        <v>173</v>
      </c>
      <c r="B174">
        <v>780</v>
      </c>
      <c r="C174">
        <v>125</v>
      </c>
      <c r="D174">
        <v>0.47607700707401701</v>
      </c>
      <c r="E174">
        <v>27.012385494391498</v>
      </c>
      <c r="F174">
        <v>0.82957902456858201</v>
      </c>
      <c r="G174">
        <v>-484.49095233477289</v>
      </c>
      <c r="H174">
        <v>-368.14559803649638</v>
      </c>
      <c r="I174">
        <v>110.477720394336</v>
      </c>
      <c r="J174">
        <v>51.933446483844001</v>
      </c>
      <c r="K174">
        <v>32.561557964220697</v>
      </c>
      <c r="L174">
        <v>1.3911333495197399E-3</v>
      </c>
      <c r="M174">
        <v>5.8172528885250176E-4</v>
      </c>
      <c r="N174" s="1">
        <v>-3.3764491991369402E-5</v>
      </c>
      <c r="O174" s="1">
        <v>3.6626553084597101E-5</v>
      </c>
      <c r="P174" s="1">
        <v>-3.9514915063890399E-5</v>
      </c>
    </row>
    <row r="175" spans="1:16" x14ac:dyDescent="0.2">
      <c r="A175">
        <v>174</v>
      </c>
      <c r="B175">
        <v>779</v>
      </c>
      <c r="C175">
        <v>125</v>
      </c>
      <c r="D175">
        <v>0.475512521978807</v>
      </c>
      <c r="E175">
        <v>29.601331168124801</v>
      </c>
      <c r="F175">
        <v>0.87367723194067703</v>
      </c>
      <c r="G175">
        <v>-527.22597030467557</v>
      </c>
      <c r="H175">
        <v>-404.48220984485039</v>
      </c>
      <c r="I175">
        <v>116.664054229671</v>
      </c>
      <c r="J175">
        <v>55.3658222108537</v>
      </c>
      <c r="K175">
        <v>33.881312326718302</v>
      </c>
      <c r="L175">
        <v>1.3595393384475821E-3</v>
      </c>
      <c r="M175">
        <v>5.6675335778869225E-4</v>
      </c>
      <c r="N175" s="1">
        <v>-3.4265491813840499E-5</v>
      </c>
      <c r="O175" s="1">
        <v>3.7159223436208101E-5</v>
      </c>
      <c r="P175" s="1">
        <v>-4.02368254607254E-5</v>
      </c>
    </row>
    <row r="176" spans="1:16" x14ac:dyDescent="0.2">
      <c r="A176">
        <v>175</v>
      </c>
      <c r="B176">
        <v>778</v>
      </c>
      <c r="C176">
        <v>125</v>
      </c>
      <c r="D176">
        <v>0.47494696285021398</v>
      </c>
      <c r="E176">
        <v>32.330295273063101</v>
      </c>
      <c r="F176">
        <v>0.91662923146902098</v>
      </c>
      <c r="G176">
        <v>-572.22608307455334</v>
      </c>
      <c r="H176">
        <v>-442.75691152244985</v>
      </c>
      <c r="I176">
        <v>123.173254089671</v>
      </c>
      <c r="J176">
        <v>58.978880821419203</v>
      </c>
      <c r="K176">
        <v>35.270853430289797</v>
      </c>
      <c r="L176">
        <v>1.3286514290152677E-3</v>
      </c>
      <c r="M176">
        <v>5.5215389822941717E-4</v>
      </c>
      <c r="N176" s="1">
        <v>-3.47870974142551E-5</v>
      </c>
      <c r="O176" s="1">
        <v>3.7716287862509203E-5</v>
      </c>
      <c r="P176" s="1">
        <v>-4.0990695033225199E-5</v>
      </c>
    </row>
    <row r="177" spans="1:16" x14ac:dyDescent="0.2">
      <c r="A177">
        <v>176</v>
      </c>
      <c r="B177">
        <v>777</v>
      </c>
      <c r="C177">
        <v>125</v>
      </c>
      <c r="D177">
        <v>0.47438032662001101</v>
      </c>
      <c r="E177">
        <v>35.256461934661601</v>
      </c>
      <c r="F177">
        <v>0.95911743264892402</v>
      </c>
      <c r="G177">
        <v>-620.42450561527528</v>
      </c>
      <c r="H177">
        <v>-483.76319663671865</v>
      </c>
      <c r="I177">
        <v>130.13929252712899</v>
      </c>
      <c r="J177">
        <v>62.846120973190096</v>
      </c>
      <c r="K177">
        <v>36.759275490686399</v>
      </c>
      <c r="L177">
        <v>1.2979188887265224E-3</v>
      </c>
      <c r="M177">
        <v>5.3769379999678475E-4</v>
      </c>
      <c r="N177" s="1">
        <v>-3.5339224915688797E-5</v>
      </c>
      <c r="O177" s="1">
        <v>3.8308569308042203E-5</v>
      </c>
      <c r="P177" s="1">
        <v>-4.1788689495647297E-5</v>
      </c>
    </row>
    <row r="178" spans="1:16" x14ac:dyDescent="0.2">
      <c r="A178">
        <v>177</v>
      </c>
      <c r="B178">
        <v>776</v>
      </c>
      <c r="C178">
        <v>125</v>
      </c>
      <c r="D178">
        <v>0.47381261020826598</v>
      </c>
      <c r="E178">
        <v>38.466333013158497</v>
      </c>
      <c r="F178">
        <v>1.0019737566401801</v>
      </c>
      <c r="G178">
        <v>-673.23250330675899</v>
      </c>
      <c r="H178">
        <v>-528.70124181421829</v>
      </c>
      <c r="I178">
        <v>137.76467747063501</v>
      </c>
      <c r="J178">
        <v>67.078684487955101</v>
      </c>
      <c r="K178">
        <v>38.390559391639002</v>
      </c>
      <c r="L178">
        <v>1.2666603997517952E-3</v>
      </c>
      <c r="M178">
        <v>5.2308808768961534E-4</v>
      </c>
      <c r="N178" s="1">
        <v>-3.5936894133985801E-5</v>
      </c>
      <c r="O178" s="1">
        <v>3.8952394978858203E-5</v>
      </c>
      <c r="P178" s="1">
        <v>-4.26491824933682E-5</v>
      </c>
    </row>
    <row r="179" spans="1:16" x14ac:dyDescent="0.2">
      <c r="A179">
        <v>178</v>
      </c>
      <c r="B179">
        <v>775</v>
      </c>
      <c r="C179">
        <v>125</v>
      </c>
      <c r="D179">
        <v>0.473243810523307</v>
      </c>
      <c r="E179">
        <v>42.0904968658934</v>
      </c>
      <c r="F179">
        <v>1.0462207130168699</v>
      </c>
      <c r="G179">
        <v>-732.77946348680541</v>
      </c>
      <c r="H179">
        <v>-579.38249451313197</v>
      </c>
      <c r="I179">
        <v>146.35463317817599</v>
      </c>
      <c r="J179">
        <v>71.844206934131705</v>
      </c>
      <c r="K179">
        <v>40.230991742193098</v>
      </c>
      <c r="L179">
        <v>1.2340279516136841E-3</v>
      </c>
      <c r="M179">
        <v>5.0798571476496745E-4</v>
      </c>
      <c r="N179" s="1">
        <v>-3.6602669108678802E-5</v>
      </c>
      <c r="O179" s="1">
        <v>3.9672239736727902E-5</v>
      </c>
      <c r="P179" s="1">
        <v>-4.3599777007204401E-5</v>
      </c>
    </row>
    <row r="180" spans="1:16" x14ac:dyDescent="0.2">
      <c r="A180">
        <v>179</v>
      </c>
      <c r="B180">
        <v>774</v>
      </c>
      <c r="C180">
        <v>125</v>
      </c>
      <c r="D180">
        <v>0.47267392446163797</v>
      </c>
      <c r="E180">
        <v>46.308152018303403</v>
      </c>
      <c r="F180">
        <v>1.0929161328869601</v>
      </c>
      <c r="G180">
        <v>-801.98402668486767</v>
      </c>
      <c r="H180">
        <v>-638.29148729689007</v>
      </c>
      <c r="I180">
        <v>156.326488190655</v>
      </c>
      <c r="J180">
        <v>77.3722588752604</v>
      </c>
      <c r="K180">
        <v>42.371185331466499</v>
      </c>
      <c r="L180">
        <v>1.1991325761815327E-3</v>
      </c>
      <c r="M180">
        <v>4.9202286444141358E-4</v>
      </c>
      <c r="N180" s="1">
        <v>-3.7366995136012298E-5</v>
      </c>
      <c r="O180" s="1">
        <v>4.0501132429557301E-5</v>
      </c>
      <c r="P180" s="1">
        <v>-4.4677927519351498E-5</v>
      </c>
    </row>
    <row r="181" spans="1:16" x14ac:dyDescent="0.2">
      <c r="A181">
        <v>180</v>
      </c>
      <c r="B181">
        <v>773</v>
      </c>
      <c r="C181">
        <v>125</v>
      </c>
      <c r="D181">
        <v>0.472102948907902</v>
      </c>
      <c r="E181">
        <v>66.169693454945303</v>
      </c>
      <c r="F181">
        <v>1.2606252617015801</v>
      </c>
      <c r="G181">
        <v>-1125.0691141481821</v>
      </c>
      <c r="H181">
        <v>-912.62073956192307</v>
      </c>
      <c r="I181">
        <v>203.081377734331</v>
      </c>
      <c r="J181">
        <v>103.029927164041</v>
      </c>
      <c r="K181">
        <v>52.489582324909001</v>
      </c>
      <c r="L181">
        <v>1.0659357147437599E-3</v>
      </c>
      <c r="M181">
        <v>4.3544661554792711E-4</v>
      </c>
      <c r="N181" s="1">
        <v>-4.1007550224726101E-5</v>
      </c>
      <c r="O181" s="1">
        <v>4.4424336513195402E-5</v>
      </c>
      <c r="P181" s="1">
        <v>-4.9190478913177997E-5</v>
      </c>
    </row>
    <row r="182" spans="1:16" x14ac:dyDescent="0.2">
      <c r="A182">
        <v>181</v>
      </c>
      <c r="B182">
        <v>772</v>
      </c>
      <c r="C182">
        <v>125</v>
      </c>
      <c r="D182">
        <v>0.47153088073482102</v>
      </c>
      <c r="E182">
        <v>82.2915650071931</v>
      </c>
      <c r="F182">
        <v>1.3565540837655199</v>
      </c>
      <c r="G182">
        <v>-1387.1885800776763</v>
      </c>
      <c r="H182">
        <v>-1135.4451666864447</v>
      </c>
      <c r="I182">
        <v>240.87355449084899</v>
      </c>
      <c r="J182">
        <v>123.835845903248</v>
      </c>
      <c r="K182">
        <v>60.6622072735708</v>
      </c>
      <c r="L182">
        <v>9.9047603986740528E-4</v>
      </c>
      <c r="M182">
        <v>4.0303506297767141E-4</v>
      </c>
      <c r="N182" s="1">
        <v>-4.3897205721746302E-5</v>
      </c>
      <c r="O182" s="1">
        <v>4.7548036569400299E-5</v>
      </c>
      <c r="P182" s="1">
        <v>-5.2848784236833499E-5</v>
      </c>
    </row>
    <row r="183" spans="1:16" x14ac:dyDescent="0.2">
      <c r="A183">
        <v>182</v>
      </c>
      <c r="B183">
        <v>771</v>
      </c>
      <c r="C183">
        <v>125</v>
      </c>
      <c r="D183">
        <v>0.47095771680314102</v>
      </c>
      <c r="E183">
        <v>90.298474362948895</v>
      </c>
      <c r="F183">
        <v>1.3960129692568899</v>
      </c>
      <c r="G183">
        <v>-1517.2119696666221</v>
      </c>
      <c r="H183">
        <v>-1246.20973919012</v>
      </c>
      <c r="I183">
        <v>259.548912812254</v>
      </c>
      <c r="J183">
        <v>134.192816068903</v>
      </c>
      <c r="K183">
        <v>64.683119964863195</v>
      </c>
      <c r="L183">
        <v>9.6091702209209664E-4</v>
      </c>
      <c r="M183">
        <v>3.8969661466938297E-4</v>
      </c>
      <c r="N183" s="1">
        <v>-4.5282106143325599E-5</v>
      </c>
      <c r="O183" s="1">
        <v>4.9058971916438501E-5</v>
      </c>
      <c r="P183" s="1">
        <v>-5.4735782709625402E-5</v>
      </c>
    </row>
    <row r="184" spans="1:16" x14ac:dyDescent="0.2">
      <c r="A184">
        <v>183</v>
      </c>
      <c r="B184">
        <v>770</v>
      </c>
      <c r="C184">
        <v>125</v>
      </c>
      <c r="D184">
        <v>0.47038345396155901</v>
      </c>
      <c r="E184">
        <v>94.870752533777505</v>
      </c>
      <c r="F184">
        <v>1.4170627512515399</v>
      </c>
      <c r="G184">
        <v>-1591.3298075956557</v>
      </c>
      <c r="H184">
        <v>-1309.5379019886143</v>
      </c>
      <c r="I184">
        <v>270.14118554484298</v>
      </c>
      <c r="J184">
        <v>140.13025548027699</v>
      </c>
      <c r="K184">
        <v>66.948871847762703</v>
      </c>
      <c r="L184">
        <v>9.4633240166286153E-4</v>
      </c>
      <c r="M184">
        <v>3.8257366278645071E-4</v>
      </c>
      <c r="N184" s="1">
        <v>-4.6030723696754499E-5</v>
      </c>
      <c r="O184" s="1">
        <v>4.98902981501739E-5</v>
      </c>
      <c r="P184" s="1">
        <v>-5.58762463003941E-5</v>
      </c>
    </row>
    <row r="185" spans="1:16" x14ac:dyDescent="0.2">
      <c r="A185">
        <v>184</v>
      </c>
      <c r="B185">
        <v>769</v>
      </c>
      <c r="C185">
        <v>125</v>
      </c>
      <c r="D185">
        <v>0.46980808904668597</v>
      </c>
      <c r="E185">
        <v>97.767728327234494</v>
      </c>
      <c r="F185">
        <v>1.43020804254456</v>
      </c>
      <c r="G185">
        <v>-1638.1793182537454</v>
      </c>
      <c r="H185">
        <v>-1349.7254138904761</v>
      </c>
      <c r="I185">
        <v>276.79301735716899</v>
      </c>
      <c r="J185">
        <v>143.91307933633399</v>
      </c>
      <c r="K185">
        <v>68.359095613314096</v>
      </c>
      <c r="L185">
        <v>9.3818296268429586E-4</v>
      </c>
      <c r="M185">
        <v>3.7811841524205752E-4</v>
      </c>
      <c r="N185" s="1">
        <v>-4.6467647140352598E-5</v>
      </c>
      <c r="O185" s="1">
        <v>5.0390955985594902E-5</v>
      </c>
      <c r="P185" s="1">
        <v>-5.66538735014921E-5</v>
      </c>
    </row>
    <row r="186" spans="1:16" x14ac:dyDescent="0.2">
      <c r="A186">
        <v>185</v>
      </c>
      <c r="B186">
        <v>768</v>
      </c>
      <c r="C186">
        <v>125</v>
      </c>
      <c r="D186">
        <v>0.46923161888296799</v>
      </c>
      <c r="E186">
        <v>99.746002125386497</v>
      </c>
      <c r="F186">
        <v>1.4393285757707499</v>
      </c>
      <c r="G186">
        <v>-1670.0755428987929</v>
      </c>
      <c r="H186">
        <v>-1377.2219164835999</v>
      </c>
      <c r="I186">
        <v>281.28474331211299</v>
      </c>
      <c r="J186">
        <v>146.514944890457</v>
      </c>
      <c r="K186">
        <v>69.3003694948342</v>
      </c>
      <c r="L186">
        <v>9.3331363750333838E-4</v>
      </c>
      <c r="M186">
        <v>3.7502068391756754E-4</v>
      </c>
      <c r="N186" s="1">
        <v>-4.6731958048432501E-5</v>
      </c>
      <c r="O186" s="1">
        <v>5.0710536355470299E-5</v>
      </c>
      <c r="P186" s="1">
        <v>-5.7233293382479097E-5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408D5-638F-492C-8F37-FB2B31AAE7D9}">
  <sheetPr codeName="Sheet6"/>
  <dimension ref="A1:AP11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127</v>
      </c>
      <c r="AK1" t="s">
        <v>128</v>
      </c>
      <c r="AL1" t="s">
        <v>129</v>
      </c>
      <c r="AM1" t="s">
        <v>130</v>
      </c>
      <c r="AN1" t="s">
        <v>131</v>
      </c>
      <c r="AO1" t="s">
        <v>132</v>
      </c>
      <c r="AP1" t="s">
        <v>133</v>
      </c>
    </row>
    <row r="2" spans="1:42" x14ac:dyDescent="0.2">
      <c r="A2">
        <v>16</v>
      </c>
      <c r="B2">
        <v>736</v>
      </c>
      <c r="C2">
        <v>275</v>
      </c>
      <c r="D2">
        <v>0.28667740177377199</v>
      </c>
      <c r="E2">
        <v>4.7044655319592503E-2</v>
      </c>
      <c r="F2">
        <v>3.5836949615427098</v>
      </c>
      <c r="G2">
        <v>-0.59955655053160073</v>
      </c>
      <c r="H2">
        <v>-0.50981096573883122</v>
      </c>
      <c r="I2">
        <v>8.8931858289421198E-2</v>
      </c>
      <c r="J2">
        <v>5.2588777876720103E-2</v>
      </c>
      <c r="K2">
        <v>1.31274162071374E-2</v>
      </c>
      <c r="L2">
        <v>4.4427893097792904E-5</v>
      </c>
      <c r="M2">
        <v>9.1393056151689969E-7</v>
      </c>
      <c r="N2" s="1">
        <v>6.9785017437497698E-11</v>
      </c>
      <c r="O2" s="1">
        <v>1.29209259301358E-14</v>
      </c>
      <c r="P2" s="1">
        <v>-8.5817579039445602E-14</v>
      </c>
      <c r="Q2">
        <v>49.839432073404701</v>
      </c>
      <c r="R2">
        <v>1.53522781742739E-2</v>
      </c>
      <c r="S2">
        <v>2.0330720872499701</v>
      </c>
      <c r="T2">
        <v>0.53825418586990004</v>
      </c>
      <c r="V2">
        <v>32.163108637672302</v>
      </c>
      <c r="X2">
        <v>15.2474757903947</v>
      </c>
      <c r="AA2">
        <v>0.14619695306764499</v>
      </c>
      <c r="AB2">
        <v>1.7107994166326999E-2</v>
      </c>
      <c r="AJ2">
        <v>-1.0983330446578099</v>
      </c>
      <c r="AK2">
        <v>0.99259070058278798</v>
      </c>
      <c r="AL2">
        <v>1.0499715168439401</v>
      </c>
      <c r="AM2">
        <v>3.8665047796720101E-2</v>
      </c>
      <c r="AN2">
        <v>-3.7763711040064103E-2</v>
      </c>
      <c r="AO2">
        <v>5.35746703018583E-2</v>
      </c>
      <c r="AP2">
        <v>1.2948201725646699E-3</v>
      </c>
    </row>
    <row r="3" spans="1:42" x14ac:dyDescent="0.2">
      <c r="A3">
        <v>17</v>
      </c>
      <c r="B3">
        <v>735</v>
      </c>
      <c r="C3">
        <v>275</v>
      </c>
      <c r="D3">
        <v>0.285900411645091</v>
      </c>
      <c r="E3">
        <v>7.4141123128297598E-2</v>
      </c>
      <c r="F3">
        <v>3.5851041207559899</v>
      </c>
      <c r="G3">
        <v>-0.94421596513045936</v>
      </c>
      <c r="H3">
        <v>-0.80302034940950473</v>
      </c>
      <c r="I3">
        <v>0.14005417420121399</v>
      </c>
      <c r="J3">
        <v>8.2844741729706101E-2</v>
      </c>
      <c r="K3">
        <v>2.0680326325547099E-2</v>
      </c>
      <c r="L3">
        <v>4.4412200805352348E-5</v>
      </c>
      <c r="M3">
        <v>9.140696772497452E-7</v>
      </c>
      <c r="N3" s="1">
        <v>1.11690121294668E-10</v>
      </c>
      <c r="O3" s="1">
        <v>2.0356211878830001E-14</v>
      </c>
      <c r="P3" s="1">
        <v>-1.4869529350214699E-13</v>
      </c>
      <c r="Q3">
        <v>49.7938723605699</v>
      </c>
      <c r="R3">
        <v>1.53200675248048E-2</v>
      </c>
      <c r="S3">
        <v>2.0776259325662401</v>
      </c>
      <c r="T3">
        <v>0.54371563724032701</v>
      </c>
      <c r="V3">
        <v>32.223237261796797</v>
      </c>
      <c r="X3">
        <v>15.1850167452556</v>
      </c>
      <c r="AA3">
        <v>0.14428742917821499</v>
      </c>
      <c r="AB3">
        <v>1.69245658678738E-2</v>
      </c>
      <c r="AJ3">
        <v>-1.1018545840118601</v>
      </c>
      <c r="AK3">
        <v>0.99268200458653899</v>
      </c>
      <c r="AL3">
        <v>1.05228555974728</v>
      </c>
      <c r="AM3">
        <v>3.96289367585375E-2</v>
      </c>
      <c r="AN3">
        <v>-3.87291908674691E-2</v>
      </c>
      <c r="AO3">
        <v>5.4705908831295502E-2</v>
      </c>
      <c r="AP3">
        <v>1.28136495566823E-3</v>
      </c>
    </row>
    <row r="4" spans="1:42" x14ac:dyDescent="0.2">
      <c r="A4">
        <v>33</v>
      </c>
      <c r="B4">
        <v>740</v>
      </c>
      <c r="C4">
        <v>250</v>
      </c>
      <c r="D4">
        <v>0.31691309282929903</v>
      </c>
      <c r="E4">
        <v>3.6695046336121799E-2</v>
      </c>
      <c r="F4">
        <v>3.5737103167130702</v>
      </c>
      <c r="G4">
        <v>-0.47047218044326905</v>
      </c>
      <c r="H4">
        <v>-0.3999377525722333</v>
      </c>
      <c r="I4">
        <v>6.9618938825480606E-2</v>
      </c>
      <c r="J4">
        <v>4.1151318224649999E-2</v>
      </c>
      <c r="K4">
        <v>1.02680528313979E-2</v>
      </c>
      <c r="L4">
        <v>4.4466429444367475E-5</v>
      </c>
      <c r="M4">
        <v>9.1217962310045526E-7</v>
      </c>
      <c r="N4" s="1">
        <v>5.0480285132651497E-11</v>
      </c>
      <c r="O4" s="1">
        <v>1.02414459061097E-14</v>
      </c>
      <c r="P4" s="1">
        <v>-4.7188650012476197E-14</v>
      </c>
      <c r="Q4">
        <v>50.048754726514296</v>
      </c>
      <c r="R4">
        <v>1.54341667518977E-2</v>
      </c>
      <c r="S4">
        <v>1.9294533093583901</v>
      </c>
      <c r="T4">
        <v>0.52278490886574702</v>
      </c>
      <c r="V4">
        <v>31.638585795130801</v>
      </c>
      <c r="X4">
        <v>15.6848153647476</v>
      </c>
      <c r="AA4">
        <v>0.14326901000475301</v>
      </c>
      <c r="AB4">
        <v>1.6902718626397899E-2</v>
      </c>
      <c r="AJ4">
        <v>-1.0757355584115</v>
      </c>
      <c r="AK4">
        <v>0.99274889003514899</v>
      </c>
      <c r="AL4">
        <v>1.02997961314478</v>
      </c>
      <c r="AM4">
        <v>3.6417420880457803E-2</v>
      </c>
      <c r="AN4">
        <v>-3.5513793244387498E-2</v>
      </c>
      <c r="AO4">
        <v>5.0827696942303401E-2</v>
      </c>
      <c r="AP4">
        <v>1.27573065319718E-3</v>
      </c>
    </row>
    <row r="5" spans="1:42" x14ac:dyDescent="0.2">
      <c r="A5">
        <v>34</v>
      </c>
      <c r="B5">
        <v>739</v>
      </c>
      <c r="C5">
        <v>250</v>
      </c>
      <c r="D5">
        <v>0.31616904609000601</v>
      </c>
      <c r="E5">
        <v>6.3778721960126294E-2</v>
      </c>
      <c r="F5">
        <v>3.5751725012895199</v>
      </c>
      <c r="G5">
        <v>-0.81711687746988237</v>
      </c>
      <c r="H5">
        <v>-0.69473263892777826</v>
      </c>
      <c r="I5">
        <v>0.120915119836095</v>
      </c>
      <c r="J5">
        <v>7.1497274837098002E-2</v>
      </c>
      <c r="K5">
        <v>1.7839341161055001E-2</v>
      </c>
      <c r="L5">
        <v>4.4456728816050251E-5</v>
      </c>
      <c r="M5">
        <v>9.1233386631912608E-7</v>
      </c>
      <c r="N5" s="1">
        <v>8.9081518181800096E-11</v>
      </c>
      <c r="O5" s="1">
        <v>1.7802297047454001E-14</v>
      </c>
      <c r="P5" s="1">
        <v>-9.5334972936553296E-14</v>
      </c>
      <c r="Q5">
        <v>50.002879056504497</v>
      </c>
      <c r="R5">
        <v>1.5406404816075799E-2</v>
      </c>
      <c r="S5">
        <v>1.97382734528068</v>
      </c>
      <c r="T5">
        <v>0.52833138980094496</v>
      </c>
      <c r="V5">
        <v>31.7023684081048</v>
      </c>
      <c r="X5">
        <v>15.622426543602099</v>
      </c>
      <c r="AA5">
        <v>0.13801241774574599</v>
      </c>
      <c r="AB5">
        <v>1.67484341450852E-2</v>
      </c>
      <c r="AJ5">
        <v>-1.0795032977479699</v>
      </c>
      <c r="AK5">
        <v>0.99297737995402202</v>
      </c>
      <c r="AL5">
        <v>1.03240790408538</v>
      </c>
      <c r="AM5">
        <v>3.73718436365739E-2</v>
      </c>
      <c r="AN5">
        <v>-3.6469533849066101E-2</v>
      </c>
      <c r="AO5">
        <v>5.1951186883074499E-2</v>
      </c>
      <c r="AP5">
        <v>1.26451703799084E-3</v>
      </c>
    </row>
    <row r="6" spans="1:42" x14ac:dyDescent="0.2">
      <c r="A6">
        <v>54</v>
      </c>
      <c r="B6">
        <v>744</v>
      </c>
      <c r="C6">
        <v>225</v>
      </c>
      <c r="D6">
        <v>0.34691097674876298</v>
      </c>
      <c r="E6">
        <v>3.4711971709268999E-2</v>
      </c>
      <c r="F6">
        <v>3.56388668128765</v>
      </c>
      <c r="G6">
        <v>-0.44767847313502196</v>
      </c>
      <c r="H6">
        <v>-0.38044928989038762</v>
      </c>
      <c r="I6">
        <v>6.6095642967737595E-2</v>
      </c>
      <c r="J6">
        <v>3.9042080809804799E-2</v>
      </c>
      <c r="K6">
        <v>9.7399201527719106E-3</v>
      </c>
      <c r="L6">
        <v>4.4471015647116735E-5</v>
      </c>
      <c r="M6">
        <v>9.1038514784449144E-7</v>
      </c>
      <c r="N6" s="1">
        <v>4.47431402058649E-11</v>
      </c>
      <c r="O6" s="1">
        <v>9.8255099985662293E-15</v>
      </c>
      <c r="P6" s="1">
        <v>-2.4116478438381401E-14</v>
      </c>
      <c r="Q6">
        <v>50.249100237317002</v>
      </c>
      <c r="R6">
        <v>1.5511848931230801E-2</v>
      </c>
      <c r="S6">
        <v>1.83376778240761</v>
      </c>
      <c r="T6">
        <v>0.50902328442143596</v>
      </c>
      <c r="V6">
        <v>31.119086369846801</v>
      </c>
      <c r="X6">
        <v>16.105814652005499</v>
      </c>
      <c r="AA6">
        <v>0.151083990354171</v>
      </c>
      <c r="AB6">
        <v>1.66118347161496E-2</v>
      </c>
      <c r="AJ6">
        <v>-1.0532622230239099</v>
      </c>
      <c r="AK6">
        <v>0.99246530455068505</v>
      </c>
      <c r="AL6">
        <v>1.0103317414795101</v>
      </c>
      <c r="AM6">
        <v>3.4344268106734903E-2</v>
      </c>
      <c r="AN6">
        <v>-3.3438544939111602E-2</v>
      </c>
      <c r="AO6">
        <v>4.83090634457582E-2</v>
      </c>
      <c r="AP6">
        <v>1.25039038033582E-3</v>
      </c>
    </row>
    <row r="7" spans="1:42" x14ac:dyDescent="0.2">
      <c r="A7">
        <v>55</v>
      </c>
      <c r="B7">
        <v>743</v>
      </c>
      <c r="C7">
        <v>225</v>
      </c>
      <c r="D7">
        <v>0.34619938001279399</v>
      </c>
      <c r="E7">
        <v>5.8726054177562499E-2</v>
      </c>
      <c r="F7">
        <v>3.5653250557826102</v>
      </c>
      <c r="G7">
        <v>-0.75683396208164788</v>
      </c>
      <c r="H7">
        <v>-0.64328875617794168</v>
      </c>
      <c r="I7">
        <v>0.11174059528977601</v>
      </c>
      <c r="J7">
        <v>6.6027847718506602E-2</v>
      </c>
      <c r="K7">
        <v>1.6471444611288501E-2</v>
      </c>
      <c r="L7">
        <v>4.4465755666911412E-5</v>
      </c>
      <c r="M7">
        <v>9.1056592475780868E-7</v>
      </c>
      <c r="N7" s="1">
        <v>7.6652089604306101E-11</v>
      </c>
      <c r="O7" s="1">
        <v>1.6629619879080999E-14</v>
      </c>
      <c r="P7" s="1">
        <v>-5.2550762579129501E-14</v>
      </c>
      <c r="Q7">
        <v>50.204980575895299</v>
      </c>
      <c r="R7">
        <v>1.5478989189891599E-2</v>
      </c>
      <c r="S7">
        <v>1.8754053032812099</v>
      </c>
      <c r="T7">
        <v>0.51428341473127503</v>
      </c>
      <c r="V7">
        <v>31.183060466950401</v>
      </c>
      <c r="X7">
        <v>16.0444410031836</v>
      </c>
      <c r="AA7">
        <v>0.145889597715086</v>
      </c>
      <c r="AB7">
        <v>1.6460649052986401E-2</v>
      </c>
      <c r="AJ7">
        <v>-1.0569481061254999</v>
      </c>
      <c r="AK7">
        <v>0.99269026349619405</v>
      </c>
      <c r="AL7">
        <v>1.0127524434984401</v>
      </c>
      <c r="AM7">
        <v>3.5236680796560303E-2</v>
      </c>
      <c r="AN7">
        <v>-3.4332569468813003E-2</v>
      </c>
      <c r="AO7">
        <v>4.9361856725020699E-2</v>
      </c>
      <c r="AP7">
        <v>1.23943107809495E-3</v>
      </c>
    </row>
    <row r="8" spans="1:42" x14ac:dyDescent="0.2">
      <c r="A8">
        <v>80</v>
      </c>
      <c r="B8">
        <v>748</v>
      </c>
      <c r="C8">
        <v>200</v>
      </c>
      <c r="D8">
        <v>0.37667384811242399</v>
      </c>
      <c r="E8">
        <v>4.1495049759259599E-2</v>
      </c>
      <c r="F8">
        <v>3.5545979039266902</v>
      </c>
      <c r="G8">
        <v>-0.53819390588669835</v>
      </c>
      <c r="H8">
        <v>-0.45722332969568752</v>
      </c>
      <c r="I8">
        <v>7.9293518279401398E-2</v>
      </c>
      <c r="J8">
        <v>4.67991614481593E-2</v>
      </c>
      <c r="K8">
        <v>1.16736269138686E-2</v>
      </c>
      <c r="L8">
        <v>4.4449934357110177E-5</v>
      </c>
      <c r="M8">
        <v>9.0853742424606136E-7</v>
      </c>
      <c r="N8" s="1">
        <v>5.10616336011189E-11</v>
      </c>
      <c r="O8" s="1">
        <v>1.18996316175968E-14</v>
      </c>
      <c r="P8" s="1">
        <v>-7.6903519926132702E-15</v>
      </c>
      <c r="Q8">
        <v>50.4288791633127</v>
      </c>
      <c r="R8">
        <v>1.5635609557264601E-2</v>
      </c>
      <c r="S8">
        <v>1.759301195917</v>
      </c>
      <c r="T8">
        <v>0.49900031215688501</v>
      </c>
      <c r="V8">
        <v>30.621531307702099</v>
      </c>
      <c r="X8">
        <v>16.5017033876996</v>
      </c>
      <c r="AA8">
        <v>0.157659506226032</v>
      </c>
      <c r="AB8">
        <v>1.62895174282757E-2</v>
      </c>
      <c r="AJ8">
        <v>-1.0323447254413101</v>
      </c>
      <c r="AK8">
        <v>0.99223603204220601</v>
      </c>
      <c r="AL8">
        <v>0.99162676510475001</v>
      </c>
      <c r="AM8">
        <v>3.2718642317538897E-2</v>
      </c>
      <c r="AN8">
        <v>-3.1808035487897401E-2</v>
      </c>
      <c r="AO8">
        <v>4.6348338473088897E-2</v>
      </c>
      <c r="AP8">
        <v>1.22298299163075E-3</v>
      </c>
    </row>
    <row r="9" spans="1:42" x14ac:dyDescent="0.2">
      <c r="A9">
        <v>109</v>
      </c>
      <c r="B9">
        <v>754</v>
      </c>
      <c r="C9">
        <v>175</v>
      </c>
      <c r="D9">
        <v>0.40749695760112897</v>
      </c>
      <c r="E9">
        <v>1.30951613418191E-2</v>
      </c>
      <c r="F9">
        <v>3.54329867502608</v>
      </c>
      <c r="G9">
        <v>-0.17099665095143265</v>
      </c>
      <c r="H9">
        <v>-0.14516711456189324</v>
      </c>
      <c r="I9">
        <v>2.5146800749198599E-2</v>
      </c>
      <c r="J9">
        <v>1.4816316808183299E-2</v>
      </c>
      <c r="K9">
        <v>3.6957543077349398E-3</v>
      </c>
      <c r="L9">
        <v>4.4403662774963467E-5</v>
      </c>
      <c r="M9">
        <v>9.0622484952328111E-7</v>
      </c>
      <c r="N9" s="1">
        <v>1.5498247940881901E-11</v>
      </c>
      <c r="O9" s="1">
        <v>3.7952593564955598E-15</v>
      </c>
      <c r="P9" s="1">
        <v>7.4809347998782399E-15</v>
      </c>
      <c r="Q9">
        <v>50.661285982142402</v>
      </c>
      <c r="R9">
        <v>1.5916146495107301E-2</v>
      </c>
      <c r="S9">
        <v>1.6407243451875599</v>
      </c>
      <c r="T9">
        <v>0.484659713499277</v>
      </c>
      <c r="V9">
        <v>30.0292344309564</v>
      </c>
      <c r="X9">
        <v>16.979829350628702</v>
      </c>
      <c r="AA9">
        <v>0.17215072045547999</v>
      </c>
      <c r="AB9">
        <v>1.6199310634921402E-2</v>
      </c>
      <c r="AJ9">
        <v>-1.0065916019214101</v>
      </c>
      <c r="AK9">
        <v>0.99166699251287305</v>
      </c>
      <c r="AL9">
        <v>0.96949109063588501</v>
      </c>
      <c r="AM9">
        <v>3.0141486242179799E-2</v>
      </c>
      <c r="AN9">
        <v>-2.9217358004716601E-2</v>
      </c>
      <c r="AO9">
        <v>4.3296875985784501E-2</v>
      </c>
      <c r="AP9">
        <v>1.21251454940973E-3</v>
      </c>
    </row>
    <row r="10" spans="1:42" x14ac:dyDescent="0.2">
      <c r="A10">
        <v>110</v>
      </c>
      <c r="B10">
        <v>753</v>
      </c>
      <c r="C10">
        <v>175</v>
      </c>
      <c r="D10">
        <v>0.40685133752375702</v>
      </c>
      <c r="E10">
        <v>3.81550349277281E-2</v>
      </c>
      <c r="F10">
        <v>3.5447104404398502</v>
      </c>
      <c r="G10">
        <v>-0.49786029228963735</v>
      </c>
      <c r="H10">
        <v>-0.42272844816164795</v>
      </c>
      <c r="I10">
        <v>7.3217213982350801E-2</v>
      </c>
      <c r="J10">
        <v>4.3154790990000601E-2</v>
      </c>
      <c r="K10">
        <v>1.0763935607387301E-2</v>
      </c>
      <c r="L10">
        <v>4.440668222182334E-5</v>
      </c>
      <c r="M10">
        <v>9.0646657318050621E-7</v>
      </c>
      <c r="N10" s="1">
        <v>4.5411106765345398E-11</v>
      </c>
      <c r="O10" s="1">
        <v>1.10680074743444E-14</v>
      </c>
      <c r="P10" s="1">
        <v>1.50682241384971E-14</v>
      </c>
      <c r="Q10">
        <v>50.620304935503597</v>
      </c>
      <c r="R10">
        <v>1.5862380939153702E-2</v>
      </c>
      <c r="S10">
        <v>1.67680930946955</v>
      </c>
      <c r="T10">
        <v>0.48943374778662502</v>
      </c>
      <c r="V10">
        <v>30.095089218020899</v>
      </c>
      <c r="X10">
        <v>16.919457830914801</v>
      </c>
      <c r="AA10">
        <v>0.16698899662707301</v>
      </c>
      <c r="AB10">
        <v>1.60535807382228E-2</v>
      </c>
      <c r="AJ10">
        <v>-1.01017282587727</v>
      </c>
      <c r="AK10">
        <v>0.99188860940637003</v>
      </c>
      <c r="AL10">
        <v>0.97195152209387203</v>
      </c>
      <c r="AM10">
        <v>3.0907576813884102E-2</v>
      </c>
      <c r="AN10">
        <v>-2.99862534273658E-2</v>
      </c>
      <c r="AO10">
        <v>4.4209350838382497E-2</v>
      </c>
      <c r="AP10">
        <v>1.20202015213414E-3</v>
      </c>
    </row>
    <row r="11" spans="1:42" x14ac:dyDescent="0.2">
      <c r="A11">
        <v>144</v>
      </c>
      <c r="B11">
        <v>760</v>
      </c>
      <c r="C11">
        <v>150</v>
      </c>
      <c r="D11">
        <v>0.43796205778444602</v>
      </c>
      <c r="E11">
        <v>1.49714506014698E-2</v>
      </c>
      <c r="F11">
        <v>3.5333416249716998</v>
      </c>
      <c r="G11">
        <v>-0.19670357468582081</v>
      </c>
      <c r="H11">
        <v>-0.16685924265934454</v>
      </c>
      <c r="I11">
        <v>2.88867367047148E-2</v>
      </c>
      <c r="J11">
        <v>1.69876982374546E-2</v>
      </c>
      <c r="K11">
        <v>4.23719305703697E-3</v>
      </c>
      <c r="L11">
        <v>4.4335058399563771E-5</v>
      </c>
      <c r="M11">
        <v>9.039562320112541E-7</v>
      </c>
      <c r="N11" s="1">
        <v>1.7537325760493902E-11</v>
      </c>
      <c r="O11" s="1">
        <v>4.3807618281131901E-15</v>
      </c>
      <c r="P11" s="1">
        <v>1.7163407409609599E-14</v>
      </c>
      <c r="Q11">
        <v>50.844531325543301</v>
      </c>
      <c r="R11">
        <v>1.6278171654452101E-2</v>
      </c>
      <c r="S11">
        <v>1.57001636716862</v>
      </c>
      <c r="T11">
        <v>0.47882427019271301</v>
      </c>
      <c r="V11">
        <v>29.4976057191267</v>
      </c>
      <c r="X11">
        <v>17.394294398010501</v>
      </c>
      <c r="AA11">
        <v>0.18245626921614699</v>
      </c>
      <c r="AB11">
        <v>1.5993479087410299E-2</v>
      </c>
      <c r="AJ11">
        <v>-0.98466849978469395</v>
      </c>
      <c r="AK11">
        <v>0.99127968199278604</v>
      </c>
      <c r="AL11">
        <v>0.949763582642011</v>
      </c>
      <c r="AM11">
        <v>2.8558802953204999E-2</v>
      </c>
      <c r="AN11">
        <v>-2.76161992936866E-2</v>
      </c>
      <c r="AO11">
        <v>4.1488746322632102E-2</v>
      </c>
      <c r="AP11">
        <v>1.19388516774643E-3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D483D-E315-460A-869D-FA9B01C84765}">
  <sheetPr codeName="Sheet7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123</v>
      </c>
      <c r="AK1" t="s">
        <v>124</v>
      </c>
      <c r="AL1" t="s">
        <v>125</v>
      </c>
      <c r="AM1" t="s">
        <v>126</v>
      </c>
      <c r="AN1" t="s">
        <v>80</v>
      </c>
    </row>
    <row r="2" spans="1:40" x14ac:dyDescent="0.2">
      <c r="A2">
        <v>14</v>
      </c>
      <c r="B2">
        <v>738</v>
      </c>
      <c r="C2">
        <v>275</v>
      </c>
      <c r="D2">
        <v>0.28822677149780002</v>
      </c>
      <c r="E2">
        <v>1.1257181680326399E-2</v>
      </c>
      <c r="F2">
        <v>4.6731178922947496</v>
      </c>
      <c r="G2">
        <v>-0.10580902360465995</v>
      </c>
      <c r="H2">
        <v>-8.5885350122008305E-2</v>
      </c>
      <c r="I2">
        <v>1.97039741706489E-2</v>
      </c>
      <c r="J2">
        <v>1.0284421686640399E-2</v>
      </c>
      <c r="K2">
        <v>2.40892310867821E-3</v>
      </c>
      <c r="L2">
        <v>3.1824683007044015E-5</v>
      </c>
      <c r="M2">
        <v>5.5332559329506112E-7</v>
      </c>
      <c r="N2" s="1">
        <v>1.33220252340636E-11</v>
      </c>
      <c r="O2" s="1">
        <v>5.2745767844906503E-15</v>
      </c>
      <c r="P2" s="1">
        <v>1.53444018835451E-14</v>
      </c>
      <c r="R2">
        <v>47.193242061617397</v>
      </c>
      <c r="S2">
        <v>2.1938680552180401</v>
      </c>
      <c r="T2">
        <v>9.6963931462292408</v>
      </c>
      <c r="V2">
        <v>38.327200146598202</v>
      </c>
      <c r="W2">
        <v>0.65716964217960006</v>
      </c>
      <c r="X2">
        <v>1.9321269481574399</v>
      </c>
      <c r="AJ2">
        <v>7.1241578771345501E-2</v>
      </c>
      <c r="AK2">
        <v>9.0235379594926904E-2</v>
      </c>
      <c r="AL2">
        <v>0.79277951640909305</v>
      </c>
      <c r="AM2">
        <v>1.3767420081782901E-2</v>
      </c>
      <c r="AN2">
        <v>3.1976105142850701E-2</v>
      </c>
    </row>
    <row r="3" spans="1:40" x14ac:dyDescent="0.2">
      <c r="A3">
        <v>15</v>
      </c>
      <c r="B3">
        <v>737</v>
      </c>
      <c r="C3">
        <v>275</v>
      </c>
      <c r="D3">
        <v>0.28745285353660599</v>
      </c>
      <c r="E3">
        <v>2.2752177137160799E-2</v>
      </c>
      <c r="F3">
        <v>4.6623660522240602</v>
      </c>
      <c r="G3">
        <v>-0.21550349526035148</v>
      </c>
      <c r="H3">
        <v>-0.17516109550113695</v>
      </c>
      <c r="I3">
        <v>3.99370388152398E-2</v>
      </c>
      <c r="J3">
        <v>2.08187568991745E-2</v>
      </c>
      <c r="K3">
        <v>4.8799637099080804E-3</v>
      </c>
      <c r="L3">
        <v>3.1592390739710537E-5</v>
      </c>
      <c r="M3">
        <v>5.5272681227192762E-7</v>
      </c>
      <c r="N3" s="1">
        <v>2.6652511826425699E-11</v>
      </c>
      <c r="O3" s="1">
        <v>1.06635197790138E-14</v>
      </c>
      <c r="P3" s="1">
        <v>3.4825139495304002E-14</v>
      </c>
      <c r="R3">
        <v>47.288718057020503</v>
      </c>
      <c r="S3">
        <v>2.2124384607454002</v>
      </c>
      <c r="T3">
        <v>9.8622772998810095</v>
      </c>
      <c r="V3">
        <v>37.252705217819098</v>
      </c>
      <c r="W3">
        <v>0.98978067311561202</v>
      </c>
      <c r="X3">
        <v>2.3940802914182999</v>
      </c>
      <c r="AJ3">
        <v>8.7958974965654496E-2</v>
      </c>
      <c r="AK3">
        <v>9.1450780007551496E-2</v>
      </c>
      <c r="AL3">
        <v>0.76779753321168798</v>
      </c>
      <c r="AM3">
        <v>2.0661298455300001E-2</v>
      </c>
      <c r="AN3">
        <v>3.2131413359805398E-2</v>
      </c>
    </row>
    <row r="4" spans="1:40" x14ac:dyDescent="0.2">
      <c r="A4">
        <v>16</v>
      </c>
      <c r="B4">
        <v>736</v>
      </c>
      <c r="C4">
        <v>275</v>
      </c>
      <c r="D4">
        <v>0.28667740177377199</v>
      </c>
      <c r="E4">
        <v>3.3088785455383803E-2</v>
      </c>
      <c r="F4">
        <v>4.6643696662713703</v>
      </c>
      <c r="G4">
        <v>-0.31382095211345579</v>
      </c>
      <c r="H4">
        <v>-0.25515233194693748</v>
      </c>
      <c r="I4">
        <v>5.8136669639318503E-2</v>
      </c>
      <c r="J4">
        <v>3.02444085341016E-2</v>
      </c>
      <c r="K4">
        <v>7.0939457682037696E-3</v>
      </c>
      <c r="L4">
        <v>3.1476985478319176E-5</v>
      </c>
      <c r="M4">
        <v>5.5244817375735867E-7</v>
      </c>
      <c r="N4" s="1">
        <v>4.0696223505811202E-11</v>
      </c>
      <c r="O4" s="1">
        <v>1.5491265524413299E-14</v>
      </c>
      <c r="P4" s="1">
        <v>4.8671501180563701E-14</v>
      </c>
      <c r="R4">
        <v>47.251090740991302</v>
      </c>
      <c r="S4">
        <v>2.2381362821441302</v>
      </c>
      <c r="T4">
        <v>9.9468839039335801</v>
      </c>
      <c r="V4">
        <v>36.785461376019001</v>
      </c>
      <c r="W4">
        <v>1.3404570348203899</v>
      </c>
      <c r="X4">
        <v>2.4379706620915198</v>
      </c>
      <c r="AJ4">
        <v>8.9530296809282595E-2</v>
      </c>
      <c r="AK4">
        <v>9.2192874156039994E-2</v>
      </c>
      <c r="AL4">
        <v>0.75781850336632794</v>
      </c>
      <c r="AM4">
        <v>2.79686588134372E-2</v>
      </c>
      <c r="AN4">
        <v>3.24896668549116E-2</v>
      </c>
    </row>
    <row r="5" spans="1:40" x14ac:dyDescent="0.2">
      <c r="A5">
        <v>17</v>
      </c>
      <c r="B5">
        <v>735</v>
      </c>
      <c r="C5">
        <v>275</v>
      </c>
      <c r="D5">
        <v>0.285900411645091</v>
      </c>
      <c r="E5">
        <v>3.93407696519356E-2</v>
      </c>
      <c r="F5">
        <v>4.6672239674586802</v>
      </c>
      <c r="G5">
        <v>-0.37332019414520157</v>
      </c>
      <c r="H5">
        <v>-0.30359350644604571</v>
      </c>
      <c r="I5">
        <v>6.9163009174384601E-2</v>
      </c>
      <c r="J5">
        <v>3.59239611620535E-2</v>
      </c>
      <c r="K5">
        <v>8.4291583018581296E-3</v>
      </c>
      <c r="L5">
        <v>3.1391741073842108E-5</v>
      </c>
      <c r="M5">
        <v>5.5221652304402675E-7</v>
      </c>
      <c r="N5" s="1">
        <v>4.9397350529941499E-11</v>
      </c>
      <c r="O5" s="1">
        <v>1.8393078419875801E-14</v>
      </c>
      <c r="P5" s="1">
        <v>5.6966483906667201E-14</v>
      </c>
      <c r="R5">
        <v>47.198567346291597</v>
      </c>
      <c r="S5">
        <v>2.2659961807122699</v>
      </c>
      <c r="T5">
        <v>10.023467789090001</v>
      </c>
      <c r="V5">
        <v>36.428435011336603</v>
      </c>
      <c r="W5">
        <v>1.64454873442611</v>
      </c>
      <c r="X5">
        <v>2.43898493814326</v>
      </c>
      <c r="AJ5">
        <v>8.9554893970597099E-2</v>
      </c>
      <c r="AK5">
        <v>9.2889571845807303E-2</v>
      </c>
      <c r="AL5">
        <v>0.75035739709342397</v>
      </c>
      <c r="AM5">
        <v>3.4308690899939598E-2</v>
      </c>
      <c r="AN5">
        <v>3.2889446190231202E-2</v>
      </c>
    </row>
    <row r="6" spans="1:40" x14ac:dyDescent="0.2">
      <c r="A6">
        <v>32</v>
      </c>
      <c r="B6">
        <v>741</v>
      </c>
      <c r="C6">
        <v>250</v>
      </c>
      <c r="D6">
        <v>0.31765567223783697</v>
      </c>
      <c r="E6">
        <v>1.7217545494944499E-2</v>
      </c>
      <c r="F6">
        <v>4.6605840240283802</v>
      </c>
      <c r="G6">
        <v>-0.16341705466859954</v>
      </c>
      <c r="H6">
        <v>-0.13268242877316469</v>
      </c>
      <c r="I6">
        <v>3.0305798841822999E-2</v>
      </c>
      <c r="J6">
        <v>1.5765017391456301E-2</v>
      </c>
      <c r="K6">
        <v>3.6942892577790098E-3</v>
      </c>
      <c r="L6">
        <v>3.156635375568262E-5</v>
      </c>
      <c r="M6">
        <v>5.5298990948077544E-7</v>
      </c>
      <c r="N6" s="1">
        <v>1.9952831743244902E-11</v>
      </c>
      <c r="O6" s="1">
        <v>8.0621625232456905E-15</v>
      </c>
      <c r="P6" s="1">
        <v>2.7570710071906001E-14</v>
      </c>
      <c r="R6">
        <v>47.272686120134303</v>
      </c>
      <c r="S6">
        <v>2.18151568924034</v>
      </c>
      <c r="T6">
        <v>9.9824352423496006</v>
      </c>
      <c r="V6">
        <v>37.010444893972597</v>
      </c>
      <c r="W6">
        <v>1.08528337900394</v>
      </c>
      <c r="X6">
        <v>2.4676346752990899</v>
      </c>
      <c r="AJ6">
        <v>9.0628028041882802E-2</v>
      </c>
      <c r="AK6">
        <v>9.2530929305775195E-2</v>
      </c>
      <c r="AL6">
        <v>0.762523829264939</v>
      </c>
      <c r="AM6">
        <v>2.2646547970924701E-2</v>
      </c>
      <c r="AN6">
        <v>3.1670665416477901E-2</v>
      </c>
    </row>
    <row r="7" spans="1:40" x14ac:dyDescent="0.2">
      <c r="A7">
        <v>33</v>
      </c>
      <c r="B7">
        <v>740</v>
      </c>
      <c r="C7">
        <v>250</v>
      </c>
      <c r="D7">
        <v>0.31691309282929903</v>
      </c>
      <c r="E7">
        <v>2.78940846114979E-2</v>
      </c>
      <c r="F7">
        <v>4.6611204012606198</v>
      </c>
      <c r="G7">
        <v>-0.26527739911577852</v>
      </c>
      <c r="H7">
        <v>-0.21547734379899838</v>
      </c>
      <c r="I7">
        <v>4.9153684367349397E-2</v>
      </c>
      <c r="J7">
        <v>2.5522521703923901E-2</v>
      </c>
      <c r="K7">
        <v>5.9844162369102902E-3</v>
      </c>
      <c r="L7">
        <v>3.1442716680462509E-5</v>
      </c>
      <c r="M7">
        <v>5.5267512415769095E-7</v>
      </c>
      <c r="N7" s="1">
        <v>3.3298755374950098E-11</v>
      </c>
      <c r="O7" s="1">
        <v>1.3047671607038801E-14</v>
      </c>
      <c r="P7" s="1">
        <v>4.4386924018380401E-14</v>
      </c>
      <c r="R7">
        <v>47.246771246898</v>
      </c>
      <c r="S7">
        <v>2.20755466125539</v>
      </c>
      <c r="T7">
        <v>10.0806514159201</v>
      </c>
      <c r="V7">
        <v>36.478908624692998</v>
      </c>
      <c r="W7">
        <v>1.4282118833415101</v>
      </c>
      <c r="X7">
        <v>2.5579021678918901</v>
      </c>
      <c r="AJ7">
        <v>9.3867378728227993E-2</v>
      </c>
      <c r="AK7">
        <v>9.3365862580330902E-2</v>
      </c>
      <c r="AL7">
        <v>0.750965603296606</v>
      </c>
      <c r="AM7">
        <v>2.9778347675361899E-2</v>
      </c>
      <c r="AN7">
        <v>3.2022807719472197E-2</v>
      </c>
    </row>
    <row r="8" spans="1:40" x14ac:dyDescent="0.2">
      <c r="A8">
        <v>34</v>
      </c>
      <c r="B8">
        <v>739</v>
      </c>
      <c r="C8">
        <v>250</v>
      </c>
      <c r="D8">
        <v>0.31616904609000601</v>
      </c>
      <c r="E8">
        <v>3.4953939524842298E-2</v>
      </c>
      <c r="F8">
        <v>4.6639986578515797</v>
      </c>
      <c r="G8">
        <v>-0.33260080094390621</v>
      </c>
      <c r="H8">
        <v>-0.27022010235256511</v>
      </c>
      <c r="I8">
        <v>6.16318713543852E-2</v>
      </c>
      <c r="J8">
        <v>3.19523398477983E-2</v>
      </c>
      <c r="K8">
        <v>7.4944145762133301E-3</v>
      </c>
      <c r="L8">
        <v>3.1360229591307057E-5</v>
      </c>
      <c r="M8">
        <v>5.5244132636281564E-7</v>
      </c>
      <c r="N8" s="1">
        <v>4.2434098734324603E-11</v>
      </c>
      <c r="O8" s="1">
        <v>1.63263274651092E-14</v>
      </c>
      <c r="P8" s="1">
        <v>5.5131905035621398E-14</v>
      </c>
      <c r="R8">
        <v>47.191859213652101</v>
      </c>
      <c r="S8">
        <v>2.2361460966902702</v>
      </c>
      <c r="T8">
        <v>10.1613824895232</v>
      </c>
      <c r="V8">
        <v>36.115387692107902</v>
      </c>
      <c r="W8">
        <v>1.73593020657749</v>
      </c>
      <c r="X8">
        <v>2.5592943014489</v>
      </c>
      <c r="AJ8">
        <v>9.3904759303534396E-2</v>
      </c>
      <c r="AK8">
        <v>9.4099849678692796E-2</v>
      </c>
      <c r="AL8">
        <v>0.74337354919043297</v>
      </c>
      <c r="AM8">
        <v>3.6189020464561503E-2</v>
      </c>
      <c r="AN8">
        <v>3.2432821362777697E-2</v>
      </c>
    </row>
    <row r="9" spans="1:40" x14ac:dyDescent="0.2">
      <c r="A9">
        <v>53</v>
      </c>
      <c r="B9">
        <v>745</v>
      </c>
      <c r="C9">
        <v>225</v>
      </c>
      <c r="D9">
        <v>0.347621175661739</v>
      </c>
      <c r="E9">
        <v>1.35461698736195E-2</v>
      </c>
      <c r="F9">
        <v>4.6570836410688203</v>
      </c>
      <c r="G9">
        <v>-0.12901371961390432</v>
      </c>
      <c r="H9">
        <v>-0.10465532350665321</v>
      </c>
      <c r="I9">
        <v>2.3924172378579901E-2</v>
      </c>
      <c r="J9">
        <v>1.24147562341135E-2</v>
      </c>
      <c r="K9">
        <v>2.9087237674156599E-3</v>
      </c>
      <c r="L9">
        <v>3.1496603906152392E-5</v>
      </c>
      <c r="M9">
        <v>5.5312353782058549E-7</v>
      </c>
      <c r="N9" s="1">
        <v>1.5381792956283298E-11</v>
      </c>
      <c r="O9" s="1">
        <v>6.33626590820767E-15</v>
      </c>
      <c r="P9" s="1">
        <v>2.3250215043706798E-14</v>
      </c>
      <c r="R9">
        <v>47.266529452929902</v>
      </c>
      <c r="S9">
        <v>2.1550116546003402</v>
      </c>
      <c r="T9">
        <v>10.1439828632159</v>
      </c>
      <c r="V9">
        <v>36.555020427204198</v>
      </c>
      <c r="W9">
        <v>1.2570151464437</v>
      </c>
      <c r="X9">
        <v>2.6224404556057399</v>
      </c>
      <c r="AJ9">
        <v>9.6217447087939001E-2</v>
      </c>
      <c r="AK9">
        <v>9.3934571128213698E-2</v>
      </c>
      <c r="AL9">
        <v>0.75238940811416</v>
      </c>
      <c r="AM9">
        <v>2.6203897871522799E-2</v>
      </c>
      <c r="AN9">
        <v>3.12546757981636E-2</v>
      </c>
    </row>
    <row r="10" spans="1:40" x14ac:dyDescent="0.2">
      <c r="A10">
        <v>54</v>
      </c>
      <c r="B10">
        <v>744</v>
      </c>
      <c r="C10">
        <v>225</v>
      </c>
      <c r="D10">
        <v>0.34691097674876298</v>
      </c>
      <c r="E10">
        <v>2.4325092415442302E-2</v>
      </c>
      <c r="F10">
        <v>4.6586217867851696</v>
      </c>
      <c r="G10">
        <v>-0.23201058713315867</v>
      </c>
      <c r="H10">
        <v>-0.18827031894011623</v>
      </c>
      <c r="I10">
        <v>4.3002770675949903E-2</v>
      </c>
      <c r="J10">
        <v>2.2274949075012099E-2</v>
      </c>
      <c r="K10">
        <v>5.2215211984891798E-3</v>
      </c>
      <c r="L10">
        <v>3.1387184882611617E-5</v>
      </c>
      <c r="M10">
        <v>5.5283237589464853E-7</v>
      </c>
      <c r="N10" s="1">
        <v>2.8249110813749399E-11</v>
      </c>
      <c r="O10" s="1">
        <v>1.13633165539978E-14</v>
      </c>
      <c r="P10" s="1">
        <v>4.1625591052286301E-14</v>
      </c>
      <c r="R10">
        <v>47.226786690196199</v>
      </c>
      <c r="S10">
        <v>2.1813276164336699</v>
      </c>
      <c r="T10">
        <v>10.242887114529101</v>
      </c>
      <c r="V10">
        <v>36.068032238745602</v>
      </c>
      <c r="W10">
        <v>1.6005936990199501</v>
      </c>
      <c r="X10">
        <v>2.6803726410753002</v>
      </c>
      <c r="AJ10">
        <v>9.8287746334224102E-2</v>
      </c>
      <c r="AK10">
        <v>9.4797163684826602E-2</v>
      </c>
      <c r="AL10">
        <v>0.74194907613058603</v>
      </c>
      <c r="AM10">
        <v>3.33474398067196E-2</v>
      </c>
      <c r="AN10">
        <v>3.1618574043643301E-2</v>
      </c>
    </row>
    <row r="11" spans="1:40" x14ac:dyDescent="0.2">
      <c r="A11">
        <v>55</v>
      </c>
      <c r="B11">
        <v>743</v>
      </c>
      <c r="C11">
        <v>225</v>
      </c>
      <c r="D11">
        <v>0.34619938001279399</v>
      </c>
      <c r="E11">
        <v>3.1454533177071801E-2</v>
      </c>
      <c r="F11">
        <v>4.6615179197863297</v>
      </c>
      <c r="G11">
        <v>-0.30016400958419875</v>
      </c>
      <c r="H11">
        <v>-0.24362623854729662</v>
      </c>
      <c r="I11">
        <v>5.5639197989373702E-2</v>
      </c>
      <c r="J11">
        <v>2.8779440952210199E-2</v>
      </c>
      <c r="K11">
        <v>6.7477018684320902E-3</v>
      </c>
      <c r="L11">
        <v>3.1311127102360726E-5</v>
      </c>
      <c r="M11">
        <v>5.5260253109226972E-7</v>
      </c>
      <c r="N11" s="1">
        <v>3.6830655898703702E-11</v>
      </c>
      <c r="O11" s="1">
        <v>1.4671089429219599E-14</v>
      </c>
      <c r="P11" s="1">
        <v>5.3883465939065399E-14</v>
      </c>
      <c r="R11">
        <v>47.169114407697101</v>
      </c>
      <c r="S11">
        <v>2.2095506740151301</v>
      </c>
      <c r="T11">
        <v>10.3287862495281</v>
      </c>
      <c r="V11">
        <v>35.704816823739797</v>
      </c>
      <c r="W11">
        <v>1.9065030436602599</v>
      </c>
      <c r="X11">
        <v>2.6812288013594499</v>
      </c>
      <c r="AJ11">
        <v>9.8305645353481394E-2</v>
      </c>
      <c r="AK11">
        <v>9.5579032264364094E-2</v>
      </c>
      <c r="AL11">
        <v>0.73437661751483396</v>
      </c>
      <c r="AM11">
        <v>3.9715430941117201E-2</v>
      </c>
      <c r="AN11">
        <v>3.20232739262028E-2</v>
      </c>
    </row>
    <row r="12" spans="1:40" x14ac:dyDescent="0.2">
      <c r="A12">
        <v>79</v>
      </c>
      <c r="B12">
        <v>749</v>
      </c>
      <c r="C12">
        <v>200</v>
      </c>
      <c r="D12">
        <v>0.37735214988015597</v>
      </c>
      <c r="E12">
        <v>1.3246411782157699E-2</v>
      </c>
      <c r="F12">
        <v>4.6513334400074404</v>
      </c>
      <c r="G12">
        <v>-0.12684077781735806</v>
      </c>
      <c r="H12">
        <v>-0.102825605043934</v>
      </c>
      <c r="I12">
        <v>2.34947637562237E-2</v>
      </c>
      <c r="J12">
        <v>1.21554006780701E-2</v>
      </c>
      <c r="K12">
        <v>2.8478740457997601E-3</v>
      </c>
      <c r="L12">
        <v>3.1366379225639353E-5</v>
      </c>
      <c r="M12">
        <v>5.5306240945306094E-7</v>
      </c>
      <c r="N12" s="1">
        <v>1.4391532727708101E-11</v>
      </c>
      <c r="O12" s="1">
        <v>6.1870667782616499E-15</v>
      </c>
      <c r="P12" s="1">
        <v>2.5268387420925399E-14</v>
      </c>
      <c r="R12">
        <v>47.267293007463799</v>
      </c>
      <c r="S12">
        <v>2.1400157963727202</v>
      </c>
      <c r="T12">
        <v>10.3706701107015</v>
      </c>
      <c r="V12">
        <v>35.779773120787297</v>
      </c>
      <c r="W12">
        <v>1.55228981820312</v>
      </c>
      <c r="X12">
        <v>2.8899581464714599</v>
      </c>
      <c r="AJ12">
        <v>0.105832046095428</v>
      </c>
      <c r="AK12">
        <v>9.5852008016686294E-2</v>
      </c>
      <c r="AL12">
        <v>0.735039486751773</v>
      </c>
      <c r="AM12">
        <v>3.2298000874885997E-2</v>
      </c>
      <c r="AN12">
        <v>3.0978458261225399E-2</v>
      </c>
    </row>
    <row r="13" spans="1:40" x14ac:dyDescent="0.2">
      <c r="A13">
        <v>80</v>
      </c>
      <c r="B13">
        <v>748</v>
      </c>
      <c r="C13">
        <v>200</v>
      </c>
      <c r="D13">
        <v>0.37667384811242399</v>
      </c>
      <c r="E13">
        <v>2.37925180224728E-2</v>
      </c>
      <c r="F13">
        <v>4.6571812339325804</v>
      </c>
      <c r="G13">
        <v>-0.22766452601898229</v>
      </c>
      <c r="H13">
        <v>-0.18455605869852604</v>
      </c>
      <c r="I13">
        <v>4.22156072275926E-2</v>
      </c>
      <c r="J13">
        <v>2.1800712989546601E-2</v>
      </c>
      <c r="K13">
        <v>5.1087807897873304E-3</v>
      </c>
      <c r="L13">
        <v>3.1305613903999046E-5</v>
      </c>
      <c r="M13">
        <v>5.5287246322076346E-7</v>
      </c>
      <c r="N13" s="1">
        <v>2.6738754011530301E-11</v>
      </c>
      <c r="O13" s="1">
        <v>1.10912575872427E-14</v>
      </c>
      <c r="P13" s="1">
        <v>4.3955691317063401E-14</v>
      </c>
      <c r="R13">
        <v>47.1776841121751</v>
      </c>
      <c r="S13">
        <v>2.16882656026154</v>
      </c>
      <c r="T13">
        <v>10.4511935076659</v>
      </c>
      <c r="V13">
        <v>35.496499605910998</v>
      </c>
      <c r="W13">
        <v>1.89927714263178</v>
      </c>
      <c r="X13">
        <v>2.8065190713544101</v>
      </c>
      <c r="AJ13">
        <v>0.102827256755138</v>
      </c>
      <c r="AK13">
        <v>9.6644000133761301E-2</v>
      </c>
      <c r="AL13">
        <v>0.72958051852987105</v>
      </c>
      <c r="AM13">
        <v>3.9537188867378899E-2</v>
      </c>
      <c r="AN13">
        <v>3.1411035713849497E-2</v>
      </c>
    </row>
    <row r="14" spans="1:40" x14ac:dyDescent="0.2">
      <c r="A14">
        <v>109</v>
      </c>
      <c r="B14">
        <v>754</v>
      </c>
      <c r="C14">
        <v>175</v>
      </c>
      <c r="D14">
        <v>0.40749695760112897</v>
      </c>
      <c r="E14">
        <v>1.13724457540515E-2</v>
      </c>
      <c r="F14">
        <v>4.6515325701138002</v>
      </c>
      <c r="G14">
        <v>-0.1091182268257905</v>
      </c>
      <c r="H14">
        <v>-8.8325615459691781E-2</v>
      </c>
      <c r="I14">
        <v>2.02430135482633E-2</v>
      </c>
      <c r="J14">
        <v>1.0440450115833701E-2</v>
      </c>
      <c r="K14">
        <v>2.4448814627505201E-3</v>
      </c>
      <c r="L14">
        <v>3.1327538651542553E-5</v>
      </c>
      <c r="M14">
        <v>5.5318152292535231E-7</v>
      </c>
      <c r="N14" s="1">
        <v>1.2162954376119801E-11</v>
      </c>
      <c r="O14" s="1">
        <v>5.3008708092665301E-15</v>
      </c>
      <c r="P14" s="1">
        <v>2.2641034584065602E-14</v>
      </c>
      <c r="R14">
        <v>47.201867831247803</v>
      </c>
      <c r="S14">
        <v>2.1240445521373998</v>
      </c>
      <c r="T14">
        <v>10.5495879355874</v>
      </c>
      <c r="V14">
        <v>35.4106681422222</v>
      </c>
      <c r="W14">
        <v>1.77813328266057</v>
      </c>
      <c r="X14">
        <v>2.9356982561443901</v>
      </c>
      <c r="AJ14">
        <v>0.10748408947524001</v>
      </c>
      <c r="AK14">
        <v>9.7484825759884694E-2</v>
      </c>
      <c r="AL14">
        <v>0.72730125447162197</v>
      </c>
      <c r="AM14">
        <v>3.6989143202038402E-2</v>
      </c>
      <c r="AN14">
        <v>3.0740687091214101E-2</v>
      </c>
    </row>
    <row r="15" spans="1:40" x14ac:dyDescent="0.2">
      <c r="A15">
        <v>110</v>
      </c>
      <c r="B15">
        <v>753</v>
      </c>
      <c r="C15">
        <v>175</v>
      </c>
      <c r="D15">
        <v>0.40685133752375702</v>
      </c>
      <c r="E15">
        <v>2.0231876020289301E-2</v>
      </c>
      <c r="F15">
        <v>4.6546041764335699</v>
      </c>
      <c r="G15">
        <v>-0.19421957092530115</v>
      </c>
      <c r="H15">
        <v>-0.15724230438334028</v>
      </c>
      <c r="I15">
        <v>3.6034952533217202E-2</v>
      </c>
      <c r="J15">
        <v>1.8558910573442101E-2</v>
      </c>
      <c r="K15">
        <v>4.3466372764249302E-3</v>
      </c>
      <c r="L15">
        <v>3.125550438005439E-5</v>
      </c>
      <c r="M15">
        <v>5.5295018565574101E-7</v>
      </c>
      <c r="N15" s="1">
        <v>2.17150285950545E-11</v>
      </c>
      <c r="O15" s="1">
        <v>9.4144844717005095E-15</v>
      </c>
      <c r="P15" s="1">
        <v>4.0488596796798398E-14</v>
      </c>
      <c r="R15">
        <v>47.139308582779698</v>
      </c>
      <c r="S15">
        <v>2.15080629851122</v>
      </c>
      <c r="T15">
        <v>10.6464920188387</v>
      </c>
      <c r="V15">
        <v>35.028032890918901</v>
      </c>
      <c r="W15">
        <v>2.0987108968697199</v>
      </c>
      <c r="X15">
        <v>2.9366493120815802</v>
      </c>
      <c r="AJ15">
        <v>0.10750521855225501</v>
      </c>
      <c r="AK15">
        <v>9.8367752425786895E-2</v>
      </c>
      <c r="AL15">
        <v>0.71935067678914</v>
      </c>
      <c r="AM15">
        <v>4.3652313986791702E-2</v>
      </c>
      <c r="AN15">
        <v>3.1124038246025901E-2</v>
      </c>
    </row>
    <row r="16" spans="1:40" x14ac:dyDescent="0.2">
      <c r="A16">
        <v>144</v>
      </c>
      <c r="B16">
        <v>760</v>
      </c>
      <c r="C16">
        <v>150</v>
      </c>
      <c r="D16">
        <v>0.43796205778444602</v>
      </c>
      <c r="E16">
        <v>8.3823244079669693E-3</v>
      </c>
      <c r="F16">
        <v>4.6490949656348004</v>
      </c>
      <c r="G16">
        <v>-8.0720017080992038E-2</v>
      </c>
      <c r="H16">
        <v>-6.5234975695485142E-2</v>
      </c>
      <c r="I16">
        <v>1.4988183115236701E-2</v>
      </c>
      <c r="J16">
        <v>7.7046201663929E-3</v>
      </c>
      <c r="K16">
        <v>1.80300133035084E-3</v>
      </c>
      <c r="L16">
        <v>3.126701152905518E-5</v>
      </c>
      <c r="M16">
        <v>5.5315951280118818E-7</v>
      </c>
      <c r="N16" s="1">
        <v>8.5368943658880208E-12</v>
      </c>
      <c r="O16" s="1">
        <v>3.8983723111238703E-15</v>
      </c>
      <c r="P16" s="1">
        <v>1.8065541007876799E-14</v>
      </c>
      <c r="R16">
        <v>47.145812985770498</v>
      </c>
      <c r="S16">
        <v>2.11437405420474</v>
      </c>
      <c r="T16">
        <v>10.7768781393642</v>
      </c>
      <c r="V16">
        <v>34.860255270914102</v>
      </c>
      <c r="W16">
        <v>2.0290502332993401</v>
      </c>
      <c r="X16">
        <v>3.0736293164468802</v>
      </c>
      <c r="AJ16">
        <v>0.11243012453989699</v>
      </c>
      <c r="AK16">
        <v>9.9493092545395206E-2</v>
      </c>
      <c r="AL16">
        <v>0.71533456934117501</v>
      </c>
      <c r="AM16">
        <v>4.2169766333807701E-2</v>
      </c>
      <c r="AN16">
        <v>3.0572447239723698E-2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153E7-1987-4092-8393-1E887E4B41AE}">
  <sheetPr codeName="Sheet8"/>
  <dimension ref="A1:AN3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101</v>
      </c>
      <c r="AN1" t="s">
        <v>122</v>
      </c>
    </row>
    <row r="2" spans="1:40" x14ac:dyDescent="0.2">
      <c r="A2">
        <v>14</v>
      </c>
      <c r="B2">
        <v>738</v>
      </c>
      <c r="C2">
        <v>275</v>
      </c>
      <c r="D2">
        <v>0.28822677149780002</v>
      </c>
      <c r="E2">
        <v>0.40265099363180701</v>
      </c>
      <c r="F2">
        <v>4.9463182414225102</v>
      </c>
      <c r="G2">
        <v>-2.6785710671539738</v>
      </c>
      <c r="H2">
        <v>-1.9632506006065866</v>
      </c>
      <c r="I2">
        <v>0.70743259313394302</v>
      </c>
      <c r="J2">
        <v>0.35650350189716601</v>
      </c>
      <c r="K2">
        <v>8.1404182662539001E-2</v>
      </c>
      <c r="L2">
        <v>3.5318914594439384E-5</v>
      </c>
      <c r="M2">
        <v>4.0953505039304964E-7</v>
      </c>
      <c r="N2" s="1">
        <v>1.57459382430802E-9</v>
      </c>
      <c r="O2" s="1">
        <v>1.95488359383152E-13</v>
      </c>
      <c r="P2">
        <v>0</v>
      </c>
      <c r="R2">
        <v>9.1043170322191003</v>
      </c>
      <c r="S2">
        <v>1.7477703059349801</v>
      </c>
      <c r="T2">
        <v>49.728405399638</v>
      </c>
      <c r="V2">
        <v>38.705657978487402</v>
      </c>
      <c r="X2">
        <v>0.71384928372036405</v>
      </c>
      <c r="AJ2">
        <v>0</v>
      </c>
      <c r="AK2">
        <v>-1.2880208921496601E-3</v>
      </c>
      <c r="AL2">
        <v>0.70374639227818203</v>
      </c>
      <c r="AM2">
        <v>4.00266662451794E-2</v>
      </c>
      <c r="AN2">
        <v>0.25751496236878701</v>
      </c>
    </row>
    <row r="3" spans="1:40" x14ac:dyDescent="0.2">
      <c r="A3">
        <v>15</v>
      </c>
      <c r="B3">
        <v>737</v>
      </c>
      <c r="C3">
        <v>275</v>
      </c>
      <c r="D3">
        <v>0.28745285353660599</v>
      </c>
      <c r="E3">
        <v>0.51884932827972596</v>
      </c>
      <c r="F3">
        <v>4.94097028070943</v>
      </c>
      <c r="G3">
        <v>-3.4600296150461509</v>
      </c>
      <c r="H3">
        <v>-2.5389369932921295</v>
      </c>
      <c r="I3">
        <v>0.91183747141911597</v>
      </c>
      <c r="J3">
        <v>0.45968615852747102</v>
      </c>
      <c r="K3">
        <v>0.105009603135121</v>
      </c>
      <c r="L3">
        <v>3.5720468295384936E-5</v>
      </c>
      <c r="M3">
        <v>4.156425276860034E-7</v>
      </c>
      <c r="N3" s="1">
        <v>2.0506284417954899E-9</v>
      </c>
      <c r="O3" s="1">
        <v>2.5354049907530703E-13</v>
      </c>
      <c r="P3">
        <v>0</v>
      </c>
      <c r="R3">
        <v>8.9530274668316192</v>
      </c>
      <c r="S3">
        <v>1.79824463703558</v>
      </c>
      <c r="T3">
        <v>50.051660332454802</v>
      </c>
      <c r="V3">
        <v>38.3153716367706</v>
      </c>
      <c r="X3">
        <v>0.88169592690726994</v>
      </c>
      <c r="AJ3">
        <v>0</v>
      </c>
      <c r="AK3">
        <v>-9.5671760909219403E-3</v>
      </c>
      <c r="AL3">
        <v>0.70732076071370498</v>
      </c>
      <c r="AM3">
        <v>4.9368279808446602E-2</v>
      </c>
      <c r="AN3">
        <v>0.25287813556876998</v>
      </c>
    </row>
    <row r="4" spans="1:40" x14ac:dyDescent="0.2">
      <c r="A4">
        <v>16</v>
      </c>
      <c r="B4">
        <v>736</v>
      </c>
      <c r="C4">
        <v>275</v>
      </c>
      <c r="D4">
        <v>0.28667740177377199</v>
      </c>
      <c r="E4">
        <v>0.55917682012076897</v>
      </c>
      <c r="F4">
        <v>4.9413912816652399</v>
      </c>
      <c r="G4">
        <v>-3.7265998200698616</v>
      </c>
      <c r="H4">
        <v>-2.735495832552457</v>
      </c>
      <c r="I4">
        <v>0.98211761137333697</v>
      </c>
      <c r="J4">
        <v>0.49541662789380198</v>
      </c>
      <c r="K4">
        <v>0.113161817845828</v>
      </c>
      <c r="L4">
        <v>3.5855209069060988E-5</v>
      </c>
      <c r="M4">
        <v>4.1747279492719955E-7</v>
      </c>
      <c r="N4" s="1">
        <v>2.2192297673910901E-9</v>
      </c>
      <c r="O4" s="1">
        <v>2.7435477309502099E-13</v>
      </c>
      <c r="P4">
        <v>0</v>
      </c>
      <c r="R4">
        <v>8.8315376392999596</v>
      </c>
      <c r="S4">
        <v>1.8288308544934599</v>
      </c>
      <c r="T4">
        <v>50.254593774067899</v>
      </c>
      <c r="V4">
        <v>38.195174692519799</v>
      </c>
      <c r="X4">
        <v>0.88986303961879198</v>
      </c>
      <c r="AJ4">
        <v>0</v>
      </c>
      <c r="AK4">
        <v>-9.3464391436394196E-3</v>
      </c>
      <c r="AL4">
        <v>0.71010811363219795</v>
      </c>
      <c r="AM4">
        <v>4.98199308663008E-2</v>
      </c>
      <c r="AN4">
        <v>0.24941839464513901</v>
      </c>
    </row>
    <row r="5" spans="1:40" x14ac:dyDescent="0.2">
      <c r="A5">
        <v>17</v>
      </c>
      <c r="B5">
        <v>735</v>
      </c>
      <c r="C5">
        <v>275</v>
      </c>
      <c r="D5">
        <v>0.285900411645091</v>
      </c>
      <c r="E5">
        <v>0.57742402431718098</v>
      </c>
      <c r="F5">
        <v>4.9422684846452301</v>
      </c>
      <c r="G5">
        <v>-3.8449586081441658</v>
      </c>
      <c r="H5">
        <v>-2.823206069688819</v>
      </c>
      <c r="I5">
        <v>1.0134925739774301</v>
      </c>
      <c r="J5">
        <v>0.51155462696737897</v>
      </c>
      <c r="K5">
        <v>0.116833803366032</v>
      </c>
      <c r="L5">
        <v>3.5952476188630794E-5</v>
      </c>
      <c r="M5">
        <v>4.1876279309571318E-7</v>
      </c>
      <c r="N5" s="1">
        <v>2.29902614196434E-9</v>
      </c>
      <c r="O5" s="1">
        <v>2.8428811557299901E-13</v>
      </c>
      <c r="P5">
        <v>0</v>
      </c>
      <c r="R5">
        <v>8.7224237076575992</v>
      </c>
      <c r="S5">
        <v>1.85701989292995</v>
      </c>
      <c r="T5">
        <v>50.428524607617298</v>
      </c>
      <c r="V5">
        <v>38.108701765812299</v>
      </c>
      <c r="X5">
        <v>0.88333002598273103</v>
      </c>
      <c r="AJ5">
        <v>0</v>
      </c>
      <c r="AK5">
        <v>-8.35683579986745E-3</v>
      </c>
      <c r="AL5">
        <v>0.71256582653677403</v>
      </c>
      <c r="AM5">
        <v>4.9454175436587297E-2</v>
      </c>
      <c r="AN5">
        <v>0.24633683382650501</v>
      </c>
    </row>
    <row r="6" spans="1:40" x14ac:dyDescent="0.2">
      <c r="A6">
        <v>31</v>
      </c>
      <c r="B6">
        <v>742</v>
      </c>
      <c r="C6">
        <v>250</v>
      </c>
      <c r="D6">
        <v>0.318396788651924</v>
      </c>
      <c r="E6">
        <v>0.44283733025676703</v>
      </c>
      <c r="F6">
        <v>4.9421967195797603</v>
      </c>
      <c r="G6">
        <v>-2.9575998489752493</v>
      </c>
      <c r="H6">
        <v>-2.1656577069112077</v>
      </c>
      <c r="I6">
        <v>0.78012327445603202</v>
      </c>
      <c r="J6">
        <v>0.39228609000497</v>
      </c>
      <c r="K6">
        <v>8.9603339442631894E-2</v>
      </c>
      <c r="L6">
        <v>3.5175254307908656E-5</v>
      </c>
      <c r="M6">
        <v>4.0794210483264672E-7</v>
      </c>
      <c r="N6" s="1">
        <v>1.72114288254852E-9</v>
      </c>
      <c r="O6" s="1">
        <v>2.1341368086762599E-13</v>
      </c>
      <c r="P6">
        <v>0</v>
      </c>
      <c r="R6">
        <v>9.3274472599473608</v>
      </c>
      <c r="S6">
        <v>1.7134498433110099</v>
      </c>
      <c r="T6">
        <v>49.3617376076485</v>
      </c>
      <c r="V6">
        <v>38.839716022589698</v>
      </c>
      <c r="X6">
        <v>0.75764926650333397</v>
      </c>
      <c r="AJ6">
        <v>0</v>
      </c>
      <c r="AK6">
        <v>-4.5030274089592603E-3</v>
      </c>
      <c r="AL6">
        <v>0.69830493627498402</v>
      </c>
      <c r="AM6">
        <v>4.2467248524080299E-2</v>
      </c>
      <c r="AN6">
        <v>0.26373084260989399</v>
      </c>
    </row>
    <row r="7" spans="1:40" x14ac:dyDescent="0.2">
      <c r="A7">
        <v>32</v>
      </c>
      <c r="B7">
        <v>741</v>
      </c>
      <c r="C7">
        <v>250</v>
      </c>
      <c r="D7">
        <v>0.31765567223783697</v>
      </c>
      <c r="E7">
        <v>0.534401509634021</v>
      </c>
      <c r="F7">
        <v>4.9382927151906504</v>
      </c>
      <c r="G7">
        <v>-3.5734488368895212</v>
      </c>
      <c r="H7">
        <v>-2.6187521799042952</v>
      </c>
      <c r="I7">
        <v>0.94137618398188205</v>
      </c>
      <c r="J7">
        <v>0.47367910301328697</v>
      </c>
      <c r="K7">
        <v>0.108215843096978</v>
      </c>
      <c r="L7">
        <v>3.5745725335512604E-5</v>
      </c>
      <c r="M7">
        <v>4.158831537283677E-7</v>
      </c>
      <c r="N7" s="1">
        <v>2.1091079498896298E-9</v>
      </c>
      <c r="O7" s="1">
        <v>2.6054809735366898E-13</v>
      </c>
      <c r="P7">
        <v>0</v>
      </c>
      <c r="R7">
        <v>9.0346609604563994</v>
      </c>
      <c r="S7">
        <v>1.7753691189643099</v>
      </c>
      <c r="T7">
        <v>49.938171484805999</v>
      </c>
      <c r="V7">
        <v>38.338281035482701</v>
      </c>
      <c r="X7">
        <v>0.91351740029046802</v>
      </c>
      <c r="AJ7">
        <v>0</v>
      </c>
      <c r="AK7">
        <v>-1.18529292763997E-2</v>
      </c>
      <c r="AL7">
        <v>0.705578930170917</v>
      </c>
      <c r="AM7">
        <v>5.1140036640899098E-2</v>
      </c>
      <c r="AN7">
        <v>0.25513396246458298</v>
      </c>
    </row>
    <row r="8" spans="1:40" x14ac:dyDescent="0.2">
      <c r="A8">
        <v>33</v>
      </c>
      <c r="B8">
        <v>740</v>
      </c>
      <c r="C8">
        <v>250</v>
      </c>
      <c r="D8">
        <v>0.31691309282929903</v>
      </c>
      <c r="E8">
        <v>0.57035580767356597</v>
      </c>
      <c r="F8">
        <v>4.9380537932476098</v>
      </c>
      <c r="G8">
        <v>-3.8127918237417524</v>
      </c>
      <c r="H8">
        <v>-2.7953796147214245</v>
      </c>
      <c r="I8">
        <v>1.00420688843737</v>
      </c>
      <c r="J8">
        <v>0.505588801213121</v>
      </c>
      <c r="K8">
        <v>0.115502145491707</v>
      </c>
      <c r="L8">
        <v>3.5911658848968318E-5</v>
      </c>
      <c r="M8">
        <v>4.1820763098235849E-7</v>
      </c>
      <c r="N8" s="1">
        <v>2.2620869878404602E-9</v>
      </c>
      <c r="O8" s="1">
        <v>2.7928925521557898E-13</v>
      </c>
      <c r="P8">
        <v>0</v>
      </c>
      <c r="R8">
        <v>8.9090269076566795</v>
      </c>
      <c r="S8">
        <v>1.8086396774642</v>
      </c>
      <c r="T8">
        <v>50.155754315119502</v>
      </c>
      <c r="V8">
        <v>38.186725879020798</v>
      </c>
      <c r="X8">
        <v>0.93985322073871302</v>
      </c>
      <c r="AJ8">
        <v>0</v>
      </c>
      <c r="AK8">
        <v>-1.2587697319126999E-2</v>
      </c>
      <c r="AL8">
        <v>0.70846709411182995</v>
      </c>
      <c r="AM8">
        <v>5.2600539059053403E-2</v>
      </c>
      <c r="AN8">
        <v>0.25152006414824302</v>
      </c>
    </row>
    <row r="9" spans="1:40" x14ac:dyDescent="0.2">
      <c r="A9">
        <v>34</v>
      </c>
      <c r="B9">
        <v>739</v>
      </c>
      <c r="C9">
        <v>250</v>
      </c>
      <c r="D9">
        <v>0.31616904609000601</v>
      </c>
      <c r="E9">
        <v>0.58634134735594401</v>
      </c>
      <c r="F9">
        <v>4.9389461043859004</v>
      </c>
      <c r="G9">
        <v>-3.9162955335389418</v>
      </c>
      <c r="H9">
        <v>-2.8720936242225217</v>
      </c>
      <c r="I9">
        <v>1.0316671534025701</v>
      </c>
      <c r="J9">
        <v>0.51973079082021201</v>
      </c>
      <c r="K9">
        <v>0.118717907619048</v>
      </c>
      <c r="L9">
        <v>3.6011883047595445E-5</v>
      </c>
      <c r="M9">
        <v>4.1952925685228381E-7</v>
      </c>
      <c r="N9" s="1">
        <v>2.33315698875522E-9</v>
      </c>
      <c r="O9" s="1">
        <v>2.8813631401786599E-13</v>
      </c>
      <c r="P9">
        <v>0</v>
      </c>
      <c r="R9">
        <v>8.7973649587132705</v>
      </c>
      <c r="S9">
        <v>1.8374236290883901</v>
      </c>
      <c r="T9">
        <v>50.333818887932303</v>
      </c>
      <c r="V9">
        <v>38.098229249477299</v>
      </c>
      <c r="X9">
        <v>0.93316327478864602</v>
      </c>
      <c r="AJ9">
        <v>0</v>
      </c>
      <c r="AK9">
        <v>-1.1576495472871699E-2</v>
      </c>
      <c r="AL9">
        <v>0.710982622831414</v>
      </c>
      <c r="AM9">
        <v>5.2226146944793599E-2</v>
      </c>
      <c r="AN9">
        <v>0.24836772569666299</v>
      </c>
    </row>
    <row r="10" spans="1:40" x14ac:dyDescent="0.2">
      <c r="A10">
        <v>51</v>
      </c>
      <c r="B10">
        <v>747</v>
      </c>
      <c r="C10">
        <v>225</v>
      </c>
      <c r="D10">
        <v>0.34903739646130499</v>
      </c>
      <c r="E10">
        <v>0.30786928881110898</v>
      </c>
      <c r="F10">
        <v>4.9514391365736303</v>
      </c>
      <c r="G10">
        <v>-2.0429276295440086</v>
      </c>
      <c r="H10">
        <v>-1.489496305075668</v>
      </c>
      <c r="I10">
        <v>0.54249995046644095</v>
      </c>
      <c r="J10">
        <v>0.27262674073176302</v>
      </c>
      <c r="K10">
        <v>6.2177738697633003E-2</v>
      </c>
      <c r="L10">
        <v>3.6132982018266765E-5</v>
      </c>
      <c r="M10">
        <v>4.1741893844044914E-7</v>
      </c>
      <c r="N10" s="1">
        <v>1.22605065987889E-9</v>
      </c>
      <c r="O10" s="1">
        <v>1.52583423512752E-13</v>
      </c>
      <c r="P10">
        <v>0</v>
      </c>
      <c r="R10">
        <v>8.5501338504044195</v>
      </c>
      <c r="S10">
        <v>1.7395378427586901</v>
      </c>
      <c r="T10">
        <v>50.763714514430099</v>
      </c>
      <c r="V10">
        <v>38.314260941625101</v>
      </c>
      <c r="X10">
        <v>0.63235285078153003</v>
      </c>
      <c r="AJ10">
        <v>0</v>
      </c>
      <c r="AK10">
        <v>3.1028866983747599E-3</v>
      </c>
      <c r="AL10">
        <v>0.71926532342011795</v>
      </c>
      <c r="AM10">
        <v>3.5499844800547103E-2</v>
      </c>
      <c r="AN10">
        <v>0.242131945080959</v>
      </c>
    </row>
    <row r="11" spans="1:40" x14ac:dyDescent="0.2">
      <c r="A11">
        <v>52</v>
      </c>
      <c r="B11">
        <v>746</v>
      </c>
      <c r="C11">
        <v>225</v>
      </c>
      <c r="D11">
        <v>0.34832998086640898</v>
      </c>
      <c r="E11">
        <v>0.49475660061361898</v>
      </c>
      <c r="F11">
        <v>4.9387895199447502</v>
      </c>
      <c r="G11">
        <v>-3.3134402843021262</v>
      </c>
      <c r="H11">
        <v>-2.4230644622493367</v>
      </c>
      <c r="I11">
        <v>0.87364551052621198</v>
      </c>
      <c r="J11">
        <v>0.43854999493999403</v>
      </c>
      <c r="K11">
        <v>0.100177705208047</v>
      </c>
      <c r="L11">
        <v>3.5433887502933338E-5</v>
      </c>
      <c r="M11">
        <v>4.1118598962658667E-7</v>
      </c>
      <c r="N11" s="1">
        <v>1.9321708896617299E-9</v>
      </c>
      <c r="O11" s="1">
        <v>2.3913637610120798E-13</v>
      </c>
      <c r="P11">
        <v>0</v>
      </c>
      <c r="R11">
        <v>9.2735703438324002</v>
      </c>
      <c r="S11">
        <v>1.7126869344038</v>
      </c>
      <c r="T11">
        <v>49.506982139930301</v>
      </c>
      <c r="V11">
        <v>38.674335280736301</v>
      </c>
      <c r="X11">
        <v>0.83242530109706503</v>
      </c>
      <c r="AJ11">
        <v>0</v>
      </c>
      <c r="AK11">
        <v>-8.7067476438772405E-3</v>
      </c>
      <c r="AL11">
        <v>0.69999953534919301</v>
      </c>
      <c r="AM11">
        <v>4.6634552533194998E-2</v>
      </c>
      <c r="AN11">
        <v>0.26207265976148802</v>
      </c>
    </row>
    <row r="12" spans="1:40" x14ac:dyDescent="0.2">
      <c r="A12">
        <v>53</v>
      </c>
      <c r="B12">
        <v>745</v>
      </c>
      <c r="C12">
        <v>225</v>
      </c>
      <c r="D12">
        <v>0.347621175661739</v>
      </c>
      <c r="E12">
        <v>0.56046432523591305</v>
      </c>
      <c r="F12">
        <v>4.9345903218305596</v>
      </c>
      <c r="G12">
        <v>-3.7598154253555678</v>
      </c>
      <c r="H12">
        <v>-2.7521216068742667</v>
      </c>
      <c r="I12">
        <v>0.98973021507764203</v>
      </c>
      <c r="J12">
        <v>0.49707244070439199</v>
      </c>
      <c r="K12">
        <v>0.113578694214274</v>
      </c>
      <c r="L12">
        <v>3.5846302345852072E-5</v>
      </c>
      <c r="M12">
        <v>4.1721920254565639E-7</v>
      </c>
      <c r="N12" s="1">
        <v>2.2130389918972102E-9</v>
      </c>
      <c r="O12" s="1">
        <v>2.7294832455205702E-13</v>
      </c>
      <c r="P12">
        <v>0</v>
      </c>
      <c r="R12">
        <v>9.0892309807320402</v>
      </c>
      <c r="S12">
        <v>1.7621754417505999</v>
      </c>
      <c r="T12">
        <v>49.882115699520597</v>
      </c>
      <c r="V12">
        <v>38.290419091756704</v>
      </c>
      <c r="X12">
        <v>0.976058786239976</v>
      </c>
      <c r="AJ12">
        <v>0</v>
      </c>
      <c r="AK12">
        <v>-1.5638902142998901E-2</v>
      </c>
      <c r="AL12">
        <v>0.70446493920002395</v>
      </c>
      <c r="AM12">
        <v>5.4616232287428401E-2</v>
      </c>
      <c r="AN12">
        <v>0.25655773065554599</v>
      </c>
    </row>
    <row r="13" spans="1:40" x14ac:dyDescent="0.2">
      <c r="A13">
        <v>54</v>
      </c>
      <c r="B13">
        <v>744</v>
      </c>
      <c r="C13">
        <v>225</v>
      </c>
      <c r="D13">
        <v>0.34691097674876298</v>
      </c>
      <c r="E13">
        <v>0.58612145920745895</v>
      </c>
      <c r="F13">
        <v>4.9348191704376898</v>
      </c>
      <c r="G13">
        <v>-3.9297997080400418</v>
      </c>
      <c r="H13">
        <v>-2.8776109065673858</v>
      </c>
      <c r="I13">
        <v>1.0344480179645601</v>
      </c>
      <c r="J13">
        <v>0.51984276944422603</v>
      </c>
      <c r="K13">
        <v>0.118772631572531</v>
      </c>
      <c r="L13">
        <v>3.5994404565880269E-5</v>
      </c>
      <c r="M13">
        <v>4.1924292260769818E-7</v>
      </c>
      <c r="N13" s="1">
        <v>2.3247479078060199E-9</v>
      </c>
      <c r="O13" s="1">
        <v>2.8665578622974098E-13</v>
      </c>
      <c r="P13">
        <v>0</v>
      </c>
      <c r="R13">
        <v>8.9643727571716791</v>
      </c>
      <c r="S13">
        <v>1.7933312449751899</v>
      </c>
      <c r="T13">
        <v>50.093975263684797</v>
      </c>
      <c r="V13">
        <v>38.158361677099798</v>
      </c>
      <c r="X13">
        <v>0.989959057068444</v>
      </c>
      <c r="AJ13">
        <v>0</v>
      </c>
      <c r="AK13">
        <v>-1.5725106904674099E-2</v>
      </c>
      <c r="AL13">
        <v>0.70734602021603199</v>
      </c>
      <c r="AM13">
        <v>5.5385348708373701E-2</v>
      </c>
      <c r="AN13">
        <v>0.25299373798026797</v>
      </c>
    </row>
    <row r="14" spans="1:40" x14ac:dyDescent="0.2">
      <c r="A14">
        <v>55</v>
      </c>
      <c r="B14">
        <v>743</v>
      </c>
      <c r="C14">
        <v>225</v>
      </c>
      <c r="D14">
        <v>0.34619938001279399</v>
      </c>
      <c r="E14">
        <v>0.59831083208254698</v>
      </c>
      <c r="F14">
        <v>4.9357344825862004</v>
      </c>
      <c r="G14">
        <v>-4.008009529238957</v>
      </c>
      <c r="H14">
        <v>-2.9357076667572337</v>
      </c>
      <c r="I14">
        <v>1.05525942280344</v>
      </c>
      <c r="J14">
        <v>0.53062387527693</v>
      </c>
      <c r="K14">
        <v>0.12122022248025099</v>
      </c>
      <c r="L14">
        <v>3.6096221165271631E-5</v>
      </c>
      <c r="M14">
        <v>4.205798823061793E-7</v>
      </c>
      <c r="N14" s="1">
        <v>2.3810113271487098E-9</v>
      </c>
      <c r="O14" s="1">
        <v>2.93670790945306E-13</v>
      </c>
      <c r="P14">
        <v>0</v>
      </c>
      <c r="R14">
        <v>8.8517768583569492</v>
      </c>
      <c r="S14">
        <v>1.8215790716145699</v>
      </c>
      <c r="T14">
        <v>50.274330279108497</v>
      </c>
      <c r="V14">
        <v>38.069308641410103</v>
      </c>
      <c r="X14">
        <v>0.98300514950978002</v>
      </c>
      <c r="AJ14">
        <v>0</v>
      </c>
      <c r="AK14">
        <v>-1.47114365494046E-2</v>
      </c>
      <c r="AL14">
        <v>0.70989717628709104</v>
      </c>
      <c r="AM14">
        <v>5.4996644321286502E-2</v>
      </c>
      <c r="AN14">
        <v>0.249817615941026</v>
      </c>
    </row>
    <row r="15" spans="1:40" x14ac:dyDescent="0.2">
      <c r="A15">
        <v>76</v>
      </c>
      <c r="B15">
        <v>752</v>
      </c>
      <c r="C15">
        <v>200</v>
      </c>
      <c r="D15">
        <v>0.37937911525142798</v>
      </c>
      <c r="E15">
        <v>0.25439914023225202</v>
      </c>
      <c r="F15">
        <v>4.95494618006623</v>
      </c>
      <c r="G15">
        <v>-1.684012094177592</v>
      </c>
      <c r="H15">
        <v>-1.2238444654666893</v>
      </c>
      <c r="I15">
        <v>0.44887833849768499</v>
      </c>
      <c r="J15">
        <v>0.22529050025071901</v>
      </c>
      <c r="K15">
        <v>5.1342462861796702E-2</v>
      </c>
      <c r="L15">
        <v>3.6849205036432364E-5</v>
      </c>
      <c r="M15">
        <v>4.2482245919953189E-7</v>
      </c>
      <c r="N15" s="1">
        <v>1.0302920439246401E-9</v>
      </c>
      <c r="O15" s="1">
        <v>1.2836197827473799E-13</v>
      </c>
      <c r="P15">
        <v>0</v>
      </c>
      <c r="R15">
        <v>8.0516745736797208</v>
      </c>
      <c r="S15">
        <v>1.76215004144633</v>
      </c>
      <c r="T15">
        <v>51.681269011318903</v>
      </c>
      <c r="V15">
        <v>37.905767189505703</v>
      </c>
      <c r="X15">
        <v>0.59913918404926902</v>
      </c>
      <c r="AJ15">
        <v>0</v>
      </c>
      <c r="AK15">
        <v>5.4726311751771501E-3</v>
      </c>
      <c r="AL15">
        <v>0.73271548796947805</v>
      </c>
      <c r="AM15">
        <v>3.36558970014849E-2</v>
      </c>
      <c r="AN15">
        <v>0.22815598385385899</v>
      </c>
    </row>
    <row r="16" spans="1:40" x14ac:dyDescent="0.2">
      <c r="A16">
        <v>77</v>
      </c>
      <c r="B16">
        <v>751</v>
      </c>
      <c r="C16">
        <v>200</v>
      </c>
      <c r="D16">
        <v>0.378704779573308</v>
      </c>
      <c r="E16">
        <v>0.47178836000524499</v>
      </c>
      <c r="F16">
        <v>4.9413838186257903</v>
      </c>
      <c r="G16">
        <v>-3.1552139355639155</v>
      </c>
      <c r="H16">
        <v>-2.3006057702133398</v>
      </c>
      <c r="I16">
        <v>0.83445605170197201</v>
      </c>
      <c r="J16">
        <v>0.41825964703039098</v>
      </c>
      <c r="K16">
        <v>9.5476971091966498E-2</v>
      </c>
      <c r="L16">
        <v>3.5963378861466499E-5</v>
      </c>
      <c r="M16">
        <v>4.1648785208790257E-7</v>
      </c>
      <c r="N16" s="1">
        <v>1.86506059132595E-9</v>
      </c>
      <c r="O16" s="1">
        <v>2.3107605742501501E-13</v>
      </c>
      <c r="P16">
        <v>0</v>
      </c>
      <c r="R16">
        <v>8.9184165999607696</v>
      </c>
      <c r="S16">
        <v>1.71987264693282</v>
      </c>
      <c r="T16">
        <v>50.167231380416901</v>
      </c>
      <c r="V16">
        <v>38.3931386056938</v>
      </c>
      <c r="X16">
        <v>0.80134076699557399</v>
      </c>
      <c r="AJ16">
        <v>0</v>
      </c>
      <c r="AK16">
        <v>-6.8098762498037596E-3</v>
      </c>
      <c r="AL16">
        <v>0.709719767212458</v>
      </c>
      <c r="AM16">
        <v>4.4917466083534599E-2</v>
      </c>
      <c r="AN16">
        <v>0.25217264295380998</v>
      </c>
    </row>
    <row r="17" spans="1:40" x14ac:dyDescent="0.2">
      <c r="A17">
        <v>78</v>
      </c>
      <c r="B17">
        <v>750</v>
      </c>
      <c r="C17">
        <v>200</v>
      </c>
      <c r="D17">
        <v>0.37802912573913899</v>
      </c>
      <c r="E17">
        <v>0.55834226282686805</v>
      </c>
      <c r="F17">
        <v>4.9320098423853702</v>
      </c>
      <c r="G17">
        <v>-3.7585197362086205</v>
      </c>
      <c r="H17">
        <v>-2.7467598287229782</v>
      </c>
      <c r="I17">
        <v>0.98886762203552003</v>
      </c>
      <c r="J17">
        <v>0.49536046321386001</v>
      </c>
      <c r="K17">
        <v>0.113207856567622</v>
      </c>
      <c r="L17">
        <v>3.5557367767986161E-5</v>
      </c>
      <c r="M17">
        <v>4.1330956156756886E-7</v>
      </c>
      <c r="N17" s="1">
        <v>2.18218417006024E-9</v>
      </c>
      <c r="O17" s="1">
        <v>2.6916075449695101E-13</v>
      </c>
      <c r="P17">
        <v>0</v>
      </c>
      <c r="R17">
        <v>9.3777279353737608</v>
      </c>
      <c r="S17">
        <v>1.7125590109073301</v>
      </c>
      <c r="T17">
        <v>49.376879634898501</v>
      </c>
      <c r="V17">
        <v>38.569275257504898</v>
      </c>
      <c r="X17">
        <v>0.96355816131536198</v>
      </c>
      <c r="AJ17">
        <v>0</v>
      </c>
      <c r="AK17">
        <v>-1.6038312285390901E-2</v>
      </c>
      <c r="AL17">
        <v>0.69739206042331803</v>
      </c>
      <c r="AM17">
        <v>5.3921570818904599E-2</v>
      </c>
      <c r="AN17">
        <v>0.26472468104316699</v>
      </c>
    </row>
    <row r="18" spans="1:40" x14ac:dyDescent="0.2">
      <c r="A18">
        <v>79</v>
      </c>
      <c r="B18">
        <v>749</v>
      </c>
      <c r="C18">
        <v>200</v>
      </c>
      <c r="D18">
        <v>0.37735214988015597</v>
      </c>
      <c r="E18">
        <v>0.59361451175365998</v>
      </c>
      <c r="F18">
        <v>4.9294115964501204</v>
      </c>
      <c r="G18">
        <v>-3.9979306589248598</v>
      </c>
      <c r="H18">
        <v>-2.9235980730253965</v>
      </c>
      <c r="I18">
        <v>1.05105178877802</v>
      </c>
      <c r="J18">
        <v>0.52689170516738404</v>
      </c>
      <c r="K18">
        <v>0.12042299575493801</v>
      </c>
      <c r="L18">
        <v>3.6059679970856817E-5</v>
      </c>
      <c r="M18">
        <v>4.2017439776335419E-7</v>
      </c>
      <c r="N18" s="1">
        <v>2.35176149130951E-9</v>
      </c>
      <c r="O18" s="1">
        <v>2.89286569102436E-13</v>
      </c>
      <c r="P18">
        <v>0</v>
      </c>
      <c r="R18">
        <v>9.0987128718321006</v>
      </c>
      <c r="S18">
        <v>1.7669443328135199</v>
      </c>
      <c r="T18">
        <v>49.9155853168607</v>
      </c>
      <c r="V18">
        <v>38.136396508214098</v>
      </c>
      <c r="X18">
        <v>1.0823609702795001</v>
      </c>
      <c r="AJ18">
        <v>0</v>
      </c>
      <c r="AK18">
        <v>-2.1463498486511301E-2</v>
      </c>
      <c r="AL18">
        <v>0.70434188362671701</v>
      </c>
      <c r="AM18">
        <v>6.0513282747096601E-2</v>
      </c>
      <c r="AN18">
        <v>0.25660833211269701</v>
      </c>
    </row>
    <row r="19" spans="1:40" x14ac:dyDescent="0.2">
      <c r="A19">
        <v>80</v>
      </c>
      <c r="B19">
        <v>748</v>
      </c>
      <c r="C19">
        <v>200</v>
      </c>
      <c r="D19">
        <v>0.37667384811242399</v>
      </c>
      <c r="E19">
        <v>0.60404238737761895</v>
      </c>
      <c r="F19">
        <v>4.9316854512306598</v>
      </c>
      <c r="G19">
        <v>-4.0615288461079393</v>
      </c>
      <c r="H19">
        <v>-2.970333654220132</v>
      </c>
      <c r="I19">
        <v>1.0685944199067801</v>
      </c>
      <c r="J19">
        <v>0.53603741739588595</v>
      </c>
      <c r="K19">
        <v>0.12248193712899599</v>
      </c>
      <c r="L19">
        <v>3.6117756927355206E-5</v>
      </c>
      <c r="M19">
        <v>4.2074121822013615E-7</v>
      </c>
      <c r="N19" s="1">
        <v>2.39865936738012E-9</v>
      </c>
      <c r="O19" s="1">
        <v>2.9539631158682499E-13</v>
      </c>
      <c r="P19">
        <v>0</v>
      </c>
      <c r="R19">
        <v>8.9818221440976806</v>
      </c>
      <c r="S19">
        <v>1.7911947055410899</v>
      </c>
      <c r="T19">
        <v>50.089887868749599</v>
      </c>
      <c r="V19">
        <v>38.096966433936998</v>
      </c>
      <c r="X19">
        <v>1.04012884767456</v>
      </c>
      <c r="AJ19">
        <v>0</v>
      </c>
      <c r="AK19">
        <v>-1.8572015624877199E-2</v>
      </c>
      <c r="AL19">
        <v>0.70701434156894305</v>
      </c>
      <c r="AM19">
        <v>5.81696631903501E-2</v>
      </c>
      <c r="AN19">
        <v>0.25338801086558299</v>
      </c>
    </row>
    <row r="20" spans="1:40" x14ac:dyDescent="0.2">
      <c r="A20">
        <v>106</v>
      </c>
      <c r="B20">
        <v>757</v>
      </c>
      <c r="C20">
        <v>175</v>
      </c>
      <c r="D20">
        <v>0.40942629714119499</v>
      </c>
      <c r="E20">
        <v>0.40047766011840202</v>
      </c>
      <c r="F20">
        <v>4.9472488151521103</v>
      </c>
      <c r="G20">
        <v>-2.667976878068282</v>
      </c>
      <c r="H20">
        <v>-1.9373031133720029</v>
      </c>
      <c r="I20">
        <v>0.709288710087151</v>
      </c>
      <c r="J20">
        <v>0.35500962626818</v>
      </c>
      <c r="K20">
        <v>8.0949569160913198E-2</v>
      </c>
      <c r="L20">
        <v>3.6760401903768363E-5</v>
      </c>
      <c r="M20">
        <v>4.2421561561423081E-7</v>
      </c>
      <c r="N20" s="1">
        <v>1.6132754156601801E-9</v>
      </c>
      <c r="O20" s="1">
        <v>2.00368946436174E-13</v>
      </c>
      <c r="P20">
        <v>0</v>
      </c>
      <c r="R20">
        <v>8.3218579666068901</v>
      </c>
      <c r="S20">
        <v>1.7437948194924699</v>
      </c>
      <c r="T20">
        <v>51.246537383836198</v>
      </c>
      <c r="V20">
        <v>37.967941742930499</v>
      </c>
      <c r="X20">
        <v>0.719868087133815</v>
      </c>
      <c r="AJ20">
        <v>0</v>
      </c>
      <c r="AK20">
        <v>-1.7148813815796101E-3</v>
      </c>
      <c r="AL20">
        <v>0.72576457470951705</v>
      </c>
      <c r="AM20">
        <v>4.0393864504219799E-2</v>
      </c>
      <c r="AN20">
        <v>0.235556442167842</v>
      </c>
    </row>
    <row r="21" spans="1:40" x14ac:dyDescent="0.2">
      <c r="A21">
        <v>107</v>
      </c>
      <c r="B21">
        <v>756</v>
      </c>
      <c r="C21">
        <v>175</v>
      </c>
      <c r="D21">
        <v>0.40878443375601398</v>
      </c>
      <c r="E21">
        <v>0.52185680745314</v>
      </c>
      <c r="F21">
        <v>4.9364428216761302</v>
      </c>
      <c r="G21">
        <v>-3.504278541358163</v>
      </c>
      <c r="H21">
        <v>-2.5514127824174655</v>
      </c>
      <c r="I21">
        <v>0.92587646012796598</v>
      </c>
      <c r="J21">
        <v>0.46301286332299002</v>
      </c>
      <c r="K21">
        <v>0.105715152854935</v>
      </c>
      <c r="L21">
        <v>3.6139786554712903E-5</v>
      </c>
      <c r="M21">
        <v>4.1867736958511948E-7</v>
      </c>
      <c r="N21" s="1">
        <v>2.0669295583789102E-9</v>
      </c>
      <c r="O21" s="1">
        <v>2.5550295906908798E-13</v>
      </c>
      <c r="P21">
        <v>0</v>
      </c>
      <c r="R21">
        <v>8.9533722280978605</v>
      </c>
      <c r="S21">
        <v>1.7199700300867</v>
      </c>
      <c r="T21">
        <v>50.148389197451301</v>
      </c>
      <c r="V21">
        <v>38.2866285525783</v>
      </c>
      <c r="X21">
        <v>0.89163999178568398</v>
      </c>
      <c r="AJ21">
        <v>0</v>
      </c>
      <c r="AK21">
        <v>-1.18606641230282E-2</v>
      </c>
      <c r="AL21">
        <v>0.70893994448930298</v>
      </c>
      <c r="AM21">
        <v>4.9942840825712799E-2</v>
      </c>
      <c r="AN21">
        <v>0.25297787880801098</v>
      </c>
    </row>
    <row r="22" spans="1:40" x14ac:dyDescent="0.2">
      <c r="A22">
        <v>108</v>
      </c>
      <c r="B22">
        <v>755</v>
      </c>
      <c r="C22">
        <v>175</v>
      </c>
      <c r="D22">
        <v>0.40814132179156798</v>
      </c>
      <c r="E22">
        <v>0.58193913693031296</v>
      </c>
      <c r="F22">
        <v>4.9283271195835896</v>
      </c>
      <c r="G22">
        <v>-3.9295924807809457</v>
      </c>
      <c r="H22">
        <v>-2.8669115075539415</v>
      </c>
      <c r="I22">
        <v>1.03358554026844</v>
      </c>
      <c r="J22">
        <v>0.51665855575299702</v>
      </c>
      <c r="K22">
        <v>0.118080460734409</v>
      </c>
      <c r="L22">
        <v>3.5811576657534501E-5</v>
      </c>
      <c r="M22">
        <v>4.1625227313932551E-7</v>
      </c>
      <c r="N22" s="1">
        <v>2.2839280010984799E-9</v>
      </c>
      <c r="O22" s="1">
        <v>2.8120909906858999E-13</v>
      </c>
      <c r="P22">
        <v>0</v>
      </c>
      <c r="R22">
        <v>9.3337943478460002</v>
      </c>
      <c r="S22">
        <v>1.71714453839849</v>
      </c>
      <c r="T22">
        <v>49.495328383734098</v>
      </c>
      <c r="V22">
        <v>38.417837109034998</v>
      </c>
      <c r="X22">
        <v>1.0358956209863499</v>
      </c>
      <c r="AJ22">
        <v>0</v>
      </c>
      <c r="AK22">
        <v>-1.9974275099522001E-2</v>
      </c>
      <c r="AL22">
        <v>0.69869178372055596</v>
      </c>
      <c r="AM22">
        <v>5.7938689404264998E-2</v>
      </c>
      <c r="AN22">
        <v>0.26334380197469998</v>
      </c>
    </row>
    <row r="23" spans="1:40" x14ac:dyDescent="0.2">
      <c r="A23">
        <v>109</v>
      </c>
      <c r="B23">
        <v>754</v>
      </c>
      <c r="C23">
        <v>175</v>
      </c>
      <c r="D23">
        <v>0.40749695760112897</v>
      </c>
      <c r="E23">
        <v>0.60607100008409198</v>
      </c>
      <c r="F23">
        <v>4.9267998271436602</v>
      </c>
      <c r="G23">
        <v>-4.0936278138942814</v>
      </c>
      <c r="H23">
        <v>-2.9883320916342462</v>
      </c>
      <c r="I23">
        <v>1.0760801462883001</v>
      </c>
      <c r="J23">
        <v>0.53822214040120298</v>
      </c>
      <c r="K23">
        <v>0.12301514600715199</v>
      </c>
      <c r="L23">
        <v>3.609214121981154E-5</v>
      </c>
      <c r="M23">
        <v>4.2019759033419914E-7</v>
      </c>
      <c r="N23" s="1">
        <v>2.3972270764601499E-9</v>
      </c>
      <c r="O23" s="1">
        <v>2.9469552439046799E-13</v>
      </c>
      <c r="P23">
        <v>0</v>
      </c>
      <c r="R23">
        <v>9.1698958202591996</v>
      </c>
      <c r="S23">
        <v>1.75540211076418</v>
      </c>
      <c r="T23">
        <v>49.803795686577899</v>
      </c>
      <c r="V23">
        <v>38.1662591870247</v>
      </c>
      <c r="X23">
        <v>1.1046471953738699</v>
      </c>
      <c r="AJ23">
        <v>0</v>
      </c>
      <c r="AK23">
        <v>-2.2960556172591001E-2</v>
      </c>
      <c r="AL23">
        <v>0.70264146693416496</v>
      </c>
      <c r="AM23">
        <v>6.17484657917226E-2</v>
      </c>
      <c r="AN23">
        <v>0.25857062344670201</v>
      </c>
    </row>
    <row r="24" spans="1:40" x14ac:dyDescent="0.2">
      <c r="A24">
        <v>110</v>
      </c>
      <c r="B24">
        <v>753</v>
      </c>
      <c r="C24">
        <v>175</v>
      </c>
      <c r="D24">
        <v>0.40685133752375702</v>
      </c>
      <c r="E24">
        <v>0.61571493315589998</v>
      </c>
      <c r="F24">
        <v>4.9278099106100299</v>
      </c>
      <c r="G24">
        <v>-4.1547849649957138</v>
      </c>
      <c r="H24">
        <v>-3.0337518034712612</v>
      </c>
      <c r="I24">
        <v>1.0924651966325101</v>
      </c>
      <c r="J24">
        <v>0.54675276170499498</v>
      </c>
      <c r="K24">
        <v>0.12494697326498</v>
      </c>
      <c r="L24">
        <v>3.6202841108950593E-5</v>
      </c>
      <c r="M24">
        <v>4.2162527881601743E-7</v>
      </c>
      <c r="N24" s="1">
        <v>2.4440721801056901E-9</v>
      </c>
      <c r="O24" s="1">
        <v>3.0054580084090398E-13</v>
      </c>
      <c r="P24">
        <v>0</v>
      </c>
      <c r="R24">
        <v>9.0510436346487904</v>
      </c>
      <c r="S24">
        <v>1.78263869217045</v>
      </c>
      <c r="T24">
        <v>49.996935342576499</v>
      </c>
      <c r="V24">
        <v>38.072577247886898</v>
      </c>
      <c r="X24">
        <v>1.09680508271725</v>
      </c>
      <c r="AJ24">
        <v>0</v>
      </c>
      <c r="AK24">
        <v>-2.1920904614393302E-2</v>
      </c>
      <c r="AL24">
        <v>0.70538373233960605</v>
      </c>
      <c r="AM24">
        <v>6.1311614647920197E-2</v>
      </c>
      <c r="AN24">
        <v>0.255225557626866</v>
      </c>
    </row>
    <row r="25" spans="1:40" x14ac:dyDescent="0.2">
      <c r="A25">
        <v>140</v>
      </c>
      <c r="B25">
        <v>764</v>
      </c>
      <c r="C25">
        <v>150</v>
      </c>
      <c r="D25">
        <v>0.44039965289495597</v>
      </c>
      <c r="E25">
        <v>0.34343481031391798</v>
      </c>
      <c r="F25">
        <v>4.9508069205464196</v>
      </c>
      <c r="G25">
        <v>-2.2828633506588827</v>
      </c>
      <c r="H25">
        <v>-1.6506376379657832</v>
      </c>
      <c r="I25">
        <v>0.60957982229484498</v>
      </c>
      <c r="J25">
        <v>0.30447997796772702</v>
      </c>
      <c r="K25">
        <v>6.9369461549515093E-2</v>
      </c>
      <c r="L25">
        <v>3.7534179125770833E-5</v>
      </c>
      <c r="M25">
        <v>4.3169677478447255E-7</v>
      </c>
      <c r="N25" s="1">
        <v>1.4073784800004299E-9</v>
      </c>
      <c r="O25" s="1">
        <v>1.7504651365362401E-13</v>
      </c>
      <c r="P25">
        <v>0</v>
      </c>
      <c r="R25">
        <v>7.7926688688794501</v>
      </c>
      <c r="S25">
        <v>1.77554674487218</v>
      </c>
      <c r="T25">
        <v>52.206137059853901</v>
      </c>
      <c r="V25">
        <v>37.5510730971911</v>
      </c>
      <c r="X25">
        <v>0.67457422920320997</v>
      </c>
      <c r="AJ25">
        <v>0</v>
      </c>
      <c r="AK25">
        <v>1.5320231330338901E-3</v>
      </c>
      <c r="AL25">
        <v>0.73986125281585702</v>
      </c>
      <c r="AM25">
        <v>3.7878233225839997E-2</v>
      </c>
      <c r="AN25">
        <v>0.22072849082526899</v>
      </c>
    </row>
    <row r="26" spans="1:40" x14ac:dyDescent="0.2">
      <c r="A26">
        <v>141</v>
      </c>
      <c r="B26">
        <v>763</v>
      </c>
      <c r="C26">
        <v>150</v>
      </c>
      <c r="D26">
        <v>0.43979201853014099</v>
      </c>
      <c r="E26">
        <v>0.48988318387650798</v>
      </c>
      <c r="F26">
        <v>4.9394540431029199</v>
      </c>
      <c r="G26">
        <v>-3.2847004201542225</v>
      </c>
      <c r="H26">
        <v>-2.3819682956925186</v>
      </c>
      <c r="I26">
        <v>0.87123691015944005</v>
      </c>
      <c r="J26">
        <v>0.43473329045519499</v>
      </c>
      <c r="K26">
        <v>9.9177597281331797E-2</v>
      </c>
      <c r="L26">
        <v>3.6761662629392595E-5</v>
      </c>
      <c r="M26">
        <v>4.2444309276557135E-7</v>
      </c>
      <c r="N26" s="1">
        <v>1.9666571082619402E-9</v>
      </c>
      <c r="O26" s="1">
        <v>2.4346965264107998E-13</v>
      </c>
      <c r="P26">
        <v>0</v>
      </c>
      <c r="R26">
        <v>8.5369294129195996</v>
      </c>
      <c r="S26">
        <v>1.7383243735384499</v>
      </c>
      <c r="T26">
        <v>50.905500404832701</v>
      </c>
      <c r="V26">
        <v>37.974067721875798</v>
      </c>
      <c r="X26">
        <v>0.84517808683333395</v>
      </c>
      <c r="AJ26">
        <v>0</v>
      </c>
      <c r="AK26">
        <v>-8.8576572456336797E-3</v>
      </c>
      <c r="AL26">
        <v>0.72011626555152897</v>
      </c>
      <c r="AM26">
        <v>4.7371526732402101E-2</v>
      </c>
      <c r="AN26">
        <v>0.24136986496170201</v>
      </c>
    </row>
    <row r="27" spans="1:40" x14ac:dyDescent="0.2">
      <c r="A27">
        <v>142</v>
      </c>
      <c r="B27">
        <v>762</v>
      </c>
      <c r="C27">
        <v>150</v>
      </c>
      <c r="D27">
        <v>0.439183210162781</v>
      </c>
      <c r="E27">
        <v>0.56146694856266499</v>
      </c>
      <c r="F27">
        <v>4.9307573072731303</v>
      </c>
      <c r="G27">
        <v>-3.7880868005055759</v>
      </c>
      <c r="H27">
        <v>-2.7531412517555629</v>
      </c>
      <c r="I27">
        <v>0.99980249118486497</v>
      </c>
      <c r="J27">
        <v>0.498614846402822</v>
      </c>
      <c r="K27">
        <v>0.113870327329733</v>
      </c>
      <c r="L27">
        <v>3.6324416763745876E-5</v>
      </c>
      <c r="M27">
        <v>4.2080549022848213E-7</v>
      </c>
      <c r="N27" s="1">
        <v>2.2273815146099302E-9</v>
      </c>
      <c r="O27" s="1">
        <v>2.7463976464158499E-13</v>
      </c>
      <c r="P27">
        <v>0</v>
      </c>
      <c r="R27">
        <v>9.0014066747200498</v>
      </c>
      <c r="S27">
        <v>1.7267895522572501</v>
      </c>
      <c r="T27">
        <v>50.101603855156597</v>
      </c>
      <c r="V27">
        <v>38.178620795562701</v>
      </c>
      <c r="X27">
        <v>0.99157912230329004</v>
      </c>
      <c r="AJ27">
        <v>0</v>
      </c>
      <c r="AK27">
        <v>-1.7292852429763798E-2</v>
      </c>
      <c r="AL27">
        <v>0.70767927725392199</v>
      </c>
      <c r="AM27">
        <v>5.5493672591512E-2</v>
      </c>
      <c r="AN27">
        <v>0.25411990258432898</v>
      </c>
    </row>
    <row r="28" spans="1:40" x14ac:dyDescent="0.2">
      <c r="A28">
        <v>143</v>
      </c>
      <c r="B28">
        <v>761</v>
      </c>
      <c r="C28">
        <v>150</v>
      </c>
      <c r="D28">
        <v>0.43857322438717999</v>
      </c>
      <c r="E28">
        <v>0.60305408633847102</v>
      </c>
      <c r="F28">
        <v>4.9238131116912003</v>
      </c>
      <c r="G28">
        <v>-4.0878304887478771</v>
      </c>
      <c r="H28">
        <v>-2.9763746038658345</v>
      </c>
      <c r="I28">
        <v>1.0747530676227199</v>
      </c>
      <c r="J28">
        <v>0.53585288413564502</v>
      </c>
      <c r="K28">
        <v>0.122477046276709</v>
      </c>
      <c r="L28">
        <v>3.6065751386957226E-5</v>
      </c>
      <c r="M28">
        <v>4.1904542738032316E-7</v>
      </c>
      <c r="N28" s="1">
        <v>2.3753831848018102E-9</v>
      </c>
      <c r="O28" s="1">
        <v>2.9186896286178999E-13</v>
      </c>
      <c r="P28">
        <v>0</v>
      </c>
      <c r="R28">
        <v>9.3101841599006807</v>
      </c>
      <c r="S28">
        <v>1.72793526011275</v>
      </c>
      <c r="T28">
        <v>49.572869305358402</v>
      </c>
      <c r="V28">
        <v>38.2703783297694</v>
      </c>
      <c r="X28">
        <v>1.1186329448587</v>
      </c>
      <c r="AJ28">
        <v>0</v>
      </c>
      <c r="AK28">
        <v>-2.43470446679366E-2</v>
      </c>
      <c r="AL28">
        <v>0.69931991102646696</v>
      </c>
      <c r="AM28">
        <v>6.2524566029604406E-2</v>
      </c>
      <c r="AN28">
        <v>0.26250256761186402</v>
      </c>
    </row>
    <row r="29" spans="1:40" x14ac:dyDescent="0.2">
      <c r="A29">
        <v>144</v>
      </c>
      <c r="B29">
        <v>760</v>
      </c>
      <c r="C29">
        <v>150</v>
      </c>
      <c r="D29">
        <v>0.43796205778444602</v>
      </c>
      <c r="E29">
        <v>0.62050623092240997</v>
      </c>
      <c r="F29">
        <v>4.92233915608508</v>
      </c>
      <c r="G29">
        <v>-4.2084775498774567</v>
      </c>
      <c r="H29">
        <v>-3.0662658212626108</v>
      </c>
      <c r="I29">
        <v>1.10556233713869</v>
      </c>
      <c r="J29">
        <v>0.55146199977328203</v>
      </c>
      <c r="K29">
        <v>0.12605921925459501</v>
      </c>
      <c r="L29">
        <v>3.6181131095743037E-5</v>
      </c>
      <c r="M29">
        <v>4.2094696049989635E-7</v>
      </c>
      <c r="N29" s="1">
        <v>2.4524393065723698E-9</v>
      </c>
      <c r="O29" s="1">
        <v>3.0098884436687302E-13</v>
      </c>
      <c r="P29">
        <v>0</v>
      </c>
      <c r="R29">
        <v>9.2500482231541792</v>
      </c>
      <c r="S29">
        <v>1.7543008382352601</v>
      </c>
      <c r="T29">
        <v>49.684012136431797</v>
      </c>
      <c r="V29">
        <v>38.144699848382103</v>
      </c>
      <c r="X29">
        <v>1.16693895379657</v>
      </c>
      <c r="AJ29">
        <v>0</v>
      </c>
      <c r="AK29">
        <v>-2.6452486275125399E-2</v>
      </c>
      <c r="AL29">
        <v>0.70056912797165805</v>
      </c>
      <c r="AM29">
        <v>6.5194914054523503E-2</v>
      </c>
      <c r="AN29">
        <v>0.260688444248943</v>
      </c>
    </row>
    <row r="30" spans="1:40" x14ac:dyDescent="0.2">
      <c r="A30">
        <v>180</v>
      </c>
      <c r="B30">
        <v>773</v>
      </c>
      <c r="C30">
        <v>125</v>
      </c>
      <c r="D30">
        <v>0.472102948907902</v>
      </c>
      <c r="E30">
        <v>0.25112207768099598</v>
      </c>
      <c r="F30">
        <v>4.9548707595765498</v>
      </c>
      <c r="G30">
        <v>-1.6647915459911735</v>
      </c>
      <c r="H30">
        <v>-1.1971899384853983</v>
      </c>
      <c r="I30">
        <v>0.44697376810760803</v>
      </c>
      <c r="J30">
        <v>0.222664019046035</v>
      </c>
      <c r="K30">
        <v>5.06818623262048E-2</v>
      </c>
      <c r="L30">
        <v>3.8501827808628119E-5</v>
      </c>
      <c r="M30">
        <v>4.4079498505975346E-7</v>
      </c>
      <c r="N30" s="1">
        <v>1.05062977649578E-9</v>
      </c>
      <c r="O30" s="1">
        <v>1.3089510369802899E-13</v>
      </c>
      <c r="P30">
        <v>0</v>
      </c>
      <c r="R30">
        <v>7.1319958939600898</v>
      </c>
      <c r="S30">
        <v>1.8286972054628901</v>
      </c>
      <c r="T30">
        <v>53.388892532555602</v>
      </c>
      <c r="V30">
        <v>37.031250838816199</v>
      </c>
      <c r="X30">
        <v>0.61916352920510598</v>
      </c>
      <c r="AJ30">
        <v>0</v>
      </c>
      <c r="AK30">
        <v>5.8276402813263297E-3</v>
      </c>
      <c r="AL30">
        <v>0.75720774019158699</v>
      </c>
      <c r="AM30">
        <v>3.4793710305455E-2</v>
      </c>
      <c r="AN30">
        <v>0.202170909221631</v>
      </c>
    </row>
    <row r="31" spans="1:40" x14ac:dyDescent="0.2">
      <c r="A31">
        <v>181</v>
      </c>
      <c r="B31">
        <v>772</v>
      </c>
      <c r="C31">
        <v>125</v>
      </c>
      <c r="D31">
        <v>0.47153088073482102</v>
      </c>
      <c r="E31">
        <v>0.43601357271899599</v>
      </c>
      <c r="F31">
        <v>4.9433650980622303</v>
      </c>
      <c r="G31">
        <v>-2.9173347975531905</v>
      </c>
      <c r="H31">
        <v>-2.104465703811885</v>
      </c>
      <c r="I31">
        <v>0.77775352221337102</v>
      </c>
      <c r="J31">
        <v>0.38700287180787402</v>
      </c>
      <c r="K31">
        <v>8.8201774311573805E-2</v>
      </c>
      <c r="L31">
        <v>3.7575765774746225E-5</v>
      </c>
      <c r="M31">
        <v>4.3178222582521903E-7</v>
      </c>
      <c r="N31" s="1">
        <v>1.7810086276871899E-9</v>
      </c>
      <c r="O31" s="1">
        <v>2.20912392799747E-13</v>
      </c>
      <c r="P31">
        <v>0</v>
      </c>
      <c r="R31">
        <v>7.9835957398537003</v>
      </c>
      <c r="S31">
        <v>1.77559960515364</v>
      </c>
      <c r="T31">
        <v>51.895831834253599</v>
      </c>
      <c r="V31">
        <v>37.5624585284651</v>
      </c>
      <c r="X31">
        <v>0.78251429227386404</v>
      </c>
      <c r="AJ31">
        <v>0</v>
      </c>
      <c r="AK31">
        <v>-4.5232049658621796E-3</v>
      </c>
      <c r="AL31">
        <v>0.73472040039420194</v>
      </c>
      <c r="AM31">
        <v>4.3894806942947499E-2</v>
      </c>
      <c r="AN31">
        <v>0.225907997628711</v>
      </c>
    </row>
    <row r="32" spans="1:40" x14ac:dyDescent="0.2">
      <c r="A32">
        <v>182</v>
      </c>
      <c r="B32">
        <v>771</v>
      </c>
      <c r="C32">
        <v>125</v>
      </c>
      <c r="D32">
        <v>0.47095771680314102</v>
      </c>
      <c r="E32">
        <v>0.52719555947728503</v>
      </c>
      <c r="F32">
        <v>4.9340879715402197</v>
      </c>
      <c r="G32">
        <v>-3.551922076703987</v>
      </c>
      <c r="H32">
        <v>-2.5685473738289897</v>
      </c>
      <c r="I32">
        <v>0.94179447672747896</v>
      </c>
      <c r="J32">
        <v>0.46830664958095802</v>
      </c>
      <c r="K32">
        <v>0.10684762057712401</v>
      </c>
      <c r="L32">
        <v>3.6999425122087553E-5</v>
      </c>
      <c r="M32">
        <v>4.2659306567782405E-7</v>
      </c>
      <c r="N32" s="1">
        <v>2.1208409249639401E-9</v>
      </c>
      <c r="O32" s="1">
        <v>2.6200925238095299E-13</v>
      </c>
      <c r="P32">
        <v>0</v>
      </c>
      <c r="R32">
        <v>8.5525481406886499</v>
      </c>
      <c r="S32">
        <v>1.7520855211549999</v>
      </c>
      <c r="T32">
        <v>50.904630678780798</v>
      </c>
      <c r="V32">
        <v>37.861344311379703</v>
      </c>
      <c r="X32">
        <v>0.92939134799575496</v>
      </c>
      <c r="AJ32">
        <v>0</v>
      </c>
      <c r="AK32">
        <v>-1.32631142687207E-2</v>
      </c>
      <c r="AL32">
        <v>0.71957566198960399</v>
      </c>
      <c r="AM32">
        <v>5.2053393049204998E-2</v>
      </c>
      <c r="AN32">
        <v>0.24163405922991099</v>
      </c>
    </row>
    <row r="33" spans="1:40" x14ac:dyDescent="0.2">
      <c r="A33">
        <v>183</v>
      </c>
      <c r="B33">
        <v>770</v>
      </c>
      <c r="C33">
        <v>125</v>
      </c>
      <c r="D33">
        <v>0.47038345396155901</v>
      </c>
      <c r="E33">
        <v>0.57928052526497598</v>
      </c>
      <c r="F33">
        <v>4.9265646122698303</v>
      </c>
      <c r="G33">
        <v>-3.9235929592332823</v>
      </c>
      <c r="H33">
        <v>-2.8430050127720823</v>
      </c>
      <c r="I33">
        <v>1.03588932220792</v>
      </c>
      <c r="J33">
        <v>0.51489927658699897</v>
      </c>
      <c r="K33">
        <v>0.117583056522236</v>
      </c>
      <c r="L33">
        <v>3.6637626215533301E-5</v>
      </c>
      <c r="M33">
        <v>4.2369837356305302E-7</v>
      </c>
      <c r="N33" s="1">
        <v>2.3078156754148301E-9</v>
      </c>
      <c r="O33" s="1">
        <v>2.8409359621796299E-13</v>
      </c>
      <c r="P33">
        <v>0</v>
      </c>
      <c r="R33">
        <v>8.9414545356044393</v>
      </c>
      <c r="S33">
        <v>1.74494948040626</v>
      </c>
      <c r="T33">
        <v>50.232515007979501</v>
      </c>
      <c r="V33">
        <v>38.021787538852898</v>
      </c>
      <c r="X33">
        <v>1.0592934371567699</v>
      </c>
      <c r="AJ33">
        <v>0</v>
      </c>
      <c r="AK33">
        <v>-2.0669198056271099E-2</v>
      </c>
      <c r="AL33">
        <v>0.70913245196785202</v>
      </c>
      <c r="AM33">
        <v>5.9250219425305103E-2</v>
      </c>
      <c r="AN33">
        <v>0.25228652666311302</v>
      </c>
    </row>
    <row r="34" spans="1:40" x14ac:dyDescent="0.2">
      <c r="A34">
        <v>184</v>
      </c>
      <c r="B34">
        <v>769</v>
      </c>
      <c r="C34">
        <v>125</v>
      </c>
      <c r="D34">
        <v>0.46980808904668597</v>
      </c>
      <c r="E34">
        <v>0.61243443310419599</v>
      </c>
      <c r="F34">
        <v>4.9203230562862901</v>
      </c>
      <c r="G34">
        <v>-4.1656433970427766</v>
      </c>
      <c r="H34">
        <v>-3.0235014525975816</v>
      </c>
      <c r="I34">
        <v>1.09594774691282</v>
      </c>
      <c r="J34">
        <v>0.54465415330255196</v>
      </c>
      <c r="K34">
        <v>0.12447037035947001</v>
      </c>
      <c r="L34">
        <v>3.6404771225454734E-5</v>
      </c>
      <c r="M34">
        <v>4.221493988670335E-7</v>
      </c>
      <c r="N34" s="1">
        <v>2.4245674379083098E-9</v>
      </c>
      <c r="O34" s="1">
        <v>2.97524357884472E-13</v>
      </c>
      <c r="P34">
        <v>0</v>
      </c>
      <c r="R34">
        <v>9.2175081887026291</v>
      </c>
      <c r="S34">
        <v>1.74707258329949</v>
      </c>
      <c r="T34">
        <v>49.759422683681997</v>
      </c>
      <c r="V34">
        <v>38.101447781225197</v>
      </c>
      <c r="X34">
        <v>1.17454876309053</v>
      </c>
      <c r="AJ34">
        <v>0</v>
      </c>
      <c r="AK34">
        <v>-2.7037625368800201E-2</v>
      </c>
      <c r="AL34">
        <v>0.70164182824780796</v>
      </c>
      <c r="AM34">
        <v>6.5620938012469002E-2</v>
      </c>
      <c r="AN34">
        <v>0.25977485910852199</v>
      </c>
    </row>
    <row r="35" spans="1:40" x14ac:dyDescent="0.2">
      <c r="A35">
        <v>185</v>
      </c>
      <c r="B35">
        <v>768</v>
      </c>
      <c r="C35">
        <v>125</v>
      </c>
      <c r="D35">
        <v>0.46923161888296799</v>
      </c>
      <c r="E35">
        <v>0.63524140972385801</v>
      </c>
      <c r="F35">
        <v>4.91502717631084</v>
      </c>
      <c r="G35">
        <v>-4.3356763112365506</v>
      </c>
      <c r="H35">
        <v>-3.1515561651133748</v>
      </c>
      <c r="I35">
        <v>1.1373194507258</v>
      </c>
      <c r="J35">
        <v>0.56518992203222096</v>
      </c>
      <c r="K35">
        <v>0.12924474004651601</v>
      </c>
      <c r="L35">
        <v>3.6251483739405421E-5</v>
      </c>
      <c r="M35">
        <v>4.2140690633692484E-7</v>
      </c>
      <c r="N35" s="1">
        <v>2.5044580123951299E-9</v>
      </c>
      <c r="O35" s="1">
        <v>3.0646373912947E-13</v>
      </c>
      <c r="P35">
        <v>0</v>
      </c>
      <c r="R35">
        <v>9.4204893211515692</v>
      </c>
      <c r="S35">
        <v>1.75469136534867</v>
      </c>
      <c r="T35">
        <v>49.4143061694406</v>
      </c>
      <c r="V35">
        <v>38.132934662893803</v>
      </c>
      <c r="X35">
        <v>1.27757848116523</v>
      </c>
      <c r="AJ35">
        <v>0</v>
      </c>
      <c r="AK35">
        <v>-3.2592217871305999E-2</v>
      </c>
      <c r="AL35">
        <v>0.69606376058734798</v>
      </c>
      <c r="AM35">
        <v>7.1304206883972501E-2</v>
      </c>
      <c r="AN35">
        <v>0.26522425039998498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4AAEC-78A0-4594-BDC6-49ECFA09A50D}">
  <sheetPr codeName="Sheet9"/>
  <dimension ref="A1:AL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14</v>
      </c>
      <c r="B2">
        <v>738</v>
      </c>
      <c r="C2">
        <v>275</v>
      </c>
      <c r="D2">
        <v>0.28822677149780002</v>
      </c>
      <c r="E2">
        <v>0.34213057017020299</v>
      </c>
      <c r="F2">
        <v>2.2578531217053999</v>
      </c>
      <c r="G2">
        <v>-5.6774716237772935</v>
      </c>
      <c r="H2">
        <v>-4.7989045700573945</v>
      </c>
      <c r="I2">
        <v>0.86887905228689899</v>
      </c>
      <c r="J2">
        <v>0.53041801159179902</v>
      </c>
      <c r="K2">
        <v>0.151529152574718</v>
      </c>
      <c r="L2">
        <v>1.2458799668777141E-5</v>
      </c>
      <c r="M2">
        <v>1.5426414529228082E-6</v>
      </c>
      <c r="N2">
        <v>0</v>
      </c>
      <c r="O2" s="1">
        <v>3.8427740054921301E-13</v>
      </c>
      <c r="P2">
        <v>0</v>
      </c>
      <c r="Q2">
        <v>55.054205340267202</v>
      </c>
      <c r="S2">
        <v>23.356339534106599</v>
      </c>
      <c r="AB2">
        <v>14.125700424081</v>
      </c>
      <c r="AC2">
        <v>0.109217897806084</v>
      </c>
      <c r="AE2">
        <v>7.3545368037389904</v>
      </c>
      <c r="AJ2">
        <v>5.06124935320735E-3</v>
      </c>
      <c r="AK2">
        <v>0.89108009174235603</v>
      </c>
      <c r="AL2">
        <v>0.103858658904436</v>
      </c>
    </row>
    <row r="3" spans="1:38" x14ac:dyDescent="0.2">
      <c r="A3">
        <v>15</v>
      </c>
      <c r="B3">
        <v>737</v>
      </c>
      <c r="C3">
        <v>275</v>
      </c>
      <c r="D3">
        <v>0.28745285353660599</v>
      </c>
      <c r="E3">
        <v>1.32679077716782</v>
      </c>
      <c r="F3">
        <v>2.25787267454184</v>
      </c>
      <c r="G3">
        <v>-22.014374966508615</v>
      </c>
      <c r="H3">
        <v>-18.612507014199476</v>
      </c>
      <c r="I3">
        <v>3.36768594001795</v>
      </c>
      <c r="J3">
        <v>2.0565440196829399</v>
      </c>
      <c r="K3">
        <v>0.58762869674971596</v>
      </c>
      <c r="L3">
        <v>1.2458954892400226E-5</v>
      </c>
      <c r="M3">
        <v>1.5426606726230852E-6</v>
      </c>
      <c r="N3">
        <v>0</v>
      </c>
      <c r="O3" s="1">
        <v>1.4902428847848901E-12</v>
      </c>
      <c r="P3">
        <v>0</v>
      </c>
      <c r="Q3">
        <v>55.0517613562726</v>
      </c>
      <c r="S3">
        <v>23.355302691968198</v>
      </c>
      <c r="AB3">
        <v>14.1256768765566</v>
      </c>
      <c r="AC3">
        <v>0.108295735881896</v>
      </c>
      <c r="AE3">
        <v>7.3589633393205398</v>
      </c>
      <c r="AJ3">
        <v>5.0187383865666398E-3</v>
      </c>
      <c r="AK3">
        <v>0.89165599612909197</v>
      </c>
      <c r="AL3">
        <v>0.10332526548434</v>
      </c>
    </row>
    <row r="4" spans="1:38" x14ac:dyDescent="0.2">
      <c r="A4">
        <v>16</v>
      </c>
      <c r="B4">
        <v>736</v>
      </c>
      <c r="C4">
        <v>275</v>
      </c>
      <c r="D4">
        <v>0.28667740177377199</v>
      </c>
      <c r="E4">
        <v>2.1327917110320902</v>
      </c>
      <c r="F4">
        <v>2.2578922672152202</v>
      </c>
      <c r="G4">
        <v>-35.382880546072215</v>
      </c>
      <c r="H4">
        <v>-29.922856400958548</v>
      </c>
      <c r="I4">
        <v>5.4105179062712798</v>
      </c>
      <c r="J4">
        <v>3.3051626777832102</v>
      </c>
      <c r="K4">
        <v>0.94459409866467103</v>
      </c>
      <c r="L4">
        <v>1.2459110119891211E-5</v>
      </c>
      <c r="M4">
        <v>1.5426798928022831E-6</v>
      </c>
      <c r="N4">
        <v>0</v>
      </c>
      <c r="O4" s="1">
        <v>2.3955470192390402E-12</v>
      </c>
      <c r="P4">
        <v>0</v>
      </c>
      <c r="Q4">
        <v>55.049322132120302</v>
      </c>
      <c r="S4">
        <v>23.354267869157699</v>
      </c>
      <c r="AB4">
        <v>14.1256516378577</v>
      </c>
      <c r="AC4">
        <v>0.107378010102022</v>
      </c>
      <c r="AE4">
        <v>7.3633803507620597</v>
      </c>
      <c r="AJ4">
        <v>4.9764288078990998E-3</v>
      </c>
      <c r="AK4">
        <v>0.89223072045207397</v>
      </c>
      <c r="AL4">
        <v>0.102792850740025</v>
      </c>
    </row>
    <row r="5" spans="1:38" x14ac:dyDescent="0.2">
      <c r="A5">
        <v>17</v>
      </c>
      <c r="B5">
        <v>735</v>
      </c>
      <c r="C5">
        <v>275</v>
      </c>
      <c r="D5">
        <v>0.285900411645091</v>
      </c>
      <c r="E5">
        <v>2.8263619790100698</v>
      </c>
      <c r="F5">
        <v>2.2579119002932102</v>
      </c>
      <c r="G5">
        <v>-46.882779658197293</v>
      </c>
      <c r="H5">
        <v>-39.658340372659659</v>
      </c>
      <c r="I5">
        <v>7.1660360913927796</v>
      </c>
      <c r="J5">
        <v>4.37905754716797</v>
      </c>
      <c r="K5">
        <v>1.2517591933693399</v>
      </c>
      <c r="L5">
        <v>1.245926535125023E-5</v>
      </c>
      <c r="M5">
        <v>1.5426991134604191E-6</v>
      </c>
      <c r="N5">
        <v>0</v>
      </c>
      <c r="O5" s="1">
        <v>3.1745755871980099E-12</v>
      </c>
      <c r="P5">
        <v>0</v>
      </c>
      <c r="Q5">
        <v>55.046887700431597</v>
      </c>
      <c r="S5">
        <v>23.353235079514398</v>
      </c>
      <c r="AB5">
        <v>14.1256246734794</v>
      </c>
      <c r="AC5">
        <v>0.10646478569756</v>
      </c>
      <c r="AE5">
        <v>7.36778776087686</v>
      </c>
      <c r="AJ5">
        <v>4.9343236752934401E-3</v>
      </c>
      <c r="AK5">
        <v>0.89280425452303003</v>
      </c>
      <c r="AL5">
        <v>0.10226142180167599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9FFC0-EBD8-4351-AEB9-4B952C99A64F}">
  <sheetPr codeName="Sheet10"/>
  <dimension ref="A1:AL17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5</v>
      </c>
      <c r="B2">
        <v>747</v>
      </c>
      <c r="C2">
        <v>275</v>
      </c>
      <c r="D2">
        <v>0.29512375631034898</v>
      </c>
      <c r="E2">
        <v>0.69213034004966101</v>
      </c>
      <c r="F2">
        <v>2.5782617574862798</v>
      </c>
      <c r="G2">
        <v>-11.206138045132914</v>
      </c>
      <c r="H2">
        <v>-9.7280640078303353</v>
      </c>
      <c r="I2">
        <v>1.4488791229746401</v>
      </c>
      <c r="J2">
        <v>0.85060847836985398</v>
      </c>
      <c r="K2">
        <v>0.268448437417178</v>
      </c>
      <c r="L2">
        <v>3.2140393049563309E-5</v>
      </c>
      <c r="M2">
        <v>1.8125774055695175E-6</v>
      </c>
      <c r="N2" s="1">
        <v>-1.4552764625531101E-8</v>
      </c>
      <c r="O2" s="1">
        <v>2.32770422706283E-12</v>
      </c>
      <c r="P2" s="1">
        <v>4.8037046976226097E-11</v>
      </c>
      <c r="Q2">
        <v>65.1992362781982</v>
      </c>
      <c r="S2">
        <v>21.5115901413544</v>
      </c>
      <c r="AA2">
        <v>2.5339316728229599</v>
      </c>
      <c r="AB2">
        <v>9.3533553123509492</v>
      </c>
      <c r="AC2">
        <v>1.4018865952733599</v>
      </c>
      <c r="AJ2">
        <v>0.80107912384838498</v>
      </c>
      <c r="AK2">
        <v>0.11992608932504099</v>
      </c>
      <c r="AL2">
        <v>7.8994786826573904E-2</v>
      </c>
    </row>
    <row r="3" spans="1:38" x14ac:dyDescent="0.2">
      <c r="A3">
        <v>6</v>
      </c>
      <c r="B3">
        <v>746</v>
      </c>
      <c r="C3">
        <v>275</v>
      </c>
      <c r="D3">
        <v>0.29436344012167098</v>
      </c>
      <c r="E3">
        <v>2.0695408104622399</v>
      </c>
      <c r="F3">
        <v>2.57688329685043</v>
      </c>
      <c r="G3">
        <v>-33.492828852498327</v>
      </c>
      <c r="H3">
        <v>-29.07928631170391</v>
      </c>
      <c r="I3">
        <v>4.3306113337530396</v>
      </c>
      <c r="J3">
        <v>2.5447233262508901</v>
      </c>
      <c r="K3">
        <v>0.80311778689850699</v>
      </c>
      <c r="L3">
        <v>3.2236686809391898E-5</v>
      </c>
      <c r="M3">
        <v>1.8153397884310719E-6</v>
      </c>
      <c r="N3" s="1">
        <v>-4.49276457243516E-8</v>
      </c>
      <c r="O3" s="1">
        <v>6.9681687588877001E-12</v>
      </c>
      <c r="P3" s="1">
        <v>1.47660381423726E-10</v>
      </c>
      <c r="Q3">
        <v>65.323146069822698</v>
      </c>
      <c r="S3">
        <v>21.407378254472398</v>
      </c>
      <c r="AA3">
        <v>2.4190431431807302</v>
      </c>
      <c r="AB3">
        <v>9.3562766292775699</v>
      </c>
      <c r="AC3">
        <v>1.4941559032465801</v>
      </c>
      <c r="AJ3">
        <v>0.801319689358168</v>
      </c>
      <c r="AK3">
        <v>0.11448726077694101</v>
      </c>
      <c r="AL3">
        <v>8.4193049864889902E-2</v>
      </c>
    </row>
    <row r="4" spans="1:38" x14ac:dyDescent="0.2">
      <c r="A4">
        <v>7</v>
      </c>
      <c r="B4">
        <v>745</v>
      </c>
      <c r="C4">
        <v>275</v>
      </c>
      <c r="D4">
        <v>0.29360163040809401</v>
      </c>
      <c r="E4">
        <v>3.5067189361170401</v>
      </c>
      <c r="F4">
        <v>2.5754586667178501</v>
      </c>
      <c r="G4">
        <v>-56.725011926293398</v>
      </c>
      <c r="H4">
        <v>-49.256898583509923</v>
      </c>
      <c r="I4">
        <v>7.3349833941791101</v>
      </c>
      <c r="J4">
        <v>4.3139744009369201</v>
      </c>
      <c r="K4">
        <v>1.3615900660467399</v>
      </c>
      <c r="L4">
        <v>3.2326743951465585E-5</v>
      </c>
      <c r="M4">
        <v>1.8179499778059348E-6</v>
      </c>
      <c r="N4" s="1">
        <v>-7.8527166649199805E-8</v>
      </c>
      <c r="O4" s="1">
        <v>1.18212437654272E-11</v>
      </c>
      <c r="P4" s="1">
        <v>2.5702529105671801E-10</v>
      </c>
      <c r="Q4">
        <v>65.443183494738307</v>
      </c>
      <c r="S4">
        <v>21.3033303082807</v>
      </c>
      <c r="AA4">
        <v>2.3051934301195001</v>
      </c>
      <c r="AB4">
        <v>9.3509983764552196</v>
      </c>
      <c r="AC4">
        <v>1.5972943904061601</v>
      </c>
      <c r="AJ4">
        <v>0.800890543712375</v>
      </c>
      <c r="AK4">
        <v>0.10910215973861501</v>
      </c>
      <c r="AL4">
        <v>9.00072965490092E-2</v>
      </c>
    </row>
    <row r="5" spans="1:38" x14ac:dyDescent="0.2">
      <c r="A5">
        <v>8</v>
      </c>
      <c r="B5">
        <v>744</v>
      </c>
      <c r="C5">
        <v>275</v>
      </c>
      <c r="D5">
        <v>0.29283832276459099</v>
      </c>
      <c r="E5">
        <v>5.0161325295044898</v>
      </c>
      <c r="F5">
        <v>2.5739707944595001</v>
      </c>
      <c r="G5">
        <v>-81.100031115703644</v>
      </c>
      <c r="H5">
        <v>-70.43244753052673</v>
      </c>
      <c r="I5">
        <v>10.4877192008818</v>
      </c>
      <c r="J5">
        <v>6.1735645592489599</v>
      </c>
      <c r="K5">
        <v>1.9487915481798599</v>
      </c>
      <c r="L5">
        <v>3.2409169821275566E-5</v>
      </c>
      <c r="M5">
        <v>1.8203936675061553E-6</v>
      </c>
      <c r="N5" s="1">
        <v>-1.1574090390364401E-7</v>
      </c>
      <c r="O5" s="1">
        <v>1.69307965753465E-11</v>
      </c>
      <c r="P5" s="1">
        <v>3.7734409082921298E-10</v>
      </c>
      <c r="Q5">
        <v>65.559349642608296</v>
      </c>
      <c r="S5">
        <v>21.198850343090498</v>
      </c>
      <c r="AA5">
        <v>2.1918906065358201</v>
      </c>
      <c r="AB5">
        <v>9.3359605963352408</v>
      </c>
      <c r="AC5">
        <v>1.7139488114300301</v>
      </c>
      <c r="AJ5">
        <v>0.79966415486661002</v>
      </c>
      <c r="AK5">
        <v>0.103747653968719</v>
      </c>
      <c r="AL5">
        <v>9.6588191164670795E-2</v>
      </c>
    </row>
    <row r="6" spans="1:38" x14ac:dyDescent="0.2">
      <c r="A6">
        <v>9</v>
      </c>
      <c r="B6">
        <v>743</v>
      </c>
      <c r="C6">
        <v>275</v>
      </c>
      <c r="D6">
        <v>0.29207351276878402</v>
      </c>
      <c r="E6">
        <v>6.6162737152811397</v>
      </c>
      <c r="F6">
        <v>2.5723940444999398</v>
      </c>
      <c r="G6">
        <v>-106.91074351613753</v>
      </c>
      <c r="H6">
        <v>-92.860414796157073</v>
      </c>
      <c r="I6">
        <v>13.8270223096791</v>
      </c>
      <c r="J6">
        <v>8.1459945452022904</v>
      </c>
      <c r="K6">
        <v>2.5720296349726901</v>
      </c>
      <c r="L6">
        <v>3.2481994528187149E-5</v>
      </c>
      <c r="M6">
        <v>1.8226525842166389E-6</v>
      </c>
      <c r="N6" s="1">
        <v>-1.57085412516042E-7</v>
      </c>
      <c r="O6" s="1">
        <v>2.2362507708462E-11</v>
      </c>
      <c r="P6" s="1">
        <v>5.1024239882033501E-10</v>
      </c>
      <c r="Q6">
        <v>65.671756506696099</v>
      </c>
      <c r="S6">
        <v>21.092992292154001</v>
      </c>
      <c r="AA6">
        <v>2.0783280255788501</v>
      </c>
      <c r="AB6">
        <v>9.3089326229240505</v>
      </c>
      <c r="AC6">
        <v>1.8479905526469</v>
      </c>
      <c r="AJ6">
        <v>0.79745790587946297</v>
      </c>
      <c r="AK6">
        <v>9.8385877922208695E-2</v>
      </c>
      <c r="AL6">
        <v>0.104156216198327</v>
      </c>
    </row>
    <row r="7" spans="1:38" x14ac:dyDescent="0.2">
      <c r="A7">
        <v>10</v>
      </c>
      <c r="B7">
        <v>742</v>
      </c>
      <c r="C7">
        <v>275</v>
      </c>
      <c r="D7">
        <v>0.291307195980888</v>
      </c>
      <c r="E7">
        <v>8.3366699023140605</v>
      </c>
      <c r="F7">
        <v>2.5706878418745802</v>
      </c>
      <c r="G7">
        <v>-134.6250535746608</v>
      </c>
      <c r="H7">
        <v>-116.94726826028258</v>
      </c>
      <c r="I7">
        <v>17.413963763363199</v>
      </c>
      <c r="J7">
        <v>10.2671352075181</v>
      </c>
      <c r="K7">
        <v>3.2429724708367602</v>
      </c>
      <c r="L7">
        <v>3.2542226951342147E-5</v>
      </c>
      <c r="M7">
        <v>1.8247009694104411E-6</v>
      </c>
      <c r="N7" s="1">
        <v>-2.03304233555358E-7</v>
      </c>
      <c r="O7" s="1">
        <v>2.8222047329093099E-11</v>
      </c>
      <c r="P7" s="1">
        <v>6.5808791987708198E-10</v>
      </c>
      <c r="Q7">
        <v>65.780690432708695</v>
      </c>
      <c r="S7">
        <v>20.984206740790299</v>
      </c>
      <c r="AA7">
        <v>1.963160589416</v>
      </c>
      <c r="AB7">
        <v>9.2664905702530707</v>
      </c>
      <c r="AC7">
        <v>2.0054516668317399</v>
      </c>
      <c r="AJ7">
        <v>0.79399114095666601</v>
      </c>
      <c r="AK7">
        <v>9.2953765173663994E-2</v>
      </c>
      <c r="AL7">
        <v>0.113055093869669</v>
      </c>
    </row>
    <row r="8" spans="1:38" x14ac:dyDescent="0.2">
      <c r="A8">
        <v>11</v>
      </c>
      <c r="B8">
        <v>741</v>
      </c>
      <c r="C8">
        <v>275</v>
      </c>
      <c r="D8">
        <v>0.29053936794360102</v>
      </c>
      <c r="E8">
        <v>10.2291221382137</v>
      </c>
      <c r="F8">
        <v>2.56878277833493</v>
      </c>
      <c r="G8">
        <v>-165.06425091238066</v>
      </c>
      <c r="H8">
        <v>-143.40629293847161</v>
      </c>
      <c r="I8">
        <v>21.355773774992901</v>
      </c>
      <c r="J8">
        <v>12.599840473662899</v>
      </c>
      <c r="K8">
        <v>3.9820891920040902</v>
      </c>
      <c r="L8">
        <v>3.2584867536833886E-5</v>
      </c>
      <c r="M8">
        <v>1.8264975412492995E-6</v>
      </c>
      <c r="N8" s="1">
        <v>-2.55589823012852E-7</v>
      </c>
      <c r="O8" s="1">
        <v>3.4695871669794697E-11</v>
      </c>
      <c r="P8" s="1">
        <v>8.24721125548262E-10</v>
      </c>
      <c r="Q8">
        <v>65.886737709046798</v>
      </c>
      <c r="S8">
        <v>20.8697928589479</v>
      </c>
      <c r="AA8">
        <v>1.8440232832172401</v>
      </c>
      <c r="AB8">
        <v>9.2028603734753105</v>
      </c>
      <c r="AC8">
        <v>2.1965857753126499</v>
      </c>
      <c r="AJ8">
        <v>0.788790007051272</v>
      </c>
      <c r="AK8">
        <v>8.7340516874001406E-2</v>
      </c>
      <c r="AL8">
        <v>0.123869476074726</v>
      </c>
    </row>
    <row r="9" spans="1:38" x14ac:dyDescent="0.2">
      <c r="A9">
        <v>12</v>
      </c>
      <c r="B9">
        <v>740</v>
      </c>
      <c r="C9">
        <v>275</v>
      </c>
      <c r="D9">
        <v>0.28977002418201098</v>
      </c>
      <c r="E9">
        <v>12.3976749073602</v>
      </c>
      <c r="F9">
        <v>2.5665448613107502</v>
      </c>
      <c r="G9">
        <v>-199.87847448107416</v>
      </c>
      <c r="H9">
        <v>-173.67037300365604</v>
      </c>
      <c r="I9">
        <v>25.867938091514699</v>
      </c>
      <c r="J9">
        <v>15.270228720484001</v>
      </c>
      <c r="K9">
        <v>4.8304921898106601</v>
      </c>
      <c r="L9">
        <v>3.2600329588101209E-5</v>
      </c>
      <c r="M9">
        <v>1.8279639389924045E-6</v>
      </c>
      <c r="N9" s="1">
        <v>-3.16165240524165E-7</v>
      </c>
      <c r="O9" s="1">
        <v>4.2160128229294598E-11</v>
      </c>
      <c r="P9" s="1">
        <v>1.0173747658991801E-9</v>
      </c>
      <c r="Q9">
        <v>65.991078222302605</v>
      </c>
      <c r="S9">
        <v>20.7444950319565</v>
      </c>
      <c r="AA9">
        <v>1.7163048606601501</v>
      </c>
      <c r="AB9">
        <v>9.1068930694642205</v>
      </c>
      <c r="AC9">
        <v>2.4412288156164399</v>
      </c>
      <c r="AJ9">
        <v>0.780938501969488</v>
      </c>
      <c r="AK9">
        <v>8.1330196302559304E-2</v>
      </c>
      <c r="AL9">
        <v>0.13773130172795101</v>
      </c>
    </row>
    <row r="10" spans="1:38" x14ac:dyDescent="0.2">
      <c r="A10">
        <v>13</v>
      </c>
      <c r="B10">
        <v>739</v>
      </c>
      <c r="C10">
        <v>275</v>
      </c>
      <c r="D10">
        <v>0.28899916020352701</v>
      </c>
      <c r="E10">
        <v>16.333293372083102</v>
      </c>
      <c r="F10">
        <v>2.5659945858890301</v>
      </c>
      <c r="G10">
        <v>-263.25627702177962</v>
      </c>
      <c r="H10">
        <v>-228.78155826161748</v>
      </c>
      <c r="I10">
        <v>34.060879079347998</v>
      </c>
      <c r="J10">
        <v>20.129596981703699</v>
      </c>
      <c r="K10">
        <v>6.3652875426563602</v>
      </c>
      <c r="L10">
        <v>3.267561099458855E-5</v>
      </c>
      <c r="M10">
        <v>1.8290434434664546E-6</v>
      </c>
      <c r="N10" s="1">
        <v>-4.2975950196785102E-7</v>
      </c>
      <c r="O10" s="1">
        <v>5.5497133812394502E-11</v>
      </c>
      <c r="P10" s="1">
        <v>1.3778481277277501E-9</v>
      </c>
      <c r="Q10">
        <v>66.035496694986804</v>
      </c>
      <c r="S10">
        <v>20.704422442940999</v>
      </c>
      <c r="AA10">
        <v>1.67288012105043</v>
      </c>
      <c r="AB10">
        <v>9.1008217523215098</v>
      </c>
      <c r="AC10">
        <v>2.4863789887001699</v>
      </c>
      <c r="AJ10">
        <v>0.78044211945396202</v>
      </c>
      <c r="AK10">
        <v>7.9274899847453603E-2</v>
      </c>
      <c r="AL10">
        <v>0.140282980698584</v>
      </c>
    </row>
    <row r="11" spans="1:38" x14ac:dyDescent="0.2">
      <c r="A11">
        <v>14</v>
      </c>
      <c r="B11">
        <v>738</v>
      </c>
      <c r="C11">
        <v>275</v>
      </c>
      <c r="D11">
        <v>0.28822677149780002</v>
      </c>
      <c r="E11">
        <v>25.054520883432598</v>
      </c>
      <c r="F11">
        <v>2.5653381117663399</v>
      </c>
      <c r="G11">
        <v>-403.7208105911771</v>
      </c>
      <c r="H11">
        <v>-350.91771802287445</v>
      </c>
      <c r="I11">
        <v>52.220830310342201</v>
      </c>
      <c r="J11">
        <v>30.9001518992584</v>
      </c>
      <c r="K11">
        <v>9.7665569963335308</v>
      </c>
      <c r="L11">
        <v>3.2772476238803632E-5</v>
      </c>
      <c r="M11">
        <v>1.83066538149573E-6</v>
      </c>
      <c r="N11" s="1">
        <v>-6.8149098218348E-7</v>
      </c>
      <c r="O11" s="1">
        <v>8.5063820324608895E-11</v>
      </c>
      <c r="P11" s="1">
        <v>2.1766972671477702E-9</v>
      </c>
      <c r="Q11">
        <v>66.100673882340104</v>
      </c>
      <c r="S11">
        <v>20.652690913924602</v>
      </c>
      <c r="AA11">
        <v>1.6149928742837401</v>
      </c>
      <c r="AB11">
        <v>9.11044469080292</v>
      </c>
      <c r="AC11">
        <v>2.5211976386486001</v>
      </c>
      <c r="AJ11">
        <v>0.78123098618852804</v>
      </c>
      <c r="AK11">
        <v>7.6528162448348994E-2</v>
      </c>
      <c r="AL11">
        <v>0.14224085136312201</v>
      </c>
    </row>
    <row r="12" spans="1:38" x14ac:dyDescent="0.2">
      <c r="A12">
        <v>15</v>
      </c>
      <c r="B12">
        <v>737</v>
      </c>
      <c r="C12">
        <v>275</v>
      </c>
      <c r="D12">
        <v>0.28745285353660599</v>
      </c>
      <c r="E12">
        <v>26.435015889648501</v>
      </c>
      <c r="F12">
        <v>2.56615789143624</v>
      </c>
      <c r="G12">
        <v>-425.98449756705571</v>
      </c>
      <c r="H12">
        <v>-370.36158455354547</v>
      </c>
      <c r="I12">
        <v>55.064013278730997</v>
      </c>
      <c r="J12">
        <v>32.626722370357797</v>
      </c>
      <c r="K12">
        <v>10.3013988257959</v>
      </c>
      <c r="L12">
        <v>3.283623072650265E-5</v>
      </c>
      <c r="M12">
        <v>1.8300330302309063E-6</v>
      </c>
      <c r="N12" s="1">
        <v>-7.4308476751394501E-7</v>
      </c>
      <c r="O12" s="1">
        <v>8.9438176750947994E-11</v>
      </c>
      <c r="P12" s="1">
        <v>2.3649256550363002E-9</v>
      </c>
      <c r="Q12">
        <v>66.0496669474377</v>
      </c>
      <c r="S12">
        <v>20.698891200928099</v>
      </c>
      <c r="AA12">
        <v>1.6650103550647499</v>
      </c>
      <c r="AB12">
        <v>9.11789853008246</v>
      </c>
      <c r="AC12">
        <v>2.4685329664868698</v>
      </c>
      <c r="AJ12">
        <v>0.78184039430722696</v>
      </c>
      <c r="AK12">
        <v>7.8895290416157005E-2</v>
      </c>
      <c r="AL12">
        <v>0.13926431527661501</v>
      </c>
    </row>
    <row r="13" spans="1:38" x14ac:dyDescent="0.2">
      <c r="A13">
        <v>16</v>
      </c>
      <c r="B13">
        <v>736</v>
      </c>
      <c r="C13">
        <v>275</v>
      </c>
      <c r="D13">
        <v>0.28667740177377199</v>
      </c>
      <c r="E13">
        <v>26.805319562001301</v>
      </c>
      <c r="F13">
        <v>2.5669651311345199</v>
      </c>
      <c r="G13">
        <v>-431.96814776765939</v>
      </c>
      <c r="H13">
        <v>-375.65714636208429</v>
      </c>
      <c r="I13">
        <v>55.8004274940049</v>
      </c>
      <c r="J13">
        <v>33.108585706400497</v>
      </c>
      <c r="K13">
        <v>10.4424167032429</v>
      </c>
      <c r="L13">
        <v>3.2901120261451522E-5</v>
      </c>
      <c r="M13">
        <v>1.8293866717025751E-6</v>
      </c>
      <c r="N13" s="1">
        <v>-7.7857990293135295E-7</v>
      </c>
      <c r="O13" s="1">
        <v>9.0369841237860902E-11</v>
      </c>
      <c r="P13" s="1">
        <v>2.4692267822311198E-9</v>
      </c>
      <c r="Q13">
        <v>65.998334645680501</v>
      </c>
      <c r="S13">
        <v>20.7448455054543</v>
      </c>
      <c r="AA13">
        <v>1.71490081769083</v>
      </c>
      <c r="AB13">
        <v>9.1239824317271196</v>
      </c>
      <c r="AC13">
        <v>2.4179365994471702</v>
      </c>
      <c r="AJ13">
        <v>0.78233761311774797</v>
      </c>
      <c r="AK13">
        <v>8.1256772467076105E-2</v>
      </c>
      <c r="AL13">
        <v>0.13640561441517501</v>
      </c>
    </row>
    <row r="14" spans="1:38" x14ac:dyDescent="0.2">
      <c r="A14">
        <v>17</v>
      </c>
      <c r="B14">
        <v>735</v>
      </c>
      <c r="C14">
        <v>275</v>
      </c>
      <c r="D14">
        <v>0.285900411645091</v>
      </c>
      <c r="E14">
        <v>26.619423699262502</v>
      </c>
      <c r="F14">
        <v>2.5677605575329001</v>
      </c>
      <c r="G14">
        <v>-428.98629210910468</v>
      </c>
      <c r="H14">
        <v>-373.15645624285497</v>
      </c>
      <c r="I14">
        <v>55.378501082427903</v>
      </c>
      <c r="J14">
        <v>32.904173077187799</v>
      </c>
      <c r="K14">
        <v>10.366785805308201</v>
      </c>
      <c r="L14">
        <v>3.2967286898499395E-5</v>
      </c>
      <c r="M14">
        <v>1.8287279339404005E-6</v>
      </c>
      <c r="N14" s="1">
        <v>-7.9881274382188998E-7</v>
      </c>
      <c r="O14" s="1">
        <v>8.9419807600121497E-11</v>
      </c>
      <c r="P14" s="1">
        <v>2.5247432944588998E-9</v>
      </c>
      <c r="Q14">
        <v>65.946706319717805</v>
      </c>
      <c r="S14">
        <v>20.790565786464601</v>
      </c>
      <c r="AA14">
        <v>1.7646672817215101</v>
      </c>
      <c r="AB14">
        <v>9.1287931362302093</v>
      </c>
      <c r="AC14">
        <v>2.3692674758657302</v>
      </c>
      <c r="AJ14">
        <v>0.78273058222521397</v>
      </c>
      <c r="AK14">
        <v>8.3612760239734393E-2</v>
      </c>
      <c r="AL14">
        <v>0.13365665753504999</v>
      </c>
    </row>
    <row r="15" spans="1:38" x14ac:dyDescent="0.2">
      <c r="A15">
        <v>19</v>
      </c>
      <c r="B15">
        <v>754</v>
      </c>
      <c r="C15">
        <v>250</v>
      </c>
      <c r="D15">
        <v>0.32717762741566497</v>
      </c>
      <c r="E15">
        <v>0.103264039405984</v>
      </c>
      <c r="F15">
        <v>2.5773041473617999</v>
      </c>
      <c r="G15">
        <v>-1.6748502052813983</v>
      </c>
      <c r="H15">
        <v>-1.4519047386090198</v>
      </c>
      <c r="I15">
        <v>0.21705249152740899</v>
      </c>
      <c r="J15">
        <v>0.12649147447706799</v>
      </c>
      <c r="K15">
        <v>4.0066687321978801E-2</v>
      </c>
      <c r="L15">
        <v>3.1745073417710037E-5</v>
      </c>
      <c r="M15">
        <v>1.8116502258073684E-6</v>
      </c>
      <c r="N15" s="1">
        <v>-1.7113445255666601E-9</v>
      </c>
      <c r="O15" s="1">
        <v>3.5066380966487598E-13</v>
      </c>
      <c r="P15" s="1">
        <v>5.8471337133251697E-12</v>
      </c>
      <c r="Q15">
        <v>65.152948259242507</v>
      </c>
      <c r="S15">
        <v>21.560160401738599</v>
      </c>
      <c r="AA15">
        <v>2.5848033113852198</v>
      </c>
      <c r="AB15">
        <v>9.3775381961344806</v>
      </c>
      <c r="AC15">
        <v>1.32454983149906</v>
      </c>
      <c r="AJ15">
        <v>0.80305313780066701</v>
      </c>
      <c r="AK15">
        <v>0.12231894688094599</v>
      </c>
      <c r="AL15">
        <v>7.4627915318386098E-2</v>
      </c>
    </row>
    <row r="16" spans="1:38" x14ac:dyDescent="0.2">
      <c r="A16">
        <v>20</v>
      </c>
      <c r="B16">
        <v>753</v>
      </c>
      <c r="C16">
        <v>250</v>
      </c>
      <c r="D16">
        <v>0.32645373483409301</v>
      </c>
      <c r="E16">
        <v>0.60733376283842799</v>
      </c>
      <c r="F16">
        <v>2.5768083334270302</v>
      </c>
      <c r="G16">
        <v>-9.8482558294257032</v>
      </c>
      <c r="H16">
        <v>-8.5389293371765831</v>
      </c>
      <c r="I16">
        <v>1.2759601347260301</v>
      </c>
      <c r="J16">
        <v>0.74428188840507103</v>
      </c>
      <c r="K16">
        <v>0.23569225345941899</v>
      </c>
      <c r="L16">
        <v>3.1816749705242977E-5</v>
      </c>
      <c r="M16">
        <v>1.8131374308642638E-6</v>
      </c>
      <c r="N16" s="1">
        <v>-1.039859898959E-8</v>
      </c>
      <c r="O16" s="1">
        <v>2.0619838614325399E-12</v>
      </c>
      <c r="P16" s="1">
        <v>3.53466533592966E-11</v>
      </c>
      <c r="Q16">
        <v>65.211369804828706</v>
      </c>
      <c r="S16">
        <v>21.515243135755401</v>
      </c>
      <c r="AA16">
        <v>2.5341142380442401</v>
      </c>
      <c r="AB16">
        <v>9.3899710256172302</v>
      </c>
      <c r="AC16">
        <v>1.3493017957543001</v>
      </c>
      <c r="AJ16">
        <v>0.80406914900470905</v>
      </c>
      <c r="AK16">
        <v>0.11991296078724201</v>
      </c>
      <c r="AL16">
        <v>7.6017890208048E-2</v>
      </c>
    </row>
    <row r="17" spans="1:38" x14ac:dyDescent="0.2">
      <c r="A17">
        <v>21</v>
      </c>
      <c r="B17">
        <v>752</v>
      </c>
      <c r="C17">
        <v>250</v>
      </c>
      <c r="D17">
        <v>0.32572842998585799</v>
      </c>
      <c r="E17">
        <v>1.41175796797062</v>
      </c>
      <c r="F17">
        <v>2.5760380403409</v>
      </c>
      <c r="G17">
        <v>-22.885893169976221</v>
      </c>
      <c r="H17">
        <v>-19.846661493272165</v>
      </c>
      <c r="I17">
        <v>2.9646702206545901</v>
      </c>
      <c r="J17">
        <v>1.7308790170716699</v>
      </c>
      <c r="K17">
        <v>0.54803459648592501</v>
      </c>
      <c r="L17">
        <v>3.1894058887111926E-5</v>
      </c>
      <c r="M17">
        <v>1.8150190319172921E-6</v>
      </c>
      <c r="N17" s="1">
        <v>-2.49659103708389E-8</v>
      </c>
      <c r="O17" s="1">
        <v>4.7945122568607499E-12</v>
      </c>
      <c r="P17" s="1">
        <v>8.4439835057504404E-11</v>
      </c>
      <c r="Q17">
        <v>65.290270854597395</v>
      </c>
      <c r="S17">
        <v>21.4518511712904</v>
      </c>
      <c r="AA17">
        <v>2.46340473696171</v>
      </c>
      <c r="AB17">
        <v>9.3996075081589101</v>
      </c>
      <c r="AC17">
        <v>1.3948657289914299</v>
      </c>
      <c r="AJ17">
        <v>0.80485709955773799</v>
      </c>
      <c r="AK17">
        <v>0.116561632772019</v>
      </c>
      <c r="AL17">
        <v>7.85812676702419E-2</v>
      </c>
    </row>
    <row r="18" spans="1:38" x14ac:dyDescent="0.2">
      <c r="A18">
        <v>22</v>
      </c>
      <c r="B18">
        <v>751</v>
      </c>
      <c r="C18">
        <v>250</v>
      </c>
      <c r="D18">
        <v>0.32500170873407402</v>
      </c>
      <c r="E18">
        <v>2.7838185792884</v>
      </c>
      <c r="F18">
        <v>2.57474014248257</v>
      </c>
      <c r="G18">
        <v>-45.109145204203848</v>
      </c>
      <c r="H18">
        <v>-39.124369750138079</v>
      </c>
      <c r="I18">
        <v>5.84365127575626</v>
      </c>
      <c r="J18">
        <v>3.4145009373527699</v>
      </c>
      <c r="K18">
        <v>1.0812037041548701</v>
      </c>
      <c r="L18">
        <v>3.1977676168539185E-5</v>
      </c>
      <c r="M18">
        <v>1.8175712501620633E-6</v>
      </c>
      <c r="N18" s="1">
        <v>-5.0800773878717402E-8</v>
      </c>
      <c r="O18" s="1">
        <v>9.4660934900981902E-12</v>
      </c>
      <c r="P18" s="1">
        <v>1.7099424271939301E-10</v>
      </c>
      <c r="Q18">
        <v>65.405775797277897</v>
      </c>
      <c r="S18">
        <v>21.354194577544401</v>
      </c>
      <c r="AA18">
        <v>2.3558855478769498</v>
      </c>
      <c r="AB18">
        <v>9.4009846230662095</v>
      </c>
      <c r="AC18">
        <v>1.48315945423444</v>
      </c>
      <c r="AJ18">
        <v>0.80497137590432399</v>
      </c>
      <c r="AK18">
        <v>0.111473612007705</v>
      </c>
      <c r="AL18">
        <v>8.3555012087969505E-2</v>
      </c>
    </row>
    <row r="19" spans="1:38" x14ac:dyDescent="0.2">
      <c r="A19">
        <v>23</v>
      </c>
      <c r="B19">
        <v>750</v>
      </c>
      <c r="C19">
        <v>250</v>
      </c>
      <c r="D19">
        <v>0.324273566925672</v>
      </c>
      <c r="E19">
        <v>4.2071116491051503</v>
      </c>
      <c r="F19">
        <v>2.5734075656104798</v>
      </c>
      <c r="G19">
        <v>-68.141493041608186</v>
      </c>
      <c r="H19">
        <v>-59.109444930544747</v>
      </c>
      <c r="I19">
        <v>8.8276871534608006</v>
      </c>
      <c r="J19">
        <v>5.1622257125682598</v>
      </c>
      <c r="K19">
        <v>1.6348407867166199</v>
      </c>
      <c r="L19">
        <v>3.2055467887250093E-5</v>
      </c>
      <c r="M19">
        <v>1.8199711024199254E-6</v>
      </c>
      <c r="N19" s="1">
        <v>-7.9155379251666507E-8</v>
      </c>
      <c r="O19" s="1">
        <v>1.4323984993698399E-11</v>
      </c>
      <c r="P19" s="1">
        <v>2.6521460822847399E-10</v>
      </c>
      <c r="Q19">
        <v>65.517074704854295</v>
      </c>
      <c r="S19">
        <v>21.257230011138901</v>
      </c>
      <c r="AA19">
        <v>2.2499187092252702</v>
      </c>
      <c r="AB19">
        <v>9.3948030539056493</v>
      </c>
      <c r="AC19">
        <v>1.5809735208757401</v>
      </c>
      <c r="AJ19">
        <v>0.80446854569702997</v>
      </c>
      <c r="AK19">
        <v>0.106463074844777</v>
      </c>
      <c r="AL19">
        <v>8.9068379458191502E-2</v>
      </c>
    </row>
    <row r="20" spans="1:38" x14ac:dyDescent="0.2">
      <c r="A20">
        <v>24</v>
      </c>
      <c r="B20">
        <v>749</v>
      </c>
      <c r="C20">
        <v>250</v>
      </c>
      <c r="D20">
        <v>0.32354400039133302</v>
      </c>
      <c r="E20">
        <v>5.6912153774462499</v>
      </c>
      <c r="F20">
        <v>2.5720272170806902</v>
      </c>
      <c r="G20">
        <v>-92.134388711605837</v>
      </c>
      <c r="H20">
        <v>-79.933442670871216</v>
      </c>
      <c r="I20">
        <v>11.936551426634599</v>
      </c>
      <c r="J20">
        <v>6.9856648311044598</v>
      </c>
      <c r="K20">
        <v>2.21273528508998</v>
      </c>
      <c r="L20">
        <v>3.212638009808446E-5</v>
      </c>
      <c r="M20">
        <v>1.822207098165916E-6</v>
      </c>
      <c r="N20" s="1">
        <v>-1.10289215575951E-7</v>
      </c>
      <c r="O20" s="1">
        <v>1.94021816946689E-11</v>
      </c>
      <c r="P20" s="1">
        <v>3.67919365179064E-10</v>
      </c>
      <c r="Q20">
        <v>65.6241441169377</v>
      </c>
      <c r="S20">
        <v>21.160508575155099</v>
      </c>
      <c r="AA20">
        <v>2.1451393506133001</v>
      </c>
      <c r="AB20">
        <v>9.3798336788248307</v>
      </c>
      <c r="AC20">
        <v>1.6903742784689699</v>
      </c>
      <c r="AJ20">
        <v>0.80324813602918299</v>
      </c>
      <c r="AK20">
        <v>0.101512819129553</v>
      </c>
      <c r="AL20">
        <v>9.5239044841263207E-2</v>
      </c>
    </row>
    <row r="21" spans="1:38" x14ac:dyDescent="0.2">
      <c r="A21">
        <v>25</v>
      </c>
      <c r="B21">
        <v>748</v>
      </c>
      <c r="C21">
        <v>250</v>
      </c>
      <c r="D21">
        <v>0.32281300494540499</v>
      </c>
      <c r="E21">
        <v>7.2499979492914397</v>
      </c>
      <c r="F21">
        <v>2.5705801699638302</v>
      </c>
      <c r="G21">
        <v>-117.30732398211532</v>
      </c>
      <c r="H21">
        <v>-101.78694267320306</v>
      </c>
      <c r="I21">
        <v>15.198924064938801</v>
      </c>
      <c r="J21">
        <v>8.9016067124400493</v>
      </c>
      <c r="K21">
        <v>2.82037418400899</v>
      </c>
      <c r="L21">
        <v>3.2188978950941487E-5</v>
      </c>
      <c r="M21">
        <v>1.8242649729882586E-6</v>
      </c>
      <c r="N21" s="1">
        <v>-1.4453614308513399E-7</v>
      </c>
      <c r="O21" s="1">
        <v>2.47503649909171E-11</v>
      </c>
      <c r="P21" s="1">
        <v>4.8017549238644301E-10</v>
      </c>
      <c r="Q21">
        <v>65.727031717785295</v>
      </c>
      <c r="S21">
        <v>21.063343943447101</v>
      </c>
      <c r="AA21">
        <v>2.04097011947374</v>
      </c>
      <c r="AB21">
        <v>9.3543834664143493</v>
      </c>
      <c r="AC21">
        <v>1.8142707528794599</v>
      </c>
      <c r="AJ21">
        <v>0.801171556429087</v>
      </c>
      <c r="AK21">
        <v>9.6595699138195407E-2</v>
      </c>
      <c r="AL21">
        <v>0.102232744432716</v>
      </c>
    </row>
    <row r="22" spans="1:38" x14ac:dyDescent="0.2">
      <c r="A22">
        <v>26</v>
      </c>
      <c r="B22">
        <v>747</v>
      </c>
      <c r="C22">
        <v>250</v>
      </c>
      <c r="D22">
        <v>0.32208057638582899</v>
      </c>
      <c r="E22">
        <v>8.9047390156772401</v>
      </c>
      <c r="F22">
        <v>2.5690380117089999</v>
      </c>
      <c r="G22">
        <v>-143.9974050576443</v>
      </c>
      <c r="H22">
        <v>-124.96255204232928</v>
      </c>
      <c r="I22">
        <v>18.6588766508013</v>
      </c>
      <c r="J22">
        <v>10.9357875920156</v>
      </c>
      <c r="K22">
        <v>3.4661764345610102</v>
      </c>
      <c r="L22">
        <v>3.2241192594028377E-5</v>
      </c>
      <c r="M22">
        <v>1.8261253690806447E-6</v>
      </c>
      <c r="N22" s="1">
        <v>-1.8235624113702899E-7</v>
      </c>
      <c r="O22" s="1">
        <v>3.0445327305548297E-11</v>
      </c>
      <c r="P22" s="1">
        <v>6.0347350536198105E-10</v>
      </c>
      <c r="Q22">
        <v>65.825881183156497</v>
      </c>
      <c r="S22">
        <v>20.964671799231699</v>
      </c>
      <c r="AA22">
        <v>1.93649941878853</v>
      </c>
      <c r="AB22">
        <v>9.3159823455831603</v>
      </c>
      <c r="AC22">
        <v>1.95696525323996</v>
      </c>
      <c r="AJ22">
        <v>0.79803635224995195</v>
      </c>
      <c r="AK22">
        <v>9.1668933628576393E-2</v>
      </c>
      <c r="AL22">
        <v>0.110294714121471</v>
      </c>
    </row>
    <row r="23" spans="1:38" x14ac:dyDescent="0.2">
      <c r="A23">
        <v>27</v>
      </c>
      <c r="B23">
        <v>746</v>
      </c>
      <c r="C23">
        <v>250</v>
      </c>
      <c r="D23">
        <v>0.32134671049404001</v>
      </c>
      <c r="E23">
        <v>10.6904238925991</v>
      </c>
      <c r="F23">
        <v>2.5673556971034102</v>
      </c>
      <c r="G23">
        <v>-172.7592874003804</v>
      </c>
      <c r="H23">
        <v>-149.94159425588055</v>
      </c>
      <c r="I23">
        <v>22.388944850610599</v>
      </c>
      <c r="J23">
        <v>13.130492068747699</v>
      </c>
      <c r="K23">
        <v>4.16398238259716</v>
      </c>
      <c r="L23">
        <v>3.2279796442730181E-5</v>
      </c>
      <c r="M23">
        <v>1.8277590718491994E-6</v>
      </c>
      <c r="N23" s="1">
        <v>-2.24439488138511E-7</v>
      </c>
      <c r="O23" s="1">
        <v>3.6614022884389599E-11</v>
      </c>
      <c r="P23" s="1">
        <v>7.4007782541593104E-10</v>
      </c>
      <c r="Q23">
        <v>65.920973221548905</v>
      </c>
      <c r="S23">
        <v>20.8627769749531</v>
      </c>
      <c r="AA23">
        <v>1.83024671827163</v>
      </c>
      <c r="AB23">
        <v>9.2607593254318505</v>
      </c>
      <c r="AC23">
        <v>2.1252437597944098</v>
      </c>
      <c r="AJ23">
        <v>0.793524882076729</v>
      </c>
      <c r="AK23">
        <v>8.6663131675422694E-2</v>
      </c>
      <c r="AL23">
        <v>0.119811986247848</v>
      </c>
    </row>
    <row r="24" spans="1:38" x14ac:dyDescent="0.2">
      <c r="A24">
        <v>28</v>
      </c>
      <c r="B24">
        <v>745</v>
      </c>
      <c r="C24">
        <v>250</v>
      </c>
      <c r="D24">
        <v>0.32061140303491598</v>
      </c>
      <c r="E24">
        <v>12.6700858607913</v>
      </c>
      <c r="F24">
        <v>2.56545584232174</v>
      </c>
      <c r="G24">
        <v>-204.59282908042721</v>
      </c>
      <c r="H24">
        <v>-177.59158633122851</v>
      </c>
      <c r="I24">
        <v>26.519906447182301</v>
      </c>
      <c r="J24">
        <v>15.561862915837301</v>
      </c>
      <c r="K24">
        <v>4.9387269317896001</v>
      </c>
      <c r="L24">
        <v>3.2299263162667016E-5</v>
      </c>
      <c r="M24">
        <v>1.8291161242793153E-6</v>
      </c>
      <c r="N24" s="1">
        <v>-2.7193844924824802E-7</v>
      </c>
      <c r="O24" s="1">
        <v>4.3486134142233203E-11</v>
      </c>
      <c r="P24" s="1">
        <v>8.9381487943681301E-10</v>
      </c>
      <c r="Q24">
        <v>66.012801614405603</v>
      </c>
      <c r="S24">
        <v>20.754697170166999</v>
      </c>
      <c r="AA24">
        <v>1.71965287257588</v>
      </c>
      <c r="AB24">
        <v>9.1820487156912591</v>
      </c>
      <c r="AC24">
        <v>2.3307996271601801</v>
      </c>
      <c r="AJ24">
        <v>0.78708958403405505</v>
      </c>
      <c r="AK24">
        <v>8.1458451948899904E-2</v>
      </c>
      <c r="AL24">
        <v>0.13145196401704301</v>
      </c>
    </row>
    <row r="25" spans="1:38" x14ac:dyDescent="0.2">
      <c r="A25">
        <v>29</v>
      </c>
      <c r="B25">
        <v>744</v>
      </c>
      <c r="C25">
        <v>250</v>
      </c>
      <c r="D25">
        <v>0.31987464975667701</v>
      </c>
      <c r="E25">
        <v>14.9737823601545</v>
      </c>
      <c r="F25">
        <v>2.56318822256531</v>
      </c>
      <c r="G25">
        <v>-241.56157090291299</v>
      </c>
      <c r="H25">
        <v>-209.70272838678014</v>
      </c>
      <c r="I25">
        <v>31.3216757765647</v>
      </c>
      <c r="J25">
        <v>18.386911554758601</v>
      </c>
      <c r="K25">
        <v>5.8418582873981704</v>
      </c>
      <c r="L25">
        <v>3.228873332266177E-5</v>
      </c>
      <c r="M25">
        <v>1.8300964071055113E-6</v>
      </c>
      <c r="N25" s="1">
        <v>-3.2708759418467802E-7</v>
      </c>
      <c r="O25" s="1">
        <v>5.15370633013893E-11</v>
      </c>
      <c r="P25" s="1">
        <v>1.07217720964721E-9</v>
      </c>
      <c r="Q25">
        <v>66.102224144348199</v>
      </c>
      <c r="S25">
        <v>20.634695091103499</v>
      </c>
      <c r="AA25">
        <v>1.5997844037476601</v>
      </c>
      <c r="AB25">
        <v>9.0667209774243194</v>
      </c>
      <c r="AC25">
        <v>2.5965753833762002</v>
      </c>
      <c r="AJ25">
        <v>0.777650664783472</v>
      </c>
      <c r="AK25">
        <v>7.5823974565407806E-2</v>
      </c>
      <c r="AL25">
        <v>0.14652536065111901</v>
      </c>
    </row>
    <row r="26" spans="1:38" x14ac:dyDescent="0.2">
      <c r="A26">
        <v>30</v>
      </c>
      <c r="B26">
        <v>743</v>
      </c>
      <c r="C26">
        <v>250</v>
      </c>
      <c r="D26">
        <v>0.31913644639078897</v>
      </c>
      <c r="E26">
        <v>18.230346776062898</v>
      </c>
      <c r="F26">
        <v>2.5629781324146101</v>
      </c>
      <c r="G26">
        <v>-294.03428970797944</v>
      </c>
      <c r="H26">
        <v>-255.30711946847001</v>
      </c>
      <c r="I26">
        <v>38.111666820360497</v>
      </c>
      <c r="J26">
        <v>22.3964760938679</v>
      </c>
      <c r="K26">
        <v>7.1129544749130904</v>
      </c>
      <c r="L26">
        <v>3.2344266408846712E-5</v>
      </c>
      <c r="M26">
        <v>1.8305712837605687E-6</v>
      </c>
      <c r="N26" s="1">
        <v>-4.1064601162422402E-7</v>
      </c>
      <c r="O26" s="1">
        <v>6.2672970053735498E-11</v>
      </c>
      <c r="P26" s="1">
        <v>1.3407292507175901E-9</v>
      </c>
      <c r="Q26">
        <v>66.117970184518697</v>
      </c>
      <c r="S26">
        <v>20.618065894762701</v>
      </c>
      <c r="AA26">
        <v>1.5823910232855301</v>
      </c>
      <c r="AB26">
        <v>9.0582145835249701</v>
      </c>
      <c r="AC26">
        <v>2.6233583139079601</v>
      </c>
      <c r="AJ26">
        <v>0.776954177372013</v>
      </c>
      <c r="AK26">
        <v>7.5002787143990404E-2</v>
      </c>
      <c r="AL26">
        <v>0.148043035483995</v>
      </c>
    </row>
    <row r="27" spans="1:38" x14ac:dyDescent="0.2">
      <c r="A27">
        <v>31</v>
      </c>
      <c r="B27">
        <v>742</v>
      </c>
      <c r="C27">
        <v>250</v>
      </c>
      <c r="D27">
        <v>0.318396788651924</v>
      </c>
      <c r="E27">
        <v>26.468803896358899</v>
      </c>
      <c r="F27">
        <v>2.5626857318303902</v>
      </c>
      <c r="G27">
        <v>-426.83285420963728</v>
      </c>
      <c r="H27">
        <v>-370.69022338871281</v>
      </c>
      <c r="I27">
        <v>55.304763651602599</v>
      </c>
      <c r="J27">
        <v>32.537283123803</v>
      </c>
      <c r="K27">
        <v>10.3285407054003</v>
      </c>
      <c r="L27">
        <v>3.242052045861407E-5</v>
      </c>
      <c r="M27">
        <v>1.8315642369710367E-6</v>
      </c>
      <c r="N27" s="1">
        <v>-6.1609485797797905E-7</v>
      </c>
      <c r="O27" s="1">
        <v>9.0893893997253096E-11</v>
      </c>
      <c r="P27" s="1">
        <v>2.00323071534219E-9</v>
      </c>
      <c r="Q27">
        <v>66.153080385538701</v>
      </c>
      <c r="S27">
        <v>20.5911747036177</v>
      </c>
      <c r="AA27">
        <v>1.5520130298263299</v>
      </c>
      <c r="AB27">
        <v>9.0659570302841903</v>
      </c>
      <c r="AC27">
        <v>2.6377748507329799</v>
      </c>
      <c r="AJ27">
        <v>0.77758888737458598</v>
      </c>
      <c r="AK27">
        <v>7.3560139209146502E-2</v>
      </c>
      <c r="AL27">
        <v>0.14885097341626599</v>
      </c>
    </row>
    <row r="28" spans="1:38" x14ac:dyDescent="0.2">
      <c r="A28">
        <v>32</v>
      </c>
      <c r="B28">
        <v>741</v>
      </c>
      <c r="C28">
        <v>250</v>
      </c>
      <c r="D28">
        <v>0.31765567223783697</v>
      </c>
      <c r="E28">
        <v>28.6169360681433</v>
      </c>
      <c r="F28">
        <v>2.5627528018253201</v>
      </c>
      <c r="G28">
        <v>-461.42416912633536</v>
      </c>
      <c r="H28">
        <v>-400.8190002392584</v>
      </c>
      <c r="I28">
        <v>59.759570958020902</v>
      </c>
      <c r="J28">
        <v>35.200207267192802</v>
      </c>
      <c r="K28">
        <v>11.166483184706999</v>
      </c>
      <c r="L28">
        <v>3.2491926145228113E-5</v>
      </c>
      <c r="M28">
        <v>1.8320570728993043E-6</v>
      </c>
      <c r="N28" s="1">
        <v>-6.8840517791568802E-7</v>
      </c>
      <c r="O28" s="1">
        <v>9.8092532704165797E-11</v>
      </c>
      <c r="P28" s="1">
        <v>2.2293560869102198E-9</v>
      </c>
      <c r="Q28">
        <v>66.161399223516995</v>
      </c>
      <c r="S28">
        <v>20.5874607602609</v>
      </c>
      <c r="AA28">
        <v>1.54700790141277</v>
      </c>
      <c r="AB28">
        <v>9.0747585293250292</v>
      </c>
      <c r="AC28">
        <v>2.6293735854842399</v>
      </c>
      <c r="AJ28">
        <v>0.77830986513830902</v>
      </c>
      <c r="AK28">
        <v>7.3319716951474101E-2</v>
      </c>
      <c r="AL28">
        <v>0.14837041791021599</v>
      </c>
    </row>
    <row r="29" spans="1:38" x14ac:dyDescent="0.2">
      <c r="A29">
        <v>33</v>
      </c>
      <c r="B29">
        <v>740</v>
      </c>
      <c r="C29">
        <v>250</v>
      </c>
      <c r="D29">
        <v>0.31691309282929903</v>
      </c>
      <c r="E29">
        <v>29.830752506823</v>
      </c>
      <c r="F29">
        <v>2.56285434847632</v>
      </c>
      <c r="G29">
        <v>-480.94816506493675</v>
      </c>
      <c r="H29">
        <v>-417.87029654605516</v>
      </c>
      <c r="I29">
        <v>62.259160557549798</v>
      </c>
      <c r="J29">
        <v>36.717336759214398</v>
      </c>
      <c r="K29">
        <v>11.6396597116641</v>
      </c>
      <c r="L29">
        <v>3.2564783710862708E-5</v>
      </c>
      <c r="M29">
        <v>1.8325079135047055E-6</v>
      </c>
      <c r="N29" s="1">
        <v>-7.4167970333153398E-7</v>
      </c>
      <c r="O29" s="1">
        <v>1.0205511251614E-10</v>
      </c>
      <c r="P29" s="1">
        <v>2.3924394194458799E-9</v>
      </c>
      <c r="Q29">
        <v>66.167166130191902</v>
      </c>
      <c r="S29">
        <v>20.585952618612499</v>
      </c>
      <c r="AA29">
        <v>1.54441804027679</v>
      </c>
      <c r="AB29">
        <v>9.0836559822377598</v>
      </c>
      <c r="AC29">
        <v>2.6188072286810198</v>
      </c>
      <c r="AJ29">
        <v>0.77903859784450702</v>
      </c>
      <c r="AK29">
        <v>7.3193742469001802E-2</v>
      </c>
      <c r="AL29">
        <v>0.14776765968649</v>
      </c>
    </row>
    <row r="30" spans="1:38" x14ac:dyDescent="0.2">
      <c r="A30">
        <v>34</v>
      </c>
      <c r="B30">
        <v>739</v>
      </c>
      <c r="C30">
        <v>250</v>
      </c>
      <c r="D30">
        <v>0.31616904609000601</v>
      </c>
      <c r="E30">
        <v>30.518940934555101</v>
      </c>
      <c r="F30">
        <v>2.56297763192102</v>
      </c>
      <c r="G30">
        <v>-491.9968900457626</v>
      </c>
      <c r="H30">
        <v>-427.56409453808527</v>
      </c>
      <c r="I30">
        <v>63.659334592379899</v>
      </c>
      <c r="J30">
        <v>37.589901303827403</v>
      </c>
      <c r="K30">
        <v>11.907611113905901</v>
      </c>
      <c r="L30">
        <v>3.2639392573806467E-5</v>
      </c>
      <c r="M30">
        <v>1.8329344414023444E-6</v>
      </c>
      <c r="N30" s="1">
        <v>-7.8428165631190898E-7</v>
      </c>
      <c r="O30" s="1">
        <v>1.04196180159024E-10</v>
      </c>
      <c r="P30" s="1">
        <v>2.5201259888562898E-9</v>
      </c>
      <c r="Q30">
        <v>66.171315558318696</v>
      </c>
      <c r="S30">
        <v>20.5858347475885</v>
      </c>
      <c r="AA30">
        <v>1.5433525831480199</v>
      </c>
      <c r="AB30">
        <v>9.09259374612129</v>
      </c>
      <c r="AC30">
        <v>2.6069033648233999</v>
      </c>
      <c r="AJ30">
        <v>0.77977054173822202</v>
      </c>
      <c r="AK30">
        <v>7.3140004114798499E-2</v>
      </c>
      <c r="AL30">
        <v>0.14708945414697799</v>
      </c>
    </row>
    <row r="31" spans="1:38" x14ac:dyDescent="0.2">
      <c r="A31">
        <v>36</v>
      </c>
      <c r="B31">
        <v>762</v>
      </c>
      <c r="C31">
        <v>225</v>
      </c>
      <c r="D31">
        <v>0.35948461575617302</v>
      </c>
      <c r="E31">
        <v>0.25936487930300001</v>
      </c>
      <c r="F31">
        <v>2.5755320386669802</v>
      </c>
      <c r="G31">
        <v>-4.2137284243910198</v>
      </c>
      <c r="H31">
        <v>-3.6467673340129334</v>
      </c>
      <c r="I31">
        <v>0.54770911498631702</v>
      </c>
      <c r="J31">
        <v>0.31680242862805202</v>
      </c>
      <c r="K31">
        <v>0.100703417938159</v>
      </c>
      <c r="L31">
        <v>3.1399558990126155E-5</v>
      </c>
      <c r="M31">
        <v>1.8117040678726593E-6</v>
      </c>
      <c r="N31" s="1">
        <v>-3.2917281236462701E-9</v>
      </c>
      <c r="O31" s="1">
        <v>8.8931327688372799E-13</v>
      </c>
      <c r="P31" s="1">
        <v>1.1779319513636601E-11</v>
      </c>
      <c r="Q31">
        <v>65.157754850860101</v>
      </c>
      <c r="S31">
        <v>21.560153265821199</v>
      </c>
      <c r="AA31">
        <v>2.5836758717366402</v>
      </c>
      <c r="AB31">
        <v>9.3882307200997808</v>
      </c>
      <c r="AC31">
        <v>1.3101852914822101</v>
      </c>
      <c r="AJ31">
        <v>0.80392620750282295</v>
      </c>
      <c r="AK31">
        <v>0.122259116309636</v>
      </c>
      <c r="AL31">
        <v>7.3814676187539993E-2</v>
      </c>
    </row>
    <row r="32" spans="1:38" x14ac:dyDescent="0.2">
      <c r="A32">
        <v>37</v>
      </c>
      <c r="B32">
        <v>761</v>
      </c>
      <c r="C32">
        <v>225</v>
      </c>
      <c r="D32">
        <v>0.35879756321617101</v>
      </c>
      <c r="E32">
        <v>0.74483781993671605</v>
      </c>
      <c r="F32">
        <v>2.5750614655529298</v>
      </c>
      <c r="G32">
        <v>-12.098297412706518</v>
      </c>
      <c r="H32">
        <v>-10.472448417670217</v>
      </c>
      <c r="I32">
        <v>1.57215973991809</v>
      </c>
      <c r="J32">
        <v>0.91009656914139003</v>
      </c>
      <c r="K32">
        <v>0.28925050135717001</v>
      </c>
      <c r="L32">
        <v>3.1459537919029047E-5</v>
      </c>
      <c r="M32">
        <v>1.8131076246557483E-6</v>
      </c>
      <c r="N32" s="1">
        <v>-9.7625834588143306E-9</v>
      </c>
      <c r="O32" s="1">
        <v>2.55408963390261E-12</v>
      </c>
      <c r="P32" s="1">
        <v>3.4720774537767001E-11</v>
      </c>
      <c r="Q32">
        <v>65.213691417346496</v>
      </c>
      <c r="S32">
        <v>21.517232072451499</v>
      </c>
      <c r="AA32">
        <v>2.5352134146409702</v>
      </c>
      <c r="AB32">
        <v>9.4003588707614902</v>
      </c>
      <c r="AC32">
        <v>1.3335042247994</v>
      </c>
      <c r="AJ32">
        <v>0.804917200781468</v>
      </c>
      <c r="AK32">
        <v>0.11995879347444099</v>
      </c>
      <c r="AL32">
        <v>7.5124005744089603E-2</v>
      </c>
    </row>
    <row r="33" spans="1:38" x14ac:dyDescent="0.2">
      <c r="A33">
        <v>38</v>
      </c>
      <c r="B33">
        <v>760</v>
      </c>
      <c r="C33">
        <v>225</v>
      </c>
      <c r="D33">
        <v>0.35810918066108399</v>
      </c>
      <c r="E33">
        <v>1.2323300782189099</v>
      </c>
      <c r="F33">
        <v>2.57460079180589</v>
      </c>
      <c r="G33">
        <v>-20.012284098294504</v>
      </c>
      <c r="H33">
        <v>-17.326200488561085</v>
      </c>
      <c r="I33">
        <v>2.5998970234074501</v>
      </c>
      <c r="J33">
        <v>1.50627554705004</v>
      </c>
      <c r="K33">
        <v>0.47864899371623298</v>
      </c>
      <c r="L33">
        <v>3.1519513953707719E-5</v>
      </c>
      <c r="M33">
        <v>1.8144735604338553E-6</v>
      </c>
      <c r="N33" s="1">
        <v>-1.6679322790942799E-8</v>
      </c>
      <c r="O33" s="1">
        <v>4.2257998991299796E-12</v>
      </c>
      <c r="P33" s="1">
        <v>5.8965900605371501E-11</v>
      </c>
      <c r="Q33">
        <v>65.268007799435793</v>
      </c>
      <c r="S33">
        <v>21.475360796276501</v>
      </c>
      <c r="AA33">
        <v>2.4879951978610499</v>
      </c>
      <c r="AB33">
        <v>9.4116290217894498</v>
      </c>
      <c r="AC33">
        <v>1.3570071846370499</v>
      </c>
      <c r="AJ33">
        <v>0.80583801949628198</v>
      </c>
      <c r="AK33">
        <v>0.117718110184009</v>
      </c>
      <c r="AL33">
        <v>7.6443870319707605E-2</v>
      </c>
    </row>
    <row r="34" spans="1:38" x14ac:dyDescent="0.2">
      <c r="A34">
        <v>39</v>
      </c>
      <c r="B34">
        <v>759</v>
      </c>
      <c r="C34">
        <v>225</v>
      </c>
      <c r="D34">
        <v>0.35741946422516302</v>
      </c>
      <c r="E34">
        <v>1.72151277716255</v>
      </c>
      <c r="F34">
        <v>2.5741501075688902</v>
      </c>
      <c r="G34">
        <v>-27.950325588120034</v>
      </c>
      <c r="H34">
        <v>-24.203406386922307</v>
      </c>
      <c r="I34">
        <v>3.6302080135617101</v>
      </c>
      <c r="J34">
        <v>2.1049539151830898</v>
      </c>
      <c r="K34">
        <v>0.66876938221306803</v>
      </c>
      <c r="L34">
        <v>3.1579524305622576E-5</v>
      </c>
      <c r="M34">
        <v>1.8158022182614444E-6</v>
      </c>
      <c r="N34" s="1">
        <v>-2.4058673950053299E-8</v>
      </c>
      <c r="O34" s="1">
        <v>5.9030412091363502E-12</v>
      </c>
      <c r="P34" s="1">
        <v>8.4558833173566502E-11</v>
      </c>
      <c r="Q34">
        <v>65.320709345224103</v>
      </c>
      <c r="S34">
        <v>21.434539430665001</v>
      </c>
      <c r="AA34">
        <v>2.4420199680207801</v>
      </c>
      <c r="AB34">
        <v>9.4220530737443209</v>
      </c>
      <c r="AC34">
        <v>1.3806781823457399</v>
      </c>
      <c r="AJ34">
        <v>0.80668965820161898</v>
      </c>
      <c r="AK34">
        <v>0.11553696210825901</v>
      </c>
      <c r="AL34">
        <v>7.7773379690121297E-2</v>
      </c>
    </row>
    <row r="35" spans="1:38" x14ac:dyDescent="0.2">
      <c r="A35">
        <v>40</v>
      </c>
      <c r="B35">
        <v>758</v>
      </c>
      <c r="C35">
        <v>225</v>
      </c>
      <c r="D35">
        <v>0.356728410027642</v>
      </c>
      <c r="E35">
        <v>2.2120524143163598</v>
      </c>
      <c r="F35">
        <v>2.5737094771029101</v>
      </c>
      <c r="G35">
        <v>-35.906990110282756</v>
      </c>
      <c r="H35">
        <v>-31.099385786792912</v>
      </c>
      <c r="I35">
        <v>4.6623714527370899</v>
      </c>
      <c r="J35">
        <v>2.7057409794898701</v>
      </c>
      <c r="K35">
        <v>0.85948023038184795</v>
      </c>
      <c r="L35">
        <v>3.1639609801366114E-5</v>
      </c>
      <c r="M35">
        <v>1.8170940390757997E-6</v>
      </c>
      <c r="N35" s="1">
        <v>-3.1917748537629699E-8</v>
      </c>
      <c r="O35" s="1">
        <v>7.5843863398111399E-12</v>
      </c>
      <c r="P35" s="1">
        <v>1.11544649615279E-10</v>
      </c>
      <c r="Q35">
        <v>65.371805324794096</v>
      </c>
      <c r="S35">
        <v>21.3947653472563</v>
      </c>
      <c r="AA35">
        <v>2.3972833936486402</v>
      </c>
      <c r="AB35">
        <v>9.4316447939197197</v>
      </c>
      <c r="AC35">
        <v>1.4045011403811101</v>
      </c>
      <c r="AJ35">
        <v>0.80747326170324096</v>
      </c>
      <c r="AK35">
        <v>0.113415100282862</v>
      </c>
      <c r="AL35">
        <v>7.9111638013895202E-2</v>
      </c>
    </row>
    <row r="36" spans="1:38" x14ac:dyDescent="0.2">
      <c r="A36">
        <v>41</v>
      </c>
      <c r="B36">
        <v>757</v>
      </c>
      <c r="C36">
        <v>225</v>
      </c>
      <c r="D36">
        <v>0.35603601417269398</v>
      </c>
      <c r="E36">
        <v>2.7036131810887398</v>
      </c>
      <c r="F36">
        <v>2.5732789390383899</v>
      </c>
      <c r="G36">
        <v>-43.876814704424397</v>
      </c>
      <c r="H36">
        <v>-38.009427722495694</v>
      </c>
      <c r="I36">
        <v>5.6956627500157202</v>
      </c>
      <c r="J36">
        <v>3.3082436652543898</v>
      </c>
      <c r="K36">
        <v>1.05064909212642</v>
      </c>
      <c r="L36">
        <v>3.1699814807163827E-5</v>
      </c>
      <c r="M36">
        <v>1.8183495571168434E-6</v>
      </c>
      <c r="N36" s="1">
        <v>-4.02740780292875E-8</v>
      </c>
      <c r="O36" s="1">
        <v>9.2683923987498296E-12</v>
      </c>
      <c r="P36" s="1">
        <v>1.39969486879016E-10</v>
      </c>
      <c r="Q36">
        <v>65.421308767038497</v>
      </c>
      <c r="S36">
        <v>21.356033382801598</v>
      </c>
      <c r="AA36">
        <v>2.3537781748976299</v>
      </c>
      <c r="AB36">
        <v>9.4404196803759408</v>
      </c>
      <c r="AC36">
        <v>1.4284599948862</v>
      </c>
      <c r="AJ36">
        <v>0.80819011397775498</v>
      </c>
      <c r="AK36">
        <v>0.11135213646073699</v>
      </c>
      <c r="AL36">
        <v>8.0457749561506794E-2</v>
      </c>
    </row>
    <row r="37" spans="1:38" x14ac:dyDescent="0.2">
      <c r="A37">
        <v>42</v>
      </c>
      <c r="B37">
        <v>756</v>
      </c>
      <c r="C37">
        <v>225</v>
      </c>
      <c r="D37">
        <v>0.35534227274935698</v>
      </c>
      <c r="E37">
        <v>3.8650635127769899</v>
      </c>
      <c r="F37">
        <v>2.5722455989542001</v>
      </c>
      <c r="G37">
        <v>-62.702777941882267</v>
      </c>
      <c r="H37">
        <v>-54.326567129480871</v>
      </c>
      <c r="I37">
        <v>8.1389601247645</v>
      </c>
      <c r="J37">
        <v>4.7309945083631</v>
      </c>
      <c r="K37">
        <v>1.5026028285745301</v>
      </c>
      <c r="L37">
        <v>3.1767556540145914E-5</v>
      </c>
      <c r="M37">
        <v>1.8203834816211465E-6</v>
      </c>
      <c r="N37" s="1">
        <v>-5.93802121537823E-8</v>
      </c>
      <c r="O37" s="1">
        <v>1.32626098627308E-11</v>
      </c>
      <c r="P37" s="1">
        <v>2.0527602256176E-10</v>
      </c>
      <c r="Q37">
        <v>65.513013609812404</v>
      </c>
      <c r="S37">
        <v>21.278015803132998</v>
      </c>
      <c r="AA37">
        <v>2.2680148014591599</v>
      </c>
      <c r="AB37">
        <v>9.4402457774016906</v>
      </c>
      <c r="AC37">
        <v>1.50071000819367</v>
      </c>
      <c r="AJ37">
        <v>0.80817740663023097</v>
      </c>
      <c r="AK37">
        <v>0.107295146892183</v>
      </c>
      <c r="AL37">
        <v>8.4527446477585005E-2</v>
      </c>
    </row>
    <row r="38" spans="1:38" x14ac:dyDescent="0.2">
      <c r="A38">
        <v>43</v>
      </c>
      <c r="B38">
        <v>755</v>
      </c>
      <c r="C38">
        <v>225</v>
      </c>
      <c r="D38">
        <v>0.354647181831445</v>
      </c>
      <c r="E38">
        <v>5.28134139149115</v>
      </c>
      <c r="F38">
        <v>2.5709914134288301</v>
      </c>
      <c r="G38">
        <v>-85.641157377448295</v>
      </c>
      <c r="H38">
        <v>-74.211659898407177</v>
      </c>
      <c r="I38">
        <v>11.116566142139799</v>
      </c>
      <c r="J38">
        <v>6.4664331291878003</v>
      </c>
      <c r="K38">
        <v>2.0542042123927602</v>
      </c>
      <c r="L38">
        <v>3.183269965614557E-5</v>
      </c>
      <c r="M38">
        <v>1.8225403956207729E-6</v>
      </c>
      <c r="N38" s="1">
        <v>-8.3593554396277705E-8</v>
      </c>
      <c r="O38" s="1">
        <v>1.8146312863480801E-11</v>
      </c>
      <c r="P38" s="1">
        <v>2.8752088645075901E-10</v>
      </c>
      <c r="Q38">
        <v>65.614729922215204</v>
      </c>
      <c r="S38">
        <v>21.1880196811214</v>
      </c>
      <c r="AA38">
        <v>2.1700329683648798</v>
      </c>
      <c r="AB38">
        <v>9.4309785916330409</v>
      </c>
      <c r="AC38">
        <v>1.5962388366653999</v>
      </c>
      <c r="AJ38">
        <v>0.80742282029743695</v>
      </c>
      <c r="AK38">
        <v>0.10266475688026799</v>
      </c>
      <c r="AL38">
        <v>8.9912422822294003E-2</v>
      </c>
    </row>
    <row r="39" spans="1:38" x14ac:dyDescent="0.2">
      <c r="A39">
        <v>44</v>
      </c>
      <c r="B39">
        <v>754</v>
      </c>
      <c r="C39">
        <v>225</v>
      </c>
      <c r="D39">
        <v>0.35395073747748601</v>
      </c>
      <c r="E39">
        <v>6.7507124832203003</v>
      </c>
      <c r="F39">
        <v>2.5696978245861799</v>
      </c>
      <c r="G39">
        <v>-109.41645869470184</v>
      </c>
      <c r="H39">
        <v>-94.827787122304045</v>
      </c>
      <c r="I39">
        <v>14.203058533220799</v>
      </c>
      <c r="J39">
        <v>8.2675982476983005</v>
      </c>
      <c r="K39">
        <v>2.6270452574739598</v>
      </c>
      <c r="L39">
        <v>3.1891371044026711E-5</v>
      </c>
      <c r="M39">
        <v>1.824536218319664E-6</v>
      </c>
      <c r="N39" s="1">
        <v>-1.0997757176758599E-7</v>
      </c>
      <c r="O39" s="1">
        <v>2.3226057891117501E-11</v>
      </c>
      <c r="P39" s="1">
        <v>3.7645006674441401E-10</v>
      </c>
      <c r="Q39">
        <v>65.712064783682294</v>
      </c>
      <c r="S39">
        <v>21.098604829164199</v>
      </c>
      <c r="AA39">
        <v>2.0735530406948302</v>
      </c>
      <c r="AB39">
        <v>9.4134714523962195</v>
      </c>
      <c r="AC39">
        <v>1.7023058940623199</v>
      </c>
      <c r="AJ39">
        <v>0.80599556338396705</v>
      </c>
      <c r="AK39">
        <v>9.8108984529446705E-2</v>
      </c>
      <c r="AL39">
        <v>9.5895452086585897E-2</v>
      </c>
    </row>
    <row r="40" spans="1:38" x14ac:dyDescent="0.2">
      <c r="A40">
        <v>45</v>
      </c>
      <c r="B40">
        <v>753</v>
      </c>
      <c r="C40">
        <v>225</v>
      </c>
      <c r="D40">
        <v>0.35325293573064698</v>
      </c>
      <c r="E40">
        <v>8.2847883094026802</v>
      </c>
      <c r="F40">
        <v>2.5683490588497802</v>
      </c>
      <c r="G40">
        <v>-134.21240144353831</v>
      </c>
      <c r="H40">
        <v>-116.33431586802487</v>
      </c>
      <c r="I40">
        <v>17.4224875266904</v>
      </c>
      <c r="J40">
        <v>10.1484746870645</v>
      </c>
      <c r="K40">
        <v>3.22572521085314</v>
      </c>
      <c r="L40">
        <v>3.1942427721253083E-5</v>
      </c>
      <c r="M40">
        <v>1.8263593835459345E-6</v>
      </c>
      <c r="N40" s="1">
        <v>-1.38762732448193E-7</v>
      </c>
      <c r="O40" s="1">
        <v>2.8543829796714901E-11</v>
      </c>
      <c r="P40" s="1">
        <v>4.7281722652145302E-10</v>
      </c>
      <c r="Q40">
        <v>65.805061947238201</v>
      </c>
      <c r="S40">
        <v>21.009194390212102</v>
      </c>
      <c r="AA40">
        <v>1.9780888963065</v>
      </c>
      <c r="AB40">
        <v>9.3863095552087099</v>
      </c>
      <c r="AC40">
        <v>1.8213452110343999</v>
      </c>
      <c r="AJ40">
        <v>0.80377977396453404</v>
      </c>
      <c r="AK40">
        <v>9.3604945790653898E-2</v>
      </c>
      <c r="AL40">
        <v>0.10261528024481099</v>
      </c>
    </row>
    <row r="41" spans="1:38" x14ac:dyDescent="0.2">
      <c r="A41">
        <v>46</v>
      </c>
      <c r="B41">
        <v>752</v>
      </c>
      <c r="C41">
        <v>225</v>
      </c>
      <c r="D41">
        <v>0.35255377261864101</v>
      </c>
      <c r="E41">
        <v>9.9010840930079205</v>
      </c>
      <c r="F41">
        <v>2.5669222672486098</v>
      </c>
      <c r="G41">
        <v>-160.30645745954018</v>
      </c>
      <c r="H41">
        <v>-138.97186255300838</v>
      </c>
      <c r="I41">
        <v>20.811193392705199</v>
      </c>
      <c r="J41">
        <v>12.130154140473399</v>
      </c>
      <c r="K41">
        <v>3.8571811150403499</v>
      </c>
      <c r="L41">
        <v>3.1984255822506148E-5</v>
      </c>
      <c r="M41">
        <v>1.8279942090410372E-6</v>
      </c>
      <c r="N41" s="1">
        <v>-1.70261620023624E-7</v>
      </c>
      <c r="O41" s="1">
        <v>3.4163388349752002E-11</v>
      </c>
      <c r="P41" s="1">
        <v>5.7766071809920497E-10</v>
      </c>
      <c r="Q41">
        <v>65.893823752254804</v>
      </c>
      <c r="S41">
        <v>20.9189340139074</v>
      </c>
      <c r="AA41">
        <v>1.8829118079138301</v>
      </c>
      <c r="AB41">
        <v>9.3474811673383407</v>
      </c>
      <c r="AC41">
        <v>1.95684925858544</v>
      </c>
      <c r="AJ41">
        <v>0.80061050563774705</v>
      </c>
      <c r="AK41">
        <v>8.9118415254255595E-2</v>
      </c>
      <c r="AL41">
        <v>0.11027107910799699</v>
      </c>
    </row>
    <row r="42" spans="1:38" x14ac:dyDescent="0.2">
      <c r="A42">
        <v>47</v>
      </c>
      <c r="B42">
        <v>751</v>
      </c>
      <c r="C42">
        <v>225</v>
      </c>
      <c r="D42">
        <v>0.35185324415369101</v>
      </c>
      <c r="E42">
        <v>11.6274592428533</v>
      </c>
      <c r="F42">
        <v>2.5653828993725099</v>
      </c>
      <c r="G42">
        <v>-188.14039024927968</v>
      </c>
      <c r="H42">
        <v>-163.12342864985027</v>
      </c>
      <c r="I42">
        <v>24.4270483810275</v>
      </c>
      <c r="J42">
        <v>14.2461821107457</v>
      </c>
      <c r="K42">
        <v>4.5324459150707703</v>
      </c>
      <c r="L42">
        <v>3.2014430854342765E-5</v>
      </c>
      <c r="M42">
        <v>1.8294173630393371E-6</v>
      </c>
      <c r="N42" s="1">
        <v>-2.04929254640533E-7</v>
      </c>
      <c r="O42" s="1">
        <v>4.0186659355526398E-11</v>
      </c>
      <c r="P42" s="1">
        <v>6.9251399889088E-10</v>
      </c>
      <c r="Q42">
        <v>65.978520954074199</v>
      </c>
      <c r="S42">
        <v>20.826521396028799</v>
      </c>
      <c r="AA42">
        <v>1.7869075177748099</v>
      </c>
      <c r="AB42">
        <v>9.2939526480814401</v>
      </c>
      <c r="AC42">
        <v>2.1140974840406499</v>
      </c>
      <c r="AJ42">
        <v>0.79623875349953199</v>
      </c>
      <c r="AK42">
        <v>8.4597147998581299E-2</v>
      </c>
      <c r="AL42">
        <v>0.119164098501885</v>
      </c>
    </row>
    <row r="43" spans="1:38" x14ac:dyDescent="0.2">
      <c r="A43">
        <v>48</v>
      </c>
      <c r="B43">
        <v>750</v>
      </c>
      <c r="C43">
        <v>225</v>
      </c>
      <c r="D43">
        <v>0.35115134633240402</v>
      </c>
      <c r="E43">
        <v>13.511372495106601</v>
      </c>
      <c r="F43">
        <v>2.5636754236013601</v>
      </c>
      <c r="G43">
        <v>-218.46722963464342</v>
      </c>
      <c r="H43">
        <v>-189.44178208999747</v>
      </c>
      <c r="I43">
        <v>28.3687118649718</v>
      </c>
      <c r="J43">
        <v>16.5536961092543</v>
      </c>
      <c r="K43">
        <v>5.2703132271425899</v>
      </c>
      <c r="L43">
        <v>3.2029024345645055E-5</v>
      </c>
      <c r="M43">
        <v>1.8305905259917571E-6</v>
      </c>
      <c r="N43" s="1">
        <v>-2.4348683511666198E-7</v>
      </c>
      <c r="O43" s="1">
        <v>4.6787921162211103E-11</v>
      </c>
      <c r="P43" s="1">
        <v>8.19838430840386E-10</v>
      </c>
      <c r="Q43">
        <v>66.059403962191794</v>
      </c>
      <c r="S43">
        <v>20.729866082886002</v>
      </c>
      <c r="AA43">
        <v>1.68829295055805</v>
      </c>
      <c r="AB43">
        <v>9.2208016254459704</v>
      </c>
      <c r="AC43">
        <v>2.3016353789181099</v>
      </c>
      <c r="AJ43">
        <v>0.79026006716817399</v>
      </c>
      <c r="AK43">
        <v>7.9957637883804999E-2</v>
      </c>
      <c r="AL43">
        <v>0.12978229494801999</v>
      </c>
    </row>
    <row r="44" spans="1:38" x14ac:dyDescent="0.2">
      <c r="A44">
        <v>49</v>
      </c>
      <c r="B44">
        <v>749</v>
      </c>
      <c r="C44">
        <v>225</v>
      </c>
      <c r="D44">
        <v>0.350448075135744</v>
      </c>
      <c r="E44">
        <v>15.6418621086226</v>
      </c>
      <c r="F44">
        <v>2.5617024925163498</v>
      </c>
      <c r="G44">
        <v>-252.70021336057886</v>
      </c>
      <c r="H44">
        <v>-219.15187984220216</v>
      </c>
      <c r="I44">
        <v>32.821340819230699</v>
      </c>
      <c r="J44">
        <v>19.159861682857699</v>
      </c>
      <c r="K44">
        <v>6.1060416478174302</v>
      </c>
      <c r="L44">
        <v>3.2021010396939092E-5</v>
      </c>
      <c r="M44">
        <v>1.8314431500714843E-6</v>
      </c>
      <c r="N44" s="1">
        <v>-2.8720959746595601E-7</v>
      </c>
      <c r="O44" s="1">
        <v>5.4295058868249102E-11</v>
      </c>
      <c r="P44" s="1">
        <v>9.6403366893168201E-10</v>
      </c>
      <c r="Q44">
        <v>66.1368024363274</v>
      </c>
      <c r="S44">
        <v>20.625331004399101</v>
      </c>
      <c r="AA44">
        <v>1.58399056461812</v>
      </c>
      <c r="AB44">
        <v>9.1192276763760898</v>
      </c>
      <c r="AC44">
        <v>2.5346483182791801</v>
      </c>
      <c r="AJ44">
        <v>0.78195056533386798</v>
      </c>
      <c r="AK44">
        <v>7.5055862480399096E-2</v>
      </c>
      <c r="AL44">
        <v>0.142993572185731</v>
      </c>
    </row>
    <row r="45" spans="1:38" x14ac:dyDescent="0.2">
      <c r="A45">
        <v>50</v>
      </c>
      <c r="B45">
        <v>748</v>
      </c>
      <c r="C45">
        <v>225</v>
      </c>
      <c r="D45">
        <v>0.34974342652891699</v>
      </c>
      <c r="E45">
        <v>18.219424811205599</v>
      </c>
      <c r="F45">
        <v>2.55969249964076</v>
      </c>
      <c r="G45">
        <v>-294.07081994333561</v>
      </c>
      <c r="H45">
        <v>-255.05969810368643</v>
      </c>
      <c r="I45">
        <v>38.203125730450097</v>
      </c>
      <c r="J45">
        <v>22.309570871632499</v>
      </c>
      <c r="K45">
        <v>7.1178177901301201</v>
      </c>
      <c r="L45">
        <v>3.1992002655729262E-5</v>
      </c>
      <c r="M45">
        <v>1.8318059065710082E-6</v>
      </c>
      <c r="N45" s="1">
        <v>-3.3993694139446502E-7</v>
      </c>
      <c r="O45" s="1">
        <v>6.3397346695475095E-11</v>
      </c>
      <c r="P45" s="1">
        <v>1.1378840473150601E-9</v>
      </c>
      <c r="Q45">
        <v>66.198854504719094</v>
      </c>
      <c r="S45">
        <v>20.5256949096505</v>
      </c>
      <c r="AA45">
        <v>1.4873107644054799</v>
      </c>
      <c r="AB45">
        <v>8.9962984077284496</v>
      </c>
      <c r="AC45">
        <v>2.7918414134964</v>
      </c>
      <c r="AJ45">
        <v>0.77188228729729702</v>
      </c>
      <c r="AK45">
        <v>7.0517958997683497E-2</v>
      </c>
      <c r="AL45">
        <v>0.157599753705018</v>
      </c>
    </row>
    <row r="46" spans="1:38" x14ac:dyDescent="0.2">
      <c r="A46">
        <v>51</v>
      </c>
      <c r="B46">
        <v>747</v>
      </c>
      <c r="C46">
        <v>225</v>
      </c>
      <c r="D46">
        <v>0.34903739646130499</v>
      </c>
      <c r="E46">
        <v>24.444065031662699</v>
      </c>
      <c r="F46">
        <v>2.5601850549201299</v>
      </c>
      <c r="G46">
        <v>-394.53554082181432</v>
      </c>
      <c r="H46">
        <v>-342.27736062130174</v>
      </c>
      <c r="I46">
        <v>51.225976768624797</v>
      </c>
      <c r="J46">
        <v>29.947420595459199</v>
      </c>
      <c r="K46">
        <v>9.5477727224000493</v>
      </c>
      <c r="L46">
        <v>3.2044826667292827E-5</v>
      </c>
      <c r="M46">
        <v>1.8317149528720918E-6</v>
      </c>
      <c r="N46" s="1">
        <v>-4.7138162582949698E-7</v>
      </c>
      <c r="O46" s="1">
        <v>8.4872645803746E-11</v>
      </c>
      <c r="P46" s="1">
        <v>1.5705228787809501E-9</v>
      </c>
      <c r="Q46">
        <v>66.1771765418884</v>
      </c>
      <c r="S46">
        <v>20.548755488865002</v>
      </c>
      <c r="AA46">
        <v>1.51139423464867</v>
      </c>
      <c r="AB46">
        <v>9.0084465363767698</v>
      </c>
      <c r="AC46">
        <v>2.7542271982211202</v>
      </c>
      <c r="AJ46">
        <v>0.77287756404206498</v>
      </c>
      <c r="AK46">
        <v>7.1655469582380796E-2</v>
      </c>
      <c r="AL46">
        <v>0.15546696637555299</v>
      </c>
    </row>
    <row r="47" spans="1:38" x14ac:dyDescent="0.2">
      <c r="A47">
        <v>52</v>
      </c>
      <c r="B47">
        <v>746</v>
      </c>
      <c r="C47">
        <v>225</v>
      </c>
      <c r="D47">
        <v>0.34832998086640898</v>
      </c>
      <c r="E47">
        <v>27.608612493326799</v>
      </c>
      <c r="F47">
        <v>2.5604918366688501</v>
      </c>
      <c r="G47">
        <v>-445.58878583430197</v>
      </c>
      <c r="H47">
        <v>-386.65636375792303</v>
      </c>
      <c r="I47">
        <v>57.825071948563902</v>
      </c>
      <c r="J47">
        <v>33.842502377026896</v>
      </c>
      <c r="K47">
        <v>10.782542673225199</v>
      </c>
      <c r="L47">
        <v>3.2101750531354333E-5</v>
      </c>
      <c r="M47">
        <v>1.8318606186860434E-6</v>
      </c>
      <c r="N47" s="1">
        <v>-5.5019403081192003E-7</v>
      </c>
      <c r="O47" s="1">
        <v>9.5678431975447094E-11</v>
      </c>
      <c r="P47" s="1">
        <v>1.82476969479603E-9</v>
      </c>
      <c r="Q47">
        <v>66.168343925930898</v>
      </c>
      <c r="S47">
        <v>20.5602560245581</v>
      </c>
      <c r="AA47">
        <v>1.52294326453564</v>
      </c>
      <c r="AB47">
        <v>9.0189136747924792</v>
      </c>
      <c r="AC47">
        <v>2.72954311018285</v>
      </c>
      <c r="AJ47">
        <v>0.773735175558254</v>
      </c>
      <c r="AK47">
        <v>7.2199239992364994E-2</v>
      </c>
      <c r="AL47">
        <v>0.15406558444938001</v>
      </c>
    </row>
    <row r="48" spans="1:38" x14ac:dyDescent="0.2">
      <c r="A48">
        <v>53</v>
      </c>
      <c r="B48">
        <v>745</v>
      </c>
      <c r="C48">
        <v>225</v>
      </c>
      <c r="D48">
        <v>0.347621175661739</v>
      </c>
      <c r="E48">
        <v>28.962909786812201</v>
      </c>
      <c r="F48">
        <v>2.5607239456543698</v>
      </c>
      <c r="G48">
        <v>-467.41373324742545</v>
      </c>
      <c r="H48">
        <v>-405.68590765307499</v>
      </c>
      <c r="I48">
        <v>60.627437601876302</v>
      </c>
      <c r="J48">
        <v>35.522034872661798</v>
      </c>
      <c r="K48">
        <v>11.310438142292901</v>
      </c>
      <c r="L48">
        <v>3.2161439816804808E-5</v>
      </c>
      <c r="M48">
        <v>1.8321061882415668E-6</v>
      </c>
      <c r="N48" s="1">
        <v>-5.9645376650417797E-7</v>
      </c>
      <c r="O48" s="1">
        <v>1.0018895833594501E-10</v>
      </c>
      <c r="P48" s="1">
        <v>1.9693979631472302E-9</v>
      </c>
      <c r="Q48">
        <v>66.1647329100376</v>
      </c>
      <c r="S48">
        <v>20.567078534441801</v>
      </c>
      <c r="AA48">
        <v>1.52941448623958</v>
      </c>
      <c r="AB48">
        <v>9.0287528161362403</v>
      </c>
      <c r="AC48">
        <v>2.7100212531447099</v>
      </c>
      <c r="AJ48">
        <v>0.77454132412298704</v>
      </c>
      <c r="AK48">
        <v>7.2502472964776202E-2</v>
      </c>
      <c r="AL48">
        <v>0.152956202912235</v>
      </c>
    </row>
    <row r="49" spans="1:38" x14ac:dyDescent="0.2">
      <c r="A49">
        <v>54</v>
      </c>
      <c r="B49">
        <v>744</v>
      </c>
      <c r="C49">
        <v>225</v>
      </c>
      <c r="D49">
        <v>0.34691097674876298</v>
      </c>
      <c r="E49">
        <v>29.829998757176298</v>
      </c>
      <c r="F49">
        <v>2.5609226285486799</v>
      </c>
      <c r="G49">
        <v>-481.36976810722621</v>
      </c>
      <c r="H49">
        <v>-417.89214544633614</v>
      </c>
      <c r="I49">
        <v>62.407336834183802</v>
      </c>
      <c r="J49">
        <v>36.606128069302301</v>
      </c>
      <c r="K49">
        <v>11.648145252276301</v>
      </c>
      <c r="L49">
        <v>3.222338306623776E-5</v>
      </c>
      <c r="M49">
        <v>1.8323995524385264E-6</v>
      </c>
      <c r="N49" s="1">
        <v>-6.3483311644120305E-7</v>
      </c>
      <c r="O49" s="1">
        <v>1.0300071630597E-10</v>
      </c>
      <c r="P49" s="1">
        <v>2.0870016501792298E-9</v>
      </c>
      <c r="Q49">
        <v>66.1634647566691</v>
      </c>
      <c r="S49">
        <v>20.5717991637162</v>
      </c>
      <c r="AA49">
        <v>1.5336049599781501</v>
      </c>
      <c r="AB49">
        <v>9.0383025477167607</v>
      </c>
      <c r="AC49">
        <v>2.6928285719197</v>
      </c>
      <c r="AJ49">
        <v>0.77532371975196002</v>
      </c>
      <c r="AK49">
        <v>7.2697669831361195E-2</v>
      </c>
      <c r="AL49">
        <v>0.15197861041667701</v>
      </c>
    </row>
    <row r="50" spans="1:38" x14ac:dyDescent="0.2">
      <c r="A50">
        <v>55</v>
      </c>
      <c r="B50">
        <v>743</v>
      </c>
      <c r="C50">
        <v>225</v>
      </c>
      <c r="D50">
        <v>0.34619938001279399</v>
      </c>
      <c r="E50">
        <v>30.348584238759098</v>
      </c>
      <c r="F50">
        <v>2.5611003012814102</v>
      </c>
      <c r="G50">
        <v>-489.69788819393892</v>
      </c>
      <c r="H50">
        <v>-425.21658033832335</v>
      </c>
      <c r="I50">
        <v>63.456485612966098</v>
      </c>
      <c r="J50">
        <v>37.264187945654299</v>
      </c>
      <c r="K50">
        <v>11.8498226030329</v>
      </c>
      <c r="L50">
        <v>3.2287473471442816E-5</v>
      </c>
      <c r="M50">
        <v>1.8327252518947665E-6</v>
      </c>
      <c r="N50" s="1">
        <v>-6.6746743772067998E-7</v>
      </c>
      <c r="O50" s="1">
        <v>1.04598564704844E-10</v>
      </c>
      <c r="P50" s="1">
        <v>2.1849452247999701E-9</v>
      </c>
      <c r="Q50">
        <v>66.163676518907195</v>
      </c>
      <c r="S50">
        <v>20.5751918648293</v>
      </c>
      <c r="AA50">
        <v>1.53635456131165</v>
      </c>
      <c r="AB50">
        <v>9.0476688555595093</v>
      </c>
      <c r="AC50">
        <v>2.6771081993921699</v>
      </c>
      <c r="AJ50">
        <v>0.77609103817473502</v>
      </c>
      <c r="AK50">
        <v>7.2824618117721604E-2</v>
      </c>
      <c r="AL50">
        <v>0.15108434370754201</v>
      </c>
    </row>
    <row r="51" spans="1:38" x14ac:dyDescent="0.2">
      <c r="A51">
        <v>57</v>
      </c>
      <c r="B51">
        <v>771</v>
      </c>
      <c r="C51">
        <v>200</v>
      </c>
      <c r="D51">
        <v>0.391946080543984</v>
      </c>
      <c r="E51">
        <v>0.24190260993425999</v>
      </c>
      <c r="F51">
        <v>2.5738187795871901</v>
      </c>
      <c r="G51">
        <v>-3.9372144178260884</v>
      </c>
      <c r="H51">
        <v>-3.4010911464633908</v>
      </c>
      <c r="I51">
        <v>0.51345426553914297</v>
      </c>
      <c r="J51">
        <v>0.29480543911476698</v>
      </c>
      <c r="K51">
        <v>9.3985874939127398E-2</v>
      </c>
      <c r="L51">
        <v>3.1097389436658008E-5</v>
      </c>
      <c r="M51">
        <v>1.8115057302042874E-6</v>
      </c>
      <c r="N51" s="1">
        <v>-2.2847090467176801E-9</v>
      </c>
      <c r="O51" s="1">
        <v>8.3599271291378499E-13</v>
      </c>
      <c r="P51" s="1">
        <v>8.7042930981563304E-12</v>
      </c>
      <c r="Q51">
        <v>65.148134542151993</v>
      </c>
      <c r="S51">
        <v>21.570800705389001</v>
      </c>
      <c r="AA51">
        <v>2.5947048859201498</v>
      </c>
      <c r="AB51">
        <v>9.3947060250528907</v>
      </c>
      <c r="AC51">
        <v>1.2916538414858101</v>
      </c>
      <c r="AJ51">
        <v>0.80445468463967096</v>
      </c>
      <c r="AK51">
        <v>0.12277703752821099</v>
      </c>
      <c r="AL51">
        <v>7.2768277832116604E-2</v>
      </c>
    </row>
    <row r="52" spans="1:38" x14ac:dyDescent="0.2">
      <c r="A52">
        <v>58</v>
      </c>
      <c r="B52">
        <v>770</v>
      </c>
      <c r="C52">
        <v>200</v>
      </c>
      <c r="D52">
        <v>0.39129607439006903</v>
      </c>
      <c r="E52">
        <v>0.70858940724432296</v>
      </c>
      <c r="F52">
        <v>2.5733704475239199</v>
      </c>
      <c r="G52">
        <v>-11.530611693539493</v>
      </c>
      <c r="H52">
        <v>-9.9624118439230944</v>
      </c>
      <c r="I52">
        <v>1.5033311121280599</v>
      </c>
      <c r="J52">
        <v>0.86376751836274901</v>
      </c>
      <c r="K52">
        <v>0.27535460661177702</v>
      </c>
      <c r="L52">
        <v>3.1147676427373016E-5</v>
      </c>
      <c r="M52">
        <v>1.8128407971242402E-6</v>
      </c>
      <c r="N52" s="1">
        <v>-6.9112830449705796E-9</v>
      </c>
      <c r="O52" s="1">
        <v>2.4494994708878498E-12</v>
      </c>
      <c r="P52" s="1">
        <v>2.6132052573033302E-11</v>
      </c>
      <c r="Q52">
        <v>65.202011664483805</v>
      </c>
      <c r="S52">
        <v>21.529580675644699</v>
      </c>
      <c r="AA52">
        <v>2.5481264493730298</v>
      </c>
      <c r="AB52">
        <v>9.40670463644914</v>
      </c>
      <c r="AC52">
        <v>1.31357657404923</v>
      </c>
      <c r="AJ52">
        <v>0.80543500771082099</v>
      </c>
      <c r="AK52">
        <v>0.12056597440929499</v>
      </c>
      <c r="AL52">
        <v>7.3999017879883097E-2</v>
      </c>
    </row>
    <row r="53" spans="1:38" x14ac:dyDescent="0.2">
      <c r="A53">
        <v>59</v>
      </c>
      <c r="B53">
        <v>769</v>
      </c>
      <c r="C53">
        <v>200</v>
      </c>
      <c r="D53">
        <v>0.390644820803149</v>
      </c>
      <c r="E53">
        <v>1.1769955116195201</v>
      </c>
      <c r="F53">
        <v>2.57293143669524</v>
      </c>
      <c r="G53">
        <v>-19.148802177278668</v>
      </c>
      <c r="H53">
        <v>-16.547672791673957</v>
      </c>
      <c r="I53">
        <v>2.4959261004698998</v>
      </c>
      <c r="J53">
        <v>1.43511423386201</v>
      </c>
      <c r="K53">
        <v>0.45745311936150801</v>
      </c>
      <c r="L53">
        <v>3.1197790311333256E-5</v>
      </c>
      <c r="M53">
        <v>1.8141405206610124E-6</v>
      </c>
      <c r="N53" s="1">
        <v>-1.18535804740084E-8</v>
      </c>
      <c r="O53" s="1">
        <v>4.0696715520988501E-12</v>
      </c>
      <c r="P53" s="1">
        <v>4.44902705402371E-11</v>
      </c>
      <c r="Q53">
        <v>65.254384433725306</v>
      </c>
      <c r="S53">
        <v>21.4893387949298</v>
      </c>
      <c r="AA53">
        <v>2.5027060160185002</v>
      </c>
      <c r="AB53">
        <v>9.4179152224928799</v>
      </c>
      <c r="AC53">
        <v>1.33565553283331</v>
      </c>
      <c r="AJ53">
        <v>0.80635087593990495</v>
      </c>
      <c r="AK53">
        <v>0.118410417733207</v>
      </c>
      <c r="AL53">
        <v>7.5238706326886604E-2</v>
      </c>
    </row>
    <row r="54" spans="1:38" x14ac:dyDescent="0.2">
      <c r="A54">
        <v>60</v>
      </c>
      <c r="B54">
        <v>768</v>
      </c>
      <c r="C54">
        <v>200</v>
      </c>
      <c r="D54">
        <v>0.38999231618883101</v>
      </c>
      <c r="E54">
        <v>1.6468333524957699</v>
      </c>
      <c r="F54">
        <v>2.5725018155858002</v>
      </c>
      <c r="G54">
        <v>-26.787089590267193</v>
      </c>
      <c r="H54">
        <v>-23.152838210823116</v>
      </c>
      <c r="I54">
        <v>3.4906126681497098</v>
      </c>
      <c r="J54">
        <v>2.0085056445335501</v>
      </c>
      <c r="K54">
        <v>0.64016800397117002</v>
      </c>
      <c r="L54">
        <v>3.1247759293228302E-5</v>
      </c>
      <c r="M54">
        <v>1.8154052146112964E-6</v>
      </c>
      <c r="N54" s="1">
        <v>-1.7122883164649599E-8</v>
      </c>
      <c r="O54" s="1">
        <v>5.69530360954789E-12</v>
      </c>
      <c r="P54" s="1">
        <v>6.3808421721573E-11</v>
      </c>
      <c r="Q54">
        <v>65.305258696142303</v>
      </c>
      <c r="S54">
        <v>21.450074229634399</v>
      </c>
      <c r="AA54">
        <v>2.45844153397351</v>
      </c>
      <c r="AB54">
        <v>9.4283486258564206</v>
      </c>
      <c r="AC54">
        <v>1.3578769143932099</v>
      </c>
      <c r="AJ54">
        <v>0.80720319549369801</v>
      </c>
      <c r="AK54">
        <v>0.116310229994154</v>
      </c>
      <c r="AL54">
        <v>7.6486574512147104E-2</v>
      </c>
    </row>
    <row r="55" spans="1:38" x14ac:dyDescent="0.2">
      <c r="A55">
        <v>61</v>
      </c>
      <c r="B55">
        <v>767</v>
      </c>
      <c r="C55">
        <v>200</v>
      </c>
      <c r="D55">
        <v>0.38933855693890601</v>
      </c>
      <c r="E55">
        <v>2.11781191328128</v>
      </c>
      <c r="F55">
        <v>2.5720816304781402</v>
      </c>
      <c r="G55">
        <v>-34.44072688414451</v>
      </c>
      <c r="H55">
        <v>-29.773825321910856</v>
      </c>
      <c r="I55">
        <v>4.4867582197122102</v>
      </c>
      <c r="J55">
        <v>2.5835979191566398</v>
      </c>
      <c r="K55">
        <v>0.82338440902732302</v>
      </c>
      <c r="L55">
        <v>3.1297614381263016E-5</v>
      </c>
      <c r="M55">
        <v>1.8166352741567881E-6</v>
      </c>
      <c r="N55" s="1">
        <v>-2.2730736038707601E-8</v>
      </c>
      <c r="O55" s="1">
        <v>7.3251718644750196E-12</v>
      </c>
      <c r="P55" s="1">
        <v>8.4116637747796096E-11</v>
      </c>
      <c r="Q55">
        <v>65.354643596646596</v>
      </c>
      <c r="S55">
        <v>21.411783929953501</v>
      </c>
      <c r="AA55">
        <v>2.41532835327759</v>
      </c>
      <c r="AB55">
        <v>9.4380172300254497</v>
      </c>
      <c r="AC55">
        <v>1.38022689009677</v>
      </c>
      <c r="AJ55">
        <v>0.80799299648382905</v>
      </c>
      <c r="AK55">
        <v>0.11426515166675601</v>
      </c>
      <c r="AL55">
        <v>7.7741851849414498E-2</v>
      </c>
    </row>
    <row r="56" spans="1:38" x14ac:dyDescent="0.2">
      <c r="A56">
        <v>62</v>
      </c>
      <c r="B56">
        <v>766</v>
      </c>
      <c r="C56">
        <v>200</v>
      </c>
      <c r="D56">
        <v>0.38868353943126899</v>
      </c>
      <c r="E56">
        <v>2.58963858691367</v>
      </c>
      <c r="F56">
        <v>2.57167090573274</v>
      </c>
      <c r="G56">
        <v>-42.104946437306339</v>
      </c>
      <c r="H56">
        <v>-36.406530357162907</v>
      </c>
      <c r="I56">
        <v>5.4837281240854798</v>
      </c>
      <c r="J56">
        <v>3.16004562458218</v>
      </c>
      <c r="K56">
        <v>1.0069867731290501</v>
      </c>
      <c r="L56">
        <v>3.1347389318288995E-5</v>
      </c>
      <c r="M56">
        <v>1.8178311719782219E-6</v>
      </c>
      <c r="N56" s="1">
        <v>-2.8688973516624302E-8</v>
      </c>
      <c r="O56" s="1">
        <v>8.9580410884063002E-12</v>
      </c>
      <c r="P56" s="1">
        <v>1.05445795725787E-10</v>
      </c>
      <c r="Q56">
        <v>65.402551438952102</v>
      </c>
      <c r="S56">
        <v>21.374462705967499</v>
      </c>
      <c r="AA56">
        <v>2.3733593212905699</v>
      </c>
      <c r="AB56">
        <v>9.4469348471181007</v>
      </c>
      <c r="AC56">
        <v>1.40269168667158</v>
      </c>
      <c r="AJ56">
        <v>0.80872142382515999</v>
      </c>
      <c r="AK56">
        <v>0.112274805848063</v>
      </c>
      <c r="AL56">
        <v>7.9003770326776301E-2</v>
      </c>
    </row>
    <row r="57" spans="1:38" x14ac:dyDescent="0.2">
      <c r="A57">
        <v>63</v>
      </c>
      <c r="B57">
        <v>765</v>
      </c>
      <c r="C57">
        <v>200</v>
      </c>
      <c r="D57">
        <v>0.38802726002986099</v>
      </c>
      <c r="E57">
        <v>3.06202099452514</v>
      </c>
      <c r="F57">
        <v>2.5712696442943699</v>
      </c>
      <c r="G57">
        <v>-49.774989599728215</v>
      </c>
      <c r="H57">
        <v>-43.046854041100076</v>
      </c>
      <c r="I57">
        <v>6.4808896196389103</v>
      </c>
      <c r="J57">
        <v>3.7375039705934201</v>
      </c>
      <c r="K57">
        <v>1.1908595433853999</v>
      </c>
      <c r="L57">
        <v>3.1397120497858454E-5</v>
      </c>
      <c r="M57">
        <v>1.8189934537333405E-6</v>
      </c>
      <c r="N57" s="1">
        <v>-3.5009748787929403E-8</v>
      </c>
      <c r="O57" s="1">
        <v>1.05926714515924E-11</v>
      </c>
      <c r="P57" s="1">
        <v>1.27827614599046E-10</v>
      </c>
      <c r="Q57">
        <v>65.448997517708307</v>
      </c>
      <c r="S57">
        <v>21.338103323483899</v>
      </c>
      <c r="AA57">
        <v>2.3325249009321101</v>
      </c>
      <c r="AB57">
        <v>9.4551165950640605</v>
      </c>
      <c r="AC57">
        <v>1.4252576628114799</v>
      </c>
      <c r="AJ57">
        <v>0.80938972724269798</v>
      </c>
      <c r="AK57">
        <v>0.110338703965583</v>
      </c>
      <c r="AL57">
        <v>8.0271568791717401E-2</v>
      </c>
    </row>
    <row r="58" spans="1:38" x14ac:dyDescent="0.2">
      <c r="A58">
        <v>64</v>
      </c>
      <c r="B58">
        <v>764</v>
      </c>
      <c r="C58">
        <v>200</v>
      </c>
      <c r="D58">
        <v>0.38736971508460899</v>
      </c>
      <c r="E58">
        <v>3.5346687390669498</v>
      </c>
      <c r="F58">
        <v>2.5708778284039302</v>
      </c>
      <c r="G58">
        <v>-57.446135131128166</v>
      </c>
      <c r="H58">
        <v>-49.690726145861753</v>
      </c>
      <c r="I58">
        <v>7.4776155669540696</v>
      </c>
      <c r="J58">
        <v>4.3156309768959096</v>
      </c>
      <c r="K58">
        <v>1.37488786904407</v>
      </c>
      <c r="L58">
        <v>3.1446846868490776E-5</v>
      </c>
      <c r="M58">
        <v>1.8201227330210805E-6</v>
      </c>
      <c r="N58" s="1">
        <v>-4.1705565705292002E-8</v>
      </c>
      <c r="O58" s="1">
        <v>1.2227825129294899E-11</v>
      </c>
      <c r="P58" s="1">
        <v>1.51294758333238E-10</v>
      </c>
      <c r="Q58">
        <v>65.493999927297693</v>
      </c>
      <c r="S58">
        <v>21.302696616819301</v>
      </c>
      <c r="AA58">
        <v>2.2928133083427502</v>
      </c>
      <c r="AB58">
        <v>9.4625787671937793</v>
      </c>
      <c r="AC58">
        <v>1.4479113803464401</v>
      </c>
      <c r="AJ58">
        <v>0.80999925067441003</v>
      </c>
      <c r="AK58">
        <v>0.10845625238831701</v>
      </c>
      <c r="AL58">
        <v>8.1544496937271393E-2</v>
      </c>
    </row>
    <row r="59" spans="1:38" x14ac:dyDescent="0.2">
      <c r="A59">
        <v>65</v>
      </c>
      <c r="B59">
        <v>763</v>
      </c>
      <c r="C59">
        <v>200</v>
      </c>
      <c r="D59">
        <v>0.38671090093133698</v>
      </c>
      <c r="E59">
        <v>4.0072950697391798</v>
      </c>
      <c r="F59">
        <v>2.5704954205063801</v>
      </c>
      <c r="G59">
        <v>-65.11372614353705</v>
      </c>
      <c r="H59">
        <v>-56.334128784228419</v>
      </c>
      <c r="I59">
        <v>8.4732879981746105</v>
      </c>
      <c r="J59">
        <v>4.8940895326112202</v>
      </c>
      <c r="K59">
        <v>1.5589582606413499</v>
      </c>
      <c r="L59">
        <v>3.1496609829363695E-5</v>
      </c>
      <c r="M59">
        <v>1.821219685938468E-6</v>
      </c>
      <c r="N59" s="1">
        <v>-4.8789313043305398E-8</v>
      </c>
      <c r="O59" s="1">
        <v>1.3862272571840999E-11</v>
      </c>
      <c r="P59" s="1">
        <v>1.7588094493377601E-10</v>
      </c>
      <c r="Q59">
        <v>65.537579351146306</v>
      </c>
      <c r="S59">
        <v>21.268231616487299</v>
      </c>
      <c r="AA59">
        <v>2.2542106673893199</v>
      </c>
      <c r="AB59">
        <v>9.4693386974790492</v>
      </c>
      <c r="AC59">
        <v>1.47063966749796</v>
      </c>
      <c r="AJ59">
        <v>0.81055142133264002</v>
      </c>
      <c r="AK59">
        <v>0.106626759818017</v>
      </c>
      <c r="AL59">
        <v>8.2821818849342005E-2</v>
      </c>
    </row>
    <row r="60" spans="1:38" x14ac:dyDescent="0.2">
      <c r="A60">
        <v>66</v>
      </c>
      <c r="B60">
        <v>762</v>
      </c>
      <c r="C60">
        <v>200</v>
      </c>
      <c r="D60">
        <v>0.38605081389170998</v>
      </c>
      <c r="E60">
        <v>4.4796184385061197</v>
      </c>
      <c r="F60">
        <v>2.5701223642943201</v>
      </c>
      <c r="G60">
        <v>-72.773195247412872</v>
      </c>
      <c r="H60">
        <v>-62.973118178752763</v>
      </c>
      <c r="I60">
        <v>9.4673014236198796</v>
      </c>
      <c r="J60">
        <v>5.4725493252256898</v>
      </c>
      <c r="K60">
        <v>1.7429592072111599</v>
      </c>
      <c r="L60">
        <v>3.1546453119335753E-5</v>
      </c>
      <c r="M60">
        <v>1.8222850453531043E-6</v>
      </c>
      <c r="N60" s="1">
        <v>-5.6274300848149E-8</v>
      </c>
      <c r="O60" s="1">
        <v>1.5494798365497102E-11</v>
      </c>
      <c r="P60" s="1">
        <v>2.0162106030182599E-10</v>
      </c>
      <c r="Q60">
        <v>65.579758837324505</v>
      </c>
      <c r="S60">
        <v>21.234695687055002</v>
      </c>
      <c r="AA60">
        <v>2.2167011757580601</v>
      </c>
      <c r="AB60">
        <v>9.4754146218784605</v>
      </c>
      <c r="AC60">
        <v>1.49342967798389</v>
      </c>
      <c r="AJ60">
        <v>0.81104773845923905</v>
      </c>
      <c r="AK60">
        <v>0.10484944521301499</v>
      </c>
      <c r="AL60">
        <v>8.41028163277448E-2</v>
      </c>
    </row>
    <row r="61" spans="1:38" x14ac:dyDescent="0.2">
      <c r="A61">
        <v>67</v>
      </c>
      <c r="B61">
        <v>761</v>
      </c>
      <c r="C61">
        <v>200</v>
      </c>
      <c r="D61">
        <v>0.38538945027317301</v>
      </c>
      <c r="E61">
        <v>5.6419021474637203</v>
      </c>
      <c r="F61">
        <v>2.56915126639203</v>
      </c>
      <c r="G61">
        <v>-91.621010411203486</v>
      </c>
      <c r="H61">
        <v>-79.295662286634197</v>
      </c>
      <c r="I61">
        <v>11.9183369187925</v>
      </c>
      <c r="J61">
        <v>6.89406595024679</v>
      </c>
      <c r="K61">
        <v>2.1960178916934199</v>
      </c>
      <c r="L61">
        <v>3.1600709731542548E-5</v>
      </c>
      <c r="M61">
        <v>1.824036321943565E-6</v>
      </c>
      <c r="N61" s="1">
        <v>-7.3025105334704703E-8</v>
      </c>
      <c r="O61" s="1">
        <v>1.9534298022071E-11</v>
      </c>
      <c r="P61" s="1">
        <v>2.6011709993483102E-10</v>
      </c>
      <c r="Q61">
        <v>65.66089241409</v>
      </c>
      <c r="S61">
        <v>21.163504610805401</v>
      </c>
      <c r="AA61">
        <v>2.1390363979426401</v>
      </c>
      <c r="AB61">
        <v>9.4695797856322894</v>
      </c>
      <c r="AC61">
        <v>1.5669867915295099</v>
      </c>
      <c r="AJ61">
        <v>0.81057308796018002</v>
      </c>
      <c r="AK61">
        <v>0.101179012854431</v>
      </c>
      <c r="AL61">
        <v>8.8247899185388196E-2</v>
      </c>
    </row>
    <row r="62" spans="1:38" x14ac:dyDescent="0.2">
      <c r="A62">
        <v>68</v>
      </c>
      <c r="B62">
        <v>760</v>
      </c>
      <c r="C62">
        <v>200</v>
      </c>
      <c r="D62">
        <v>0.38472680636887402</v>
      </c>
      <c r="E62">
        <v>7.06321824781753</v>
      </c>
      <c r="F62">
        <v>2.5679614424675301</v>
      </c>
      <c r="G62">
        <v>-114.65128534652959</v>
      </c>
      <c r="H62">
        <v>-99.242752619643795</v>
      </c>
      <c r="I62">
        <v>14.9141293392883</v>
      </c>
      <c r="J62">
        <v>8.6324288069063293</v>
      </c>
      <c r="K62">
        <v>2.7505156935029902</v>
      </c>
      <c r="L62">
        <v>3.1651363973633607E-5</v>
      </c>
      <c r="M62">
        <v>1.8258811202074789E-6</v>
      </c>
      <c r="N62" s="1">
        <v>-9.4080045663018398E-8</v>
      </c>
      <c r="O62" s="1">
        <v>2.4488262629176201E-11</v>
      </c>
      <c r="P62" s="1">
        <v>3.3327295737564799E-10</v>
      </c>
      <c r="Q62">
        <v>65.750972609755493</v>
      </c>
      <c r="S62">
        <v>21.0808717737793</v>
      </c>
      <c r="AA62">
        <v>2.0498444791201198</v>
      </c>
      <c r="AB62">
        <v>9.4536859464998493</v>
      </c>
      <c r="AC62">
        <v>1.6646251908451799</v>
      </c>
      <c r="AJ62">
        <v>0.80927789357064495</v>
      </c>
      <c r="AK62">
        <v>9.6967948886627298E-2</v>
      </c>
      <c r="AL62">
        <v>9.3754157542727007E-2</v>
      </c>
    </row>
    <row r="63" spans="1:38" x14ac:dyDescent="0.2">
      <c r="A63">
        <v>69</v>
      </c>
      <c r="B63">
        <v>759</v>
      </c>
      <c r="C63">
        <v>200</v>
      </c>
      <c r="D63">
        <v>0.38406287845759102</v>
      </c>
      <c r="E63">
        <v>8.5343992654317695</v>
      </c>
      <c r="F63">
        <v>2.5667330595375502</v>
      </c>
      <c r="G63">
        <v>-138.46587874761582</v>
      </c>
      <c r="H63">
        <v>-119.87465727639071</v>
      </c>
      <c r="I63">
        <v>18.0121314452599</v>
      </c>
      <c r="J63">
        <v>10.4320149859082</v>
      </c>
      <c r="K63">
        <v>3.32500461382977</v>
      </c>
      <c r="L63">
        <v>3.1695602371842999E-5</v>
      </c>
      <c r="M63">
        <v>1.8275669122315554E-6</v>
      </c>
      <c r="N63" s="1">
        <v>-1.16865501828587E-7</v>
      </c>
      <c r="O63" s="1">
        <v>2.9629340162288499E-11</v>
      </c>
      <c r="P63" s="1">
        <v>4.1182659644212601E-10</v>
      </c>
      <c r="Q63">
        <v>65.836702894036804</v>
      </c>
      <c r="S63">
        <v>20.998813221515</v>
      </c>
      <c r="AA63">
        <v>1.96214134346078</v>
      </c>
      <c r="AB63">
        <v>9.4296041252461205</v>
      </c>
      <c r="AC63">
        <v>1.77273841574123</v>
      </c>
      <c r="AJ63">
        <v>0.80731423953496095</v>
      </c>
      <c r="AK63">
        <v>9.2830402013782204E-2</v>
      </c>
      <c r="AL63">
        <v>9.9855358451255899E-2</v>
      </c>
    </row>
    <row r="64" spans="1:38" x14ac:dyDescent="0.2">
      <c r="A64">
        <v>70</v>
      </c>
      <c r="B64">
        <v>758</v>
      </c>
      <c r="C64">
        <v>200</v>
      </c>
      <c r="D64">
        <v>0.383397662803666</v>
      </c>
      <c r="E64">
        <v>10.067201263093899</v>
      </c>
      <c r="F64">
        <v>2.5654506081864001</v>
      </c>
      <c r="G64">
        <v>-163.25093656279591</v>
      </c>
      <c r="H64">
        <v>-141.35264641205586</v>
      </c>
      <c r="I64">
        <v>21.2367649233768</v>
      </c>
      <c r="J64">
        <v>12.306922522821999</v>
      </c>
      <c r="K64">
        <v>3.92414542340798</v>
      </c>
      <c r="L64">
        <v>3.1732372501025143E-5</v>
      </c>
      <c r="M64">
        <v>1.829083225477402E-6</v>
      </c>
      <c r="N64" s="1">
        <v>-1.41559766896836E-7</v>
      </c>
      <c r="O64" s="1">
        <v>3.5000520999646198E-11</v>
      </c>
      <c r="P64" s="1">
        <v>4.96384350617738E-10</v>
      </c>
      <c r="Q64">
        <v>65.918151405100204</v>
      </c>
      <c r="S64">
        <v>20.916747251489699</v>
      </c>
      <c r="AA64">
        <v>1.8754311813173701</v>
      </c>
      <c r="AB64">
        <v>9.3959611553310403</v>
      </c>
      <c r="AC64">
        <v>1.8937090067615601</v>
      </c>
      <c r="AJ64">
        <v>0.80456954623729704</v>
      </c>
      <c r="AK64">
        <v>8.8743039637697196E-2</v>
      </c>
      <c r="AL64">
        <v>0.106687414125005</v>
      </c>
    </row>
    <row r="65" spans="1:38" x14ac:dyDescent="0.2">
      <c r="A65">
        <v>71</v>
      </c>
      <c r="B65">
        <v>757</v>
      </c>
      <c r="C65">
        <v>200</v>
      </c>
      <c r="D65">
        <v>0.38273115565694399</v>
      </c>
      <c r="E65">
        <v>11.6793725567689</v>
      </c>
      <c r="F65">
        <v>2.5640920644546799</v>
      </c>
      <c r="G65">
        <v>-189.28784775304413</v>
      </c>
      <c r="H65">
        <v>-163.92044727970722</v>
      </c>
      <c r="I65">
        <v>24.624957989940199</v>
      </c>
      <c r="J65">
        <v>14.2784461017671</v>
      </c>
      <c r="K65">
        <v>4.5549739491326902</v>
      </c>
      <c r="L65">
        <v>3.1760180320464751E-5</v>
      </c>
      <c r="M65">
        <v>1.8304151794981979E-6</v>
      </c>
      <c r="N65" s="1">
        <v>-1.68408081858529E-7</v>
      </c>
      <c r="O65" s="1">
        <v>4.0667061272816299E-11</v>
      </c>
      <c r="P65" s="1">
        <v>5.8779454670655195E-10</v>
      </c>
      <c r="Q65">
        <v>65.995417225025705</v>
      </c>
      <c r="S65">
        <v>20.8338449690721</v>
      </c>
      <c r="AA65">
        <v>1.7890070266832301</v>
      </c>
      <c r="AB65">
        <v>9.3508047808174606</v>
      </c>
      <c r="AC65">
        <v>2.0309259984014001</v>
      </c>
      <c r="AJ65">
        <v>0.80088358597787601</v>
      </c>
      <c r="AK65">
        <v>8.4672667021012504E-2</v>
      </c>
      <c r="AL65">
        <v>0.114443747001111</v>
      </c>
    </row>
    <row r="66" spans="1:38" x14ac:dyDescent="0.2">
      <c r="A66">
        <v>72</v>
      </c>
      <c r="B66">
        <v>756</v>
      </c>
      <c r="C66">
        <v>200</v>
      </c>
      <c r="D66">
        <v>0.38206335325268598</v>
      </c>
      <c r="E66">
        <v>13.398908084504701</v>
      </c>
      <c r="F66">
        <v>2.5626248854759002</v>
      </c>
      <c r="G66">
        <v>-217.02085107368649</v>
      </c>
      <c r="H66">
        <v>-187.96278244782951</v>
      </c>
      <c r="I66">
        <v>28.235017855372799</v>
      </c>
      <c r="J66">
        <v>16.380185239624499</v>
      </c>
      <c r="K66">
        <v>5.2285873599547399</v>
      </c>
      <c r="L66">
        <v>3.1776786985619584E-5</v>
      </c>
      <c r="M66">
        <v>1.8315399637285339E-6</v>
      </c>
      <c r="N66" s="1">
        <v>-1.9776917058422899E-7</v>
      </c>
      <c r="O66" s="1">
        <v>4.6732303304952897E-11</v>
      </c>
      <c r="P66" s="1">
        <v>6.87316673563972E-10</v>
      </c>
      <c r="Q66">
        <v>66.068621844903006</v>
      </c>
      <c r="S66">
        <v>20.748888490176899</v>
      </c>
      <c r="AA66">
        <v>1.70183576443277</v>
      </c>
      <c r="AB66">
        <v>9.2912128966195606</v>
      </c>
      <c r="AC66">
        <v>2.1894410038676702</v>
      </c>
      <c r="AJ66">
        <v>0.79601629815649699</v>
      </c>
      <c r="AK66">
        <v>8.0570857333188001E-2</v>
      </c>
      <c r="AL66">
        <v>0.12341284451031399</v>
      </c>
    </row>
    <row r="67" spans="1:38" x14ac:dyDescent="0.2">
      <c r="A67">
        <v>73</v>
      </c>
      <c r="B67">
        <v>755</v>
      </c>
      <c r="C67">
        <v>200</v>
      </c>
      <c r="D67">
        <v>0.38139425181150599</v>
      </c>
      <c r="E67">
        <v>15.272620817413801</v>
      </c>
      <c r="F67">
        <v>2.5609983261637099</v>
      </c>
      <c r="G67">
        <v>-247.19319717257741</v>
      </c>
      <c r="H67">
        <v>-214.1232681526678</v>
      </c>
      <c r="I67">
        <v>32.164498390224701</v>
      </c>
      <c r="J67">
        <v>18.668329783737398</v>
      </c>
      <c r="K67">
        <v>5.9635418974645296</v>
      </c>
      <c r="L67">
        <v>3.1778615236004374E-5</v>
      </c>
      <c r="M67">
        <v>1.8324198396363228E-6</v>
      </c>
      <c r="N67" s="1">
        <v>-2.3020717548813399E-7</v>
      </c>
      <c r="O67" s="1">
        <v>5.33695689836642E-11</v>
      </c>
      <c r="P67" s="1">
        <v>7.9695689481028895E-10</v>
      </c>
      <c r="Q67">
        <v>66.137884712452902</v>
      </c>
      <c r="S67">
        <v>20.660000235206901</v>
      </c>
      <c r="AA67">
        <v>1.6123405006809</v>
      </c>
      <c r="AB67">
        <v>9.2125293665624906</v>
      </c>
      <c r="AC67">
        <v>2.37724518509674</v>
      </c>
      <c r="AJ67">
        <v>0.78958479137170801</v>
      </c>
      <c r="AK67">
        <v>7.6363784410025698E-2</v>
      </c>
      <c r="AL67">
        <v>0.13405142421826599</v>
      </c>
    </row>
    <row r="68" spans="1:38" x14ac:dyDescent="0.2">
      <c r="A68">
        <v>74</v>
      </c>
      <c r="B68">
        <v>754</v>
      </c>
      <c r="C68">
        <v>200</v>
      </c>
      <c r="D68">
        <v>0.38072384753930699</v>
      </c>
      <c r="E68">
        <v>17.3853779788795</v>
      </c>
      <c r="F68">
        <v>2.5591274527014298</v>
      </c>
      <c r="G68">
        <v>-281.1526175669411</v>
      </c>
      <c r="H68">
        <v>-243.56891312844715</v>
      </c>
      <c r="I68">
        <v>36.590278380464397</v>
      </c>
      <c r="J68">
        <v>21.2447280541354</v>
      </c>
      <c r="K68">
        <v>6.7934787540680803</v>
      </c>
      <c r="L68">
        <v>3.1759472513829779E-5</v>
      </c>
      <c r="M68">
        <v>1.8329867175878348E-6</v>
      </c>
      <c r="N68" s="1">
        <v>-2.6669320741016099E-7</v>
      </c>
      <c r="O68" s="1">
        <v>6.0893786204591205E-11</v>
      </c>
      <c r="P68" s="1">
        <v>9.2020707458765705E-10</v>
      </c>
      <c r="Q68">
        <v>66.203243508601105</v>
      </c>
      <c r="S68">
        <v>20.5640858144696</v>
      </c>
      <c r="AA68">
        <v>1.5179595399183201</v>
      </c>
      <c r="AB68">
        <v>9.1067258156921405</v>
      </c>
      <c r="AC68">
        <v>2.6079853213186599</v>
      </c>
      <c r="AJ68">
        <v>0.78092812957161795</v>
      </c>
      <c r="AK68">
        <v>7.1931611807502696E-2</v>
      </c>
      <c r="AL68">
        <v>0.14714025862087801</v>
      </c>
    </row>
    <row r="69" spans="1:38" x14ac:dyDescent="0.2">
      <c r="A69">
        <v>75</v>
      </c>
      <c r="B69">
        <v>753</v>
      </c>
      <c r="C69">
        <v>200</v>
      </c>
      <c r="D69">
        <v>0.380052136627202</v>
      </c>
      <c r="E69">
        <v>19.909034312693301</v>
      </c>
      <c r="F69">
        <v>2.5568575607678699</v>
      </c>
      <c r="G69">
        <v>-321.62799018149485</v>
      </c>
      <c r="H69">
        <v>-278.66264690644516</v>
      </c>
      <c r="I69">
        <v>41.870431491545702</v>
      </c>
      <c r="J69">
        <v>24.315518134099499</v>
      </c>
      <c r="K69">
        <v>7.7865246066793903</v>
      </c>
      <c r="L69">
        <v>3.1707517111245967E-5</v>
      </c>
      <c r="M69">
        <v>1.8331038381670798E-6</v>
      </c>
      <c r="N69" s="1">
        <v>-3.0910319827012801E-7</v>
      </c>
      <c r="O69" s="1">
        <v>6.9943859213405597E-11</v>
      </c>
      <c r="P69" s="1">
        <v>1.0638812458858799E-9</v>
      </c>
      <c r="Q69">
        <v>66.264343870221595</v>
      </c>
      <c r="S69">
        <v>20.455626265141799</v>
      </c>
      <c r="AA69">
        <v>1.41422236709728</v>
      </c>
      <c r="AB69">
        <v>8.9585438862265807</v>
      </c>
      <c r="AC69">
        <v>2.90726361131264</v>
      </c>
      <c r="AJ69">
        <v>0.76878831735563602</v>
      </c>
      <c r="AK69">
        <v>6.7065295354395302E-2</v>
      </c>
      <c r="AL69">
        <v>0.164146387289967</v>
      </c>
    </row>
    <row r="70" spans="1:38" x14ac:dyDescent="0.2">
      <c r="A70">
        <v>76</v>
      </c>
      <c r="B70">
        <v>752</v>
      </c>
      <c r="C70">
        <v>200</v>
      </c>
      <c r="D70">
        <v>0.37937911525142798</v>
      </c>
      <c r="E70">
        <v>24.424058631039799</v>
      </c>
      <c r="F70">
        <v>2.5573565473582498</v>
      </c>
      <c r="G70">
        <v>-394.53085087438325</v>
      </c>
      <c r="H70">
        <v>-341.90575515484511</v>
      </c>
      <c r="I70">
        <v>51.334044500354203</v>
      </c>
      <c r="J70">
        <v>29.838038600038701</v>
      </c>
      <c r="K70">
        <v>9.5505097465857496</v>
      </c>
      <c r="L70">
        <v>3.1724405323248452E-5</v>
      </c>
      <c r="M70">
        <v>1.8323259185651241E-6</v>
      </c>
      <c r="N70" s="1">
        <v>-3.9040150484283098E-7</v>
      </c>
      <c r="O70" s="1">
        <v>8.5645715299273905E-11</v>
      </c>
      <c r="P70" s="1">
        <v>1.33733027651825E-9</v>
      </c>
      <c r="Q70">
        <v>66.220246948053997</v>
      </c>
      <c r="S70">
        <v>20.487150157675099</v>
      </c>
      <c r="AA70">
        <v>1.45051931516028</v>
      </c>
      <c r="AB70">
        <v>8.9429202422202607</v>
      </c>
      <c r="AC70">
        <v>2.8991633368902399</v>
      </c>
      <c r="AJ70">
        <v>0.76750652664987895</v>
      </c>
      <c r="AK70">
        <v>6.87918559238032E-2</v>
      </c>
      <c r="AL70">
        <v>0.163701617426316</v>
      </c>
    </row>
    <row r="71" spans="1:38" x14ac:dyDescent="0.2">
      <c r="A71">
        <v>77</v>
      </c>
      <c r="B71">
        <v>751</v>
      </c>
      <c r="C71">
        <v>200</v>
      </c>
      <c r="D71">
        <v>0.378704779573308</v>
      </c>
      <c r="E71">
        <v>27.383091236122901</v>
      </c>
      <c r="F71">
        <v>2.5580985953394899</v>
      </c>
      <c r="G71">
        <v>-442.35194006316789</v>
      </c>
      <c r="H71">
        <v>-383.44215748480849</v>
      </c>
      <c r="I71">
        <v>57.520658671443897</v>
      </c>
      <c r="J71">
        <v>33.469025969694897</v>
      </c>
      <c r="K71">
        <v>10.7044706118877</v>
      </c>
      <c r="L71">
        <v>3.1768380243711407E-5</v>
      </c>
      <c r="M71">
        <v>1.8319460378170493E-6</v>
      </c>
      <c r="N71" s="1">
        <v>-4.5252174147841003E-7</v>
      </c>
      <c r="O71" s="1">
        <v>9.5794478408154101E-11</v>
      </c>
      <c r="P71" s="1">
        <v>1.5420386784212599E-9</v>
      </c>
      <c r="Q71">
        <v>66.182817881278496</v>
      </c>
      <c r="S71">
        <v>20.525148764517301</v>
      </c>
      <c r="AA71">
        <v>1.4906021159237199</v>
      </c>
      <c r="AB71">
        <v>8.9591298617703501</v>
      </c>
      <c r="AC71">
        <v>2.8423013765099601</v>
      </c>
      <c r="AJ71">
        <v>0.76883510526160104</v>
      </c>
      <c r="AK71">
        <v>7.0687056450725802E-2</v>
      </c>
      <c r="AL71">
        <v>0.16047783828767301</v>
      </c>
    </row>
    <row r="72" spans="1:38" x14ac:dyDescent="0.2">
      <c r="A72">
        <v>78</v>
      </c>
      <c r="B72">
        <v>750</v>
      </c>
      <c r="C72">
        <v>200</v>
      </c>
      <c r="D72">
        <v>0.37802912573913899</v>
      </c>
      <c r="E72">
        <v>28.612891709331102</v>
      </c>
      <c r="F72">
        <v>2.55849338000287</v>
      </c>
      <c r="G72">
        <v>-462.20406979170667</v>
      </c>
      <c r="H72">
        <v>-400.74313379776976</v>
      </c>
      <c r="I72">
        <v>60.070308355506803</v>
      </c>
      <c r="J72">
        <v>34.988457407696799</v>
      </c>
      <c r="K72">
        <v>11.1834925714363</v>
      </c>
      <c r="L72">
        <v>3.1817280300120317E-5</v>
      </c>
      <c r="M72">
        <v>1.8319748738725405E-6</v>
      </c>
      <c r="N72" s="1">
        <v>-4.8862415597135105E-7</v>
      </c>
      <c r="O72" s="1">
        <v>9.9914661827092896E-11</v>
      </c>
      <c r="P72" s="1">
        <v>1.6566432665462199E-9</v>
      </c>
      <c r="Q72">
        <v>66.168408990664105</v>
      </c>
      <c r="S72">
        <v>20.541960600319101</v>
      </c>
      <c r="AA72">
        <v>1.5078341702423099</v>
      </c>
      <c r="AB72">
        <v>8.9710948348520407</v>
      </c>
      <c r="AC72">
        <v>2.8107014039223399</v>
      </c>
      <c r="AJ72">
        <v>0.76981584802732905</v>
      </c>
      <c r="AK72">
        <v>7.1499955448334096E-2</v>
      </c>
      <c r="AL72">
        <v>0.15868419652433499</v>
      </c>
    </row>
    <row r="73" spans="1:38" x14ac:dyDescent="0.2">
      <c r="A73">
        <v>79</v>
      </c>
      <c r="B73">
        <v>749</v>
      </c>
      <c r="C73">
        <v>200</v>
      </c>
      <c r="D73">
        <v>0.37735214988015597</v>
      </c>
      <c r="E73">
        <v>29.309939585136402</v>
      </c>
      <c r="F73">
        <v>2.5587893963365702</v>
      </c>
      <c r="G73">
        <v>-473.43829627632147</v>
      </c>
      <c r="H73">
        <v>-410.57676078386464</v>
      </c>
      <c r="I73">
        <v>61.499325434091602</v>
      </c>
      <c r="J73">
        <v>35.857808665952</v>
      </c>
      <c r="K73">
        <v>11.4546119454377</v>
      </c>
      <c r="L73">
        <v>3.1868727570119922E-5</v>
      </c>
      <c r="M73">
        <v>1.8321252205158566E-6</v>
      </c>
      <c r="N73" s="1">
        <v>-5.1718317698148096E-7</v>
      </c>
      <c r="O73" s="1">
        <v>1.0217527581455399E-10</v>
      </c>
      <c r="P73" s="1">
        <v>1.7448152628004999E-9</v>
      </c>
      <c r="Q73">
        <v>66.160619316698003</v>
      </c>
      <c r="S73">
        <v>20.5527080902881</v>
      </c>
      <c r="AA73">
        <v>1.5185185734405999</v>
      </c>
      <c r="AB73">
        <v>8.9819119063071593</v>
      </c>
      <c r="AC73">
        <v>2.7862421132659398</v>
      </c>
      <c r="AJ73">
        <v>0.77070247978320505</v>
      </c>
      <c r="AK73">
        <v>7.2002713521210696E-2</v>
      </c>
      <c r="AL73">
        <v>0.15729480669558399</v>
      </c>
    </row>
    <row r="74" spans="1:38" x14ac:dyDescent="0.2">
      <c r="A74">
        <v>80</v>
      </c>
      <c r="B74">
        <v>748</v>
      </c>
      <c r="C74">
        <v>200</v>
      </c>
      <c r="D74">
        <v>0.37667384811242399</v>
      </c>
      <c r="E74">
        <v>29.8609295592933</v>
      </c>
      <c r="F74">
        <v>2.55904443940147</v>
      </c>
      <c r="G74">
        <v>-482.3074965410089</v>
      </c>
      <c r="H74">
        <v>-418.36265519405066</v>
      </c>
      <c r="I74">
        <v>62.6204194750608</v>
      </c>
      <c r="J74">
        <v>36.5496604282134</v>
      </c>
      <c r="K74">
        <v>11.668781166722299</v>
      </c>
      <c r="L74">
        <v>3.1922131365204275E-5</v>
      </c>
      <c r="M74">
        <v>1.8323283348467268E-6</v>
      </c>
      <c r="N74" s="1">
        <v>-5.4443291012724498E-7</v>
      </c>
      <c r="O74" s="1">
        <v>1.03922078392134E-10</v>
      </c>
      <c r="P74" s="1">
        <v>1.82788555495184E-9</v>
      </c>
      <c r="Q74">
        <v>66.155566266654304</v>
      </c>
      <c r="S74">
        <v>20.560938099436601</v>
      </c>
      <c r="AA74">
        <v>1.52648747540473</v>
      </c>
      <c r="AB74">
        <v>8.9922274941752001</v>
      </c>
      <c r="AC74">
        <v>2.76478066432909</v>
      </c>
      <c r="AJ74">
        <v>0.77154795457766101</v>
      </c>
      <c r="AK74">
        <v>7.2376849435664095E-2</v>
      </c>
      <c r="AL74">
        <v>0.15607519598667399</v>
      </c>
    </row>
    <row r="75" spans="1:38" x14ac:dyDescent="0.2">
      <c r="A75">
        <v>82</v>
      </c>
      <c r="B75">
        <v>781</v>
      </c>
      <c r="C75">
        <v>175</v>
      </c>
      <c r="D75">
        <v>0.42446568325190898</v>
      </c>
      <c r="E75">
        <v>0.241299983233452</v>
      </c>
      <c r="F75">
        <v>2.5719285822943099</v>
      </c>
      <c r="G75">
        <v>-3.9350379952726513</v>
      </c>
      <c r="H75">
        <v>-3.3920991018072009</v>
      </c>
      <c r="I75">
        <v>0.51504899062320297</v>
      </c>
      <c r="J75">
        <v>0.29358805538224803</v>
      </c>
      <c r="K75">
        <v>9.3820639070077996E-2</v>
      </c>
      <c r="L75">
        <v>3.0850998771641297E-5</v>
      </c>
      <c r="M75">
        <v>1.8115950032400853E-6</v>
      </c>
      <c r="N75" s="1">
        <v>-1.64238871727504E-9</v>
      </c>
      <c r="O75" s="1">
        <v>8.39440315819561E-13</v>
      </c>
      <c r="P75" s="1">
        <v>6.8203086049811298E-12</v>
      </c>
      <c r="Q75">
        <v>65.148339752709802</v>
      </c>
      <c r="S75">
        <v>21.5735936725114</v>
      </c>
      <c r="AA75">
        <v>2.5969612293155602</v>
      </c>
      <c r="AB75">
        <v>9.4024854521997696</v>
      </c>
      <c r="AC75">
        <v>1.2786198932633599</v>
      </c>
      <c r="AJ75">
        <v>0.80508974106471698</v>
      </c>
      <c r="AK75">
        <v>0.122879059540452</v>
      </c>
      <c r="AL75">
        <v>7.2031199394830395E-2</v>
      </c>
    </row>
    <row r="76" spans="1:38" x14ac:dyDescent="0.2">
      <c r="A76">
        <v>83</v>
      </c>
      <c r="B76">
        <v>780</v>
      </c>
      <c r="C76">
        <v>175</v>
      </c>
      <c r="D76">
        <v>0.42385272753169101</v>
      </c>
      <c r="E76">
        <v>0.68980714082596195</v>
      </c>
      <c r="F76">
        <v>2.5715040301778398</v>
      </c>
      <c r="G76">
        <v>-11.24683706497291</v>
      </c>
      <c r="H76">
        <v>-9.6969132136358152</v>
      </c>
      <c r="I76">
        <v>1.47170284511901</v>
      </c>
      <c r="J76">
        <v>0.83942556958426295</v>
      </c>
      <c r="K76">
        <v>0.268250460715107</v>
      </c>
      <c r="L76">
        <v>3.0893043659824871E-5</v>
      </c>
      <c r="M76">
        <v>1.8128586247593039E-6</v>
      </c>
      <c r="N76" s="1">
        <v>-4.8514627922505297E-9</v>
      </c>
      <c r="O76" s="1">
        <v>2.4007345801404099E-12</v>
      </c>
      <c r="P76" s="1">
        <v>1.99537139985178E-11</v>
      </c>
      <c r="Q76">
        <v>65.199866205673402</v>
      </c>
      <c r="S76">
        <v>21.534251289883699</v>
      </c>
      <c r="AA76">
        <v>2.5524803674265999</v>
      </c>
      <c r="AB76">
        <v>9.4141682189739395</v>
      </c>
      <c r="AC76">
        <v>1.2992339180422401</v>
      </c>
      <c r="AJ76">
        <v>0.80604417209160995</v>
      </c>
      <c r="AK76">
        <v>0.120767503489406</v>
      </c>
      <c r="AL76">
        <v>7.3188324418983597E-2</v>
      </c>
    </row>
    <row r="77" spans="1:38" x14ac:dyDescent="0.2">
      <c r="A77">
        <v>84</v>
      </c>
      <c r="B77">
        <v>779</v>
      </c>
      <c r="C77">
        <v>175</v>
      </c>
      <c r="D77">
        <v>0.42323860666254698</v>
      </c>
      <c r="E77">
        <v>1.1397190684893901</v>
      </c>
      <c r="F77">
        <v>2.57108822129902</v>
      </c>
      <c r="G77">
        <v>-18.578539488961329</v>
      </c>
      <c r="H77">
        <v>-16.021323525224059</v>
      </c>
      <c r="I77">
        <v>2.4304671042505999</v>
      </c>
      <c r="J77">
        <v>1.38716188352273</v>
      </c>
      <c r="K77">
        <v>0.44328275437921499</v>
      </c>
      <c r="L77">
        <v>3.093480078483109E-5</v>
      </c>
      <c r="M77">
        <v>1.8140893112522089E-6</v>
      </c>
      <c r="N77" s="1">
        <v>-8.28079555215981E-9</v>
      </c>
      <c r="O77" s="1">
        <v>3.9681015316460203E-12</v>
      </c>
      <c r="P77" s="1">
        <v>3.37415118305975E-11</v>
      </c>
      <c r="Q77">
        <v>65.250002965984905</v>
      </c>
      <c r="S77">
        <v>21.495815788087999</v>
      </c>
      <c r="AA77">
        <v>2.5090719572918401</v>
      </c>
      <c r="AB77">
        <v>9.4251316361889597</v>
      </c>
      <c r="AC77">
        <v>1.31997765244614</v>
      </c>
      <c r="AJ77">
        <v>0.80693976531818601</v>
      </c>
      <c r="AK77">
        <v>0.118707347284388</v>
      </c>
      <c r="AL77">
        <v>7.4352887397425002E-2</v>
      </c>
    </row>
    <row r="78" spans="1:38" x14ac:dyDescent="0.2">
      <c r="A78">
        <v>85</v>
      </c>
      <c r="B78">
        <v>778</v>
      </c>
      <c r="C78">
        <v>175</v>
      </c>
      <c r="D78">
        <v>0.422623317319128</v>
      </c>
      <c r="E78">
        <v>1.5907852458679099</v>
      </c>
      <c r="F78">
        <v>2.5706812032138302</v>
      </c>
      <c r="G78">
        <v>-25.926048134704182</v>
      </c>
      <c r="H78">
        <v>-22.36181600261343</v>
      </c>
      <c r="I78">
        <v>3.3907930667276198</v>
      </c>
      <c r="J78">
        <v>1.93649863518884</v>
      </c>
      <c r="K78">
        <v>0.61881856213019604</v>
      </c>
      <c r="L78">
        <v>3.0976291724314535E-5</v>
      </c>
      <c r="M78">
        <v>1.8152873599423758E-6</v>
      </c>
      <c r="N78" s="1">
        <v>-1.19377958545622E-8</v>
      </c>
      <c r="O78" s="1">
        <v>5.5405057490693602E-12</v>
      </c>
      <c r="P78" s="1">
        <v>4.8202722376486099E-11</v>
      </c>
      <c r="Q78">
        <v>65.2987565896359</v>
      </c>
      <c r="S78">
        <v>21.458285419804302</v>
      </c>
      <c r="AA78">
        <v>2.4667330276032899</v>
      </c>
      <c r="AB78">
        <v>9.4353857326937494</v>
      </c>
      <c r="AC78">
        <v>1.34083923026264</v>
      </c>
      <c r="AJ78">
        <v>0.80777735817582397</v>
      </c>
      <c r="AK78">
        <v>0.11669841443710501</v>
      </c>
      <c r="AL78">
        <v>7.5524227387069903E-2</v>
      </c>
    </row>
    <row r="79" spans="1:38" x14ac:dyDescent="0.2">
      <c r="A79">
        <v>86</v>
      </c>
      <c r="B79">
        <v>777</v>
      </c>
      <c r="C79">
        <v>175</v>
      </c>
      <c r="D79">
        <v>0.42200685616340999</v>
      </c>
      <c r="E79">
        <v>2.04275286724521</v>
      </c>
      <c r="F79">
        <v>2.5702830046572802</v>
      </c>
      <c r="G79">
        <v>-33.285233092658842</v>
      </c>
      <c r="H79">
        <v>-28.714845583202422</v>
      </c>
      <c r="I79">
        <v>4.3521282763951996</v>
      </c>
      <c r="J79">
        <v>2.4871349218622001</v>
      </c>
      <c r="K79">
        <v>0.79475795604756105</v>
      </c>
      <c r="L79">
        <v>3.1017540192485244E-5</v>
      </c>
      <c r="M79">
        <v>1.8164531346604518E-6</v>
      </c>
      <c r="N79" s="1">
        <v>-1.5830036489952701E-8</v>
      </c>
      <c r="O79" s="1">
        <v>7.1168990953627798E-12</v>
      </c>
      <c r="P79" s="1">
        <v>6.3356777741599106E-11</v>
      </c>
      <c r="Q79">
        <v>65.346136365770604</v>
      </c>
      <c r="S79">
        <v>21.421656590649999</v>
      </c>
      <c r="AA79">
        <v>2.4254584454638</v>
      </c>
      <c r="AB79">
        <v>9.4449417857072593</v>
      </c>
      <c r="AC79">
        <v>1.3618068124081799</v>
      </c>
      <c r="AJ79">
        <v>0.80855788844056997</v>
      </c>
      <c r="AK79">
        <v>0.114740427010825</v>
      </c>
      <c r="AL79">
        <v>7.6701684548603905E-2</v>
      </c>
    </row>
    <row r="80" spans="1:38" x14ac:dyDescent="0.2">
      <c r="A80">
        <v>87</v>
      </c>
      <c r="B80">
        <v>776</v>
      </c>
      <c r="C80">
        <v>175</v>
      </c>
      <c r="D80">
        <v>0.42138921984463801</v>
      </c>
      <c r="E80">
        <v>2.4953683060395</v>
      </c>
      <c r="F80">
        <v>2.56989363585576</v>
      </c>
      <c r="G80">
        <v>-40.651955539820115</v>
      </c>
      <c r="H80">
        <v>-35.076856694259682</v>
      </c>
      <c r="I80">
        <v>5.3139196926658903</v>
      </c>
      <c r="J80">
        <v>3.0387691024896202</v>
      </c>
      <c r="K80">
        <v>0.97100061699968299</v>
      </c>
      <c r="L80">
        <v>3.1058571974669667E-5</v>
      </c>
      <c r="M80">
        <v>1.817587062494737E-6</v>
      </c>
      <c r="N80" s="1">
        <v>-1.9965271038914101E-8</v>
      </c>
      <c r="O80" s="1">
        <v>8.6962262745894695E-12</v>
      </c>
      <c r="P80" s="1">
        <v>7.9223581054112299E-11</v>
      </c>
      <c r="Q80">
        <v>65.392154194705995</v>
      </c>
      <c r="S80">
        <v>21.3859239272449</v>
      </c>
      <c r="AA80">
        <v>2.3852410010032798</v>
      </c>
      <c r="AB80">
        <v>9.4538122274326302</v>
      </c>
      <c r="AC80">
        <v>1.38286864961308</v>
      </c>
      <c r="AJ80">
        <v>0.80928238662575902</v>
      </c>
      <c r="AK80">
        <v>0.112833009724036</v>
      </c>
      <c r="AL80">
        <v>7.7884603650204498E-2</v>
      </c>
    </row>
    <row r="81" spans="1:38" x14ac:dyDescent="0.2">
      <c r="A81">
        <v>88</v>
      </c>
      <c r="B81">
        <v>775</v>
      </c>
      <c r="C81">
        <v>175</v>
      </c>
      <c r="D81">
        <v>0.42077040499928797</v>
      </c>
      <c r="E81">
        <v>2.9483785423710902</v>
      </c>
      <c r="F81">
        <v>2.56951308901529</v>
      </c>
      <c r="G81">
        <v>-48.022090962391054</v>
      </c>
      <c r="H81">
        <v>-41.44430324384571</v>
      </c>
      <c r="I81">
        <v>6.2756167710207</v>
      </c>
      <c r="J81">
        <v>3.5911005556362201</v>
      </c>
      <c r="K81">
        <v>1.1474463994658901</v>
      </c>
      <c r="L81">
        <v>3.1099414851725382E-5</v>
      </c>
      <c r="M81">
        <v>1.8186896299861338E-6</v>
      </c>
      <c r="N81" s="1">
        <v>-2.43514525330369E-8</v>
      </c>
      <c r="O81" s="1">
        <v>1.0277430255245199E-11</v>
      </c>
      <c r="P81" s="1">
        <v>9.5823570517794505E-11</v>
      </c>
      <c r="Q81">
        <v>65.436824445453993</v>
      </c>
      <c r="S81">
        <v>21.3510803600755</v>
      </c>
      <c r="AA81">
        <v>2.3460715089883899</v>
      </c>
      <c r="AB81">
        <v>9.4620105447940706</v>
      </c>
      <c r="AC81">
        <v>1.4040131406879099</v>
      </c>
      <c r="AJ81">
        <v>0.80995196782617196</v>
      </c>
      <c r="AK81">
        <v>0.11097569484604</v>
      </c>
      <c r="AL81">
        <v>7.9072337327786998E-2</v>
      </c>
    </row>
    <row r="82" spans="1:38" x14ac:dyDescent="0.2">
      <c r="A82">
        <v>89</v>
      </c>
      <c r="B82">
        <v>774</v>
      </c>
      <c r="C82">
        <v>175</v>
      </c>
      <c r="D82">
        <v>0.420150408250972</v>
      </c>
      <c r="E82">
        <v>3.4015325390523699</v>
      </c>
      <c r="F82">
        <v>2.5691413389559301</v>
      </c>
      <c r="G82">
        <v>-55.391551500866939</v>
      </c>
      <c r="H82">
        <v>-47.813667879627403</v>
      </c>
      <c r="I82">
        <v>7.23667442223132</v>
      </c>
      <c r="J82">
        <v>4.1438313750387703</v>
      </c>
      <c r="K82">
        <v>1.32399587655022</v>
      </c>
      <c r="L82">
        <v>3.114009851624995E-5</v>
      </c>
      <c r="M82">
        <v>1.8197613789589866E-6</v>
      </c>
      <c r="N82" s="1">
        <v>-2.8996753851968799E-8</v>
      </c>
      <c r="O82" s="1">
        <v>1.1859457500926699E-11</v>
      </c>
      <c r="P82" s="1">
        <v>1.13177787988309E-10</v>
      </c>
      <c r="Q82">
        <v>65.480163796628005</v>
      </c>
      <c r="S82">
        <v>21.317117218357399</v>
      </c>
      <c r="AA82">
        <v>2.3079389242066002</v>
      </c>
      <c r="AB82">
        <v>9.4695511735985303</v>
      </c>
      <c r="AC82">
        <v>1.4252288872093399</v>
      </c>
      <c r="AJ82">
        <v>0.81056782311880804</v>
      </c>
      <c r="AK82">
        <v>0.10916792773195801</v>
      </c>
      <c r="AL82">
        <v>8.02642491492329E-2</v>
      </c>
    </row>
    <row r="83" spans="1:38" x14ac:dyDescent="0.2">
      <c r="A83">
        <v>90</v>
      </c>
      <c r="B83">
        <v>773</v>
      </c>
      <c r="C83">
        <v>175</v>
      </c>
      <c r="D83">
        <v>0.41952922621038902</v>
      </c>
      <c r="E83">
        <v>3.8545825407619798</v>
      </c>
      <c r="F83">
        <v>2.5687783438988099</v>
      </c>
      <c r="G83">
        <v>-62.756307009484715</v>
      </c>
      <c r="H83">
        <v>-54.181480162840387</v>
      </c>
      <c r="I83">
        <v>8.1965557966298501</v>
      </c>
      <c r="J83">
        <v>4.6966679719364297</v>
      </c>
      <c r="K83">
        <v>1.5005508552020901</v>
      </c>
      <c r="L83">
        <v>3.1180654482940333E-5</v>
      </c>
      <c r="M83">
        <v>1.8208029020527021E-6</v>
      </c>
      <c r="N83" s="1">
        <v>-3.39095896767238E-8</v>
      </c>
      <c r="O83" s="1">
        <v>1.34412629123876E-11</v>
      </c>
      <c r="P83" s="1">
        <v>1.3130795131893799E-10</v>
      </c>
      <c r="Q83">
        <v>65.522191062764804</v>
      </c>
      <c r="S83">
        <v>21.284024336236602</v>
      </c>
      <c r="AA83">
        <v>2.2708304696094399</v>
      </c>
      <c r="AB83">
        <v>9.4764493899245306</v>
      </c>
      <c r="AC83">
        <v>1.44650474146449</v>
      </c>
      <c r="AJ83">
        <v>0.81113121074759398</v>
      </c>
      <c r="AK83">
        <v>0.107409072948298</v>
      </c>
      <c r="AL83">
        <v>8.14597163041067E-2</v>
      </c>
    </row>
    <row r="84" spans="1:38" x14ac:dyDescent="0.2">
      <c r="A84">
        <v>91</v>
      </c>
      <c r="B84">
        <v>772</v>
      </c>
      <c r="C84">
        <v>175</v>
      </c>
      <c r="D84">
        <v>0.418906855475288</v>
      </c>
      <c r="E84">
        <v>4.3072852921813203</v>
      </c>
      <c r="F84">
        <v>2.5684240463503101</v>
      </c>
      <c r="G84">
        <v>-70.112404763994959</v>
      </c>
      <c r="H84">
        <v>-60.54433359920629</v>
      </c>
      <c r="I84">
        <v>9.1547348847425294</v>
      </c>
      <c r="J84">
        <v>5.2493225789298101</v>
      </c>
      <c r="K84">
        <v>1.6770148598717101</v>
      </c>
      <c r="L84">
        <v>3.1221115995151802E-5</v>
      </c>
      <c r="M84">
        <v>1.821814838071322E-6</v>
      </c>
      <c r="N84" s="1">
        <v>-3.9098639954733702E-8</v>
      </c>
      <c r="O84" s="1">
        <v>1.5021814460177801E-11</v>
      </c>
      <c r="P84" s="1">
        <v>1.5023653029062101E-10</v>
      </c>
      <c r="Q84">
        <v>65.562927011497806</v>
      </c>
      <c r="S84">
        <v>21.2517901659693</v>
      </c>
      <c r="AA84">
        <v>2.2347317723467199</v>
      </c>
      <c r="AB84">
        <v>9.4827211994180303</v>
      </c>
      <c r="AC84">
        <v>1.4678298507679799</v>
      </c>
      <c r="AJ84">
        <v>0.81164344714609904</v>
      </c>
      <c r="AK84">
        <v>0.10569842075942799</v>
      </c>
      <c r="AL84">
        <v>8.26581320944723E-2</v>
      </c>
    </row>
    <row r="85" spans="1:38" x14ac:dyDescent="0.2">
      <c r="A85">
        <v>92</v>
      </c>
      <c r="B85">
        <v>771</v>
      </c>
      <c r="C85">
        <v>175</v>
      </c>
      <c r="D85">
        <v>0.41828329263037001</v>
      </c>
      <c r="E85">
        <v>4.75940315380649</v>
      </c>
      <c r="F85">
        <v>2.5680783740923601</v>
      </c>
      <c r="G85">
        <v>-77.455987474881894</v>
      </c>
      <c r="H85">
        <v>-66.898901229480941</v>
      </c>
      <c r="I85">
        <v>10.1106988894325</v>
      </c>
      <c r="J85">
        <v>5.8015146293709998</v>
      </c>
      <c r="K85">
        <v>1.85329357617</v>
      </c>
      <c r="L85">
        <v>3.1261517929175802E-5</v>
      </c>
      <c r="M85">
        <v>1.8227978671886816E-6</v>
      </c>
      <c r="N85" s="1">
        <v>-4.4572874667004503E-8</v>
      </c>
      <c r="O85" s="1">
        <v>1.6600097427342601E-11</v>
      </c>
      <c r="P85" s="1">
        <v>1.6998682531586199E-10</v>
      </c>
      <c r="Q85">
        <v>65.602394172644196</v>
      </c>
      <c r="S85">
        <v>21.220401897908602</v>
      </c>
      <c r="AA85">
        <v>2.1996270073036102</v>
      </c>
      <c r="AB85">
        <v>9.4883832264136405</v>
      </c>
      <c r="AC85">
        <v>1.48919369572983</v>
      </c>
      <c r="AJ85">
        <v>0.81210589795329702</v>
      </c>
      <c r="AK85">
        <v>0.104035193956659</v>
      </c>
      <c r="AL85">
        <v>8.38589080900429E-2</v>
      </c>
    </row>
    <row r="86" spans="1:38" x14ac:dyDescent="0.2">
      <c r="A86">
        <v>93</v>
      </c>
      <c r="B86">
        <v>770</v>
      </c>
      <c r="C86">
        <v>175</v>
      </c>
      <c r="D86">
        <v>0.41765853424723398</v>
      </c>
      <c r="E86">
        <v>5.2107051044991204</v>
      </c>
      <c r="F86">
        <v>2.5677412412531599</v>
      </c>
      <c r="G86">
        <v>-84.783309432159157</v>
      </c>
      <c r="H86">
        <v>-73.241949627714291</v>
      </c>
      <c r="I86">
        <v>11.0639503469729</v>
      </c>
      <c r="J86">
        <v>6.3529719989398004</v>
      </c>
      <c r="K86">
        <v>2.0292952501538202</v>
      </c>
      <c r="L86">
        <v>3.1301896699380666E-5</v>
      </c>
      <c r="M86">
        <v>1.8237527061228064E-6</v>
      </c>
      <c r="N86" s="1">
        <v>-5.0341579746223099E-8</v>
      </c>
      <c r="O86" s="1">
        <v>1.8175118219225999E-11</v>
      </c>
      <c r="P86" s="1">
        <v>1.9058304836254799E-10</v>
      </c>
      <c r="Q86">
        <v>65.640616643747293</v>
      </c>
      <c r="S86">
        <v>21.189845584473201</v>
      </c>
      <c r="AA86">
        <v>2.16549904475051</v>
      </c>
      <c r="AB86">
        <v>9.4934526055972093</v>
      </c>
      <c r="AC86">
        <v>1.51058612143167</v>
      </c>
      <c r="AJ86">
        <v>0.81251996924246095</v>
      </c>
      <c r="AK86">
        <v>0.10241855486945201</v>
      </c>
      <c r="AL86">
        <v>8.5061475888085603E-2</v>
      </c>
    </row>
    <row r="87" spans="1:38" x14ac:dyDescent="0.2">
      <c r="A87">
        <v>94</v>
      </c>
      <c r="B87">
        <v>769</v>
      </c>
      <c r="C87">
        <v>175</v>
      </c>
      <c r="D87">
        <v>0.41703257688433099</v>
      </c>
      <c r="E87">
        <v>5.6609676360116099</v>
      </c>
      <c r="F87">
        <v>2.5674125494198701</v>
      </c>
      <c r="G87">
        <v>-92.090750870301036</v>
      </c>
      <c r="H87">
        <v>-79.570351381625926</v>
      </c>
      <c r="I87">
        <v>12.0140090089479</v>
      </c>
      <c r="J87">
        <v>6.90343211571615</v>
      </c>
      <c r="K87">
        <v>2.2049310451842801</v>
      </c>
      <c r="L87">
        <v>3.1342290164902562E-5</v>
      </c>
      <c r="M87">
        <v>1.8246801033389504E-6</v>
      </c>
      <c r="N87" s="1">
        <v>-5.6414384110349899E-8</v>
      </c>
      <c r="O87" s="1">
        <v>1.9745907755427E-11</v>
      </c>
      <c r="P87" s="1">
        <v>2.1205040601501299E-10</v>
      </c>
      <c r="Q87">
        <v>65.677619895124707</v>
      </c>
      <c r="S87">
        <v>21.1601062653708</v>
      </c>
      <c r="AA87">
        <v>2.13232959914271</v>
      </c>
      <c r="AB87">
        <v>9.4979468758546197</v>
      </c>
      <c r="AC87">
        <v>1.53199736450699</v>
      </c>
      <c r="AJ87">
        <v>0.81288709893280697</v>
      </c>
      <c r="AK87">
        <v>0.100847612420122</v>
      </c>
      <c r="AL87">
        <v>8.6265288647069602E-2</v>
      </c>
    </row>
    <row r="88" spans="1:38" x14ac:dyDescent="0.2">
      <c r="A88">
        <v>95</v>
      </c>
      <c r="B88">
        <v>768</v>
      </c>
      <c r="C88">
        <v>175</v>
      </c>
      <c r="D88">
        <v>0.416405417086878</v>
      </c>
      <c r="E88">
        <v>6.1099755207824398</v>
      </c>
      <c r="F88">
        <v>2.5670921887983802</v>
      </c>
      <c r="G88">
        <v>-99.374830253494522</v>
      </c>
      <c r="H88">
        <v>-85.88109579407606</v>
      </c>
      <c r="I88">
        <v>12.960413446111</v>
      </c>
      <c r="J88">
        <v>7.4526429159696699</v>
      </c>
      <c r="K88">
        <v>2.3801153489709299</v>
      </c>
      <c r="L88">
        <v>3.1382737539892954E-5</v>
      </c>
      <c r="M88">
        <v>1.8255808343314616E-6</v>
      </c>
      <c r="N88" s="1">
        <v>-6.2801287548471995E-8</v>
      </c>
      <c r="O88" s="1">
        <v>2.13115243752949E-11</v>
      </c>
      <c r="P88" s="1">
        <v>2.3441518372493801E-10</v>
      </c>
      <c r="Q88">
        <v>65.713430576015995</v>
      </c>
      <c r="S88">
        <v>21.131168093599499</v>
      </c>
      <c r="AA88">
        <v>2.1000993783055799</v>
      </c>
      <c r="AB88">
        <v>9.5018838786112898</v>
      </c>
      <c r="AC88">
        <v>1.55341807346752</v>
      </c>
      <c r="AJ88">
        <v>0.81320874857048298</v>
      </c>
      <c r="AK88">
        <v>9.9321429186085997E-2</v>
      </c>
      <c r="AL88">
        <v>8.7469822243429904E-2</v>
      </c>
    </row>
    <row r="89" spans="1:38" x14ac:dyDescent="0.2">
      <c r="A89">
        <v>96</v>
      </c>
      <c r="B89">
        <v>767</v>
      </c>
      <c r="C89">
        <v>175</v>
      </c>
      <c r="D89">
        <v>0.41577705138682203</v>
      </c>
      <c r="E89">
        <v>7.1817024471881803</v>
      </c>
      <c r="F89">
        <v>2.5662521124566999</v>
      </c>
      <c r="G89">
        <v>-116.76490504259654</v>
      </c>
      <c r="H89">
        <v>-100.92693556323105</v>
      </c>
      <c r="I89">
        <v>15.2266206598716</v>
      </c>
      <c r="J89">
        <v>8.7612489666816007</v>
      </c>
      <c r="K89">
        <v>2.7985178900887702</v>
      </c>
      <c r="L89">
        <v>3.1424787065099946E-5</v>
      </c>
      <c r="M89">
        <v>1.8270088409187338E-6</v>
      </c>
      <c r="N89" s="1">
        <v>-7.6012014388864902E-8</v>
      </c>
      <c r="O89" s="1">
        <v>2.5071857514807499E-11</v>
      </c>
      <c r="P89" s="1">
        <v>2.8186954706760501E-10</v>
      </c>
      <c r="Q89">
        <v>65.780739808501806</v>
      </c>
      <c r="S89">
        <v>21.070560714549401</v>
      </c>
      <c r="AA89">
        <v>2.03439198079495</v>
      </c>
      <c r="AB89">
        <v>9.4929887705524703</v>
      </c>
      <c r="AC89">
        <v>1.62131872560122</v>
      </c>
      <c r="AJ89">
        <v>0.81248441789543902</v>
      </c>
      <c r="AK89">
        <v>9.6218260050496204E-2</v>
      </c>
      <c r="AL89">
        <v>9.1297322054064295E-2</v>
      </c>
    </row>
    <row r="90" spans="1:38" x14ac:dyDescent="0.2">
      <c r="A90">
        <v>97</v>
      </c>
      <c r="B90">
        <v>766</v>
      </c>
      <c r="C90">
        <v>175</v>
      </c>
      <c r="D90">
        <v>0.41514747630275201</v>
      </c>
      <c r="E90">
        <v>8.5865556620147103</v>
      </c>
      <c r="F90">
        <v>2.5651361340877701</v>
      </c>
      <c r="G90">
        <v>-139.54432941647511</v>
      </c>
      <c r="H90">
        <v>-120.63520254508884</v>
      </c>
      <c r="I90">
        <v>18.196725084334499</v>
      </c>
      <c r="J90">
        <v>10.4761120231519</v>
      </c>
      <c r="K90">
        <v>3.3474073940595401</v>
      </c>
      <c r="L90">
        <v>3.1463033769995501E-5</v>
      </c>
      <c r="M90">
        <v>1.8285787034128132E-6</v>
      </c>
      <c r="N90" s="1">
        <v>-9.3442462243791705E-8</v>
      </c>
      <c r="O90" s="1">
        <v>3.0016552064228697E-11</v>
      </c>
      <c r="P90" s="1">
        <v>3.4437734258282498E-10</v>
      </c>
      <c r="Q90">
        <v>65.860116949335307</v>
      </c>
      <c r="S90">
        <v>20.995172639506301</v>
      </c>
      <c r="AA90">
        <v>1.9536744763137199</v>
      </c>
      <c r="AB90">
        <v>9.4722368330234392</v>
      </c>
      <c r="AC90">
        <v>1.7187991018212101</v>
      </c>
      <c r="AJ90">
        <v>0.81079306713639199</v>
      </c>
      <c r="AK90">
        <v>9.2410319427138399E-2</v>
      </c>
      <c r="AL90">
        <v>9.6796613436469003E-2</v>
      </c>
    </row>
    <row r="91" spans="1:38" x14ac:dyDescent="0.2">
      <c r="A91">
        <v>98</v>
      </c>
      <c r="B91">
        <v>765</v>
      </c>
      <c r="C91">
        <v>175</v>
      </c>
      <c r="D91">
        <v>0.41451668833983701</v>
      </c>
      <c r="E91">
        <v>10.036011612572899</v>
      </c>
      <c r="F91">
        <v>2.5639844947273698</v>
      </c>
      <c r="G91">
        <v>-163.02345334525771</v>
      </c>
      <c r="H91">
        <v>-140.95430302427616</v>
      </c>
      <c r="I91">
        <v>21.258151828715899</v>
      </c>
      <c r="J91">
        <v>12.245318195882399</v>
      </c>
      <c r="K91">
        <v>3.9142247674317798</v>
      </c>
      <c r="L91">
        <v>3.1495240554477666E-5</v>
      </c>
      <c r="M91">
        <v>1.8299974956277547E-6</v>
      </c>
      <c r="N91" s="1">
        <v>-1.12182582253977E-7</v>
      </c>
      <c r="O91" s="1">
        <v>3.5131384177466401E-11</v>
      </c>
      <c r="P91" s="1">
        <v>4.1103237404697602E-10</v>
      </c>
      <c r="Q91">
        <v>65.935317112081194</v>
      </c>
      <c r="S91">
        <v>20.9203637528977</v>
      </c>
      <c r="AA91">
        <v>1.8744094489552401</v>
      </c>
      <c r="AB91">
        <v>9.4436951415679804</v>
      </c>
      <c r="AC91">
        <v>1.82621454449779</v>
      </c>
      <c r="AJ91">
        <v>0.80846569857400197</v>
      </c>
      <c r="AK91">
        <v>8.86737131883822E-2</v>
      </c>
      <c r="AL91">
        <v>0.102860588237615</v>
      </c>
    </row>
    <row r="92" spans="1:38" x14ac:dyDescent="0.2">
      <c r="A92">
        <v>99</v>
      </c>
      <c r="B92">
        <v>764</v>
      </c>
      <c r="C92">
        <v>175</v>
      </c>
      <c r="D92">
        <v>0.41388468398978101</v>
      </c>
      <c r="E92">
        <v>11.541076432798601</v>
      </c>
      <c r="F92">
        <v>2.5627831939752199</v>
      </c>
      <c r="G92">
        <v>-187.37671272697514</v>
      </c>
      <c r="H92">
        <v>-162.03515699313581</v>
      </c>
      <c r="I92">
        <v>24.433838628780101</v>
      </c>
      <c r="J92">
        <v>14.082022421270899</v>
      </c>
      <c r="K92">
        <v>4.5033370204433103</v>
      </c>
      <c r="L92">
        <v>3.1520509824384644E-5</v>
      </c>
      <c r="M92">
        <v>1.8312562944944282E-6</v>
      </c>
      <c r="N92" s="1">
        <v>-1.3235887848034101E-7</v>
      </c>
      <c r="O92" s="1">
        <v>4.0456945816527802E-11</v>
      </c>
      <c r="P92" s="1">
        <v>4.8228674888817195E-10</v>
      </c>
      <c r="Q92">
        <v>66.006414897716596</v>
      </c>
      <c r="S92">
        <v>20.845600115142499</v>
      </c>
      <c r="AA92">
        <v>1.7961389859798</v>
      </c>
      <c r="AB92">
        <v>9.4061301484343804</v>
      </c>
      <c r="AC92">
        <v>1.9457158527265701</v>
      </c>
      <c r="AJ92">
        <v>0.80540107994053201</v>
      </c>
      <c r="AK92">
        <v>8.4986893297553504E-2</v>
      </c>
      <c r="AL92">
        <v>0.10961202676191401</v>
      </c>
    </row>
    <row r="93" spans="1:38" x14ac:dyDescent="0.2">
      <c r="A93">
        <v>100</v>
      </c>
      <c r="B93">
        <v>763</v>
      </c>
      <c r="C93">
        <v>175</v>
      </c>
      <c r="D93">
        <v>0.41325145973073701</v>
      </c>
      <c r="E93">
        <v>13.118094453429199</v>
      </c>
      <c r="F93">
        <v>2.5615129312005398</v>
      </c>
      <c r="G93">
        <v>-212.86346464520841</v>
      </c>
      <c r="H93">
        <v>-184.10212046410251</v>
      </c>
      <c r="I93">
        <v>27.7578962323079</v>
      </c>
      <c r="J93">
        <v>16.005777070702699</v>
      </c>
      <c r="K93">
        <v>5.1212290571107602</v>
      </c>
      <c r="L93">
        <v>3.1537577641820505E-5</v>
      </c>
      <c r="M93">
        <v>1.8323420739871935E-6</v>
      </c>
      <c r="N93" s="1">
        <v>-1.5414467221317801E-7</v>
      </c>
      <c r="O93" s="1">
        <v>4.6053797973118298E-11</v>
      </c>
      <c r="P93" s="1">
        <v>5.5877119997671796E-10</v>
      </c>
      <c r="Q93">
        <v>66.073490831631005</v>
      </c>
      <c r="S93">
        <v>20.770153398626402</v>
      </c>
      <c r="AA93">
        <v>1.71824342014925</v>
      </c>
      <c r="AB93">
        <v>9.3578118946053603</v>
      </c>
      <c r="AC93">
        <v>2.0803004549878898</v>
      </c>
      <c r="AJ93">
        <v>0.80145710667297299</v>
      </c>
      <c r="AK93">
        <v>8.1320764545050897E-2</v>
      </c>
      <c r="AL93">
        <v>0.11722212878197499</v>
      </c>
    </row>
    <row r="94" spans="1:38" x14ac:dyDescent="0.2">
      <c r="A94">
        <v>101</v>
      </c>
      <c r="B94">
        <v>762</v>
      </c>
      <c r="C94">
        <v>175</v>
      </c>
      <c r="D94">
        <v>0.41261701202724399</v>
      </c>
      <c r="E94">
        <v>14.7921704051654</v>
      </c>
      <c r="F94">
        <v>2.5601461939587402</v>
      </c>
      <c r="G94">
        <v>-239.88239341797819</v>
      </c>
      <c r="H94">
        <v>-207.50004243660024</v>
      </c>
      <c r="I94">
        <v>31.282761900572801</v>
      </c>
      <c r="J94">
        <v>18.046630190919601</v>
      </c>
      <c r="K94">
        <v>5.7778616080874299</v>
      </c>
      <c r="L94">
        <v>3.1544586112757532E-5</v>
      </c>
      <c r="M94">
        <v>1.83323478879929E-6</v>
      </c>
      <c r="N94" s="1">
        <v>-1.7778940880047999E-7</v>
      </c>
      <c r="O94" s="1">
        <v>5.2015281700646201E-11</v>
      </c>
      <c r="P94" s="1">
        <v>6.4140765913807602E-10</v>
      </c>
      <c r="Q94">
        <v>66.136612085919097</v>
      </c>
      <c r="S94">
        <v>20.6930020141195</v>
      </c>
      <c r="AA94">
        <v>1.63986425619876</v>
      </c>
      <c r="AB94">
        <v>9.2962118405109297</v>
      </c>
      <c r="AC94">
        <v>2.2343098032515698</v>
      </c>
      <c r="AJ94">
        <v>0.79642589046955503</v>
      </c>
      <c r="AK94">
        <v>7.7635087719939003E-2</v>
      </c>
      <c r="AL94">
        <v>0.12593902181050501</v>
      </c>
    </row>
    <row r="95" spans="1:38" x14ac:dyDescent="0.2">
      <c r="A95">
        <v>102</v>
      </c>
      <c r="B95">
        <v>761</v>
      </c>
      <c r="C95">
        <v>175</v>
      </c>
      <c r="D95">
        <v>0.411981337330175</v>
      </c>
      <c r="E95">
        <v>16.6036547091778</v>
      </c>
      <c r="F95">
        <v>2.5586420667599099</v>
      </c>
      <c r="G95">
        <v>-269.07457549398822</v>
      </c>
      <c r="H95">
        <v>-232.78340932745508</v>
      </c>
      <c r="I95">
        <v>35.092748795177798</v>
      </c>
      <c r="J95">
        <v>20.252887221702199</v>
      </c>
      <c r="K95">
        <v>6.4892447931193296</v>
      </c>
      <c r="L95">
        <v>3.1538667054315764E-5</v>
      </c>
      <c r="M95">
        <v>1.8339019647311758E-6</v>
      </c>
      <c r="N95" s="1">
        <v>-2.0367295228329701E-7</v>
      </c>
      <c r="O95" s="1">
        <v>5.8491808473399297E-11</v>
      </c>
      <c r="P95" s="1">
        <v>7.3161893951464995E-10</v>
      </c>
      <c r="Q95">
        <v>66.195791052140805</v>
      </c>
      <c r="S95">
        <v>20.612655958337701</v>
      </c>
      <c r="AA95">
        <v>1.5597693347614201</v>
      </c>
      <c r="AB95">
        <v>9.2174513627546997</v>
      </c>
      <c r="AC95">
        <v>2.4143322920052501</v>
      </c>
      <c r="AJ95">
        <v>0.78998824289784797</v>
      </c>
      <c r="AK95">
        <v>7.3872184412569694E-2</v>
      </c>
      <c r="AL95">
        <v>0.13613957268958199</v>
      </c>
    </row>
    <row r="96" spans="1:38" x14ac:dyDescent="0.2">
      <c r="A96">
        <v>103</v>
      </c>
      <c r="B96">
        <v>760</v>
      </c>
      <c r="C96">
        <v>175</v>
      </c>
      <c r="D96">
        <v>0.41134443207665999</v>
      </c>
      <c r="E96">
        <v>18.621420568360001</v>
      </c>
      <c r="F96">
        <v>2.5569365876847998</v>
      </c>
      <c r="G96">
        <v>-301.5343932663215</v>
      </c>
      <c r="H96">
        <v>-260.89877806119631</v>
      </c>
      <c r="I96">
        <v>39.331767124933599</v>
      </c>
      <c r="J96">
        <v>22.706990571856</v>
      </c>
      <c r="K96">
        <v>7.2827072278788503</v>
      </c>
      <c r="L96">
        <v>3.1515132038896478E-5</v>
      </c>
      <c r="M96">
        <v>1.8342878866103136E-6</v>
      </c>
      <c r="N96" s="1">
        <v>-2.32413883328143E-7</v>
      </c>
      <c r="O96" s="1">
        <v>6.5740619521874904E-11</v>
      </c>
      <c r="P96" s="1">
        <v>8.3174961876165004E-10</v>
      </c>
      <c r="Q96">
        <v>66.250882847306201</v>
      </c>
      <c r="S96">
        <v>20.5268370272893</v>
      </c>
      <c r="AA96">
        <v>1.4761129206821599</v>
      </c>
      <c r="AB96">
        <v>9.1152349894112703</v>
      </c>
      <c r="AC96">
        <v>2.63093221531091</v>
      </c>
      <c r="AJ96">
        <v>0.78162550146365894</v>
      </c>
      <c r="AK96">
        <v>6.9945732585597803E-2</v>
      </c>
      <c r="AL96">
        <v>0.148428765950742</v>
      </c>
    </row>
    <row r="97" spans="1:38" x14ac:dyDescent="0.2">
      <c r="A97">
        <v>104</v>
      </c>
      <c r="B97">
        <v>759</v>
      </c>
      <c r="C97">
        <v>175</v>
      </c>
      <c r="D97">
        <v>0.41070629269001901</v>
      </c>
      <c r="E97">
        <v>20.9720030253625</v>
      </c>
      <c r="F97">
        <v>2.5549250713580398</v>
      </c>
      <c r="G97">
        <v>-339.27213739757502</v>
      </c>
      <c r="H97">
        <v>-293.58494722496431</v>
      </c>
      <c r="I97">
        <v>44.264099377620099</v>
      </c>
      <c r="J97">
        <v>25.5603375892392</v>
      </c>
      <c r="K97">
        <v>8.2084610857942195</v>
      </c>
      <c r="L97">
        <v>3.1465836618775042E-5</v>
      </c>
      <c r="M97">
        <v>1.8342905882078023E-6</v>
      </c>
      <c r="N97" s="1">
        <v>-2.6509942380068599E-7</v>
      </c>
      <c r="O97" s="1">
        <v>7.4235084391342598E-11</v>
      </c>
      <c r="P97" s="1">
        <v>9.4596689355363594E-10</v>
      </c>
      <c r="Q97">
        <v>66.301290890488701</v>
      </c>
      <c r="S97">
        <v>20.431918725687702</v>
      </c>
      <c r="AA97">
        <v>1.3860423222206499</v>
      </c>
      <c r="AB97">
        <v>8.9787259430024502</v>
      </c>
      <c r="AC97">
        <v>2.9020221186003701</v>
      </c>
      <c r="AJ97">
        <v>0.77044348730032097</v>
      </c>
      <c r="AK97">
        <v>6.5722390926786806E-2</v>
      </c>
      <c r="AL97">
        <v>0.163834121772891</v>
      </c>
    </row>
    <row r="98" spans="1:38" x14ac:dyDescent="0.2">
      <c r="A98">
        <v>105</v>
      </c>
      <c r="B98">
        <v>758</v>
      </c>
      <c r="C98">
        <v>175</v>
      </c>
      <c r="D98">
        <v>0.41006691557969399</v>
      </c>
      <c r="E98">
        <v>23.421960426978899</v>
      </c>
      <c r="F98">
        <v>2.55316289685135</v>
      </c>
      <c r="G98">
        <v>-378.55588435046019</v>
      </c>
      <c r="H98">
        <v>-327.62126655940079</v>
      </c>
      <c r="I98">
        <v>49.395934433457199</v>
      </c>
      <c r="J98">
        <v>28.531025902263899</v>
      </c>
      <c r="K98">
        <v>9.1737039010960295</v>
      </c>
      <c r="L98">
        <v>3.1405673177266875E-5</v>
      </c>
      <c r="M98">
        <v>1.8337947568606343E-6</v>
      </c>
      <c r="N98" s="1">
        <v>-2.9958638504911601E-7</v>
      </c>
      <c r="O98" s="1">
        <v>8.3091299808701696E-11</v>
      </c>
      <c r="P98" s="1">
        <v>1.06614048949505E-9</v>
      </c>
      <c r="Q98">
        <v>66.328229319119103</v>
      </c>
      <c r="S98">
        <v>20.354862360579201</v>
      </c>
      <c r="AA98">
        <v>1.3161843179630199</v>
      </c>
      <c r="AB98">
        <v>8.8367435076813692</v>
      </c>
      <c r="AC98">
        <v>3.1639804946572898</v>
      </c>
      <c r="AJ98">
        <v>0.75879659138265998</v>
      </c>
      <c r="AK98">
        <v>6.2454052518226298E-2</v>
      </c>
      <c r="AL98">
        <v>0.17874935609911299</v>
      </c>
    </row>
    <row r="99" spans="1:38" x14ac:dyDescent="0.2">
      <c r="A99">
        <v>106</v>
      </c>
      <c r="B99">
        <v>757</v>
      </c>
      <c r="C99">
        <v>175</v>
      </c>
      <c r="D99">
        <v>0.40942629714119499</v>
      </c>
      <c r="E99">
        <v>26.829261052071899</v>
      </c>
      <c r="F99">
        <v>2.55516302668899</v>
      </c>
      <c r="G99">
        <v>-433.791745488613</v>
      </c>
      <c r="H99">
        <v>-375.53596128959748</v>
      </c>
      <c r="I99">
        <v>56.550778235223397</v>
      </c>
      <c r="J99">
        <v>32.699707296204203</v>
      </c>
      <c r="K99">
        <v>10.5000192832461</v>
      </c>
      <c r="L99">
        <v>3.1439096559374342E-5</v>
      </c>
      <c r="M99">
        <v>1.8322203791282062E-6</v>
      </c>
      <c r="N99" s="1">
        <v>-3.5598147994674001E-7</v>
      </c>
      <c r="O99" s="1">
        <v>9.4778938713321801E-11</v>
      </c>
      <c r="P99" s="1">
        <v>1.2585337631932001E-9</v>
      </c>
      <c r="Q99">
        <v>66.217500883879893</v>
      </c>
      <c r="S99">
        <v>20.465468190404302</v>
      </c>
      <c r="AA99">
        <v>1.4332722266903</v>
      </c>
      <c r="AB99">
        <v>8.8799586893979594</v>
      </c>
      <c r="AC99">
        <v>3.0038000096274202</v>
      </c>
      <c r="AJ99">
        <v>0.76234173145284601</v>
      </c>
      <c r="AK99">
        <v>6.7995195142220702E-2</v>
      </c>
      <c r="AL99">
        <v>0.169663073404932</v>
      </c>
    </row>
    <row r="100" spans="1:38" x14ac:dyDescent="0.2">
      <c r="A100">
        <v>107</v>
      </c>
      <c r="B100">
        <v>756</v>
      </c>
      <c r="C100">
        <v>175</v>
      </c>
      <c r="D100">
        <v>0.40878443375601398</v>
      </c>
      <c r="E100">
        <v>28.0714067164594</v>
      </c>
      <c r="F100">
        <v>2.5559116742497898</v>
      </c>
      <c r="G100">
        <v>-453.90223813179267</v>
      </c>
      <c r="H100">
        <v>-393.04220260009208</v>
      </c>
      <c r="I100">
        <v>59.136214868289898</v>
      </c>
      <c r="J100">
        <v>34.227848102410299</v>
      </c>
      <c r="K100">
        <v>10.9829330173151</v>
      </c>
      <c r="L100">
        <v>3.1477466224371742E-5</v>
      </c>
      <c r="M100">
        <v>1.8318614442765301E-6</v>
      </c>
      <c r="N100" s="1">
        <v>-3.8512602473368902E-7</v>
      </c>
      <c r="O100" s="1">
        <v>9.8954021184837701E-11</v>
      </c>
      <c r="P100" s="1">
        <v>1.3534357148512399E-9</v>
      </c>
      <c r="Q100">
        <v>66.181374317967794</v>
      </c>
      <c r="S100">
        <v>20.503219370114799</v>
      </c>
      <c r="AA100">
        <v>1.4728469767663599</v>
      </c>
      <c r="AB100">
        <v>8.8984221998912592</v>
      </c>
      <c r="AC100">
        <v>2.9441371352596302</v>
      </c>
      <c r="AJ100">
        <v>0.76385607982193804</v>
      </c>
      <c r="AK100">
        <v>6.9866172200159504E-2</v>
      </c>
      <c r="AL100">
        <v>0.16627774797790201</v>
      </c>
    </row>
    <row r="101" spans="1:38" x14ac:dyDescent="0.2">
      <c r="A101">
        <v>108</v>
      </c>
      <c r="B101">
        <v>755</v>
      </c>
      <c r="C101">
        <v>175</v>
      </c>
      <c r="D101">
        <v>0.40814132179156798</v>
      </c>
      <c r="E101">
        <v>28.7392713891238</v>
      </c>
      <c r="F101">
        <v>2.5563638122672701</v>
      </c>
      <c r="G101">
        <v>-464.69455980871788</v>
      </c>
      <c r="H101">
        <v>-402.48145543570553</v>
      </c>
      <c r="I101">
        <v>60.509754776066103</v>
      </c>
      <c r="J101">
        <v>35.056117420501501</v>
      </c>
      <c r="K101">
        <v>11.2422462136305</v>
      </c>
      <c r="L101">
        <v>3.1519022443763645E-5</v>
      </c>
      <c r="M101">
        <v>1.8318232336775589E-6</v>
      </c>
      <c r="N101" s="1">
        <v>-4.0745496464249802E-7</v>
      </c>
      <c r="O101" s="1">
        <v>1.01137683380969E-10</v>
      </c>
      <c r="P101" s="1">
        <v>1.42364511280146E-9</v>
      </c>
      <c r="Q101">
        <v>66.163926369341098</v>
      </c>
      <c r="S101">
        <v>20.523275760516501</v>
      </c>
      <c r="AA101">
        <v>1.49346494449211</v>
      </c>
      <c r="AB101">
        <v>8.9121208168448796</v>
      </c>
      <c r="AC101">
        <v>2.9072121088052998</v>
      </c>
      <c r="AJ101">
        <v>0.76497958140957401</v>
      </c>
      <c r="AK101">
        <v>7.0839355492779199E-2</v>
      </c>
      <c r="AL101">
        <v>0.16418106309764599</v>
      </c>
    </row>
    <row r="102" spans="1:38" x14ac:dyDescent="0.2">
      <c r="A102">
        <v>109</v>
      </c>
      <c r="B102">
        <v>754</v>
      </c>
      <c r="C102">
        <v>175</v>
      </c>
      <c r="D102">
        <v>0.40749695760112897</v>
      </c>
      <c r="E102">
        <v>29.203560587431099</v>
      </c>
      <c r="F102">
        <v>2.5567201060378602</v>
      </c>
      <c r="G102">
        <v>-472.18376410096897</v>
      </c>
      <c r="H102">
        <v>-409.06193363849184</v>
      </c>
      <c r="I102">
        <v>61.4533714282014</v>
      </c>
      <c r="J102">
        <v>35.636732083131797</v>
      </c>
      <c r="K102">
        <v>11.422275171406101</v>
      </c>
      <c r="L102">
        <v>3.1562487528931498E-5</v>
      </c>
      <c r="M102">
        <v>1.8318922550493489E-6</v>
      </c>
      <c r="N102" s="1">
        <v>-4.2779335281175898E-7</v>
      </c>
      <c r="O102" s="1">
        <v>1.0261135195999599E-10</v>
      </c>
      <c r="P102" s="1">
        <v>1.4863083698524401E-9</v>
      </c>
      <c r="Q102">
        <v>66.152552857908105</v>
      </c>
      <c r="S102">
        <v>20.537589964769701</v>
      </c>
      <c r="AA102">
        <v>1.50792816297377</v>
      </c>
      <c r="AB102">
        <v>8.9243021038630701</v>
      </c>
      <c r="AC102">
        <v>2.8776269104852301</v>
      </c>
      <c r="AJ102">
        <v>0.76597857247255996</v>
      </c>
      <c r="AK102">
        <v>7.1521036554626799E-2</v>
      </c>
      <c r="AL102">
        <v>0.16250039097281299</v>
      </c>
    </row>
    <row r="103" spans="1:38" x14ac:dyDescent="0.2">
      <c r="A103">
        <v>110</v>
      </c>
      <c r="B103">
        <v>753</v>
      </c>
      <c r="C103">
        <v>175</v>
      </c>
      <c r="D103">
        <v>0.40685133752375702</v>
      </c>
      <c r="E103">
        <v>29.550904053723201</v>
      </c>
      <c r="F103">
        <v>2.5570104946521202</v>
      </c>
      <c r="G103">
        <v>-477.77394899833246</v>
      </c>
      <c r="H103">
        <v>-413.99875805587772</v>
      </c>
      <c r="I103">
        <v>62.149969246654699</v>
      </c>
      <c r="J103">
        <v>36.075294402905001</v>
      </c>
      <c r="K103">
        <v>11.556817664819</v>
      </c>
      <c r="L103">
        <v>3.1607773608768114E-5</v>
      </c>
      <c r="M103">
        <v>1.8320387493342867E-6</v>
      </c>
      <c r="N103" s="1">
        <v>-4.4722511873137699E-7</v>
      </c>
      <c r="O103" s="1">
        <v>1.0367757275222899E-10</v>
      </c>
      <c r="P103" s="1">
        <v>1.5453019463702401E-9</v>
      </c>
      <c r="Q103">
        <v>66.145440699823695</v>
      </c>
      <c r="S103">
        <v>20.547917206925199</v>
      </c>
      <c r="AA103">
        <v>1.51810776835408</v>
      </c>
      <c r="AB103">
        <v>8.9355272488544397</v>
      </c>
      <c r="AC103">
        <v>2.85300707604243</v>
      </c>
      <c r="AJ103">
        <v>0.76689909425583203</v>
      </c>
      <c r="AK103">
        <v>7.1999823905967195E-2</v>
      </c>
      <c r="AL103">
        <v>0.16110108183819999</v>
      </c>
    </row>
    <row r="104" spans="1:38" x14ac:dyDescent="0.2">
      <c r="A104">
        <v>111</v>
      </c>
      <c r="B104">
        <v>793</v>
      </c>
      <c r="C104">
        <v>150</v>
      </c>
      <c r="D104">
        <v>0.45752520752239401</v>
      </c>
      <c r="E104">
        <v>6.0046878148144703E-2</v>
      </c>
      <c r="F104">
        <v>2.5699759758627998</v>
      </c>
      <c r="G104">
        <v>-0.98139792041723284</v>
      </c>
      <c r="H104">
        <v>-0.84385273623822243</v>
      </c>
      <c r="I104">
        <v>0.12901109991934501</v>
      </c>
      <c r="J104">
        <v>7.2976072993687802E-2</v>
      </c>
      <c r="K104">
        <v>2.33647624382891E-2</v>
      </c>
      <c r="L104">
        <v>3.0636451370774452E-5</v>
      </c>
      <c r="M104">
        <v>1.811419123206302E-6</v>
      </c>
      <c r="N104" s="1">
        <v>-2.7306097603147699E-10</v>
      </c>
      <c r="O104" s="1">
        <v>2.1005364977944801E-13</v>
      </c>
      <c r="P104" s="1">
        <v>1.29744487715289E-12</v>
      </c>
      <c r="Q104">
        <v>65.138560828177006</v>
      </c>
      <c r="S104">
        <v>21.583644854407499</v>
      </c>
      <c r="AA104">
        <v>2.6075353356489499</v>
      </c>
      <c r="AB104">
        <v>9.4070441232867505</v>
      </c>
      <c r="AC104">
        <v>1.26321485847971</v>
      </c>
      <c r="AJ104">
        <v>0.80546169579912796</v>
      </c>
      <c r="AK104">
        <v>0.123376573287657</v>
      </c>
      <c r="AL104">
        <v>7.1161730913213997E-2</v>
      </c>
    </row>
    <row r="105" spans="1:38" x14ac:dyDescent="0.2">
      <c r="A105">
        <v>112</v>
      </c>
      <c r="B105">
        <v>792</v>
      </c>
      <c r="C105">
        <v>150</v>
      </c>
      <c r="D105">
        <v>0.456950194808243</v>
      </c>
      <c r="E105">
        <v>0.49053773711830201</v>
      </c>
      <c r="F105">
        <v>2.5695734188905401</v>
      </c>
      <c r="G105">
        <v>-8.0156734340789431</v>
      </c>
      <c r="H105">
        <v>-6.8935927170608986</v>
      </c>
      <c r="I105">
        <v>1.0534485443534101</v>
      </c>
      <c r="J105">
        <v>0.59622083976328999</v>
      </c>
      <c r="K105">
        <v>0.190902401741881</v>
      </c>
      <c r="L105">
        <v>3.0671441039952685E-5</v>
      </c>
      <c r="M105">
        <v>1.8126201053709962E-6</v>
      </c>
      <c r="N105" s="1">
        <v>-2.3096544988763202E-9</v>
      </c>
      <c r="O105" s="1">
        <v>1.71689805348152E-12</v>
      </c>
      <c r="P105" s="1">
        <v>1.08311336259149E-11</v>
      </c>
      <c r="Q105">
        <v>65.187984984844903</v>
      </c>
      <c r="S105">
        <v>21.5460079816026</v>
      </c>
      <c r="AA105">
        <v>2.5649520789272202</v>
      </c>
      <c r="AB105">
        <v>9.4185132512184904</v>
      </c>
      <c r="AC105">
        <v>1.2825417034066799</v>
      </c>
      <c r="AJ105">
        <v>0.80639861354368503</v>
      </c>
      <c r="AK105">
        <v>0.121354941486723</v>
      </c>
      <c r="AL105">
        <v>7.2246444969591803E-2</v>
      </c>
    </row>
    <row r="106" spans="1:38" x14ac:dyDescent="0.2">
      <c r="A106">
        <v>113</v>
      </c>
      <c r="B106">
        <v>791</v>
      </c>
      <c r="C106">
        <v>150</v>
      </c>
      <c r="D106">
        <v>0.45637410139548201</v>
      </c>
      <c r="E106">
        <v>0.92219338747106305</v>
      </c>
      <c r="F106">
        <v>2.5691790163801298</v>
      </c>
      <c r="G106">
        <v>-15.06615607220593</v>
      </c>
      <c r="H106">
        <v>-12.9596221948396</v>
      </c>
      <c r="I106">
        <v>1.97954600137793</v>
      </c>
      <c r="J106">
        <v>1.12099120358947</v>
      </c>
      <c r="K106">
        <v>0.35894477636299299</v>
      </c>
      <c r="L106">
        <v>3.0706062440804006E-5</v>
      </c>
      <c r="M106">
        <v>1.8137905375385109E-6</v>
      </c>
      <c r="N106" s="1">
        <v>-4.4940649695898897E-9</v>
      </c>
      <c r="O106" s="1">
        <v>3.2293395641425002E-12</v>
      </c>
      <c r="P106" s="1">
        <v>2.0808568302178801E-11</v>
      </c>
      <c r="Q106">
        <v>65.236130102841102</v>
      </c>
      <c r="S106">
        <v>21.5092082815497</v>
      </c>
      <c r="AA106">
        <v>2.5233579444863201</v>
      </c>
      <c r="AB106">
        <v>9.4293268672589594</v>
      </c>
      <c r="AC106">
        <v>1.30197680386377</v>
      </c>
      <c r="AJ106">
        <v>0.80728191123566995</v>
      </c>
      <c r="AK106">
        <v>0.11938071660737901</v>
      </c>
      <c r="AL106">
        <v>7.3337372156950006E-2</v>
      </c>
    </row>
    <row r="107" spans="1:38" x14ac:dyDescent="0.2">
      <c r="A107">
        <v>114</v>
      </c>
      <c r="B107">
        <v>790</v>
      </c>
      <c r="C107">
        <v>150</v>
      </c>
      <c r="D107">
        <v>0.45579692423458601</v>
      </c>
      <c r="E107">
        <v>1.3547974768854101</v>
      </c>
      <c r="F107">
        <v>2.5687928023461502</v>
      </c>
      <c r="G107">
        <v>-22.129300813377792</v>
      </c>
      <c r="H107">
        <v>-19.038908223898389</v>
      </c>
      <c r="I107">
        <v>2.9068264962417301</v>
      </c>
      <c r="J107">
        <v>1.6470277133208899</v>
      </c>
      <c r="K107">
        <v>0.52740628813972001</v>
      </c>
      <c r="L107">
        <v>3.0740331657284014E-5</v>
      </c>
      <c r="M107">
        <v>1.8149306869121273E-6</v>
      </c>
      <c r="N107" s="1">
        <v>-6.8309553462906201E-9</v>
      </c>
      <c r="O107" s="1">
        <v>4.7464942527393503E-12</v>
      </c>
      <c r="P107" s="1">
        <v>3.1241375661025598E-11</v>
      </c>
      <c r="Q107">
        <v>65.283002642954003</v>
      </c>
      <c r="S107">
        <v>21.473243685181099</v>
      </c>
      <c r="AA107">
        <v>2.48274971778751</v>
      </c>
      <c r="AB107">
        <v>9.4394939445985298</v>
      </c>
      <c r="AC107">
        <v>1.32151000947872</v>
      </c>
      <c r="AJ107">
        <v>0.80811233821643902</v>
      </c>
      <c r="AK107">
        <v>0.11745371475185</v>
      </c>
      <c r="AL107">
        <v>7.4433947031709899E-2</v>
      </c>
    </row>
    <row r="108" spans="1:38" x14ac:dyDescent="0.2">
      <c r="A108">
        <v>115</v>
      </c>
      <c r="B108">
        <v>789</v>
      </c>
      <c r="C108">
        <v>150</v>
      </c>
      <c r="D108">
        <v>0.45521866026455898</v>
      </c>
      <c r="E108">
        <v>1.78813198563576</v>
      </c>
      <c r="F108">
        <v>2.56841479496804</v>
      </c>
      <c r="G108">
        <v>-29.201539162160653</v>
      </c>
      <c r="H108">
        <v>-25.128395253266746</v>
      </c>
      <c r="I108">
        <v>3.8348104400451</v>
      </c>
      <c r="J108">
        <v>2.1740690749230702</v>
      </c>
      <c r="K108">
        <v>0.69620062504663205</v>
      </c>
      <c r="L108">
        <v>3.0774266393370173E-5</v>
      </c>
      <c r="M108">
        <v>1.8160408752371186E-6</v>
      </c>
      <c r="N108" s="1">
        <v>-9.3250781477582992E-9</v>
      </c>
      <c r="O108" s="1">
        <v>6.2674688731433599E-12</v>
      </c>
      <c r="P108" s="1">
        <v>4.2141403559727702E-11</v>
      </c>
      <c r="Q108">
        <v>65.328611328430696</v>
      </c>
      <c r="S108">
        <v>21.4381105883004</v>
      </c>
      <c r="AA108">
        <v>2.44312238988149</v>
      </c>
      <c r="AB108">
        <v>9.4490244736562197</v>
      </c>
      <c r="AC108">
        <v>1.34113121973112</v>
      </c>
      <c r="AJ108">
        <v>0.80889072554639296</v>
      </c>
      <c r="AK108">
        <v>0.115573667844156</v>
      </c>
      <c r="AL108">
        <v>7.5535606609450107E-2</v>
      </c>
    </row>
    <row r="109" spans="1:38" x14ac:dyDescent="0.2">
      <c r="A109">
        <v>116</v>
      </c>
      <c r="B109">
        <v>788</v>
      </c>
      <c r="C109">
        <v>150</v>
      </c>
      <c r="D109">
        <v>0.45463930641285699</v>
      </c>
      <c r="E109">
        <v>2.2219783719617698</v>
      </c>
      <c r="F109">
        <v>2.5680449968832799</v>
      </c>
      <c r="G109">
        <v>-36.279297848033259</v>
      </c>
      <c r="H109">
        <v>-31.225021164293491</v>
      </c>
      <c r="I109">
        <v>4.7630181253731898</v>
      </c>
      <c r="J109">
        <v>2.70185355859399</v>
      </c>
      <c r="K109">
        <v>0.86524121448747604</v>
      </c>
      <c r="L109">
        <v>3.0807885914936942E-5</v>
      </c>
      <c r="M109">
        <v>1.8171214760400127E-6</v>
      </c>
      <c r="N109" s="1">
        <v>-1.1981284713396301E-8</v>
      </c>
      <c r="O109" s="1">
        <v>7.79136524998132E-12</v>
      </c>
      <c r="P109" s="1">
        <v>5.3520756281144599E-11</v>
      </c>
      <c r="Q109">
        <v>65.372967043896395</v>
      </c>
      <c r="S109">
        <v>21.403803908848399</v>
      </c>
      <c r="AA109">
        <v>2.40446922823882</v>
      </c>
      <c r="AB109">
        <v>9.4579293869571792</v>
      </c>
      <c r="AC109">
        <v>1.3608304320590701</v>
      </c>
      <c r="AJ109">
        <v>0.80961797988561002</v>
      </c>
      <c r="AK109">
        <v>0.113740227060161</v>
      </c>
      <c r="AL109">
        <v>7.6641793054227303E-2</v>
      </c>
    </row>
    <row r="110" spans="1:38" x14ac:dyDescent="0.2">
      <c r="A110">
        <v>117</v>
      </c>
      <c r="B110">
        <v>787</v>
      </c>
      <c r="C110">
        <v>150</v>
      </c>
      <c r="D110">
        <v>0.45405885959534198</v>
      </c>
      <c r="E110">
        <v>2.65611869044838</v>
      </c>
      <c r="F110">
        <v>2.5676833956067502</v>
      </c>
      <c r="G110">
        <v>-43.359017053718091</v>
      </c>
      <c r="H110">
        <v>-37.32573292328523</v>
      </c>
      <c r="I110">
        <v>5.69097215529204</v>
      </c>
      <c r="J110">
        <v>3.2301203729522299</v>
      </c>
      <c r="K110">
        <v>1.03444166636468</v>
      </c>
      <c r="L110">
        <v>3.0841210984383689E-5</v>
      </c>
      <c r="M110">
        <v>1.8181729115409698E-6</v>
      </c>
      <c r="N110" s="1">
        <v>-1.4804535521337E-8</v>
      </c>
      <c r="O110" s="1">
        <v>9.3172845700683608E-12</v>
      </c>
      <c r="P110" s="1">
        <v>6.5391832706483798E-11</v>
      </c>
      <c r="Q110">
        <v>65.416082719540199</v>
      </c>
      <c r="S110">
        <v>21.370317154770699</v>
      </c>
      <c r="AA110">
        <v>2.36678185976537</v>
      </c>
      <c r="AB110">
        <v>9.46622047896944</v>
      </c>
      <c r="AC110">
        <v>1.3805977869541799</v>
      </c>
      <c r="AJ110">
        <v>0.81029507697284897</v>
      </c>
      <c r="AK110">
        <v>0.11195296682480101</v>
      </c>
      <c r="AL110">
        <v>7.7751956202348899E-2</v>
      </c>
    </row>
    <row r="111" spans="1:38" x14ac:dyDescent="0.2">
      <c r="A111">
        <v>118</v>
      </c>
      <c r="B111">
        <v>786</v>
      </c>
      <c r="C111">
        <v>150</v>
      </c>
      <c r="D111">
        <v>0.45347731671623798</v>
      </c>
      <c r="E111">
        <v>3.0903366696459602</v>
      </c>
      <c r="F111">
        <v>2.56732996406675</v>
      </c>
      <c r="G111">
        <v>-50.437167949674439</v>
      </c>
      <c r="H111">
        <v>-43.427501656830962</v>
      </c>
      <c r="I111">
        <v>6.6181997760878701</v>
      </c>
      <c r="J111">
        <v>3.7586109894686701</v>
      </c>
      <c r="K111">
        <v>1.2037162004492501</v>
      </c>
      <c r="L111">
        <v>3.0874263789400747E-5</v>
      </c>
      <c r="M111">
        <v>1.8191956492930538E-6</v>
      </c>
      <c r="N111" s="1">
        <v>-1.7799911520376599E-8</v>
      </c>
      <c r="O111" s="1">
        <v>1.0844331523220899E-11</v>
      </c>
      <c r="P111" s="1">
        <v>7.7767367087005602E-11</v>
      </c>
      <c r="Q111">
        <v>65.457973202637902</v>
      </c>
      <c r="S111">
        <v>21.337642501217601</v>
      </c>
      <c r="AA111">
        <v>2.3300503644710902</v>
      </c>
      <c r="AB111">
        <v>9.4739103221904202</v>
      </c>
      <c r="AC111">
        <v>1.4004236094829099</v>
      </c>
      <c r="AJ111">
        <v>0.81092305480735005</v>
      </c>
      <c r="AK111">
        <v>0.110211389303684</v>
      </c>
      <c r="AL111">
        <v>7.88655558889646E-2</v>
      </c>
    </row>
    <row r="112" spans="1:38" x14ac:dyDescent="0.2">
      <c r="A112">
        <v>119</v>
      </c>
      <c r="B112">
        <v>785</v>
      </c>
      <c r="C112">
        <v>150</v>
      </c>
      <c r="D112">
        <v>0.452894674668055</v>
      </c>
      <c r="E112">
        <v>3.5244187365010302</v>
      </c>
      <c r="F112">
        <v>2.5669846612410301</v>
      </c>
      <c r="G112">
        <v>-57.510269333763695</v>
      </c>
      <c r="H112">
        <v>-49.527336976274199</v>
      </c>
      <c r="I112">
        <v>7.5442350871705202</v>
      </c>
      <c r="J112">
        <v>4.2870704019555701</v>
      </c>
      <c r="K112">
        <v>1.3729800531013301</v>
      </c>
      <c r="L112">
        <v>3.0907067867322358E-5</v>
      </c>
      <c r="M112">
        <v>1.8201901986100755E-6</v>
      </c>
      <c r="N112" s="1">
        <v>-2.09726264232501E-8</v>
      </c>
      <c r="O112" s="1">
        <v>1.23716182434334E-11</v>
      </c>
      <c r="P112" s="1">
        <v>9.0660472150262801E-11</v>
      </c>
      <c r="Q112">
        <v>65.498655118946004</v>
      </c>
      <c r="S112">
        <v>21.305770875363599</v>
      </c>
      <c r="AA112">
        <v>2.2942633777891102</v>
      </c>
      <c r="AB112">
        <v>9.4810121806355507</v>
      </c>
      <c r="AC112">
        <v>1.4202984472656299</v>
      </c>
      <c r="AJ112">
        <v>0.81150300662651897</v>
      </c>
      <c r="AK112">
        <v>0.10851492929423701</v>
      </c>
      <c r="AL112">
        <v>7.9982064079242493E-2</v>
      </c>
    </row>
    <row r="113" spans="1:38" x14ac:dyDescent="0.2">
      <c r="A113">
        <v>120</v>
      </c>
      <c r="B113">
        <v>784</v>
      </c>
      <c r="C113">
        <v>150</v>
      </c>
      <c r="D113">
        <v>0.45231093033155201</v>
      </c>
      <c r="E113">
        <v>3.9581549711844999</v>
      </c>
      <c r="F113">
        <v>2.56664743288907</v>
      </c>
      <c r="G113">
        <v>-64.57490311072398</v>
      </c>
      <c r="H113">
        <v>-55.622300322053377</v>
      </c>
      <c r="I113">
        <v>8.4686210931945407</v>
      </c>
      <c r="J113">
        <v>4.8152483011090501</v>
      </c>
      <c r="K113">
        <v>1.54214985683838</v>
      </c>
      <c r="L113">
        <v>3.0939648026669058E-5</v>
      </c>
      <c r="M113">
        <v>1.8211571068355731E-6</v>
      </c>
      <c r="N113" s="1">
        <v>-2.4328039870628801E-8</v>
      </c>
      <c r="O113" s="1">
        <v>1.38982679876443E-11</v>
      </c>
      <c r="P113" s="1">
        <v>1.04084684131045E-10</v>
      </c>
      <c r="Q113">
        <v>65.538146725856706</v>
      </c>
      <c r="S113">
        <v>21.2746920478886</v>
      </c>
      <c r="AA113">
        <v>2.25940820031273</v>
      </c>
      <c r="AB113">
        <v>9.4875399224317896</v>
      </c>
      <c r="AC113">
        <v>1.4402131035100501</v>
      </c>
      <c r="AJ113">
        <v>0.81203607381736997</v>
      </c>
      <c r="AK113">
        <v>0.10686295945785</v>
      </c>
      <c r="AL113">
        <v>8.1100966724779205E-2</v>
      </c>
    </row>
    <row r="114" spans="1:38" x14ac:dyDescent="0.2">
      <c r="A114">
        <v>121</v>
      </c>
      <c r="B114">
        <v>783</v>
      </c>
      <c r="C114">
        <v>150</v>
      </c>
      <c r="D114">
        <v>0.45172608057567798</v>
      </c>
      <c r="E114">
        <v>4.3913399923779801</v>
      </c>
      <c r="F114">
        <v>2.5663182123480501</v>
      </c>
      <c r="G114">
        <v>-71.627728614791536</v>
      </c>
      <c r="H114">
        <v>-61.709517329626593</v>
      </c>
      <c r="I114">
        <v>9.3909115988874099</v>
      </c>
      <c r="J114">
        <v>5.3429001641332299</v>
      </c>
      <c r="K114">
        <v>1.7111439926851899</v>
      </c>
      <c r="L114">
        <v>3.0972030267219281E-5</v>
      </c>
      <c r="M114">
        <v>1.8220969555252874E-6</v>
      </c>
      <c r="N114" s="1">
        <v>-2.7871671453780601E-8</v>
      </c>
      <c r="O114" s="1">
        <v>1.5423418548256999E-11</v>
      </c>
      <c r="P114" s="1">
        <v>1.18054009682433E-10</v>
      </c>
      <c r="Q114">
        <v>65.576467760631999</v>
      </c>
      <c r="S114">
        <v>21.2443947285111</v>
      </c>
      <c r="AA114">
        <v>2.2254709120238401</v>
      </c>
      <c r="AB114">
        <v>9.4935079320682991</v>
      </c>
      <c r="AC114">
        <v>1.46015866676467</v>
      </c>
      <c r="AJ114">
        <v>0.81252343880574696</v>
      </c>
      <c r="AK114">
        <v>0.105254795755145</v>
      </c>
      <c r="AL114">
        <v>8.2221765439106698E-2</v>
      </c>
    </row>
    <row r="115" spans="1:38" x14ac:dyDescent="0.2">
      <c r="A115">
        <v>122</v>
      </c>
      <c r="B115">
        <v>782</v>
      </c>
      <c r="C115">
        <v>150</v>
      </c>
      <c r="D115">
        <v>0.451140122257502</v>
      </c>
      <c r="E115">
        <v>4.8237737589448102</v>
      </c>
      <c r="F115">
        <v>2.56599692139253</v>
      </c>
      <c r="G115">
        <v>-78.665495548843694</v>
      </c>
      <c r="H115">
        <v>-67.786189020566297</v>
      </c>
      <c r="I115">
        <v>10.3106729169098</v>
      </c>
      <c r="J115">
        <v>5.8697882423295704</v>
      </c>
      <c r="K115">
        <v>1.8798829097296801</v>
      </c>
      <c r="L115">
        <v>3.1004241700197979E-5</v>
      </c>
      <c r="M115">
        <v>1.8230103565895468E-6</v>
      </c>
      <c r="N115" s="1">
        <v>-3.16092154958677E-8</v>
      </c>
      <c r="O115" s="1">
        <v>1.6946225346033001E-11</v>
      </c>
      <c r="P115" s="1">
        <v>1.3258297424732599E-10</v>
      </c>
      <c r="Q115">
        <v>65.613639285306505</v>
      </c>
      <c r="S115">
        <v>21.2148666649062</v>
      </c>
      <c r="AA115">
        <v>2.1924364900911999</v>
      </c>
      <c r="AB115">
        <v>9.4989310240975797</v>
      </c>
      <c r="AC115">
        <v>1.4801265355983999</v>
      </c>
      <c r="AJ115">
        <v>0.81296631806854303</v>
      </c>
      <c r="AK115">
        <v>0.103689703040727</v>
      </c>
      <c r="AL115">
        <v>8.3343978890729503E-2</v>
      </c>
    </row>
    <row r="116" spans="1:38" x14ac:dyDescent="0.2">
      <c r="A116">
        <v>123</v>
      </c>
      <c r="B116">
        <v>781</v>
      </c>
      <c r="C116">
        <v>150</v>
      </c>
      <c r="D116">
        <v>0.45055305222216901</v>
      </c>
      <c r="E116">
        <v>5.25526228641926</v>
      </c>
      <c r="F116">
        <v>2.56568347113424</v>
      </c>
      <c r="G116">
        <v>-85.685055517275316</v>
      </c>
      <c r="H116">
        <v>-73.849601797652298</v>
      </c>
      <c r="I116">
        <v>11.2274853859725</v>
      </c>
      <c r="J116">
        <v>6.39568244474028</v>
      </c>
      <c r="K116">
        <v>2.0482894112016101</v>
      </c>
      <c r="L116">
        <v>3.103631046971872E-5</v>
      </c>
      <c r="M116">
        <v>1.823897948451894E-6</v>
      </c>
      <c r="N116" s="1">
        <v>-3.5546556550554797E-8</v>
      </c>
      <c r="O116" s="1">
        <v>1.8465864194990199E-11</v>
      </c>
      <c r="P116" s="1">
        <v>1.4768667174522899E-10</v>
      </c>
      <c r="Q116">
        <v>65.649683530810705</v>
      </c>
      <c r="S116">
        <v>21.186094743056799</v>
      </c>
      <c r="AA116">
        <v>2.1602889280325002</v>
      </c>
      <c r="AB116">
        <v>9.5038243588552191</v>
      </c>
      <c r="AC116">
        <v>1.50010843924466</v>
      </c>
      <c r="AJ116">
        <v>0.81336595531420797</v>
      </c>
      <c r="AK116">
        <v>0.10216690071375401</v>
      </c>
      <c r="AL116">
        <v>8.4467143972037098E-2</v>
      </c>
    </row>
    <row r="117" spans="1:38" x14ac:dyDescent="0.2">
      <c r="A117">
        <v>124</v>
      </c>
      <c r="B117">
        <v>780</v>
      </c>
      <c r="C117">
        <v>150</v>
      </c>
      <c r="D117">
        <v>0.44996486730285301</v>
      </c>
      <c r="E117">
        <v>5.6856182714240298</v>
      </c>
      <c r="F117">
        <v>2.5653777629543999</v>
      </c>
      <c r="G117">
        <v>-92.683372043335893</v>
      </c>
      <c r="H117">
        <v>-79.897136148198058</v>
      </c>
      <c r="I117">
        <v>12.1409446851235</v>
      </c>
      <c r="J117">
        <v>6.9203611094873398</v>
      </c>
      <c r="K117">
        <v>2.2162889043195801</v>
      </c>
      <c r="L117">
        <v>3.1068265676635695E-5</v>
      </c>
      <c r="M117">
        <v>1.824760392263982E-6</v>
      </c>
      <c r="N117" s="1">
        <v>-3.9689785536901503E-8</v>
      </c>
      <c r="O117" s="1">
        <v>1.9981533712561201E-11</v>
      </c>
      <c r="P117" s="1">
        <v>1.63380815268392E-10</v>
      </c>
      <c r="Q117">
        <v>65.684623741886696</v>
      </c>
      <c r="S117">
        <v>21.158065088107499</v>
      </c>
      <c r="AA117">
        <v>2.1290113551073002</v>
      </c>
      <c r="AB117">
        <v>9.5082033612653394</v>
      </c>
      <c r="AC117">
        <v>1.5200964536330901</v>
      </c>
      <c r="AJ117">
        <v>0.81372361491759904</v>
      </c>
      <c r="AK117">
        <v>0.100685568371204</v>
      </c>
      <c r="AL117">
        <v>8.5590816711196505E-2</v>
      </c>
    </row>
    <row r="118" spans="1:38" x14ac:dyDescent="0.2">
      <c r="A118">
        <v>125</v>
      </c>
      <c r="B118">
        <v>779</v>
      </c>
      <c r="C118">
        <v>150</v>
      </c>
      <c r="D118">
        <v>0.44937556432067799</v>
      </c>
      <c r="E118">
        <v>6.11466163125331</v>
      </c>
      <c r="F118">
        <v>2.5650796894430101</v>
      </c>
      <c r="G118">
        <v>-99.657529191608518</v>
      </c>
      <c r="H118">
        <v>-85.926274157834811</v>
      </c>
      <c r="I118">
        <v>13.0506629603893</v>
      </c>
      <c r="J118">
        <v>7.4436116716410998</v>
      </c>
      <c r="K118">
        <v>2.3838096166833198</v>
      </c>
      <c r="L118">
        <v>3.1100137305962089E-5</v>
      </c>
      <c r="M118">
        <v>1.8255983682335136E-6</v>
      </c>
      <c r="N118" s="1">
        <v>-4.4045216515012699E-8</v>
      </c>
      <c r="O118" s="1">
        <v>2.1492457399145699E-11</v>
      </c>
      <c r="P118" s="1">
        <v>1.7968178884782799E-10</v>
      </c>
      <c r="Q118">
        <v>65.718484025415705</v>
      </c>
      <c r="S118">
        <v>21.130763163701999</v>
      </c>
      <c r="AA118">
        <v>2.0985861536616199</v>
      </c>
      <c r="AB118">
        <v>9.5120836432724705</v>
      </c>
      <c r="AC118">
        <v>1.5400830139481401</v>
      </c>
      <c r="AJ118">
        <v>0.81404057565233301</v>
      </c>
      <c r="AK118">
        <v>9.9244851356768804E-2</v>
      </c>
      <c r="AL118">
        <v>8.6714572990897701E-2</v>
      </c>
    </row>
    <row r="119" spans="1:38" x14ac:dyDescent="0.2">
      <c r="A119">
        <v>126</v>
      </c>
      <c r="B119">
        <v>778</v>
      </c>
      <c r="C119">
        <v>150</v>
      </c>
      <c r="D119">
        <v>0.44878514008467002</v>
      </c>
      <c r="E119">
        <v>6.5422199462073802</v>
      </c>
      <c r="F119">
        <v>2.5647891353502299</v>
      </c>
      <c r="G119">
        <v>-106.60473859648306</v>
      </c>
      <c r="H119">
        <v>-91.934605661397157</v>
      </c>
      <c r="I119">
        <v>13.9562697379878</v>
      </c>
      <c r="J119">
        <v>7.9652312125680798</v>
      </c>
      <c r="K119">
        <v>2.5507827743172302</v>
      </c>
      <c r="L119">
        <v>3.1131956158580809E-5</v>
      </c>
      <c r="M119">
        <v>1.8264125720796879E-6</v>
      </c>
      <c r="N119" s="1">
        <v>-4.8619403972032802E-8</v>
      </c>
      <c r="O119" s="1">
        <v>2.2997885341810399E-11</v>
      </c>
      <c r="P119" s="1">
        <v>1.96606699792169E-10</v>
      </c>
      <c r="Q119">
        <v>65.751289202535403</v>
      </c>
      <c r="S119">
        <v>21.104173869834899</v>
      </c>
      <c r="AA119">
        <v>2.0689950743633001</v>
      </c>
      <c r="AB119">
        <v>9.5154809308238608</v>
      </c>
      <c r="AC119">
        <v>1.56006092244242</v>
      </c>
      <c r="AJ119">
        <v>0.814318124795126</v>
      </c>
      <c r="AK119">
        <v>9.7843866203036103E-2</v>
      </c>
      <c r="AL119">
        <v>8.7838009001836803E-2</v>
      </c>
    </row>
    <row r="120" spans="1:38" x14ac:dyDescent="0.2">
      <c r="A120">
        <v>127</v>
      </c>
      <c r="B120">
        <v>777</v>
      </c>
      <c r="C120">
        <v>150</v>
      </c>
      <c r="D120">
        <v>0.44819359139171</v>
      </c>
      <c r="E120">
        <v>6.9681288221393496</v>
      </c>
      <c r="F120">
        <v>2.5645059785175301</v>
      </c>
      <c r="G120">
        <v>-113.52234518352677</v>
      </c>
      <c r="H120">
        <v>-97.919833276317576</v>
      </c>
      <c r="I120">
        <v>14.857412662199801</v>
      </c>
      <c r="J120">
        <v>8.4850269120516693</v>
      </c>
      <c r="K120">
        <v>2.7171427481590098</v>
      </c>
      <c r="L120">
        <v>3.1163753788210866E-5</v>
      </c>
      <c r="M120">
        <v>1.8272037116724E-6</v>
      </c>
      <c r="N120" s="1">
        <v>-5.3419160686323098E-8</v>
      </c>
      <c r="O120" s="1">
        <v>2.44970956037708E-11</v>
      </c>
      <c r="P120" s="1">
        <v>2.1417343192892501E-10</v>
      </c>
      <c r="Q120">
        <v>65.7830646673236</v>
      </c>
      <c r="S120">
        <v>21.078281636907199</v>
      </c>
      <c r="AA120">
        <v>2.0402193467728398</v>
      </c>
      <c r="AB120">
        <v>9.5184109955320793</v>
      </c>
      <c r="AC120">
        <v>1.5800233534642001</v>
      </c>
      <c r="AJ120">
        <v>0.81455755261195995</v>
      </c>
      <c r="AK120">
        <v>9.6481705846997404E-2</v>
      </c>
      <c r="AL120">
        <v>8.8960741541041902E-2</v>
      </c>
    </row>
    <row r="121" spans="1:38" x14ac:dyDescent="0.2">
      <c r="A121">
        <v>128</v>
      </c>
      <c r="B121">
        <v>776</v>
      </c>
      <c r="C121">
        <v>150</v>
      </c>
      <c r="D121">
        <v>0.447600915026452</v>
      </c>
      <c r="E121">
        <v>7.3922321604574304</v>
      </c>
      <c r="F121">
        <v>2.5642300907995002</v>
      </c>
      <c r="G121">
        <v>-120.40783137884421</v>
      </c>
      <c r="H121">
        <v>-103.87977614017349</v>
      </c>
      <c r="I121">
        <v>15.7537580314261</v>
      </c>
      <c r="J121">
        <v>9.0028163877265595</v>
      </c>
      <c r="K121">
        <v>2.8828271639822298</v>
      </c>
      <c r="L121">
        <v>3.1195562443837769E-5</v>
      </c>
      <c r="M121">
        <v>1.827972503848684E-6</v>
      </c>
      <c r="N121" s="1">
        <v>-5.8451576026590002E-8</v>
      </c>
      <c r="O121" s="1">
        <v>2.59893952541126E-11</v>
      </c>
      <c r="P121" s="1">
        <v>2.3240069921002001E-10</v>
      </c>
      <c r="Q121">
        <v>65.813836251559593</v>
      </c>
      <c r="S121">
        <v>21.053070516588299</v>
      </c>
      <c r="AA121">
        <v>2.01223978586154</v>
      </c>
      <c r="AB121">
        <v>9.5208895915105494</v>
      </c>
      <c r="AC121">
        <v>1.59996385447983</v>
      </c>
      <c r="AJ121">
        <v>0.81476014726552903</v>
      </c>
      <c r="AK121">
        <v>9.5157444648486605E-2</v>
      </c>
      <c r="AL121">
        <v>9.0082408085984306E-2</v>
      </c>
    </row>
    <row r="122" spans="1:38" x14ac:dyDescent="0.2">
      <c r="A122">
        <v>129</v>
      </c>
      <c r="B122">
        <v>775</v>
      </c>
      <c r="C122">
        <v>150</v>
      </c>
      <c r="D122">
        <v>0.44700710776129698</v>
      </c>
      <c r="E122">
        <v>7.8203212037282999</v>
      </c>
      <c r="F122">
        <v>2.5639565079164601</v>
      </c>
      <c r="G122">
        <v>-127.35536062636561</v>
      </c>
      <c r="H122">
        <v>-109.89564876383531</v>
      </c>
      <c r="I122">
        <v>16.657646198092099</v>
      </c>
      <c r="J122">
        <v>9.5256550950401895</v>
      </c>
      <c r="K122">
        <v>3.0500990089271398</v>
      </c>
      <c r="L122">
        <v>3.1227419573427567E-5</v>
      </c>
      <c r="M122">
        <v>1.8287243798085298E-6</v>
      </c>
      <c r="N122" s="1">
        <v>-6.3771409448430396E-8</v>
      </c>
      <c r="O122" s="1">
        <v>2.7495234811740899E-11</v>
      </c>
      <c r="P122" s="1">
        <v>2.5149577564123099E-10</v>
      </c>
      <c r="Q122">
        <v>65.8439165428709</v>
      </c>
      <c r="S122">
        <v>21.028232889598701</v>
      </c>
      <c r="AA122">
        <v>1.98472966452457</v>
      </c>
      <c r="AB122">
        <v>9.5228068395919099</v>
      </c>
      <c r="AC122">
        <v>1.6203140634137401</v>
      </c>
      <c r="AJ122">
        <v>0.81491695772910699</v>
      </c>
      <c r="AK122">
        <v>9.3855673650222293E-2</v>
      </c>
      <c r="AL122">
        <v>9.1227368620670005E-2</v>
      </c>
    </row>
    <row r="123" spans="1:38" x14ac:dyDescent="0.2">
      <c r="A123">
        <v>130</v>
      </c>
      <c r="B123">
        <v>774</v>
      </c>
      <c r="C123">
        <v>150</v>
      </c>
      <c r="D123">
        <v>0.44641216635630598</v>
      </c>
      <c r="E123">
        <v>9.1742387457392205</v>
      </c>
      <c r="F123">
        <v>2.5629343958182198</v>
      </c>
      <c r="G123">
        <v>-149.34133749105951</v>
      </c>
      <c r="H123">
        <v>-128.88798551472158</v>
      </c>
      <c r="I123">
        <v>19.5323993471211</v>
      </c>
      <c r="J123">
        <v>11.175217746677101</v>
      </c>
      <c r="K123">
        <v>3.57958391783583</v>
      </c>
      <c r="L123">
        <v>3.1257578242792924E-5</v>
      </c>
      <c r="M123">
        <v>1.8301215465023215E-6</v>
      </c>
      <c r="N123" s="1">
        <v>-7.6918683427280295E-8</v>
      </c>
      <c r="O123" s="1">
        <v>3.2297938774736101E-11</v>
      </c>
      <c r="P123" s="1">
        <v>3.0112444720275901E-10</v>
      </c>
      <c r="Q123">
        <v>65.915488074183003</v>
      </c>
      <c r="S123">
        <v>20.959498917617399</v>
      </c>
      <c r="AA123">
        <v>1.91132319547426</v>
      </c>
      <c r="AB123">
        <v>9.5021051160337393</v>
      </c>
      <c r="AC123">
        <v>1.7115846966914401</v>
      </c>
      <c r="AJ123">
        <v>0.81323007728781904</v>
      </c>
      <c r="AK123">
        <v>9.0393774834966106E-2</v>
      </c>
      <c r="AL123">
        <v>9.6376147877214297E-2</v>
      </c>
    </row>
    <row r="124" spans="1:38" x14ac:dyDescent="0.2">
      <c r="A124">
        <v>131</v>
      </c>
      <c r="B124">
        <v>773</v>
      </c>
      <c r="C124">
        <v>150</v>
      </c>
      <c r="D124">
        <v>0.44581608755914398</v>
      </c>
      <c r="E124">
        <v>10.5623111208638</v>
      </c>
      <c r="F124">
        <v>2.5618860459146302</v>
      </c>
      <c r="G124">
        <v>-171.86044236995963</v>
      </c>
      <c r="H124">
        <v>-148.34636963360884</v>
      </c>
      <c r="I124">
        <v>22.476769809636</v>
      </c>
      <c r="J124">
        <v>12.866144625601599</v>
      </c>
      <c r="K124">
        <v>4.1228653154605501</v>
      </c>
      <c r="L124">
        <v>3.1282580741686595E-5</v>
      </c>
      <c r="M124">
        <v>1.8313825278173944E-6</v>
      </c>
      <c r="N124" s="1">
        <v>-9.0964792703895901E-8</v>
      </c>
      <c r="O124" s="1">
        <v>3.72339831314806E-11</v>
      </c>
      <c r="P124" s="1">
        <v>3.5363440782498198E-10</v>
      </c>
      <c r="Q124">
        <v>65.983119449337295</v>
      </c>
      <c r="S124">
        <v>20.8915574636993</v>
      </c>
      <c r="AA124">
        <v>1.8394899435148799</v>
      </c>
      <c r="AB124">
        <v>9.4747006548777399</v>
      </c>
      <c r="AC124">
        <v>1.8111324885706299</v>
      </c>
      <c r="AJ124">
        <v>0.81099604376846701</v>
      </c>
      <c r="AK124">
        <v>8.70084528254918E-2</v>
      </c>
      <c r="AL124">
        <v>0.10199550340604099</v>
      </c>
    </row>
    <row r="125" spans="1:38" x14ac:dyDescent="0.2">
      <c r="A125">
        <v>132</v>
      </c>
      <c r="B125">
        <v>772</v>
      </c>
      <c r="C125">
        <v>150</v>
      </c>
      <c r="D125">
        <v>0.44521886810505501</v>
      </c>
      <c r="E125">
        <v>11.992506111019599</v>
      </c>
      <c r="F125">
        <v>2.5608012554203601</v>
      </c>
      <c r="G125">
        <v>-195.03900092764653</v>
      </c>
      <c r="H125">
        <v>-168.37993054392203</v>
      </c>
      <c r="I125">
        <v>25.5074107867047</v>
      </c>
      <c r="J125">
        <v>14.607925849430201</v>
      </c>
      <c r="K125">
        <v>4.6831069321117704</v>
      </c>
      <c r="L125">
        <v>3.1301820025200992E-5</v>
      </c>
      <c r="M125">
        <v>1.8325014715742167E-6</v>
      </c>
      <c r="N125" s="1">
        <v>-1.05979803534734E-7</v>
      </c>
      <c r="O125" s="1">
        <v>4.2332866676972702E-11</v>
      </c>
      <c r="P125" s="1">
        <v>4.0929091649474802E-10</v>
      </c>
      <c r="Q125">
        <v>66.046882688603503</v>
      </c>
      <c r="S125">
        <v>20.824009835568798</v>
      </c>
      <c r="AA125">
        <v>1.76888417849138</v>
      </c>
      <c r="AB125">
        <v>9.4397087257991306</v>
      </c>
      <c r="AC125">
        <v>1.9205145715370999</v>
      </c>
      <c r="AJ125">
        <v>0.808142216392712</v>
      </c>
      <c r="AK125">
        <v>8.36834137615909E-2</v>
      </c>
      <c r="AL125">
        <v>0.10817436984569601</v>
      </c>
    </row>
    <row r="126" spans="1:38" x14ac:dyDescent="0.2">
      <c r="A126">
        <v>133</v>
      </c>
      <c r="B126">
        <v>771</v>
      </c>
      <c r="C126">
        <v>150</v>
      </c>
      <c r="D126">
        <v>0.44462050471675502</v>
      </c>
      <c r="E126">
        <v>13.476216839615899</v>
      </c>
      <c r="F126">
        <v>2.5596666198672899</v>
      </c>
      <c r="G126">
        <v>-219.05789319988736</v>
      </c>
      <c r="H126">
        <v>-189.14490478934729</v>
      </c>
      <c r="I126">
        <v>28.648171632945498</v>
      </c>
      <c r="J126">
        <v>16.4141493144968</v>
      </c>
      <c r="K126">
        <v>5.2648328243287503</v>
      </c>
      <c r="L126">
        <v>3.1314469368563465E-5</v>
      </c>
      <c r="M126">
        <v>1.8334698743531895E-6</v>
      </c>
      <c r="N126" s="1">
        <v>-1.22056383624159E-7</v>
      </c>
      <c r="O126" s="1">
        <v>4.7636981734959001E-11</v>
      </c>
      <c r="P126" s="1">
        <v>4.6845226891847805E-10</v>
      </c>
      <c r="Q126">
        <v>66.106846450317605</v>
      </c>
      <c r="S126">
        <v>20.756342135681699</v>
      </c>
      <c r="AA126">
        <v>1.6990659091838101</v>
      </c>
      <c r="AB126">
        <v>9.3959350809954199</v>
      </c>
      <c r="AC126">
        <v>2.0418104238213601</v>
      </c>
      <c r="AJ126">
        <v>0.80457045610792399</v>
      </c>
      <c r="AK126">
        <v>8.0397971286619102E-2</v>
      </c>
      <c r="AL126">
        <v>0.115031572605456</v>
      </c>
    </row>
    <row r="127" spans="1:38" x14ac:dyDescent="0.2">
      <c r="A127">
        <v>134</v>
      </c>
      <c r="B127">
        <v>770</v>
      </c>
      <c r="C127">
        <v>150</v>
      </c>
      <c r="D127">
        <v>0.44402099410439499</v>
      </c>
      <c r="E127">
        <v>15.0300630569471</v>
      </c>
      <c r="F127">
        <v>2.55846411783306</v>
      </c>
      <c r="G127">
        <v>-244.18121144646938</v>
      </c>
      <c r="H127">
        <v>-210.86939004400381</v>
      </c>
      <c r="I127">
        <v>31.933874708781602</v>
      </c>
      <c r="J127">
        <v>18.304653240035201</v>
      </c>
      <c r="K127">
        <v>5.8746428969569102</v>
      </c>
      <c r="L127">
        <v>3.131936867987442E-5</v>
      </c>
      <c r="M127">
        <v>1.834274987702676E-6</v>
      </c>
      <c r="N127" s="1">
        <v>-1.3932145925686799E-7</v>
      </c>
      <c r="O127" s="1">
        <v>5.32083977009834E-11</v>
      </c>
      <c r="P127" s="1">
        <v>5.3161810746929998E-10</v>
      </c>
      <c r="Q127">
        <v>66.163060130650905</v>
      </c>
      <c r="S127">
        <v>20.687879418276601</v>
      </c>
      <c r="AA127">
        <v>1.6294667725068901</v>
      </c>
      <c r="AB127">
        <v>9.3417203391230608</v>
      </c>
      <c r="AC127">
        <v>2.1778733394424501</v>
      </c>
      <c r="AJ127">
        <v>0.80014428938871995</v>
      </c>
      <c r="AK127">
        <v>7.7125456482106503E-2</v>
      </c>
      <c r="AL127">
        <v>0.122730254129172</v>
      </c>
    </row>
    <row r="128" spans="1:38" x14ac:dyDescent="0.2">
      <c r="A128">
        <v>135</v>
      </c>
      <c r="B128">
        <v>769</v>
      </c>
      <c r="C128">
        <v>150</v>
      </c>
      <c r="D128">
        <v>0.44342033296550898</v>
      </c>
      <c r="E128">
        <v>16.678966225093699</v>
      </c>
      <c r="F128">
        <v>2.5571688340139298</v>
      </c>
      <c r="G128">
        <v>-270.80516429895255</v>
      </c>
      <c r="H128">
        <v>-233.89558839043886</v>
      </c>
      <c r="I128">
        <v>35.416759495767103</v>
      </c>
      <c r="J128">
        <v>20.3091986561409</v>
      </c>
      <c r="K128">
        <v>6.5224344999204202</v>
      </c>
      <c r="L128">
        <v>3.1314837219443524E-5</v>
      </c>
      <c r="M128">
        <v>1.8348971709435177E-6</v>
      </c>
      <c r="N128" s="1">
        <v>-1.5795562459889401E-7</v>
      </c>
      <c r="O128" s="1">
        <v>5.9140446304648695E-11</v>
      </c>
      <c r="P128" s="1">
        <v>5.9951044298467303E-10</v>
      </c>
      <c r="Q128">
        <v>66.215525483896002</v>
      </c>
      <c r="S128">
        <v>20.617712204771401</v>
      </c>
      <c r="AA128">
        <v>1.55933602997793</v>
      </c>
      <c r="AB128">
        <v>9.2746840931858898</v>
      </c>
      <c r="AC128">
        <v>2.33274218816871</v>
      </c>
      <c r="AJ128">
        <v>0.79466777643477604</v>
      </c>
      <c r="AK128">
        <v>7.3830699146108597E-2</v>
      </c>
      <c r="AL128">
        <v>0.131501524419114</v>
      </c>
    </row>
    <row r="129" spans="1:38" x14ac:dyDescent="0.2">
      <c r="A129">
        <v>136</v>
      </c>
      <c r="B129">
        <v>768</v>
      </c>
      <c r="C129">
        <v>150</v>
      </c>
      <c r="D129">
        <v>0.442818517984921</v>
      </c>
      <c r="E129">
        <v>18.4616666697287</v>
      </c>
      <c r="F129">
        <v>2.5557452393986999</v>
      </c>
      <c r="G129">
        <v>-299.54578130287052</v>
      </c>
      <c r="H129">
        <v>-258.75556851789304</v>
      </c>
      <c r="I129">
        <v>39.178036579721898</v>
      </c>
      <c r="J129">
        <v>22.474054169626299</v>
      </c>
      <c r="K129">
        <v>7.2235942711067</v>
      </c>
      <c r="L129">
        <v>3.1298353603333122E-5</v>
      </c>
      <c r="M129">
        <v>1.8353052738170662E-6</v>
      </c>
      <c r="N129" s="1">
        <v>-1.7822702398350301E-7</v>
      </c>
      <c r="O129" s="1">
        <v>6.5578517013796802E-11</v>
      </c>
      <c r="P129" s="1">
        <v>6.7321624231685305E-10</v>
      </c>
      <c r="Q129">
        <v>66.264140425803703</v>
      </c>
      <c r="S129">
        <v>20.544578381951901</v>
      </c>
      <c r="AA129">
        <v>1.48765624523606</v>
      </c>
      <c r="AB129">
        <v>9.1912900600313492</v>
      </c>
      <c r="AC129">
        <v>2.5123348869768698</v>
      </c>
      <c r="AJ129">
        <v>0.78784954610581504</v>
      </c>
      <c r="AK129">
        <v>7.0466093770577207E-2</v>
      </c>
      <c r="AL129">
        <v>0.141684360123606</v>
      </c>
    </row>
    <row r="130" spans="1:38" x14ac:dyDescent="0.2">
      <c r="A130">
        <v>137</v>
      </c>
      <c r="B130">
        <v>767</v>
      </c>
      <c r="C130">
        <v>150</v>
      </c>
      <c r="D130">
        <v>0.44221554583473799</v>
      </c>
      <c r="E130">
        <v>20.441030879668599</v>
      </c>
      <c r="F130">
        <v>2.55414127978755</v>
      </c>
      <c r="G130">
        <v>-331.4026712823221</v>
      </c>
      <c r="H130">
        <v>-286.31273901714582</v>
      </c>
      <c r="I130">
        <v>43.349451776355501</v>
      </c>
      <c r="J130">
        <v>24.874287710600498</v>
      </c>
      <c r="K130">
        <v>8.00309326716995</v>
      </c>
      <c r="L130">
        <v>3.1265999975720778E-5</v>
      </c>
      <c r="M130">
        <v>1.835448284100344E-6</v>
      </c>
      <c r="N130" s="1">
        <v>-2.00552623085021E-7</v>
      </c>
      <c r="O130" s="1">
        <v>7.2758931797446106E-11</v>
      </c>
      <c r="P130" s="1">
        <v>7.5444781107326796E-10</v>
      </c>
      <c r="Q130">
        <v>66.308575677104898</v>
      </c>
      <c r="S130">
        <v>20.4666835099639</v>
      </c>
      <c r="AA130">
        <v>1.41302381984392</v>
      </c>
      <c r="AB130">
        <v>9.0861001010923292</v>
      </c>
      <c r="AC130">
        <v>2.7256168919948198</v>
      </c>
      <c r="AJ130">
        <v>0.77924095255221004</v>
      </c>
      <c r="AK130">
        <v>6.6966025632618706E-2</v>
      </c>
      <c r="AL130">
        <v>0.15379302181517099</v>
      </c>
    </row>
    <row r="131" spans="1:38" x14ac:dyDescent="0.2">
      <c r="A131">
        <v>138</v>
      </c>
      <c r="B131">
        <v>766</v>
      </c>
      <c r="C131">
        <v>150</v>
      </c>
      <c r="D131">
        <v>0.44161141317423203</v>
      </c>
      <c r="E131">
        <v>22.723148500011899</v>
      </c>
      <c r="F131">
        <v>2.5522808680529301</v>
      </c>
      <c r="G131">
        <v>-368.06210914528191</v>
      </c>
      <c r="H131">
        <v>-318.02374839732317</v>
      </c>
      <c r="I131">
        <v>48.153164363141698</v>
      </c>
      <c r="J131">
        <v>27.636508501701901</v>
      </c>
      <c r="K131">
        <v>8.9030752000843894</v>
      </c>
      <c r="L131">
        <v>3.1211564118504354E-5</v>
      </c>
      <c r="M131">
        <v>1.8352405750449869E-6</v>
      </c>
      <c r="N131" s="1">
        <v>-2.25606440654514E-7</v>
      </c>
      <c r="O131" s="1">
        <v>8.1081045312458205E-11</v>
      </c>
      <c r="P131" s="1">
        <v>8.4600948861003502E-10</v>
      </c>
      <c r="Q131">
        <v>66.347979132463394</v>
      </c>
      <c r="S131">
        <v>20.381507246919099</v>
      </c>
      <c r="AA131">
        <v>1.3335582730686</v>
      </c>
      <c r="AB131">
        <v>8.9506079413881405</v>
      </c>
      <c r="AC131">
        <v>2.9863474061606898</v>
      </c>
      <c r="AJ131">
        <v>0.76813889709284899</v>
      </c>
      <c r="AK131">
        <v>6.3242643004742097E-2</v>
      </c>
      <c r="AL131">
        <v>0.16861845990240801</v>
      </c>
    </row>
    <row r="132" spans="1:38" x14ac:dyDescent="0.2">
      <c r="A132">
        <v>139</v>
      </c>
      <c r="B132">
        <v>765</v>
      </c>
      <c r="C132">
        <v>150</v>
      </c>
      <c r="D132">
        <v>0.44100611664981298</v>
      </c>
      <c r="E132">
        <v>25.484335162043301</v>
      </c>
      <c r="F132">
        <v>2.5500679400772301</v>
      </c>
      <c r="G132">
        <v>-412.32413292432489</v>
      </c>
      <c r="H132">
        <v>-356.30785562465633</v>
      </c>
      <c r="I132">
        <v>53.957787698953403</v>
      </c>
      <c r="J132">
        <v>30.9708873207327</v>
      </c>
      <c r="K132">
        <v>9.9935906653810402</v>
      </c>
      <c r="L132">
        <v>3.1125810602157789E-5</v>
      </c>
      <c r="M132">
        <v>1.8345436717340001E-6</v>
      </c>
      <c r="N132" s="1">
        <v>-2.5445407256201701E-7</v>
      </c>
      <c r="O132" s="1">
        <v>9.1209503429964804E-11</v>
      </c>
      <c r="P132" s="1">
        <v>9.5240209393248006E-10</v>
      </c>
      <c r="Q132">
        <v>66.380257614047594</v>
      </c>
      <c r="S132">
        <v>20.286131251927099</v>
      </c>
      <c r="AA132">
        <v>1.2473403582256199</v>
      </c>
      <c r="AB132">
        <v>8.7724982362987909</v>
      </c>
      <c r="AC132">
        <v>3.3137725395008002</v>
      </c>
      <c r="AJ132">
        <v>0.75352170413331199</v>
      </c>
      <c r="AK132">
        <v>5.9206343593234102E-2</v>
      </c>
      <c r="AL132">
        <v>0.187271952273453</v>
      </c>
    </row>
    <row r="133" spans="1:38" x14ac:dyDescent="0.2">
      <c r="A133">
        <v>140</v>
      </c>
      <c r="B133">
        <v>764</v>
      </c>
      <c r="C133">
        <v>150</v>
      </c>
      <c r="D133">
        <v>0.44039965289495597</v>
      </c>
      <c r="E133">
        <v>27.076253545682999</v>
      </c>
      <c r="F133">
        <v>2.55170863272666</v>
      </c>
      <c r="G133">
        <v>-438.1597024969663</v>
      </c>
      <c r="H133">
        <v>-378.73779710993608</v>
      </c>
      <c r="I133">
        <v>57.293453586299101</v>
      </c>
      <c r="J133">
        <v>32.9134268717414</v>
      </c>
      <c r="K133">
        <v>10.6110287038337</v>
      </c>
      <c r="L133">
        <v>3.1120386800094674E-5</v>
      </c>
      <c r="M133">
        <v>1.8325143922402663E-6</v>
      </c>
      <c r="N133" s="1">
        <v>-2.7882229223707098E-7</v>
      </c>
      <c r="O133" s="1">
        <v>9.6585928502220396E-11</v>
      </c>
      <c r="P133" s="1">
        <v>1.0366607125990301E-9</v>
      </c>
      <c r="Q133">
        <v>66.264599425328797</v>
      </c>
      <c r="S133">
        <v>20.384956736707</v>
      </c>
      <c r="AA133">
        <v>1.3558596522498501</v>
      </c>
      <c r="AB133">
        <v>8.77384402062345</v>
      </c>
      <c r="AC133">
        <v>3.2207401650907599</v>
      </c>
      <c r="AJ133">
        <v>0.75363050168049295</v>
      </c>
      <c r="AK133">
        <v>6.4356747223604099E-2</v>
      </c>
      <c r="AL133">
        <v>0.18201275109590201</v>
      </c>
    </row>
    <row r="134" spans="1:38" x14ac:dyDescent="0.2">
      <c r="A134">
        <v>141</v>
      </c>
      <c r="B134">
        <v>763</v>
      </c>
      <c r="C134">
        <v>150</v>
      </c>
      <c r="D134">
        <v>0.43979201853014099</v>
      </c>
      <c r="E134">
        <v>27.800329093508701</v>
      </c>
      <c r="F134">
        <v>2.5529514286789099</v>
      </c>
      <c r="G134">
        <v>-449.96619509330498</v>
      </c>
      <c r="H134">
        <v>-389.0463001901345</v>
      </c>
      <c r="I134">
        <v>58.794474644762303</v>
      </c>
      <c r="J134">
        <v>33.807542390854898</v>
      </c>
      <c r="K134">
        <v>10.8894860987992</v>
      </c>
      <c r="L134">
        <v>3.1152530668212419E-5</v>
      </c>
      <c r="M134">
        <v>1.8317496468094254E-6</v>
      </c>
      <c r="N134" s="1">
        <v>-2.9658854688280802E-7</v>
      </c>
      <c r="O134" s="1">
        <v>9.8899559068346599E-11</v>
      </c>
      <c r="P134" s="1">
        <v>1.0944693079219199E-9</v>
      </c>
      <c r="Q134">
        <v>66.202392130548901</v>
      </c>
      <c r="S134">
        <v>20.450231030136401</v>
      </c>
      <c r="AA134">
        <v>1.42422683449309</v>
      </c>
      <c r="AB134">
        <v>8.8063434460905103</v>
      </c>
      <c r="AC134">
        <v>3.1168065587309899</v>
      </c>
      <c r="AJ134">
        <v>0.75629871833857698</v>
      </c>
      <c r="AK134">
        <v>6.7590817643848403E-2</v>
      </c>
      <c r="AL134">
        <v>0.17611046401757299</v>
      </c>
    </row>
    <row r="135" spans="1:38" x14ac:dyDescent="0.2">
      <c r="A135">
        <v>142</v>
      </c>
      <c r="B135">
        <v>762</v>
      </c>
      <c r="C135">
        <v>150</v>
      </c>
      <c r="D135">
        <v>0.439183210162781</v>
      </c>
      <c r="E135">
        <v>28.271324446279198</v>
      </c>
      <c r="F135">
        <v>2.5536429195447501</v>
      </c>
      <c r="G135">
        <v>-457.6128501433127</v>
      </c>
      <c r="H135">
        <v>-395.75396736403837</v>
      </c>
      <c r="I135">
        <v>59.758375867530603</v>
      </c>
      <c r="J135">
        <v>34.392255595160997</v>
      </c>
      <c r="K135">
        <v>11.0709779467989</v>
      </c>
      <c r="L135">
        <v>3.1185984894600128E-5</v>
      </c>
      <c r="M135">
        <v>1.8314809618742852E-6</v>
      </c>
      <c r="N135" s="1">
        <v>-3.1192305886221398E-7</v>
      </c>
      <c r="O135" s="1">
        <v>1.0039051402309401E-10</v>
      </c>
      <c r="P135" s="1">
        <v>1.1429835714848001E-9</v>
      </c>
      <c r="Q135">
        <v>66.171601912930797</v>
      </c>
      <c r="S135">
        <v>20.483947584420601</v>
      </c>
      <c r="AA135">
        <v>1.4592278133593699</v>
      </c>
      <c r="AB135">
        <v>8.8261214275410698</v>
      </c>
      <c r="AC135">
        <v>3.0591012617481002</v>
      </c>
      <c r="AJ135">
        <v>0.75792218072562501</v>
      </c>
      <c r="AK135">
        <v>6.9245030050941805E-2</v>
      </c>
      <c r="AL135">
        <v>0.17283278922343201</v>
      </c>
    </row>
    <row r="136" spans="1:38" x14ac:dyDescent="0.2">
      <c r="A136">
        <v>143</v>
      </c>
      <c r="B136">
        <v>761</v>
      </c>
      <c r="C136">
        <v>150</v>
      </c>
      <c r="D136">
        <v>0.43857322438717999</v>
      </c>
      <c r="E136">
        <v>28.597481314353701</v>
      </c>
      <c r="F136">
        <v>2.5541111683578999</v>
      </c>
      <c r="G136">
        <v>-462.88897449223055</v>
      </c>
      <c r="H136">
        <v>-400.41068611531131</v>
      </c>
      <c r="I136">
        <v>60.415112292142602</v>
      </c>
      <c r="J136">
        <v>34.800521499905599</v>
      </c>
      <c r="K136">
        <v>11.196647064011501</v>
      </c>
      <c r="L136">
        <v>3.1221168496355992E-5</v>
      </c>
      <c r="M136">
        <v>1.8314321439510909E-6</v>
      </c>
      <c r="N136" s="1">
        <v>-3.2610470168812702E-7</v>
      </c>
      <c r="O136" s="1">
        <v>1.01397038338654E-10</v>
      </c>
      <c r="P136" s="1">
        <v>1.1868748218675699E-9</v>
      </c>
      <c r="Q136">
        <v>66.154113087280194</v>
      </c>
      <c r="S136">
        <v>20.504638853583199</v>
      </c>
      <c r="AA136">
        <v>1.4803791006581699</v>
      </c>
      <c r="AB136">
        <v>8.8413933694504596</v>
      </c>
      <c r="AC136">
        <v>3.0194755890278699</v>
      </c>
      <c r="AJ136">
        <v>0.75917564358031098</v>
      </c>
      <c r="AK136">
        <v>7.0243361789298797E-2</v>
      </c>
      <c r="AL136">
        <v>0.170580994630389</v>
      </c>
    </row>
    <row r="137" spans="1:38" x14ac:dyDescent="0.2">
      <c r="A137">
        <v>144</v>
      </c>
      <c r="B137">
        <v>760</v>
      </c>
      <c r="C137">
        <v>150</v>
      </c>
      <c r="D137">
        <v>0.43796205778444602</v>
      </c>
      <c r="E137">
        <v>28.8661773319334</v>
      </c>
      <c r="F137">
        <v>2.5545000191758498</v>
      </c>
      <c r="G137">
        <v>-467.22529077443528</v>
      </c>
      <c r="H137">
        <v>-404.25510823451907</v>
      </c>
      <c r="I137">
        <v>60.949699985400201</v>
      </c>
      <c r="J137">
        <v>35.139119541017003</v>
      </c>
      <c r="K137">
        <v>11.3001280545092</v>
      </c>
      <c r="L137">
        <v>3.1257589175684635E-5</v>
      </c>
      <c r="M137">
        <v>1.8314627560665537E-6</v>
      </c>
      <c r="N137" s="1">
        <v>-3.40133556528164E-7</v>
      </c>
      <c r="O137" s="1">
        <v>1.02207434327175E-10</v>
      </c>
      <c r="P137" s="1">
        <v>1.2298009952921201E-9</v>
      </c>
      <c r="Q137">
        <v>66.141332230779199</v>
      </c>
      <c r="S137">
        <v>20.520700793831299</v>
      </c>
      <c r="AA137">
        <v>1.4966126039629699</v>
      </c>
      <c r="AB137">
        <v>8.8550203805752403</v>
      </c>
      <c r="AC137">
        <v>2.9863339908511701</v>
      </c>
      <c r="AJ137">
        <v>0.76029397825835598</v>
      </c>
      <c r="AK137">
        <v>7.1008800155875296E-2</v>
      </c>
      <c r="AL137">
        <v>0.168697221585767</v>
      </c>
    </row>
    <row r="138" spans="1:38" x14ac:dyDescent="0.2">
      <c r="A138">
        <v>146</v>
      </c>
      <c r="B138">
        <v>807</v>
      </c>
      <c r="C138">
        <v>125</v>
      </c>
      <c r="D138">
        <v>0.49092301995093302</v>
      </c>
      <c r="E138">
        <v>4.4347692474356999E-2</v>
      </c>
      <c r="F138">
        <v>2.56752023094114</v>
      </c>
      <c r="G138">
        <v>-0.72657876269246235</v>
      </c>
      <c r="H138">
        <v>-0.62288274674257771</v>
      </c>
      <c r="I138">
        <v>9.6001496042109405E-2</v>
      </c>
      <c r="J138">
        <v>5.3870155730910203E-2</v>
      </c>
      <c r="K138">
        <v>1.7272577617860101E-2</v>
      </c>
      <c r="L138">
        <v>3.0483664656498407E-5</v>
      </c>
      <c r="M138">
        <v>1.8120101920991309E-6</v>
      </c>
      <c r="N138" s="1">
        <v>-1.20793870623283E-10</v>
      </c>
      <c r="O138" s="1">
        <v>1.5594466343296699E-13</v>
      </c>
      <c r="P138" s="1">
        <v>7.1761642258408905E-13</v>
      </c>
      <c r="Q138">
        <v>65.164215278731604</v>
      </c>
      <c r="S138">
        <v>21.566379763241901</v>
      </c>
      <c r="AA138">
        <v>2.5873053433388198</v>
      </c>
      <c r="AB138">
        <v>9.4189510097053493</v>
      </c>
      <c r="AC138">
        <v>1.26314860498227</v>
      </c>
      <c r="AJ138">
        <v>0.80643395810429397</v>
      </c>
      <c r="AK138">
        <v>0.12241221176174</v>
      </c>
      <c r="AL138">
        <v>7.1153830133965396E-2</v>
      </c>
    </row>
    <row r="139" spans="1:38" x14ac:dyDescent="0.2">
      <c r="A139">
        <v>147</v>
      </c>
      <c r="B139">
        <v>806</v>
      </c>
      <c r="C139">
        <v>125</v>
      </c>
      <c r="D139">
        <v>0.490386415234215</v>
      </c>
      <c r="E139">
        <v>0.45871644845346998</v>
      </c>
      <c r="F139">
        <v>2.5671447164365202</v>
      </c>
      <c r="G139">
        <v>-7.5139887633374522</v>
      </c>
      <c r="H139">
        <v>-6.4428643039514739</v>
      </c>
      <c r="I139">
        <v>0.99256309075288596</v>
      </c>
      <c r="J139">
        <v>0.55724001649063404</v>
      </c>
      <c r="K139">
        <v>0.17868741310782699</v>
      </c>
      <c r="L139">
        <v>3.0512241815455069E-5</v>
      </c>
      <c r="M139">
        <v>1.8131303539400316E-6</v>
      </c>
      <c r="N139" s="1">
        <v>-1.30056834716738E-9</v>
      </c>
      <c r="O139" s="1">
        <v>1.6139964977623199E-12</v>
      </c>
      <c r="P139" s="1">
        <v>7.5740507523577508E-12</v>
      </c>
      <c r="Q139">
        <v>65.210688730144795</v>
      </c>
      <c r="S139">
        <v>21.530989992079999</v>
      </c>
      <c r="AA139">
        <v>2.54726447521355</v>
      </c>
      <c r="AB139">
        <v>9.4297357182878301</v>
      </c>
      <c r="AC139">
        <v>1.2813210842737099</v>
      </c>
      <c r="AJ139">
        <v>0.80731486553180998</v>
      </c>
      <c r="AK139">
        <v>0.12051143488415</v>
      </c>
      <c r="AL139">
        <v>7.2173699584038298E-2</v>
      </c>
    </row>
    <row r="140" spans="1:38" x14ac:dyDescent="0.2">
      <c r="A140">
        <v>148</v>
      </c>
      <c r="B140">
        <v>805</v>
      </c>
      <c r="C140">
        <v>125</v>
      </c>
      <c r="D140">
        <v>0.48984881509993899</v>
      </c>
      <c r="E140">
        <v>0.87389138329633997</v>
      </c>
      <c r="F140">
        <v>2.5667768141343701</v>
      </c>
      <c r="G140">
        <v>-14.311931140021604</v>
      </c>
      <c r="H140">
        <v>-12.274157885403405</v>
      </c>
      <c r="I140">
        <v>1.8900646984354601</v>
      </c>
      <c r="J140">
        <v>1.06163832189369</v>
      </c>
      <c r="K140">
        <v>0.340462551509782</v>
      </c>
      <c r="L140">
        <v>3.0540408086303013E-5</v>
      </c>
      <c r="M140">
        <v>1.8142224567110952E-6</v>
      </c>
      <c r="N140" s="1">
        <v>-2.57720682078743E-9</v>
      </c>
      <c r="O140" s="1">
        <v>3.0765500566222899E-12</v>
      </c>
      <c r="P140" s="1">
        <v>1.47235957682268E-11</v>
      </c>
      <c r="Q140">
        <v>65.255991965848395</v>
      </c>
      <c r="S140">
        <v>21.496369883021401</v>
      </c>
      <c r="AA140">
        <v>2.5081316400420599</v>
      </c>
      <c r="AB140">
        <v>9.43993043317254</v>
      </c>
      <c r="AC140">
        <v>1.2995760779154499</v>
      </c>
      <c r="AJ140">
        <v>0.80814751859496503</v>
      </c>
      <c r="AK140">
        <v>0.118654159452299</v>
      </c>
      <c r="AL140">
        <v>7.3198321952734804E-2</v>
      </c>
    </row>
    <row r="141" spans="1:38" x14ac:dyDescent="0.2">
      <c r="A141">
        <v>149</v>
      </c>
      <c r="B141">
        <v>804</v>
      </c>
      <c r="C141">
        <v>125</v>
      </c>
      <c r="D141">
        <v>0.48931021677575198</v>
      </c>
      <c r="E141">
        <v>1.2896851469944901</v>
      </c>
      <c r="F141">
        <v>2.5664165375255501</v>
      </c>
      <c r="G141">
        <v>-21.117331664492063</v>
      </c>
      <c r="H141">
        <v>-18.1141397415524</v>
      </c>
      <c r="I141">
        <v>2.7880907236129202</v>
      </c>
      <c r="J141">
        <v>1.56683902589169</v>
      </c>
      <c r="K141">
        <v>0.50252370499371801</v>
      </c>
      <c r="L141">
        <v>3.0568176334080959E-5</v>
      </c>
      <c r="M141">
        <v>1.8152867736099126E-6</v>
      </c>
      <c r="N141" s="1">
        <v>-3.9535413453170299E-9</v>
      </c>
      <c r="O141" s="1">
        <v>4.5428449921166397E-12</v>
      </c>
      <c r="P141" s="1">
        <v>2.2172959963681199E-11</v>
      </c>
      <c r="Q141">
        <v>65.3001326264244</v>
      </c>
      <c r="S141">
        <v>21.4625162325163</v>
      </c>
      <c r="AA141">
        <v>2.4699024120378099</v>
      </c>
      <c r="AB141">
        <v>9.4495437824644792</v>
      </c>
      <c r="AC141">
        <v>1.31790494655688</v>
      </c>
      <c r="AJ141">
        <v>0.80893263584305997</v>
      </c>
      <c r="AK141">
        <v>0.116840148451248</v>
      </c>
      <c r="AL141">
        <v>7.4227215705691005E-2</v>
      </c>
    </row>
    <row r="142" spans="1:38" x14ac:dyDescent="0.2">
      <c r="A142">
        <v>150</v>
      </c>
      <c r="B142">
        <v>803</v>
      </c>
      <c r="C142">
        <v>125</v>
      </c>
      <c r="D142">
        <v>0.48877061747897599</v>
      </c>
      <c r="E142">
        <v>1.70590984387802</v>
      </c>
      <c r="F142">
        <v>2.5660638870107002</v>
      </c>
      <c r="G142">
        <v>-27.927110333034701</v>
      </c>
      <c r="H142">
        <v>-23.960179040198035</v>
      </c>
      <c r="I142">
        <v>3.6862252407532998</v>
      </c>
      <c r="J142">
        <v>2.0726155703939901</v>
      </c>
      <c r="K142">
        <v>0.66479632580983705</v>
      </c>
      <c r="L142">
        <v>3.0595560611615155E-5</v>
      </c>
      <c r="M142">
        <v>1.8163236206934909E-6</v>
      </c>
      <c r="N142" s="1">
        <v>-5.4324491052193197E-9</v>
      </c>
      <c r="O142" s="1">
        <v>6.0121167212972998E-12</v>
      </c>
      <c r="P142" s="1">
        <v>2.9928964331370799E-11</v>
      </c>
      <c r="Q142">
        <v>65.343120157748004</v>
      </c>
      <c r="S142">
        <v>21.429424600376201</v>
      </c>
      <c r="AA142">
        <v>2.43257092393383</v>
      </c>
      <c r="AB142">
        <v>9.4585851752587402</v>
      </c>
      <c r="AC142">
        <v>1.3362991426831501</v>
      </c>
      <c r="AJ142">
        <v>0.80967099847809398</v>
      </c>
      <c r="AK142">
        <v>0.115069097339036</v>
      </c>
      <c r="AL142">
        <v>7.5259904182869194E-2</v>
      </c>
    </row>
    <row r="143" spans="1:38" x14ac:dyDescent="0.2">
      <c r="A143">
        <v>151</v>
      </c>
      <c r="B143">
        <v>802</v>
      </c>
      <c r="C143">
        <v>125</v>
      </c>
      <c r="D143">
        <v>0.48823001441659297</v>
      </c>
      <c r="E143">
        <v>2.1223779100717599</v>
      </c>
      <c r="F143">
        <v>2.5657188502342998</v>
      </c>
      <c r="G143">
        <v>-34.738195706953839</v>
      </c>
      <c r="H143">
        <v>-29.809650138475867</v>
      </c>
      <c r="I143">
        <v>4.5840539166422998</v>
      </c>
      <c r="J143">
        <v>2.57874196178288</v>
      </c>
      <c r="K143">
        <v>0.82720595433827104</v>
      </c>
      <c r="L143">
        <v>3.0622576104743791E-5</v>
      </c>
      <c r="M143">
        <v>1.8173333544323534E-6</v>
      </c>
      <c r="N143" s="1">
        <v>-7.0168571846770301E-9</v>
      </c>
      <c r="O143" s="1">
        <v>7.4835998255356698E-12</v>
      </c>
      <c r="P143" s="1">
        <v>3.79985628307469E-11</v>
      </c>
      <c r="Q143">
        <v>65.384965719555694</v>
      </c>
      <c r="S143">
        <v>21.397089363317502</v>
      </c>
      <c r="AA143">
        <v>2.3961299324917298</v>
      </c>
      <c r="AB143">
        <v>9.4670647382609108</v>
      </c>
      <c r="AC143">
        <v>1.35475024637404</v>
      </c>
      <c r="AJ143">
        <v>0.81036344519727799</v>
      </c>
      <c r="AK143">
        <v>0.113340637202751</v>
      </c>
      <c r="AL143">
        <v>7.6295917599969704E-2</v>
      </c>
    </row>
    <row r="144" spans="1:38" x14ac:dyDescent="0.2">
      <c r="A144">
        <v>152</v>
      </c>
      <c r="B144">
        <v>801</v>
      </c>
      <c r="C144">
        <v>125</v>
      </c>
      <c r="D144">
        <v>0.487688404785181</v>
      </c>
      <c r="E144">
        <v>2.5389029675813202</v>
      </c>
      <c r="F144">
        <v>2.5653814025386499</v>
      </c>
      <c r="G144">
        <v>-41.547538849206539</v>
      </c>
      <c r="H144">
        <v>-35.65994452413296</v>
      </c>
      <c r="I144">
        <v>5.4811658754117802</v>
      </c>
      <c r="J144">
        <v>3.0849938185918502</v>
      </c>
      <c r="K144">
        <v>0.98967855815469596</v>
      </c>
      <c r="L144">
        <v>3.0649239075057078E-5</v>
      </c>
      <c r="M144">
        <v>1.8183163690822992E-6</v>
      </c>
      <c r="N144" s="1">
        <v>-8.7097479088973306E-9</v>
      </c>
      <c r="O144" s="1">
        <v>8.9565313640455801E-12</v>
      </c>
      <c r="P144" s="1">
        <v>4.6388864350759901E-11</v>
      </c>
      <c r="Q144">
        <v>65.4256820844478</v>
      </c>
      <c r="S144">
        <v>21.365503776812002</v>
      </c>
      <c r="AA144">
        <v>2.3605708930949101</v>
      </c>
      <c r="AB144">
        <v>9.4749932528681597</v>
      </c>
      <c r="AC144">
        <v>1.3732499927769899</v>
      </c>
      <c r="AJ144">
        <v>0.81101086707991299</v>
      </c>
      <c r="AK144">
        <v>0.11165433833511899</v>
      </c>
      <c r="AL144">
        <v>7.7334794584966796E-2</v>
      </c>
    </row>
    <row r="145" spans="1:38" x14ac:dyDescent="0.2">
      <c r="A145">
        <v>153</v>
      </c>
      <c r="B145">
        <v>800</v>
      </c>
      <c r="C145">
        <v>125</v>
      </c>
      <c r="D145">
        <v>0.48714578577086598</v>
      </c>
      <c r="E145">
        <v>2.95530063544326</v>
      </c>
      <c r="F145">
        <v>2.56505150743937</v>
      </c>
      <c r="G145">
        <v>-48.352126536952703</v>
      </c>
      <c r="H145">
        <v>-41.508482150797889</v>
      </c>
      <c r="I145">
        <v>6.3771554639657104</v>
      </c>
      <c r="J145">
        <v>3.59114936643619</v>
      </c>
      <c r="K145">
        <v>1.15214085443198</v>
      </c>
      <c r="L145">
        <v>3.0675566796421673E-5</v>
      </c>
      <c r="M145">
        <v>1.8192730938659843E-6</v>
      </c>
      <c r="N145" s="1">
        <v>-1.0514164693716099E-8</v>
      </c>
      <c r="O145" s="1">
        <v>1.04301540295918E-11</v>
      </c>
      <c r="P145" s="1">
        <v>5.5107155816076201E-11</v>
      </c>
      <c r="Q145">
        <v>65.465283529576197</v>
      </c>
      <c r="S145">
        <v>21.334660040434301</v>
      </c>
      <c r="AA145">
        <v>2.3258840389344901</v>
      </c>
      <c r="AB145">
        <v>9.4823820851187204</v>
      </c>
      <c r="AC145">
        <v>1.39179030593616</v>
      </c>
      <c r="AJ145">
        <v>0.811614201898608</v>
      </c>
      <c r="AK145">
        <v>0.110009714023863</v>
      </c>
      <c r="AL145">
        <v>7.8376084077528205E-2</v>
      </c>
    </row>
    <row r="146" spans="1:38" x14ac:dyDescent="0.2">
      <c r="A146">
        <v>154</v>
      </c>
      <c r="B146">
        <v>799</v>
      </c>
      <c r="C146">
        <v>125</v>
      </c>
      <c r="D146">
        <v>0.48660215454927003</v>
      </c>
      <c r="E146">
        <v>3.37138929603389</v>
      </c>
      <c r="F146">
        <v>2.5647291172046298</v>
      </c>
      <c r="G146">
        <v>-55.148993721623931</v>
      </c>
      <c r="H146">
        <v>-47.352722142404936</v>
      </c>
      <c r="I146">
        <v>7.2716239138357404</v>
      </c>
      <c r="J146">
        <v>4.0969903779161001</v>
      </c>
      <c r="K146">
        <v>1.3145206148353199</v>
      </c>
      <c r="L146">
        <v>3.0701577490538926E-5</v>
      </c>
      <c r="M146">
        <v>1.8202039900375723E-6</v>
      </c>
      <c r="N146" s="1">
        <v>-1.24332184031918E-8</v>
      </c>
      <c r="O146" s="1">
        <v>1.19037191351151E-11</v>
      </c>
      <c r="P146" s="1">
        <v>6.4160926418484094E-11</v>
      </c>
      <c r="Q146">
        <v>65.503785721422105</v>
      </c>
      <c r="S146">
        <v>21.304549369745601</v>
      </c>
      <c r="AA146">
        <v>2.29205846719907</v>
      </c>
      <c r="AB146">
        <v>9.4892431173774892</v>
      </c>
      <c r="AC146">
        <v>1.4103633242556199</v>
      </c>
      <c r="AJ146">
        <v>0.81217442857756506</v>
      </c>
      <c r="AK146">
        <v>0.108406224663293</v>
      </c>
      <c r="AL146">
        <v>7.9419346759141904E-2</v>
      </c>
    </row>
    <row r="147" spans="1:38" x14ac:dyDescent="0.2">
      <c r="A147">
        <v>155</v>
      </c>
      <c r="B147">
        <v>798</v>
      </c>
      <c r="C147">
        <v>125</v>
      </c>
      <c r="D147">
        <v>0.48605750828548999</v>
      </c>
      <c r="E147">
        <v>3.7869908084286599</v>
      </c>
      <c r="F147">
        <v>2.5644141734867199</v>
      </c>
      <c r="G147">
        <v>-61.93523510528739</v>
      </c>
      <c r="H147">
        <v>-53.190172753333201</v>
      </c>
      <c r="I147">
        <v>8.1641808821866206</v>
      </c>
      <c r="J147">
        <v>4.6023030475992304</v>
      </c>
      <c r="K147">
        <v>1.47674694968623</v>
      </c>
      <c r="L147">
        <v>3.0727290260959513E-5</v>
      </c>
      <c r="M147">
        <v>1.8211095478660088E-6</v>
      </c>
      <c r="N147" s="1">
        <v>-1.44700941812856E-8</v>
      </c>
      <c r="O147" s="1">
        <v>1.33764893996793E-11</v>
      </c>
      <c r="P147" s="1">
        <v>7.3557892803510904E-11</v>
      </c>
      <c r="Q147">
        <v>65.541205596196406</v>
      </c>
      <c r="S147">
        <v>21.275162071667602</v>
      </c>
      <c r="AA147">
        <v>2.25908222916678</v>
      </c>
      <c r="AB147">
        <v>9.4955886794175406</v>
      </c>
      <c r="AC147">
        <v>1.4289614235515999</v>
      </c>
      <c r="AJ147">
        <v>0.81269256160624503</v>
      </c>
      <c r="AK147">
        <v>0.10684328204337799</v>
      </c>
      <c r="AL147">
        <v>8.0464156350375904E-2</v>
      </c>
    </row>
    <row r="148" spans="1:38" x14ac:dyDescent="0.2">
      <c r="A148">
        <v>156</v>
      </c>
      <c r="B148">
        <v>797</v>
      </c>
      <c r="C148">
        <v>125</v>
      </c>
      <c r="D148">
        <v>0.48551184413399801</v>
      </c>
      <c r="E148">
        <v>4.2019311618173898</v>
      </c>
      <c r="F148">
        <v>2.5641066079985202</v>
      </c>
      <c r="G148">
        <v>-68.708015720838915</v>
      </c>
      <c r="H148">
        <v>-59.018400486761315</v>
      </c>
      <c r="I148">
        <v>9.0544458571953399</v>
      </c>
      <c r="J148">
        <v>5.1068787935770601</v>
      </c>
      <c r="K148">
        <v>1.63875056860343</v>
      </c>
      <c r="L148">
        <v>3.0752725026532754E-5</v>
      </c>
      <c r="M148">
        <v>1.8219902835740079E-6</v>
      </c>
      <c r="N148" s="1">
        <v>-1.6628058722450399E-8</v>
      </c>
      <c r="O148" s="1">
        <v>1.48477415061764E-11</v>
      </c>
      <c r="P148" s="1">
        <v>8.3306025047368802E-11</v>
      </c>
      <c r="Q148">
        <v>65.577561237333299</v>
      </c>
      <c r="S148">
        <v>21.246487622446601</v>
      </c>
      <c r="AA148">
        <v>2.2269424231107</v>
      </c>
      <c r="AB148">
        <v>9.5014314798139292</v>
      </c>
      <c r="AC148">
        <v>1.4475772372953899</v>
      </c>
      <c r="AJ148">
        <v>0.81316964548242499</v>
      </c>
      <c r="AK148">
        <v>0.10532025376493601</v>
      </c>
      <c r="AL148">
        <v>8.1510100752637399E-2</v>
      </c>
    </row>
    <row r="149" spans="1:38" x14ac:dyDescent="0.2">
      <c r="A149">
        <v>157</v>
      </c>
      <c r="B149">
        <v>796</v>
      </c>
      <c r="C149">
        <v>125</v>
      </c>
      <c r="D149">
        <v>0.48496515923864703</v>
      </c>
      <c r="E149">
        <v>4.6160410676207801</v>
      </c>
      <c r="F149">
        <v>2.5638063432254201</v>
      </c>
      <c r="G149">
        <v>-75.464580496006334</v>
      </c>
      <c r="H149">
        <v>-64.835038352973484</v>
      </c>
      <c r="I149">
        <v>9.94204942527508</v>
      </c>
      <c r="J149">
        <v>5.6105149839658104</v>
      </c>
      <c r="K149">
        <v>1.8004640170339501</v>
      </c>
      <c r="L149">
        <v>3.0777902455474933E-5</v>
      </c>
      <c r="M149">
        <v>1.8228467362765718E-6</v>
      </c>
      <c r="N149" s="1">
        <v>-1.89104679630164E-8</v>
      </c>
      <c r="O149" s="1">
        <v>1.6316768423562499E-11</v>
      </c>
      <c r="P149" s="1">
        <v>9.3413573355203496E-11</v>
      </c>
      <c r="Q149">
        <v>65.612871751823107</v>
      </c>
      <c r="S149">
        <v>21.2185147471472</v>
      </c>
      <c r="AA149">
        <v>2.1956252887388601</v>
      </c>
      <c r="AB149">
        <v>9.5067845387610692</v>
      </c>
      <c r="AC149">
        <v>1.46620367352967</v>
      </c>
      <c r="AJ149">
        <v>0.81360674927451404</v>
      </c>
      <c r="AK149">
        <v>0.103836467720541</v>
      </c>
      <c r="AL149">
        <v>8.2556783004944595E-2</v>
      </c>
    </row>
    <row r="150" spans="1:38" x14ac:dyDescent="0.2">
      <c r="A150">
        <v>158</v>
      </c>
      <c r="B150">
        <v>795</v>
      </c>
      <c r="C150">
        <v>125</v>
      </c>
      <c r="D150">
        <v>0.48441745073257497</v>
      </c>
      <c r="E150">
        <v>5.0291564815738496</v>
      </c>
      <c r="F150">
        <v>2.5635132931678299</v>
      </c>
      <c r="G150">
        <v>-82.202262660566959</v>
      </c>
      <c r="H150">
        <v>-70.637793145681798</v>
      </c>
      <c r="I150">
        <v>10.8266343817677</v>
      </c>
      <c r="J150">
        <v>6.1130155777616597</v>
      </c>
      <c r="K150">
        <v>1.9618218852140701</v>
      </c>
      <c r="L150">
        <v>3.0802843900696144E-5</v>
      </c>
      <c r="M150">
        <v>1.8236794649431971E-6</v>
      </c>
      <c r="N150" s="1">
        <v>-2.1320775141712401E-8</v>
      </c>
      <c r="O150" s="1">
        <v>1.7782881460618601E-11</v>
      </c>
      <c r="P150" s="1">
        <v>1.03889095252149E-10</v>
      </c>
      <c r="Q150">
        <v>65.647157146353905</v>
      </c>
      <c r="S150">
        <v>21.191231500069399</v>
      </c>
      <c r="AA150">
        <v>2.16511630243913</v>
      </c>
      <c r="AB150">
        <v>9.5116611228849202</v>
      </c>
      <c r="AC150">
        <v>1.48483392825257</v>
      </c>
      <c r="AJ150">
        <v>0.81400496134899802</v>
      </c>
      <c r="AK150">
        <v>0.10239121660706201</v>
      </c>
      <c r="AL150">
        <v>8.3603822043939E-2</v>
      </c>
    </row>
    <row r="151" spans="1:38" x14ac:dyDescent="0.2">
      <c r="A151">
        <v>159</v>
      </c>
      <c r="B151">
        <v>794</v>
      </c>
      <c r="C151">
        <v>125</v>
      </c>
      <c r="D151">
        <v>0.48386871573818202</v>
      </c>
      <c r="E151">
        <v>5.44111906560632</v>
      </c>
      <c r="F151">
        <v>2.5632273640913401</v>
      </c>
      <c r="G151">
        <v>-88.918491159488696</v>
      </c>
      <c r="H151">
        <v>-76.424451874826218</v>
      </c>
      <c r="I151">
        <v>11.707856706800801</v>
      </c>
      <c r="J151">
        <v>6.6141916920352299</v>
      </c>
      <c r="K151">
        <v>2.1227609933600902</v>
      </c>
      <c r="L151">
        <v>3.0827571337524608E-5</v>
      </c>
      <c r="M151">
        <v>1.8244890454377947E-6</v>
      </c>
      <c r="N151" s="1">
        <v>-2.3862539249169801E-8</v>
      </c>
      <c r="O151" s="1">
        <v>1.9245412084791201E-11</v>
      </c>
      <c r="P151" s="1">
        <v>1.14741483400142E-10</v>
      </c>
      <c r="Q151">
        <v>65.680438205704107</v>
      </c>
      <c r="S151">
        <v>21.1646253442625</v>
      </c>
      <c r="AA151">
        <v>2.13540027125504</v>
      </c>
      <c r="AB151">
        <v>9.5160746827037492</v>
      </c>
      <c r="AC151">
        <v>1.5034614960745101</v>
      </c>
      <c r="AJ151">
        <v>0.81436538431564898</v>
      </c>
      <c r="AK151">
        <v>0.100983762372158</v>
      </c>
      <c r="AL151">
        <v>8.4650853312192006E-2</v>
      </c>
    </row>
    <row r="152" spans="1:38" x14ac:dyDescent="0.2">
      <c r="A152">
        <v>160</v>
      </c>
      <c r="B152">
        <v>793</v>
      </c>
      <c r="C152">
        <v>125</v>
      </c>
      <c r="D152">
        <v>0.48331895136707098</v>
      </c>
      <c r="E152">
        <v>5.8517765752862303</v>
      </c>
      <c r="F152">
        <v>2.5629484552892601</v>
      </c>
      <c r="G152">
        <v>-95.61079684156789</v>
      </c>
      <c r="H152">
        <v>-82.192887156615896</v>
      </c>
      <c r="I152">
        <v>12.585386376168399</v>
      </c>
      <c r="J152">
        <v>7.1138620782097499</v>
      </c>
      <c r="K152">
        <v>2.2832205474946798</v>
      </c>
      <c r="L152">
        <v>3.0852107304002884E-5</v>
      </c>
      <c r="M152">
        <v>1.825276067637116E-6</v>
      </c>
      <c r="N152" s="1">
        <v>-2.6539433786388299E-8</v>
      </c>
      <c r="O152" s="1">
        <v>2.0703713454327499E-11</v>
      </c>
      <c r="P152" s="1">
        <v>1.2597999368290101E-10</v>
      </c>
      <c r="Q152">
        <v>65.712736373314002</v>
      </c>
      <c r="S152">
        <v>21.138683230314602</v>
      </c>
      <c r="AA152">
        <v>2.1064614257544898</v>
      </c>
      <c r="AB152">
        <v>9.5200387930444492</v>
      </c>
      <c r="AC152">
        <v>1.5220801775724</v>
      </c>
      <c r="AJ152">
        <v>0.81468913021484302</v>
      </c>
      <c r="AK152">
        <v>9.9613340602939401E-2</v>
      </c>
      <c r="AL152">
        <v>8.5697529182217194E-2</v>
      </c>
    </row>
    <row r="153" spans="1:38" x14ac:dyDescent="0.2">
      <c r="A153">
        <v>161</v>
      </c>
      <c r="B153">
        <v>792</v>
      </c>
      <c r="C153">
        <v>125</v>
      </c>
      <c r="D153">
        <v>0.48276815471999501</v>
      </c>
      <c r="E153">
        <v>6.26098318427485</v>
      </c>
      <c r="F153">
        <v>2.5626764598390301</v>
      </c>
      <c r="G153">
        <v>-102.27681761267756</v>
      </c>
      <c r="H153">
        <v>-87.941061721886896</v>
      </c>
      <c r="I153">
        <v>13.4589080324749</v>
      </c>
      <c r="J153">
        <v>7.6118535213940604</v>
      </c>
      <c r="K153">
        <v>2.4431422703543699</v>
      </c>
      <c r="L153">
        <v>3.0876474844697573E-5</v>
      </c>
      <c r="M153">
        <v>1.8260411326711486E-6</v>
      </c>
      <c r="N153" s="1">
        <v>-2.9355255855521599E-8</v>
      </c>
      <c r="O153" s="1">
        <v>2.2157161703759701E-11</v>
      </c>
      <c r="P153" s="1">
        <v>1.3761427371500601E-10</v>
      </c>
      <c r="Q153">
        <v>65.744073636008096</v>
      </c>
      <c r="S153">
        <v>21.113391672948701</v>
      </c>
      <c r="AA153">
        <v>2.078283510121</v>
      </c>
      <c r="AB153">
        <v>9.5235670969600594</v>
      </c>
      <c r="AC153">
        <v>1.540684083962</v>
      </c>
      <c r="AJ153">
        <v>0.81497731599092904</v>
      </c>
      <c r="AK153">
        <v>9.8279164778242306E-2</v>
      </c>
      <c r="AL153">
        <v>8.6743519230828098E-2</v>
      </c>
    </row>
    <row r="154" spans="1:38" x14ac:dyDescent="0.2">
      <c r="A154">
        <v>162</v>
      </c>
      <c r="B154">
        <v>791</v>
      </c>
      <c r="C154">
        <v>125</v>
      </c>
      <c r="D154">
        <v>0.48221632288681698</v>
      </c>
      <c r="E154">
        <v>6.6685997442330596</v>
      </c>
      <c r="F154">
        <v>2.5624112653473099</v>
      </c>
      <c r="G154">
        <v>-108.91430253006564</v>
      </c>
      <c r="H154">
        <v>-93.667032021215519</v>
      </c>
      <c r="I154">
        <v>14.328121513743399</v>
      </c>
      <c r="J154">
        <v>8.1080011609357197</v>
      </c>
      <c r="K154">
        <v>2.6024705067510601</v>
      </c>
      <c r="L154">
        <v>3.0900697458383662E-5</v>
      </c>
      <c r="M154">
        <v>1.8267848502996257E-6</v>
      </c>
      <c r="N154" s="1">
        <v>-3.2313935554300197E-8</v>
      </c>
      <c r="O154" s="1">
        <v>2.3605156976879099E-11</v>
      </c>
      <c r="P154" s="1">
        <v>1.4965439167136799E-10</v>
      </c>
      <c r="Q154">
        <v>65.774472413502707</v>
      </c>
      <c r="S154">
        <v>21.088736824981499</v>
      </c>
      <c r="AA154">
        <v>2.0508498689521302</v>
      </c>
      <c r="AB154">
        <v>9.5266732533945007</v>
      </c>
      <c r="AC154">
        <v>1.5592676391690401</v>
      </c>
      <c r="AJ154">
        <v>0.81523105927113404</v>
      </c>
      <c r="AK154">
        <v>9.6980430360721001E-2</v>
      </c>
      <c r="AL154">
        <v>8.7788510368144099E-2</v>
      </c>
    </row>
    <row r="155" spans="1:38" x14ac:dyDescent="0.2">
      <c r="A155">
        <v>163</v>
      </c>
      <c r="B155">
        <v>790</v>
      </c>
      <c r="C155">
        <v>125</v>
      </c>
      <c r="D155">
        <v>0.48166345294643498</v>
      </c>
      <c r="E155">
        <v>7.0744939804927904</v>
      </c>
      <c r="F155">
        <v>2.56215275467898</v>
      </c>
      <c r="G155">
        <v>-115.52111484470115</v>
      </c>
      <c r="H155">
        <v>-99.368950931455743</v>
      </c>
      <c r="I155">
        <v>15.192742240742501</v>
      </c>
      <c r="J155">
        <v>8.6021487326374206</v>
      </c>
      <c r="K155">
        <v>2.7611523034968899</v>
      </c>
      <c r="L155">
        <v>3.0924799049858781E-5</v>
      </c>
      <c r="M155">
        <v>1.8275078364352218E-6</v>
      </c>
      <c r="N155" s="1">
        <v>-3.5419545650391098E-8</v>
      </c>
      <c r="O155" s="1">
        <v>2.5047124208254801E-11</v>
      </c>
      <c r="P155" s="1">
        <v>1.6211086536321999E-10</v>
      </c>
      <c r="Q155">
        <v>65.803955453197801</v>
      </c>
      <c r="S155">
        <v>21.064704548268299</v>
      </c>
      <c r="AA155">
        <v>2.0241435303390398</v>
      </c>
      <c r="AB155">
        <v>9.5293708887247597</v>
      </c>
      <c r="AC155">
        <v>1.57782557946999</v>
      </c>
      <c r="AJ155">
        <v>0.81545147446017596</v>
      </c>
      <c r="AK155">
        <v>9.5716318709160697E-2</v>
      </c>
      <c r="AL155">
        <v>8.8832206830662397E-2</v>
      </c>
    </row>
    <row r="156" spans="1:38" x14ac:dyDescent="0.2">
      <c r="A156">
        <v>164</v>
      </c>
      <c r="B156">
        <v>789</v>
      </c>
      <c r="C156">
        <v>125</v>
      </c>
      <c r="D156">
        <v>0.48110954196676597</v>
      </c>
      <c r="E156">
        <v>7.4785406293795198</v>
      </c>
      <c r="F156">
        <v>2.5619008066622002</v>
      </c>
      <c r="G156">
        <v>-122.09523408954138</v>
      </c>
      <c r="H156">
        <v>-105.04506964652727</v>
      </c>
      <c r="I156">
        <v>16.052501476264201</v>
      </c>
      <c r="J156">
        <v>9.0941487398638898</v>
      </c>
      <c r="K156">
        <v>2.91913746618589</v>
      </c>
      <c r="L156">
        <v>3.0948803886326595E-5</v>
      </c>
      <c r="M156">
        <v>1.8282107108316047E-6</v>
      </c>
      <c r="N156" s="1">
        <v>-3.86763115395329E-8</v>
      </c>
      <c r="O156" s="1">
        <v>2.64825136745246E-11</v>
      </c>
      <c r="P156" s="1">
        <v>1.7499469161305101E-10</v>
      </c>
      <c r="Q156">
        <v>65.832545731092694</v>
      </c>
      <c r="S156">
        <v>21.041280481021602</v>
      </c>
      <c r="AA156">
        <v>1.99814728452457</v>
      </c>
      <c r="AB156">
        <v>9.5316735524403509</v>
      </c>
      <c r="AC156">
        <v>1.59635295092067</v>
      </c>
      <c r="AJ156">
        <v>0.81563966917133501</v>
      </c>
      <c r="AK156">
        <v>9.4486000778277707E-2</v>
      </c>
      <c r="AL156">
        <v>8.9874330050387197E-2</v>
      </c>
    </row>
    <row r="157" spans="1:38" x14ac:dyDescent="0.2">
      <c r="A157">
        <v>165</v>
      </c>
      <c r="B157">
        <v>788</v>
      </c>
      <c r="C157">
        <v>125</v>
      </c>
      <c r="D157">
        <v>0.48055458700466802</v>
      </c>
      <c r="E157">
        <v>7.88062152356681</v>
      </c>
      <c r="F157">
        <v>2.5616552967600299</v>
      </c>
      <c r="G157">
        <v>-128.63475731922478</v>
      </c>
      <c r="H157">
        <v>-110.69373884194039</v>
      </c>
      <c r="I157">
        <v>16.907146470606701</v>
      </c>
      <c r="J157">
        <v>9.5838625613542696</v>
      </c>
      <c r="K157">
        <v>3.0763785953301999</v>
      </c>
      <c r="L157">
        <v>3.0972736558399763E-5</v>
      </c>
      <c r="M157">
        <v>1.8288940949447553E-6</v>
      </c>
      <c r="N157" s="1">
        <v>-4.2088621496255298E-8</v>
      </c>
      <c r="O157" s="1">
        <v>2.7910801338847798E-11</v>
      </c>
      <c r="P157" s="1">
        <v>1.8831737599923301E-10</v>
      </c>
      <c r="Q157">
        <v>65.860266359369902</v>
      </c>
      <c r="S157">
        <v>21.018450100948101</v>
      </c>
      <c r="AA157">
        <v>1.97284375755637</v>
      </c>
      <c r="AB157">
        <v>9.5335946767208704</v>
      </c>
      <c r="AC157">
        <v>1.61484510540462</v>
      </c>
      <c r="AJ157">
        <v>0.815796740974151</v>
      </c>
      <c r="AK157">
        <v>9.3288640579063706E-2</v>
      </c>
      <c r="AL157">
        <v>9.0914618446784598E-2</v>
      </c>
    </row>
    <row r="158" spans="1:38" x14ac:dyDescent="0.2">
      <c r="A158">
        <v>166</v>
      </c>
      <c r="B158">
        <v>787</v>
      </c>
      <c r="C158">
        <v>125</v>
      </c>
      <c r="D158">
        <v>0.479998585105882</v>
      </c>
      <c r="E158">
        <v>8.28062561892113</v>
      </c>
      <c r="F158">
        <v>2.5614160977213798</v>
      </c>
      <c r="G158">
        <v>-135.13789939647427</v>
      </c>
      <c r="H158">
        <v>-116.3134090218762</v>
      </c>
      <c r="I158">
        <v>17.756440479741599</v>
      </c>
      <c r="J158">
        <v>10.071160487886999</v>
      </c>
      <c r="K158">
        <v>3.2328310992842999</v>
      </c>
      <c r="L158">
        <v>3.0996621946047627E-5</v>
      </c>
      <c r="M158">
        <v>1.8295586099628428E-6</v>
      </c>
      <c r="N158" s="1">
        <v>-4.5661037166133697E-8</v>
      </c>
      <c r="O158" s="1">
        <v>2.9331488965394702E-11</v>
      </c>
      <c r="P158" s="1">
        <v>2.0209096276007801E-10</v>
      </c>
      <c r="Q158">
        <v>65.887140500168698</v>
      </c>
      <c r="S158">
        <v>20.996198784881901</v>
      </c>
      <c r="AA158">
        <v>1.94821548060417</v>
      </c>
      <c r="AB158">
        <v>9.5351475406211197</v>
      </c>
      <c r="AC158">
        <v>1.63329769372399</v>
      </c>
      <c r="AJ158">
        <v>0.81592377451628595</v>
      </c>
      <c r="AK158">
        <v>9.2123398431477696E-2</v>
      </c>
      <c r="AL158">
        <v>9.1952827052235495E-2</v>
      </c>
    </row>
    <row r="159" spans="1:38" x14ac:dyDescent="0.2">
      <c r="A159">
        <v>167</v>
      </c>
      <c r="B159">
        <v>786</v>
      </c>
      <c r="C159">
        <v>125</v>
      </c>
      <c r="D159">
        <v>0.47944153330501299</v>
      </c>
      <c r="E159">
        <v>8.67844898423653</v>
      </c>
      <c r="F159">
        <v>2.5611830801813</v>
      </c>
      <c r="G159">
        <v>-141.60299267472249</v>
      </c>
      <c r="H159">
        <v>-121.9026303482443</v>
      </c>
      <c r="I159">
        <v>18.600162702618299</v>
      </c>
      <c r="J159">
        <v>10.555921713831401</v>
      </c>
      <c r="K159">
        <v>3.3884531923513199</v>
      </c>
      <c r="L159">
        <v>3.1020485189180233E-5</v>
      </c>
      <c r="M159">
        <v>1.8302048750217506E-6</v>
      </c>
      <c r="N159" s="1">
        <v>-4.9398304384069402E-8</v>
      </c>
      <c r="O159" s="1">
        <v>3.0744104081794203E-11</v>
      </c>
      <c r="P159" s="1">
        <v>2.1632806527230499E-10</v>
      </c>
      <c r="Q159">
        <v>65.913191286921602</v>
      </c>
      <c r="S159">
        <v>20.9745118632726</v>
      </c>
      <c r="AA159">
        <v>1.92424495326843</v>
      </c>
      <c r="AB159">
        <v>9.5363452376215392</v>
      </c>
      <c r="AC159">
        <v>1.6517066589157501</v>
      </c>
      <c r="AJ159">
        <v>0.81602183891805102</v>
      </c>
      <c r="AK159">
        <v>9.09894339314061E-2</v>
      </c>
      <c r="AL159">
        <v>9.2988727150542502E-2</v>
      </c>
    </row>
    <row r="160" spans="1:38" x14ac:dyDescent="0.2">
      <c r="A160">
        <v>168</v>
      </c>
      <c r="B160">
        <v>785</v>
      </c>
      <c r="C160">
        <v>125</v>
      </c>
      <c r="D160">
        <v>0.47888342862543298</v>
      </c>
      <c r="E160">
        <v>9.0739947405003392</v>
      </c>
      <c r="F160">
        <v>2.56095611323595</v>
      </c>
      <c r="G160">
        <v>-148.02848586105765</v>
      </c>
      <c r="H160">
        <v>-127.46005176511598</v>
      </c>
      <c r="I160">
        <v>19.438108109381101</v>
      </c>
      <c r="J160">
        <v>11.0380342674604</v>
      </c>
      <c r="K160">
        <v>3.54320587283891</v>
      </c>
      <c r="L160">
        <v>3.1044351663171181E-5</v>
      </c>
      <c r="M160">
        <v>1.8308335055888992E-6</v>
      </c>
      <c r="N160" s="1">
        <v>-5.3305364239163899E-8</v>
      </c>
      <c r="O160" s="1">
        <v>3.2148199742058901E-11</v>
      </c>
      <c r="P160" s="1">
        <v>2.31041896754606E-10</v>
      </c>
      <c r="Q160">
        <v>65.938441752015095</v>
      </c>
      <c r="S160">
        <v>20.953374670977698</v>
      </c>
      <c r="AA160">
        <v>1.9009147023639901</v>
      </c>
      <c r="AB160">
        <v>9.5372006475829298</v>
      </c>
      <c r="AC160">
        <v>1.6700682270602401</v>
      </c>
      <c r="AJ160">
        <v>0.81609198552411399</v>
      </c>
      <c r="AK160">
        <v>8.9885908701942796E-2</v>
      </c>
      <c r="AL160">
        <v>9.4022105773942599E-2</v>
      </c>
    </row>
    <row r="161" spans="1:38" x14ac:dyDescent="0.2">
      <c r="A161">
        <v>169</v>
      </c>
      <c r="B161">
        <v>784</v>
      </c>
      <c r="C161">
        <v>125</v>
      </c>
      <c r="D161">
        <v>0.47832426807926898</v>
      </c>
      <c r="E161">
        <v>9.9659130860306107</v>
      </c>
      <c r="F161">
        <v>2.56034490821565</v>
      </c>
      <c r="G161">
        <v>-162.52846273038998</v>
      </c>
      <c r="H161">
        <v>-139.97068677037225</v>
      </c>
      <c r="I161">
        <v>21.338292541283302</v>
      </c>
      <c r="J161">
        <v>12.1233114829654</v>
      </c>
      <c r="K161">
        <v>3.8924103756692698</v>
      </c>
      <c r="L161">
        <v>3.1066486986051958E-5</v>
      </c>
      <c r="M161">
        <v>1.8317555611749075E-6</v>
      </c>
      <c r="N161" s="1">
        <v>-6.0300758071004602E-8</v>
      </c>
      <c r="O161" s="1">
        <v>3.5333897206169497E-11</v>
      </c>
      <c r="P161" s="1">
        <v>2.58872592094772E-10</v>
      </c>
      <c r="Q161">
        <v>65.983645088413795</v>
      </c>
      <c r="S161">
        <v>20.910292333097502</v>
      </c>
      <c r="AA161">
        <v>1.8548237519055399</v>
      </c>
      <c r="AB161">
        <v>9.5249879092026095</v>
      </c>
      <c r="AC161">
        <v>1.7262509173803999</v>
      </c>
      <c r="AJ161">
        <v>0.815097062673803</v>
      </c>
      <c r="AK161">
        <v>8.7711862685905403E-2</v>
      </c>
      <c r="AL161">
        <v>9.7191074640290698E-2</v>
      </c>
    </row>
    <row r="162" spans="1:38" x14ac:dyDescent="0.2">
      <c r="A162">
        <v>170</v>
      </c>
      <c r="B162">
        <v>783</v>
      </c>
      <c r="C162">
        <v>125</v>
      </c>
      <c r="D162">
        <v>0.47776404866733202</v>
      </c>
      <c r="E162">
        <v>11.295893532000701</v>
      </c>
      <c r="F162">
        <v>2.5593918759217198</v>
      </c>
      <c r="G162">
        <v>-184.14028664382516</v>
      </c>
      <c r="H162">
        <v>-158.60876193188045</v>
      </c>
      <c r="I162">
        <v>24.174146392032</v>
      </c>
      <c r="J162">
        <v>13.7405166237636</v>
      </c>
      <c r="K162">
        <v>4.4135068327247504</v>
      </c>
      <c r="L162">
        <v>3.1083698880667375E-5</v>
      </c>
      <c r="M162">
        <v>1.8328398689024196E-6</v>
      </c>
      <c r="N162" s="1">
        <v>-7.0235669187235294E-8</v>
      </c>
      <c r="O162" s="1">
        <v>4.0100683027477799E-11</v>
      </c>
      <c r="P162" s="1">
        <v>2.9889452216315802E-10</v>
      </c>
      <c r="Q162">
        <v>66.043261129316704</v>
      </c>
      <c r="S162">
        <v>20.849122712509001</v>
      </c>
      <c r="AA162">
        <v>1.790447600452</v>
      </c>
      <c r="AB162">
        <v>9.49747494690439</v>
      </c>
      <c r="AC162">
        <v>1.8196936108177399</v>
      </c>
      <c r="AJ162">
        <v>0.81285455708716103</v>
      </c>
      <c r="AK162">
        <v>8.4679267766603603E-2</v>
      </c>
      <c r="AL162">
        <v>0.102466175146234</v>
      </c>
    </row>
    <row r="163" spans="1:38" x14ac:dyDescent="0.2">
      <c r="A163">
        <v>171</v>
      </c>
      <c r="B163">
        <v>782</v>
      </c>
      <c r="C163">
        <v>125</v>
      </c>
      <c r="D163">
        <v>0.47720276737904699</v>
      </c>
      <c r="E163">
        <v>12.657940779599</v>
      </c>
      <c r="F163">
        <v>2.5584111856119698</v>
      </c>
      <c r="G163">
        <v>-206.25139521421181</v>
      </c>
      <c r="H163">
        <v>-177.68280202590748</v>
      </c>
      <c r="I163">
        <v>27.075385668676699</v>
      </c>
      <c r="J163">
        <v>15.396146990801601</v>
      </c>
      <c r="K163">
        <v>4.9475787358908399</v>
      </c>
      <c r="L163">
        <v>3.1096067316393421E-5</v>
      </c>
      <c r="M163">
        <v>1.8337989485915313E-6</v>
      </c>
      <c r="N163" s="1">
        <v>-8.07951980054817E-8</v>
      </c>
      <c r="O163" s="1">
        <v>4.4994281100534298E-11</v>
      </c>
      <c r="P163" s="1">
        <v>3.4098932886569099E-10</v>
      </c>
      <c r="Q163">
        <v>66.099330551603003</v>
      </c>
      <c r="S163">
        <v>20.788502582884</v>
      </c>
      <c r="AA163">
        <v>1.7273523396385</v>
      </c>
      <c r="AB163">
        <v>9.4634990971806197</v>
      </c>
      <c r="AC163">
        <v>1.92131542869372</v>
      </c>
      <c r="AJ163">
        <v>0.81008414263227102</v>
      </c>
      <c r="AK163">
        <v>8.1709040153464696E-2</v>
      </c>
      <c r="AL163">
        <v>0.10820681721426301</v>
      </c>
    </row>
    <row r="164" spans="1:38" x14ac:dyDescent="0.2">
      <c r="A164">
        <v>172</v>
      </c>
      <c r="B164">
        <v>781</v>
      </c>
      <c r="C164">
        <v>125</v>
      </c>
      <c r="D164">
        <v>0.476640421192431</v>
      </c>
      <c r="E164">
        <v>14.060426113376201</v>
      </c>
      <c r="F164">
        <v>2.5573931639899699</v>
      </c>
      <c r="G164">
        <v>-228.99483789523796</v>
      </c>
      <c r="H164">
        <v>-197.30749966500514</v>
      </c>
      <c r="I164">
        <v>30.059610330818899</v>
      </c>
      <c r="J164">
        <v>17.100160550476101</v>
      </c>
      <c r="K164">
        <v>5.4979524898078198</v>
      </c>
      <c r="L164">
        <v>3.1103036845130005E-5</v>
      </c>
      <c r="M164">
        <v>1.8346271799306715E-6</v>
      </c>
      <c r="N164" s="1">
        <v>-9.2026641756376006E-8</v>
      </c>
      <c r="O164" s="1">
        <v>5.00459624671974E-11</v>
      </c>
      <c r="P164" s="1">
        <v>3.85360054223203E-10</v>
      </c>
      <c r="Q164">
        <v>66.1519163904034</v>
      </c>
      <c r="S164">
        <v>20.728052923455898</v>
      </c>
      <c r="AA164">
        <v>1.6652105650657301</v>
      </c>
      <c r="AB164">
        <v>9.4222071782245997</v>
      </c>
      <c r="AC164">
        <v>2.03261294285024</v>
      </c>
      <c r="AJ164">
        <v>0.80671565353253505</v>
      </c>
      <c r="AK164">
        <v>7.8785769778173906E-2</v>
      </c>
      <c r="AL164">
        <v>0.11449857668929</v>
      </c>
    </row>
    <row r="165" spans="1:38" x14ac:dyDescent="0.2">
      <c r="A165">
        <v>173</v>
      </c>
      <c r="B165">
        <v>780</v>
      </c>
      <c r="C165">
        <v>125</v>
      </c>
      <c r="D165">
        <v>0.47607700707401701</v>
      </c>
      <c r="E165">
        <v>15.515038870288</v>
      </c>
      <c r="F165">
        <v>2.5563254367720498</v>
      </c>
      <c r="G165">
        <v>-252.55655740312412</v>
      </c>
      <c r="H165">
        <v>-217.64314205169282</v>
      </c>
      <c r="I165">
        <v>33.151417510735698</v>
      </c>
      <c r="J165">
        <v>18.8664767287537</v>
      </c>
      <c r="K165">
        <v>6.0692737501682403</v>
      </c>
      <c r="L165">
        <v>3.110385450292569E-5</v>
      </c>
      <c r="M165">
        <v>1.8353161945298789E-6</v>
      </c>
      <c r="N165" s="1">
        <v>-1.03992360009198E-7</v>
      </c>
      <c r="O165" s="1">
        <v>5.5299565384546198E-11</v>
      </c>
      <c r="P165" s="1">
        <v>4.3227996342493301E-10</v>
      </c>
      <c r="Q165">
        <v>66.201060396898498</v>
      </c>
      <c r="S165">
        <v>20.667303705200599</v>
      </c>
      <c r="AA165">
        <v>1.6036247559088299</v>
      </c>
      <c r="AB165">
        <v>9.3724599881090693</v>
      </c>
      <c r="AC165">
        <v>2.15555115388289</v>
      </c>
      <c r="AJ165">
        <v>0.80265533324497995</v>
      </c>
      <c r="AK165">
        <v>7.5890784635185601E-2</v>
      </c>
      <c r="AL165">
        <v>0.121453882119833</v>
      </c>
    </row>
    <row r="166" spans="1:38" x14ac:dyDescent="0.2">
      <c r="A166">
        <v>174</v>
      </c>
      <c r="B166">
        <v>779</v>
      </c>
      <c r="C166">
        <v>125</v>
      </c>
      <c r="D166">
        <v>0.475512521978807</v>
      </c>
      <c r="E166">
        <v>17.038361853009601</v>
      </c>
      <c r="F166">
        <v>2.55519188343145</v>
      </c>
      <c r="G166">
        <v>-277.20046265800039</v>
      </c>
      <c r="H166">
        <v>-238.91723259960418</v>
      </c>
      <c r="I166">
        <v>36.385715020098097</v>
      </c>
      <c r="J166">
        <v>20.714853815972699</v>
      </c>
      <c r="K166">
        <v>6.6681339916156199</v>
      </c>
      <c r="L166">
        <v>3.1097479903695929E-5</v>
      </c>
      <c r="M166">
        <v>1.8358534841166355E-6</v>
      </c>
      <c r="N166" s="1">
        <v>-1.16776612761676E-7</v>
      </c>
      <c r="O166" s="1">
        <v>6.0817464757710598E-11</v>
      </c>
      <c r="P166" s="1">
        <v>4.8212498256967301E-10</v>
      </c>
      <c r="Q166">
        <v>66.246763546043198</v>
      </c>
      <c r="S166">
        <v>20.6056621221983</v>
      </c>
      <c r="AA166">
        <v>1.54210561372171</v>
      </c>
      <c r="AB166">
        <v>9.3127055816800599</v>
      </c>
      <c r="AC166">
        <v>2.2927631363566001</v>
      </c>
      <c r="AJ166">
        <v>0.79777535770944497</v>
      </c>
      <c r="AK166">
        <v>7.30011417707878E-2</v>
      </c>
      <c r="AL166">
        <v>0.129223500519766</v>
      </c>
    </row>
    <row r="167" spans="1:38" x14ac:dyDescent="0.2">
      <c r="A167">
        <v>175</v>
      </c>
      <c r="B167">
        <v>778</v>
      </c>
      <c r="C167">
        <v>125</v>
      </c>
      <c r="D167">
        <v>0.47494696285021398</v>
      </c>
      <c r="E167">
        <v>18.6544159502055</v>
      </c>
      <c r="F167">
        <v>2.5539711149853601</v>
      </c>
      <c r="G167">
        <v>-303.30890865392729</v>
      </c>
      <c r="H167">
        <v>-261.45940076904219</v>
      </c>
      <c r="I167">
        <v>39.813069385801199</v>
      </c>
      <c r="J167">
        <v>22.673919421818098</v>
      </c>
      <c r="K167">
        <v>7.3040825876029603</v>
      </c>
      <c r="L167">
        <v>3.1082447384584482E-5</v>
      </c>
      <c r="M167">
        <v>1.8362202277542253E-6</v>
      </c>
      <c r="N167" s="1">
        <v>-1.30496256113294E-7</v>
      </c>
      <c r="O167" s="1">
        <v>6.6690217548349706E-11</v>
      </c>
      <c r="P167" s="1">
        <v>5.3542505521575101E-10</v>
      </c>
      <c r="Q167">
        <v>66.288952726902494</v>
      </c>
      <c r="S167">
        <v>20.542367246185201</v>
      </c>
      <c r="AA167">
        <v>1.4800424243327599</v>
      </c>
      <c r="AB167">
        <v>9.2407861627678791</v>
      </c>
      <c r="AC167">
        <v>2.4478514398115401</v>
      </c>
      <c r="AJ167">
        <v>0.79189784263845897</v>
      </c>
      <c r="AK167">
        <v>7.0088246368719798E-2</v>
      </c>
      <c r="AL167">
        <v>0.13801391099282001</v>
      </c>
    </row>
    <row r="168" spans="1:38" x14ac:dyDescent="0.2">
      <c r="A168">
        <v>176</v>
      </c>
      <c r="B168">
        <v>777</v>
      </c>
      <c r="C168">
        <v>125</v>
      </c>
      <c r="D168">
        <v>0.47438032662001101</v>
      </c>
      <c r="E168">
        <v>20.398841595942301</v>
      </c>
      <c r="F168">
        <v>2.5526343796558701</v>
      </c>
      <c r="G168">
        <v>-331.44917477794058</v>
      </c>
      <c r="H168">
        <v>-285.75873975891142</v>
      </c>
      <c r="I168">
        <v>43.508484520334299</v>
      </c>
      <c r="J168">
        <v>24.786146236756199</v>
      </c>
      <c r="K168">
        <v>7.9912900016226898</v>
      </c>
      <c r="L168">
        <v>3.1056655728878628E-5</v>
      </c>
      <c r="M168">
        <v>1.8363878509928961E-6</v>
      </c>
      <c r="N168" s="1">
        <v>-1.45317677276765E-7</v>
      </c>
      <c r="O168" s="1">
        <v>7.3052420622839895E-11</v>
      </c>
      <c r="P168" s="1">
        <v>5.9294662745273503E-10</v>
      </c>
      <c r="Q168">
        <v>66.327419682676904</v>
      </c>
      <c r="S168">
        <v>20.476431116073201</v>
      </c>
      <c r="AA168">
        <v>1.4166687036054499</v>
      </c>
      <c r="AB168">
        <v>9.1536475738250296</v>
      </c>
      <c r="AC168">
        <v>2.6258329238193201</v>
      </c>
      <c r="AJ168">
        <v>0.78477072058780994</v>
      </c>
      <c r="AK168">
        <v>6.7116251672740199E-2</v>
      </c>
      <c r="AL168">
        <v>0.14811302773944901</v>
      </c>
    </row>
    <row r="169" spans="1:38" x14ac:dyDescent="0.2">
      <c r="A169">
        <v>177</v>
      </c>
      <c r="B169">
        <v>776</v>
      </c>
      <c r="C169">
        <v>125</v>
      </c>
      <c r="D169">
        <v>0.47381261020826598</v>
      </c>
      <c r="E169">
        <v>22.325625946775901</v>
      </c>
      <c r="F169">
        <v>2.5511432955408102</v>
      </c>
      <c r="G169">
        <v>-362.48030364330572</v>
      </c>
      <c r="H169">
        <v>-312.55597861485097</v>
      </c>
      <c r="I169">
        <v>47.585497811042003</v>
      </c>
      <c r="J169">
        <v>27.1158465995555</v>
      </c>
      <c r="K169">
        <v>8.7512238084780698</v>
      </c>
      <c r="L169">
        <v>3.1017071001532715E-5</v>
      </c>
      <c r="M169">
        <v>1.8363127616059048E-6</v>
      </c>
      <c r="N169" s="1">
        <v>-1.61482666906535E-7</v>
      </c>
      <c r="O169" s="1">
        <v>8.0108244099594797E-11</v>
      </c>
      <c r="P169" s="1">
        <v>6.5582124661963596E-10</v>
      </c>
      <c r="Q169">
        <v>66.361702993582298</v>
      </c>
      <c r="S169">
        <v>20.406587594410201</v>
      </c>
      <c r="AA169">
        <v>1.35104754117615</v>
      </c>
      <c r="AB169">
        <v>9.0469422216633308</v>
      </c>
      <c r="AC169">
        <v>2.8337196491678598</v>
      </c>
      <c r="AJ169">
        <v>0.77603459375799899</v>
      </c>
      <c r="AK169">
        <v>6.4041380701901796E-2</v>
      </c>
      <c r="AL169">
        <v>0.15992402554009799</v>
      </c>
    </row>
    <row r="170" spans="1:38" x14ac:dyDescent="0.2">
      <c r="A170">
        <v>178</v>
      </c>
      <c r="B170">
        <v>775</v>
      </c>
      <c r="C170">
        <v>125</v>
      </c>
      <c r="D170">
        <v>0.473243810523307</v>
      </c>
      <c r="E170">
        <v>24.516303344453299</v>
      </c>
      <c r="F170">
        <v>2.5494503007368299</v>
      </c>
      <c r="G170">
        <v>-397.69883360620207</v>
      </c>
      <c r="H170">
        <v>-342.96929889983073</v>
      </c>
      <c r="I170">
        <v>52.215364887059501</v>
      </c>
      <c r="J170">
        <v>29.760072006498799</v>
      </c>
      <c r="K170">
        <v>9.6163095775460405</v>
      </c>
      <c r="L170">
        <v>3.0959447113891924E-5</v>
      </c>
      <c r="M170">
        <v>1.8359298894407697E-6</v>
      </c>
      <c r="N170" s="1">
        <v>-1.7934010040546899E-7</v>
      </c>
      <c r="O170" s="1">
        <v>8.8166420710137896E-11</v>
      </c>
      <c r="P170" s="1">
        <v>7.2571030635099603E-10</v>
      </c>
      <c r="Q170">
        <v>66.390858456312898</v>
      </c>
      <c r="S170">
        <v>20.331365304079998</v>
      </c>
      <c r="AA170">
        <v>1.2821853527915701</v>
      </c>
      <c r="AB170">
        <v>8.9147085934394799</v>
      </c>
      <c r="AC170">
        <v>3.0808822933759101</v>
      </c>
      <c r="AJ170">
        <v>0.76519533670269002</v>
      </c>
      <c r="AK170">
        <v>6.0817248092254E-2</v>
      </c>
      <c r="AL170">
        <v>0.17398741520505501</v>
      </c>
    </row>
    <row r="171" spans="1:38" x14ac:dyDescent="0.2">
      <c r="A171">
        <v>179</v>
      </c>
      <c r="B171">
        <v>774</v>
      </c>
      <c r="C171">
        <v>125</v>
      </c>
      <c r="D171">
        <v>0.47267392446163797</v>
      </c>
      <c r="E171">
        <v>27.082704297261198</v>
      </c>
      <c r="F171">
        <v>2.5475146327378999</v>
      </c>
      <c r="G171">
        <v>-438.88051018522998</v>
      </c>
      <c r="H171">
        <v>-378.53079686669969</v>
      </c>
      <c r="I171">
        <v>57.632348105362396</v>
      </c>
      <c r="J171">
        <v>32.851711774557302</v>
      </c>
      <c r="K171">
        <v>10.631029925882901</v>
      </c>
      <c r="L171">
        <v>3.0878794612166191E-5</v>
      </c>
      <c r="M171">
        <v>1.8351537461570066E-6</v>
      </c>
      <c r="N171" s="1">
        <v>-1.99340487032931E-7</v>
      </c>
      <c r="O171" s="1">
        <v>9.7651016306403E-11</v>
      </c>
      <c r="P171" s="1">
        <v>8.0480920530412403E-10</v>
      </c>
      <c r="Q171">
        <v>66.413075962044203</v>
      </c>
      <c r="S171">
        <v>20.249751832941801</v>
      </c>
      <c r="AA171">
        <v>1.20966925221786</v>
      </c>
      <c r="AB171">
        <v>8.7502587886426593</v>
      </c>
      <c r="AC171">
        <v>3.3772441641533701</v>
      </c>
      <c r="AJ171">
        <v>0.75169515870506398</v>
      </c>
      <c r="AK171">
        <v>5.7424640865870603E-2</v>
      </c>
      <c r="AL171">
        <v>0.19088020042906401</v>
      </c>
    </row>
    <row r="172" spans="1:38" x14ac:dyDescent="0.2">
      <c r="A172">
        <v>180</v>
      </c>
      <c r="B172">
        <v>773</v>
      </c>
      <c r="C172">
        <v>125</v>
      </c>
      <c r="D172">
        <v>0.472102948907902</v>
      </c>
      <c r="E172">
        <v>28.731439136701699</v>
      </c>
      <c r="F172">
        <v>2.5468934772957401</v>
      </c>
      <c r="G172">
        <v>-465.25331520950368</v>
      </c>
      <c r="H172">
        <v>-401.34813714384109</v>
      </c>
      <c r="I172">
        <v>61.086056555620701</v>
      </c>
      <c r="J172">
        <v>34.828858159538399</v>
      </c>
      <c r="K172">
        <v>11.280974015139501</v>
      </c>
      <c r="L172">
        <v>3.0778956758259169E-5</v>
      </c>
      <c r="M172">
        <v>1.8327817489582068E-6</v>
      </c>
      <c r="N172" s="1">
        <v>-2.1299260814535701E-7</v>
      </c>
      <c r="O172" s="1">
        <v>1.0364957037732E-10</v>
      </c>
      <c r="P172" s="1">
        <v>8.5793269172111599E-10</v>
      </c>
      <c r="Q172">
        <v>66.346214408006503</v>
      </c>
      <c r="S172">
        <v>20.247610040399</v>
      </c>
      <c r="AA172">
        <v>1.2235034810185299</v>
      </c>
      <c r="AB172">
        <v>8.5956464128400203</v>
      </c>
      <c r="AC172">
        <v>3.5870256577358401</v>
      </c>
      <c r="AJ172">
        <v>0.73898106903918803</v>
      </c>
      <c r="AK172">
        <v>5.8126044540176502E-2</v>
      </c>
      <c r="AL172">
        <v>0.20289288642063399</v>
      </c>
    </row>
    <row r="173" spans="1:38" x14ac:dyDescent="0.2">
      <c r="A173">
        <v>181</v>
      </c>
      <c r="B173">
        <v>772</v>
      </c>
      <c r="C173">
        <v>125</v>
      </c>
      <c r="D173">
        <v>0.47153088073482102</v>
      </c>
      <c r="E173">
        <v>27.843455396218801</v>
      </c>
      <c r="F173">
        <v>2.54906403726998</v>
      </c>
      <c r="G173">
        <v>-451.09877651772587</v>
      </c>
      <c r="H173">
        <v>-389.25497933923106</v>
      </c>
      <c r="I173">
        <v>59.172173543027199</v>
      </c>
      <c r="J173">
        <v>33.770792987941</v>
      </c>
      <c r="K173">
        <v>10.9230113442104</v>
      </c>
      <c r="L173">
        <v>3.0817365560300184E-5</v>
      </c>
      <c r="M173">
        <v>1.831589953046031E-6</v>
      </c>
      <c r="N173" s="1">
        <v>-2.1529530968645901E-7</v>
      </c>
      <c r="O173" s="1">
        <v>1.0005011930026E-10</v>
      </c>
      <c r="P173" s="1">
        <v>8.5770160580223301E-10</v>
      </c>
      <c r="Q173">
        <v>66.245804955513194</v>
      </c>
      <c r="S173">
        <v>20.360410511806201</v>
      </c>
      <c r="AA173">
        <v>1.3399941979680201</v>
      </c>
      <c r="AB173">
        <v>8.6676104325540706</v>
      </c>
      <c r="AC173">
        <v>3.38617990215843</v>
      </c>
      <c r="AJ173">
        <v>0.744899280770419</v>
      </c>
      <c r="AK173">
        <v>6.3637319696115802E-2</v>
      </c>
      <c r="AL173">
        <v>0.191463399533464</v>
      </c>
    </row>
    <row r="174" spans="1:38" x14ac:dyDescent="0.2">
      <c r="A174">
        <v>182</v>
      </c>
      <c r="B174">
        <v>771</v>
      </c>
      <c r="C174">
        <v>125</v>
      </c>
      <c r="D174">
        <v>0.47095771680314102</v>
      </c>
      <c r="E174">
        <v>27.813399964685001</v>
      </c>
      <c r="F174">
        <v>2.5502043086272099</v>
      </c>
      <c r="G174">
        <v>-450.69584410512954</v>
      </c>
      <c r="H174">
        <v>-389.00890614320849</v>
      </c>
      <c r="I174">
        <v>59.078617020467298</v>
      </c>
      <c r="J174">
        <v>33.746208122366902</v>
      </c>
      <c r="K174">
        <v>10.906341845080201</v>
      </c>
      <c r="L174">
        <v>3.0846733027741861E-5</v>
      </c>
      <c r="M174">
        <v>1.8310191447103423E-6</v>
      </c>
      <c r="N174" s="1">
        <v>-2.2305118600957199E-7</v>
      </c>
      <c r="O174" s="1">
        <v>9.9709796739459798E-11</v>
      </c>
      <c r="P174" s="1">
        <v>8.8024529458867003E-10</v>
      </c>
      <c r="Q174">
        <v>66.193724663886201</v>
      </c>
      <c r="S174">
        <v>20.4182608162739</v>
      </c>
      <c r="AA174">
        <v>1.39987351556157</v>
      </c>
      <c r="AB174">
        <v>8.7032143893117908</v>
      </c>
      <c r="AC174">
        <v>3.28492661496642</v>
      </c>
      <c r="AJ174">
        <v>0.74782568245417302</v>
      </c>
      <c r="AK174">
        <v>6.6469173959997005E-2</v>
      </c>
      <c r="AL174">
        <v>0.18570514358582799</v>
      </c>
    </row>
    <row r="175" spans="1:38" x14ac:dyDescent="0.2">
      <c r="A175">
        <v>183</v>
      </c>
      <c r="B175">
        <v>770</v>
      </c>
      <c r="C175">
        <v>125</v>
      </c>
      <c r="D175">
        <v>0.47038345396155901</v>
      </c>
      <c r="E175">
        <v>27.919930747677601</v>
      </c>
      <c r="F175">
        <v>2.5509230181185401</v>
      </c>
      <c r="G175">
        <v>-452.45222612229782</v>
      </c>
      <c r="H175">
        <v>-390.6204166050311</v>
      </c>
      <c r="I175">
        <v>59.274130774353303</v>
      </c>
      <c r="J175">
        <v>33.885317895071502</v>
      </c>
      <c r="K175">
        <v>10.9450307004051</v>
      </c>
      <c r="L175">
        <v>3.0875226777606024E-5</v>
      </c>
      <c r="M175">
        <v>1.8307704944538629E-6</v>
      </c>
      <c r="N175" s="1">
        <v>-2.3177869879845901E-7</v>
      </c>
      <c r="O175" s="1">
        <v>9.9924996051499002E-11</v>
      </c>
      <c r="P175" s="1">
        <v>9.0666413056983298E-10</v>
      </c>
      <c r="Q175">
        <v>66.163671795351107</v>
      </c>
      <c r="S175">
        <v>20.452729161704799</v>
      </c>
      <c r="AA175">
        <v>1.43532267949334</v>
      </c>
      <c r="AB175">
        <v>8.7266064318894703</v>
      </c>
      <c r="AC175">
        <v>3.2216699315611699</v>
      </c>
      <c r="AJ175">
        <v>0.74974784279216</v>
      </c>
      <c r="AK175">
        <v>6.8144400087246801E-2</v>
      </c>
      <c r="AL175">
        <v>0.18210775712059199</v>
      </c>
    </row>
    <row r="176" spans="1:38" x14ac:dyDescent="0.2">
      <c r="A176">
        <v>184</v>
      </c>
      <c r="B176">
        <v>769</v>
      </c>
      <c r="C176">
        <v>125</v>
      </c>
      <c r="D176">
        <v>0.46980808904668597</v>
      </c>
      <c r="E176">
        <v>28.0494220151663</v>
      </c>
      <c r="F176">
        <v>2.5514378227660202</v>
      </c>
      <c r="G176">
        <v>-454.55542670566052</v>
      </c>
      <c r="H176">
        <v>-392.52897602324475</v>
      </c>
      <c r="I176">
        <v>59.517776406866297</v>
      </c>
      <c r="J176">
        <v>34.051618339197802</v>
      </c>
      <c r="K176">
        <v>10.993574589545601</v>
      </c>
      <c r="L176">
        <v>3.0904252457226999E-5</v>
      </c>
      <c r="M176">
        <v>1.8306948693793386E-6</v>
      </c>
      <c r="N176" s="1">
        <v>-2.40837006246825E-7</v>
      </c>
      <c r="O176" s="1">
        <v>1.00252415928429E-10</v>
      </c>
      <c r="P176" s="1">
        <v>9.3418774528527003E-10</v>
      </c>
      <c r="Q176">
        <v>66.144814114054</v>
      </c>
      <c r="S176">
        <v>20.475665372999799</v>
      </c>
      <c r="AA176">
        <v>1.4586454707894301</v>
      </c>
      <c r="AB176">
        <v>8.7447133600482001</v>
      </c>
      <c r="AC176">
        <v>3.1761616821084302</v>
      </c>
      <c r="AJ176">
        <v>0.75123547447750005</v>
      </c>
      <c r="AK176">
        <v>6.9245418997516697E-2</v>
      </c>
      <c r="AL176">
        <v>0.17951910652498199</v>
      </c>
    </row>
    <row r="177" spans="1:38" x14ac:dyDescent="0.2">
      <c r="A177">
        <v>185</v>
      </c>
      <c r="B177">
        <v>768</v>
      </c>
      <c r="C177">
        <v>125</v>
      </c>
      <c r="D177">
        <v>0.46923161888296799</v>
      </c>
      <c r="E177">
        <v>28.178630002376501</v>
      </c>
      <c r="F177">
        <v>2.5518407863010202</v>
      </c>
      <c r="G177">
        <v>-456.64026675463907</v>
      </c>
      <c r="H177">
        <v>-394.42076686569635</v>
      </c>
      <c r="I177">
        <v>59.760361032457098</v>
      </c>
      <c r="J177">
        <v>34.217396881417301</v>
      </c>
      <c r="K177">
        <v>11.042471831960301</v>
      </c>
      <c r="L177">
        <v>3.0934095000577106E-5</v>
      </c>
      <c r="M177">
        <v>1.8307201970409221E-6</v>
      </c>
      <c r="N177" s="1">
        <v>-2.50127893862085E-7</v>
      </c>
      <c r="O177" s="1">
        <v>1.0059402106795E-10</v>
      </c>
      <c r="P177" s="1">
        <v>9.6235177390122998E-10</v>
      </c>
      <c r="Q177">
        <v>66.132265761546293</v>
      </c>
      <c r="S177">
        <v>20.49220392925</v>
      </c>
      <c r="AA177">
        <v>1.4752179355478201</v>
      </c>
      <c r="AB177">
        <v>8.7601080046693198</v>
      </c>
      <c r="AC177">
        <v>3.1402043689864798</v>
      </c>
      <c r="AJ177">
        <v>0.75250011074082002</v>
      </c>
      <c r="AK177">
        <v>7.0026767870253706E-2</v>
      </c>
      <c r="AL177">
        <v>0.17747312138892599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4FA25-85D0-44E7-B0BB-EBFDEF83FB8B}">
  <sheetPr codeName="Sheet11"/>
  <dimension ref="A1:AL3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13</v>
      </c>
      <c r="B2">
        <v>739</v>
      </c>
      <c r="C2">
        <v>275</v>
      </c>
      <c r="D2">
        <v>0.28899916020352701</v>
      </c>
      <c r="E2">
        <v>6.3198741541189198</v>
      </c>
      <c r="F2">
        <v>2.52675877482609</v>
      </c>
      <c r="G2">
        <v>-99.703901331326378</v>
      </c>
      <c r="H2">
        <v>-86.555940682635907</v>
      </c>
      <c r="I2">
        <v>12.9901305623578</v>
      </c>
      <c r="J2">
        <v>7.5678697263830896</v>
      </c>
      <c r="K2">
        <v>2.5011782751417901</v>
      </c>
      <c r="L2">
        <v>2.9355115443476697E-5</v>
      </c>
      <c r="M2">
        <v>1.8003073495313019E-6</v>
      </c>
      <c r="N2" s="1">
        <v>-8.4761495208638994E-8</v>
      </c>
      <c r="O2" s="1">
        <v>2.35141397971648E-11</v>
      </c>
      <c r="P2" s="1">
        <v>2.9522497859493002E-10</v>
      </c>
      <c r="Q2">
        <v>66.199639265813403</v>
      </c>
      <c r="S2">
        <v>19.015783762677501</v>
      </c>
      <c r="AA2">
        <v>0.24143549462631</v>
      </c>
      <c r="AB2">
        <v>5.0396188321199302</v>
      </c>
      <c r="AC2">
        <v>9.5035226447627306</v>
      </c>
      <c r="AJ2">
        <v>0.441079084158012</v>
      </c>
      <c r="AK2">
        <v>1.1676983931136101E-2</v>
      </c>
      <c r="AL2">
        <v>0.54724393191084997</v>
      </c>
    </row>
    <row r="3" spans="1:38" x14ac:dyDescent="0.2">
      <c r="A3">
        <v>14</v>
      </c>
      <c r="B3">
        <v>738</v>
      </c>
      <c r="C3">
        <v>275</v>
      </c>
      <c r="D3">
        <v>0.28822677149780002</v>
      </c>
      <c r="E3">
        <v>20.9621751517058</v>
      </c>
      <c r="F3">
        <v>2.52683951753058</v>
      </c>
      <c r="G3">
        <v>-330.7045826700944</v>
      </c>
      <c r="H3">
        <v>-287.15565151102101</v>
      </c>
      <c r="I3">
        <v>43.068714986968601</v>
      </c>
      <c r="J3">
        <v>25.116126455855301</v>
      </c>
      <c r="K3">
        <v>8.2958078683966701</v>
      </c>
      <c r="L3">
        <v>2.9421459407760228E-5</v>
      </c>
      <c r="M3">
        <v>1.8009696945311006E-6</v>
      </c>
      <c r="N3" s="1">
        <v>-2.9333761513370202E-7</v>
      </c>
      <c r="O3" s="1">
        <v>7.7884024604799803E-11</v>
      </c>
      <c r="P3" s="1">
        <v>1.0140394653468101E-9</v>
      </c>
      <c r="Q3">
        <v>66.215330359690498</v>
      </c>
      <c r="S3">
        <v>19.015095613719399</v>
      </c>
      <c r="AA3">
        <v>0.237206462444495</v>
      </c>
      <c r="AB3">
        <v>5.0727815215429501</v>
      </c>
      <c r="AC3">
        <v>9.4595860426025702</v>
      </c>
      <c r="AJ3">
        <v>0.44390701605023702</v>
      </c>
      <c r="AK3">
        <v>1.1470521363239301E-2</v>
      </c>
      <c r="AL3">
        <v>0.54462246258652203</v>
      </c>
    </row>
    <row r="4" spans="1:38" x14ac:dyDescent="0.2">
      <c r="A4">
        <v>15</v>
      </c>
      <c r="B4">
        <v>737</v>
      </c>
      <c r="C4">
        <v>275</v>
      </c>
      <c r="D4">
        <v>0.28745285353660599</v>
      </c>
      <c r="E4">
        <v>25.6319454756594</v>
      </c>
      <c r="F4">
        <v>2.5267751996631902</v>
      </c>
      <c r="G4">
        <v>-404.22554903202109</v>
      </c>
      <c r="H4">
        <v>-351.07374276852329</v>
      </c>
      <c r="I4">
        <v>52.617736240655098</v>
      </c>
      <c r="J4">
        <v>30.709702228011999</v>
      </c>
      <c r="K4">
        <v>10.1441337080861</v>
      </c>
      <c r="L4">
        <v>2.940879064662678E-5</v>
      </c>
      <c r="M4">
        <v>1.80049338260759E-6</v>
      </c>
      <c r="N4" s="1">
        <v>-3.66522003638348E-7</v>
      </c>
      <c r="O4" s="1">
        <v>9.5206924592160398E-11</v>
      </c>
      <c r="P4" s="1">
        <v>1.2618774208061399E-9</v>
      </c>
      <c r="Q4">
        <v>66.198274333339796</v>
      </c>
      <c r="S4">
        <v>19.008529213640699</v>
      </c>
      <c r="AA4">
        <v>0.23576890572318199</v>
      </c>
      <c r="AB4">
        <v>5.0175584098315298</v>
      </c>
      <c r="AC4">
        <v>9.5398691374646702</v>
      </c>
      <c r="AJ4">
        <v>0.43919744801249</v>
      </c>
      <c r="AK4">
        <v>1.1404196432257801E-2</v>
      </c>
      <c r="AL4">
        <v>0.54939835555525096</v>
      </c>
    </row>
    <row r="5" spans="1:38" x14ac:dyDescent="0.2">
      <c r="A5">
        <v>16</v>
      </c>
      <c r="B5">
        <v>736</v>
      </c>
      <c r="C5">
        <v>275</v>
      </c>
      <c r="D5">
        <v>0.28667740177377199</v>
      </c>
      <c r="E5">
        <v>28.148737045042601</v>
      </c>
      <c r="F5">
        <v>2.5267186202507101</v>
      </c>
      <c r="G5">
        <v>-443.753929753271</v>
      </c>
      <c r="H5">
        <v>-385.49101996057823</v>
      </c>
      <c r="I5">
        <v>57.734637856307501</v>
      </c>
      <c r="J5">
        <v>33.7238439699724</v>
      </c>
      <c r="K5">
        <v>11.1404320288934</v>
      </c>
      <c r="L5">
        <v>2.9397801980058599E-5</v>
      </c>
      <c r="M5">
        <v>1.8000379687358806E-6</v>
      </c>
      <c r="N5" s="1">
        <v>-4.1141107931067601E-7</v>
      </c>
      <c r="O5" s="1">
        <v>1.04521882633125E-10</v>
      </c>
      <c r="P5" s="1">
        <v>1.41068115698265E-9</v>
      </c>
      <c r="Q5">
        <v>66.181663831669496</v>
      </c>
      <c r="S5">
        <v>19.002143360594701</v>
      </c>
      <c r="AA5">
        <v>0.234376345058946</v>
      </c>
      <c r="AB5">
        <v>4.9638014535010999</v>
      </c>
      <c r="AC5">
        <v>9.6180150091756609</v>
      </c>
      <c r="AJ5">
        <v>0.434610384801566</v>
      </c>
      <c r="AK5">
        <v>1.13399271678755E-2</v>
      </c>
      <c r="AL5">
        <v>0.55404968803055799</v>
      </c>
    </row>
    <row r="6" spans="1:38" x14ac:dyDescent="0.2">
      <c r="A6">
        <v>17</v>
      </c>
      <c r="B6">
        <v>735</v>
      </c>
      <c r="C6">
        <v>275</v>
      </c>
      <c r="D6">
        <v>0.285900411645091</v>
      </c>
      <c r="E6">
        <v>29.448323818462601</v>
      </c>
      <c r="F6">
        <v>2.5266692282067398</v>
      </c>
      <c r="G6">
        <v>-464.07438696630027</v>
      </c>
      <c r="H6">
        <v>-403.23399693370004</v>
      </c>
      <c r="I6">
        <v>60.348549355353903</v>
      </c>
      <c r="J6">
        <v>35.2800455632891</v>
      </c>
      <c r="K6">
        <v>11.6549976109706</v>
      </c>
      <c r="L6">
        <v>2.9388445283148272E-5</v>
      </c>
      <c r="M6">
        <v>1.7996023131557409E-6</v>
      </c>
      <c r="N6" s="1">
        <v>-4.4002387047897199E-7</v>
      </c>
      <c r="O6" s="1">
        <v>1.09309270041522E-10</v>
      </c>
      <c r="P6" s="1">
        <v>1.50270167153518E-9</v>
      </c>
      <c r="Q6">
        <v>66.165473182435406</v>
      </c>
      <c r="S6">
        <v>18.995924876812602</v>
      </c>
      <c r="AA6">
        <v>0.233023898924966</v>
      </c>
      <c r="AB6">
        <v>4.9114188960979197</v>
      </c>
      <c r="AC6">
        <v>9.6941591457290706</v>
      </c>
      <c r="AJ6">
        <v>0.43013819307619799</v>
      </c>
      <c r="AK6">
        <v>1.12774856841221E-2</v>
      </c>
      <c r="AL6">
        <v>0.55858432123967905</v>
      </c>
    </row>
    <row r="7" spans="1:38" x14ac:dyDescent="0.2">
      <c r="A7">
        <v>30</v>
      </c>
      <c r="B7">
        <v>743</v>
      </c>
      <c r="C7">
        <v>250</v>
      </c>
      <c r="D7">
        <v>0.31913644639078897</v>
      </c>
      <c r="E7">
        <v>6.1969109609686504</v>
      </c>
      <c r="F7">
        <v>2.52594700959007</v>
      </c>
      <c r="G7">
        <v>-97.958057149264206</v>
      </c>
      <c r="H7">
        <v>-84.970943944872474</v>
      </c>
      <c r="I7">
        <v>12.7807048215241</v>
      </c>
      <c r="J7">
        <v>7.4190135889654396</v>
      </c>
      <c r="K7">
        <v>2.4533020437250999</v>
      </c>
      <c r="L7">
        <v>2.9339116944082237E-5</v>
      </c>
      <c r="M7">
        <v>1.8031889029436649E-6</v>
      </c>
      <c r="N7" s="1">
        <v>-7.3717629136116305E-8</v>
      </c>
      <c r="O7" s="1">
        <v>2.3100665446179099E-11</v>
      </c>
      <c r="P7" s="1">
        <v>2.62843866370811E-10</v>
      </c>
      <c r="Q7">
        <v>66.246871176228197</v>
      </c>
      <c r="S7">
        <v>19.046039106565399</v>
      </c>
      <c r="AA7">
        <v>0.25537554253002398</v>
      </c>
      <c r="AB7">
        <v>5.2241909294706401</v>
      </c>
      <c r="AC7">
        <v>9.22752324520558</v>
      </c>
      <c r="AJ7">
        <v>0.45680594796306301</v>
      </c>
      <c r="AK7">
        <v>1.2339648872524599E-2</v>
      </c>
      <c r="AL7">
        <v>0.53085440316441102</v>
      </c>
    </row>
    <row r="8" spans="1:38" x14ac:dyDescent="0.2">
      <c r="A8">
        <v>31</v>
      </c>
      <c r="B8">
        <v>742</v>
      </c>
      <c r="C8">
        <v>250</v>
      </c>
      <c r="D8">
        <v>0.318396788651924</v>
      </c>
      <c r="E8">
        <v>21.597798623539202</v>
      </c>
      <c r="F8">
        <v>2.5259942927163399</v>
      </c>
      <c r="G8">
        <v>-341.37826771950938</v>
      </c>
      <c r="H8">
        <v>-296.18281205897677</v>
      </c>
      <c r="I8">
        <v>44.520963070021701</v>
      </c>
      <c r="J8">
        <v>25.866899282420999</v>
      </c>
      <c r="K8">
        <v>8.5502167149846802</v>
      </c>
      <c r="L8">
        <v>2.9382133573848824E-5</v>
      </c>
      <c r="M8">
        <v>1.8035707484535207E-6</v>
      </c>
      <c r="N8" s="1">
        <v>-2.6672909967381002E-7</v>
      </c>
      <c r="O8" s="1">
        <v>8.04308527454911E-11</v>
      </c>
      <c r="P8" s="1">
        <v>9.441072524471879E-10</v>
      </c>
      <c r="Q8">
        <v>66.254867071520707</v>
      </c>
      <c r="S8">
        <v>19.0438812237823</v>
      </c>
      <c r="AA8">
        <v>0.25172953428339201</v>
      </c>
      <c r="AB8">
        <v>5.2363521831472104</v>
      </c>
      <c r="AC8">
        <v>9.2131699872663297</v>
      </c>
      <c r="AJ8">
        <v>0.45784118735676999</v>
      </c>
      <c r="AK8">
        <v>1.2162727410657201E-2</v>
      </c>
      <c r="AL8">
        <v>0.52999608523257102</v>
      </c>
    </row>
    <row r="9" spans="1:38" x14ac:dyDescent="0.2">
      <c r="A9">
        <v>32</v>
      </c>
      <c r="B9">
        <v>741</v>
      </c>
      <c r="C9">
        <v>250</v>
      </c>
      <c r="D9">
        <v>0.31765567223783697</v>
      </c>
      <c r="E9">
        <v>25.615871839305001</v>
      </c>
      <c r="F9">
        <v>2.5259973480451698</v>
      </c>
      <c r="G9">
        <v>-404.81424336082313</v>
      </c>
      <c r="H9">
        <v>-351.2970911214872</v>
      </c>
      <c r="I9">
        <v>52.7704503666478</v>
      </c>
      <c r="J9">
        <v>30.6864123246852</v>
      </c>
      <c r="K9">
        <v>10.140894193388</v>
      </c>
      <c r="L9">
        <v>2.9406708061808322E-5</v>
      </c>
      <c r="M9">
        <v>1.8036673362812974E-6</v>
      </c>
      <c r="N9" s="1">
        <v>-3.2670507030250998E-7</v>
      </c>
      <c r="O9" s="1">
        <v>9.5321520505918706E-11</v>
      </c>
      <c r="P9" s="1">
        <v>1.14922139644864E-9</v>
      </c>
      <c r="Q9">
        <v>66.254693173884405</v>
      </c>
      <c r="S9">
        <v>19.040098297223299</v>
      </c>
      <c r="AA9">
        <v>0.24864915777423099</v>
      </c>
      <c r="AB9">
        <v>5.2260472278004304</v>
      </c>
      <c r="AC9">
        <v>9.2305121433175206</v>
      </c>
      <c r="AJ9">
        <v>0.45696403717584699</v>
      </c>
      <c r="AK9">
        <v>1.2014521402483901E-2</v>
      </c>
      <c r="AL9">
        <v>0.53102144142166796</v>
      </c>
    </row>
    <row r="10" spans="1:38" x14ac:dyDescent="0.2">
      <c r="A10">
        <v>33</v>
      </c>
      <c r="B10">
        <v>740</v>
      </c>
      <c r="C10">
        <v>250</v>
      </c>
      <c r="D10">
        <v>0.31691309282929903</v>
      </c>
      <c r="E10">
        <v>27.792635950838299</v>
      </c>
      <c r="F10">
        <v>2.5259968333284699</v>
      </c>
      <c r="G10">
        <v>-439.12961316260368</v>
      </c>
      <c r="H10">
        <v>-381.15917639715821</v>
      </c>
      <c r="I10">
        <v>57.218019805009597</v>
      </c>
      <c r="J10">
        <v>33.301727638815898</v>
      </c>
      <c r="K10">
        <v>11.002640852172499</v>
      </c>
      <c r="L10">
        <v>2.9430320498169085E-5</v>
      </c>
      <c r="M10">
        <v>1.8037383240924916E-6</v>
      </c>
      <c r="N10" s="1">
        <v>-3.6588123161475402E-7</v>
      </c>
      <c r="O10" s="1">
        <v>1.0334266424562E-10</v>
      </c>
      <c r="P10" s="1">
        <v>1.2793266132717601E-9</v>
      </c>
      <c r="Q10">
        <v>66.253698689080906</v>
      </c>
      <c r="S10">
        <v>19.036186235709899</v>
      </c>
      <c r="AA10">
        <v>0.245653716402776</v>
      </c>
      <c r="AB10">
        <v>5.2135750938778598</v>
      </c>
      <c r="AC10">
        <v>9.2508862649284591</v>
      </c>
      <c r="AJ10">
        <v>0.45590228849074799</v>
      </c>
      <c r="AK10">
        <v>1.1870534322177899E-2</v>
      </c>
      <c r="AL10">
        <v>0.53222717718707302</v>
      </c>
    </row>
    <row r="11" spans="1:38" x14ac:dyDescent="0.2">
      <c r="A11">
        <v>34</v>
      </c>
      <c r="B11">
        <v>739</v>
      </c>
      <c r="C11">
        <v>250</v>
      </c>
      <c r="D11">
        <v>0.31616904609000601</v>
      </c>
      <c r="E11">
        <v>28.959321773777699</v>
      </c>
      <c r="F11">
        <v>2.5259944670052601</v>
      </c>
      <c r="G11">
        <v>-457.47280985423356</v>
      </c>
      <c r="H11">
        <v>-397.16766961674119</v>
      </c>
      <c r="I11">
        <v>59.5812283134835</v>
      </c>
      <c r="J11">
        <v>34.707700413779001</v>
      </c>
      <c r="K11">
        <v>11.464523043120799</v>
      </c>
      <c r="L11">
        <v>2.9453672160743349E-5</v>
      </c>
      <c r="M11">
        <v>1.8037940621434269E-6</v>
      </c>
      <c r="N11" s="1">
        <v>-3.9338824772649899E-7</v>
      </c>
      <c r="O11" s="1">
        <v>1.0759735980486E-10</v>
      </c>
      <c r="P11" s="1">
        <v>1.3675251829515901E-9</v>
      </c>
      <c r="Q11">
        <v>66.252173723938895</v>
      </c>
      <c r="S11">
        <v>19.0322066239512</v>
      </c>
      <c r="AA11">
        <v>0.242726325722148</v>
      </c>
      <c r="AB11">
        <v>5.1997437212140101</v>
      </c>
      <c r="AC11">
        <v>9.2731496051736304</v>
      </c>
      <c r="AJ11">
        <v>0.454724667381536</v>
      </c>
      <c r="AK11">
        <v>1.1729898304616199E-2</v>
      </c>
      <c r="AL11">
        <v>0.53354543431384704</v>
      </c>
    </row>
    <row r="12" spans="1:38" x14ac:dyDescent="0.2">
      <c r="A12">
        <v>50</v>
      </c>
      <c r="B12">
        <v>748</v>
      </c>
      <c r="C12">
        <v>225</v>
      </c>
      <c r="D12">
        <v>0.34974342652891699</v>
      </c>
      <c r="E12">
        <v>1.0510659006363501</v>
      </c>
      <c r="F12">
        <v>2.52525815280549</v>
      </c>
      <c r="G12">
        <v>-16.652185082701774</v>
      </c>
      <c r="H12">
        <v>-14.42956934719277</v>
      </c>
      <c r="I12">
        <v>2.1765810463781001</v>
      </c>
      <c r="J12">
        <v>1.2581559494004799</v>
      </c>
      <c r="K12">
        <v>0.41622116909855</v>
      </c>
      <c r="L12">
        <v>2.932909753666395E-5</v>
      </c>
      <c r="M12">
        <v>1.8062234295192284E-6</v>
      </c>
      <c r="N12" s="1">
        <v>-1.0780026815707099E-8</v>
      </c>
      <c r="O12" s="1">
        <v>3.9256840916696404E-12</v>
      </c>
      <c r="P12" s="1">
        <v>3.9672851217175199E-11</v>
      </c>
      <c r="Q12">
        <v>66.298007888645401</v>
      </c>
      <c r="S12">
        <v>19.083768204531101</v>
      </c>
      <c r="AA12">
        <v>0.27457038190789901</v>
      </c>
      <c r="AB12">
        <v>5.4370580866857097</v>
      </c>
      <c r="AC12">
        <v>8.9065954382297807</v>
      </c>
      <c r="AJ12">
        <v>0.47490725997607602</v>
      </c>
      <c r="AK12">
        <v>1.32528509630402E-2</v>
      </c>
      <c r="AL12">
        <v>0.51183988906088296</v>
      </c>
    </row>
    <row r="13" spans="1:38" x14ac:dyDescent="0.2">
      <c r="A13">
        <v>51</v>
      </c>
      <c r="B13">
        <v>747</v>
      </c>
      <c r="C13">
        <v>225</v>
      </c>
      <c r="D13">
        <v>0.34903739646130499</v>
      </c>
      <c r="E13">
        <v>16.088212619382301</v>
      </c>
      <c r="F13">
        <v>2.5251890388380298</v>
      </c>
      <c r="G13">
        <v>-254.81089184569501</v>
      </c>
      <c r="H13">
        <v>-220.84926831572031</v>
      </c>
      <c r="I13">
        <v>33.2908136352249</v>
      </c>
      <c r="J13">
        <v>19.2580774070933</v>
      </c>
      <c r="K13">
        <v>6.3710923704885403</v>
      </c>
      <c r="L13">
        <v>2.9325868226698484E-5</v>
      </c>
      <c r="M13">
        <v>1.805959365631533E-6</v>
      </c>
      <c r="N13" s="1">
        <v>-1.69315379798898E-7</v>
      </c>
      <c r="O13" s="1">
        <v>6.0070869551144804E-11</v>
      </c>
      <c r="P13" s="1">
        <v>6.1951752355042004E-10</v>
      </c>
      <c r="Q13">
        <v>66.288386448585399</v>
      </c>
      <c r="S13">
        <v>19.077484414709598</v>
      </c>
      <c r="AA13">
        <v>0.27163122246875798</v>
      </c>
      <c r="AB13">
        <v>5.3991434514276602</v>
      </c>
      <c r="AC13">
        <v>8.9633544628084092</v>
      </c>
      <c r="AJ13">
        <v>0.47168601045087299</v>
      </c>
      <c r="AK13">
        <v>1.31134996151602E-2</v>
      </c>
      <c r="AL13">
        <v>0.51520048993396494</v>
      </c>
    </row>
    <row r="14" spans="1:38" x14ac:dyDescent="0.2">
      <c r="A14">
        <v>52</v>
      </c>
      <c r="B14">
        <v>746</v>
      </c>
      <c r="C14">
        <v>225</v>
      </c>
      <c r="D14">
        <v>0.34832998086640898</v>
      </c>
      <c r="E14">
        <v>23.455015995381601</v>
      </c>
      <c r="F14">
        <v>2.5251508081320102</v>
      </c>
      <c r="G14">
        <v>-371.39619965167276</v>
      </c>
      <c r="H14">
        <v>-321.96658361123832</v>
      </c>
      <c r="I14">
        <v>48.500825237142998</v>
      </c>
      <c r="J14">
        <v>28.078792581597</v>
      </c>
      <c r="K14">
        <v>9.2885604771988106</v>
      </c>
      <c r="L14">
        <v>2.9333305909827321E-5</v>
      </c>
      <c r="M14">
        <v>1.8058512931582812E-6</v>
      </c>
      <c r="N14" s="1">
        <v>-2.5401205084689102E-7</v>
      </c>
      <c r="O14" s="1">
        <v>8.7537588440376398E-11</v>
      </c>
      <c r="P14" s="1">
        <v>9.2362891283332495E-10</v>
      </c>
      <c r="Q14">
        <v>66.283006509721105</v>
      </c>
      <c r="S14">
        <v>19.0722537401114</v>
      </c>
      <c r="AA14">
        <v>0.26857119755294501</v>
      </c>
      <c r="AB14">
        <v>5.37344165263604</v>
      </c>
      <c r="AC14">
        <v>9.0027268999783807</v>
      </c>
      <c r="AJ14">
        <v>0.46950167872905302</v>
      </c>
      <c r="AK14">
        <v>1.2967457640246099E-2</v>
      </c>
      <c r="AL14">
        <v>0.517530863630699</v>
      </c>
    </row>
    <row r="15" spans="1:38" x14ac:dyDescent="0.2">
      <c r="A15">
        <v>53</v>
      </c>
      <c r="B15">
        <v>745</v>
      </c>
      <c r="C15">
        <v>225</v>
      </c>
      <c r="D15">
        <v>0.347621175661739</v>
      </c>
      <c r="E15">
        <v>26.552122930088</v>
      </c>
      <c r="F15">
        <v>2.52512523122008</v>
      </c>
      <c r="G15">
        <v>-420.34082399801298</v>
      </c>
      <c r="H15">
        <v>-364.47696503818884</v>
      </c>
      <c r="I15">
        <v>54.868004674973299</v>
      </c>
      <c r="J15">
        <v>31.790438122862401</v>
      </c>
      <c r="K15">
        <v>10.5151707336346</v>
      </c>
      <c r="L15">
        <v>2.934546599643955E-5</v>
      </c>
      <c r="M15">
        <v>1.8058064567765069E-6</v>
      </c>
      <c r="N15" s="1">
        <v>-2.9623839647798701E-7</v>
      </c>
      <c r="O15" s="1">
        <v>9.9043844492790805E-11</v>
      </c>
      <c r="P15" s="1">
        <v>1.0703570673239901E-9</v>
      </c>
      <c r="Q15">
        <v>66.279298265437106</v>
      </c>
      <c r="S15">
        <v>19.067461176249701</v>
      </c>
      <c r="AA15">
        <v>0.26548255140379301</v>
      </c>
      <c r="AB15">
        <v>5.3526136998377298</v>
      </c>
      <c r="AC15">
        <v>9.0351443070716595</v>
      </c>
      <c r="AJ15">
        <v>0.46773115239162899</v>
      </c>
      <c r="AK15">
        <v>1.28196795103778E-2</v>
      </c>
      <c r="AL15">
        <v>0.51944916809799202</v>
      </c>
    </row>
    <row r="16" spans="1:38" x14ac:dyDescent="0.2">
      <c r="A16">
        <v>54</v>
      </c>
      <c r="B16">
        <v>744</v>
      </c>
      <c r="C16">
        <v>225</v>
      </c>
      <c r="D16">
        <v>0.34691097674876298</v>
      </c>
      <c r="E16">
        <v>28.435454924134</v>
      </c>
      <c r="F16">
        <v>2.52510577136065</v>
      </c>
      <c r="G16">
        <v>-450.05665361776306</v>
      </c>
      <c r="H16">
        <v>-390.32896654479515</v>
      </c>
      <c r="I16">
        <v>58.720628297662998</v>
      </c>
      <c r="J16">
        <v>34.050360149786599</v>
      </c>
      <c r="K16">
        <v>11.261094583301899</v>
      </c>
      <c r="L16">
        <v>2.9360170101112093E-5</v>
      </c>
      <c r="M16">
        <v>1.8057908156327105E-6</v>
      </c>
      <c r="N16" s="1">
        <v>-3.2699936910424899E-7</v>
      </c>
      <c r="O16" s="1">
        <v>1.06007627514315E-10</v>
      </c>
      <c r="P16" s="1">
        <v>1.1740665541544001E-9</v>
      </c>
      <c r="Q16">
        <v>66.276314248057403</v>
      </c>
      <c r="S16">
        <v>19.062882816974199</v>
      </c>
      <c r="AA16">
        <v>0.26240163778430797</v>
      </c>
      <c r="AB16">
        <v>5.3339612130359004</v>
      </c>
      <c r="AC16">
        <v>9.0644400841480692</v>
      </c>
      <c r="AJ16">
        <v>0.466145242683428</v>
      </c>
      <c r="AK16">
        <v>1.26721041807701E-2</v>
      </c>
      <c r="AL16">
        <v>0.52118265313580003</v>
      </c>
    </row>
    <row r="17" spans="1:38" x14ac:dyDescent="0.2">
      <c r="A17">
        <v>55</v>
      </c>
      <c r="B17">
        <v>743</v>
      </c>
      <c r="C17">
        <v>225</v>
      </c>
      <c r="D17">
        <v>0.34619938001279399</v>
      </c>
      <c r="E17">
        <v>29.482669432165199</v>
      </c>
      <c r="F17">
        <v>2.5250904150089002</v>
      </c>
      <c r="G17">
        <v>-466.53160843777738</v>
      </c>
      <c r="H17">
        <v>-404.7060428002772</v>
      </c>
      <c r="I17">
        <v>60.842951963292997</v>
      </c>
      <c r="J17">
        <v>35.3102025570496</v>
      </c>
      <c r="K17">
        <v>11.675886636344901</v>
      </c>
      <c r="L17">
        <v>2.9376786484166009E-5</v>
      </c>
      <c r="M17">
        <v>1.8057941805774675E-6</v>
      </c>
      <c r="N17" s="1">
        <v>-3.4957181533078902E-7</v>
      </c>
      <c r="O17" s="1">
        <v>1.0984372618421801E-10</v>
      </c>
      <c r="P17" s="1">
        <v>1.2473027499120501E-9</v>
      </c>
      <c r="Q17">
        <v>66.273769979436196</v>
      </c>
      <c r="S17">
        <v>19.0584496791726</v>
      </c>
      <c r="AA17">
        <v>0.25933792400663802</v>
      </c>
      <c r="AB17">
        <v>5.3166693997374299</v>
      </c>
      <c r="AC17">
        <v>9.0917730176470997</v>
      </c>
      <c r="AJ17">
        <v>0.46467475747737502</v>
      </c>
      <c r="AK17">
        <v>1.25252454532764E-2</v>
      </c>
      <c r="AL17">
        <v>0.52279999706934699</v>
      </c>
    </row>
    <row r="18" spans="1:38" x14ac:dyDescent="0.2">
      <c r="A18">
        <v>76</v>
      </c>
      <c r="B18">
        <v>752</v>
      </c>
      <c r="C18">
        <v>200</v>
      </c>
      <c r="D18">
        <v>0.37937911525142798</v>
      </c>
      <c r="E18">
        <v>13.29916399635</v>
      </c>
      <c r="F18">
        <v>2.5245176469619799</v>
      </c>
      <c r="G18">
        <v>-211.08864715684257</v>
      </c>
      <c r="H18">
        <v>-182.76688819050935</v>
      </c>
      <c r="I18">
        <v>27.626941390365499</v>
      </c>
      <c r="J18">
        <v>15.9167993372259</v>
      </c>
      <c r="K18">
        <v>5.2680019933131899</v>
      </c>
      <c r="L18">
        <v>2.9306886026173359E-5</v>
      </c>
      <c r="M18">
        <v>1.8086690008114668E-6</v>
      </c>
      <c r="N18" s="1">
        <v>-1.19946904890159E-7</v>
      </c>
      <c r="O18" s="1">
        <v>4.9744194400767299E-11</v>
      </c>
      <c r="P18" s="1">
        <v>4.5482896946645401E-10</v>
      </c>
      <c r="Q18">
        <v>66.3275292561855</v>
      </c>
      <c r="S18">
        <v>19.1153956200857</v>
      </c>
      <c r="AA18">
        <v>0.29377491604669798</v>
      </c>
      <c r="AB18">
        <v>5.5857602530971002</v>
      </c>
      <c r="AC18">
        <v>8.6775399545849403</v>
      </c>
      <c r="AJ18">
        <v>0.48752908490035701</v>
      </c>
      <c r="AK18">
        <v>1.41691480981614E-2</v>
      </c>
      <c r="AL18">
        <v>0.49830176700148099</v>
      </c>
    </row>
    <row r="19" spans="1:38" x14ac:dyDescent="0.2">
      <c r="A19">
        <v>77</v>
      </c>
      <c r="B19">
        <v>751</v>
      </c>
      <c r="C19">
        <v>200</v>
      </c>
      <c r="D19">
        <v>0.378704779573308</v>
      </c>
      <c r="E19">
        <v>22.482613832557401</v>
      </c>
      <c r="F19">
        <v>2.52438863508997</v>
      </c>
      <c r="G19">
        <v>-356.71679980549573</v>
      </c>
      <c r="H19">
        <v>-308.92451222356203</v>
      </c>
      <c r="I19">
        <v>46.665320101482799</v>
      </c>
      <c r="J19">
        <v>26.904270729767202</v>
      </c>
      <c r="K19">
        <v>8.9061618801639408</v>
      </c>
      <c r="L19">
        <v>2.9287635409805602E-5</v>
      </c>
      <c r="M19">
        <v>1.8081855387842074E-6</v>
      </c>
      <c r="N19" s="1">
        <v>-2.0722825149213601E-7</v>
      </c>
      <c r="O19" s="1">
        <v>8.4091359307117098E-11</v>
      </c>
      <c r="P19" s="1">
        <v>7.8154970629416603E-10</v>
      </c>
      <c r="Q19">
        <v>66.312425958184804</v>
      </c>
      <c r="S19">
        <v>19.107147632879499</v>
      </c>
      <c r="AA19">
        <v>0.29049439026208801</v>
      </c>
      <c r="AB19">
        <v>5.5304801925365403</v>
      </c>
      <c r="AC19">
        <v>8.7594518261369902</v>
      </c>
      <c r="AJ19">
        <v>0.48283909486861898</v>
      </c>
      <c r="AK19">
        <v>1.40148394303085E-2</v>
      </c>
      <c r="AL19">
        <v>0.50314606570107201</v>
      </c>
    </row>
    <row r="20" spans="1:38" x14ac:dyDescent="0.2">
      <c r="A20">
        <v>78</v>
      </c>
      <c r="B20">
        <v>750</v>
      </c>
      <c r="C20">
        <v>200</v>
      </c>
      <c r="D20">
        <v>0.37802912573913899</v>
      </c>
      <c r="E20">
        <v>26.104056118562902</v>
      </c>
      <c r="F20">
        <v>2.5243252971783301</v>
      </c>
      <c r="G20">
        <v>-414.06125183451019</v>
      </c>
      <c r="H20">
        <v>-358.66485520824818</v>
      </c>
      <c r="I20">
        <v>54.142986489040602</v>
      </c>
      <c r="J20">
        <v>31.238514655284501</v>
      </c>
      <c r="K20">
        <v>10.3410032564906</v>
      </c>
      <c r="L20">
        <v>2.928755499131958E-5</v>
      </c>
      <c r="M20">
        <v>1.8079971979147346E-6</v>
      </c>
      <c r="N20" s="1">
        <v>-2.4723614898935898E-7</v>
      </c>
      <c r="O20" s="1">
        <v>9.7607343287996498E-11</v>
      </c>
      <c r="P20" s="1">
        <v>9.2637739310392402E-10</v>
      </c>
      <c r="Q20">
        <v>66.305294411378398</v>
      </c>
      <c r="S20">
        <v>19.1010782652383</v>
      </c>
      <c r="AA20">
        <v>0.287151148765528</v>
      </c>
      <c r="AB20">
        <v>5.49867628651364</v>
      </c>
      <c r="AC20">
        <v>8.8077998881040802</v>
      </c>
      <c r="AJ20">
        <v>0.48013966162459998</v>
      </c>
      <c r="AK20">
        <v>1.3855773566789799E-2</v>
      </c>
      <c r="AL20">
        <v>0.506004564808609</v>
      </c>
    </row>
    <row r="21" spans="1:38" x14ac:dyDescent="0.2">
      <c r="A21">
        <v>79</v>
      </c>
      <c r="B21">
        <v>749</v>
      </c>
      <c r="C21">
        <v>200</v>
      </c>
      <c r="D21">
        <v>0.37735214988015597</v>
      </c>
      <c r="E21">
        <v>28.077634521078799</v>
      </c>
      <c r="F21">
        <v>2.5242810500613699</v>
      </c>
      <c r="G21">
        <v>-445.25553577164573</v>
      </c>
      <c r="H21">
        <v>-385.7702816714978</v>
      </c>
      <c r="I21">
        <v>58.196208090933602</v>
      </c>
      <c r="J21">
        <v>33.602484599469499</v>
      </c>
      <c r="K21">
        <v>11.123022343489099</v>
      </c>
      <c r="L21">
        <v>2.9293336436784721E-5</v>
      </c>
      <c r="M21">
        <v>1.8078930210248715E-6</v>
      </c>
      <c r="N21" s="1">
        <v>-2.7367755368999602E-7</v>
      </c>
      <c r="O21" s="1">
        <v>1.04945996829134E-10</v>
      </c>
      <c r="P21" s="1">
        <v>1.0185726061811999E-9</v>
      </c>
      <c r="Q21">
        <v>66.300383606037897</v>
      </c>
      <c r="S21">
        <v>19.0956522290248</v>
      </c>
      <c r="AA21">
        <v>0.28382048262241499</v>
      </c>
      <c r="AB21">
        <v>5.47350776075284</v>
      </c>
      <c r="AC21">
        <v>8.8466359215619192</v>
      </c>
      <c r="AJ21">
        <v>0.47800281388611598</v>
      </c>
      <c r="AK21">
        <v>1.36968039513575E-2</v>
      </c>
      <c r="AL21">
        <v>0.50830038216252504</v>
      </c>
    </row>
    <row r="22" spans="1:38" x14ac:dyDescent="0.2">
      <c r="A22">
        <v>80</v>
      </c>
      <c r="B22">
        <v>748</v>
      </c>
      <c r="C22">
        <v>200</v>
      </c>
      <c r="D22">
        <v>0.37667384811242399</v>
      </c>
      <c r="E22">
        <v>29.5263313946563</v>
      </c>
      <c r="F22">
        <v>2.5242453580205302</v>
      </c>
      <c r="G22">
        <v>-468.11838732163307</v>
      </c>
      <c r="H22">
        <v>-405.66753880736496</v>
      </c>
      <c r="I22">
        <v>61.157370135893999</v>
      </c>
      <c r="J22">
        <v>35.339404321163698</v>
      </c>
      <c r="K22">
        <v>11.697092479873</v>
      </c>
      <c r="L22">
        <v>2.9301928045267411E-5</v>
      </c>
      <c r="M22">
        <v>1.8078245058210457E-6</v>
      </c>
      <c r="N22" s="1">
        <v>-2.9637648705650999E-7</v>
      </c>
      <c r="O22" s="1">
        <v>1.10312391246475E-10</v>
      </c>
      <c r="P22" s="1">
        <v>1.0956491182534601E-9</v>
      </c>
      <c r="Q22">
        <v>66.296365688021794</v>
      </c>
      <c r="S22">
        <v>19.0905177155133</v>
      </c>
      <c r="AA22">
        <v>0.28052198264285999</v>
      </c>
      <c r="AB22">
        <v>5.4510932511836003</v>
      </c>
      <c r="AC22">
        <v>8.8815013626382395</v>
      </c>
      <c r="AJ22">
        <v>0.47609933185804798</v>
      </c>
      <c r="AK22">
        <v>1.35391578157522E-2</v>
      </c>
      <c r="AL22">
        <v>0.51036151032619903</v>
      </c>
    </row>
    <row r="23" spans="1:38" x14ac:dyDescent="0.2">
      <c r="A23">
        <v>105</v>
      </c>
      <c r="B23">
        <v>758</v>
      </c>
      <c r="C23">
        <v>175</v>
      </c>
      <c r="D23">
        <v>0.41006691557969399</v>
      </c>
      <c r="E23">
        <v>1.38629224660396</v>
      </c>
      <c r="F23">
        <v>2.5242631781809299</v>
      </c>
      <c r="G23">
        <v>-22.064145118479086</v>
      </c>
      <c r="H23">
        <v>-19.08006610944609</v>
      </c>
      <c r="I23">
        <v>2.8939329962013201</v>
      </c>
      <c r="J23">
        <v>1.6598894989886199</v>
      </c>
      <c r="K23">
        <v>0.54918689088630401</v>
      </c>
      <c r="L23">
        <v>2.9361087130120372E-5</v>
      </c>
      <c r="M23">
        <v>1.8124761365629439E-6</v>
      </c>
      <c r="N23" s="1">
        <v>-1.06058752811411E-8</v>
      </c>
      <c r="O23" s="1">
        <v>5.1886944406844401E-12</v>
      </c>
      <c r="P23" s="1">
        <v>4.1971250411628902E-11</v>
      </c>
      <c r="Q23">
        <v>66.393476977078706</v>
      </c>
      <c r="S23">
        <v>19.170648894425099</v>
      </c>
      <c r="AA23">
        <v>0.32397143401768203</v>
      </c>
      <c r="AB23">
        <v>5.8775748552287297</v>
      </c>
      <c r="AC23">
        <v>8.2343278392496195</v>
      </c>
      <c r="AJ23">
        <v>0.51224328410506004</v>
      </c>
      <c r="AK23">
        <v>1.56025510730767E-2</v>
      </c>
      <c r="AL23">
        <v>0.47215416482186301</v>
      </c>
    </row>
    <row r="24" spans="1:38" x14ac:dyDescent="0.2">
      <c r="A24">
        <v>106</v>
      </c>
      <c r="B24">
        <v>757</v>
      </c>
      <c r="C24">
        <v>175</v>
      </c>
      <c r="D24">
        <v>0.40942629714119499</v>
      </c>
      <c r="E24">
        <v>19.247829573767799</v>
      </c>
      <c r="F24">
        <v>2.5238114930607098</v>
      </c>
      <c r="G24">
        <v>-306.11125149475311</v>
      </c>
      <c r="H24">
        <v>-264.77045103607776</v>
      </c>
      <c r="I24">
        <v>40.130855175144703</v>
      </c>
      <c r="J24">
        <v>23.0307534907061</v>
      </c>
      <c r="K24">
        <v>7.6264925596425002</v>
      </c>
      <c r="L24">
        <v>2.9270344961928972E-5</v>
      </c>
      <c r="M24">
        <v>1.810870093187064E-6</v>
      </c>
      <c r="N24" s="1">
        <v>-1.47363030439711E-7</v>
      </c>
      <c r="O24" s="1">
        <v>7.2113791180615903E-11</v>
      </c>
      <c r="P24" s="1">
        <v>5.8274454678040698E-10</v>
      </c>
      <c r="Q24">
        <v>66.349612759179394</v>
      </c>
      <c r="S24">
        <v>19.152129535483201</v>
      </c>
      <c r="AA24">
        <v>0.31892788885208101</v>
      </c>
      <c r="AB24">
        <v>5.7312748903984101</v>
      </c>
      <c r="AC24">
        <v>8.4480549260867708</v>
      </c>
      <c r="AJ24">
        <v>0.49986192608548202</v>
      </c>
      <c r="AK24">
        <v>1.53709994691289E-2</v>
      </c>
      <c r="AL24">
        <v>0.48476707444538802</v>
      </c>
    </row>
    <row r="25" spans="1:38" x14ac:dyDescent="0.2">
      <c r="A25">
        <v>107</v>
      </c>
      <c r="B25">
        <v>756</v>
      </c>
      <c r="C25">
        <v>175</v>
      </c>
      <c r="D25">
        <v>0.40878443375601398</v>
      </c>
      <c r="E25">
        <v>24.730317166993402</v>
      </c>
      <c r="F25">
        <v>2.5236565654474501</v>
      </c>
      <c r="G25">
        <v>-393.15136766062466</v>
      </c>
      <c r="H25">
        <v>-340.13069629183349</v>
      </c>
      <c r="I25">
        <v>51.518895563126101</v>
      </c>
      <c r="J25">
        <v>29.585932452213601</v>
      </c>
      <c r="K25">
        <v>9.7993988189944794</v>
      </c>
      <c r="L25">
        <v>2.9248144193580174E-5</v>
      </c>
      <c r="M25">
        <v>1.810371196637769E-6</v>
      </c>
      <c r="N25" s="1">
        <v>-1.9341750907248001E-7</v>
      </c>
      <c r="O25" s="1">
        <v>9.2660382255582699E-11</v>
      </c>
      <c r="P25" s="1">
        <v>7.6035673770484502E-10</v>
      </c>
      <c r="Q25">
        <v>66.334823828558498</v>
      </c>
      <c r="S25">
        <v>19.143042462056702</v>
      </c>
      <c r="AA25">
        <v>0.31488175501377802</v>
      </c>
      <c r="AB25">
        <v>5.6744956070727399</v>
      </c>
      <c r="AC25">
        <v>8.5327563472981698</v>
      </c>
      <c r="AJ25">
        <v>0.49505179204691202</v>
      </c>
      <c r="AK25">
        <v>1.5180345653683799E-2</v>
      </c>
      <c r="AL25">
        <v>0.489767862299403</v>
      </c>
    </row>
    <row r="26" spans="1:38" x14ac:dyDescent="0.2">
      <c r="A26">
        <v>108</v>
      </c>
      <c r="B26">
        <v>755</v>
      </c>
      <c r="C26">
        <v>175</v>
      </c>
      <c r="D26">
        <v>0.40814132179156798</v>
      </c>
      <c r="E26">
        <v>27.388521443043501</v>
      </c>
      <c r="F26">
        <v>2.5235676193136598</v>
      </c>
      <c r="G26">
        <v>-435.28121913669924</v>
      </c>
      <c r="H26">
        <v>-376.66156345516157</v>
      </c>
      <c r="I26">
        <v>57.014692098952203</v>
      </c>
      <c r="J26">
        <v>32.764820681263203</v>
      </c>
      <c r="K26">
        <v>10.853095923972999</v>
      </c>
      <c r="L26">
        <v>2.9242153869492931E-5</v>
      </c>
      <c r="M26">
        <v>1.8101279249723952E-6</v>
      </c>
      <c r="N26" s="1">
        <v>-2.1988566732190701E-7</v>
      </c>
      <c r="O26" s="1">
        <v>1.02603550229471E-10</v>
      </c>
      <c r="P26" s="1">
        <v>8.5835812348528304E-10</v>
      </c>
      <c r="Q26">
        <v>66.326772968730495</v>
      </c>
      <c r="S26">
        <v>19.136113182397398</v>
      </c>
      <c r="AA26">
        <v>0.31104358642324298</v>
      </c>
      <c r="AB26">
        <v>5.6383886901213298</v>
      </c>
      <c r="AC26">
        <v>8.5876815723273801</v>
      </c>
      <c r="AJ26">
        <v>0.491991523564274</v>
      </c>
      <c r="AK26">
        <v>1.4998044931502801E-2</v>
      </c>
      <c r="AL26">
        <v>0.49301043150422202</v>
      </c>
    </row>
    <row r="27" spans="1:38" x14ac:dyDescent="0.2">
      <c r="A27">
        <v>109</v>
      </c>
      <c r="B27">
        <v>754</v>
      </c>
      <c r="C27">
        <v>175</v>
      </c>
      <c r="D27">
        <v>0.40749695760112897</v>
      </c>
      <c r="E27">
        <v>29.108160272305401</v>
      </c>
      <c r="F27">
        <v>2.5235006313501702</v>
      </c>
      <c r="G27">
        <v>-462.4873367912171</v>
      </c>
      <c r="H27">
        <v>-400.29153115766383</v>
      </c>
      <c r="I27">
        <v>60.5518236222103</v>
      </c>
      <c r="J27">
        <v>34.822246406699499</v>
      </c>
      <c r="K27">
        <v>11.5348337585837</v>
      </c>
      <c r="L27">
        <v>2.924171380258899E-5</v>
      </c>
      <c r="M27">
        <v>1.809967349118375E-6</v>
      </c>
      <c r="N27" s="1">
        <v>-2.4026130490320301E-7</v>
      </c>
      <c r="O27" s="1">
        <v>1.09018834758921E-10</v>
      </c>
      <c r="P27" s="1">
        <v>9.3109565755843696E-10</v>
      </c>
      <c r="Q27">
        <v>66.320853041960305</v>
      </c>
      <c r="S27">
        <v>19.129911768986101</v>
      </c>
      <c r="AA27">
        <v>0.30730869084276602</v>
      </c>
      <c r="AB27">
        <v>5.6089386392313001</v>
      </c>
      <c r="AC27">
        <v>8.6329878589793605</v>
      </c>
      <c r="AJ27">
        <v>0.48949464210712701</v>
      </c>
      <c r="AK27">
        <v>1.4820159795692499E-2</v>
      </c>
      <c r="AL27">
        <v>0.49568519809717898</v>
      </c>
    </row>
    <row r="28" spans="1:38" x14ac:dyDescent="0.2">
      <c r="A28">
        <v>110</v>
      </c>
      <c r="B28">
        <v>753</v>
      </c>
      <c r="C28">
        <v>175</v>
      </c>
      <c r="D28">
        <v>0.40685133752375702</v>
      </c>
      <c r="E28">
        <v>30.255300371580699</v>
      </c>
      <c r="F28">
        <v>2.5234484889591999</v>
      </c>
      <c r="G28">
        <v>-480.59453159907071</v>
      </c>
      <c r="H28">
        <v>-416.05470997094312</v>
      </c>
      <c r="I28">
        <v>62.895114386909903</v>
      </c>
      <c r="J28">
        <v>36.195982451552602</v>
      </c>
      <c r="K28">
        <v>11.9896643438358</v>
      </c>
      <c r="L28">
        <v>2.924525691201766E-5</v>
      </c>
      <c r="M28">
        <v>1.8098634214329037E-6</v>
      </c>
      <c r="N28" s="1">
        <v>-2.5702285142138102E-7</v>
      </c>
      <c r="O28" s="1">
        <v>1.13280137023674E-10</v>
      </c>
      <c r="P28" s="1">
        <v>9.8871344829014701E-10</v>
      </c>
      <c r="Q28">
        <v>66.3163775760856</v>
      </c>
      <c r="S28">
        <v>19.1242090940823</v>
      </c>
      <c r="AA28">
        <v>0.30364821443469098</v>
      </c>
      <c r="AB28">
        <v>5.5840149998356097</v>
      </c>
      <c r="AC28">
        <v>8.6717501155617001</v>
      </c>
      <c r="AJ28">
        <v>0.487380950601564</v>
      </c>
      <c r="AK28">
        <v>1.4645476167458E-2</v>
      </c>
      <c r="AL28">
        <v>0.49797357323097702</v>
      </c>
    </row>
    <row r="29" spans="1:38" x14ac:dyDescent="0.2">
      <c r="A29">
        <v>140</v>
      </c>
      <c r="B29">
        <v>764</v>
      </c>
      <c r="C29">
        <v>150</v>
      </c>
      <c r="D29">
        <v>0.44039965289495597</v>
      </c>
      <c r="E29">
        <v>16.229250445793902</v>
      </c>
      <c r="F29">
        <v>2.5235018072823401</v>
      </c>
      <c r="G29">
        <v>-258.80243195430927</v>
      </c>
      <c r="H29">
        <v>-223.52563490642524</v>
      </c>
      <c r="I29">
        <v>34.013206429044999</v>
      </c>
      <c r="J29">
        <v>19.4231890332305</v>
      </c>
      <c r="K29">
        <v>6.4312418556465802</v>
      </c>
      <c r="L29">
        <v>2.928551009311216E-5</v>
      </c>
      <c r="M29">
        <v>1.8138912032547279E-6</v>
      </c>
      <c r="N29" s="1">
        <v>-1.00674842699417E-7</v>
      </c>
      <c r="O29" s="1">
        <v>6.0864938954357503E-11</v>
      </c>
      <c r="P29" s="1">
        <v>4.2329461122793701E-10</v>
      </c>
      <c r="Q29">
        <v>66.3916547873648</v>
      </c>
      <c r="S29">
        <v>19.2101377630736</v>
      </c>
      <c r="AA29">
        <v>0.356975338045184</v>
      </c>
      <c r="AB29">
        <v>5.9770394062182799</v>
      </c>
      <c r="AC29">
        <v>8.06419270529803</v>
      </c>
      <c r="AJ29">
        <v>0.52065019482794095</v>
      </c>
      <c r="AK29">
        <v>1.7183392883753801E-2</v>
      </c>
      <c r="AL29">
        <v>0.46216641228830402</v>
      </c>
    </row>
    <row r="30" spans="1:38" x14ac:dyDescent="0.2">
      <c r="A30">
        <v>141</v>
      </c>
      <c r="B30">
        <v>763</v>
      </c>
      <c r="C30">
        <v>150</v>
      </c>
      <c r="D30">
        <v>0.43979201853014099</v>
      </c>
      <c r="E30">
        <v>23.463160328045099</v>
      </c>
      <c r="F30">
        <v>2.52318004547636</v>
      </c>
      <c r="G30">
        <v>-373.95327826524414</v>
      </c>
      <c r="H30">
        <v>-323.05169610918313</v>
      </c>
      <c r="I30">
        <v>49.125688516200299</v>
      </c>
      <c r="J30">
        <v>28.069641169182699</v>
      </c>
      <c r="K30">
        <v>9.2990432332051007</v>
      </c>
      <c r="L30">
        <v>2.9234094182901798E-5</v>
      </c>
      <c r="M30">
        <v>1.8129485566586903E-6</v>
      </c>
      <c r="N30" s="1">
        <v>-1.4737714744371899E-7</v>
      </c>
      <c r="O30" s="1">
        <v>8.8041078258724003E-11</v>
      </c>
      <c r="P30" s="1">
        <v>6.1707612391417398E-10</v>
      </c>
      <c r="Q30">
        <v>66.366507367239905</v>
      </c>
      <c r="S30">
        <v>19.195619066501301</v>
      </c>
      <c r="AA30">
        <v>0.350865071412364</v>
      </c>
      <c r="AB30">
        <v>5.88293707819708</v>
      </c>
      <c r="AC30">
        <v>8.2040714166492794</v>
      </c>
      <c r="AJ30">
        <v>0.51269644303427198</v>
      </c>
      <c r="AK30">
        <v>1.6897288835072698E-2</v>
      </c>
      <c r="AL30">
        <v>0.470406268130654</v>
      </c>
    </row>
    <row r="31" spans="1:38" x14ac:dyDescent="0.2">
      <c r="A31">
        <v>142</v>
      </c>
      <c r="B31">
        <v>762</v>
      </c>
      <c r="C31">
        <v>150</v>
      </c>
      <c r="D31">
        <v>0.439183210162781</v>
      </c>
      <c r="E31">
        <v>26.8895686119975</v>
      </c>
      <c r="F31">
        <v>2.5230101573244301</v>
      </c>
      <c r="G31">
        <v>-428.4023578349333</v>
      </c>
      <c r="H31">
        <v>-370.17053861698241</v>
      </c>
      <c r="I31">
        <v>56.254474441337898</v>
      </c>
      <c r="J31">
        <v>32.163315212471304</v>
      </c>
      <c r="K31">
        <v>10.6577329995821</v>
      </c>
      <c r="L31">
        <v>2.9212438607803435E-5</v>
      </c>
      <c r="M31">
        <v>1.8124936374189089E-6</v>
      </c>
      <c r="N31" s="1">
        <v>-1.7266806967951901E-7</v>
      </c>
      <c r="O31" s="1">
        <v>1.00909775694796E-10</v>
      </c>
      <c r="P31" s="1">
        <v>7.1798900495089404E-10</v>
      </c>
      <c r="Q31">
        <v>66.353732144548502</v>
      </c>
      <c r="S31">
        <v>19.185986182776499</v>
      </c>
      <c r="AA31">
        <v>0.34589876727305002</v>
      </c>
      <c r="AB31">
        <v>5.8292143223644501</v>
      </c>
      <c r="AC31">
        <v>8.2851685830374198</v>
      </c>
      <c r="AJ31">
        <v>0.50815229654023797</v>
      </c>
      <c r="AK31">
        <v>1.6662634727347699E-2</v>
      </c>
      <c r="AL31">
        <v>0.47518506873241301</v>
      </c>
    </row>
    <row r="32" spans="1:38" x14ac:dyDescent="0.2">
      <c r="A32">
        <v>143</v>
      </c>
      <c r="B32">
        <v>761</v>
      </c>
      <c r="C32">
        <v>150</v>
      </c>
      <c r="D32">
        <v>0.43857322438717999</v>
      </c>
      <c r="E32">
        <v>28.818551927343002</v>
      </c>
      <c r="F32">
        <v>2.5228989750498698</v>
      </c>
      <c r="G32">
        <v>-458.99464952658781</v>
      </c>
      <c r="H32">
        <v>-396.69134527428736</v>
      </c>
      <c r="I32">
        <v>60.245906543828703</v>
      </c>
      <c r="J32">
        <v>34.468002861009303</v>
      </c>
      <c r="K32">
        <v>11.422792673168001</v>
      </c>
      <c r="L32">
        <v>2.9202862938579913E-5</v>
      </c>
      <c r="M32">
        <v>1.8122325924735334E-6</v>
      </c>
      <c r="N32" s="1">
        <v>-1.89910250792658E-7</v>
      </c>
      <c r="O32" s="1">
        <v>1.08142823508332E-10</v>
      </c>
      <c r="P32" s="1">
        <v>7.8346824800369197E-10</v>
      </c>
      <c r="Q32">
        <v>66.345890793833505</v>
      </c>
      <c r="S32">
        <v>19.178274669252701</v>
      </c>
      <c r="AA32">
        <v>0.341366361647576</v>
      </c>
      <c r="AB32">
        <v>5.7915235574646999</v>
      </c>
      <c r="AC32">
        <v>8.3429446178014608</v>
      </c>
      <c r="AJ32">
        <v>0.50496275816384095</v>
      </c>
      <c r="AK32">
        <v>1.64474295883183E-2</v>
      </c>
      <c r="AL32">
        <v>0.47858981224783897</v>
      </c>
    </row>
    <row r="33" spans="1:38" x14ac:dyDescent="0.2">
      <c r="A33">
        <v>144</v>
      </c>
      <c r="B33">
        <v>760</v>
      </c>
      <c r="C33">
        <v>150</v>
      </c>
      <c r="D33">
        <v>0.43796205778444602</v>
      </c>
      <c r="E33">
        <v>30.2073316782154</v>
      </c>
      <c r="F33">
        <v>2.5228096785183198</v>
      </c>
      <c r="G33">
        <v>-480.97900713311208</v>
      </c>
      <c r="H33">
        <v>-415.78254738531592</v>
      </c>
      <c r="I33">
        <v>63.104544110531997</v>
      </c>
      <c r="J33">
        <v>36.127584334784501</v>
      </c>
      <c r="K33">
        <v>11.9736862972384</v>
      </c>
      <c r="L33">
        <v>2.9197824563893698E-5</v>
      </c>
      <c r="M33">
        <v>1.8120405694040119E-6</v>
      </c>
      <c r="N33" s="1">
        <v>-2.0456051351889099E-7</v>
      </c>
      <c r="O33" s="1">
        <v>1.1334019296875999E-10</v>
      </c>
      <c r="P33" s="1">
        <v>8.3705864561629202E-10</v>
      </c>
      <c r="Q33">
        <v>66.339755748558503</v>
      </c>
      <c r="S33">
        <v>19.171288327322401</v>
      </c>
      <c r="AA33">
        <v>0.33703408696417397</v>
      </c>
      <c r="AB33">
        <v>5.7595363343609396</v>
      </c>
      <c r="AC33">
        <v>8.3923855027938004</v>
      </c>
      <c r="AJ33">
        <v>0.50225492827621399</v>
      </c>
      <c r="AK33">
        <v>1.6241319189159002E-2</v>
      </c>
      <c r="AL33">
        <v>0.48150375253462602</v>
      </c>
    </row>
    <row r="34" spans="1:38" x14ac:dyDescent="0.2">
      <c r="A34">
        <v>180</v>
      </c>
      <c r="B34">
        <v>773</v>
      </c>
      <c r="C34">
        <v>125</v>
      </c>
      <c r="D34">
        <v>0.472102948907902</v>
      </c>
      <c r="E34">
        <v>10.3186450697824</v>
      </c>
      <c r="F34">
        <v>2.5238942762492398</v>
      </c>
      <c r="G34">
        <v>-165.12913156932743</v>
      </c>
      <c r="H34">
        <v>-142.35314426936273</v>
      </c>
      <c r="I34">
        <v>21.7712443721882</v>
      </c>
      <c r="J34">
        <v>12.3602150386851</v>
      </c>
      <c r="K34">
        <v>4.0883824520244803</v>
      </c>
      <c r="L34">
        <v>2.937054937265452E-5</v>
      </c>
      <c r="M34">
        <v>1.8178286465254435E-6</v>
      </c>
      <c r="N34" s="1">
        <v>-4.9564605906196098E-8</v>
      </c>
      <c r="O34" s="1">
        <v>3.8686607729550699E-11</v>
      </c>
      <c r="P34" s="1">
        <v>2.27262340402011E-10</v>
      </c>
      <c r="Q34">
        <v>66.4482918519425</v>
      </c>
      <c r="S34">
        <v>19.3004336298312</v>
      </c>
      <c r="AA34">
        <v>0.418254867934999</v>
      </c>
      <c r="AB34">
        <v>6.3399744218403002</v>
      </c>
      <c r="AC34">
        <v>7.4930452284508204</v>
      </c>
      <c r="AJ34">
        <v>0.551255283091306</v>
      </c>
      <c r="AK34">
        <v>2.0096343876967099E-2</v>
      </c>
      <c r="AL34">
        <v>0.42864837303172598</v>
      </c>
    </row>
    <row r="35" spans="1:38" x14ac:dyDescent="0.2">
      <c r="A35">
        <v>181</v>
      </c>
      <c r="B35">
        <v>772</v>
      </c>
      <c r="C35">
        <v>125</v>
      </c>
      <c r="D35">
        <v>0.47153088073482102</v>
      </c>
      <c r="E35">
        <v>20.9337828828154</v>
      </c>
      <c r="F35">
        <v>2.5231547051465202</v>
      </c>
      <c r="G35">
        <v>-334.70410935278011</v>
      </c>
      <c r="H35">
        <v>-288.60108977584349</v>
      </c>
      <c r="I35">
        <v>44.111390304680199</v>
      </c>
      <c r="J35">
        <v>25.055349241911198</v>
      </c>
      <c r="K35">
        <v>8.2966703706737999</v>
      </c>
      <c r="L35">
        <v>2.9266149629834941E-5</v>
      </c>
      <c r="M35">
        <v>1.8160370826935681E-6</v>
      </c>
      <c r="N35" s="1">
        <v>-9.9953576050867803E-8</v>
      </c>
      <c r="O35" s="1">
        <v>7.8593999503110905E-11</v>
      </c>
      <c r="P35" s="1">
        <v>4.5904321617441201E-10</v>
      </c>
      <c r="Q35">
        <v>66.405354135562007</v>
      </c>
      <c r="S35">
        <v>19.2721341429768</v>
      </c>
      <c r="AA35">
        <v>0.40492643063773498</v>
      </c>
      <c r="AB35">
        <v>6.17009923914138</v>
      </c>
      <c r="AC35">
        <v>7.7474860516820296</v>
      </c>
      <c r="AJ35">
        <v>0.536944043387243</v>
      </c>
      <c r="AK35">
        <v>1.9472593383584799E-2</v>
      </c>
      <c r="AL35">
        <v>0.44358336322917202</v>
      </c>
    </row>
    <row r="36" spans="1:38" x14ac:dyDescent="0.2">
      <c r="A36">
        <v>182</v>
      </c>
      <c r="B36">
        <v>771</v>
      </c>
      <c r="C36">
        <v>125</v>
      </c>
      <c r="D36">
        <v>0.47095771680314102</v>
      </c>
      <c r="E36">
        <v>25.790022473839699</v>
      </c>
      <c r="F36">
        <v>2.52279817398259</v>
      </c>
      <c r="G36">
        <v>-412.12935337148713</v>
      </c>
      <c r="H36">
        <v>-355.43900846816365</v>
      </c>
      <c r="I36">
        <v>54.293295889789199</v>
      </c>
      <c r="J36">
        <v>30.855955939580301</v>
      </c>
      <c r="K36">
        <v>10.222784660227701</v>
      </c>
      <c r="L36">
        <v>2.9218124276872234E-5</v>
      </c>
      <c r="M36">
        <v>1.8151863510543591E-6</v>
      </c>
      <c r="N36" s="1">
        <v>-1.2484013860091799E-7</v>
      </c>
      <c r="O36" s="1">
        <v>9.6881041721575697E-11</v>
      </c>
      <c r="P36" s="1">
        <v>5.7032539665148005E-10</v>
      </c>
      <c r="Q36">
        <v>66.384252334932199</v>
      </c>
      <c r="S36">
        <v>19.256224036046302</v>
      </c>
      <c r="AA36">
        <v>0.39672424621045399</v>
      </c>
      <c r="AB36">
        <v>6.0813645940979102</v>
      </c>
      <c r="AC36">
        <v>7.8814347887130598</v>
      </c>
      <c r="AJ36">
        <v>0.52945880613687102</v>
      </c>
      <c r="AK36">
        <v>1.9086692144796299E-2</v>
      </c>
      <c r="AL36">
        <v>0.45145450171833101</v>
      </c>
    </row>
    <row r="37" spans="1:38" x14ac:dyDescent="0.2">
      <c r="A37">
        <v>183</v>
      </c>
      <c r="B37">
        <v>770</v>
      </c>
      <c r="C37">
        <v>125</v>
      </c>
      <c r="D37">
        <v>0.47038345396155901</v>
      </c>
      <c r="E37">
        <v>28.437463873855702</v>
      </c>
      <c r="F37">
        <v>2.5225829245302198</v>
      </c>
      <c r="G37">
        <v>-454.25789031524192</v>
      </c>
      <c r="H37">
        <v>-391.85806437987725</v>
      </c>
      <c r="I37">
        <v>59.818651138728498</v>
      </c>
      <c r="J37">
        <v>34.0162755384655</v>
      </c>
      <c r="K37">
        <v>11.273153241989601</v>
      </c>
      <c r="L37">
        <v>2.9192556886181453E-5</v>
      </c>
      <c r="M37">
        <v>1.814708528966364E-6</v>
      </c>
      <c r="N37" s="1">
        <v>-1.4066736336813499E-7</v>
      </c>
      <c r="O37" s="1">
        <v>1.0685194319367E-10</v>
      </c>
      <c r="P37" s="1">
        <v>6.3753922077090999E-10</v>
      </c>
      <c r="Q37">
        <v>66.372058667813604</v>
      </c>
      <c r="S37">
        <v>19.244942455607202</v>
      </c>
      <c r="AA37">
        <v>0.390262052358054</v>
      </c>
      <c r="AB37">
        <v>6.0246155308958098</v>
      </c>
      <c r="AC37">
        <v>7.9681212933252699</v>
      </c>
      <c r="AJ37">
        <v>0.52466822363135202</v>
      </c>
      <c r="AK37">
        <v>1.8781165491617301E-2</v>
      </c>
      <c r="AL37">
        <v>0.45655061087703003</v>
      </c>
    </row>
    <row r="38" spans="1:38" x14ac:dyDescent="0.2">
      <c r="A38">
        <v>184</v>
      </c>
      <c r="B38">
        <v>769</v>
      </c>
      <c r="C38">
        <v>125</v>
      </c>
      <c r="D38">
        <v>0.46980808904668597</v>
      </c>
      <c r="E38">
        <v>30.0517614266947</v>
      </c>
      <c r="F38">
        <v>2.52243285231153</v>
      </c>
      <c r="G38">
        <v>-479.88855089825239</v>
      </c>
      <c r="H38">
        <v>-414.05827850174717</v>
      </c>
      <c r="I38">
        <v>63.167751663872899</v>
      </c>
      <c r="J38">
        <v>35.942683292766098</v>
      </c>
      <c r="K38">
        <v>11.9138003610901</v>
      </c>
      <c r="L38">
        <v>2.9177827430733859E-5</v>
      </c>
      <c r="M38">
        <v>1.8144079998140726E-6</v>
      </c>
      <c r="N38" s="1">
        <v>-1.52477521454289E-7</v>
      </c>
      <c r="O38" s="1">
        <v>1.1292687935310699E-10</v>
      </c>
      <c r="P38" s="1">
        <v>6.8478843517104702E-10</v>
      </c>
      <c r="Q38">
        <v>66.364133286734699</v>
      </c>
      <c r="S38">
        <v>19.2358200716223</v>
      </c>
      <c r="AA38">
        <v>0.38458527149261301</v>
      </c>
      <c r="AB38">
        <v>5.9830387284962203</v>
      </c>
      <c r="AC38">
        <v>8.0324226416540796</v>
      </c>
      <c r="AJ38">
        <v>0.52115670672873604</v>
      </c>
      <c r="AK38">
        <v>1.8511855657909901E-2</v>
      </c>
      <c r="AL38">
        <v>0.46033143761335299</v>
      </c>
    </row>
    <row r="39" spans="1:38" x14ac:dyDescent="0.2">
      <c r="A39">
        <v>185</v>
      </c>
      <c r="B39">
        <v>768</v>
      </c>
      <c r="C39">
        <v>125</v>
      </c>
      <c r="D39">
        <v>0.46923161888296799</v>
      </c>
      <c r="E39">
        <v>31.112591737229401</v>
      </c>
      <c r="F39">
        <v>2.5223178416661298</v>
      </c>
      <c r="G39">
        <v>-496.68522739182754</v>
      </c>
      <c r="H39">
        <v>-428.6443292982384</v>
      </c>
      <c r="I39">
        <v>65.351676601439905</v>
      </c>
      <c r="J39">
        <v>37.208465770465601</v>
      </c>
      <c r="K39">
        <v>12.3349211678564</v>
      </c>
      <c r="L39">
        <v>2.9169132625012245E-5</v>
      </c>
      <c r="M39">
        <v>1.8142036986819617E-6</v>
      </c>
      <c r="N39" s="1">
        <v>-1.62246462803284E-7</v>
      </c>
      <c r="O39" s="1">
        <v>1.1691229667940001E-10</v>
      </c>
      <c r="P39" s="1">
        <v>7.2166308890169696E-10</v>
      </c>
      <c r="Q39">
        <v>66.3585160532391</v>
      </c>
      <c r="S39">
        <v>19.2278713619109</v>
      </c>
      <c r="AA39">
        <v>0.37933820923614497</v>
      </c>
      <c r="AB39">
        <v>5.9496824489242499</v>
      </c>
      <c r="AC39">
        <v>8.0845919266894697</v>
      </c>
      <c r="AJ39">
        <v>0.51833842591157897</v>
      </c>
      <c r="AK39">
        <v>1.82623641648933E-2</v>
      </c>
      <c r="AL39">
        <v>0.46339920992352701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CE81C-AA28-434A-B7B8-F954DD11D9AE}">
  <sheetPr codeName="Sheet12"/>
  <dimension ref="A1:AL21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5</v>
      </c>
      <c r="B2">
        <v>747</v>
      </c>
      <c r="C2">
        <v>275</v>
      </c>
      <c r="D2">
        <v>0.29512375631034898</v>
      </c>
      <c r="E2">
        <v>0.69213034004966101</v>
      </c>
      <c r="F2">
        <v>2.5782617574862798</v>
      </c>
      <c r="G2">
        <v>-11.206138045132914</v>
      </c>
      <c r="H2">
        <v>-9.7280640078303353</v>
      </c>
      <c r="I2">
        <v>1.4488791229746401</v>
      </c>
      <c r="J2">
        <v>0.85060847836985398</v>
      </c>
      <c r="K2">
        <v>0.268448437417178</v>
      </c>
      <c r="L2">
        <v>3.2140393049563309E-5</v>
      </c>
      <c r="M2">
        <v>1.8125774055695175E-6</v>
      </c>
      <c r="N2" s="1">
        <v>-1.4552764625531101E-8</v>
      </c>
      <c r="O2" s="1">
        <v>2.32770422706283E-12</v>
      </c>
      <c r="P2" s="1">
        <v>4.8037046976226097E-11</v>
      </c>
      <c r="Q2">
        <v>65.1992362781982</v>
      </c>
      <c r="S2">
        <v>21.5115901413544</v>
      </c>
      <c r="AA2">
        <v>2.5339316728229599</v>
      </c>
      <c r="AB2">
        <v>9.3533553123509492</v>
      </c>
      <c r="AC2">
        <v>1.4018865952733599</v>
      </c>
      <c r="AJ2">
        <v>0.80107912384838498</v>
      </c>
      <c r="AK2">
        <v>0.11992608932504099</v>
      </c>
      <c r="AL2">
        <v>7.8994786826573904E-2</v>
      </c>
    </row>
    <row r="3" spans="1:38" x14ac:dyDescent="0.2">
      <c r="A3">
        <v>6</v>
      </c>
      <c r="B3">
        <v>746</v>
      </c>
      <c r="C3">
        <v>275</v>
      </c>
      <c r="D3">
        <v>0.29436344012167098</v>
      </c>
      <c r="E3">
        <v>2.0695408104622399</v>
      </c>
      <c r="F3">
        <v>2.57688329685043</v>
      </c>
      <c r="G3">
        <v>-33.492828852498327</v>
      </c>
      <c r="H3">
        <v>-29.07928631170391</v>
      </c>
      <c r="I3">
        <v>4.3306113337530396</v>
      </c>
      <c r="J3">
        <v>2.5447233262508901</v>
      </c>
      <c r="K3">
        <v>0.80311778689850699</v>
      </c>
      <c r="L3">
        <v>3.2236686809391898E-5</v>
      </c>
      <c r="M3">
        <v>1.8153397884310719E-6</v>
      </c>
      <c r="N3" s="1">
        <v>-4.49276457243516E-8</v>
      </c>
      <c r="O3" s="1">
        <v>6.9681687588877001E-12</v>
      </c>
      <c r="P3" s="1">
        <v>1.47660381423726E-10</v>
      </c>
      <c r="Q3">
        <v>65.323146069822698</v>
      </c>
      <c r="S3">
        <v>21.407378254472398</v>
      </c>
      <c r="AA3">
        <v>2.4190431431807302</v>
      </c>
      <c r="AB3">
        <v>9.3562766292775699</v>
      </c>
      <c r="AC3">
        <v>1.4941559032465801</v>
      </c>
      <c r="AJ3">
        <v>0.801319689358168</v>
      </c>
      <c r="AK3">
        <v>0.11448726077694101</v>
      </c>
      <c r="AL3">
        <v>8.4193049864889902E-2</v>
      </c>
    </row>
    <row r="4" spans="1:38" x14ac:dyDescent="0.2">
      <c r="A4">
        <v>7</v>
      </c>
      <c r="B4">
        <v>745</v>
      </c>
      <c r="C4">
        <v>275</v>
      </c>
      <c r="D4">
        <v>0.29360163040809401</v>
      </c>
      <c r="E4">
        <v>3.5067189361170401</v>
      </c>
      <c r="F4">
        <v>2.5754586667178501</v>
      </c>
      <c r="G4">
        <v>-56.725011926293398</v>
      </c>
      <c r="H4">
        <v>-49.256898583509923</v>
      </c>
      <c r="I4">
        <v>7.3349833941791101</v>
      </c>
      <c r="J4">
        <v>4.3139744009369201</v>
      </c>
      <c r="K4">
        <v>1.3615900660467399</v>
      </c>
      <c r="L4">
        <v>3.2326743951465585E-5</v>
      </c>
      <c r="M4">
        <v>1.8179499778059348E-6</v>
      </c>
      <c r="N4" s="1">
        <v>-7.8527166649199805E-8</v>
      </c>
      <c r="O4" s="1">
        <v>1.18212437654272E-11</v>
      </c>
      <c r="P4" s="1">
        <v>2.5702529105671801E-10</v>
      </c>
      <c r="Q4">
        <v>65.443183494738307</v>
      </c>
      <c r="S4">
        <v>21.3033303082807</v>
      </c>
      <c r="AA4">
        <v>2.3051934301195001</v>
      </c>
      <c r="AB4">
        <v>9.3509983764552196</v>
      </c>
      <c r="AC4">
        <v>1.5972943904061601</v>
      </c>
      <c r="AJ4">
        <v>0.800890543712375</v>
      </c>
      <c r="AK4">
        <v>0.10910215973861501</v>
      </c>
      <c r="AL4">
        <v>9.00072965490092E-2</v>
      </c>
    </row>
    <row r="5" spans="1:38" x14ac:dyDescent="0.2">
      <c r="A5">
        <v>8</v>
      </c>
      <c r="B5">
        <v>744</v>
      </c>
      <c r="C5">
        <v>275</v>
      </c>
      <c r="D5">
        <v>0.29283832276459099</v>
      </c>
      <c r="E5">
        <v>5.0161325295044898</v>
      </c>
      <c r="F5">
        <v>2.5739707944595001</v>
      </c>
      <c r="G5">
        <v>-81.100031115703644</v>
      </c>
      <c r="H5">
        <v>-70.43244753052673</v>
      </c>
      <c r="I5">
        <v>10.4877192008818</v>
      </c>
      <c r="J5">
        <v>6.1735645592489599</v>
      </c>
      <c r="K5">
        <v>1.9487915481798599</v>
      </c>
      <c r="L5">
        <v>3.2409169821275566E-5</v>
      </c>
      <c r="M5">
        <v>1.8203936675061553E-6</v>
      </c>
      <c r="N5" s="1">
        <v>-1.1574090390364401E-7</v>
      </c>
      <c r="O5" s="1">
        <v>1.69307965753465E-11</v>
      </c>
      <c r="P5" s="1">
        <v>3.7734409082921298E-10</v>
      </c>
      <c r="Q5">
        <v>65.559349642608296</v>
      </c>
      <c r="S5">
        <v>21.198850343090498</v>
      </c>
      <c r="AA5">
        <v>2.1918906065358201</v>
      </c>
      <c r="AB5">
        <v>9.3359605963352408</v>
      </c>
      <c r="AC5">
        <v>1.7139488114300301</v>
      </c>
      <c r="AJ5">
        <v>0.79966415486661002</v>
      </c>
      <c r="AK5">
        <v>0.103747653968719</v>
      </c>
      <c r="AL5">
        <v>9.6588191164670795E-2</v>
      </c>
    </row>
    <row r="6" spans="1:38" x14ac:dyDescent="0.2">
      <c r="A6">
        <v>9</v>
      </c>
      <c r="B6">
        <v>743</v>
      </c>
      <c r="C6">
        <v>275</v>
      </c>
      <c r="D6">
        <v>0.29207351276878402</v>
      </c>
      <c r="E6">
        <v>6.6162737152811397</v>
      </c>
      <c r="F6">
        <v>2.5723940444999398</v>
      </c>
      <c r="G6">
        <v>-106.91074351613753</v>
      </c>
      <c r="H6">
        <v>-92.860414796157073</v>
      </c>
      <c r="I6">
        <v>13.8270223096791</v>
      </c>
      <c r="J6">
        <v>8.1459945452022904</v>
      </c>
      <c r="K6">
        <v>2.5720296349726901</v>
      </c>
      <c r="L6">
        <v>3.2481994528187149E-5</v>
      </c>
      <c r="M6">
        <v>1.8226525842166389E-6</v>
      </c>
      <c r="N6" s="1">
        <v>-1.57085412516042E-7</v>
      </c>
      <c r="O6" s="1">
        <v>2.2362507708462E-11</v>
      </c>
      <c r="P6" s="1">
        <v>5.1024239882033501E-10</v>
      </c>
      <c r="Q6">
        <v>65.671756506696099</v>
      </c>
      <c r="S6">
        <v>21.092992292154001</v>
      </c>
      <c r="AA6">
        <v>2.0783280255788501</v>
      </c>
      <c r="AB6">
        <v>9.3089326229240505</v>
      </c>
      <c r="AC6">
        <v>1.8479905526469</v>
      </c>
      <c r="AJ6">
        <v>0.79745790587946297</v>
      </c>
      <c r="AK6">
        <v>9.8385877922208695E-2</v>
      </c>
      <c r="AL6">
        <v>0.104156216198327</v>
      </c>
    </row>
    <row r="7" spans="1:38" x14ac:dyDescent="0.2">
      <c r="A7">
        <v>10</v>
      </c>
      <c r="B7">
        <v>742</v>
      </c>
      <c r="C7">
        <v>275</v>
      </c>
      <c r="D7">
        <v>0.291307195980888</v>
      </c>
      <c r="E7">
        <v>8.3366699023140605</v>
      </c>
      <c r="F7">
        <v>2.5706878418745802</v>
      </c>
      <c r="G7">
        <v>-134.6250535746608</v>
      </c>
      <c r="H7">
        <v>-116.94726826028258</v>
      </c>
      <c r="I7">
        <v>17.413963763363199</v>
      </c>
      <c r="J7">
        <v>10.2671352075181</v>
      </c>
      <c r="K7">
        <v>3.2429724708367602</v>
      </c>
      <c r="L7">
        <v>3.2542226951342147E-5</v>
      </c>
      <c r="M7">
        <v>1.8247009694104411E-6</v>
      </c>
      <c r="N7" s="1">
        <v>-2.03304233555358E-7</v>
      </c>
      <c r="O7" s="1">
        <v>2.8222047329093099E-11</v>
      </c>
      <c r="P7" s="1">
        <v>6.5808791987708198E-10</v>
      </c>
      <c r="Q7">
        <v>65.780690432708695</v>
      </c>
      <c r="S7">
        <v>20.984206740790299</v>
      </c>
      <c r="AA7">
        <v>1.963160589416</v>
      </c>
      <c r="AB7">
        <v>9.2664905702530707</v>
      </c>
      <c r="AC7">
        <v>2.0054516668317399</v>
      </c>
      <c r="AJ7">
        <v>0.79399114095666601</v>
      </c>
      <c r="AK7">
        <v>9.2953765173663994E-2</v>
      </c>
      <c r="AL7">
        <v>0.113055093869669</v>
      </c>
    </row>
    <row r="8" spans="1:38" x14ac:dyDescent="0.2">
      <c r="A8">
        <v>11</v>
      </c>
      <c r="B8">
        <v>741</v>
      </c>
      <c r="C8">
        <v>275</v>
      </c>
      <c r="D8">
        <v>0.29053936794360102</v>
      </c>
      <c r="E8">
        <v>10.2291221382137</v>
      </c>
      <c r="F8">
        <v>2.56878277833493</v>
      </c>
      <c r="G8">
        <v>-165.06425091238066</v>
      </c>
      <c r="H8">
        <v>-143.40629293847161</v>
      </c>
      <c r="I8">
        <v>21.355773774992901</v>
      </c>
      <c r="J8">
        <v>12.599840473662899</v>
      </c>
      <c r="K8">
        <v>3.9820891920040902</v>
      </c>
      <c r="L8">
        <v>3.2584867536833886E-5</v>
      </c>
      <c r="M8">
        <v>1.8264975412492995E-6</v>
      </c>
      <c r="N8" s="1">
        <v>-2.55589823012852E-7</v>
      </c>
      <c r="O8" s="1">
        <v>3.4695871669794697E-11</v>
      </c>
      <c r="P8" s="1">
        <v>8.24721125548262E-10</v>
      </c>
      <c r="Q8">
        <v>65.886737709046798</v>
      </c>
      <c r="S8">
        <v>20.8697928589479</v>
      </c>
      <c r="AA8">
        <v>1.8440232832172401</v>
      </c>
      <c r="AB8">
        <v>9.2028603734753105</v>
      </c>
      <c r="AC8">
        <v>2.1965857753126499</v>
      </c>
      <c r="AJ8">
        <v>0.788790007051272</v>
      </c>
      <c r="AK8">
        <v>8.7340516874001406E-2</v>
      </c>
      <c r="AL8">
        <v>0.123869476074726</v>
      </c>
    </row>
    <row r="9" spans="1:38" x14ac:dyDescent="0.2">
      <c r="A9">
        <v>12</v>
      </c>
      <c r="B9">
        <v>740</v>
      </c>
      <c r="C9">
        <v>275</v>
      </c>
      <c r="D9">
        <v>0.28977002418201098</v>
      </c>
      <c r="E9">
        <v>12.3976749073602</v>
      </c>
      <c r="F9">
        <v>2.5665448613107502</v>
      </c>
      <c r="G9">
        <v>-199.87847448107416</v>
      </c>
      <c r="H9">
        <v>-173.67037300365604</v>
      </c>
      <c r="I9">
        <v>25.867938091514699</v>
      </c>
      <c r="J9">
        <v>15.270228720484001</v>
      </c>
      <c r="K9">
        <v>4.8304921898106601</v>
      </c>
      <c r="L9">
        <v>3.2600329588101209E-5</v>
      </c>
      <c r="M9">
        <v>1.8279639389924045E-6</v>
      </c>
      <c r="N9" s="1">
        <v>-3.16165240524165E-7</v>
      </c>
      <c r="O9" s="1">
        <v>4.2160128229294598E-11</v>
      </c>
      <c r="P9" s="1">
        <v>1.0173747658991801E-9</v>
      </c>
      <c r="Q9">
        <v>65.991078222302605</v>
      </c>
      <c r="S9">
        <v>20.7444950319565</v>
      </c>
      <c r="AA9">
        <v>1.7163048606601501</v>
      </c>
      <c r="AB9">
        <v>9.1068930694642205</v>
      </c>
      <c r="AC9">
        <v>2.4412288156164399</v>
      </c>
      <c r="AJ9">
        <v>0.780938501969488</v>
      </c>
      <c r="AK9">
        <v>8.1330196302559304E-2</v>
      </c>
      <c r="AL9">
        <v>0.13773130172795101</v>
      </c>
    </row>
    <row r="10" spans="1:38" x14ac:dyDescent="0.2">
      <c r="A10">
        <v>13</v>
      </c>
      <c r="B10">
        <v>739</v>
      </c>
      <c r="C10">
        <v>275</v>
      </c>
      <c r="D10">
        <v>0.28899916020352701</v>
      </c>
      <c r="E10">
        <v>16.333293372083102</v>
      </c>
      <c r="F10">
        <v>2.5659945858890301</v>
      </c>
      <c r="G10">
        <v>-263.25627702177962</v>
      </c>
      <c r="H10">
        <v>-228.78155826161748</v>
      </c>
      <c r="I10">
        <v>34.060879079347998</v>
      </c>
      <c r="J10">
        <v>20.129596981703699</v>
      </c>
      <c r="K10">
        <v>6.3652875426563602</v>
      </c>
      <c r="L10">
        <v>3.267561099458855E-5</v>
      </c>
      <c r="M10">
        <v>1.8290434434664546E-6</v>
      </c>
      <c r="N10" s="1">
        <v>-4.2975950196785102E-7</v>
      </c>
      <c r="O10" s="1">
        <v>5.5497133812394502E-11</v>
      </c>
      <c r="P10" s="1">
        <v>1.3778481277277501E-9</v>
      </c>
      <c r="Q10">
        <v>66.035496694986804</v>
      </c>
      <c r="S10">
        <v>20.704422442940999</v>
      </c>
      <c r="AA10">
        <v>1.67288012105043</v>
      </c>
      <c r="AB10">
        <v>9.1008217523215098</v>
      </c>
      <c r="AC10">
        <v>2.4863789887001699</v>
      </c>
      <c r="AJ10">
        <v>0.78044211945396202</v>
      </c>
      <c r="AK10">
        <v>7.9274899847453603E-2</v>
      </c>
      <c r="AL10">
        <v>0.140282980698584</v>
      </c>
    </row>
    <row r="11" spans="1:38" x14ac:dyDescent="0.2">
      <c r="A11">
        <v>13</v>
      </c>
      <c r="B11">
        <v>739</v>
      </c>
      <c r="C11">
        <v>275</v>
      </c>
      <c r="D11">
        <v>0.28899916020352701</v>
      </c>
      <c r="E11">
        <v>6.3198741541189198</v>
      </c>
      <c r="F11">
        <v>2.52675877482609</v>
      </c>
      <c r="G11">
        <v>-99.703901331326378</v>
      </c>
      <c r="H11">
        <v>-86.555940682635907</v>
      </c>
      <c r="I11">
        <v>12.9901305623578</v>
      </c>
      <c r="J11">
        <v>7.5678697263830896</v>
      </c>
      <c r="K11">
        <v>2.5011782751417901</v>
      </c>
      <c r="L11">
        <v>2.9355115443476697E-5</v>
      </c>
      <c r="M11">
        <v>1.8003073495313019E-6</v>
      </c>
      <c r="N11" s="1">
        <v>-8.4761495208638994E-8</v>
      </c>
      <c r="O11" s="1">
        <v>2.35141397971648E-11</v>
      </c>
      <c r="P11" s="1">
        <v>2.9522497859493002E-10</v>
      </c>
      <c r="Q11">
        <v>66.199639265813403</v>
      </c>
      <c r="S11">
        <v>19.015783762677501</v>
      </c>
      <c r="AA11">
        <v>0.24143549462631</v>
      </c>
      <c r="AB11">
        <v>5.0396188321199302</v>
      </c>
      <c r="AC11">
        <v>9.5035226447627306</v>
      </c>
      <c r="AJ11">
        <v>0.441079084158012</v>
      </c>
      <c r="AK11">
        <v>1.1676983931136101E-2</v>
      </c>
      <c r="AL11">
        <v>0.54724393191084997</v>
      </c>
    </row>
    <row r="12" spans="1:38" x14ac:dyDescent="0.2">
      <c r="A12">
        <v>14</v>
      </c>
      <c r="B12">
        <v>738</v>
      </c>
      <c r="C12">
        <v>275</v>
      </c>
      <c r="D12">
        <v>0.28822677149780002</v>
      </c>
      <c r="E12">
        <v>25.054520883432598</v>
      </c>
      <c r="F12">
        <v>2.5653381117663399</v>
      </c>
      <c r="G12">
        <v>-403.7208105911771</v>
      </c>
      <c r="H12">
        <v>-350.91771802287445</v>
      </c>
      <c r="I12">
        <v>52.220830310342201</v>
      </c>
      <c r="J12">
        <v>30.9001518992584</v>
      </c>
      <c r="K12">
        <v>9.7665569963335308</v>
      </c>
      <c r="L12">
        <v>3.2772476238803632E-5</v>
      </c>
      <c r="M12">
        <v>1.83066538149573E-6</v>
      </c>
      <c r="N12" s="1">
        <v>-6.8149098218348E-7</v>
      </c>
      <c r="O12" s="1">
        <v>8.5063820324608895E-11</v>
      </c>
      <c r="P12" s="1">
        <v>2.1766972671477702E-9</v>
      </c>
      <c r="Q12">
        <v>66.100673882340104</v>
      </c>
      <c r="S12">
        <v>20.652690913924602</v>
      </c>
      <c r="AA12">
        <v>1.6149928742837401</v>
      </c>
      <c r="AB12">
        <v>9.11044469080292</v>
      </c>
      <c r="AC12">
        <v>2.5211976386486001</v>
      </c>
      <c r="AJ12">
        <v>0.78123098618852804</v>
      </c>
      <c r="AK12">
        <v>7.6528162448348994E-2</v>
      </c>
      <c r="AL12">
        <v>0.14224085136312201</v>
      </c>
    </row>
    <row r="13" spans="1:38" x14ac:dyDescent="0.2">
      <c r="A13">
        <v>14</v>
      </c>
      <c r="B13">
        <v>738</v>
      </c>
      <c r="C13">
        <v>275</v>
      </c>
      <c r="D13">
        <v>0.28822677149780002</v>
      </c>
      <c r="E13">
        <v>20.9621751517058</v>
      </c>
      <c r="F13">
        <v>2.52683951753058</v>
      </c>
      <c r="G13">
        <v>-330.7045826700944</v>
      </c>
      <c r="H13">
        <v>-287.15565151102101</v>
      </c>
      <c r="I13">
        <v>43.068714986968601</v>
      </c>
      <c r="J13">
        <v>25.116126455855301</v>
      </c>
      <c r="K13">
        <v>8.2958078683966701</v>
      </c>
      <c r="L13">
        <v>2.9421459407760228E-5</v>
      </c>
      <c r="M13">
        <v>1.8009696945311006E-6</v>
      </c>
      <c r="N13" s="1">
        <v>-2.9333761513370202E-7</v>
      </c>
      <c r="O13" s="1">
        <v>7.7884024604799803E-11</v>
      </c>
      <c r="P13" s="1">
        <v>1.0140394653468101E-9</v>
      </c>
      <c r="Q13">
        <v>66.215330359690498</v>
      </c>
      <c r="S13">
        <v>19.015095613719399</v>
      </c>
      <c r="AA13">
        <v>0.237206462444495</v>
      </c>
      <c r="AB13">
        <v>5.0727815215429501</v>
      </c>
      <c r="AC13">
        <v>9.4595860426025702</v>
      </c>
      <c r="AJ13">
        <v>0.44390701605023702</v>
      </c>
      <c r="AK13">
        <v>1.1470521363239301E-2</v>
      </c>
      <c r="AL13">
        <v>0.54462246258652203</v>
      </c>
    </row>
    <row r="14" spans="1:38" x14ac:dyDescent="0.2">
      <c r="A14">
        <v>15</v>
      </c>
      <c r="B14">
        <v>737</v>
      </c>
      <c r="C14">
        <v>275</v>
      </c>
      <c r="D14">
        <v>0.28745285353660599</v>
      </c>
      <c r="E14">
        <v>26.435015889648501</v>
      </c>
      <c r="F14">
        <v>2.56615789143624</v>
      </c>
      <c r="G14">
        <v>-425.98449756705571</v>
      </c>
      <c r="H14">
        <v>-370.36158455354547</v>
      </c>
      <c r="I14">
        <v>55.064013278730997</v>
      </c>
      <c r="J14">
        <v>32.626722370357797</v>
      </c>
      <c r="K14">
        <v>10.3013988257959</v>
      </c>
      <c r="L14">
        <v>3.283623072650265E-5</v>
      </c>
      <c r="M14">
        <v>1.8300330302309063E-6</v>
      </c>
      <c r="N14" s="1">
        <v>-7.4308476751394501E-7</v>
      </c>
      <c r="O14" s="1">
        <v>8.9438176750947994E-11</v>
      </c>
      <c r="P14" s="1">
        <v>2.3649256550363002E-9</v>
      </c>
      <c r="Q14">
        <v>66.0496669474377</v>
      </c>
      <c r="S14">
        <v>20.698891200928099</v>
      </c>
      <c r="AA14">
        <v>1.6650103550647499</v>
      </c>
      <c r="AB14">
        <v>9.11789853008246</v>
      </c>
      <c r="AC14">
        <v>2.4685329664868698</v>
      </c>
      <c r="AJ14">
        <v>0.78184039430722696</v>
      </c>
      <c r="AK14">
        <v>7.8895290416157005E-2</v>
      </c>
      <c r="AL14">
        <v>0.13926431527661501</v>
      </c>
    </row>
    <row r="15" spans="1:38" x14ac:dyDescent="0.2">
      <c r="A15">
        <v>15</v>
      </c>
      <c r="B15">
        <v>737</v>
      </c>
      <c r="C15">
        <v>275</v>
      </c>
      <c r="D15">
        <v>0.28745285353660599</v>
      </c>
      <c r="E15">
        <v>25.6319454756594</v>
      </c>
      <c r="F15">
        <v>2.5267751996631902</v>
      </c>
      <c r="G15">
        <v>-404.22554903202109</v>
      </c>
      <c r="H15">
        <v>-351.07374276852329</v>
      </c>
      <c r="I15">
        <v>52.617736240655098</v>
      </c>
      <c r="J15">
        <v>30.709702228011999</v>
      </c>
      <c r="K15">
        <v>10.1441337080861</v>
      </c>
      <c r="L15">
        <v>2.940879064662678E-5</v>
      </c>
      <c r="M15">
        <v>1.80049338260759E-6</v>
      </c>
      <c r="N15" s="1">
        <v>-3.66522003638348E-7</v>
      </c>
      <c r="O15" s="1">
        <v>9.5206924592160398E-11</v>
      </c>
      <c r="P15" s="1">
        <v>1.2618774208061399E-9</v>
      </c>
      <c r="Q15">
        <v>66.198274333339796</v>
      </c>
      <c r="S15">
        <v>19.008529213640699</v>
      </c>
      <c r="AA15">
        <v>0.23576890572318199</v>
      </c>
      <c r="AB15">
        <v>5.0175584098315298</v>
      </c>
      <c r="AC15">
        <v>9.5398691374646702</v>
      </c>
      <c r="AJ15">
        <v>0.43919744801249</v>
      </c>
      <c r="AK15">
        <v>1.1404196432257801E-2</v>
      </c>
      <c r="AL15">
        <v>0.54939835555525096</v>
      </c>
    </row>
    <row r="16" spans="1:38" x14ac:dyDescent="0.2">
      <c r="A16">
        <v>16</v>
      </c>
      <c r="B16">
        <v>736</v>
      </c>
      <c r="C16">
        <v>275</v>
      </c>
      <c r="D16">
        <v>0.28667740177377199</v>
      </c>
      <c r="E16">
        <v>26.805319562001301</v>
      </c>
      <c r="F16">
        <v>2.5669651311345199</v>
      </c>
      <c r="G16">
        <v>-431.96814776765939</v>
      </c>
      <c r="H16">
        <v>-375.65714636208429</v>
      </c>
      <c r="I16">
        <v>55.8004274940049</v>
      </c>
      <c r="J16">
        <v>33.108585706400497</v>
      </c>
      <c r="K16">
        <v>10.4424167032429</v>
      </c>
      <c r="L16">
        <v>3.2901120261451522E-5</v>
      </c>
      <c r="M16">
        <v>1.8293866717025751E-6</v>
      </c>
      <c r="N16" s="1">
        <v>-7.7857990293135295E-7</v>
      </c>
      <c r="O16" s="1">
        <v>9.0369841237860902E-11</v>
      </c>
      <c r="P16" s="1">
        <v>2.4692267822311198E-9</v>
      </c>
      <c r="Q16">
        <v>65.998334645680501</v>
      </c>
      <c r="S16">
        <v>20.7448455054543</v>
      </c>
      <c r="AA16">
        <v>1.71490081769083</v>
      </c>
      <c r="AB16">
        <v>9.1239824317271196</v>
      </c>
      <c r="AC16">
        <v>2.4179365994471702</v>
      </c>
      <c r="AJ16">
        <v>0.78233761311774797</v>
      </c>
      <c r="AK16">
        <v>8.1256772467076105E-2</v>
      </c>
      <c r="AL16">
        <v>0.13640561441517501</v>
      </c>
    </row>
    <row r="17" spans="1:38" x14ac:dyDescent="0.2">
      <c r="A17">
        <v>16</v>
      </c>
      <c r="B17">
        <v>736</v>
      </c>
      <c r="C17">
        <v>275</v>
      </c>
      <c r="D17">
        <v>0.28667740177377199</v>
      </c>
      <c r="E17">
        <v>28.148737045042601</v>
      </c>
      <c r="F17">
        <v>2.5267186202507101</v>
      </c>
      <c r="G17">
        <v>-443.753929753271</v>
      </c>
      <c r="H17">
        <v>-385.49101996057823</v>
      </c>
      <c r="I17">
        <v>57.734637856307501</v>
      </c>
      <c r="J17">
        <v>33.7238439699724</v>
      </c>
      <c r="K17">
        <v>11.1404320288934</v>
      </c>
      <c r="L17">
        <v>2.9397801980058599E-5</v>
      </c>
      <c r="M17">
        <v>1.8000379687358806E-6</v>
      </c>
      <c r="N17" s="1">
        <v>-4.1141107931067601E-7</v>
      </c>
      <c r="O17" s="1">
        <v>1.04521882633125E-10</v>
      </c>
      <c r="P17" s="1">
        <v>1.41068115698265E-9</v>
      </c>
      <c r="Q17">
        <v>66.181663831669496</v>
      </c>
      <c r="S17">
        <v>19.002143360594701</v>
      </c>
      <c r="AA17">
        <v>0.234376345058946</v>
      </c>
      <c r="AB17">
        <v>4.9638014535010999</v>
      </c>
      <c r="AC17">
        <v>9.6180150091756609</v>
      </c>
      <c r="AJ17">
        <v>0.434610384801566</v>
      </c>
      <c r="AK17">
        <v>1.13399271678755E-2</v>
      </c>
      <c r="AL17">
        <v>0.55404968803055799</v>
      </c>
    </row>
    <row r="18" spans="1:38" x14ac:dyDescent="0.2">
      <c r="A18">
        <v>17</v>
      </c>
      <c r="B18">
        <v>735</v>
      </c>
      <c r="C18">
        <v>275</v>
      </c>
      <c r="D18">
        <v>0.285900411645091</v>
      </c>
      <c r="E18">
        <v>26.619423699262502</v>
      </c>
      <c r="F18">
        <v>2.5677605575329001</v>
      </c>
      <c r="G18">
        <v>-428.98629210910468</v>
      </c>
      <c r="H18">
        <v>-373.15645624285497</v>
      </c>
      <c r="I18">
        <v>55.378501082427903</v>
      </c>
      <c r="J18">
        <v>32.904173077187799</v>
      </c>
      <c r="K18">
        <v>10.366785805308201</v>
      </c>
      <c r="L18">
        <v>3.2967286898499395E-5</v>
      </c>
      <c r="M18">
        <v>1.8287279339404005E-6</v>
      </c>
      <c r="N18" s="1">
        <v>-7.9881274382188998E-7</v>
      </c>
      <c r="O18" s="1">
        <v>8.9419807600121497E-11</v>
      </c>
      <c r="P18" s="1">
        <v>2.5247432944588998E-9</v>
      </c>
      <c r="Q18">
        <v>65.946706319717805</v>
      </c>
      <c r="S18">
        <v>20.790565786464601</v>
      </c>
      <c r="AA18">
        <v>1.7646672817215101</v>
      </c>
      <c r="AB18">
        <v>9.1287931362302093</v>
      </c>
      <c r="AC18">
        <v>2.3692674758657302</v>
      </c>
      <c r="AJ18">
        <v>0.78273058222521397</v>
      </c>
      <c r="AK18">
        <v>8.3612760239734393E-2</v>
      </c>
      <c r="AL18">
        <v>0.13365665753504999</v>
      </c>
    </row>
    <row r="19" spans="1:38" x14ac:dyDescent="0.2">
      <c r="A19">
        <v>17</v>
      </c>
      <c r="B19">
        <v>735</v>
      </c>
      <c r="C19">
        <v>275</v>
      </c>
      <c r="D19">
        <v>0.285900411645091</v>
      </c>
      <c r="E19">
        <v>29.448323818462601</v>
      </c>
      <c r="F19">
        <v>2.5266692282067398</v>
      </c>
      <c r="G19">
        <v>-464.07438696630027</v>
      </c>
      <c r="H19">
        <v>-403.23399693370004</v>
      </c>
      <c r="I19">
        <v>60.348549355353903</v>
      </c>
      <c r="J19">
        <v>35.2800455632891</v>
      </c>
      <c r="K19">
        <v>11.6549976109706</v>
      </c>
      <c r="L19">
        <v>2.9388445283148272E-5</v>
      </c>
      <c r="M19">
        <v>1.7996023131557409E-6</v>
      </c>
      <c r="N19" s="1">
        <v>-4.4002387047897199E-7</v>
      </c>
      <c r="O19" s="1">
        <v>1.09309270041522E-10</v>
      </c>
      <c r="P19" s="1">
        <v>1.50270167153518E-9</v>
      </c>
      <c r="Q19">
        <v>66.165473182435406</v>
      </c>
      <c r="S19">
        <v>18.995924876812602</v>
      </c>
      <c r="AA19">
        <v>0.233023898924966</v>
      </c>
      <c r="AB19">
        <v>4.9114188960979197</v>
      </c>
      <c r="AC19">
        <v>9.6941591457290706</v>
      </c>
      <c r="AJ19">
        <v>0.43013819307619799</v>
      </c>
      <c r="AK19">
        <v>1.12774856841221E-2</v>
      </c>
      <c r="AL19">
        <v>0.55858432123967905</v>
      </c>
    </row>
    <row r="20" spans="1:38" x14ac:dyDescent="0.2">
      <c r="A20">
        <v>19</v>
      </c>
      <c r="B20">
        <v>754</v>
      </c>
      <c r="C20">
        <v>250</v>
      </c>
      <c r="D20">
        <v>0.32717762741566497</v>
      </c>
      <c r="E20">
        <v>0.103264039405984</v>
      </c>
      <c r="F20">
        <v>2.5773041473617999</v>
      </c>
      <c r="G20">
        <v>-1.6748502052813983</v>
      </c>
      <c r="H20">
        <v>-1.4519047386090198</v>
      </c>
      <c r="I20">
        <v>0.21705249152740899</v>
      </c>
      <c r="J20">
        <v>0.12649147447706799</v>
      </c>
      <c r="K20">
        <v>4.0066687321978801E-2</v>
      </c>
      <c r="L20">
        <v>3.1745073417710037E-5</v>
      </c>
      <c r="M20">
        <v>1.8116502258073684E-6</v>
      </c>
      <c r="N20" s="1">
        <v>-1.7113445255666601E-9</v>
      </c>
      <c r="O20" s="1">
        <v>3.5066380966487598E-13</v>
      </c>
      <c r="P20" s="1">
        <v>5.8471337133251697E-12</v>
      </c>
      <c r="Q20">
        <v>65.152948259242507</v>
      </c>
      <c r="S20">
        <v>21.560160401738599</v>
      </c>
      <c r="AA20">
        <v>2.5848033113852198</v>
      </c>
      <c r="AB20">
        <v>9.3775381961344806</v>
      </c>
      <c r="AC20">
        <v>1.32454983149906</v>
      </c>
      <c r="AJ20">
        <v>0.80305313780066701</v>
      </c>
      <c r="AK20">
        <v>0.12231894688094599</v>
      </c>
      <c r="AL20">
        <v>7.4627915318386098E-2</v>
      </c>
    </row>
    <row r="21" spans="1:38" x14ac:dyDescent="0.2">
      <c r="A21">
        <v>20</v>
      </c>
      <c r="B21">
        <v>753</v>
      </c>
      <c r="C21">
        <v>250</v>
      </c>
      <c r="D21">
        <v>0.32645373483409301</v>
      </c>
      <c r="E21">
        <v>0.60733376283842799</v>
      </c>
      <c r="F21">
        <v>2.5768083334270302</v>
      </c>
      <c r="G21">
        <v>-9.8482558294257032</v>
      </c>
      <c r="H21">
        <v>-8.5389293371765831</v>
      </c>
      <c r="I21">
        <v>1.2759601347260301</v>
      </c>
      <c r="J21">
        <v>0.74428188840507103</v>
      </c>
      <c r="K21">
        <v>0.23569225345941899</v>
      </c>
      <c r="L21">
        <v>3.1816749705242977E-5</v>
      </c>
      <c r="M21">
        <v>1.8131374308642638E-6</v>
      </c>
      <c r="N21" s="1">
        <v>-1.039859898959E-8</v>
      </c>
      <c r="O21" s="1">
        <v>2.0619838614325399E-12</v>
      </c>
      <c r="P21" s="1">
        <v>3.53466533592966E-11</v>
      </c>
      <c r="Q21">
        <v>65.211369804828706</v>
      </c>
      <c r="S21">
        <v>21.515243135755401</v>
      </c>
      <c r="AA21">
        <v>2.5341142380442401</v>
      </c>
      <c r="AB21">
        <v>9.3899710256172302</v>
      </c>
      <c r="AC21">
        <v>1.3493017957543001</v>
      </c>
      <c r="AJ21">
        <v>0.80406914900470905</v>
      </c>
      <c r="AK21">
        <v>0.11991296078724201</v>
      </c>
      <c r="AL21">
        <v>7.6017890208048E-2</v>
      </c>
    </row>
    <row r="22" spans="1:38" x14ac:dyDescent="0.2">
      <c r="A22">
        <v>21</v>
      </c>
      <c r="B22">
        <v>752</v>
      </c>
      <c r="C22">
        <v>250</v>
      </c>
      <c r="D22">
        <v>0.32572842998585799</v>
      </c>
      <c r="E22">
        <v>1.41175796797062</v>
      </c>
      <c r="F22">
        <v>2.5760380403409</v>
      </c>
      <c r="G22">
        <v>-22.885893169976221</v>
      </c>
      <c r="H22">
        <v>-19.846661493272165</v>
      </c>
      <c r="I22">
        <v>2.9646702206545901</v>
      </c>
      <c r="J22">
        <v>1.7308790170716699</v>
      </c>
      <c r="K22">
        <v>0.54803459648592501</v>
      </c>
      <c r="L22">
        <v>3.1894058887111926E-5</v>
      </c>
      <c r="M22">
        <v>1.8150190319172921E-6</v>
      </c>
      <c r="N22" s="1">
        <v>-2.49659103708389E-8</v>
      </c>
      <c r="O22" s="1">
        <v>4.7945122568607499E-12</v>
      </c>
      <c r="P22" s="1">
        <v>8.4439835057504404E-11</v>
      </c>
      <c r="Q22">
        <v>65.290270854597395</v>
      </c>
      <c r="S22">
        <v>21.4518511712904</v>
      </c>
      <c r="AA22">
        <v>2.46340473696171</v>
      </c>
      <c r="AB22">
        <v>9.3996075081589101</v>
      </c>
      <c r="AC22">
        <v>1.3948657289914299</v>
      </c>
      <c r="AJ22">
        <v>0.80485709955773799</v>
      </c>
      <c r="AK22">
        <v>0.116561632772019</v>
      </c>
      <c r="AL22">
        <v>7.85812676702419E-2</v>
      </c>
    </row>
    <row r="23" spans="1:38" x14ac:dyDescent="0.2">
      <c r="A23">
        <v>22</v>
      </c>
      <c r="B23">
        <v>751</v>
      </c>
      <c r="C23">
        <v>250</v>
      </c>
      <c r="D23">
        <v>0.32500170873407402</v>
      </c>
      <c r="E23">
        <v>2.7838185792884</v>
      </c>
      <c r="F23">
        <v>2.57474014248257</v>
      </c>
      <c r="G23">
        <v>-45.109145204203848</v>
      </c>
      <c r="H23">
        <v>-39.124369750138079</v>
      </c>
      <c r="I23">
        <v>5.84365127575626</v>
      </c>
      <c r="J23">
        <v>3.4145009373527699</v>
      </c>
      <c r="K23">
        <v>1.0812037041548701</v>
      </c>
      <c r="L23">
        <v>3.1977676168539185E-5</v>
      </c>
      <c r="M23">
        <v>1.8175712501620633E-6</v>
      </c>
      <c r="N23" s="1">
        <v>-5.0800773878717402E-8</v>
      </c>
      <c r="O23" s="1">
        <v>9.4660934900981902E-12</v>
      </c>
      <c r="P23" s="1">
        <v>1.7099424271939301E-10</v>
      </c>
      <c r="Q23">
        <v>65.405775797277897</v>
      </c>
      <c r="S23">
        <v>21.354194577544401</v>
      </c>
      <c r="AA23">
        <v>2.3558855478769498</v>
      </c>
      <c r="AB23">
        <v>9.4009846230662095</v>
      </c>
      <c r="AC23">
        <v>1.48315945423444</v>
      </c>
      <c r="AJ23">
        <v>0.80497137590432399</v>
      </c>
      <c r="AK23">
        <v>0.111473612007705</v>
      </c>
      <c r="AL23">
        <v>8.3555012087969505E-2</v>
      </c>
    </row>
    <row r="24" spans="1:38" x14ac:dyDescent="0.2">
      <c r="A24">
        <v>23</v>
      </c>
      <c r="B24">
        <v>750</v>
      </c>
      <c r="C24">
        <v>250</v>
      </c>
      <c r="D24">
        <v>0.324273566925672</v>
      </c>
      <c r="E24">
        <v>4.2071116491051503</v>
      </c>
      <c r="F24">
        <v>2.5734075656104798</v>
      </c>
      <c r="G24">
        <v>-68.141493041608186</v>
      </c>
      <c r="H24">
        <v>-59.109444930544747</v>
      </c>
      <c r="I24">
        <v>8.8276871534608006</v>
      </c>
      <c r="J24">
        <v>5.1622257125682598</v>
      </c>
      <c r="K24">
        <v>1.6348407867166199</v>
      </c>
      <c r="L24">
        <v>3.2055467887250093E-5</v>
      </c>
      <c r="M24">
        <v>1.8199711024199254E-6</v>
      </c>
      <c r="N24" s="1">
        <v>-7.9155379251666507E-8</v>
      </c>
      <c r="O24" s="1">
        <v>1.4323984993698399E-11</v>
      </c>
      <c r="P24" s="1">
        <v>2.6521460822847399E-10</v>
      </c>
      <c r="Q24">
        <v>65.517074704854295</v>
      </c>
      <c r="S24">
        <v>21.257230011138901</v>
      </c>
      <c r="AA24">
        <v>2.2499187092252702</v>
      </c>
      <c r="AB24">
        <v>9.3948030539056493</v>
      </c>
      <c r="AC24">
        <v>1.5809735208757401</v>
      </c>
      <c r="AJ24">
        <v>0.80446854569702997</v>
      </c>
      <c r="AK24">
        <v>0.106463074844777</v>
      </c>
      <c r="AL24">
        <v>8.9068379458191502E-2</v>
      </c>
    </row>
    <row r="25" spans="1:38" x14ac:dyDescent="0.2">
      <c r="A25">
        <v>24</v>
      </c>
      <c r="B25">
        <v>749</v>
      </c>
      <c r="C25">
        <v>250</v>
      </c>
      <c r="D25">
        <v>0.32354400039133302</v>
      </c>
      <c r="E25">
        <v>5.6912153774462499</v>
      </c>
      <c r="F25">
        <v>2.5720272170806902</v>
      </c>
      <c r="G25">
        <v>-92.134388711605837</v>
      </c>
      <c r="H25">
        <v>-79.933442670871216</v>
      </c>
      <c r="I25">
        <v>11.936551426634599</v>
      </c>
      <c r="J25">
        <v>6.9856648311044598</v>
      </c>
      <c r="K25">
        <v>2.21273528508998</v>
      </c>
      <c r="L25">
        <v>3.212638009808446E-5</v>
      </c>
      <c r="M25">
        <v>1.822207098165916E-6</v>
      </c>
      <c r="N25" s="1">
        <v>-1.10289215575951E-7</v>
      </c>
      <c r="O25" s="1">
        <v>1.94021816946689E-11</v>
      </c>
      <c r="P25" s="1">
        <v>3.67919365179064E-10</v>
      </c>
      <c r="Q25">
        <v>65.6241441169377</v>
      </c>
      <c r="S25">
        <v>21.160508575155099</v>
      </c>
      <c r="AA25">
        <v>2.1451393506133001</v>
      </c>
      <c r="AB25">
        <v>9.3798336788248307</v>
      </c>
      <c r="AC25">
        <v>1.6903742784689699</v>
      </c>
      <c r="AJ25">
        <v>0.80324813602918299</v>
      </c>
      <c r="AK25">
        <v>0.101512819129553</v>
      </c>
      <c r="AL25">
        <v>9.5239044841263207E-2</v>
      </c>
    </row>
    <row r="26" spans="1:38" x14ac:dyDescent="0.2">
      <c r="A26">
        <v>25</v>
      </c>
      <c r="B26">
        <v>748</v>
      </c>
      <c r="C26">
        <v>250</v>
      </c>
      <c r="D26">
        <v>0.32281300494540499</v>
      </c>
      <c r="E26">
        <v>7.2499979492914397</v>
      </c>
      <c r="F26">
        <v>2.5705801699638302</v>
      </c>
      <c r="G26">
        <v>-117.30732398211532</v>
      </c>
      <c r="H26">
        <v>-101.78694267320306</v>
      </c>
      <c r="I26">
        <v>15.198924064938801</v>
      </c>
      <c r="J26">
        <v>8.9016067124400493</v>
      </c>
      <c r="K26">
        <v>2.82037418400899</v>
      </c>
      <c r="L26">
        <v>3.2188978950941487E-5</v>
      </c>
      <c r="M26">
        <v>1.8242649729882586E-6</v>
      </c>
      <c r="N26" s="1">
        <v>-1.4453614308513399E-7</v>
      </c>
      <c r="O26" s="1">
        <v>2.47503649909171E-11</v>
      </c>
      <c r="P26" s="1">
        <v>4.8017549238644301E-10</v>
      </c>
      <c r="Q26">
        <v>65.727031717785295</v>
      </c>
      <c r="S26">
        <v>21.063343943447101</v>
      </c>
      <c r="AA26">
        <v>2.04097011947374</v>
      </c>
      <c r="AB26">
        <v>9.3543834664143493</v>
      </c>
      <c r="AC26">
        <v>1.8142707528794599</v>
      </c>
      <c r="AJ26">
        <v>0.801171556429087</v>
      </c>
      <c r="AK26">
        <v>9.6595699138195407E-2</v>
      </c>
      <c r="AL26">
        <v>0.102232744432716</v>
      </c>
    </row>
    <row r="27" spans="1:38" x14ac:dyDescent="0.2">
      <c r="A27">
        <v>26</v>
      </c>
      <c r="B27">
        <v>747</v>
      </c>
      <c r="C27">
        <v>250</v>
      </c>
      <c r="D27">
        <v>0.32208057638582899</v>
      </c>
      <c r="E27">
        <v>8.9047390156772401</v>
      </c>
      <c r="F27">
        <v>2.5690380117089999</v>
      </c>
      <c r="G27">
        <v>-143.9974050576443</v>
      </c>
      <c r="H27">
        <v>-124.96255204232928</v>
      </c>
      <c r="I27">
        <v>18.6588766508013</v>
      </c>
      <c r="J27">
        <v>10.9357875920156</v>
      </c>
      <c r="K27">
        <v>3.4661764345610102</v>
      </c>
      <c r="L27">
        <v>3.2241192594028377E-5</v>
      </c>
      <c r="M27">
        <v>1.8261253690806447E-6</v>
      </c>
      <c r="N27" s="1">
        <v>-1.8235624113702899E-7</v>
      </c>
      <c r="O27" s="1">
        <v>3.0445327305548297E-11</v>
      </c>
      <c r="P27" s="1">
        <v>6.0347350536198105E-10</v>
      </c>
      <c r="Q27">
        <v>65.825881183156497</v>
      </c>
      <c r="S27">
        <v>20.964671799231699</v>
      </c>
      <c r="AA27">
        <v>1.93649941878853</v>
      </c>
      <c r="AB27">
        <v>9.3159823455831603</v>
      </c>
      <c r="AC27">
        <v>1.95696525323996</v>
      </c>
      <c r="AJ27">
        <v>0.79803635224995195</v>
      </c>
      <c r="AK27">
        <v>9.1668933628576393E-2</v>
      </c>
      <c r="AL27">
        <v>0.110294714121471</v>
      </c>
    </row>
    <row r="28" spans="1:38" x14ac:dyDescent="0.2">
      <c r="A28">
        <v>27</v>
      </c>
      <c r="B28">
        <v>746</v>
      </c>
      <c r="C28">
        <v>250</v>
      </c>
      <c r="D28">
        <v>0.32134671049404001</v>
      </c>
      <c r="E28">
        <v>10.6904238925991</v>
      </c>
      <c r="F28">
        <v>2.5673556971034102</v>
      </c>
      <c r="G28">
        <v>-172.7592874003804</v>
      </c>
      <c r="H28">
        <v>-149.94159425588055</v>
      </c>
      <c r="I28">
        <v>22.388944850610599</v>
      </c>
      <c r="J28">
        <v>13.130492068747699</v>
      </c>
      <c r="K28">
        <v>4.16398238259716</v>
      </c>
      <c r="L28">
        <v>3.2279796442730181E-5</v>
      </c>
      <c r="M28">
        <v>1.8277590718491994E-6</v>
      </c>
      <c r="N28" s="1">
        <v>-2.24439488138511E-7</v>
      </c>
      <c r="O28" s="1">
        <v>3.6614022884389599E-11</v>
      </c>
      <c r="P28" s="1">
        <v>7.4007782541593104E-10</v>
      </c>
      <c r="Q28">
        <v>65.920973221548905</v>
      </c>
      <c r="S28">
        <v>20.8627769749531</v>
      </c>
      <c r="AA28">
        <v>1.83024671827163</v>
      </c>
      <c r="AB28">
        <v>9.2607593254318505</v>
      </c>
      <c r="AC28">
        <v>2.1252437597944098</v>
      </c>
      <c r="AJ28">
        <v>0.793524882076729</v>
      </c>
      <c r="AK28">
        <v>8.6663131675422694E-2</v>
      </c>
      <c r="AL28">
        <v>0.119811986247848</v>
      </c>
    </row>
    <row r="29" spans="1:38" x14ac:dyDescent="0.2">
      <c r="A29">
        <v>28</v>
      </c>
      <c r="B29">
        <v>745</v>
      </c>
      <c r="C29">
        <v>250</v>
      </c>
      <c r="D29">
        <v>0.32061140303491598</v>
      </c>
      <c r="E29">
        <v>12.6700858607913</v>
      </c>
      <c r="F29">
        <v>2.56545584232174</v>
      </c>
      <c r="G29">
        <v>-204.59282908042721</v>
      </c>
      <c r="H29">
        <v>-177.59158633122851</v>
      </c>
      <c r="I29">
        <v>26.519906447182301</v>
      </c>
      <c r="J29">
        <v>15.561862915837301</v>
      </c>
      <c r="K29">
        <v>4.9387269317896001</v>
      </c>
      <c r="L29">
        <v>3.2299263162667016E-5</v>
      </c>
      <c r="M29">
        <v>1.8291161242793153E-6</v>
      </c>
      <c r="N29" s="1">
        <v>-2.7193844924824802E-7</v>
      </c>
      <c r="O29" s="1">
        <v>4.3486134142233203E-11</v>
      </c>
      <c r="P29" s="1">
        <v>8.9381487943681301E-10</v>
      </c>
      <c r="Q29">
        <v>66.012801614405603</v>
      </c>
      <c r="S29">
        <v>20.754697170166999</v>
      </c>
      <c r="AA29">
        <v>1.71965287257588</v>
      </c>
      <c r="AB29">
        <v>9.1820487156912591</v>
      </c>
      <c r="AC29">
        <v>2.3307996271601801</v>
      </c>
      <c r="AJ29">
        <v>0.78708958403405505</v>
      </c>
      <c r="AK29">
        <v>8.1458451948899904E-2</v>
      </c>
      <c r="AL29">
        <v>0.13145196401704301</v>
      </c>
    </row>
    <row r="30" spans="1:38" x14ac:dyDescent="0.2">
      <c r="A30">
        <v>29</v>
      </c>
      <c r="B30">
        <v>744</v>
      </c>
      <c r="C30">
        <v>250</v>
      </c>
      <c r="D30">
        <v>0.31987464975667701</v>
      </c>
      <c r="E30">
        <v>14.9737823601545</v>
      </c>
      <c r="F30">
        <v>2.56318822256531</v>
      </c>
      <c r="G30">
        <v>-241.56157090291299</v>
      </c>
      <c r="H30">
        <v>-209.70272838678014</v>
      </c>
      <c r="I30">
        <v>31.3216757765647</v>
      </c>
      <c r="J30">
        <v>18.386911554758601</v>
      </c>
      <c r="K30">
        <v>5.8418582873981704</v>
      </c>
      <c r="L30">
        <v>3.228873332266177E-5</v>
      </c>
      <c r="M30">
        <v>1.8300964071055113E-6</v>
      </c>
      <c r="N30" s="1">
        <v>-3.2708759418467802E-7</v>
      </c>
      <c r="O30" s="1">
        <v>5.15370633013893E-11</v>
      </c>
      <c r="P30" s="1">
        <v>1.07217720964721E-9</v>
      </c>
      <c r="Q30">
        <v>66.102224144348199</v>
      </c>
      <c r="S30">
        <v>20.634695091103499</v>
      </c>
      <c r="AA30">
        <v>1.5997844037476601</v>
      </c>
      <c r="AB30">
        <v>9.0667209774243194</v>
      </c>
      <c r="AC30">
        <v>2.5965753833762002</v>
      </c>
      <c r="AJ30">
        <v>0.777650664783472</v>
      </c>
      <c r="AK30">
        <v>7.5823974565407806E-2</v>
      </c>
      <c r="AL30">
        <v>0.14652536065111901</v>
      </c>
    </row>
    <row r="31" spans="1:38" x14ac:dyDescent="0.2">
      <c r="A31">
        <v>30</v>
      </c>
      <c r="B31">
        <v>743</v>
      </c>
      <c r="C31">
        <v>250</v>
      </c>
      <c r="D31">
        <v>0.31913644639078897</v>
      </c>
      <c r="E31">
        <v>18.230346776062898</v>
      </c>
      <c r="F31">
        <v>2.5629781324146101</v>
      </c>
      <c r="G31">
        <v>-294.03428970797944</v>
      </c>
      <c r="H31">
        <v>-255.30711946847001</v>
      </c>
      <c r="I31">
        <v>38.111666820360497</v>
      </c>
      <c r="J31">
        <v>22.3964760938679</v>
      </c>
      <c r="K31">
        <v>7.1129544749130904</v>
      </c>
      <c r="L31">
        <v>3.2344266408846712E-5</v>
      </c>
      <c r="M31">
        <v>1.8305712837605687E-6</v>
      </c>
      <c r="N31" s="1">
        <v>-4.1064601162422402E-7</v>
      </c>
      <c r="O31" s="1">
        <v>6.2672970053735498E-11</v>
      </c>
      <c r="P31" s="1">
        <v>1.3407292507175901E-9</v>
      </c>
      <c r="Q31">
        <v>66.117970184518697</v>
      </c>
      <c r="S31">
        <v>20.618065894762701</v>
      </c>
      <c r="AA31">
        <v>1.5823910232855301</v>
      </c>
      <c r="AB31">
        <v>9.0582145835249701</v>
      </c>
      <c r="AC31">
        <v>2.6233583139079601</v>
      </c>
      <c r="AJ31">
        <v>0.776954177372013</v>
      </c>
      <c r="AK31">
        <v>7.5002787143990404E-2</v>
      </c>
      <c r="AL31">
        <v>0.148043035483995</v>
      </c>
    </row>
    <row r="32" spans="1:38" x14ac:dyDescent="0.2">
      <c r="A32">
        <v>30</v>
      </c>
      <c r="B32">
        <v>743</v>
      </c>
      <c r="C32">
        <v>250</v>
      </c>
      <c r="D32">
        <v>0.31913644639078897</v>
      </c>
      <c r="E32">
        <v>6.1969109609686504</v>
      </c>
      <c r="F32">
        <v>2.52594700959007</v>
      </c>
      <c r="G32">
        <v>-97.958057149264206</v>
      </c>
      <c r="H32">
        <v>-84.970943944872474</v>
      </c>
      <c r="I32">
        <v>12.7807048215241</v>
      </c>
      <c r="J32">
        <v>7.4190135889654396</v>
      </c>
      <c r="K32">
        <v>2.4533020437250999</v>
      </c>
      <c r="L32">
        <v>2.9339116944082237E-5</v>
      </c>
      <c r="M32">
        <v>1.8031889029436649E-6</v>
      </c>
      <c r="N32" s="1">
        <v>-7.3717629136116305E-8</v>
      </c>
      <c r="O32" s="1">
        <v>2.3100665446179099E-11</v>
      </c>
      <c r="P32" s="1">
        <v>2.62843866370811E-10</v>
      </c>
      <c r="Q32">
        <v>66.246871176228197</v>
      </c>
      <c r="S32">
        <v>19.046039106565399</v>
      </c>
      <c r="AA32">
        <v>0.25537554253002398</v>
      </c>
      <c r="AB32">
        <v>5.2241909294706401</v>
      </c>
      <c r="AC32">
        <v>9.22752324520558</v>
      </c>
      <c r="AJ32">
        <v>0.45680594796306301</v>
      </c>
      <c r="AK32">
        <v>1.2339648872524599E-2</v>
      </c>
      <c r="AL32">
        <v>0.53085440316441102</v>
      </c>
    </row>
    <row r="33" spans="1:38" x14ac:dyDescent="0.2">
      <c r="A33">
        <v>31</v>
      </c>
      <c r="B33">
        <v>742</v>
      </c>
      <c r="C33">
        <v>250</v>
      </c>
      <c r="D33">
        <v>0.318396788651924</v>
      </c>
      <c r="E33">
        <v>26.468803896358899</v>
      </c>
      <c r="F33">
        <v>2.5626857318303902</v>
      </c>
      <c r="G33">
        <v>-426.83285420963728</v>
      </c>
      <c r="H33">
        <v>-370.69022338871281</v>
      </c>
      <c r="I33">
        <v>55.304763651602599</v>
      </c>
      <c r="J33">
        <v>32.537283123803</v>
      </c>
      <c r="K33">
        <v>10.3285407054003</v>
      </c>
      <c r="L33">
        <v>3.242052045861407E-5</v>
      </c>
      <c r="M33">
        <v>1.8315642369710367E-6</v>
      </c>
      <c r="N33" s="1">
        <v>-6.1609485797797905E-7</v>
      </c>
      <c r="O33" s="1">
        <v>9.0893893997253096E-11</v>
      </c>
      <c r="P33" s="1">
        <v>2.00323071534219E-9</v>
      </c>
      <c r="Q33">
        <v>66.153080385538701</v>
      </c>
      <c r="S33">
        <v>20.5911747036177</v>
      </c>
      <c r="AA33">
        <v>1.5520130298263299</v>
      </c>
      <c r="AB33">
        <v>9.0659570302841903</v>
      </c>
      <c r="AC33">
        <v>2.6377748507329799</v>
      </c>
      <c r="AJ33">
        <v>0.77758888737458598</v>
      </c>
      <c r="AK33">
        <v>7.3560139209146502E-2</v>
      </c>
      <c r="AL33">
        <v>0.14885097341626599</v>
      </c>
    </row>
    <row r="34" spans="1:38" x14ac:dyDescent="0.2">
      <c r="A34">
        <v>31</v>
      </c>
      <c r="B34">
        <v>742</v>
      </c>
      <c r="C34">
        <v>250</v>
      </c>
      <c r="D34">
        <v>0.318396788651924</v>
      </c>
      <c r="E34">
        <v>21.597798623539202</v>
      </c>
      <c r="F34">
        <v>2.5259942927163399</v>
      </c>
      <c r="G34">
        <v>-341.37826771950938</v>
      </c>
      <c r="H34">
        <v>-296.18281205897677</v>
      </c>
      <c r="I34">
        <v>44.520963070021701</v>
      </c>
      <c r="J34">
        <v>25.866899282420999</v>
      </c>
      <c r="K34">
        <v>8.5502167149846802</v>
      </c>
      <c r="L34">
        <v>2.9382133573848824E-5</v>
      </c>
      <c r="M34">
        <v>1.8035707484535207E-6</v>
      </c>
      <c r="N34" s="1">
        <v>-2.6672909967381002E-7</v>
      </c>
      <c r="O34" s="1">
        <v>8.04308527454911E-11</v>
      </c>
      <c r="P34" s="1">
        <v>9.441072524471879E-10</v>
      </c>
      <c r="Q34">
        <v>66.254867071520707</v>
      </c>
      <c r="S34">
        <v>19.0438812237823</v>
      </c>
      <c r="AA34">
        <v>0.25172953428339201</v>
      </c>
      <c r="AB34">
        <v>5.2363521831472104</v>
      </c>
      <c r="AC34">
        <v>9.2131699872663297</v>
      </c>
      <c r="AJ34">
        <v>0.45784118735676999</v>
      </c>
      <c r="AK34">
        <v>1.2162727410657201E-2</v>
      </c>
      <c r="AL34">
        <v>0.52999608523257102</v>
      </c>
    </row>
    <row r="35" spans="1:38" x14ac:dyDescent="0.2">
      <c r="A35">
        <v>32</v>
      </c>
      <c r="B35">
        <v>741</v>
      </c>
      <c r="C35">
        <v>250</v>
      </c>
      <c r="D35">
        <v>0.31765567223783697</v>
      </c>
      <c r="E35">
        <v>28.6169360681433</v>
      </c>
      <c r="F35">
        <v>2.5627528018253201</v>
      </c>
      <c r="G35">
        <v>-461.42416912633536</v>
      </c>
      <c r="H35">
        <v>-400.8190002392584</v>
      </c>
      <c r="I35">
        <v>59.759570958020902</v>
      </c>
      <c r="J35">
        <v>35.200207267192802</v>
      </c>
      <c r="K35">
        <v>11.166483184706999</v>
      </c>
      <c r="L35">
        <v>3.2491926145228113E-5</v>
      </c>
      <c r="M35">
        <v>1.8320570728993043E-6</v>
      </c>
      <c r="N35" s="1">
        <v>-6.8840517791568802E-7</v>
      </c>
      <c r="O35" s="1">
        <v>9.8092532704165797E-11</v>
      </c>
      <c r="P35" s="1">
        <v>2.2293560869102198E-9</v>
      </c>
      <c r="Q35">
        <v>66.161399223516995</v>
      </c>
      <c r="S35">
        <v>20.5874607602609</v>
      </c>
      <c r="AA35">
        <v>1.54700790141277</v>
      </c>
      <c r="AB35">
        <v>9.0747585293250292</v>
      </c>
      <c r="AC35">
        <v>2.6293735854842399</v>
      </c>
      <c r="AJ35">
        <v>0.77830986513830902</v>
      </c>
      <c r="AK35">
        <v>7.3319716951474101E-2</v>
      </c>
      <c r="AL35">
        <v>0.14837041791021599</v>
      </c>
    </row>
    <row r="36" spans="1:38" x14ac:dyDescent="0.2">
      <c r="A36">
        <v>32</v>
      </c>
      <c r="B36">
        <v>741</v>
      </c>
      <c r="C36">
        <v>250</v>
      </c>
      <c r="D36">
        <v>0.31765567223783697</v>
      </c>
      <c r="E36">
        <v>25.615871839305001</v>
      </c>
      <c r="F36">
        <v>2.5259973480451698</v>
      </c>
      <c r="G36">
        <v>-404.81424336082313</v>
      </c>
      <c r="H36">
        <v>-351.2970911214872</v>
      </c>
      <c r="I36">
        <v>52.7704503666478</v>
      </c>
      <c r="J36">
        <v>30.6864123246852</v>
      </c>
      <c r="K36">
        <v>10.140894193388</v>
      </c>
      <c r="L36">
        <v>2.9406708061808322E-5</v>
      </c>
      <c r="M36">
        <v>1.8036673362812974E-6</v>
      </c>
      <c r="N36" s="1">
        <v>-3.2670507030250998E-7</v>
      </c>
      <c r="O36" s="1">
        <v>9.5321520505918706E-11</v>
      </c>
      <c r="P36" s="1">
        <v>1.14922139644864E-9</v>
      </c>
      <c r="Q36">
        <v>66.254693173884405</v>
      </c>
      <c r="S36">
        <v>19.040098297223299</v>
      </c>
      <c r="AA36">
        <v>0.24864915777423099</v>
      </c>
      <c r="AB36">
        <v>5.2260472278004304</v>
      </c>
      <c r="AC36">
        <v>9.2305121433175206</v>
      </c>
      <c r="AJ36">
        <v>0.45696403717584699</v>
      </c>
      <c r="AK36">
        <v>1.2014521402483901E-2</v>
      </c>
      <c r="AL36">
        <v>0.53102144142166796</v>
      </c>
    </row>
    <row r="37" spans="1:38" x14ac:dyDescent="0.2">
      <c r="A37">
        <v>33</v>
      </c>
      <c r="B37">
        <v>740</v>
      </c>
      <c r="C37">
        <v>250</v>
      </c>
      <c r="D37">
        <v>0.31691309282929903</v>
      </c>
      <c r="E37">
        <v>29.830752506823</v>
      </c>
      <c r="F37">
        <v>2.56285434847632</v>
      </c>
      <c r="G37">
        <v>-480.94816506493675</v>
      </c>
      <c r="H37">
        <v>-417.87029654605516</v>
      </c>
      <c r="I37">
        <v>62.259160557549798</v>
      </c>
      <c r="J37">
        <v>36.717336759214398</v>
      </c>
      <c r="K37">
        <v>11.6396597116641</v>
      </c>
      <c r="L37">
        <v>3.2564783710862708E-5</v>
      </c>
      <c r="M37">
        <v>1.8325079135047055E-6</v>
      </c>
      <c r="N37" s="1">
        <v>-7.4167970333153398E-7</v>
      </c>
      <c r="O37" s="1">
        <v>1.0205511251614E-10</v>
      </c>
      <c r="P37" s="1">
        <v>2.3924394194458799E-9</v>
      </c>
      <c r="Q37">
        <v>66.167166130191902</v>
      </c>
      <c r="S37">
        <v>20.585952618612499</v>
      </c>
      <c r="AA37">
        <v>1.54441804027679</v>
      </c>
      <c r="AB37">
        <v>9.0836559822377598</v>
      </c>
      <c r="AC37">
        <v>2.6188072286810198</v>
      </c>
      <c r="AJ37">
        <v>0.77903859784450702</v>
      </c>
      <c r="AK37">
        <v>7.3193742469001802E-2</v>
      </c>
      <c r="AL37">
        <v>0.14776765968649</v>
      </c>
    </row>
    <row r="38" spans="1:38" x14ac:dyDescent="0.2">
      <c r="A38">
        <v>33</v>
      </c>
      <c r="B38">
        <v>740</v>
      </c>
      <c r="C38">
        <v>250</v>
      </c>
      <c r="D38">
        <v>0.31691309282929903</v>
      </c>
      <c r="E38">
        <v>27.792635950838299</v>
      </c>
      <c r="F38">
        <v>2.5259968333284699</v>
      </c>
      <c r="G38">
        <v>-439.12961316260368</v>
      </c>
      <c r="H38">
        <v>-381.15917639715821</v>
      </c>
      <c r="I38">
        <v>57.218019805009597</v>
      </c>
      <c r="J38">
        <v>33.301727638815898</v>
      </c>
      <c r="K38">
        <v>11.002640852172499</v>
      </c>
      <c r="L38">
        <v>2.9430320498169085E-5</v>
      </c>
      <c r="M38">
        <v>1.8037383240924916E-6</v>
      </c>
      <c r="N38" s="1">
        <v>-3.6588123161475402E-7</v>
      </c>
      <c r="O38" s="1">
        <v>1.0334266424562E-10</v>
      </c>
      <c r="P38" s="1">
        <v>1.2793266132717601E-9</v>
      </c>
      <c r="Q38">
        <v>66.253698689080906</v>
      </c>
      <c r="S38">
        <v>19.036186235709899</v>
      </c>
      <c r="AA38">
        <v>0.245653716402776</v>
      </c>
      <c r="AB38">
        <v>5.2135750938778598</v>
      </c>
      <c r="AC38">
        <v>9.2508862649284591</v>
      </c>
      <c r="AJ38">
        <v>0.45590228849074799</v>
      </c>
      <c r="AK38">
        <v>1.1870534322177899E-2</v>
      </c>
      <c r="AL38">
        <v>0.53222717718707302</v>
      </c>
    </row>
    <row r="39" spans="1:38" x14ac:dyDescent="0.2">
      <c r="A39">
        <v>34</v>
      </c>
      <c r="B39">
        <v>739</v>
      </c>
      <c r="C39">
        <v>250</v>
      </c>
      <c r="D39">
        <v>0.31616904609000601</v>
      </c>
      <c r="E39">
        <v>30.518940934555101</v>
      </c>
      <c r="F39">
        <v>2.56297763192102</v>
      </c>
      <c r="G39">
        <v>-491.9968900457626</v>
      </c>
      <c r="H39">
        <v>-427.56409453808527</v>
      </c>
      <c r="I39">
        <v>63.659334592379899</v>
      </c>
      <c r="J39">
        <v>37.589901303827403</v>
      </c>
      <c r="K39">
        <v>11.907611113905901</v>
      </c>
      <c r="L39">
        <v>3.2639392573806467E-5</v>
      </c>
      <c r="M39">
        <v>1.8329344414023444E-6</v>
      </c>
      <c r="N39" s="1">
        <v>-7.8428165631190898E-7</v>
      </c>
      <c r="O39" s="1">
        <v>1.04196180159024E-10</v>
      </c>
      <c r="P39" s="1">
        <v>2.5201259888562898E-9</v>
      </c>
      <c r="Q39">
        <v>66.171315558318696</v>
      </c>
      <c r="S39">
        <v>20.5858347475885</v>
      </c>
      <c r="AA39">
        <v>1.5433525831480199</v>
      </c>
      <c r="AB39">
        <v>9.09259374612129</v>
      </c>
      <c r="AC39">
        <v>2.6069033648233999</v>
      </c>
      <c r="AJ39">
        <v>0.77977054173822202</v>
      </c>
      <c r="AK39">
        <v>7.3140004114798499E-2</v>
      </c>
      <c r="AL39">
        <v>0.14708945414697799</v>
      </c>
    </row>
    <row r="40" spans="1:38" x14ac:dyDescent="0.2">
      <c r="A40">
        <v>34</v>
      </c>
      <c r="B40">
        <v>739</v>
      </c>
      <c r="C40">
        <v>250</v>
      </c>
      <c r="D40">
        <v>0.31616904609000601</v>
      </c>
      <c r="E40">
        <v>28.959321773777699</v>
      </c>
      <c r="F40">
        <v>2.5259944670052601</v>
      </c>
      <c r="G40">
        <v>-457.47280985423356</v>
      </c>
      <c r="H40">
        <v>-397.16766961674119</v>
      </c>
      <c r="I40">
        <v>59.5812283134835</v>
      </c>
      <c r="J40">
        <v>34.707700413779001</v>
      </c>
      <c r="K40">
        <v>11.464523043120799</v>
      </c>
      <c r="L40">
        <v>2.9453672160743349E-5</v>
      </c>
      <c r="M40">
        <v>1.8037940621434269E-6</v>
      </c>
      <c r="N40" s="1">
        <v>-3.9338824772649899E-7</v>
      </c>
      <c r="O40" s="1">
        <v>1.0759735980486E-10</v>
      </c>
      <c r="P40" s="1">
        <v>1.3675251829515901E-9</v>
      </c>
      <c r="Q40">
        <v>66.252173723938895</v>
      </c>
      <c r="S40">
        <v>19.0322066239512</v>
      </c>
      <c r="AA40">
        <v>0.242726325722148</v>
      </c>
      <c r="AB40">
        <v>5.1997437212140101</v>
      </c>
      <c r="AC40">
        <v>9.2731496051736304</v>
      </c>
      <c r="AJ40">
        <v>0.454724667381536</v>
      </c>
      <c r="AK40">
        <v>1.1729898304616199E-2</v>
      </c>
      <c r="AL40">
        <v>0.53354543431384704</v>
      </c>
    </row>
    <row r="41" spans="1:38" x14ac:dyDescent="0.2">
      <c r="A41">
        <v>36</v>
      </c>
      <c r="B41">
        <v>762</v>
      </c>
      <c r="C41">
        <v>225</v>
      </c>
      <c r="D41">
        <v>0.35948461575617302</v>
      </c>
      <c r="E41">
        <v>0.25936487930300001</v>
      </c>
      <c r="F41">
        <v>2.5755320386669802</v>
      </c>
      <c r="G41">
        <v>-4.2137284243910198</v>
      </c>
      <c r="H41">
        <v>-3.6467673340129334</v>
      </c>
      <c r="I41">
        <v>0.54770911498631702</v>
      </c>
      <c r="J41">
        <v>0.31680242862805202</v>
      </c>
      <c r="K41">
        <v>0.100703417938159</v>
      </c>
      <c r="L41">
        <v>3.1399558990126155E-5</v>
      </c>
      <c r="M41">
        <v>1.8117040678726593E-6</v>
      </c>
      <c r="N41" s="1">
        <v>-3.2917281236462701E-9</v>
      </c>
      <c r="O41" s="1">
        <v>8.8931327688372799E-13</v>
      </c>
      <c r="P41" s="1">
        <v>1.1779319513636601E-11</v>
      </c>
      <c r="Q41">
        <v>65.157754850860101</v>
      </c>
      <c r="S41">
        <v>21.560153265821199</v>
      </c>
      <c r="AA41">
        <v>2.5836758717366402</v>
      </c>
      <c r="AB41">
        <v>9.3882307200997808</v>
      </c>
      <c r="AC41">
        <v>1.3101852914822101</v>
      </c>
      <c r="AJ41">
        <v>0.80392620750282295</v>
      </c>
      <c r="AK41">
        <v>0.122259116309636</v>
      </c>
      <c r="AL41">
        <v>7.3814676187539993E-2</v>
      </c>
    </row>
    <row r="42" spans="1:38" x14ac:dyDescent="0.2">
      <c r="A42">
        <v>37</v>
      </c>
      <c r="B42">
        <v>761</v>
      </c>
      <c r="C42">
        <v>225</v>
      </c>
      <c r="D42">
        <v>0.35879756321617101</v>
      </c>
      <c r="E42">
        <v>0.74483781993671605</v>
      </c>
      <c r="F42">
        <v>2.5750614655529298</v>
      </c>
      <c r="G42">
        <v>-12.098297412706518</v>
      </c>
      <c r="H42">
        <v>-10.472448417670217</v>
      </c>
      <c r="I42">
        <v>1.57215973991809</v>
      </c>
      <c r="J42">
        <v>0.91009656914139003</v>
      </c>
      <c r="K42">
        <v>0.28925050135717001</v>
      </c>
      <c r="L42">
        <v>3.1459537919029047E-5</v>
      </c>
      <c r="M42">
        <v>1.8131076246557483E-6</v>
      </c>
      <c r="N42" s="1">
        <v>-9.7625834588143306E-9</v>
      </c>
      <c r="O42" s="1">
        <v>2.55408963390261E-12</v>
      </c>
      <c r="P42" s="1">
        <v>3.4720774537767001E-11</v>
      </c>
      <c r="Q42">
        <v>65.213691417346496</v>
      </c>
      <c r="S42">
        <v>21.517232072451499</v>
      </c>
      <c r="AA42">
        <v>2.5352134146409702</v>
      </c>
      <c r="AB42">
        <v>9.4003588707614902</v>
      </c>
      <c r="AC42">
        <v>1.3335042247994</v>
      </c>
      <c r="AJ42">
        <v>0.804917200781468</v>
      </c>
      <c r="AK42">
        <v>0.11995879347444099</v>
      </c>
      <c r="AL42">
        <v>7.5124005744089603E-2</v>
      </c>
    </row>
    <row r="43" spans="1:38" x14ac:dyDescent="0.2">
      <c r="A43">
        <v>38</v>
      </c>
      <c r="B43">
        <v>760</v>
      </c>
      <c r="C43">
        <v>225</v>
      </c>
      <c r="D43">
        <v>0.35810918066108399</v>
      </c>
      <c r="E43">
        <v>1.2323300782189099</v>
      </c>
      <c r="F43">
        <v>2.57460079180589</v>
      </c>
      <c r="G43">
        <v>-20.012284098294504</v>
      </c>
      <c r="H43">
        <v>-17.326200488561085</v>
      </c>
      <c r="I43">
        <v>2.5998970234074501</v>
      </c>
      <c r="J43">
        <v>1.50627554705004</v>
      </c>
      <c r="K43">
        <v>0.47864899371623298</v>
      </c>
      <c r="L43">
        <v>3.1519513953707719E-5</v>
      </c>
      <c r="M43">
        <v>1.8144735604338553E-6</v>
      </c>
      <c r="N43" s="1">
        <v>-1.6679322790942799E-8</v>
      </c>
      <c r="O43" s="1">
        <v>4.2257998991299796E-12</v>
      </c>
      <c r="P43" s="1">
        <v>5.8965900605371501E-11</v>
      </c>
      <c r="Q43">
        <v>65.268007799435793</v>
      </c>
      <c r="S43">
        <v>21.475360796276501</v>
      </c>
      <c r="AA43">
        <v>2.4879951978610499</v>
      </c>
      <c r="AB43">
        <v>9.4116290217894498</v>
      </c>
      <c r="AC43">
        <v>1.3570071846370499</v>
      </c>
      <c r="AJ43">
        <v>0.80583801949628198</v>
      </c>
      <c r="AK43">
        <v>0.117718110184009</v>
      </c>
      <c r="AL43">
        <v>7.6443870319707605E-2</v>
      </c>
    </row>
    <row r="44" spans="1:38" x14ac:dyDescent="0.2">
      <c r="A44">
        <v>39</v>
      </c>
      <c r="B44">
        <v>759</v>
      </c>
      <c r="C44">
        <v>225</v>
      </c>
      <c r="D44">
        <v>0.35741946422516302</v>
      </c>
      <c r="E44">
        <v>1.72151277716255</v>
      </c>
      <c r="F44">
        <v>2.5741501075688902</v>
      </c>
      <c r="G44">
        <v>-27.950325588120034</v>
      </c>
      <c r="H44">
        <v>-24.203406386922307</v>
      </c>
      <c r="I44">
        <v>3.6302080135617101</v>
      </c>
      <c r="J44">
        <v>2.1049539151830898</v>
      </c>
      <c r="K44">
        <v>0.66876938221306803</v>
      </c>
      <c r="L44">
        <v>3.1579524305622576E-5</v>
      </c>
      <c r="M44">
        <v>1.8158022182614444E-6</v>
      </c>
      <c r="N44" s="1">
        <v>-2.4058673950053299E-8</v>
      </c>
      <c r="O44" s="1">
        <v>5.9030412091363502E-12</v>
      </c>
      <c r="P44" s="1">
        <v>8.4558833173566502E-11</v>
      </c>
      <c r="Q44">
        <v>65.320709345224103</v>
      </c>
      <c r="S44">
        <v>21.434539430665001</v>
      </c>
      <c r="AA44">
        <v>2.4420199680207801</v>
      </c>
      <c r="AB44">
        <v>9.4220530737443209</v>
      </c>
      <c r="AC44">
        <v>1.3806781823457399</v>
      </c>
      <c r="AJ44">
        <v>0.80668965820161898</v>
      </c>
      <c r="AK44">
        <v>0.11553696210825901</v>
      </c>
      <c r="AL44">
        <v>7.7773379690121297E-2</v>
      </c>
    </row>
    <row r="45" spans="1:38" x14ac:dyDescent="0.2">
      <c r="A45">
        <v>40</v>
      </c>
      <c r="B45">
        <v>758</v>
      </c>
      <c r="C45">
        <v>225</v>
      </c>
      <c r="D45">
        <v>0.356728410027642</v>
      </c>
      <c r="E45">
        <v>2.2120524143163598</v>
      </c>
      <c r="F45">
        <v>2.5737094771029101</v>
      </c>
      <c r="G45">
        <v>-35.906990110282756</v>
      </c>
      <c r="H45">
        <v>-31.099385786792912</v>
      </c>
      <c r="I45">
        <v>4.6623714527370899</v>
      </c>
      <c r="J45">
        <v>2.7057409794898701</v>
      </c>
      <c r="K45">
        <v>0.85948023038184795</v>
      </c>
      <c r="L45">
        <v>3.1639609801366114E-5</v>
      </c>
      <c r="M45">
        <v>1.8170940390757997E-6</v>
      </c>
      <c r="N45" s="1">
        <v>-3.1917748537629699E-8</v>
      </c>
      <c r="O45" s="1">
        <v>7.5843863398111399E-12</v>
      </c>
      <c r="P45" s="1">
        <v>1.11544649615279E-10</v>
      </c>
      <c r="Q45">
        <v>65.371805324794096</v>
      </c>
      <c r="S45">
        <v>21.3947653472563</v>
      </c>
      <c r="AA45">
        <v>2.3972833936486402</v>
      </c>
      <c r="AB45">
        <v>9.4316447939197197</v>
      </c>
      <c r="AC45">
        <v>1.4045011403811101</v>
      </c>
      <c r="AJ45">
        <v>0.80747326170324096</v>
      </c>
      <c r="AK45">
        <v>0.113415100282862</v>
      </c>
      <c r="AL45">
        <v>7.9111638013895202E-2</v>
      </c>
    </row>
    <row r="46" spans="1:38" x14ac:dyDescent="0.2">
      <c r="A46">
        <v>41</v>
      </c>
      <c r="B46">
        <v>757</v>
      </c>
      <c r="C46">
        <v>225</v>
      </c>
      <c r="D46">
        <v>0.35603601417269398</v>
      </c>
      <c r="E46">
        <v>2.7036131810887398</v>
      </c>
      <c r="F46">
        <v>2.5732789390383899</v>
      </c>
      <c r="G46">
        <v>-43.876814704424397</v>
      </c>
      <c r="H46">
        <v>-38.009427722495694</v>
      </c>
      <c r="I46">
        <v>5.6956627500157202</v>
      </c>
      <c r="J46">
        <v>3.3082436652543898</v>
      </c>
      <c r="K46">
        <v>1.05064909212642</v>
      </c>
      <c r="L46">
        <v>3.1699814807163827E-5</v>
      </c>
      <c r="M46">
        <v>1.8183495571168434E-6</v>
      </c>
      <c r="N46" s="1">
        <v>-4.02740780292875E-8</v>
      </c>
      <c r="O46" s="1">
        <v>9.2683923987498296E-12</v>
      </c>
      <c r="P46" s="1">
        <v>1.39969486879016E-10</v>
      </c>
      <c r="Q46">
        <v>65.421308767038497</v>
      </c>
      <c r="S46">
        <v>21.356033382801598</v>
      </c>
      <c r="AA46">
        <v>2.3537781748976299</v>
      </c>
      <c r="AB46">
        <v>9.4404196803759408</v>
      </c>
      <c r="AC46">
        <v>1.4284599948862</v>
      </c>
      <c r="AJ46">
        <v>0.80819011397775498</v>
      </c>
      <c r="AK46">
        <v>0.11135213646073699</v>
      </c>
      <c r="AL46">
        <v>8.0457749561506794E-2</v>
      </c>
    </row>
    <row r="47" spans="1:38" x14ac:dyDescent="0.2">
      <c r="A47">
        <v>42</v>
      </c>
      <c r="B47">
        <v>756</v>
      </c>
      <c r="C47">
        <v>225</v>
      </c>
      <c r="D47">
        <v>0.35534227274935698</v>
      </c>
      <c r="E47">
        <v>3.8650635127769899</v>
      </c>
      <c r="F47">
        <v>2.5722455989542001</v>
      </c>
      <c r="G47">
        <v>-62.702777941882267</v>
      </c>
      <c r="H47">
        <v>-54.326567129480871</v>
      </c>
      <c r="I47">
        <v>8.1389601247645</v>
      </c>
      <c r="J47">
        <v>4.7309945083631</v>
      </c>
      <c r="K47">
        <v>1.5026028285745301</v>
      </c>
      <c r="L47">
        <v>3.1767556540145914E-5</v>
      </c>
      <c r="M47">
        <v>1.8203834816211465E-6</v>
      </c>
      <c r="N47" s="1">
        <v>-5.93802121537823E-8</v>
      </c>
      <c r="O47" s="1">
        <v>1.32626098627308E-11</v>
      </c>
      <c r="P47" s="1">
        <v>2.0527602256176E-10</v>
      </c>
      <c r="Q47">
        <v>65.513013609812404</v>
      </c>
      <c r="S47">
        <v>21.278015803132998</v>
      </c>
      <c r="AA47">
        <v>2.2680148014591599</v>
      </c>
      <c r="AB47">
        <v>9.4402457774016906</v>
      </c>
      <c r="AC47">
        <v>1.50071000819367</v>
      </c>
      <c r="AJ47">
        <v>0.80817740663023097</v>
      </c>
      <c r="AK47">
        <v>0.107295146892183</v>
      </c>
      <c r="AL47">
        <v>8.4527446477585005E-2</v>
      </c>
    </row>
    <row r="48" spans="1:38" x14ac:dyDescent="0.2">
      <c r="A48">
        <v>43</v>
      </c>
      <c r="B48">
        <v>755</v>
      </c>
      <c r="C48">
        <v>225</v>
      </c>
      <c r="D48">
        <v>0.354647181831445</v>
      </c>
      <c r="E48">
        <v>5.28134139149115</v>
      </c>
      <c r="F48">
        <v>2.5709914134288301</v>
      </c>
      <c r="G48">
        <v>-85.641157377448295</v>
      </c>
      <c r="H48">
        <v>-74.211659898407177</v>
      </c>
      <c r="I48">
        <v>11.116566142139799</v>
      </c>
      <c r="J48">
        <v>6.4664331291878003</v>
      </c>
      <c r="K48">
        <v>2.0542042123927602</v>
      </c>
      <c r="L48">
        <v>3.183269965614557E-5</v>
      </c>
      <c r="M48">
        <v>1.8225403956207729E-6</v>
      </c>
      <c r="N48" s="1">
        <v>-8.3593554396277705E-8</v>
      </c>
      <c r="O48" s="1">
        <v>1.8146312863480801E-11</v>
      </c>
      <c r="P48" s="1">
        <v>2.8752088645075901E-10</v>
      </c>
      <c r="Q48">
        <v>65.614729922215204</v>
      </c>
      <c r="S48">
        <v>21.1880196811214</v>
      </c>
      <c r="AA48">
        <v>2.1700329683648798</v>
      </c>
      <c r="AB48">
        <v>9.4309785916330409</v>
      </c>
      <c r="AC48">
        <v>1.5962388366653999</v>
      </c>
      <c r="AJ48">
        <v>0.80742282029743695</v>
      </c>
      <c r="AK48">
        <v>0.10266475688026799</v>
      </c>
      <c r="AL48">
        <v>8.9912422822294003E-2</v>
      </c>
    </row>
    <row r="49" spans="1:38" x14ac:dyDescent="0.2">
      <c r="A49">
        <v>44</v>
      </c>
      <c r="B49">
        <v>754</v>
      </c>
      <c r="C49">
        <v>225</v>
      </c>
      <c r="D49">
        <v>0.35395073747748601</v>
      </c>
      <c r="E49">
        <v>6.7507124832203003</v>
      </c>
      <c r="F49">
        <v>2.5696978245861799</v>
      </c>
      <c r="G49">
        <v>-109.41645869470184</v>
      </c>
      <c r="H49">
        <v>-94.827787122304045</v>
      </c>
      <c r="I49">
        <v>14.203058533220799</v>
      </c>
      <c r="J49">
        <v>8.2675982476983005</v>
      </c>
      <c r="K49">
        <v>2.6270452574739598</v>
      </c>
      <c r="L49">
        <v>3.1891371044026711E-5</v>
      </c>
      <c r="M49">
        <v>1.824536218319664E-6</v>
      </c>
      <c r="N49" s="1">
        <v>-1.0997757176758599E-7</v>
      </c>
      <c r="O49" s="1">
        <v>2.3226057891117501E-11</v>
      </c>
      <c r="P49" s="1">
        <v>3.7645006674441401E-10</v>
      </c>
      <c r="Q49">
        <v>65.712064783682294</v>
      </c>
      <c r="S49">
        <v>21.098604829164199</v>
      </c>
      <c r="AA49">
        <v>2.0735530406948302</v>
      </c>
      <c r="AB49">
        <v>9.4134714523962195</v>
      </c>
      <c r="AC49">
        <v>1.7023058940623199</v>
      </c>
      <c r="AJ49">
        <v>0.80599556338396705</v>
      </c>
      <c r="AK49">
        <v>9.8108984529446705E-2</v>
      </c>
      <c r="AL49">
        <v>9.5895452086585897E-2</v>
      </c>
    </row>
    <row r="50" spans="1:38" x14ac:dyDescent="0.2">
      <c r="A50">
        <v>45</v>
      </c>
      <c r="B50">
        <v>753</v>
      </c>
      <c r="C50">
        <v>225</v>
      </c>
      <c r="D50">
        <v>0.35325293573064698</v>
      </c>
      <c r="E50">
        <v>8.2847883094026802</v>
      </c>
      <c r="F50">
        <v>2.5683490588497802</v>
      </c>
      <c r="G50">
        <v>-134.21240144353831</v>
      </c>
      <c r="H50">
        <v>-116.33431586802487</v>
      </c>
      <c r="I50">
        <v>17.4224875266904</v>
      </c>
      <c r="J50">
        <v>10.1484746870645</v>
      </c>
      <c r="K50">
        <v>3.22572521085314</v>
      </c>
      <c r="L50">
        <v>3.1942427721253083E-5</v>
      </c>
      <c r="M50">
        <v>1.8263593835459345E-6</v>
      </c>
      <c r="N50" s="1">
        <v>-1.38762732448193E-7</v>
      </c>
      <c r="O50" s="1">
        <v>2.8543829796714901E-11</v>
      </c>
      <c r="P50" s="1">
        <v>4.7281722652145302E-10</v>
      </c>
      <c r="Q50">
        <v>65.805061947238201</v>
      </c>
      <c r="S50">
        <v>21.009194390212102</v>
      </c>
      <c r="AA50">
        <v>1.9780888963065</v>
      </c>
      <c r="AB50">
        <v>9.3863095552087099</v>
      </c>
      <c r="AC50">
        <v>1.8213452110343999</v>
      </c>
      <c r="AJ50">
        <v>0.80377977396453404</v>
      </c>
      <c r="AK50">
        <v>9.3604945790653898E-2</v>
      </c>
      <c r="AL50">
        <v>0.10261528024481099</v>
      </c>
    </row>
    <row r="51" spans="1:38" x14ac:dyDescent="0.2">
      <c r="A51">
        <v>46</v>
      </c>
      <c r="B51">
        <v>752</v>
      </c>
      <c r="C51">
        <v>225</v>
      </c>
      <c r="D51">
        <v>0.35255377261864101</v>
      </c>
      <c r="E51">
        <v>9.9010840930079205</v>
      </c>
      <c r="F51">
        <v>2.5669222672486098</v>
      </c>
      <c r="G51">
        <v>-160.30645745954018</v>
      </c>
      <c r="H51">
        <v>-138.97186255300838</v>
      </c>
      <c r="I51">
        <v>20.811193392705199</v>
      </c>
      <c r="J51">
        <v>12.130154140473399</v>
      </c>
      <c r="K51">
        <v>3.8571811150403499</v>
      </c>
      <c r="L51">
        <v>3.1984255822506148E-5</v>
      </c>
      <c r="M51">
        <v>1.8279942090410372E-6</v>
      </c>
      <c r="N51" s="1">
        <v>-1.70261620023624E-7</v>
      </c>
      <c r="O51" s="1">
        <v>3.4163388349752002E-11</v>
      </c>
      <c r="P51" s="1">
        <v>5.7766071809920497E-10</v>
      </c>
      <c r="Q51">
        <v>65.893823752254804</v>
      </c>
      <c r="S51">
        <v>20.9189340139074</v>
      </c>
      <c r="AA51">
        <v>1.8829118079138301</v>
      </c>
      <c r="AB51">
        <v>9.3474811673383407</v>
      </c>
      <c r="AC51">
        <v>1.95684925858544</v>
      </c>
      <c r="AJ51">
        <v>0.80061050563774705</v>
      </c>
      <c r="AK51">
        <v>8.9118415254255595E-2</v>
      </c>
      <c r="AL51">
        <v>0.11027107910799699</v>
      </c>
    </row>
    <row r="52" spans="1:38" x14ac:dyDescent="0.2">
      <c r="A52">
        <v>47</v>
      </c>
      <c r="B52">
        <v>751</v>
      </c>
      <c r="C52">
        <v>225</v>
      </c>
      <c r="D52">
        <v>0.35185324415369101</v>
      </c>
      <c r="E52">
        <v>11.6274592428533</v>
      </c>
      <c r="F52">
        <v>2.5653828993725099</v>
      </c>
      <c r="G52">
        <v>-188.14039024927968</v>
      </c>
      <c r="H52">
        <v>-163.12342864985027</v>
      </c>
      <c r="I52">
        <v>24.4270483810275</v>
      </c>
      <c r="J52">
        <v>14.2461821107457</v>
      </c>
      <c r="K52">
        <v>4.5324459150707703</v>
      </c>
      <c r="L52">
        <v>3.2014430854342765E-5</v>
      </c>
      <c r="M52">
        <v>1.8294173630393371E-6</v>
      </c>
      <c r="N52" s="1">
        <v>-2.04929254640533E-7</v>
      </c>
      <c r="O52" s="1">
        <v>4.0186659355526398E-11</v>
      </c>
      <c r="P52" s="1">
        <v>6.9251399889088E-10</v>
      </c>
      <c r="Q52">
        <v>65.978520954074199</v>
      </c>
      <c r="S52">
        <v>20.826521396028799</v>
      </c>
      <c r="AA52">
        <v>1.7869075177748099</v>
      </c>
      <c r="AB52">
        <v>9.2939526480814401</v>
      </c>
      <c r="AC52">
        <v>2.1140974840406499</v>
      </c>
      <c r="AJ52">
        <v>0.79623875349953199</v>
      </c>
      <c r="AK52">
        <v>8.4597147998581299E-2</v>
      </c>
      <c r="AL52">
        <v>0.119164098501885</v>
      </c>
    </row>
    <row r="53" spans="1:38" x14ac:dyDescent="0.2">
      <c r="A53">
        <v>48</v>
      </c>
      <c r="B53">
        <v>750</v>
      </c>
      <c r="C53">
        <v>225</v>
      </c>
      <c r="D53">
        <v>0.35115134633240402</v>
      </c>
      <c r="E53">
        <v>13.511372495106601</v>
      </c>
      <c r="F53">
        <v>2.5636754236013601</v>
      </c>
      <c r="G53">
        <v>-218.46722963464342</v>
      </c>
      <c r="H53">
        <v>-189.44178208999747</v>
      </c>
      <c r="I53">
        <v>28.3687118649718</v>
      </c>
      <c r="J53">
        <v>16.5536961092543</v>
      </c>
      <c r="K53">
        <v>5.2703132271425899</v>
      </c>
      <c r="L53">
        <v>3.2029024345645055E-5</v>
      </c>
      <c r="M53">
        <v>1.8305905259917571E-6</v>
      </c>
      <c r="N53" s="1">
        <v>-2.4348683511666198E-7</v>
      </c>
      <c r="O53" s="1">
        <v>4.6787921162211103E-11</v>
      </c>
      <c r="P53" s="1">
        <v>8.19838430840386E-10</v>
      </c>
      <c r="Q53">
        <v>66.059403962191794</v>
      </c>
      <c r="S53">
        <v>20.729866082886002</v>
      </c>
      <c r="AA53">
        <v>1.68829295055805</v>
      </c>
      <c r="AB53">
        <v>9.2208016254459704</v>
      </c>
      <c r="AC53">
        <v>2.3016353789181099</v>
      </c>
      <c r="AJ53">
        <v>0.79026006716817399</v>
      </c>
      <c r="AK53">
        <v>7.9957637883804999E-2</v>
      </c>
      <c r="AL53">
        <v>0.12978229494801999</v>
      </c>
    </row>
    <row r="54" spans="1:38" x14ac:dyDescent="0.2">
      <c r="A54">
        <v>49</v>
      </c>
      <c r="B54">
        <v>749</v>
      </c>
      <c r="C54">
        <v>225</v>
      </c>
      <c r="D54">
        <v>0.350448075135744</v>
      </c>
      <c r="E54">
        <v>15.6418621086226</v>
      </c>
      <c r="F54">
        <v>2.5617024925163498</v>
      </c>
      <c r="G54">
        <v>-252.70021336057886</v>
      </c>
      <c r="H54">
        <v>-219.15187984220216</v>
      </c>
      <c r="I54">
        <v>32.821340819230699</v>
      </c>
      <c r="J54">
        <v>19.159861682857699</v>
      </c>
      <c r="K54">
        <v>6.1060416478174302</v>
      </c>
      <c r="L54">
        <v>3.2021010396939092E-5</v>
      </c>
      <c r="M54">
        <v>1.8314431500714843E-6</v>
      </c>
      <c r="N54" s="1">
        <v>-2.8720959746595601E-7</v>
      </c>
      <c r="O54" s="1">
        <v>5.4295058868249102E-11</v>
      </c>
      <c r="P54" s="1">
        <v>9.6403366893168201E-10</v>
      </c>
      <c r="Q54">
        <v>66.1368024363274</v>
      </c>
      <c r="S54">
        <v>20.625331004399101</v>
      </c>
      <c r="AA54">
        <v>1.58399056461812</v>
      </c>
      <c r="AB54">
        <v>9.1192276763760898</v>
      </c>
      <c r="AC54">
        <v>2.5346483182791801</v>
      </c>
      <c r="AJ54">
        <v>0.78195056533386798</v>
      </c>
      <c r="AK54">
        <v>7.5055862480399096E-2</v>
      </c>
      <c r="AL54">
        <v>0.142993572185731</v>
      </c>
    </row>
    <row r="55" spans="1:38" x14ac:dyDescent="0.2">
      <c r="A55">
        <v>50</v>
      </c>
      <c r="B55">
        <v>748</v>
      </c>
      <c r="C55">
        <v>225</v>
      </c>
      <c r="D55">
        <v>0.34974342652891699</v>
      </c>
      <c r="E55">
        <v>18.219424811205599</v>
      </c>
      <c r="F55">
        <v>2.55969249964076</v>
      </c>
      <c r="G55">
        <v>-294.07081994333561</v>
      </c>
      <c r="H55">
        <v>-255.05969810368643</v>
      </c>
      <c r="I55">
        <v>38.203125730450097</v>
      </c>
      <c r="J55">
        <v>22.309570871632499</v>
      </c>
      <c r="K55">
        <v>7.1178177901301201</v>
      </c>
      <c r="L55">
        <v>3.1992002655729262E-5</v>
      </c>
      <c r="M55">
        <v>1.8318059065710082E-6</v>
      </c>
      <c r="N55" s="1">
        <v>-3.3993694139446502E-7</v>
      </c>
      <c r="O55" s="1">
        <v>6.3397346695475095E-11</v>
      </c>
      <c r="P55" s="1">
        <v>1.1378840473150601E-9</v>
      </c>
      <c r="Q55">
        <v>66.198854504719094</v>
      </c>
      <c r="S55">
        <v>20.5256949096505</v>
      </c>
      <c r="AA55">
        <v>1.4873107644054799</v>
      </c>
      <c r="AB55">
        <v>8.9962984077284496</v>
      </c>
      <c r="AC55">
        <v>2.7918414134964</v>
      </c>
      <c r="AJ55">
        <v>0.77188228729729702</v>
      </c>
      <c r="AK55">
        <v>7.0517958997683497E-2</v>
      </c>
      <c r="AL55">
        <v>0.157599753705018</v>
      </c>
    </row>
    <row r="56" spans="1:38" x14ac:dyDescent="0.2">
      <c r="A56">
        <v>50</v>
      </c>
      <c r="B56">
        <v>748</v>
      </c>
      <c r="C56">
        <v>225</v>
      </c>
      <c r="D56">
        <v>0.34974342652891699</v>
      </c>
      <c r="E56">
        <v>1.0510659006363501</v>
      </c>
      <c r="F56">
        <v>2.52525815280549</v>
      </c>
      <c r="G56">
        <v>-16.652185082701774</v>
      </c>
      <c r="H56">
        <v>-14.42956934719277</v>
      </c>
      <c r="I56">
        <v>2.1765810463781001</v>
      </c>
      <c r="J56">
        <v>1.2581559494004799</v>
      </c>
      <c r="K56">
        <v>0.41622116909855</v>
      </c>
      <c r="L56">
        <v>2.932909753666395E-5</v>
      </c>
      <c r="M56">
        <v>1.8062234295192284E-6</v>
      </c>
      <c r="N56" s="1">
        <v>-1.0780026815707099E-8</v>
      </c>
      <c r="O56" s="1">
        <v>3.9256840916696404E-12</v>
      </c>
      <c r="P56" s="1">
        <v>3.9672851217175199E-11</v>
      </c>
      <c r="Q56">
        <v>66.298007888645401</v>
      </c>
      <c r="S56">
        <v>19.083768204531101</v>
      </c>
      <c r="AA56">
        <v>0.27457038190789901</v>
      </c>
      <c r="AB56">
        <v>5.4370580866857097</v>
      </c>
      <c r="AC56">
        <v>8.9065954382297807</v>
      </c>
      <c r="AJ56">
        <v>0.47490725997607602</v>
      </c>
      <c r="AK56">
        <v>1.32528509630402E-2</v>
      </c>
      <c r="AL56">
        <v>0.51183988906088296</v>
      </c>
    </row>
    <row r="57" spans="1:38" x14ac:dyDescent="0.2">
      <c r="A57">
        <v>51</v>
      </c>
      <c r="B57">
        <v>747</v>
      </c>
      <c r="C57">
        <v>225</v>
      </c>
      <c r="D57">
        <v>0.34903739646130499</v>
      </c>
      <c r="E57">
        <v>24.444065031662699</v>
      </c>
      <c r="F57">
        <v>2.5601850549201299</v>
      </c>
      <c r="G57">
        <v>-394.53554082181432</v>
      </c>
      <c r="H57">
        <v>-342.27736062130174</v>
      </c>
      <c r="I57">
        <v>51.225976768624797</v>
      </c>
      <c r="J57">
        <v>29.947420595459199</v>
      </c>
      <c r="K57">
        <v>9.5477727224000493</v>
      </c>
      <c r="L57">
        <v>3.2044826667292827E-5</v>
      </c>
      <c r="M57">
        <v>1.8317149528720918E-6</v>
      </c>
      <c r="N57" s="1">
        <v>-4.7138162582949698E-7</v>
      </c>
      <c r="O57" s="1">
        <v>8.4872645803746E-11</v>
      </c>
      <c r="P57" s="1">
        <v>1.5705228787809501E-9</v>
      </c>
      <c r="Q57">
        <v>66.1771765418884</v>
      </c>
      <c r="S57">
        <v>20.548755488865002</v>
      </c>
      <c r="AA57">
        <v>1.51139423464867</v>
      </c>
      <c r="AB57">
        <v>9.0084465363767698</v>
      </c>
      <c r="AC57">
        <v>2.7542271982211202</v>
      </c>
      <c r="AJ57">
        <v>0.77287756404206498</v>
      </c>
      <c r="AK57">
        <v>7.1655469582380796E-2</v>
      </c>
      <c r="AL57">
        <v>0.15546696637555299</v>
      </c>
    </row>
    <row r="58" spans="1:38" x14ac:dyDescent="0.2">
      <c r="A58">
        <v>51</v>
      </c>
      <c r="B58">
        <v>747</v>
      </c>
      <c r="C58">
        <v>225</v>
      </c>
      <c r="D58">
        <v>0.34903739646130499</v>
      </c>
      <c r="E58">
        <v>16.088212619382301</v>
      </c>
      <c r="F58">
        <v>2.5251890388380298</v>
      </c>
      <c r="G58">
        <v>-254.81089184569501</v>
      </c>
      <c r="H58">
        <v>-220.84926831572031</v>
      </c>
      <c r="I58">
        <v>33.2908136352249</v>
      </c>
      <c r="J58">
        <v>19.2580774070933</v>
      </c>
      <c r="K58">
        <v>6.3710923704885403</v>
      </c>
      <c r="L58">
        <v>2.9325868226698484E-5</v>
      </c>
      <c r="M58">
        <v>1.805959365631533E-6</v>
      </c>
      <c r="N58" s="1">
        <v>-1.69315379798898E-7</v>
      </c>
      <c r="O58" s="1">
        <v>6.0070869551144804E-11</v>
      </c>
      <c r="P58" s="1">
        <v>6.1951752355042004E-10</v>
      </c>
      <c r="Q58">
        <v>66.288386448585399</v>
      </c>
      <c r="S58">
        <v>19.077484414709598</v>
      </c>
      <c r="AA58">
        <v>0.27163122246875798</v>
      </c>
      <c r="AB58">
        <v>5.3991434514276602</v>
      </c>
      <c r="AC58">
        <v>8.9633544628084092</v>
      </c>
      <c r="AJ58">
        <v>0.47168601045087299</v>
      </c>
      <c r="AK58">
        <v>1.31134996151602E-2</v>
      </c>
      <c r="AL58">
        <v>0.51520048993396494</v>
      </c>
    </row>
    <row r="59" spans="1:38" x14ac:dyDescent="0.2">
      <c r="A59">
        <v>52</v>
      </c>
      <c r="B59">
        <v>746</v>
      </c>
      <c r="C59">
        <v>225</v>
      </c>
      <c r="D59">
        <v>0.34832998086640898</v>
      </c>
      <c r="E59">
        <v>27.608612493326799</v>
      </c>
      <c r="F59">
        <v>2.5604918366688501</v>
      </c>
      <c r="G59">
        <v>-445.58878583430197</v>
      </c>
      <c r="H59">
        <v>-386.65636375792303</v>
      </c>
      <c r="I59">
        <v>57.825071948563902</v>
      </c>
      <c r="J59">
        <v>33.842502377026896</v>
      </c>
      <c r="K59">
        <v>10.782542673225199</v>
      </c>
      <c r="L59">
        <v>3.2101750531354333E-5</v>
      </c>
      <c r="M59">
        <v>1.8318606186860434E-6</v>
      </c>
      <c r="N59" s="1">
        <v>-5.5019403081192003E-7</v>
      </c>
      <c r="O59" s="1">
        <v>9.5678431975447094E-11</v>
      </c>
      <c r="P59" s="1">
        <v>1.82476969479603E-9</v>
      </c>
      <c r="Q59">
        <v>66.168343925930898</v>
      </c>
      <c r="S59">
        <v>20.5602560245581</v>
      </c>
      <c r="AA59">
        <v>1.52294326453564</v>
      </c>
      <c r="AB59">
        <v>9.0189136747924792</v>
      </c>
      <c r="AC59">
        <v>2.72954311018285</v>
      </c>
      <c r="AJ59">
        <v>0.773735175558254</v>
      </c>
      <c r="AK59">
        <v>7.2199239992364994E-2</v>
      </c>
      <c r="AL59">
        <v>0.15406558444938001</v>
      </c>
    </row>
    <row r="60" spans="1:38" x14ac:dyDescent="0.2">
      <c r="A60">
        <v>52</v>
      </c>
      <c r="B60">
        <v>746</v>
      </c>
      <c r="C60">
        <v>225</v>
      </c>
      <c r="D60">
        <v>0.34832998086640898</v>
      </c>
      <c r="E60">
        <v>23.455015995381601</v>
      </c>
      <c r="F60">
        <v>2.5251508081320102</v>
      </c>
      <c r="G60">
        <v>-371.39619965167276</v>
      </c>
      <c r="H60">
        <v>-321.96658361123832</v>
      </c>
      <c r="I60">
        <v>48.500825237142998</v>
      </c>
      <c r="J60">
        <v>28.078792581597</v>
      </c>
      <c r="K60">
        <v>9.2885604771988106</v>
      </c>
      <c r="L60">
        <v>2.9333305909827321E-5</v>
      </c>
      <c r="M60">
        <v>1.8058512931582812E-6</v>
      </c>
      <c r="N60" s="1">
        <v>-2.5401205084689102E-7</v>
      </c>
      <c r="O60" s="1">
        <v>8.7537588440376398E-11</v>
      </c>
      <c r="P60" s="1">
        <v>9.2362891283332495E-10</v>
      </c>
      <c r="Q60">
        <v>66.283006509721105</v>
      </c>
      <c r="S60">
        <v>19.0722537401114</v>
      </c>
      <c r="AA60">
        <v>0.26857119755294501</v>
      </c>
      <c r="AB60">
        <v>5.37344165263604</v>
      </c>
      <c r="AC60">
        <v>9.0027268999783807</v>
      </c>
      <c r="AJ60">
        <v>0.46950167872905302</v>
      </c>
      <c r="AK60">
        <v>1.2967457640246099E-2</v>
      </c>
      <c r="AL60">
        <v>0.517530863630699</v>
      </c>
    </row>
    <row r="61" spans="1:38" x14ac:dyDescent="0.2">
      <c r="A61">
        <v>53</v>
      </c>
      <c r="B61">
        <v>745</v>
      </c>
      <c r="C61">
        <v>225</v>
      </c>
      <c r="D61">
        <v>0.347621175661739</v>
      </c>
      <c r="E61">
        <v>28.962909786812201</v>
      </c>
      <c r="F61">
        <v>2.5607239456543698</v>
      </c>
      <c r="G61">
        <v>-467.41373324742545</v>
      </c>
      <c r="H61">
        <v>-405.68590765307499</v>
      </c>
      <c r="I61">
        <v>60.627437601876302</v>
      </c>
      <c r="J61">
        <v>35.522034872661798</v>
      </c>
      <c r="K61">
        <v>11.310438142292901</v>
      </c>
      <c r="L61">
        <v>3.2161439816804808E-5</v>
      </c>
      <c r="M61">
        <v>1.8321061882415668E-6</v>
      </c>
      <c r="N61" s="1">
        <v>-5.9645376650417797E-7</v>
      </c>
      <c r="O61" s="1">
        <v>1.0018895833594501E-10</v>
      </c>
      <c r="P61" s="1">
        <v>1.9693979631472302E-9</v>
      </c>
      <c r="Q61">
        <v>66.1647329100376</v>
      </c>
      <c r="S61">
        <v>20.567078534441801</v>
      </c>
      <c r="AA61">
        <v>1.52941448623958</v>
      </c>
      <c r="AB61">
        <v>9.0287528161362403</v>
      </c>
      <c r="AC61">
        <v>2.7100212531447099</v>
      </c>
      <c r="AJ61">
        <v>0.77454132412298704</v>
      </c>
      <c r="AK61">
        <v>7.2502472964776202E-2</v>
      </c>
      <c r="AL61">
        <v>0.152956202912235</v>
      </c>
    </row>
    <row r="62" spans="1:38" x14ac:dyDescent="0.2">
      <c r="A62">
        <v>53</v>
      </c>
      <c r="B62">
        <v>745</v>
      </c>
      <c r="C62">
        <v>225</v>
      </c>
      <c r="D62">
        <v>0.347621175661739</v>
      </c>
      <c r="E62">
        <v>26.552122930088</v>
      </c>
      <c r="F62">
        <v>2.52512523122008</v>
      </c>
      <c r="G62">
        <v>-420.34082399801298</v>
      </c>
      <c r="H62">
        <v>-364.47696503818884</v>
      </c>
      <c r="I62">
        <v>54.868004674973299</v>
      </c>
      <c r="J62">
        <v>31.790438122862401</v>
      </c>
      <c r="K62">
        <v>10.5151707336346</v>
      </c>
      <c r="L62">
        <v>2.934546599643955E-5</v>
      </c>
      <c r="M62">
        <v>1.8058064567765069E-6</v>
      </c>
      <c r="N62" s="1">
        <v>-2.9623839647798701E-7</v>
      </c>
      <c r="O62" s="1">
        <v>9.9043844492790805E-11</v>
      </c>
      <c r="P62" s="1">
        <v>1.0703570673239901E-9</v>
      </c>
      <c r="Q62">
        <v>66.279298265437106</v>
      </c>
      <c r="S62">
        <v>19.067461176249701</v>
      </c>
      <c r="AA62">
        <v>0.26548255140379301</v>
      </c>
      <c r="AB62">
        <v>5.3526136998377298</v>
      </c>
      <c r="AC62">
        <v>9.0351443070716595</v>
      </c>
      <c r="AJ62">
        <v>0.46773115239162899</v>
      </c>
      <c r="AK62">
        <v>1.28196795103778E-2</v>
      </c>
      <c r="AL62">
        <v>0.51944916809799202</v>
      </c>
    </row>
    <row r="63" spans="1:38" x14ac:dyDescent="0.2">
      <c r="A63">
        <v>54</v>
      </c>
      <c r="B63">
        <v>744</v>
      </c>
      <c r="C63">
        <v>225</v>
      </c>
      <c r="D63">
        <v>0.34691097674876298</v>
      </c>
      <c r="E63">
        <v>29.829998757176298</v>
      </c>
      <c r="F63">
        <v>2.5609226285486799</v>
      </c>
      <c r="G63">
        <v>-481.36976810722621</v>
      </c>
      <c r="H63">
        <v>-417.89214544633614</v>
      </c>
      <c r="I63">
        <v>62.407336834183802</v>
      </c>
      <c r="J63">
        <v>36.606128069302301</v>
      </c>
      <c r="K63">
        <v>11.648145252276301</v>
      </c>
      <c r="L63">
        <v>3.222338306623776E-5</v>
      </c>
      <c r="M63">
        <v>1.8323995524385264E-6</v>
      </c>
      <c r="N63" s="1">
        <v>-6.3483311644120305E-7</v>
      </c>
      <c r="O63" s="1">
        <v>1.0300071630597E-10</v>
      </c>
      <c r="P63" s="1">
        <v>2.0870016501792298E-9</v>
      </c>
      <c r="Q63">
        <v>66.1634647566691</v>
      </c>
      <c r="S63">
        <v>20.5717991637162</v>
      </c>
      <c r="AA63">
        <v>1.5336049599781501</v>
      </c>
      <c r="AB63">
        <v>9.0383025477167607</v>
      </c>
      <c r="AC63">
        <v>2.6928285719197</v>
      </c>
      <c r="AJ63">
        <v>0.77532371975196002</v>
      </c>
      <c r="AK63">
        <v>7.2697669831361195E-2</v>
      </c>
      <c r="AL63">
        <v>0.15197861041667701</v>
      </c>
    </row>
    <row r="64" spans="1:38" x14ac:dyDescent="0.2">
      <c r="A64">
        <v>54</v>
      </c>
      <c r="B64">
        <v>744</v>
      </c>
      <c r="C64">
        <v>225</v>
      </c>
      <c r="D64">
        <v>0.34691097674876298</v>
      </c>
      <c r="E64">
        <v>28.435454924134</v>
      </c>
      <c r="F64">
        <v>2.52510577136065</v>
      </c>
      <c r="G64">
        <v>-450.05665361776306</v>
      </c>
      <c r="H64">
        <v>-390.32896654479515</v>
      </c>
      <c r="I64">
        <v>58.720628297662998</v>
      </c>
      <c r="J64">
        <v>34.050360149786599</v>
      </c>
      <c r="K64">
        <v>11.261094583301899</v>
      </c>
      <c r="L64">
        <v>2.9360170101112093E-5</v>
      </c>
      <c r="M64">
        <v>1.8057908156327105E-6</v>
      </c>
      <c r="N64" s="1">
        <v>-3.2699936910424899E-7</v>
      </c>
      <c r="O64" s="1">
        <v>1.06007627514315E-10</v>
      </c>
      <c r="P64" s="1">
        <v>1.1740665541544001E-9</v>
      </c>
      <c r="Q64">
        <v>66.276314248057403</v>
      </c>
      <c r="S64">
        <v>19.062882816974199</v>
      </c>
      <c r="AA64">
        <v>0.26240163778430797</v>
      </c>
      <c r="AB64">
        <v>5.3339612130359004</v>
      </c>
      <c r="AC64">
        <v>9.0644400841480692</v>
      </c>
      <c r="AJ64">
        <v>0.466145242683428</v>
      </c>
      <c r="AK64">
        <v>1.26721041807701E-2</v>
      </c>
      <c r="AL64">
        <v>0.52118265313580003</v>
      </c>
    </row>
    <row r="65" spans="1:38" x14ac:dyDescent="0.2">
      <c r="A65">
        <v>55</v>
      </c>
      <c r="B65">
        <v>743</v>
      </c>
      <c r="C65">
        <v>225</v>
      </c>
      <c r="D65">
        <v>0.34619938001279399</v>
      </c>
      <c r="E65">
        <v>30.348584238759098</v>
      </c>
      <c r="F65">
        <v>2.5611003012814102</v>
      </c>
      <c r="G65">
        <v>-489.69788819393892</v>
      </c>
      <c r="H65">
        <v>-425.21658033832335</v>
      </c>
      <c r="I65">
        <v>63.456485612966098</v>
      </c>
      <c r="J65">
        <v>37.264187945654299</v>
      </c>
      <c r="K65">
        <v>11.8498226030329</v>
      </c>
      <c r="L65">
        <v>3.2287473471442816E-5</v>
      </c>
      <c r="M65">
        <v>1.8327252518947665E-6</v>
      </c>
      <c r="N65" s="1">
        <v>-6.6746743772067998E-7</v>
      </c>
      <c r="O65" s="1">
        <v>1.04598564704844E-10</v>
      </c>
      <c r="P65" s="1">
        <v>2.1849452247999701E-9</v>
      </c>
      <c r="Q65">
        <v>66.163676518907195</v>
      </c>
      <c r="S65">
        <v>20.5751918648293</v>
      </c>
      <c r="AA65">
        <v>1.53635456131165</v>
      </c>
      <c r="AB65">
        <v>9.0476688555595093</v>
      </c>
      <c r="AC65">
        <v>2.6771081993921699</v>
      </c>
      <c r="AJ65">
        <v>0.77609103817473502</v>
      </c>
      <c r="AK65">
        <v>7.2824618117721604E-2</v>
      </c>
      <c r="AL65">
        <v>0.15108434370754201</v>
      </c>
    </row>
    <row r="66" spans="1:38" x14ac:dyDescent="0.2">
      <c r="A66">
        <v>55</v>
      </c>
      <c r="B66">
        <v>743</v>
      </c>
      <c r="C66">
        <v>225</v>
      </c>
      <c r="D66">
        <v>0.34619938001279399</v>
      </c>
      <c r="E66">
        <v>29.482669432165199</v>
      </c>
      <c r="F66">
        <v>2.5250904150089002</v>
      </c>
      <c r="G66">
        <v>-466.53160843777738</v>
      </c>
      <c r="H66">
        <v>-404.7060428002772</v>
      </c>
      <c r="I66">
        <v>60.842951963292997</v>
      </c>
      <c r="J66">
        <v>35.3102025570496</v>
      </c>
      <c r="K66">
        <v>11.675886636344901</v>
      </c>
      <c r="L66">
        <v>2.9376786484166009E-5</v>
      </c>
      <c r="M66">
        <v>1.8057941805774675E-6</v>
      </c>
      <c r="N66" s="1">
        <v>-3.4957181533078902E-7</v>
      </c>
      <c r="O66" s="1">
        <v>1.0984372618421801E-10</v>
      </c>
      <c r="P66" s="1">
        <v>1.2473027499120501E-9</v>
      </c>
      <c r="Q66">
        <v>66.273769979436196</v>
      </c>
      <c r="S66">
        <v>19.0584496791726</v>
      </c>
      <c r="AA66">
        <v>0.25933792400663802</v>
      </c>
      <c r="AB66">
        <v>5.3166693997374299</v>
      </c>
      <c r="AC66">
        <v>9.0917730176470997</v>
      </c>
      <c r="AJ66">
        <v>0.46467475747737502</v>
      </c>
      <c r="AK66">
        <v>1.25252454532764E-2</v>
      </c>
      <c r="AL66">
        <v>0.52279999706934699</v>
      </c>
    </row>
    <row r="67" spans="1:38" x14ac:dyDescent="0.2">
      <c r="A67">
        <v>57</v>
      </c>
      <c r="B67">
        <v>771</v>
      </c>
      <c r="C67">
        <v>200</v>
      </c>
      <c r="D67">
        <v>0.391946080543984</v>
      </c>
      <c r="E67">
        <v>0.24190260993425999</v>
      </c>
      <c r="F67">
        <v>2.5738187795871901</v>
      </c>
      <c r="G67">
        <v>-3.9372144178260884</v>
      </c>
      <c r="H67">
        <v>-3.4010911464633908</v>
      </c>
      <c r="I67">
        <v>0.51345426553914297</v>
      </c>
      <c r="J67">
        <v>0.29480543911476698</v>
      </c>
      <c r="K67">
        <v>9.3985874939127398E-2</v>
      </c>
      <c r="L67">
        <v>3.1097389436658008E-5</v>
      </c>
      <c r="M67">
        <v>1.8115057302042874E-6</v>
      </c>
      <c r="N67" s="1">
        <v>-2.2847090467176801E-9</v>
      </c>
      <c r="O67" s="1">
        <v>8.3599271291378499E-13</v>
      </c>
      <c r="P67" s="1">
        <v>8.7042930981563304E-12</v>
      </c>
      <c r="Q67">
        <v>65.148134542151993</v>
      </c>
      <c r="S67">
        <v>21.570800705389001</v>
      </c>
      <c r="AA67">
        <v>2.5947048859201498</v>
      </c>
      <c r="AB67">
        <v>9.3947060250528907</v>
      </c>
      <c r="AC67">
        <v>1.2916538414858101</v>
      </c>
      <c r="AJ67">
        <v>0.80445468463967096</v>
      </c>
      <c r="AK67">
        <v>0.12277703752821099</v>
      </c>
      <c r="AL67">
        <v>7.2768277832116604E-2</v>
      </c>
    </row>
    <row r="68" spans="1:38" x14ac:dyDescent="0.2">
      <c r="A68">
        <v>58</v>
      </c>
      <c r="B68">
        <v>770</v>
      </c>
      <c r="C68">
        <v>200</v>
      </c>
      <c r="D68">
        <v>0.39129607439006903</v>
      </c>
      <c r="E68">
        <v>0.70858940724432296</v>
      </c>
      <c r="F68">
        <v>2.5733704475239199</v>
      </c>
      <c r="G68">
        <v>-11.530611693539493</v>
      </c>
      <c r="H68">
        <v>-9.9624118439230944</v>
      </c>
      <c r="I68">
        <v>1.5033311121280599</v>
      </c>
      <c r="J68">
        <v>0.86376751836274901</v>
      </c>
      <c r="K68">
        <v>0.27535460661177702</v>
      </c>
      <c r="L68">
        <v>3.1147676427373016E-5</v>
      </c>
      <c r="M68">
        <v>1.8128407971242402E-6</v>
      </c>
      <c r="N68" s="1">
        <v>-6.9112830449705796E-9</v>
      </c>
      <c r="O68" s="1">
        <v>2.4494994708878498E-12</v>
      </c>
      <c r="P68" s="1">
        <v>2.6132052573033302E-11</v>
      </c>
      <c r="Q68">
        <v>65.202011664483805</v>
      </c>
      <c r="S68">
        <v>21.529580675644699</v>
      </c>
      <c r="AA68">
        <v>2.5481264493730298</v>
      </c>
      <c r="AB68">
        <v>9.40670463644914</v>
      </c>
      <c r="AC68">
        <v>1.31357657404923</v>
      </c>
      <c r="AJ68">
        <v>0.80543500771082099</v>
      </c>
      <c r="AK68">
        <v>0.12056597440929499</v>
      </c>
      <c r="AL68">
        <v>7.3999017879883097E-2</v>
      </c>
    </row>
    <row r="69" spans="1:38" x14ac:dyDescent="0.2">
      <c r="A69">
        <v>59</v>
      </c>
      <c r="B69">
        <v>769</v>
      </c>
      <c r="C69">
        <v>200</v>
      </c>
      <c r="D69">
        <v>0.390644820803149</v>
      </c>
      <c r="E69">
        <v>1.1769955116195201</v>
      </c>
      <c r="F69">
        <v>2.57293143669524</v>
      </c>
      <c r="G69">
        <v>-19.148802177278668</v>
      </c>
      <c r="H69">
        <v>-16.547672791673957</v>
      </c>
      <c r="I69">
        <v>2.4959261004698998</v>
      </c>
      <c r="J69">
        <v>1.43511423386201</v>
      </c>
      <c r="K69">
        <v>0.45745311936150801</v>
      </c>
      <c r="L69">
        <v>3.1197790311333256E-5</v>
      </c>
      <c r="M69">
        <v>1.8141405206610124E-6</v>
      </c>
      <c r="N69" s="1">
        <v>-1.18535804740084E-8</v>
      </c>
      <c r="O69" s="1">
        <v>4.0696715520988501E-12</v>
      </c>
      <c r="P69" s="1">
        <v>4.44902705402371E-11</v>
      </c>
      <c r="Q69">
        <v>65.254384433725306</v>
      </c>
      <c r="S69">
        <v>21.4893387949298</v>
      </c>
      <c r="AA69">
        <v>2.5027060160185002</v>
      </c>
      <c r="AB69">
        <v>9.4179152224928799</v>
      </c>
      <c r="AC69">
        <v>1.33565553283331</v>
      </c>
      <c r="AJ69">
        <v>0.80635087593990495</v>
      </c>
      <c r="AK69">
        <v>0.118410417733207</v>
      </c>
      <c r="AL69">
        <v>7.5238706326886604E-2</v>
      </c>
    </row>
    <row r="70" spans="1:38" x14ac:dyDescent="0.2">
      <c r="A70">
        <v>60</v>
      </c>
      <c r="B70">
        <v>768</v>
      </c>
      <c r="C70">
        <v>200</v>
      </c>
      <c r="D70">
        <v>0.38999231618883101</v>
      </c>
      <c r="E70">
        <v>1.6468333524957699</v>
      </c>
      <c r="F70">
        <v>2.5725018155858002</v>
      </c>
      <c r="G70">
        <v>-26.787089590267193</v>
      </c>
      <c r="H70">
        <v>-23.152838210823116</v>
      </c>
      <c r="I70">
        <v>3.4906126681497098</v>
      </c>
      <c r="J70">
        <v>2.0085056445335501</v>
      </c>
      <c r="K70">
        <v>0.64016800397117002</v>
      </c>
      <c r="L70">
        <v>3.1247759293228302E-5</v>
      </c>
      <c r="M70">
        <v>1.8154052146112964E-6</v>
      </c>
      <c r="N70" s="1">
        <v>-1.7122883164649599E-8</v>
      </c>
      <c r="O70" s="1">
        <v>5.69530360954789E-12</v>
      </c>
      <c r="P70" s="1">
        <v>6.3808421721573E-11</v>
      </c>
      <c r="Q70">
        <v>65.305258696142303</v>
      </c>
      <c r="S70">
        <v>21.450074229634399</v>
      </c>
      <c r="AA70">
        <v>2.45844153397351</v>
      </c>
      <c r="AB70">
        <v>9.4283486258564206</v>
      </c>
      <c r="AC70">
        <v>1.3578769143932099</v>
      </c>
      <c r="AJ70">
        <v>0.80720319549369801</v>
      </c>
      <c r="AK70">
        <v>0.116310229994154</v>
      </c>
      <c r="AL70">
        <v>7.6486574512147104E-2</v>
      </c>
    </row>
    <row r="71" spans="1:38" x14ac:dyDescent="0.2">
      <c r="A71">
        <v>61</v>
      </c>
      <c r="B71">
        <v>767</v>
      </c>
      <c r="C71">
        <v>200</v>
      </c>
      <c r="D71">
        <v>0.38933855693890601</v>
      </c>
      <c r="E71">
        <v>2.11781191328128</v>
      </c>
      <c r="F71">
        <v>2.5720816304781402</v>
      </c>
      <c r="G71">
        <v>-34.44072688414451</v>
      </c>
      <c r="H71">
        <v>-29.773825321910856</v>
      </c>
      <c r="I71">
        <v>4.4867582197122102</v>
      </c>
      <c r="J71">
        <v>2.5835979191566398</v>
      </c>
      <c r="K71">
        <v>0.82338440902732302</v>
      </c>
      <c r="L71">
        <v>3.1297614381263016E-5</v>
      </c>
      <c r="M71">
        <v>1.8166352741567881E-6</v>
      </c>
      <c r="N71" s="1">
        <v>-2.2730736038707601E-8</v>
      </c>
      <c r="O71" s="1">
        <v>7.3251718644750196E-12</v>
      </c>
      <c r="P71" s="1">
        <v>8.4116637747796096E-11</v>
      </c>
      <c r="Q71">
        <v>65.354643596646596</v>
      </c>
      <c r="S71">
        <v>21.411783929953501</v>
      </c>
      <c r="AA71">
        <v>2.41532835327759</v>
      </c>
      <c r="AB71">
        <v>9.4380172300254497</v>
      </c>
      <c r="AC71">
        <v>1.38022689009677</v>
      </c>
      <c r="AJ71">
        <v>0.80799299648382905</v>
      </c>
      <c r="AK71">
        <v>0.11426515166675601</v>
      </c>
      <c r="AL71">
        <v>7.7741851849414498E-2</v>
      </c>
    </row>
    <row r="72" spans="1:38" x14ac:dyDescent="0.2">
      <c r="A72">
        <v>62</v>
      </c>
      <c r="B72">
        <v>766</v>
      </c>
      <c r="C72">
        <v>200</v>
      </c>
      <c r="D72">
        <v>0.38868353943126899</v>
      </c>
      <c r="E72">
        <v>2.58963858691367</v>
      </c>
      <c r="F72">
        <v>2.57167090573274</v>
      </c>
      <c r="G72">
        <v>-42.104946437306339</v>
      </c>
      <c r="H72">
        <v>-36.406530357162907</v>
      </c>
      <c r="I72">
        <v>5.4837281240854798</v>
      </c>
      <c r="J72">
        <v>3.16004562458218</v>
      </c>
      <c r="K72">
        <v>1.0069867731290501</v>
      </c>
      <c r="L72">
        <v>3.1347389318288995E-5</v>
      </c>
      <c r="M72">
        <v>1.8178311719782219E-6</v>
      </c>
      <c r="N72" s="1">
        <v>-2.8688973516624302E-8</v>
      </c>
      <c r="O72" s="1">
        <v>8.9580410884063002E-12</v>
      </c>
      <c r="P72" s="1">
        <v>1.05445795725787E-10</v>
      </c>
      <c r="Q72">
        <v>65.402551438952102</v>
      </c>
      <c r="S72">
        <v>21.374462705967499</v>
      </c>
      <c r="AA72">
        <v>2.3733593212905699</v>
      </c>
      <c r="AB72">
        <v>9.4469348471181007</v>
      </c>
      <c r="AC72">
        <v>1.40269168667158</v>
      </c>
      <c r="AJ72">
        <v>0.80872142382515999</v>
      </c>
      <c r="AK72">
        <v>0.112274805848063</v>
      </c>
      <c r="AL72">
        <v>7.9003770326776301E-2</v>
      </c>
    </row>
    <row r="73" spans="1:38" x14ac:dyDescent="0.2">
      <c r="A73">
        <v>63</v>
      </c>
      <c r="B73">
        <v>765</v>
      </c>
      <c r="C73">
        <v>200</v>
      </c>
      <c r="D73">
        <v>0.38802726002986099</v>
      </c>
      <c r="E73">
        <v>3.06202099452514</v>
      </c>
      <c r="F73">
        <v>2.5712696442943699</v>
      </c>
      <c r="G73">
        <v>-49.774989599728215</v>
      </c>
      <c r="H73">
        <v>-43.046854041100076</v>
      </c>
      <c r="I73">
        <v>6.4808896196389103</v>
      </c>
      <c r="J73">
        <v>3.7375039705934201</v>
      </c>
      <c r="K73">
        <v>1.1908595433853999</v>
      </c>
      <c r="L73">
        <v>3.1397120497858454E-5</v>
      </c>
      <c r="M73">
        <v>1.8189934537333405E-6</v>
      </c>
      <c r="N73" s="1">
        <v>-3.5009748787929403E-8</v>
      </c>
      <c r="O73" s="1">
        <v>1.05926714515924E-11</v>
      </c>
      <c r="P73" s="1">
        <v>1.27827614599046E-10</v>
      </c>
      <c r="Q73">
        <v>65.448997517708307</v>
      </c>
      <c r="S73">
        <v>21.338103323483899</v>
      </c>
      <c r="AA73">
        <v>2.3325249009321101</v>
      </c>
      <c r="AB73">
        <v>9.4551165950640605</v>
      </c>
      <c r="AC73">
        <v>1.4252576628114799</v>
      </c>
      <c r="AJ73">
        <v>0.80938972724269798</v>
      </c>
      <c r="AK73">
        <v>0.110338703965583</v>
      </c>
      <c r="AL73">
        <v>8.0271568791717401E-2</v>
      </c>
    </row>
    <row r="74" spans="1:38" x14ac:dyDescent="0.2">
      <c r="A74">
        <v>64</v>
      </c>
      <c r="B74">
        <v>764</v>
      </c>
      <c r="C74">
        <v>200</v>
      </c>
      <c r="D74">
        <v>0.38736971508460899</v>
      </c>
      <c r="E74">
        <v>3.5346687390669498</v>
      </c>
      <c r="F74">
        <v>2.5708778284039302</v>
      </c>
      <c r="G74">
        <v>-57.446135131128166</v>
      </c>
      <c r="H74">
        <v>-49.690726145861753</v>
      </c>
      <c r="I74">
        <v>7.4776155669540696</v>
      </c>
      <c r="J74">
        <v>4.3156309768959096</v>
      </c>
      <c r="K74">
        <v>1.37488786904407</v>
      </c>
      <c r="L74">
        <v>3.1446846868490776E-5</v>
      </c>
      <c r="M74">
        <v>1.8201227330210805E-6</v>
      </c>
      <c r="N74" s="1">
        <v>-4.1705565705292002E-8</v>
      </c>
      <c r="O74" s="1">
        <v>1.2227825129294899E-11</v>
      </c>
      <c r="P74" s="1">
        <v>1.51294758333238E-10</v>
      </c>
      <c r="Q74">
        <v>65.493999927297693</v>
      </c>
      <c r="S74">
        <v>21.302696616819301</v>
      </c>
      <c r="AA74">
        <v>2.2928133083427502</v>
      </c>
      <c r="AB74">
        <v>9.4625787671937793</v>
      </c>
      <c r="AC74">
        <v>1.4479113803464401</v>
      </c>
      <c r="AJ74">
        <v>0.80999925067441003</v>
      </c>
      <c r="AK74">
        <v>0.10845625238831701</v>
      </c>
      <c r="AL74">
        <v>8.1544496937271393E-2</v>
      </c>
    </row>
    <row r="75" spans="1:38" x14ac:dyDescent="0.2">
      <c r="A75">
        <v>65</v>
      </c>
      <c r="B75">
        <v>763</v>
      </c>
      <c r="C75">
        <v>200</v>
      </c>
      <c r="D75">
        <v>0.38671090093133698</v>
      </c>
      <c r="E75">
        <v>4.0072950697391798</v>
      </c>
      <c r="F75">
        <v>2.5704954205063801</v>
      </c>
      <c r="G75">
        <v>-65.11372614353705</v>
      </c>
      <c r="H75">
        <v>-56.334128784228419</v>
      </c>
      <c r="I75">
        <v>8.4732879981746105</v>
      </c>
      <c r="J75">
        <v>4.8940895326112202</v>
      </c>
      <c r="K75">
        <v>1.5589582606413499</v>
      </c>
      <c r="L75">
        <v>3.1496609829363695E-5</v>
      </c>
      <c r="M75">
        <v>1.821219685938468E-6</v>
      </c>
      <c r="N75" s="1">
        <v>-4.8789313043305398E-8</v>
      </c>
      <c r="O75" s="1">
        <v>1.3862272571840999E-11</v>
      </c>
      <c r="P75" s="1">
        <v>1.7588094493377601E-10</v>
      </c>
      <c r="Q75">
        <v>65.537579351146306</v>
      </c>
      <c r="S75">
        <v>21.268231616487299</v>
      </c>
      <c r="AA75">
        <v>2.2542106673893199</v>
      </c>
      <c r="AB75">
        <v>9.4693386974790492</v>
      </c>
      <c r="AC75">
        <v>1.47063966749796</v>
      </c>
      <c r="AJ75">
        <v>0.81055142133264002</v>
      </c>
      <c r="AK75">
        <v>0.106626759818017</v>
      </c>
      <c r="AL75">
        <v>8.2821818849342005E-2</v>
      </c>
    </row>
    <row r="76" spans="1:38" x14ac:dyDescent="0.2">
      <c r="A76">
        <v>66</v>
      </c>
      <c r="B76">
        <v>762</v>
      </c>
      <c r="C76">
        <v>200</v>
      </c>
      <c r="D76">
        <v>0.38605081389170998</v>
      </c>
      <c r="E76">
        <v>4.4796184385061197</v>
      </c>
      <c r="F76">
        <v>2.5701223642943201</v>
      </c>
      <c r="G76">
        <v>-72.773195247412872</v>
      </c>
      <c r="H76">
        <v>-62.973118178752763</v>
      </c>
      <c r="I76">
        <v>9.4673014236198796</v>
      </c>
      <c r="J76">
        <v>5.4725493252256898</v>
      </c>
      <c r="K76">
        <v>1.7429592072111599</v>
      </c>
      <c r="L76">
        <v>3.1546453119335753E-5</v>
      </c>
      <c r="M76">
        <v>1.8222850453531043E-6</v>
      </c>
      <c r="N76" s="1">
        <v>-5.6274300848149E-8</v>
      </c>
      <c r="O76" s="1">
        <v>1.5494798365497102E-11</v>
      </c>
      <c r="P76" s="1">
        <v>2.0162106030182599E-10</v>
      </c>
      <c r="Q76">
        <v>65.579758837324505</v>
      </c>
      <c r="S76">
        <v>21.234695687055002</v>
      </c>
      <c r="AA76">
        <v>2.2167011757580601</v>
      </c>
      <c r="AB76">
        <v>9.4754146218784605</v>
      </c>
      <c r="AC76">
        <v>1.49342967798389</v>
      </c>
      <c r="AJ76">
        <v>0.81104773845923905</v>
      </c>
      <c r="AK76">
        <v>0.10484944521301499</v>
      </c>
      <c r="AL76">
        <v>8.41028163277448E-2</v>
      </c>
    </row>
    <row r="77" spans="1:38" x14ac:dyDescent="0.2">
      <c r="A77">
        <v>67</v>
      </c>
      <c r="B77">
        <v>761</v>
      </c>
      <c r="C77">
        <v>200</v>
      </c>
      <c r="D77">
        <v>0.38538945027317301</v>
      </c>
      <c r="E77">
        <v>5.6419021474637203</v>
      </c>
      <c r="F77">
        <v>2.56915126639203</v>
      </c>
      <c r="G77">
        <v>-91.621010411203486</v>
      </c>
      <c r="H77">
        <v>-79.295662286634197</v>
      </c>
      <c r="I77">
        <v>11.9183369187925</v>
      </c>
      <c r="J77">
        <v>6.89406595024679</v>
      </c>
      <c r="K77">
        <v>2.1960178916934199</v>
      </c>
      <c r="L77">
        <v>3.1600709731542548E-5</v>
      </c>
      <c r="M77">
        <v>1.824036321943565E-6</v>
      </c>
      <c r="N77" s="1">
        <v>-7.3025105334704703E-8</v>
      </c>
      <c r="O77" s="1">
        <v>1.9534298022071E-11</v>
      </c>
      <c r="P77" s="1">
        <v>2.6011709993483102E-10</v>
      </c>
      <c r="Q77">
        <v>65.66089241409</v>
      </c>
      <c r="S77">
        <v>21.163504610805401</v>
      </c>
      <c r="AA77">
        <v>2.1390363979426401</v>
      </c>
      <c r="AB77">
        <v>9.4695797856322894</v>
      </c>
      <c r="AC77">
        <v>1.5669867915295099</v>
      </c>
      <c r="AJ77">
        <v>0.81057308796018002</v>
      </c>
      <c r="AK77">
        <v>0.101179012854431</v>
      </c>
      <c r="AL77">
        <v>8.8247899185388196E-2</v>
      </c>
    </row>
    <row r="78" spans="1:38" x14ac:dyDescent="0.2">
      <c r="A78">
        <v>68</v>
      </c>
      <c r="B78">
        <v>760</v>
      </c>
      <c r="C78">
        <v>200</v>
      </c>
      <c r="D78">
        <v>0.38472680636887402</v>
      </c>
      <c r="E78">
        <v>7.06321824781753</v>
      </c>
      <c r="F78">
        <v>2.5679614424675301</v>
      </c>
      <c r="G78">
        <v>-114.65128534652959</v>
      </c>
      <c r="H78">
        <v>-99.242752619643795</v>
      </c>
      <c r="I78">
        <v>14.9141293392883</v>
      </c>
      <c r="J78">
        <v>8.6324288069063293</v>
      </c>
      <c r="K78">
        <v>2.7505156935029902</v>
      </c>
      <c r="L78">
        <v>3.1651363973633607E-5</v>
      </c>
      <c r="M78">
        <v>1.8258811202074789E-6</v>
      </c>
      <c r="N78" s="1">
        <v>-9.4080045663018398E-8</v>
      </c>
      <c r="O78" s="1">
        <v>2.4488262629176201E-11</v>
      </c>
      <c r="P78" s="1">
        <v>3.3327295737564799E-10</v>
      </c>
      <c r="Q78">
        <v>65.750972609755493</v>
      </c>
      <c r="S78">
        <v>21.0808717737793</v>
      </c>
      <c r="AA78">
        <v>2.0498444791201198</v>
      </c>
      <c r="AB78">
        <v>9.4536859464998493</v>
      </c>
      <c r="AC78">
        <v>1.6646251908451799</v>
      </c>
      <c r="AJ78">
        <v>0.80927789357064495</v>
      </c>
      <c r="AK78">
        <v>9.6967948886627298E-2</v>
      </c>
      <c r="AL78">
        <v>9.3754157542727007E-2</v>
      </c>
    </row>
    <row r="79" spans="1:38" x14ac:dyDescent="0.2">
      <c r="A79">
        <v>69</v>
      </c>
      <c r="B79">
        <v>759</v>
      </c>
      <c r="C79">
        <v>200</v>
      </c>
      <c r="D79">
        <v>0.38406287845759102</v>
      </c>
      <c r="E79">
        <v>8.5343992654317695</v>
      </c>
      <c r="F79">
        <v>2.5667330595375502</v>
      </c>
      <c r="G79">
        <v>-138.46587874761582</v>
      </c>
      <c r="H79">
        <v>-119.87465727639071</v>
      </c>
      <c r="I79">
        <v>18.0121314452599</v>
      </c>
      <c r="J79">
        <v>10.4320149859082</v>
      </c>
      <c r="K79">
        <v>3.32500461382977</v>
      </c>
      <c r="L79">
        <v>3.1695602371842999E-5</v>
      </c>
      <c r="M79">
        <v>1.8275669122315554E-6</v>
      </c>
      <c r="N79" s="1">
        <v>-1.16865501828587E-7</v>
      </c>
      <c r="O79" s="1">
        <v>2.9629340162288499E-11</v>
      </c>
      <c r="P79" s="1">
        <v>4.1182659644212601E-10</v>
      </c>
      <c r="Q79">
        <v>65.836702894036804</v>
      </c>
      <c r="S79">
        <v>20.998813221515</v>
      </c>
      <c r="AA79">
        <v>1.96214134346078</v>
      </c>
      <c r="AB79">
        <v>9.4296041252461205</v>
      </c>
      <c r="AC79">
        <v>1.77273841574123</v>
      </c>
      <c r="AJ79">
        <v>0.80731423953496095</v>
      </c>
      <c r="AK79">
        <v>9.2830402013782204E-2</v>
      </c>
      <c r="AL79">
        <v>9.9855358451255899E-2</v>
      </c>
    </row>
    <row r="80" spans="1:38" x14ac:dyDescent="0.2">
      <c r="A80">
        <v>70</v>
      </c>
      <c r="B80">
        <v>758</v>
      </c>
      <c r="C80">
        <v>200</v>
      </c>
      <c r="D80">
        <v>0.383397662803666</v>
      </c>
      <c r="E80">
        <v>10.067201263093899</v>
      </c>
      <c r="F80">
        <v>2.5654506081864001</v>
      </c>
      <c r="G80">
        <v>-163.25093656279591</v>
      </c>
      <c r="H80">
        <v>-141.35264641205586</v>
      </c>
      <c r="I80">
        <v>21.2367649233768</v>
      </c>
      <c r="J80">
        <v>12.306922522821999</v>
      </c>
      <c r="K80">
        <v>3.92414542340798</v>
      </c>
      <c r="L80">
        <v>3.1732372501025143E-5</v>
      </c>
      <c r="M80">
        <v>1.829083225477402E-6</v>
      </c>
      <c r="N80" s="1">
        <v>-1.41559766896836E-7</v>
      </c>
      <c r="O80" s="1">
        <v>3.5000520999646198E-11</v>
      </c>
      <c r="P80" s="1">
        <v>4.96384350617738E-10</v>
      </c>
      <c r="Q80">
        <v>65.918151405100204</v>
      </c>
      <c r="S80">
        <v>20.916747251489699</v>
      </c>
      <c r="AA80">
        <v>1.8754311813173701</v>
      </c>
      <c r="AB80">
        <v>9.3959611553310403</v>
      </c>
      <c r="AC80">
        <v>1.8937090067615601</v>
      </c>
      <c r="AJ80">
        <v>0.80456954623729704</v>
      </c>
      <c r="AK80">
        <v>8.8743039637697196E-2</v>
      </c>
      <c r="AL80">
        <v>0.106687414125005</v>
      </c>
    </row>
    <row r="81" spans="1:38" x14ac:dyDescent="0.2">
      <c r="A81">
        <v>71</v>
      </c>
      <c r="B81">
        <v>757</v>
      </c>
      <c r="C81">
        <v>200</v>
      </c>
      <c r="D81">
        <v>0.38273115565694399</v>
      </c>
      <c r="E81">
        <v>11.6793725567689</v>
      </c>
      <c r="F81">
        <v>2.5640920644546799</v>
      </c>
      <c r="G81">
        <v>-189.28784775304413</v>
      </c>
      <c r="H81">
        <v>-163.92044727970722</v>
      </c>
      <c r="I81">
        <v>24.624957989940199</v>
      </c>
      <c r="J81">
        <v>14.2784461017671</v>
      </c>
      <c r="K81">
        <v>4.5549739491326902</v>
      </c>
      <c r="L81">
        <v>3.1760180320464751E-5</v>
      </c>
      <c r="M81">
        <v>1.8304151794981979E-6</v>
      </c>
      <c r="N81" s="1">
        <v>-1.68408081858529E-7</v>
      </c>
      <c r="O81" s="1">
        <v>4.0667061272816299E-11</v>
      </c>
      <c r="P81" s="1">
        <v>5.8779454670655195E-10</v>
      </c>
      <c r="Q81">
        <v>65.995417225025705</v>
      </c>
      <c r="S81">
        <v>20.8338449690721</v>
      </c>
      <c r="AA81">
        <v>1.7890070266832301</v>
      </c>
      <c r="AB81">
        <v>9.3508047808174606</v>
      </c>
      <c r="AC81">
        <v>2.0309259984014001</v>
      </c>
      <c r="AJ81">
        <v>0.80088358597787601</v>
      </c>
      <c r="AK81">
        <v>8.4672667021012504E-2</v>
      </c>
      <c r="AL81">
        <v>0.114443747001111</v>
      </c>
    </row>
    <row r="82" spans="1:38" x14ac:dyDescent="0.2">
      <c r="A82">
        <v>72</v>
      </c>
      <c r="B82">
        <v>756</v>
      </c>
      <c r="C82">
        <v>200</v>
      </c>
      <c r="D82">
        <v>0.38206335325268598</v>
      </c>
      <c r="E82">
        <v>13.398908084504701</v>
      </c>
      <c r="F82">
        <v>2.5626248854759002</v>
      </c>
      <c r="G82">
        <v>-217.02085107368649</v>
      </c>
      <c r="H82">
        <v>-187.96278244782951</v>
      </c>
      <c r="I82">
        <v>28.235017855372799</v>
      </c>
      <c r="J82">
        <v>16.380185239624499</v>
      </c>
      <c r="K82">
        <v>5.2285873599547399</v>
      </c>
      <c r="L82">
        <v>3.1776786985619584E-5</v>
      </c>
      <c r="M82">
        <v>1.8315399637285339E-6</v>
      </c>
      <c r="N82" s="1">
        <v>-1.9776917058422899E-7</v>
      </c>
      <c r="O82" s="1">
        <v>4.6732303304952897E-11</v>
      </c>
      <c r="P82" s="1">
        <v>6.87316673563972E-10</v>
      </c>
      <c r="Q82">
        <v>66.068621844903006</v>
      </c>
      <c r="S82">
        <v>20.748888490176899</v>
      </c>
      <c r="AA82">
        <v>1.70183576443277</v>
      </c>
      <c r="AB82">
        <v>9.2912128966195606</v>
      </c>
      <c r="AC82">
        <v>2.1894410038676702</v>
      </c>
      <c r="AJ82">
        <v>0.79601629815649699</v>
      </c>
      <c r="AK82">
        <v>8.0570857333188001E-2</v>
      </c>
      <c r="AL82">
        <v>0.12341284451031399</v>
      </c>
    </row>
    <row r="83" spans="1:38" x14ac:dyDescent="0.2">
      <c r="A83">
        <v>73</v>
      </c>
      <c r="B83">
        <v>755</v>
      </c>
      <c r="C83">
        <v>200</v>
      </c>
      <c r="D83">
        <v>0.38139425181150599</v>
      </c>
      <c r="E83">
        <v>15.272620817413801</v>
      </c>
      <c r="F83">
        <v>2.5609983261637099</v>
      </c>
      <c r="G83">
        <v>-247.19319717257741</v>
      </c>
      <c r="H83">
        <v>-214.1232681526678</v>
      </c>
      <c r="I83">
        <v>32.164498390224701</v>
      </c>
      <c r="J83">
        <v>18.668329783737398</v>
      </c>
      <c r="K83">
        <v>5.9635418974645296</v>
      </c>
      <c r="L83">
        <v>3.1778615236004374E-5</v>
      </c>
      <c r="M83">
        <v>1.8324198396363228E-6</v>
      </c>
      <c r="N83" s="1">
        <v>-2.3020717548813399E-7</v>
      </c>
      <c r="O83" s="1">
        <v>5.33695689836642E-11</v>
      </c>
      <c r="P83" s="1">
        <v>7.9695689481028895E-10</v>
      </c>
      <c r="Q83">
        <v>66.137884712452902</v>
      </c>
      <c r="S83">
        <v>20.660000235206901</v>
      </c>
      <c r="AA83">
        <v>1.6123405006809</v>
      </c>
      <c r="AB83">
        <v>9.2125293665624906</v>
      </c>
      <c r="AC83">
        <v>2.37724518509674</v>
      </c>
      <c r="AJ83">
        <v>0.78958479137170801</v>
      </c>
      <c r="AK83">
        <v>7.6363784410025698E-2</v>
      </c>
      <c r="AL83">
        <v>0.13405142421826599</v>
      </c>
    </row>
    <row r="84" spans="1:38" x14ac:dyDescent="0.2">
      <c r="A84">
        <v>74</v>
      </c>
      <c r="B84">
        <v>754</v>
      </c>
      <c r="C84">
        <v>200</v>
      </c>
      <c r="D84">
        <v>0.38072384753930699</v>
      </c>
      <c r="E84">
        <v>17.3853779788795</v>
      </c>
      <c r="F84">
        <v>2.5591274527014298</v>
      </c>
      <c r="G84">
        <v>-281.1526175669411</v>
      </c>
      <c r="H84">
        <v>-243.56891312844715</v>
      </c>
      <c r="I84">
        <v>36.590278380464397</v>
      </c>
      <c r="J84">
        <v>21.2447280541354</v>
      </c>
      <c r="K84">
        <v>6.7934787540680803</v>
      </c>
      <c r="L84">
        <v>3.1759472513829779E-5</v>
      </c>
      <c r="M84">
        <v>1.8329867175878348E-6</v>
      </c>
      <c r="N84" s="1">
        <v>-2.6669320741016099E-7</v>
      </c>
      <c r="O84" s="1">
        <v>6.0893786204591205E-11</v>
      </c>
      <c r="P84" s="1">
        <v>9.2020707458765705E-10</v>
      </c>
      <c r="Q84">
        <v>66.203243508601105</v>
      </c>
      <c r="S84">
        <v>20.5640858144696</v>
      </c>
      <c r="AA84">
        <v>1.5179595399183201</v>
      </c>
      <c r="AB84">
        <v>9.1067258156921405</v>
      </c>
      <c r="AC84">
        <v>2.6079853213186599</v>
      </c>
      <c r="AJ84">
        <v>0.78092812957161795</v>
      </c>
      <c r="AK84">
        <v>7.1931611807502696E-2</v>
      </c>
      <c r="AL84">
        <v>0.14714025862087801</v>
      </c>
    </row>
    <row r="85" spans="1:38" x14ac:dyDescent="0.2">
      <c r="A85">
        <v>75</v>
      </c>
      <c r="B85">
        <v>753</v>
      </c>
      <c r="C85">
        <v>200</v>
      </c>
      <c r="D85">
        <v>0.380052136627202</v>
      </c>
      <c r="E85">
        <v>19.909034312693301</v>
      </c>
      <c r="F85">
        <v>2.5568575607678699</v>
      </c>
      <c r="G85">
        <v>-321.62799018149485</v>
      </c>
      <c r="H85">
        <v>-278.66264690644516</v>
      </c>
      <c r="I85">
        <v>41.870431491545702</v>
      </c>
      <c r="J85">
        <v>24.315518134099499</v>
      </c>
      <c r="K85">
        <v>7.7865246066793903</v>
      </c>
      <c r="L85">
        <v>3.1707517111245967E-5</v>
      </c>
      <c r="M85">
        <v>1.8331038381670798E-6</v>
      </c>
      <c r="N85" s="1">
        <v>-3.0910319827012801E-7</v>
      </c>
      <c r="O85" s="1">
        <v>6.9943859213405597E-11</v>
      </c>
      <c r="P85" s="1">
        <v>1.0638812458858799E-9</v>
      </c>
      <c r="Q85">
        <v>66.264343870221595</v>
      </c>
      <c r="S85">
        <v>20.455626265141799</v>
      </c>
      <c r="AA85">
        <v>1.41422236709728</v>
      </c>
      <c r="AB85">
        <v>8.9585438862265807</v>
      </c>
      <c r="AC85">
        <v>2.90726361131264</v>
      </c>
      <c r="AJ85">
        <v>0.76878831735563602</v>
      </c>
      <c r="AK85">
        <v>6.7065295354395302E-2</v>
      </c>
      <c r="AL85">
        <v>0.164146387289967</v>
      </c>
    </row>
    <row r="86" spans="1:38" x14ac:dyDescent="0.2">
      <c r="A86">
        <v>76</v>
      </c>
      <c r="B86">
        <v>752</v>
      </c>
      <c r="C86">
        <v>200</v>
      </c>
      <c r="D86">
        <v>0.37937911525142798</v>
      </c>
      <c r="E86">
        <v>24.424058631039799</v>
      </c>
      <c r="F86">
        <v>2.5573565473582498</v>
      </c>
      <c r="G86">
        <v>-394.53085087438325</v>
      </c>
      <c r="H86">
        <v>-341.90575515484511</v>
      </c>
      <c r="I86">
        <v>51.334044500354203</v>
      </c>
      <c r="J86">
        <v>29.838038600038701</v>
      </c>
      <c r="K86">
        <v>9.5505097465857496</v>
      </c>
      <c r="L86">
        <v>3.1724405323248452E-5</v>
      </c>
      <c r="M86">
        <v>1.8323259185651241E-6</v>
      </c>
      <c r="N86" s="1">
        <v>-3.9040150484283098E-7</v>
      </c>
      <c r="O86" s="1">
        <v>8.5645715299273905E-11</v>
      </c>
      <c r="P86" s="1">
        <v>1.33733027651825E-9</v>
      </c>
      <c r="Q86">
        <v>66.220246948053997</v>
      </c>
      <c r="S86">
        <v>20.487150157675099</v>
      </c>
      <c r="AA86">
        <v>1.45051931516028</v>
      </c>
      <c r="AB86">
        <v>8.9429202422202607</v>
      </c>
      <c r="AC86">
        <v>2.8991633368902399</v>
      </c>
      <c r="AJ86">
        <v>0.76750652664987895</v>
      </c>
      <c r="AK86">
        <v>6.87918559238032E-2</v>
      </c>
      <c r="AL86">
        <v>0.163701617426316</v>
      </c>
    </row>
    <row r="87" spans="1:38" x14ac:dyDescent="0.2">
      <c r="A87">
        <v>76</v>
      </c>
      <c r="B87">
        <v>752</v>
      </c>
      <c r="C87">
        <v>200</v>
      </c>
      <c r="D87">
        <v>0.37937911525142798</v>
      </c>
      <c r="E87">
        <v>13.29916399635</v>
      </c>
      <c r="F87">
        <v>2.5245176469619799</v>
      </c>
      <c r="G87">
        <v>-211.08864715684257</v>
      </c>
      <c r="H87">
        <v>-182.76688819050935</v>
      </c>
      <c r="I87">
        <v>27.626941390365499</v>
      </c>
      <c r="J87">
        <v>15.9167993372259</v>
      </c>
      <c r="K87">
        <v>5.2680019933131899</v>
      </c>
      <c r="L87">
        <v>2.9306886026173359E-5</v>
      </c>
      <c r="M87">
        <v>1.8086690008114668E-6</v>
      </c>
      <c r="N87" s="1">
        <v>-1.19946904890159E-7</v>
      </c>
      <c r="O87" s="1">
        <v>4.9744194400767299E-11</v>
      </c>
      <c r="P87" s="1">
        <v>4.5482896946645401E-10</v>
      </c>
      <c r="Q87">
        <v>66.3275292561855</v>
      </c>
      <c r="S87">
        <v>19.1153956200857</v>
      </c>
      <c r="AA87">
        <v>0.29377491604669798</v>
      </c>
      <c r="AB87">
        <v>5.5857602530971002</v>
      </c>
      <c r="AC87">
        <v>8.6775399545849403</v>
      </c>
      <c r="AJ87">
        <v>0.48752908490035701</v>
      </c>
      <c r="AK87">
        <v>1.41691480981614E-2</v>
      </c>
      <c r="AL87">
        <v>0.49830176700148099</v>
      </c>
    </row>
    <row r="88" spans="1:38" x14ac:dyDescent="0.2">
      <c r="A88">
        <v>77</v>
      </c>
      <c r="B88">
        <v>751</v>
      </c>
      <c r="C88">
        <v>200</v>
      </c>
      <c r="D88">
        <v>0.378704779573308</v>
      </c>
      <c r="E88">
        <v>27.383091236122901</v>
      </c>
      <c r="F88">
        <v>2.5580985953394899</v>
      </c>
      <c r="G88">
        <v>-442.35194006316789</v>
      </c>
      <c r="H88">
        <v>-383.44215748480849</v>
      </c>
      <c r="I88">
        <v>57.520658671443897</v>
      </c>
      <c r="J88">
        <v>33.469025969694897</v>
      </c>
      <c r="K88">
        <v>10.7044706118877</v>
      </c>
      <c r="L88">
        <v>3.1768380243711407E-5</v>
      </c>
      <c r="M88">
        <v>1.8319460378170493E-6</v>
      </c>
      <c r="N88" s="1">
        <v>-4.5252174147841003E-7</v>
      </c>
      <c r="O88" s="1">
        <v>9.5794478408154101E-11</v>
      </c>
      <c r="P88" s="1">
        <v>1.5420386784212599E-9</v>
      </c>
      <c r="Q88">
        <v>66.182817881278496</v>
      </c>
      <c r="S88">
        <v>20.525148764517301</v>
      </c>
      <c r="AA88">
        <v>1.4906021159237199</v>
      </c>
      <c r="AB88">
        <v>8.9591298617703501</v>
      </c>
      <c r="AC88">
        <v>2.8423013765099601</v>
      </c>
      <c r="AJ88">
        <v>0.76883510526160104</v>
      </c>
      <c r="AK88">
        <v>7.0687056450725802E-2</v>
      </c>
      <c r="AL88">
        <v>0.16047783828767301</v>
      </c>
    </row>
    <row r="89" spans="1:38" x14ac:dyDescent="0.2">
      <c r="A89">
        <v>77</v>
      </c>
      <c r="B89">
        <v>751</v>
      </c>
      <c r="C89">
        <v>200</v>
      </c>
      <c r="D89">
        <v>0.378704779573308</v>
      </c>
      <c r="E89">
        <v>22.482613832557401</v>
      </c>
      <c r="F89">
        <v>2.52438863508997</v>
      </c>
      <c r="G89">
        <v>-356.71679980549573</v>
      </c>
      <c r="H89">
        <v>-308.92451222356203</v>
      </c>
      <c r="I89">
        <v>46.665320101482799</v>
      </c>
      <c r="J89">
        <v>26.904270729767202</v>
      </c>
      <c r="K89">
        <v>8.9061618801639408</v>
      </c>
      <c r="L89">
        <v>2.9287635409805602E-5</v>
      </c>
      <c r="M89">
        <v>1.8081855387842074E-6</v>
      </c>
      <c r="N89" s="1">
        <v>-2.0722825149213601E-7</v>
      </c>
      <c r="O89" s="1">
        <v>8.4091359307117098E-11</v>
      </c>
      <c r="P89" s="1">
        <v>7.8154970629416603E-10</v>
      </c>
      <c r="Q89">
        <v>66.312425958184804</v>
      </c>
      <c r="S89">
        <v>19.107147632879499</v>
      </c>
      <c r="AA89">
        <v>0.29049439026208801</v>
      </c>
      <c r="AB89">
        <v>5.5304801925365403</v>
      </c>
      <c r="AC89">
        <v>8.7594518261369902</v>
      </c>
      <c r="AJ89">
        <v>0.48283909486861898</v>
      </c>
      <c r="AK89">
        <v>1.40148394303085E-2</v>
      </c>
      <c r="AL89">
        <v>0.50314606570107201</v>
      </c>
    </row>
    <row r="90" spans="1:38" x14ac:dyDescent="0.2">
      <c r="A90">
        <v>78</v>
      </c>
      <c r="B90">
        <v>750</v>
      </c>
      <c r="C90">
        <v>200</v>
      </c>
      <c r="D90">
        <v>0.37802912573913899</v>
      </c>
      <c r="E90">
        <v>28.612891709331102</v>
      </c>
      <c r="F90">
        <v>2.55849338000287</v>
      </c>
      <c r="G90">
        <v>-462.20406979170667</v>
      </c>
      <c r="H90">
        <v>-400.74313379776976</v>
      </c>
      <c r="I90">
        <v>60.070308355506803</v>
      </c>
      <c r="J90">
        <v>34.988457407696799</v>
      </c>
      <c r="K90">
        <v>11.1834925714363</v>
      </c>
      <c r="L90">
        <v>3.1817280300120317E-5</v>
      </c>
      <c r="M90">
        <v>1.8319748738725405E-6</v>
      </c>
      <c r="N90" s="1">
        <v>-4.8862415597135105E-7</v>
      </c>
      <c r="O90" s="1">
        <v>9.9914661827092896E-11</v>
      </c>
      <c r="P90" s="1">
        <v>1.6566432665462199E-9</v>
      </c>
      <c r="Q90">
        <v>66.168408990664105</v>
      </c>
      <c r="S90">
        <v>20.541960600319101</v>
      </c>
      <c r="AA90">
        <v>1.5078341702423099</v>
      </c>
      <c r="AB90">
        <v>8.9710948348520407</v>
      </c>
      <c r="AC90">
        <v>2.8107014039223399</v>
      </c>
      <c r="AJ90">
        <v>0.76981584802732905</v>
      </c>
      <c r="AK90">
        <v>7.1499955448334096E-2</v>
      </c>
      <c r="AL90">
        <v>0.15868419652433499</v>
      </c>
    </row>
    <row r="91" spans="1:38" x14ac:dyDescent="0.2">
      <c r="A91">
        <v>78</v>
      </c>
      <c r="B91">
        <v>750</v>
      </c>
      <c r="C91">
        <v>200</v>
      </c>
      <c r="D91">
        <v>0.37802912573913899</v>
      </c>
      <c r="E91">
        <v>26.104056118562902</v>
      </c>
      <c r="F91">
        <v>2.5243252971783301</v>
      </c>
      <c r="G91">
        <v>-414.06125183451019</v>
      </c>
      <c r="H91">
        <v>-358.66485520824818</v>
      </c>
      <c r="I91">
        <v>54.142986489040602</v>
      </c>
      <c r="J91">
        <v>31.238514655284501</v>
      </c>
      <c r="K91">
        <v>10.3410032564906</v>
      </c>
      <c r="L91">
        <v>2.928755499131958E-5</v>
      </c>
      <c r="M91">
        <v>1.8079971979147346E-6</v>
      </c>
      <c r="N91" s="1">
        <v>-2.4723614898935898E-7</v>
      </c>
      <c r="O91" s="1">
        <v>9.7607343287996498E-11</v>
      </c>
      <c r="P91" s="1">
        <v>9.2637739310392402E-10</v>
      </c>
      <c r="Q91">
        <v>66.305294411378398</v>
      </c>
      <c r="S91">
        <v>19.1010782652383</v>
      </c>
      <c r="AA91">
        <v>0.287151148765528</v>
      </c>
      <c r="AB91">
        <v>5.49867628651364</v>
      </c>
      <c r="AC91">
        <v>8.8077998881040802</v>
      </c>
      <c r="AJ91">
        <v>0.48013966162459998</v>
      </c>
      <c r="AK91">
        <v>1.3855773566789799E-2</v>
      </c>
      <c r="AL91">
        <v>0.506004564808609</v>
      </c>
    </row>
    <row r="92" spans="1:38" x14ac:dyDescent="0.2">
      <c r="A92">
        <v>79</v>
      </c>
      <c r="B92">
        <v>749</v>
      </c>
      <c r="C92">
        <v>200</v>
      </c>
      <c r="D92">
        <v>0.37735214988015597</v>
      </c>
      <c r="E92">
        <v>29.309939585136402</v>
      </c>
      <c r="F92">
        <v>2.5587893963365702</v>
      </c>
      <c r="G92">
        <v>-473.43829627632147</v>
      </c>
      <c r="H92">
        <v>-410.57676078386464</v>
      </c>
      <c r="I92">
        <v>61.499325434091602</v>
      </c>
      <c r="J92">
        <v>35.857808665952</v>
      </c>
      <c r="K92">
        <v>11.4546119454377</v>
      </c>
      <c r="L92">
        <v>3.1868727570119922E-5</v>
      </c>
      <c r="M92">
        <v>1.8321252205158566E-6</v>
      </c>
      <c r="N92" s="1">
        <v>-5.1718317698148096E-7</v>
      </c>
      <c r="O92" s="1">
        <v>1.0217527581455399E-10</v>
      </c>
      <c r="P92" s="1">
        <v>1.7448152628004999E-9</v>
      </c>
      <c r="Q92">
        <v>66.160619316698003</v>
      </c>
      <c r="S92">
        <v>20.5527080902881</v>
      </c>
      <c r="AA92">
        <v>1.5185185734405999</v>
      </c>
      <c r="AB92">
        <v>8.9819119063071593</v>
      </c>
      <c r="AC92">
        <v>2.7862421132659398</v>
      </c>
      <c r="AJ92">
        <v>0.77070247978320505</v>
      </c>
      <c r="AK92">
        <v>7.2002713521210696E-2</v>
      </c>
      <c r="AL92">
        <v>0.15729480669558399</v>
      </c>
    </row>
    <row r="93" spans="1:38" x14ac:dyDescent="0.2">
      <c r="A93">
        <v>79</v>
      </c>
      <c r="B93">
        <v>749</v>
      </c>
      <c r="C93">
        <v>200</v>
      </c>
      <c r="D93">
        <v>0.37735214988015597</v>
      </c>
      <c r="E93">
        <v>28.077634521078799</v>
      </c>
      <c r="F93">
        <v>2.5242810500613699</v>
      </c>
      <c r="G93">
        <v>-445.25553577164573</v>
      </c>
      <c r="H93">
        <v>-385.7702816714978</v>
      </c>
      <c r="I93">
        <v>58.196208090933602</v>
      </c>
      <c r="J93">
        <v>33.602484599469499</v>
      </c>
      <c r="K93">
        <v>11.123022343489099</v>
      </c>
      <c r="L93">
        <v>2.9293336436784721E-5</v>
      </c>
      <c r="M93">
        <v>1.8078930210248715E-6</v>
      </c>
      <c r="N93" s="1">
        <v>-2.7367755368999602E-7</v>
      </c>
      <c r="O93" s="1">
        <v>1.04945996829134E-10</v>
      </c>
      <c r="P93" s="1">
        <v>1.0185726061811999E-9</v>
      </c>
      <c r="Q93">
        <v>66.300383606037897</v>
      </c>
      <c r="S93">
        <v>19.0956522290248</v>
      </c>
      <c r="AA93">
        <v>0.28382048262241499</v>
      </c>
      <c r="AB93">
        <v>5.47350776075284</v>
      </c>
      <c r="AC93">
        <v>8.8466359215619192</v>
      </c>
      <c r="AJ93">
        <v>0.47800281388611598</v>
      </c>
      <c r="AK93">
        <v>1.36968039513575E-2</v>
      </c>
      <c r="AL93">
        <v>0.50830038216252504</v>
      </c>
    </row>
    <row r="94" spans="1:38" x14ac:dyDescent="0.2">
      <c r="A94">
        <v>80</v>
      </c>
      <c r="B94">
        <v>748</v>
      </c>
      <c r="C94">
        <v>200</v>
      </c>
      <c r="D94">
        <v>0.37667384811242399</v>
      </c>
      <c r="E94">
        <v>29.8609295592933</v>
      </c>
      <c r="F94">
        <v>2.55904443940147</v>
      </c>
      <c r="G94">
        <v>-482.3074965410089</v>
      </c>
      <c r="H94">
        <v>-418.36265519405066</v>
      </c>
      <c r="I94">
        <v>62.6204194750608</v>
      </c>
      <c r="J94">
        <v>36.5496604282134</v>
      </c>
      <c r="K94">
        <v>11.668781166722299</v>
      </c>
      <c r="L94">
        <v>3.1922131365204275E-5</v>
      </c>
      <c r="M94">
        <v>1.8323283348467268E-6</v>
      </c>
      <c r="N94" s="1">
        <v>-5.4443291012724498E-7</v>
      </c>
      <c r="O94" s="1">
        <v>1.03922078392134E-10</v>
      </c>
      <c r="P94" s="1">
        <v>1.82788555495184E-9</v>
      </c>
      <c r="Q94">
        <v>66.155566266654304</v>
      </c>
      <c r="S94">
        <v>20.560938099436601</v>
      </c>
      <c r="AA94">
        <v>1.52648747540473</v>
      </c>
      <c r="AB94">
        <v>8.9922274941752001</v>
      </c>
      <c r="AC94">
        <v>2.76478066432909</v>
      </c>
      <c r="AJ94">
        <v>0.77154795457766101</v>
      </c>
      <c r="AK94">
        <v>7.2376849435664095E-2</v>
      </c>
      <c r="AL94">
        <v>0.15607519598667399</v>
      </c>
    </row>
    <row r="95" spans="1:38" x14ac:dyDescent="0.2">
      <c r="A95">
        <v>80</v>
      </c>
      <c r="B95">
        <v>748</v>
      </c>
      <c r="C95">
        <v>200</v>
      </c>
      <c r="D95">
        <v>0.37667384811242399</v>
      </c>
      <c r="E95">
        <v>29.5263313946563</v>
      </c>
      <c r="F95">
        <v>2.5242453580205302</v>
      </c>
      <c r="G95">
        <v>-468.11838732163307</v>
      </c>
      <c r="H95">
        <v>-405.66753880736496</v>
      </c>
      <c r="I95">
        <v>61.157370135893999</v>
      </c>
      <c r="J95">
        <v>35.339404321163698</v>
      </c>
      <c r="K95">
        <v>11.697092479873</v>
      </c>
      <c r="L95">
        <v>2.9301928045267411E-5</v>
      </c>
      <c r="M95">
        <v>1.8078245058210457E-6</v>
      </c>
      <c r="N95" s="1">
        <v>-2.9637648705650999E-7</v>
      </c>
      <c r="O95" s="1">
        <v>1.10312391246475E-10</v>
      </c>
      <c r="P95" s="1">
        <v>1.0956491182534601E-9</v>
      </c>
      <c r="Q95">
        <v>66.296365688021794</v>
      </c>
      <c r="S95">
        <v>19.0905177155133</v>
      </c>
      <c r="AA95">
        <v>0.28052198264285999</v>
      </c>
      <c r="AB95">
        <v>5.4510932511836003</v>
      </c>
      <c r="AC95">
        <v>8.8815013626382395</v>
      </c>
      <c r="AJ95">
        <v>0.47609933185804798</v>
      </c>
      <c r="AK95">
        <v>1.35391578157522E-2</v>
      </c>
      <c r="AL95">
        <v>0.51036151032619903</v>
      </c>
    </row>
    <row r="96" spans="1:38" x14ac:dyDescent="0.2">
      <c r="A96">
        <v>82</v>
      </c>
      <c r="B96">
        <v>781</v>
      </c>
      <c r="C96">
        <v>175</v>
      </c>
      <c r="D96">
        <v>0.42446568325190898</v>
      </c>
      <c r="E96">
        <v>0.241299983233452</v>
      </c>
      <c r="F96">
        <v>2.5719285822943099</v>
      </c>
      <c r="G96">
        <v>-3.9350379952726513</v>
      </c>
      <c r="H96">
        <v>-3.3920991018072009</v>
      </c>
      <c r="I96">
        <v>0.51504899062320297</v>
      </c>
      <c r="J96">
        <v>0.29358805538224803</v>
      </c>
      <c r="K96">
        <v>9.3820639070077996E-2</v>
      </c>
      <c r="L96">
        <v>3.0850998771641297E-5</v>
      </c>
      <c r="M96">
        <v>1.8115950032400853E-6</v>
      </c>
      <c r="N96" s="1">
        <v>-1.64238871727504E-9</v>
      </c>
      <c r="O96" s="1">
        <v>8.39440315819561E-13</v>
      </c>
      <c r="P96" s="1">
        <v>6.8203086049811298E-12</v>
      </c>
      <c r="Q96">
        <v>65.148339752709802</v>
      </c>
      <c r="S96">
        <v>21.5735936725114</v>
      </c>
      <c r="AA96">
        <v>2.5969612293155602</v>
      </c>
      <c r="AB96">
        <v>9.4024854521997696</v>
      </c>
      <c r="AC96">
        <v>1.2786198932633599</v>
      </c>
      <c r="AJ96">
        <v>0.80508974106471698</v>
      </c>
      <c r="AK96">
        <v>0.122879059540452</v>
      </c>
      <c r="AL96">
        <v>7.2031199394830395E-2</v>
      </c>
    </row>
    <row r="97" spans="1:38" x14ac:dyDescent="0.2">
      <c r="A97">
        <v>83</v>
      </c>
      <c r="B97">
        <v>780</v>
      </c>
      <c r="C97">
        <v>175</v>
      </c>
      <c r="D97">
        <v>0.42385272753169101</v>
      </c>
      <c r="E97">
        <v>0.68980714082596195</v>
      </c>
      <c r="F97">
        <v>2.5715040301778398</v>
      </c>
      <c r="G97">
        <v>-11.24683706497291</v>
      </c>
      <c r="H97">
        <v>-9.6969132136358152</v>
      </c>
      <c r="I97">
        <v>1.47170284511901</v>
      </c>
      <c r="J97">
        <v>0.83942556958426295</v>
      </c>
      <c r="K97">
        <v>0.268250460715107</v>
      </c>
      <c r="L97">
        <v>3.0893043659824871E-5</v>
      </c>
      <c r="M97">
        <v>1.8128586247593039E-6</v>
      </c>
      <c r="N97" s="1">
        <v>-4.8514627922505297E-9</v>
      </c>
      <c r="O97" s="1">
        <v>2.4007345801404099E-12</v>
      </c>
      <c r="P97" s="1">
        <v>1.99537139985178E-11</v>
      </c>
      <c r="Q97">
        <v>65.199866205673402</v>
      </c>
      <c r="S97">
        <v>21.534251289883699</v>
      </c>
      <c r="AA97">
        <v>2.5524803674265999</v>
      </c>
      <c r="AB97">
        <v>9.4141682189739395</v>
      </c>
      <c r="AC97">
        <v>1.2992339180422401</v>
      </c>
      <c r="AJ97">
        <v>0.80604417209160995</v>
      </c>
      <c r="AK97">
        <v>0.120767503489406</v>
      </c>
      <c r="AL97">
        <v>7.3188324418983597E-2</v>
      </c>
    </row>
    <row r="98" spans="1:38" x14ac:dyDescent="0.2">
      <c r="A98">
        <v>84</v>
      </c>
      <c r="B98">
        <v>779</v>
      </c>
      <c r="C98">
        <v>175</v>
      </c>
      <c r="D98">
        <v>0.42323860666254698</v>
      </c>
      <c r="E98">
        <v>1.1397190684893901</v>
      </c>
      <c r="F98">
        <v>2.57108822129902</v>
      </c>
      <c r="G98">
        <v>-18.578539488961329</v>
      </c>
      <c r="H98">
        <v>-16.021323525224059</v>
      </c>
      <c r="I98">
        <v>2.4304671042505999</v>
      </c>
      <c r="J98">
        <v>1.38716188352273</v>
      </c>
      <c r="K98">
        <v>0.44328275437921499</v>
      </c>
      <c r="L98">
        <v>3.093480078483109E-5</v>
      </c>
      <c r="M98">
        <v>1.8140893112522089E-6</v>
      </c>
      <c r="N98" s="1">
        <v>-8.28079555215981E-9</v>
      </c>
      <c r="O98" s="1">
        <v>3.9681015316460203E-12</v>
      </c>
      <c r="P98" s="1">
        <v>3.37415118305975E-11</v>
      </c>
      <c r="Q98">
        <v>65.250002965984905</v>
      </c>
      <c r="S98">
        <v>21.495815788087999</v>
      </c>
      <c r="AA98">
        <v>2.5090719572918401</v>
      </c>
      <c r="AB98">
        <v>9.4251316361889597</v>
      </c>
      <c r="AC98">
        <v>1.31997765244614</v>
      </c>
      <c r="AJ98">
        <v>0.80693976531818601</v>
      </c>
      <c r="AK98">
        <v>0.118707347284388</v>
      </c>
      <c r="AL98">
        <v>7.4352887397425002E-2</v>
      </c>
    </row>
    <row r="99" spans="1:38" x14ac:dyDescent="0.2">
      <c r="A99">
        <v>85</v>
      </c>
      <c r="B99">
        <v>778</v>
      </c>
      <c r="C99">
        <v>175</v>
      </c>
      <c r="D99">
        <v>0.422623317319128</v>
      </c>
      <c r="E99">
        <v>1.5907852458679099</v>
      </c>
      <c r="F99">
        <v>2.5706812032138302</v>
      </c>
      <c r="G99">
        <v>-25.926048134704182</v>
      </c>
      <c r="H99">
        <v>-22.36181600261343</v>
      </c>
      <c r="I99">
        <v>3.3907930667276198</v>
      </c>
      <c r="J99">
        <v>1.93649863518884</v>
      </c>
      <c r="K99">
        <v>0.61881856213019604</v>
      </c>
      <c r="L99">
        <v>3.0976291724314535E-5</v>
      </c>
      <c r="M99">
        <v>1.8152873599423758E-6</v>
      </c>
      <c r="N99" s="1">
        <v>-1.19377958545622E-8</v>
      </c>
      <c r="O99" s="1">
        <v>5.5405057490693602E-12</v>
      </c>
      <c r="P99" s="1">
        <v>4.8202722376486099E-11</v>
      </c>
      <c r="Q99">
        <v>65.2987565896359</v>
      </c>
      <c r="S99">
        <v>21.458285419804302</v>
      </c>
      <c r="AA99">
        <v>2.4667330276032899</v>
      </c>
      <c r="AB99">
        <v>9.4353857326937494</v>
      </c>
      <c r="AC99">
        <v>1.34083923026264</v>
      </c>
      <c r="AJ99">
        <v>0.80777735817582397</v>
      </c>
      <c r="AK99">
        <v>0.11669841443710501</v>
      </c>
      <c r="AL99">
        <v>7.5524227387069903E-2</v>
      </c>
    </row>
    <row r="100" spans="1:38" x14ac:dyDescent="0.2">
      <c r="A100">
        <v>86</v>
      </c>
      <c r="B100">
        <v>777</v>
      </c>
      <c r="C100">
        <v>175</v>
      </c>
      <c r="D100">
        <v>0.42200685616340999</v>
      </c>
      <c r="E100">
        <v>2.04275286724521</v>
      </c>
      <c r="F100">
        <v>2.5702830046572802</v>
      </c>
      <c r="G100">
        <v>-33.285233092658842</v>
      </c>
      <c r="H100">
        <v>-28.714845583202422</v>
      </c>
      <c r="I100">
        <v>4.3521282763951996</v>
      </c>
      <c r="J100">
        <v>2.4871349218622001</v>
      </c>
      <c r="K100">
        <v>0.79475795604756105</v>
      </c>
      <c r="L100">
        <v>3.1017540192485244E-5</v>
      </c>
      <c r="M100">
        <v>1.8164531346604518E-6</v>
      </c>
      <c r="N100" s="1">
        <v>-1.5830036489952701E-8</v>
      </c>
      <c r="O100" s="1">
        <v>7.1168990953627798E-12</v>
      </c>
      <c r="P100" s="1">
        <v>6.3356777741599106E-11</v>
      </c>
      <c r="Q100">
        <v>65.346136365770604</v>
      </c>
      <c r="S100">
        <v>21.421656590649999</v>
      </c>
      <c r="AA100">
        <v>2.4254584454638</v>
      </c>
      <c r="AB100">
        <v>9.4449417857072593</v>
      </c>
      <c r="AC100">
        <v>1.3618068124081799</v>
      </c>
      <c r="AJ100">
        <v>0.80855788844056997</v>
      </c>
      <c r="AK100">
        <v>0.114740427010825</v>
      </c>
      <c r="AL100">
        <v>7.6701684548603905E-2</v>
      </c>
    </row>
    <row r="101" spans="1:38" x14ac:dyDescent="0.2">
      <c r="A101">
        <v>87</v>
      </c>
      <c r="B101">
        <v>776</v>
      </c>
      <c r="C101">
        <v>175</v>
      </c>
      <c r="D101">
        <v>0.42138921984463801</v>
      </c>
      <c r="E101">
        <v>2.4953683060395</v>
      </c>
      <c r="F101">
        <v>2.56989363585576</v>
      </c>
      <c r="G101">
        <v>-40.651955539820115</v>
      </c>
      <c r="H101">
        <v>-35.076856694259682</v>
      </c>
      <c r="I101">
        <v>5.3139196926658903</v>
      </c>
      <c r="J101">
        <v>3.0387691024896202</v>
      </c>
      <c r="K101">
        <v>0.97100061699968299</v>
      </c>
      <c r="L101">
        <v>3.1058571974669667E-5</v>
      </c>
      <c r="M101">
        <v>1.817587062494737E-6</v>
      </c>
      <c r="N101" s="1">
        <v>-1.9965271038914101E-8</v>
      </c>
      <c r="O101" s="1">
        <v>8.6962262745894695E-12</v>
      </c>
      <c r="P101" s="1">
        <v>7.9223581054112299E-11</v>
      </c>
      <c r="Q101">
        <v>65.392154194705995</v>
      </c>
      <c r="S101">
        <v>21.3859239272449</v>
      </c>
      <c r="AA101">
        <v>2.3852410010032798</v>
      </c>
      <c r="AB101">
        <v>9.4538122274326302</v>
      </c>
      <c r="AC101">
        <v>1.38286864961308</v>
      </c>
      <c r="AJ101">
        <v>0.80928238662575902</v>
      </c>
      <c r="AK101">
        <v>0.112833009724036</v>
      </c>
      <c r="AL101">
        <v>7.7884603650204498E-2</v>
      </c>
    </row>
    <row r="102" spans="1:38" x14ac:dyDescent="0.2">
      <c r="A102">
        <v>88</v>
      </c>
      <c r="B102">
        <v>775</v>
      </c>
      <c r="C102">
        <v>175</v>
      </c>
      <c r="D102">
        <v>0.42077040499928797</v>
      </c>
      <c r="E102">
        <v>2.9483785423710902</v>
      </c>
      <c r="F102">
        <v>2.56951308901529</v>
      </c>
      <c r="G102">
        <v>-48.022090962391054</v>
      </c>
      <c r="H102">
        <v>-41.44430324384571</v>
      </c>
      <c r="I102">
        <v>6.2756167710207</v>
      </c>
      <c r="J102">
        <v>3.5911005556362201</v>
      </c>
      <c r="K102">
        <v>1.1474463994658901</v>
      </c>
      <c r="L102">
        <v>3.1099414851725382E-5</v>
      </c>
      <c r="M102">
        <v>1.8186896299861338E-6</v>
      </c>
      <c r="N102" s="1">
        <v>-2.43514525330369E-8</v>
      </c>
      <c r="O102" s="1">
        <v>1.0277430255245199E-11</v>
      </c>
      <c r="P102" s="1">
        <v>9.5823570517794505E-11</v>
      </c>
      <c r="Q102">
        <v>65.436824445453993</v>
      </c>
      <c r="S102">
        <v>21.3510803600755</v>
      </c>
      <c r="AA102">
        <v>2.3460715089883899</v>
      </c>
      <c r="AB102">
        <v>9.4620105447940706</v>
      </c>
      <c r="AC102">
        <v>1.4040131406879099</v>
      </c>
      <c r="AJ102">
        <v>0.80995196782617196</v>
      </c>
      <c r="AK102">
        <v>0.11097569484604</v>
      </c>
      <c r="AL102">
        <v>7.9072337327786998E-2</v>
      </c>
    </row>
    <row r="103" spans="1:38" x14ac:dyDescent="0.2">
      <c r="A103">
        <v>89</v>
      </c>
      <c r="B103">
        <v>774</v>
      </c>
      <c r="C103">
        <v>175</v>
      </c>
      <c r="D103">
        <v>0.420150408250972</v>
      </c>
      <c r="E103">
        <v>3.4015325390523699</v>
      </c>
      <c r="F103">
        <v>2.5691413389559301</v>
      </c>
      <c r="G103">
        <v>-55.391551500866939</v>
      </c>
      <c r="H103">
        <v>-47.813667879627403</v>
      </c>
      <c r="I103">
        <v>7.23667442223132</v>
      </c>
      <c r="J103">
        <v>4.1438313750387703</v>
      </c>
      <c r="K103">
        <v>1.32399587655022</v>
      </c>
      <c r="L103">
        <v>3.114009851624995E-5</v>
      </c>
      <c r="M103">
        <v>1.8197613789589866E-6</v>
      </c>
      <c r="N103" s="1">
        <v>-2.8996753851968799E-8</v>
      </c>
      <c r="O103" s="1">
        <v>1.1859457500926699E-11</v>
      </c>
      <c r="P103" s="1">
        <v>1.13177787988309E-10</v>
      </c>
      <c r="Q103">
        <v>65.480163796628005</v>
      </c>
      <c r="S103">
        <v>21.317117218357399</v>
      </c>
      <c r="AA103">
        <v>2.3079389242066002</v>
      </c>
      <c r="AB103">
        <v>9.4695511735985303</v>
      </c>
      <c r="AC103">
        <v>1.4252288872093399</v>
      </c>
      <c r="AJ103">
        <v>0.81056782311880804</v>
      </c>
      <c r="AK103">
        <v>0.10916792773195801</v>
      </c>
      <c r="AL103">
        <v>8.02642491492329E-2</v>
      </c>
    </row>
    <row r="104" spans="1:38" x14ac:dyDescent="0.2">
      <c r="A104">
        <v>90</v>
      </c>
      <c r="B104">
        <v>773</v>
      </c>
      <c r="C104">
        <v>175</v>
      </c>
      <c r="D104">
        <v>0.41952922621038902</v>
      </c>
      <c r="E104">
        <v>3.8545825407619798</v>
      </c>
      <c r="F104">
        <v>2.5687783438988099</v>
      </c>
      <c r="G104">
        <v>-62.756307009484715</v>
      </c>
      <c r="H104">
        <v>-54.181480162840387</v>
      </c>
      <c r="I104">
        <v>8.1965557966298501</v>
      </c>
      <c r="J104">
        <v>4.6966679719364297</v>
      </c>
      <c r="K104">
        <v>1.5005508552020901</v>
      </c>
      <c r="L104">
        <v>3.1180654482940333E-5</v>
      </c>
      <c r="M104">
        <v>1.8208029020527021E-6</v>
      </c>
      <c r="N104" s="1">
        <v>-3.39095896767238E-8</v>
      </c>
      <c r="O104" s="1">
        <v>1.34412629123876E-11</v>
      </c>
      <c r="P104" s="1">
        <v>1.3130795131893799E-10</v>
      </c>
      <c r="Q104">
        <v>65.522191062764804</v>
      </c>
      <c r="S104">
        <v>21.284024336236602</v>
      </c>
      <c r="AA104">
        <v>2.2708304696094399</v>
      </c>
      <c r="AB104">
        <v>9.4764493899245306</v>
      </c>
      <c r="AC104">
        <v>1.44650474146449</v>
      </c>
      <c r="AJ104">
        <v>0.81113121074759398</v>
      </c>
      <c r="AK104">
        <v>0.107409072948298</v>
      </c>
      <c r="AL104">
        <v>8.14597163041067E-2</v>
      </c>
    </row>
    <row r="105" spans="1:38" x14ac:dyDescent="0.2">
      <c r="A105">
        <v>91</v>
      </c>
      <c r="B105">
        <v>772</v>
      </c>
      <c r="C105">
        <v>175</v>
      </c>
      <c r="D105">
        <v>0.418906855475288</v>
      </c>
      <c r="E105">
        <v>4.3072852921813203</v>
      </c>
      <c r="F105">
        <v>2.5684240463503101</v>
      </c>
      <c r="G105">
        <v>-70.112404763994959</v>
      </c>
      <c r="H105">
        <v>-60.54433359920629</v>
      </c>
      <c r="I105">
        <v>9.1547348847425294</v>
      </c>
      <c r="J105">
        <v>5.2493225789298101</v>
      </c>
      <c r="K105">
        <v>1.6770148598717101</v>
      </c>
      <c r="L105">
        <v>3.1221115995151802E-5</v>
      </c>
      <c r="M105">
        <v>1.821814838071322E-6</v>
      </c>
      <c r="N105" s="1">
        <v>-3.9098639954733702E-8</v>
      </c>
      <c r="O105" s="1">
        <v>1.5021814460177801E-11</v>
      </c>
      <c r="P105" s="1">
        <v>1.5023653029062101E-10</v>
      </c>
      <c r="Q105">
        <v>65.562927011497806</v>
      </c>
      <c r="S105">
        <v>21.2517901659693</v>
      </c>
      <c r="AA105">
        <v>2.2347317723467199</v>
      </c>
      <c r="AB105">
        <v>9.4827211994180303</v>
      </c>
      <c r="AC105">
        <v>1.4678298507679799</v>
      </c>
      <c r="AJ105">
        <v>0.81164344714609904</v>
      </c>
      <c r="AK105">
        <v>0.10569842075942799</v>
      </c>
      <c r="AL105">
        <v>8.26581320944723E-2</v>
      </c>
    </row>
    <row r="106" spans="1:38" x14ac:dyDescent="0.2">
      <c r="A106">
        <v>92</v>
      </c>
      <c r="B106">
        <v>771</v>
      </c>
      <c r="C106">
        <v>175</v>
      </c>
      <c r="D106">
        <v>0.41828329263037001</v>
      </c>
      <c r="E106">
        <v>4.75940315380649</v>
      </c>
      <c r="F106">
        <v>2.5680783740923601</v>
      </c>
      <c r="G106">
        <v>-77.455987474881894</v>
      </c>
      <c r="H106">
        <v>-66.898901229480941</v>
      </c>
      <c r="I106">
        <v>10.1106988894325</v>
      </c>
      <c r="J106">
        <v>5.8015146293709998</v>
      </c>
      <c r="K106">
        <v>1.85329357617</v>
      </c>
      <c r="L106">
        <v>3.1261517929175802E-5</v>
      </c>
      <c r="M106">
        <v>1.8227978671886816E-6</v>
      </c>
      <c r="N106" s="1">
        <v>-4.4572874667004503E-8</v>
      </c>
      <c r="O106" s="1">
        <v>1.6600097427342601E-11</v>
      </c>
      <c r="P106" s="1">
        <v>1.6998682531586199E-10</v>
      </c>
      <c r="Q106">
        <v>65.602394172644196</v>
      </c>
      <c r="S106">
        <v>21.220401897908602</v>
      </c>
      <c r="AA106">
        <v>2.1996270073036102</v>
      </c>
      <c r="AB106">
        <v>9.4883832264136405</v>
      </c>
      <c r="AC106">
        <v>1.48919369572983</v>
      </c>
      <c r="AJ106">
        <v>0.81210589795329702</v>
      </c>
      <c r="AK106">
        <v>0.104035193956659</v>
      </c>
      <c r="AL106">
        <v>8.38589080900429E-2</v>
      </c>
    </row>
    <row r="107" spans="1:38" x14ac:dyDescent="0.2">
      <c r="A107">
        <v>93</v>
      </c>
      <c r="B107">
        <v>770</v>
      </c>
      <c r="C107">
        <v>175</v>
      </c>
      <c r="D107">
        <v>0.41765853424723398</v>
      </c>
      <c r="E107">
        <v>5.2107051044991204</v>
      </c>
      <c r="F107">
        <v>2.5677412412531599</v>
      </c>
      <c r="G107">
        <v>-84.783309432159157</v>
      </c>
      <c r="H107">
        <v>-73.241949627714291</v>
      </c>
      <c r="I107">
        <v>11.0639503469729</v>
      </c>
      <c r="J107">
        <v>6.3529719989398004</v>
      </c>
      <c r="K107">
        <v>2.0292952501538202</v>
      </c>
      <c r="L107">
        <v>3.1301896699380666E-5</v>
      </c>
      <c r="M107">
        <v>1.8237527061228064E-6</v>
      </c>
      <c r="N107" s="1">
        <v>-5.0341579746223099E-8</v>
      </c>
      <c r="O107" s="1">
        <v>1.8175118219225999E-11</v>
      </c>
      <c r="P107" s="1">
        <v>1.9058304836254799E-10</v>
      </c>
      <c r="Q107">
        <v>65.640616643747293</v>
      </c>
      <c r="S107">
        <v>21.189845584473201</v>
      </c>
      <c r="AA107">
        <v>2.16549904475051</v>
      </c>
      <c r="AB107">
        <v>9.4934526055972093</v>
      </c>
      <c r="AC107">
        <v>1.51058612143167</v>
      </c>
      <c r="AJ107">
        <v>0.81251996924246095</v>
      </c>
      <c r="AK107">
        <v>0.10241855486945201</v>
      </c>
      <c r="AL107">
        <v>8.5061475888085603E-2</v>
      </c>
    </row>
    <row r="108" spans="1:38" x14ac:dyDescent="0.2">
      <c r="A108">
        <v>94</v>
      </c>
      <c r="B108">
        <v>769</v>
      </c>
      <c r="C108">
        <v>175</v>
      </c>
      <c r="D108">
        <v>0.41703257688433099</v>
      </c>
      <c r="E108">
        <v>5.6609676360116099</v>
      </c>
      <c r="F108">
        <v>2.5674125494198701</v>
      </c>
      <c r="G108">
        <v>-92.090750870301036</v>
      </c>
      <c r="H108">
        <v>-79.570351381625926</v>
      </c>
      <c r="I108">
        <v>12.0140090089479</v>
      </c>
      <c r="J108">
        <v>6.90343211571615</v>
      </c>
      <c r="K108">
        <v>2.2049310451842801</v>
      </c>
      <c r="L108">
        <v>3.1342290164902562E-5</v>
      </c>
      <c r="M108">
        <v>1.8246801033389504E-6</v>
      </c>
      <c r="N108" s="1">
        <v>-5.6414384110349899E-8</v>
      </c>
      <c r="O108" s="1">
        <v>1.9745907755427E-11</v>
      </c>
      <c r="P108" s="1">
        <v>2.1205040601501299E-10</v>
      </c>
      <c r="Q108">
        <v>65.677619895124707</v>
      </c>
      <c r="S108">
        <v>21.1601062653708</v>
      </c>
      <c r="AA108">
        <v>2.13232959914271</v>
      </c>
      <c r="AB108">
        <v>9.4979468758546197</v>
      </c>
      <c r="AC108">
        <v>1.53199736450699</v>
      </c>
      <c r="AJ108">
        <v>0.81288709893280697</v>
      </c>
      <c r="AK108">
        <v>0.100847612420122</v>
      </c>
      <c r="AL108">
        <v>8.6265288647069602E-2</v>
      </c>
    </row>
    <row r="109" spans="1:38" x14ac:dyDescent="0.2">
      <c r="A109">
        <v>95</v>
      </c>
      <c r="B109">
        <v>768</v>
      </c>
      <c r="C109">
        <v>175</v>
      </c>
      <c r="D109">
        <v>0.416405417086878</v>
      </c>
      <c r="E109">
        <v>6.1099755207824398</v>
      </c>
      <c r="F109">
        <v>2.5670921887983802</v>
      </c>
      <c r="G109">
        <v>-99.374830253494522</v>
      </c>
      <c r="H109">
        <v>-85.88109579407606</v>
      </c>
      <c r="I109">
        <v>12.960413446111</v>
      </c>
      <c r="J109">
        <v>7.4526429159696699</v>
      </c>
      <c r="K109">
        <v>2.3801153489709299</v>
      </c>
      <c r="L109">
        <v>3.1382737539892954E-5</v>
      </c>
      <c r="M109">
        <v>1.8255808343314616E-6</v>
      </c>
      <c r="N109" s="1">
        <v>-6.2801287548471995E-8</v>
      </c>
      <c r="O109" s="1">
        <v>2.13115243752949E-11</v>
      </c>
      <c r="P109" s="1">
        <v>2.3441518372493801E-10</v>
      </c>
      <c r="Q109">
        <v>65.713430576015995</v>
      </c>
      <c r="S109">
        <v>21.131168093599499</v>
      </c>
      <c r="AA109">
        <v>2.1000993783055799</v>
      </c>
      <c r="AB109">
        <v>9.5018838786112898</v>
      </c>
      <c r="AC109">
        <v>1.55341807346752</v>
      </c>
      <c r="AJ109">
        <v>0.81320874857048298</v>
      </c>
      <c r="AK109">
        <v>9.9321429186085997E-2</v>
      </c>
      <c r="AL109">
        <v>8.7469822243429904E-2</v>
      </c>
    </row>
    <row r="110" spans="1:38" x14ac:dyDescent="0.2">
      <c r="A110">
        <v>96</v>
      </c>
      <c r="B110">
        <v>767</v>
      </c>
      <c r="C110">
        <v>175</v>
      </c>
      <c r="D110">
        <v>0.41577705138682203</v>
      </c>
      <c r="E110">
        <v>7.1817024471881803</v>
      </c>
      <c r="F110">
        <v>2.5662521124566999</v>
      </c>
      <c r="G110">
        <v>-116.76490504259654</v>
      </c>
      <c r="H110">
        <v>-100.92693556323105</v>
      </c>
      <c r="I110">
        <v>15.2266206598716</v>
      </c>
      <c r="J110">
        <v>8.7612489666816007</v>
      </c>
      <c r="K110">
        <v>2.7985178900887702</v>
      </c>
      <c r="L110">
        <v>3.1424787065099946E-5</v>
      </c>
      <c r="M110">
        <v>1.8270088409187338E-6</v>
      </c>
      <c r="N110" s="1">
        <v>-7.6012014388864902E-8</v>
      </c>
      <c r="O110" s="1">
        <v>2.5071857514807499E-11</v>
      </c>
      <c r="P110" s="1">
        <v>2.8186954706760501E-10</v>
      </c>
      <c r="Q110">
        <v>65.780739808501806</v>
      </c>
      <c r="S110">
        <v>21.070560714549401</v>
      </c>
      <c r="AA110">
        <v>2.03439198079495</v>
      </c>
      <c r="AB110">
        <v>9.4929887705524703</v>
      </c>
      <c r="AC110">
        <v>1.62131872560122</v>
      </c>
      <c r="AJ110">
        <v>0.81248441789543902</v>
      </c>
      <c r="AK110">
        <v>9.6218260050496204E-2</v>
      </c>
      <c r="AL110">
        <v>9.1297322054064295E-2</v>
      </c>
    </row>
    <row r="111" spans="1:38" x14ac:dyDescent="0.2">
      <c r="A111">
        <v>97</v>
      </c>
      <c r="B111">
        <v>766</v>
      </c>
      <c r="C111">
        <v>175</v>
      </c>
      <c r="D111">
        <v>0.41514747630275201</v>
      </c>
      <c r="E111">
        <v>8.5865556620147103</v>
      </c>
      <c r="F111">
        <v>2.5651361340877701</v>
      </c>
      <c r="G111">
        <v>-139.54432941647511</v>
      </c>
      <c r="H111">
        <v>-120.63520254508884</v>
      </c>
      <c r="I111">
        <v>18.196725084334499</v>
      </c>
      <c r="J111">
        <v>10.4761120231519</v>
      </c>
      <c r="K111">
        <v>3.3474073940595401</v>
      </c>
      <c r="L111">
        <v>3.1463033769995501E-5</v>
      </c>
      <c r="M111">
        <v>1.8285787034128132E-6</v>
      </c>
      <c r="N111" s="1">
        <v>-9.3442462243791705E-8</v>
      </c>
      <c r="O111" s="1">
        <v>3.0016552064228697E-11</v>
      </c>
      <c r="P111" s="1">
        <v>3.4437734258282498E-10</v>
      </c>
      <c r="Q111">
        <v>65.860116949335307</v>
      </c>
      <c r="S111">
        <v>20.995172639506301</v>
      </c>
      <c r="AA111">
        <v>1.9536744763137199</v>
      </c>
      <c r="AB111">
        <v>9.4722368330234392</v>
      </c>
      <c r="AC111">
        <v>1.7187991018212101</v>
      </c>
      <c r="AJ111">
        <v>0.81079306713639199</v>
      </c>
      <c r="AK111">
        <v>9.2410319427138399E-2</v>
      </c>
      <c r="AL111">
        <v>9.6796613436469003E-2</v>
      </c>
    </row>
    <row r="112" spans="1:38" x14ac:dyDescent="0.2">
      <c r="A112">
        <v>98</v>
      </c>
      <c r="B112">
        <v>765</v>
      </c>
      <c r="C112">
        <v>175</v>
      </c>
      <c r="D112">
        <v>0.41451668833983701</v>
      </c>
      <c r="E112">
        <v>10.036011612572899</v>
      </c>
      <c r="F112">
        <v>2.5639844947273698</v>
      </c>
      <c r="G112">
        <v>-163.02345334525771</v>
      </c>
      <c r="H112">
        <v>-140.95430302427616</v>
      </c>
      <c r="I112">
        <v>21.258151828715899</v>
      </c>
      <c r="J112">
        <v>12.245318195882399</v>
      </c>
      <c r="K112">
        <v>3.9142247674317798</v>
      </c>
      <c r="L112">
        <v>3.1495240554477666E-5</v>
      </c>
      <c r="M112">
        <v>1.8299974956277547E-6</v>
      </c>
      <c r="N112" s="1">
        <v>-1.12182582253977E-7</v>
      </c>
      <c r="O112" s="1">
        <v>3.5131384177466401E-11</v>
      </c>
      <c r="P112" s="1">
        <v>4.1103237404697602E-10</v>
      </c>
      <c r="Q112">
        <v>65.935317112081194</v>
      </c>
      <c r="S112">
        <v>20.9203637528977</v>
      </c>
      <c r="AA112">
        <v>1.8744094489552401</v>
      </c>
      <c r="AB112">
        <v>9.4436951415679804</v>
      </c>
      <c r="AC112">
        <v>1.82621454449779</v>
      </c>
      <c r="AJ112">
        <v>0.80846569857400197</v>
      </c>
      <c r="AK112">
        <v>8.86737131883822E-2</v>
      </c>
      <c r="AL112">
        <v>0.102860588237615</v>
      </c>
    </row>
    <row r="113" spans="1:38" x14ac:dyDescent="0.2">
      <c r="A113">
        <v>99</v>
      </c>
      <c r="B113">
        <v>764</v>
      </c>
      <c r="C113">
        <v>175</v>
      </c>
      <c r="D113">
        <v>0.41388468398978101</v>
      </c>
      <c r="E113">
        <v>11.541076432798601</v>
      </c>
      <c r="F113">
        <v>2.5627831939752199</v>
      </c>
      <c r="G113">
        <v>-187.37671272697514</v>
      </c>
      <c r="H113">
        <v>-162.03515699313581</v>
      </c>
      <c r="I113">
        <v>24.433838628780101</v>
      </c>
      <c r="J113">
        <v>14.082022421270899</v>
      </c>
      <c r="K113">
        <v>4.5033370204433103</v>
      </c>
      <c r="L113">
        <v>3.1520509824384644E-5</v>
      </c>
      <c r="M113">
        <v>1.8312562944944282E-6</v>
      </c>
      <c r="N113" s="1">
        <v>-1.3235887848034101E-7</v>
      </c>
      <c r="O113" s="1">
        <v>4.0456945816527802E-11</v>
      </c>
      <c r="P113" s="1">
        <v>4.8228674888817195E-10</v>
      </c>
      <c r="Q113">
        <v>66.006414897716596</v>
      </c>
      <c r="S113">
        <v>20.845600115142499</v>
      </c>
      <c r="AA113">
        <v>1.7961389859798</v>
      </c>
      <c r="AB113">
        <v>9.4061301484343804</v>
      </c>
      <c r="AC113">
        <v>1.9457158527265701</v>
      </c>
      <c r="AJ113">
        <v>0.80540107994053201</v>
      </c>
      <c r="AK113">
        <v>8.4986893297553504E-2</v>
      </c>
      <c r="AL113">
        <v>0.10961202676191401</v>
      </c>
    </row>
    <row r="114" spans="1:38" x14ac:dyDescent="0.2">
      <c r="A114">
        <v>100</v>
      </c>
      <c r="B114">
        <v>763</v>
      </c>
      <c r="C114">
        <v>175</v>
      </c>
      <c r="D114">
        <v>0.41325145973073701</v>
      </c>
      <c r="E114">
        <v>13.118094453429199</v>
      </c>
      <c r="F114">
        <v>2.5615129312005398</v>
      </c>
      <c r="G114">
        <v>-212.86346464520841</v>
      </c>
      <c r="H114">
        <v>-184.10212046410251</v>
      </c>
      <c r="I114">
        <v>27.7578962323079</v>
      </c>
      <c r="J114">
        <v>16.005777070702699</v>
      </c>
      <c r="K114">
        <v>5.1212290571107602</v>
      </c>
      <c r="L114">
        <v>3.1537577641820505E-5</v>
      </c>
      <c r="M114">
        <v>1.8323420739871935E-6</v>
      </c>
      <c r="N114" s="1">
        <v>-1.5414467221317801E-7</v>
      </c>
      <c r="O114" s="1">
        <v>4.6053797973118298E-11</v>
      </c>
      <c r="P114" s="1">
        <v>5.5877119997671796E-10</v>
      </c>
      <c r="Q114">
        <v>66.073490831631005</v>
      </c>
      <c r="S114">
        <v>20.770153398626402</v>
      </c>
      <c r="AA114">
        <v>1.71824342014925</v>
      </c>
      <c r="AB114">
        <v>9.3578118946053603</v>
      </c>
      <c r="AC114">
        <v>2.0803004549878898</v>
      </c>
      <c r="AJ114">
        <v>0.80145710667297299</v>
      </c>
      <c r="AK114">
        <v>8.1320764545050897E-2</v>
      </c>
      <c r="AL114">
        <v>0.11722212878197499</v>
      </c>
    </row>
    <row r="115" spans="1:38" x14ac:dyDescent="0.2">
      <c r="A115">
        <v>101</v>
      </c>
      <c r="B115">
        <v>762</v>
      </c>
      <c r="C115">
        <v>175</v>
      </c>
      <c r="D115">
        <v>0.41261701202724399</v>
      </c>
      <c r="E115">
        <v>14.7921704051654</v>
      </c>
      <c r="F115">
        <v>2.5601461939587402</v>
      </c>
      <c r="G115">
        <v>-239.88239341797819</v>
      </c>
      <c r="H115">
        <v>-207.50004243660024</v>
      </c>
      <c r="I115">
        <v>31.282761900572801</v>
      </c>
      <c r="J115">
        <v>18.046630190919601</v>
      </c>
      <c r="K115">
        <v>5.7778616080874299</v>
      </c>
      <c r="L115">
        <v>3.1544586112757532E-5</v>
      </c>
      <c r="M115">
        <v>1.83323478879929E-6</v>
      </c>
      <c r="N115" s="1">
        <v>-1.7778940880047999E-7</v>
      </c>
      <c r="O115" s="1">
        <v>5.2015281700646201E-11</v>
      </c>
      <c r="P115" s="1">
        <v>6.4140765913807602E-10</v>
      </c>
      <c r="Q115">
        <v>66.136612085919097</v>
      </c>
      <c r="S115">
        <v>20.6930020141195</v>
      </c>
      <c r="AA115">
        <v>1.63986425619876</v>
      </c>
      <c r="AB115">
        <v>9.2962118405109297</v>
      </c>
      <c r="AC115">
        <v>2.2343098032515698</v>
      </c>
      <c r="AJ115">
        <v>0.79642589046955503</v>
      </c>
      <c r="AK115">
        <v>7.7635087719939003E-2</v>
      </c>
      <c r="AL115">
        <v>0.12593902181050501</v>
      </c>
    </row>
    <row r="116" spans="1:38" x14ac:dyDescent="0.2">
      <c r="A116">
        <v>102</v>
      </c>
      <c r="B116">
        <v>761</v>
      </c>
      <c r="C116">
        <v>175</v>
      </c>
      <c r="D116">
        <v>0.411981337330175</v>
      </c>
      <c r="E116">
        <v>16.6036547091778</v>
      </c>
      <c r="F116">
        <v>2.5586420667599099</v>
      </c>
      <c r="G116">
        <v>-269.07457549398822</v>
      </c>
      <c r="H116">
        <v>-232.78340932745508</v>
      </c>
      <c r="I116">
        <v>35.092748795177798</v>
      </c>
      <c r="J116">
        <v>20.252887221702199</v>
      </c>
      <c r="K116">
        <v>6.4892447931193296</v>
      </c>
      <c r="L116">
        <v>3.1538667054315764E-5</v>
      </c>
      <c r="M116">
        <v>1.8339019647311758E-6</v>
      </c>
      <c r="N116" s="1">
        <v>-2.0367295228329701E-7</v>
      </c>
      <c r="O116" s="1">
        <v>5.8491808473399297E-11</v>
      </c>
      <c r="P116" s="1">
        <v>7.3161893951464995E-10</v>
      </c>
      <c r="Q116">
        <v>66.195791052140805</v>
      </c>
      <c r="S116">
        <v>20.612655958337701</v>
      </c>
      <c r="AA116">
        <v>1.5597693347614201</v>
      </c>
      <c r="AB116">
        <v>9.2174513627546997</v>
      </c>
      <c r="AC116">
        <v>2.4143322920052501</v>
      </c>
      <c r="AJ116">
        <v>0.78998824289784797</v>
      </c>
      <c r="AK116">
        <v>7.3872184412569694E-2</v>
      </c>
      <c r="AL116">
        <v>0.13613957268958199</v>
      </c>
    </row>
    <row r="117" spans="1:38" x14ac:dyDescent="0.2">
      <c r="A117">
        <v>103</v>
      </c>
      <c r="B117">
        <v>760</v>
      </c>
      <c r="C117">
        <v>175</v>
      </c>
      <c r="D117">
        <v>0.41134443207665999</v>
      </c>
      <c r="E117">
        <v>18.621420568360001</v>
      </c>
      <c r="F117">
        <v>2.5569365876847998</v>
      </c>
      <c r="G117">
        <v>-301.5343932663215</v>
      </c>
      <c r="H117">
        <v>-260.89877806119631</v>
      </c>
      <c r="I117">
        <v>39.331767124933599</v>
      </c>
      <c r="J117">
        <v>22.706990571856</v>
      </c>
      <c r="K117">
        <v>7.2827072278788503</v>
      </c>
      <c r="L117">
        <v>3.1515132038896478E-5</v>
      </c>
      <c r="M117">
        <v>1.8342878866103136E-6</v>
      </c>
      <c r="N117" s="1">
        <v>-2.32413883328143E-7</v>
      </c>
      <c r="O117" s="1">
        <v>6.5740619521874904E-11</v>
      </c>
      <c r="P117" s="1">
        <v>8.3174961876165004E-10</v>
      </c>
      <c r="Q117">
        <v>66.250882847306201</v>
      </c>
      <c r="S117">
        <v>20.5268370272893</v>
      </c>
      <c r="AA117">
        <v>1.4761129206821599</v>
      </c>
      <c r="AB117">
        <v>9.1152349894112703</v>
      </c>
      <c r="AC117">
        <v>2.63093221531091</v>
      </c>
      <c r="AJ117">
        <v>0.78162550146365894</v>
      </c>
      <c r="AK117">
        <v>6.9945732585597803E-2</v>
      </c>
      <c r="AL117">
        <v>0.148428765950742</v>
      </c>
    </row>
    <row r="118" spans="1:38" x14ac:dyDescent="0.2">
      <c r="A118">
        <v>104</v>
      </c>
      <c r="B118">
        <v>759</v>
      </c>
      <c r="C118">
        <v>175</v>
      </c>
      <c r="D118">
        <v>0.41070629269001901</v>
      </c>
      <c r="E118">
        <v>20.9720030253625</v>
      </c>
      <c r="F118">
        <v>2.5549250713580398</v>
      </c>
      <c r="G118">
        <v>-339.27213739757502</v>
      </c>
      <c r="H118">
        <v>-293.58494722496431</v>
      </c>
      <c r="I118">
        <v>44.264099377620099</v>
      </c>
      <c r="J118">
        <v>25.5603375892392</v>
      </c>
      <c r="K118">
        <v>8.2084610857942195</v>
      </c>
      <c r="L118">
        <v>3.1465836618775042E-5</v>
      </c>
      <c r="M118">
        <v>1.8342905882078023E-6</v>
      </c>
      <c r="N118" s="1">
        <v>-2.6509942380068599E-7</v>
      </c>
      <c r="O118" s="1">
        <v>7.4235084391342598E-11</v>
      </c>
      <c r="P118" s="1">
        <v>9.4596689355363594E-10</v>
      </c>
      <c r="Q118">
        <v>66.301290890488701</v>
      </c>
      <c r="S118">
        <v>20.431918725687702</v>
      </c>
      <c r="AA118">
        <v>1.3860423222206499</v>
      </c>
      <c r="AB118">
        <v>8.9787259430024502</v>
      </c>
      <c r="AC118">
        <v>2.9020221186003701</v>
      </c>
      <c r="AJ118">
        <v>0.77044348730032097</v>
      </c>
      <c r="AK118">
        <v>6.5722390926786806E-2</v>
      </c>
      <c r="AL118">
        <v>0.163834121772891</v>
      </c>
    </row>
    <row r="119" spans="1:38" x14ac:dyDescent="0.2">
      <c r="A119">
        <v>105</v>
      </c>
      <c r="B119">
        <v>758</v>
      </c>
      <c r="C119">
        <v>175</v>
      </c>
      <c r="D119">
        <v>0.41006691557969399</v>
      </c>
      <c r="E119">
        <v>23.421960426978899</v>
      </c>
      <c r="F119">
        <v>2.55316289685135</v>
      </c>
      <c r="G119">
        <v>-378.55588435046019</v>
      </c>
      <c r="H119">
        <v>-327.62126655940079</v>
      </c>
      <c r="I119">
        <v>49.395934433457199</v>
      </c>
      <c r="J119">
        <v>28.531025902263899</v>
      </c>
      <c r="K119">
        <v>9.1737039010960295</v>
      </c>
      <c r="L119">
        <v>3.1405673177266875E-5</v>
      </c>
      <c r="M119">
        <v>1.8337947568606343E-6</v>
      </c>
      <c r="N119" s="1">
        <v>-2.9958638504911601E-7</v>
      </c>
      <c r="O119" s="1">
        <v>8.3091299808701696E-11</v>
      </c>
      <c r="P119" s="1">
        <v>1.06614048949505E-9</v>
      </c>
      <c r="Q119">
        <v>66.328229319119103</v>
      </c>
      <c r="S119">
        <v>20.354862360579201</v>
      </c>
      <c r="AA119">
        <v>1.3161843179630199</v>
      </c>
      <c r="AB119">
        <v>8.8367435076813692</v>
      </c>
      <c r="AC119">
        <v>3.1639804946572898</v>
      </c>
      <c r="AJ119">
        <v>0.75879659138265998</v>
      </c>
      <c r="AK119">
        <v>6.2454052518226298E-2</v>
      </c>
      <c r="AL119">
        <v>0.17874935609911299</v>
      </c>
    </row>
    <row r="120" spans="1:38" x14ac:dyDescent="0.2">
      <c r="A120">
        <v>105</v>
      </c>
      <c r="B120">
        <v>758</v>
      </c>
      <c r="C120">
        <v>175</v>
      </c>
      <c r="D120">
        <v>0.41006691557969399</v>
      </c>
      <c r="E120">
        <v>1.38629224660396</v>
      </c>
      <c r="F120">
        <v>2.5242631781809299</v>
      </c>
      <c r="G120">
        <v>-22.064145118479086</v>
      </c>
      <c r="H120">
        <v>-19.08006610944609</v>
      </c>
      <c r="I120">
        <v>2.8939329962013201</v>
      </c>
      <c r="J120">
        <v>1.6598894989886199</v>
      </c>
      <c r="K120">
        <v>0.54918689088630401</v>
      </c>
      <c r="L120">
        <v>2.9361087130120372E-5</v>
      </c>
      <c r="M120">
        <v>1.8124761365629439E-6</v>
      </c>
      <c r="N120" s="1">
        <v>-1.06058752811411E-8</v>
      </c>
      <c r="O120" s="1">
        <v>5.1886944406844401E-12</v>
      </c>
      <c r="P120" s="1">
        <v>4.1971250411628902E-11</v>
      </c>
      <c r="Q120">
        <v>66.393476977078706</v>
      </c>
      <c r="S120">
        <v>19.170648894425099</v>
      </c>
      <c r="AA120">
        <v>0.32397143401768203</v>
      </c>
      <c r="AB120">
        <v>5.8775748552287297</v>
      </c>
      <c r="AC120">
        <v>8.2343278392496195</v>
      </c>
      <c r="AJ120">
        <v>0.51224328410506004</v>
      </c>
      <c r="AK120">
        <v>1.56025510730767E-2</v>
      </c>
      <c r="AL120">
        <v>0.47215416482186301</v>
      </c>
    </row>
    <row r="121" spans="1:38" x14ac:dyDescent="0.2">
      <c r="A121">
        <v>106</v>
      </c>
      <c r="B121">
        <v>757</v>
      </c>
      <c r="C121">
        <v>175</v>
      </c>
      <c r="D121">
        <v>0.40942629714119499</v>
      </c>
      <c r="E121">
        <v>26.829261052071899</v>
      </c>
      <c r="F121">
        <v>2.55516302668899</v>
      </c>
      <c r="G121">
        <v>-433.791745488613</v>
      </c>
      <c r="H121">
        <v>-375.53596128959748</v>
      </c>
      <c r="I121">
        <v>56.550778235223397</v>
      </c>
      <c r="J121">
        <v>32.699707296204203</v>
      </c>
      <c r="K121">
        <v>10.5000192832461</v>
      </c>
      <c r="L121">
        <v>3.1439096559374342E-5</v>
      </c>
      <c r="M121">
        <v>1.8322203791282062E-6</v>
      </c>
      <c r="N121" s="1">
        <v>-3.5598147994674001E-7</v>
      </c>
      <c r="O121" s="1">
        <v>9.4778938713321801E-11</v>
      </c>
      <c r="P121" s="1">
        <v>1.2585337631932001E-9</v>
      </c>
      <c r="Q121">
        <v>66.217500883879893</v>
      </c>
      <c r="S121">
        <v>20.465468190404302</v>
      </c>
      <c r="AA121">
        <v>1.4332722266903</v>
      </c>
      <c r="AB121">
        <v>8.8799586893979594</v>
      </c>
      <c r="AC121">
        <v>3.0038000096274202</v>
      </c>
      <c r="AJ121">
        <v>0.76234173145284601</v>
      </c>
      <c r="AK121">
        <v>6.7995195142220702E-2</v>
      </c>
      <c r="AL121">
        <v>0.169663073404932</v>
      </c>
    </row>
    <row r="122" spans="1:38" x14ac:dyDescent="0.2">
      <c r="A122">
        <v>106</v>
      </c>
      <c r="B122">
        <v>757</v>
      </c>
      <c r="C122">
        <v>175</v>
      </c>
      <c r="D122">
        <v>0.40942629714119499</v>
      </c>
      <c r="E122">
        <v>19.247829573767799</v>
      </c>
      <c r="F122">
        <v>2.5238114930607098</v>
      </c>
      <c r="G122">
        <v>-306.11125149475311</v>
      </c>
      <c r="H122">
        <v>-264.77045103607776</v>
      </c>
      <c r="I122">
        <v>40.130855175144703</v>
      </c>
      <c r="J122">
        <v>23.0307534907061</v>
      </c>
      <c r="K122">
        <v>7.6264925596425002</v>
      </c>
      <c r="L122">
        <v>2.9270344961928972E-5</v>
      </c>
      <c r="M122">
        <v>1.810870093187064E-6</v>
      </c>
      <c r="N122" s="1">
        <v>-1.47363030439711E-7</v>
      </c>
      <c r="O122" s="1">
        <v>7.2113791180615903E-11</v>
      </c>
      <c r="P122" s="1">
        <v>5.8274454678040698E-10</v>
      </c>
      <c r="Q122">
        <v>66.349612759179394</v>
      </c>
      <c r="S122">
        <v>19.152129535483201</v>
      </c>
      <c r="AA122">
        <v>0.31892788885208101</v>
      </c>
      <c r="AB122">
        <v>5.7312748903984101</v>
      </c>
      <c r="AC122">
        <v>8.4480549260867708</v>
      </c>
      <c r="AJ122">
        <v>0.49986192608548202</v>
      </c>
      <c r="AK122">
        <v>1.53709994691289E-2</v>
      </c>
      <c r="AL122">
        <v>0.48476707444538802</v>
      </c>
    </row>
    <row r="123" spans="1:38" x14ac:dyDescent="0.2">
      <c r="A123">
        <v>107</v>
      </c>
      <c r="B123">
        <v>756</v>
      </c>
      <c r="C123">
        <v>175</v>
      </c>
      <c r="D123">
        <v>0.40878443375601398</v>
      </c>
      <c r="E123">
        <v>28.0714067164594</v>
      </c>
      <c r="F123">
        <v>2.5559116742497898</v>
      </c>
      <c r="G123">
        <v>-453.90223813179267</v>
      </c>
      <c r="H123">
        <v>-393.04220260009208</v>
      </c>
      <c r="I123">
        <v>59.136214868289898</v>
      </c>
      <c r="J123">
        <v>34.227848102410299</v>
      </c>
      <c r="K123">
        <v>10.9829330173151</v>
      </c>
      <c r="L123">
        <v>3.1477466224371742E-5</v>
      </c>
      <c r="M123">
        <v>1.8318614442765301E-6</v>
      </c>
      <c r="N123" s="1">
        <v>-3.8512602473368902E-7</v>
      </c>
      <c r="O123" s="1">
        <v>9.8954021184837701E-11</v>
      </c>
      <c r="P123" s="1">
        <v>1.3534357148512399E-9</v>
      </c>
      <c r="Q123">
        <v>66.181374317967794</v>
      </c>
      <c r="S123">
        <v>20.503219370114799</v>
      </c>
      <c r="AA123">
        <v>1.4728469767663599</v>
      </c>
      <c r="AB123">
        <v>8.8984221998912592</v>
      </c>
      <c r="AC123">
        <v>2.9441371352596302</v>
      </c>
      <c r="AJ123">
        <v>0.76385607982193804</v>
      </c>
      <c r="AK123">
        <v>6.9866172200159504E-2</v>
      </c>
      <c r="AL123">
        <v>0.16627774797790201</v>
      </c>
    </row>
    <row r="124" spans="1:38" x14ac:dyDescent="0.2">
      <c r="A124">
        <v>107</v>
      </c>
      <c r="B124">
        <v>756</v>
      </c>
      <c r="C124">
        <v>175</v>
      </c>
      <c r="D124">
        <v>0.40878443375601398</v>
      </c>
      <c r="E124">
        <v>24.730317166993402</v>
      </c>
      <c r="F124">
        <v>2.5236565654474501</v>
      </c>
      <c r="G124">
        <v>-393.15136766062466</v>
      </c>
      <c r="H124">
        <v>-340.13069629183349</v>
      </c>
      <c r="I124">
        <v>51.518895563126101</v>
      </c>
      <c r="J124">
        <v>29.585932452213601</v>
      </c>
      <c r="K124">
        <v>9.7993988189944794</v>
      </c>
      <c r="L124">
        <v>2.9248144193580174E-5</v>
      </c>
      <c r="M124">
        <v>1.810371196637769E-6</v>
      </c>
      <c r="N124" s="1">
        <v>-1.9341750907248001E-7</v>
      </c>
      <c r="O124" s="1">
        <v>9.2660382255582699E-11</v>
      </c>
      <c r="P124" s="1">
        <v>7.6035673770484502E-10</v>
      </c>
      <c r="Q124">
        <v>66.334823828558498</v>
      </c>
      <c r="S124">
        <v>19.143042462056702</v>
      </c>
      <c r="AA124">
        <v>0.31488175501377802</v>
      </c>
      <c r="AB124">
        <v>5.6744956070727399</v>
      </c>
      <c r="AC124">
        <v>8.5327563472981698</v>
      </c>
      <c r="AJ124">
        <v>0.49505179204691202</v>
      </c>
      <c r="AK124">
        <v>1.5180345653683799E-2</v>
      </c>
      <c r="AL124">
        <v>0.489767862299403</v>
      </c>
    </row>
    <row r="125" spans="1:38" x14ac:dyDescent="0.2">
      <c r="A125">
        <v>108</v>
      </c>
      <c r="B125">
        <v>755</v>
      </c>
      <c r="C125">
        <v>175</v>
      </c>
      <c r="D125">
        <v>0.40814132179156798</v>
      </c>
      <c r="E125">
        <v>28.7392713891238</v>
      </c>
      <c r="F125">
        <v>2.5563638122672701</v>
      </c>
      <c r="G125">
        <v>-464.69455980871788</v>
      </c>
      <c r="H125">
        <v>-402.48145543570553</v>
      </c>
      <c r="I125">
        <v>60.509754776066103</v>
      </c>
      <c r="J125">
        <v>35.056117420501501</v>
      </c>
      <c r="K125">
        <v>11.2422462136305</v>
      </c>
      <c r="L125">
        <v>3.1519022443763645E-5</v>
      </c>
      <c r="M125">
        <v>1.8318232336775589E-6</v>
      </c>
      <c r="N125" s="1">
        <v>-4.0745496464249802E-7</v>
      </c>
      <c r="O125" s="1">
        <v>1.01137683380969E-10</v>
      </c>
      <c r="P125" s="1">
        <v>1.42364511280146E-9</v>
      </c>
      <c r="Q125">
        <v>66.163926369341098</v>
      </c>
      <c r="S125">
        <v>20.523275760516501</v>
      </c>
      <c r="AA125">
        <v>1.49346494449211</v>
      </c>
      <c r="AB125">
        <v>8.9121208168448796</v>
      </c>
      <c r="AC125">
        <v>2.9072121088052998</v>
      </c>
      <c r="AJ125">
        <v>0.76497958140957401</v>
      </c>
      <c r="AK125">
        <v>7.0839355492779199E-2</v>
      </c>
      <c r="AL125">
        <v>0.16418106309764599</v>
      </c>
    </row>
    <row r="126" spans="1:38" x14ac:dyDescent="0.2">
      <c r="A126">
        <v>108</v>
      </c>
      <c r="B126">
        <v>755</v>
      </c>
      <c r="C126">
        <v>175</v>
      </c>
      <c r="D126">
        <v>0.40814132179156798</v>
      </c>
      <c r="E126">
        <v>27.388521443043501</v>
      </c>
      <c r="F126">
        <v>2.5235676193136598</v>
      </c>
      <c r="G126">
        <v>-435.28121913669924</v>
      </c>
      <c r="H126">
        <v>-376.66156345516157</v>
      </c>
      <c r="I126">
        <v>57.014692098952203</v>
      </c>
      <c r="J126">
        <v>32.764820681263203</v>
      </c>
      <c r="K126">
        <v>10.853095923972999</v>
      </c>
      <c r="L126">
        <v>2.9242153869492931E-5</v>
      </c>
      <c r="M126">
        <v>1.8101279249723952E-6</v>
      </c>
      <c r="N126" s="1">
        <v>-2.1988566732190701E-7</v>
      </c>
      <c r="O126" s="1">
        <v>1.02603550229471E-10</v>
      </c>
      <c r="P126" s="1">
        <v>8.5835812348528304E-10</v>
      </c>
      <c r="Q126">
        <v>66.326772968730495</v>
      </c>
      <c r="S126">
        <v>19.136113182397398</v>
      </c>
      <c r="AA126">
        <v>0.31104358642324298</v>
      </c>
      <c r="AB126">
        <v>5.6383886901213298</v>
      </c>
      <c r="AC126">
        <v>8.5876815723273801</v>
      </c>
      <c r="AJ126">
        <v>0.491991523564274</v>
      </c>
      <c r="AK126">
        <v>1.4998044931502801E-2</v>
      </c>
      <c r="AL126">
        <v>0.49301043150422202</v>
      </c>
    </row>
    <row r="127" spans="1:38" x14ac:dyDescent="0.2">
      <c r="A127">
        <v>109</v>
      </c>
      <c r="B127">
        <v>754</v>
      </c>
      <c r="C127">
        <v>175</v>
      </c>
      <c r="D127">
        <v>0.40749695760112897</v>
      </c>
      <c r="E127">
        <v>29.203560587431099</v>
      </c>
      <c r="F127">
        <v>2.5567201060378602</v>
      </c>
      <c r="G127">
        <v>-472.18376410096897</v>
      </c>
      <c r="H127">
        <v>-409.06193363849184</v>
      </c>
      <c r="I127">
        <v>61.4533714282014</v>
      </c>
      <c r="J127">
        <v>35.636732083131797</v>
      </c>
      <c r="K127">
        <v>11.422275171406101</v>
      </c>
      <c r="L127">
        <v>3.1562487528931498E-5</v>
      </c>
      <c r="M127">
        <v>1.8318922550493489E-6</v>
      </c>
      <c r="N127" s="1">
        <v>-4.2779335281175898E-7</v>
      </c>
      <c r="O127" s="1">
        <v>1.0261135195999599E-10</v>
      </c>
      <c r="P127" s="1">
        <v>1.4863083698524401E-9</v>
      </c>
      <c r="Q127">
        <v>66.152552857908105</v>
      </c>
      <c r="S127">
        <v>20.537589964769701</v>
      </c>
      <c r="AA127">
        <v>1.50792816297377</v>
      </c>
      <c r="AB127">
        <v>8.9243021038630701</v>
      </c>
      <c r="AC127">
        <v>2.8776269104852301</v>
      </c>
      <c r="AJ127">
        <v>0.76597857247255996</v>
      </c>
      <c r="AK127">
        <v>7.1521036554626799E-2</v>
      </c>
      <c r="AL127">
        <v>0.16250039097281299</v>
      </c>
    </row>
    <row r="128" spans="1:38" x14ac:dyDescent="0.2">
      <c r="A128">
        <v>109</v>
      </c>
      <c r="B128">
        <v>754</v>
      </c>
      <c r="C128">
        <v>175</v>
      </c>
      <c r="D128">
        <v>0.40749695760112897</v>
      </c>
      <c r="E128">
        <v>29.108160272305401</v>
      </c>
      <c r="F128">
        <v>2.5235006313501702</v>
      </c>
      <c r="G128">
        <v>-462.4873367912171</v>
      </c>
      <c r="H128">
        <v>-400.29153115766383</v>
      </c>
      <c r="I128">
        <v>60.5518236222103</v>
      </c>
      <c r="J128">
        <v>34.822246406699499</v>
      </c>
      <c r="K128">
        <v>11.5348337585837</v>
      </c>
      <c r="L128">
        <v>2.924171380258899E-5</v>
      </c>
      <c r="M128">
        <v>1.809967349118375E-6</v>
      </c>
      <c r="N128" s="1">
        <v>-2.4026130490320301E-7</v>
      </c>
      <c r="O128" s="1">
        <v>1.09018834758921E-10</v>
      </c>
      <c r="P128" s="1">
        <v>9.3109565755843696E-10</v>
      </c>
      <c r="Q128">
        <v>66.320853041960305</v>
      </c>
      <c r="S128">
        <v>19.129911768986101</v>
      </c>
      <c r="AA128">
        <v>0.30730869084276602</v>
      </c>
      <c r="AB128">
        <v>5.6089386392313001</v>
      </c>
      <c r="AC128">
        <v>8.6329878589793605</v>
      </c>
      <c r="AJ128">
        <v>0.48949464210712701</v>
      </c>
      <c r="AK128">
        <v>1.4820159795692499E-2</v>
      </c>
      <c r="AL128">
        <v>0.49568519809717898</v>
      </c>
    </row>
    <row r="129" spans="1:38" x14ac:dyDescent="0.2">
      <c r="A129">
        <v>110</v>
      </c>
      <c r="B129">
        <v>753</v>
      </c>
      <c r="C129">
        <v>175</v>
      </c>
      <c r="D129">
        <v>0.40685133752375702</v>
      </c>
      <c r="E129">
        <v>29.550904053723201</v>
      </c>
      <c r="F129">
        <v>2.5570104946521202</v>
      </c>
      <c r="G129">
        <v>-477.77394899833246</v>
      </c>
      <c r="H129">
        <v>-413.99875805587772</v>
      </c>
      <c r="I129">
        <v>62.149969246654699</v>
      </c>
      <c r="J129">
        <v>36.075294402905001</v>
      </c>
      <c r="K129">
        <v>11.556817664819</v>
      </c>
      <c r="L129">
        <v>3.1607773608768114E-5</v>
      </c>
      <c r="M129">
        <v>1.8320387493342867E-6</v>
      </c>
      <c r="N129" s="1">
        <v>-4.4722511873137699E-7</v>
      </c>
      <c r="O129" s="1">
        <v>1.0367757275222899E-10</v>
      </c>
      <c r="P129" s="1">
        <v>1.5453019463702401E-9</v>
      </c>
      <c r="Q129">
        <v>66.145440699823695</v>
      </c>
      <c r="S129">
        <v>20.547917206925199</v>
      </c>
      <c r="AA129">
        <v>1.51810776835408</v>
      </c>
      <c r="AB129">
        <v>8.9355272488544397</v>
      </c>
      <c r="AC129">
        <v>2.85300707604243</v>
      </c>
      <c r="AJ129">
        <v>0.76689909425583203</v>
      </c>
      <c r="AK129">
        <v>7.1999823905967195E-2</v>
      </c>
      <c r="AL129">
        <v>0.16110108183819999</v>
      </c>
    </row>
    <row r="130" spans="1:38" x14ac:dyDescent="0.2">
      <c r="A130">
        <v>110</v>
      </c>
      <c r="B130">
        <v>753</v>
      </c>
      <c r="C130">
        <v>175</v>
      </c>
      <c r="D130">
        <v>0.40685133752375702</v>
      </c>
      <c r="E130">
        <v>30.255300371580699</v>
      </c>
      <c r="F130">
        <v>2.5234484889591999</v>
      </c>
      <c r="G130">
        <v>-480.59453159907071</v>
      </c>
      <c r="H130">
        <v>-416.05470997094312</v>
      </c>
      <c r="I130">
        <v>62.895114386909903</v>
      </c>
      <c r="J130">
        <v>36.195982451552602</v>
      </c>
      <c r="K130">
        <v>11.9896643438358</v>
      </c>
      <c r="L130">
        <v>2.924525691201766E-5</v>
      </c>
      <c r="M130">
        <v>1.8098634214329037E-6</v>
      </c>
      <c r="N130" s="1">
        <v>-2.5702285142138102E-7</v>
      </c>
      <c r="O130" s="1">
        <v>1.13280137023674E-10</v>
      </c>
      <c r="P130" s="1">
        <v>9.8871344829014701E-10</v>
      </c>
      <c r="Q130">
        <v>66.3163775760856</v>
      </c>
      <c r="S130">
        <v>19.1242090940823</v>
      </c>
      <c r="AA130">
        <v>0.30364821443469098</v>
      </c>
      <c r="AB130">
        <v>5.5840149998356097</v>
      </c>
      <c r="AC130">
        <v>8.6717501155617001</v>
      </c>
      <c r="AJ130">
        <v>0.487380950601564</v>
      </c>
      <c r="AK130">
        <v>1.4645476167458E-2</v>
      </c>
      <c r="AL130">
        <v>0.49797357323097702</v>
      </c>
    </row>
    <row r="131" spans="1:38" x14ac:dyDescent="0.2">
      <c r="A131">
        <v>111</v>
      </c>
      <c r="B131">
        <v>793</v>
      </c>
      <c r="C131">
        <v>150</v>
      </c>
      <c r="D131">
        <v>0.45752520752239401</v>
      </c>
      <c r="E131">
        <v>6.0046878148144703E-2</v>
      </c>
      <c r="F131">
        <v>2.5699759758627998</v>
      </c>
      <c r="G131">
        <v>-0.98139792041723284</v>
      </c>
      <c r="H131">
        <v>-0.84385273623822243</v>
      </c>
      <c r="I131">
        <v>0.12901109991934501</v>
      </c>
      <c r="J131">
        <v>7.2976072993687802E-2</v>
      </c>
      <c r="K131">
        <v>2.33647624382891E-2</v>
      </c>
      <c r="L131">
        <v>3.0636451370774452E-5</v>
      </c>
      <c r="M131">
        <v>1.811419123206302E-6</v>
      </c>
      <c r="N131" s="1">
        <v>-2.7306097603147699E-10</v>
      </c>
      <c r="O131" s="1">
        <v>2.1005364977944801E-13</v>
      </c>
      <c r="P131" s="1">
        <v>1.29744487715289E-12</v>
      </c>
      <c r="Q131">
        <v>65.138560828177006</v>
      </c>
      <c r="S131">
        <v>21.583644854407499</v>
      </c>
      <c r="AA131">
        <v>2.6075353356489499</v>
      </c>
      <c r="AB131">
        <v>9.4070441232867505</v>
      </c>
      <c r="AC131">
        <v>1.26321485847971</v>
      </c>
      <c r="AJ131">
        <v>0.80546169579912796</v>
      </c>
      <c r="AK131">
        <v>0.123376573287657</v>
      </c>
      <c r="AL131">
        <v>7.1161730913213997E-2</v>
      </c>
    </row>
    <row r="132" spans="1:38" x14ac:dyDescent="0.2">
      <c r="A132">
        <v>112</v>
      </c>
      <c r="B132">
        <v>792</v>
      </c>
      <c r="C132">
        <v>150</v>
      </c>
      <c r="D132">
        <v>0.456950194808243</v>
      </c>
      <c r="E132">
        <v>0.49053773711830201</v>
      </c>
      <c r="F132">
        <v>2.5695734188905401</v>
      </c>
      <c r="G132">
        <v>-8.0156734340789431</v>
      </c>
      <c r="H132">
        <v>-6.8935927170608986</v>
      </c>
      <c r="I132">
        <v>1.0534485443534101</v>
      </c>
      <c r="J132">
        <v>0.59622083976328999</v>
      </c>
      <c r="K132">
        <v>0.190902401741881</v>
      </c>
      <c r="L132">
        <v>3.0671441039952685E-5</v>
      </c>
      <c r="M132">
        <v>1.8126201053709962E-6</v>
      </c>
      <c r="N132" s="1">
        <v>-2.3096544988763202E-9</v>
      </c>
      <c r="O132" s="1">
        <v>1.71689805348152E-12</v>
      </c>
      <c r="P132" s="1">
        <v>1.08311336259149E-11</v>
      </c>
      <c r="Q132">
        <v>65.187984984844903</v>
      </c>
      <c r="S132">
        <v>21.5460079816026</v>
      </c>
      <c r="AA132">
        <v>2.5649520789272202</v>
      </c>
      <c r="AB132">
        <v>9.4185132512184904</v>
      </c>
      <c r="AC132">
        <v>1.2825417034066799</v>
      </c>
      <c r="AJ132">
        <v>0.80639861354368503</v>
      </c>
      <c r="AK132">
        <v>0.121354941486723</v>
      </c>
      <c r="AL132">
        <v>7.2246444969591803E-2</v>
      </c>
    </row>
    <row r="133" spans="1:38" x14ac:dyDescent="0.2">
      <c r="A133">
        <v>113</v>
      </c>
      <c r="B133">
        <v>791</v>
      </c>
      <c r="C133">
        <v>150</v>
      </c>
      <c r="D133">
        <v>0.45637410139548201</v>
      </c>
      <c r="E133">
        <v>0.92219338747106305</v>
      </c>
      <c r="F133">
        <v>2.5691790163801298</v>
      </c>
      <c r="G133">
        <v>-15.06615607220593</v>
      </c>
      <c r="H133">
        <v>-12.9596221948396</v>
      </c>
      <c r="I133">
        <v>1.97954600137793</v>
      </c>
      <c r="J133">
        <v>1.12099120358947</v>
      </c>
      <c r="K133">
        <v>0.35894477636299299</v>
      </c>
      <c r="L133">
        <v>3.0706062440804006E-5</v>
      </c>
      <c r="M133">
        <v>1.8137905375385109E-6</v>
      </c>
      <c r="N133" s="1">
        <v>-4.4940649695898897E-9</v>
      </c>
      <c r="O133" s="1">
        <v>3.2293395641425002E-12</v>
      </c>
      <c r="P133" s="1">
        <v>2.0808568302178801E-11</v>
      </c>
      <c r="Q133">
        <v>65.236130102841102</v>
      </c>
      <c r="S133">
        <v>21.5092082815497</v>
      </c>
      <c r="AA133">
        <v>2.5233579444863201</v>
      </c>
      <c r="AB133">
        <v>9.4293268672589594</v>
      </c>
      <c r="AC133">
        <v>1.30197680386377</v>
      </c>
      <c r="AJ133">
        <v>0.80728191123566995</v>
      </c>
      <c r="AK133">
        <v>0.11938071660737901</v>
      </c>
      <c r="AL133">
        <v>7.3337372156950006E-2</v>
      </c>
    </row>
    <row r="134" spans="1:38" x14ac:dyDescent="0.2">
      <c r="A134">
        <v>114</v>
      </c>
      <c r="B134">
        <v>790</v>
      </c>
      <c r="C134">
        <v>150</v>
      </c>
      <c r="D134">
        <v>0.45579692423458601</v>
      </c>
      <c r="E134">
        <v>1.3547974768854101</v>
      </c>
      <c r="F134">
        <v>2.5687928023461502</v>
      </c>
      <c r="G134">
        <v>-22.129300813377792</v>
      </c>
      <c r="H134">
        <v>-19.038908223898389</v>
      </c>
      <c r="I134">
        <v>2.9068264962417301</v>
      </c>
      <c r="J134">
        <v>1.6470277133208899</v>
      </c>
      <c r="K134">
        <v>0.52740628813972001</v>
      </c>
      <c r="L134">
        <v>3.0740331657284014E-5</v>
      </c>
      <c r="M134">
        <v>1.8149306869121273E-6</v>
      </c>
      <c r="N134" s="1">
        <v>-6.8309553462906201E-9</v>
      </c>
      <c r="O134" s="1">
        <v>4.7464942527393503E-12</v>
      </c>
      <c r="P134" s="1">
        <v>3.1241375661025598E-11</v>
      </c>
      <c r="Q134">
        <v>65.283002642954003</v>
      </c>
      <c r="S134">
        <v>21.473243685181099</v>
      </c>
      <c r="AA134">
        <v>2.48274971778751</v>
      </c>
      <c r="AB134">
        <v>9.4394939445985298</v>
      </c>
      <c r="AC134">
        <v>1.32151000947872</v>
      </c>
      <c r="AJ134">
        <v>0.80811233821643902</v>
      </c>
      <c r="AK134">
        <v>0.11745371475185</v>
      </c>
      <c r="AL134">
        <v>7.4433947031709899E-2</v>
      </c>
    </row>
    <row r="135" spans="1:38" x14ac:dyDescent="0.2">
      <c r="A135">
        <v>115</v>
      </c>
      <c r="B135">
        <v>789</v>
      </c>
      <c r="C135">
        <v>150</v>
      </c>
      <c r="D135">
        <v>0.45521866026455898</v>
      </c>
      <c r="E135">
        <v>1.78813198563576</v>
      </c>
      <c r="F135">
        <v>2.56841479496804</v>
      </c>
      <c r="G135">
        <v>-29.201539162160653</v>
      </c>
      <c r="H135">
        <v>-25.128395253266746</v>
      </c>
      <c r="I135">
        <v>3.8348104400451</v>
      </c>
      <c r="J135">
        <v>2.1740690749230702</v>
      </c>
      <c r="K135">
        <v>0.69620062504663205</v>
      </c>
      <c r="L135">
        <v>3.0774266393370173E-5</v>
      </c>
      <c r="M135">
        <v>1.8160408752371186E-6</v>
      </c>
      <c r="N135" s="1">
        <v>-9.3250781477582992E-9</v>
      </c>
      <c r="O135" s="1">
        <v>6.2674688731433599E-12</v>
      </c>
      <c r="P135" s="1">
        <v>4.2141403559727702E-11</v>
      </c>
      <c r="Q135">
        <v>65.328611328430696</v>
      </c>
      <c r="S135">
        <v>21.4381105883004</v>
      </c>
      <c r="AA135">
        <v>2.44312238988149</v>
      </c>
      <c r="AB135">
        <v>9.4490244736562197</v>
      </c>
      <c r="AC135">
        <v>1.34113121973112</v>
      </c>
      <c r="AJ135">
        <v>0.80889072554639296</v>
      </c>
      <c r="AK135">
        <v>0.115573667844156</v>
      </c>
      <c r="AL135">
        <v>7.5535606609450107E-2</v>
      </c>
    </row>
    <row r="136" spans="1:38" x14ac:dyDescent="0.2">
      <c r="A136">
        <v>116</v>
      </c>
      <c r="B136">
        <v>788</v>
      </c>
      <c r="C136">
        <v>150</v>
      </c>
      <c r="D136">
        <v>0.45463930641285699</v>
      </c>
      <c r="E136">
        <v>2.2219783719617698</v>
      </c>
      <c r="F136">
        <v>2.5680449968832799</v>
      </c>
      <c r="G136">
        <v>-36.279297848033259</v>
      </c>
      <c r="H136">
        <v>-31.225021164293491</v>
      </c>
      <c r="I136">
        <v>4.7630181253731898</v>
      </c>
      <c r="J136">
        <v>2.70185355859399</v>
      </c>
      <c r="K136">
        <v>0.86524121448747604</v>
      </c>
      <c r="L136">
        <v>3.0807885914936942E-5</v>
      </c>
      <c r="M136">
        <v>1.8171214760400127E-6</v>
      </c>
      <c r="N136" s="1">
        <v>-1.1981284713396301E-8</v>
      </c>
      <c r="O136" s="1">
        <v>7.79136524998132E-12</v>
      </c>
      <c r="P136" s="1">
        <v>5.3520756281144599E-11</v>
      </c>
      <c r="Q136">
        <v>65.372967043896395</v>
      </c>
      <c r="S136">
        <v>21.403803908848399</v>
      </c>
      <c r="AA136">
        <v>2.40446922823882</v>
      </c>
      <c r="AB136">
        <v>9.4579293869571792</v>
      </c>
      <c r="AC136">
        <v>1.3608304320590701</v>
      </c>
      <c r="AJ136">
        <v>0.80961797988561002</v>
      </c>
      <c r="AK136">
        <v>0.113740227060161</v>
      </c>
      <c r="AL136">
        <v>7.6641793054227303E-2</v>
      </c>
    </row>
    <row r="137" spans="1:38" x14ac:dyDescent="0.2">
      <c r="A137">
        <v>117</v>
      </c>
      <c r="B137">
        <v>787</v>
      </c>
      <c r="C137">
        <v>150</v>
      </c>
      <c r="D137">
        <v>0.45405885959534198</v>
      </c>
      <c r="E137">
        <v>2.65611869044838</v>
      </c>
      <c r="F137">
        <v>2.5676833956067502</v>
      </c>
      <c r="G137">
        <v>-43.359017053718091</v>
      </c>
      <c r="H137">
        <v>-37.32573292328523</v>
      </c>
      <c r="I137">
        <v>5.69097215529204</v>
      </c>
      <c r="J137">
        <v>3.2301203729522299</v>
      </c>
      <c r="K137">
        <v>1.03444166636468</v>
      </c>
      <c r="L137">
        <v>3.0841210984383689E-5</v>
      </c>
      <c r="M137">
        <v>1.8181729115409698E-6</v>
      </c>
      <c r="N137" s="1">
        <v>-1.4804535521337E-8</v>
      </c>
      <c r="O137" s="1">
        <v>9.3172845700683608E-12</v>
      </c>
      <c r="P137" s="1">
        <v>6.5391832706483798E-11</v>
      </c>
      <c r="Q137">
        <v>65.416082719540199</v>
      </c>
      <c r="S137">
        <v>21.370317154770699</v>
      </c>
      <c r="AA137">
        <v>2.36678185976537</v>
      </c>
      <c r="AB137">
        <v>9.46622047896944</v>
      </c>
      <c r="AC137">
        <v>1.3805977869541799</v>
      </c>
      <c r="AJ137">
        <v>0.81029507697284897</v>
      </c>
      <c r="AK137">
        <v>0.11195296682480101</v>
      </c>
      <c r="AL137">
        <v>7.7751956202348899E-2</v>
      </c>
    </row>
    <row r="138" spans="1:38" x14ac:dyDescent="0.2">
      <c r="A138">
        <v>118</v>
      </c>
      <c r="B138">
        <v>786</v>
      </c>
      <c r="C138">
        <v>150</v>
      </c>
      <c r="D138">
        <v>0.45347731671623798</v>
      </c>
      <c r="E138">
        <v>3.0903366696459602</v>
      </c>
      <c r="F138">
        <v>2.56732996406675</v>
      </c>
      <c r="G138">
        <v>-50.437167949674439</v>
      </c>
      <c r="H138">
        <v>-43.427501656830962</v>
      </c>
      <c r="I138">
        <v>6.6181997760878701</v>
      </c>
      <c r="J138">
        <v>3.7586109894686701</v>
      </c>
      <c r="K138">
        <v>1.2037162004492501</v>
      </c>
      <c r="L138">
        <v>3.0874263789400747E-5</v>
      </c>
      <c r="M138">
        <v>1.8191956492930538E-6</v>
      </c>
      <c r="N138" s="1">
        <v>-1.7799911520376599E-8</v>
      </c>
      <c r="O138" s="1">
        <v>1.0844331523220899E-11</v>
      </c>
      <c r="P138" s="1">
        <v>7.7767367087005602E-11</v>
      </c>
      <c r="Q138">
        <v>65.457973202637902</v>
      </c>
      <c r="S138">
        <v>21.337642501217601</v>
      </c>
      <c r="AA138">
        <v>2.3300503644710902</v>
      </c>
      <c r="AB138">
        <v>9.4739103221904202</v>
      </c>
      <c r="AC138">
        <v>1.4004236094829099</v>
      </c>
      <c r="AJ138">
        <v>0.81092305480735005</v>
      </c>
      <c r="AK138">
        <v>0.110211389303684</v>
      </c>
      <c r="AL138">
        <v>7.88655558889646E-2</v>
      </c>
    </row>
    <row r="139" spans="1:38" x14ac:dyDescent="0.2">
      <c r="A139">
        <v>119</v>
      </c>
      <c r="B139">
        <v>785</v>
      </c>
      <c r="C139">
        <v>150</v>
      </c>
      <c r="D139">
        <v>0.452894674668055</v>
      </c>
      <c r="E139">
        <v>3.5244187365010302</v>
      </c>
      <c r="F139">
        <v>2.5669846612410301</v>
      </c>
      <c r="G139">
        <v>-57.510269333763695</v>
      </c>
      <c r="H139">
        <v>-49.527336976274199</v>
      </c>
      <c r="I139">
        <v>7.5442350871705202</v>
      </c>
      <c r="J139">
        <v>4.2870704019555701</v>
      </c>
      <c r="K139">
        <v>1.3729800531013301</v>
      </c>
      <c r="L139">
        <v>3.0907067867322358E-5</v>
      </c>
      <c r="M139">
        <v>1.8201901986100755E-6</v>
      </c>
      <c r="N139" s="1">
        <v>-2.09726264232501E-8</v>
      </c>
      <c r="O139" s="1">
        <v>1.23716182434334E-11</v>
      </c>
      <c r="P139" s="1">
        <v>9.0660472150262801E-11</v>
      </c>
      <c r="Q139">
        <v>65.498655118946004</v>
      </c>
      <c r="S139">
        <v>21.305770875363599</v>
      </c>
      <c r="AA139">
        <v>2.2942633777891102</v>
      </c>
      <c r="AB139">
        <v>9.4810121806355507</v>
      </c>
      <c r="AC139">
        <v>1.4202984472656299</v>
      </c>
      <c r="AJ139">
        <v>0.81150300662651897</v>
      </c>
      <c r="AK139">
        <v>0.10851492929423701</v>
      </c>
      <c r="AL139">
        <v>7.9982064079242493E-2</v>
      </c>
    </row>
    <row r="140" spans="1:38" x14ac:dyDescent="0.2">
      <c r="A140">
        <v>120</v>
      </c>
      <c r="B140">
        <v>784</v>
      </c>
      <c r="C140">
        <v>150</v>
      </c>
      <c r="D140">
        <v>0.45231093033155201</v>
      </c>
      <c r="E140">
        <v>3.9581549711844999</v>
      </c>
      <c r="F140">
        <v>2.56664743288907</v>
      </c>
      <c r="G140">
        <v>-64.57490311072398</v>
      </c>
      <c r="H140">
        <v>-55.622300322053377</v>
      </c>
      <c r="I140">
        <v>8.4686210931945407</v>
      </c>
      <c r="J140">
        <v>4.8152483011090501</v>
      </c>
      <c r="K140">
        <v>1.54214985683838</v>
      </c>
      <c r="L140">
        <v>3.0939648026669058E-5</v>
      </c>
      <c r="M140">
        <v>1.8211571068355731E-6</v>
      </c>
      <c r="N140" s="1">
        <v>-2.4328039870628801E-8</v>
      </c>
      <c r="O140" s="1">
        <v>1.38982679876443E-11</v>
      </c>
      <c r="P140" s="1">
        <v>1.04084684131045E-10</v>
      </c>
      <c r="Q140">
        <v>65.538146725856706</v>
      </c>
      <c r="S140">
        <v>21.2746920478886</v>
      </c>
      <c r="AA140">
        <v>2.25940820031273</v>
      </c>
      <c r="AB140">
        <v>9.4875399224317896</v>
      </c>
      <c r="AC140">
        <v>1.4402131035100501</v>
      </c>
      <c r="AJ140">
        <v>0.81203607381736997</v>
      </c>
      <c r="AK140">
        <v>0.10686295945785</v>
      </c>
      <c r="AL140">
        <v>8.1100966724779205E-2</v>
      </c>
    </row>
    <row r="141" spans="1:38" x14ac:dyDescent="0.2">
      <c r="A141">
        <v>121</v>
      </c>
      <c r="B141">
        <v>783</v>
      </c>
      <c r="C141">
        <v>150</v>
      </c>
      <c r="D141">
        <v>0.45172608057567798</v>
      </c>
      <c r="E141">
        <v>4.3913399923779801</v>
      </c>
      <c r="F141">
        <v>2.5663182123480501</v>
      </c>
      <c r="G141">
        <v>-71.627728614791536</v>
      </c>
      <c r="H141">
        <v>-61.709517329626593</v>
      </c>
      <c r="I141">
        <v>9.3909115988874099</v>
      </c>
      <c r="J141">
        <v>5.3429001641332299</v>
      </c>
      <c r="K141">
        <v>1.7111439926851899</v>
      </c>
      <c r="L141">
        <v>3.0972030267219281E-5</v>
      </c>
      <c r="M141">
        <v>1.8220969555252874E-6</v>
      </c>
      <c r="N141" s="1">
        <v>-2.7871671453780601E-8</v>
      </c>
      <c r="O141" s="1">
        <v>1.5423418548256999E-11</v>
      </c>
      <c r="P141" s="1">
        <v>1.18054009682433E-10</v>
      </c>
      <c r="Q141">
        <v>65.576467760631999</v>
      </c>
      <c r="S141">
        <v>21.2443947285111</v>
      </c>
      <c r="AA141">
        <v>2.2254709120238401</v>
      </c>
      <c r="AB141">
        <v>9.4935079320682991</v>
      </c>
      <c r="AC141">
        <v>1.46015866676467</v>
      </c>
      <c r="AJ141">
        <v>0.81252343880574696</v>
      </c>
      <c r="AK141">
        <v>0.105254795755145</v>
      </c>
      <c r="AL141">
        <v>8.2221765439106698E-2</v>
      </c>
    </row>
    <row r="142" spans="1:38" x14ac:dyDescent="0.2">
      <c r="A142">
        <v>122</v>
      </c>
      <c r="B142">
        <v>782</v>
      </c>
      <c r="C142">
        <v>150</v>
      </c>
      <c r="D142">
        <v>0.451140122257502</v>
      </c>
      <c r="E142">
        <v>4.8237737589448102</v>
      </c>
      <c r="F142">
        <v>2.56599692139253</v>
      </c>
      <c r="G142">
        <v>-78.665495548843694</v>
      </c>
      <c r="H142">
        <v>-67.786189020566297</v>
      </c>
      <c r="I142">
        <v>10.3106729169098</v>
      </c>
      <c r="J142">
        <v>5.8697882423295704</v>
      </c>
      <c r="K142">
        <v>1.8798829097296801</v>
      </c>
      <c r="L142">
        <v>3.1004241700197979E-5</v>
      </c>
      <c r="M142">
        <v>1.8230103565895468E-6</v>
      </c>
      <c r="N142" s="1">
        <v>-3.16092154958677E-8</v>
      </c>
      <c r="O142" s="1">
        <v>1.6946225346033001E-11</v>
      </c>
      <c r="P142" s="1">
        <v>1.3258297424732599E-10</v>
      </c>
      <c r="Q142">
        <v>65.613639285306505</v>
      </c>
      <c r="S142">
        <v>21.2148666649062</v>
      </c>
      <c r="AA142">
        <v>2.1924364900911999</v>
      </c>
      <c r="AB142">
        <v>9.4989310240975797</v>
      </c>
      <c r="AC142">
        <v>1.4801265355983999</v>
      </c>
      <c r="AJ142">
        <v>0.81296631806854303</v>
      </c>
      <c r="AK142">
        <v>0.103689703040727</v>
      </c>
      <c r="AL142">
        <v>8.3343978890729503E-2</v>
      </c>
    </row>
    <row r="143" spans="1:38" x14ac:dyDescent="0.2">
      <c r="A143">
        <v>123</v>
      </c>
      <c r="B143">
        <v>781</v>
      </c>
      <c r="C143">
        <v>150</v>
      </c>
      <c r="D143">
        <v>0.45055305222216901</v>
      </c>
      <c r="E143">
        <v>5.25526228641926</v>
      </c>
      <c r="F143">
        <v>2.56568347113424</v>
      </c>
      <c r="G143">
        <v>-85.685055517275316</v>
      </c>
      <c r="H143">
        <v>-73.849601797652298</v>
      </c>
      <c r="I143">
        <v>11.2274853859725</v>
      </c>
      <c r="J143">
        <v>6.39568244474028</v>
      </c>
      <c r="K143">
        <v>2.0482894112016101</v>
      </c>
      <c r="L143">
        <v>3.103631046971872E-5</v>
      </c>
      <c r="M143">
        <v>1.823897948451894E-6</v>
      </c>
      <c r="N143" s="1">
        <v>-3.5546556550554797E-8</v>
      </c>
      <c r="O143" s="1">
        <v>1.8465864194990199E-11</v>
      </c>
      <c r="P143" s="1">
        <v>1.4768667174522899E-10</v>
      </c>
      <c r="Q143">
        <v>65.649683530810705</v>
      </c>
      <c r="S143">
        <v>21.186094743056799</v>
      </c>
      <c r="AA143">
        <v>2.1602889280325002</v>
      </c>
      <c r="AB143">
        <v>9.5038243588552191</v>
      </c>
      <c r="AC143">
        <v>1.50010843924466</v>
      </c>
      <c r="AJ143">
        <v>0.81336595531420797</v>
      </c>
      <c r="AK143">
        <v>0.10216690071375401</v>
      </c>
      <c r="AL143">
        <v>8.4467143972037098E-2</v>
      </c>
    </row>
    <row r="144" spans="1:38" x14ac:dyDescent="0.2">
      <c r="A144">
        <v>124</v>
      </c>
      <c r="B144">
        <v>780</v>
      </c>
      <c r="C144">
        <v>150</v>
      </c>
      <c r="D144">
        <v>0.44996486730285301</v>
      </c>
      <c r="E144">
        <v>5.6856182714240298</v>
      </c>
      <c r="F144">
        <v>2.5653777629543999</v>
      </c>
      <c r="G144">
        <v>-92.683372043335893</v>
      </c>
      <c r="H144">
        <v>-79.897136148198058</v>
      </c>
      <c r="I144">
        <v>12.1409446851235</v>
      </c>
      <c r="J144">
        <v>6.9203611094873398</v>
      </c>
      <c r="K144">
        <v>2.2162889043195801</v>
      </c>
      <c r="L144">
        <v>3.1068265676635695E-5</v>
      </c>
      <c r="M144">
        <v>1.824760392263982E-6</v>
      </c>
      <c r="N144" s="1">
        <v>-3.9689785536901503E-8</v>
      </c>
      <c r="O144" s="1">
        <v>1.9981533712561201E-11</v>
      </c>
      <c r="P144" s="1">
        <v>1.63380815268392E-10</v>
      </c>
      <c r="Q144">
        <v>65.684623741886696</v>
      </c>
      <c r="S144">
        <v>21.158065088107499</v>
      </c>
      <c r="AA144">
        <v>2.1290113551073002</v>
      </c>
      <c r="AB144">
        <v>9.5082033612653394</v>
      </c>
      <c r="AC144">
        <v>1.5200964536330901</v>
      </c>
      <c r="AJ144">
        <v>0.81372361491759904</v>
      </c>
      <c r="AK144">
        <v>0.100685568371204</v>
      </c>
      <c r="AL144">
        <v>8.5590816711196505E-2</v>
      </c>
    </row>
    <row r="145" spans="1:38" x14ac:dyDescent="0.2">
      <c r="A145">
        <v>125</v>
      </c>
      <c r="B145">
        <v>779</v>
      </c>
      <c r="C145">
        <v>150</v>
      </c>
      <c r="D145">
        <v>0.44937556432067799</v>
      </c>
      <c r="E145">
        <v>6.11466163125331</v>
      </c>
      <c r="F145">
        <v>2.5650796894430101</v>
      </c>
      <c r="G145">
        <v>-99.657529191608518</v>
      </c>
      <c r="H145">
        <v>-85.926274157834811</v>
      </c>
      <c r="I145">
        <v>13.0506629603893</v>
      </c>
      <c r="J145">
        <v>7.4436116716410998</v>
      </c>
      <c r="K145">
        <v>2.3838096166833198</v>
      </c>
      <c r="L145">
        <v>3.1100137305962089E-5</v>
      </c>
      <c r="M145">
        <v>1.8255983682335136E-6</v>
      </c>
      <c r="N145" s="1">
        <v>-4.4045216515012699E-8</v>
      </c>
      <c r="O145" s="1">
        <v>2.1492457399145699E-11</v>
      </c>
      <c r="P145" s="1">
        <v>1.7968178884782799E-10</v>
      </c>
      <c r="Q145">
        <v>65.718484025415705</v>
      </c>
      <c r="S145">
        <v>21.130763163701999</v>
      </c>
      <c r="AA145">
        <v>2.0985861536616199</v>
      </c>
      <c r="AB145">
        <v>9.5120836432724705</v>
      </c>
      <c r="AC145">
        <v>1.5400830139481401</v>
      </c>
      <c r="AJ145">
        <v>0.81404057565233301</v>
      </c>
      <c r="AK145">
        <v>9.9244851356768804E-2</v>
      </c>
      <c r="AL145">
        <v>8.6714572990897701E-2</v>
      </c>
    </row>
    <row r="146" spans="1:38" x14ac:dyDescent="0.2">
      <c r="A146">
        <v>126</v>
      </c>
      <c r="B146">
        <v>778</v>
      </c>
      <c r="C146">
        <v>150</v>
      </c>
      <c r="D146">
        <v>0.44878514008467002</v>
      </c>
      <c r="E146">
        <v>6.5422199462073802</v>
      </c>
      <c r="F146">
        <v>2.5647891353502299</v>
      </c>
      <c r="G146">
        <v>-106.60473859648306</v>
      </c>
      <c r="H146">
        <v>-91.934605661397157</v>
      </c>
      <c r="I146">
        <v>13.9562697379878</v>
      </c>
      <c r="J146">
        <v>7.9652312125680798</v>
      </c>
      <c r="K146">
        <v>2.5507827743172302</v>
      </c>
      <c r="L146">
        <v>3.1131956158580809E-5</v>
      </c>
      <c r="M146">
        <v>1.8264125720796879E-6</v>
      </c>
      <c r="N146" s="1">
        <v>-4.8619403972032802E-8</v>
      </c>
      <c r="O146" s="1">
        <v>2.2997885341810399E-11</v>
      </c>
      <c r="P146" s="1">
        <v>1.96606699792169E-10</v>
      </c>
      <c r="Q146">
        <v>65.751289202535403</v>
      </c>
      <c r="S146">
        <v>21.104173869834899</v>
      </c>
      <c r="AA146">
        <v>2.0689950743633001</v>
      </c>
      <c r="AB146">
        <v>9.5154809308238608</v>
      </c>
      <c r="AC146">
        <v>1.56006092244242</v>
      </c>
      <c r="AJ146">
        <v>0.814318124795126</v>
      </c>
      <c r="AK146">
        <v>9.7843866203036103E-2</v>
      </c>
      <c r="AL146">
        <v>8.7838009001836803E-2</v>
      </c>
    </row>
    <row r="147" spans="1:38" x14ac:dyDescent="0.2">
      <c r="A147">
        <v>127</v>
      </c>
      <c r="B147">
        <v>777</v>
      </c>
      <c r="C147">
        <v>150</v>
      </c>
      <c r="D147">
        <v>0.44819359139171</v>
      </c>
      <c r="E147">
        <v>6.9681288221393496</v>
      </c>
      <c r="F147">
        <v>2.5645059785175301</v>
      </c>
      <c r="G147">
        <v>-113.52234518352677</v>
      </c>
      <c r="H147">
        <v>-97.919833276317576</v>
      </c>
      <c r="I147">
        <v>14.857412662199801</v>
      </c>
      <c r="J147">
        <v>8.4850269120516693</v>
      </c>
      <c r="K147">
        <v>2.7171427481590098</v>
      </c>
      <c r="L147">
        <v>3.1163753788210866E-5</v>
      </c>
      <c r="M147">
        <v>1.8272037116724E-6</v>
      </c>
      <c r="N147" s="1">
        <v>-5.3419160686323098E-8</v>
      </c>
      <c r="O147" s="1">
        <v>2.44970956037708E-11</v>
      </c>
      <c r="P147" s="1">
        <v>2.1417343192892501E-10</v>
      </c>
      <c r="Q147">
        <v>65.7830646673236</v>
      </c>
      <c r="S147">
        <v>21.078281636907199</v>
      </c>
      <c r="AA147">
        <v>2.0402193467728398</v>
      </c>
      <c r="AB147">
        <v>9.5184109955320793</v>
      </c>
      <c r="AC147">
        <v>1.5800233534642001</v>
      </c>
      <c r="AJ147">
        <v>0.81455755261195995</v>
      </c>
      <c r="AK147">
        <v>9.6481705846997404E-2</v>
      </c>
      <c r="AL147">
        <v>8.8960741541041902E-2</v>
      </c>
    </row>
    <row r="148" spans="1:38" x14ac:dyDescent="0.2">
      <c r="A148">
        <v>128</v>
      </c>
      <c r="B148">
        <v>776</v>
      </c>
      <c r="C148">
        <v>150</v>
      </c>
      <c r="D148">
        <v>0.447600915026452</v>
      </c>
      <c r="E148">
        <v>7.3922321604574304</v>
      </c>
      <c r="F148">
        <v>2.5642300907995002</v>
      </c>
      <c r="G148">
        <v>-120.40783137884421</v>
      </c>
      <c r="H148">
        <v>-103.87977614017349</v>
      </c>
      <c r="I148">
        <v>15.7537580314261</v>
      </c>
      <c r="J148">
        <v>9.0028163877265595</v>
      </c>
      <c r="K148">
        <v>2.8828271639822298</v>
      </c>
      <c r="L148">
        <v>3.1195562443837769E-5</v>
      </c>
      <c r="M148">
        <v>1.827972503848684E-6</v>
      </c>
      <c r="N148" s="1">
        <v>-5.8451576026590002E-8</v>
      </c>
      <c r="O148" s="1">
        <v>2.59893952541126E-11</v>
      </c>
      <c r="P148" s="1">
        <v>2.3240069921002001E-10</v>
      </c>
      <c r="Q148">
        <v>65.813836251559593</v>
      </c>
      <c r="S148">
        <v>21.053070516588299</v>
      </c>
      <c r="AA148">
        <v>2.01223978586154</v>
      </c>
      <c r="AB148">
        <v>9.5208895915105494</v>
      </c>
      <c r="AC148">
        <v>1.59996385447983</v>
      </c>
      <c r="AJ148">
        <v>0.81476014726552903</v>
      </c>
      <c r="AK148">
        <v>9.5157444648486605E-2</v>
      </c>
      <c r="AL148">
        <v>9.0082408085984306E-2</v>
      </c>
    </row>
    <row r="149" spans="1:38" x14ac:dyDescent="0.2">
      <c r="A149">
        <v>129</v>
      </c>
      <c r="B149">
        <v>775</v>
      </c>
      <c r="C149">
        <v>150</v>
      </c>
      <c r="D149">
        <v>0.44700710776129698</v>
      </c>
      <c r="E149">
        <v>7.8203212037282999</v>
      </c>
      <c r="F149">
        <v>2.5639565079164601</v>
      </c>
      <c r="G149">
        <v>-127.35536062636561</v>
      </c>
      <c r="H149">
        <v>-109.89564876383531</v>
      </c>
      <c r="I149">
        <v>16.657646198092099</v>
      </c>
      <c r="J149">
        <v>9.5256550950401895</v>
      </c>
      <c r="K149">
        <v>3.0500990089271398</v>
      </c>
      <c r="L149">
        <v>3.1227419573427567E-5</v>
      </c>
      <c r="M149">
        <v>1.8287243798085298E-6</v>
      </c>
      <c r="N149" s="1">
        <v>-6.3771409448430396E-8</v>
      </c>
      <c r="O149" s="1">
        <v>2.7495234811740899E-11</v>
      </c>
      <c r="P149" s="1">
        <v>2.5149577564123099E-10</v>
      </c>
      <c r="Q149">
        <v>65.8439165428709</v>
      </c>
      <c r="S149">
        <v>21.028232889598701</v>
      </c>
      <c r="AA149">
        <v>1.98472966452457</v>
      </c>
      <c r="AB149">
        <v>9.5228068395919099</v>
      </c>
      <c r="AC149">
        <v>1.6203140634137401</v>
      </c>
      <c r="AJ149">
        <v>0.81491695772910699</v>
      </c>
      <c r="AK149">
        <v>9.3855673650222293E-2</v>
      </c>
      <c r="AL149">
        <v>9.1227368620670005E-2</v>
      </c>
    </row>
    <row r="150" spans="1:38" x14ac:dyDescent="0.2">
      <c r="A150">
        <v>130</v>
      </c>
      <c r="B150">
        <v>774</v>
      </c>
      <c r="C150">
        <v>150</v>
      </c>
      <c r="D150">
        <v>0.44641216635630598</v>
      </c>
      <c r="E150">
        <v>9.1742387457392205</v>
      </c>
      <c r="F150">
        <v>2.5629343958182198</v>
      </c>
      <c r="G150">
        <v>-149.34133749105951</v>
      </c>
      <c r="H150">
        <v>-128.88798551472158</v>
      </c>
      <c r="I150">
        <v>19.5323993471211</v>
      </c>
      <c r="J150">
        <v>11.175217746677101</v>
      </c>
      <c r="K150">
        <v>3.57958391783583</v>
      </c>
      <c r="L150">
        <v>3.1257578242792924E-5</v>
      </c>
      <c r="M150">
        <v>1.8301215465023215E-6</v>
      </c>
      <c r="N150" s="1">
        <v>-7.6918683427280295E-8</v>
      </c>
      <c r="O150" s="1">
        <v>3.2297938774736101E-11</v>
      </c>
      <c r="P150" s="1">
        <v>3.0112444720275901E-10</v>
      </c>
      <c r="Q150">
        <v>65.915488074183003</v>
      </c>
      <c r="S150">
        <v>20.959498917617399</v>
      </c>
      <c r="AA150">
        <v>1.91132319547426</v>
      </c>
      <c r="AB150">
        <v>9.5021051160337393</v>
      </c>
      <c r="AC150">
        <v>1.7115846966914401</v>
      </c>
      <c r="AJ150">
        <v>0.81323007728781904</v>
      </c>
      <c r="AK150">
        <v>9.0393774834966106E-2</v>
      </c>
      <c r="AL150">
        <v>9.6376147877214297E-2</v>
      </c>
    </row>
    <row r="151" spans="1:38" x14ac:dyDescent="0.2">
      <c r="A151">
        <v>131</v>
      </c>
      <c r="B151">
        <v>773</v>
      </c>
      <c r="C151">
        <v>150</v>
      </c>
      <c r="D151">
        <v>0.44581608755914398</v>
      </c>
      <c r="E151">
        <v>10.5623111208638</v>
      </c>
      <c r="F151">
        <v>2.5618860459146302</v>
      </c>
      <c r="G151">
        <v>-171.86044236995963</v>
      </c>
      <c r="H151">
        <v>-148.34636963360884</v>
      </c>
      <c r="I151">
        <v>22.476769809636</v>
      </c>
      <c r="J151">
        <v>12.866144625601599</v>
      </c>
      <c r="K151">
        <v>4.1228653154605501</v>
      </c>
      <c r="L151">
        <v>3.1282580741686595E-5</v>
      </c>
      <c r="M151">
        <v>1.8313825278173944E-6</v>
      </c>
      <c r="N151" s="1">
        <v>-9.0964792703895901E-8</v>
      </c>
      <c r="O151" s="1">
        <v>3.72339831314806E-11</v>
      </c>
      <c r="P151" s="1">
        <v>3.5363440782498198E-10</v>
      </c>
      <c r="Q151">
        <v>65.983119449337295</v>
      </c>
      <c r="S151">
        <v>20.8915574636993</v>
      </c>
      <c r="AA151">
        <v>1.8394899435148799</v>
      </c>
      <c r="AB151">
        <v>9.4747006548777399</v>
      </c>
      <c r="AC151">
        <v>1.8111324885706299</v>
      </c>
      <c r="AJ151">
        <v>0.81099604376846701</v>
      </c>
      <c r="AK151">
        <v>8.70084528254918E-2</v>
      </c>
      <c r="AL151">
        <v>0.10199550340604099</v>
      </c>
    </row>
    <row r="152" spans="1:38" x14ac:dyDescent="0.2">
      <c r="A152">
        <v>132</v>
      </c>
      <c r="B152">
        <v>772</v>
      </c>
      <c r="C152">
        <v>150</v>
      </c>
      <c r="D152">
        <v>0.44521886810505501</v>
      </c>
      <c r="E152">
        <v>11.992506111019599</v>
      </c>
      <c r="F152">
        <v>2.5608012554203601</v>
      </c>
      <c r="G152">
        <v>-195.03900092764653</v>
      </c>
      <c r="H152">
        <v>-168.37993054392203</v>
      </c>
      <c r="I152">
        <v>25.5074107867047</v>
      </c>
      <c r="J152">
        <v>14.607925849430201</v>
      </c>
      <c r="K152">
        <v>4.6831069321117704</v>
      </c>
      <c r="L152">
        <v>3.1301820025200992E-5</v>
      </c>
      <c r="M152">
        <v>1.8325014715742167E-6</v>
      </c>
      <c r="N152" s="1">
        <v>-1.05979803534734E-7</v>
      </c>
      <c r="O152" s="1">
        <v>4.2332866676972702E-11</v>
      </c>
      <c r="P152" s="1">
        <v>4.0929091649474802E-10</v>
      </c>
      <c r="Q152">
        <v>66.046882688603503</v>
      </c>
      <c r="S152">
        <v>20.824009835568798</v>
      </c>
      <c r="AA152">
        <v>1.76888417849138</v>
      </c>
      <c r="AB152">
        <v>9.4397087257991306</v>
      </c>
      <c r="AC152">
        <v>1.9205145715370999</v>
      </c>
      <c r="AJ152">
        <v>0.808142216392712</v>
      </c>
      <c r="AK152">
        <v>8.36834137615909E-2</v>
      </c>
      <c r="AL152">
        <v>0.10817436984569601</v>
      </c>
    </row>
    <row r="153" spans="1:38" x14ac:dyDescent="0.2">
      <c r="A153">
        <v>133</v>
      </c>
      <c r="B153">
        <v>771</v>
      </c>
      <c r="C153">
        <v>150</v>
      </c>
      <c r="D153">
        <v>0.44462050471675502</v>
      </c>
      <c r="E153">
        <v>13.476216839615899</v>
      </c>
      <c r="F153">
        <v>2.5596666198672899</v>
      </c>
      <c r="G153">
        <v>-219.05789319988736</v>
      </c>
      <c r="H153">
        <v>-189.14490478934729</v>
      </c>
      <c r="I153">
        <v>28.648171632945498</v>
      </c>
      <c r="J153">
        <v>16.4141493144968</v>
      </c>
      <c r="K153">
        <v>5.2648328243287503</v>
      </c>
      <c r="L153">
        <v>3.1314469368563465E-5</v>
      </c>
      <c r="M153">
        <v>1.8334698743531895E-6</v>
      </c>
      <c r="N153" s="1">
        <v>-1.22056383624159E-7</v>
      </c>
      <c r="O153" s="1">
        <v>4.7636981734959001E-11</v>
      </c>
      <c r="P153" s="1">
        <v>4.6845226891847805E-10</v>
      </c>
      <c r="Q153">
        <v>66.106846450317605</v>
      </c>
      <c r="S153">
        <v>20.756342135681699</v>
      </c>
      <c r="AA153">
        <v>1.6990659091838101</v>
      </c>
      <c r="AB153">
        <v>9.3959350809954199</v>
      </c>
      <c r="AC153">
        <v>2.0418104238213601</v>
      </c>
      <c r="AJ153">
        <v>0.80457045610792399</v>
      </c>
      <c r="AK153">
        <v>8.0397971286619102E-2</v>
      </c>
      <c r="AL153">
        <v>0.115031572605456</v>
      </c>
    </row>
    <row r="154" spans="1:38" x14ac:dyDescent="0.2">
      <c r="A154">
        <v>134</v>
      </c>
      <c r="B154">
        <v>770</v>
      </c>
      <c r="C154">
        <v>150</v>
      </c>
      <c r="D154">
        <v>0.44402099410439499</v>
      </c>
      <c r="E154">
        <v>15.0300630569471</v>
      </c>
      <c r="F154">
        <v>2.55846411783306</v>
      </c>
      <c r="G154">
        <v>-244.18121144646938</v>
      </c>
      <c r="H154">
        <v>-210.86939004400381</v>
      </c>
      <c r="I154">
        <v>31.933874708781602</v>
      </c>
      <c r="J154">
        <v>18.304653240035201</v>
      </c>
      <c r="K154">
        <v>5.8746428969569102</v>
      </c>
      <c r="L154">
        <v>3.131936867987442E-5</v>
      </c>
      <c r="M154">
        <v>1.834274987702676E-6</v>
      </c>
      <c r="N154" s="1">
        <v>-1.3932145925686799E-7</v>
      </c>
      <c r="O154" s="1">
        <v>5.32083977009834E-11</v>
      </c>
      <c r="P154" s="1">
        <v>5.3161810746929998E-10</v>
      </c>
      <c r="Q154">
        <v>66.163060130650905</v>
      </c>
      <c r="S154">
        <v>20.687879418276601</v>
      </c>
      <c r="AA154">
        <v>1.6294667725068901</v>
      </c>
      <c r="AB154">
        <v>9.3417203391230608</v>
      </c>
      <c r="AC154">
        <v>2.1778733394424501</v>
      </c>
      <c r="AJ154">
        <v>0.80014428938871995</v>
      </c>
      <c r="AK154">
        <v>7.7125456482106503E-2</v>
      </c>
      <c r="AL154">
        <v>0.122730254129172</v>
      </c>
    </row>
    <row r="155" spans="1:38" x14ac:dyDescent="0.2">
      <c r="A155">
        <v>135</v>
      </c>
      <c r="B155">
        <v>769</v>
      </c>
      <c r="C155">
        <v>150</v>
      </c>
      <c r="D155">
        <v>0.44342033296550898</v>
      </c>
      <c r="E155">
        <v>16.678966225093699</v>
      </c>
      <c r="F155">
        <v>2.5571688340139298</v>
      </c>
      <c r="G155">
        <v>-270.80516429895255</v>
      </c>
      <c r="H155">
        <v>-233.89558839043886</v>
      </c>
      <c r="I155">
        <v>35.416759495767103</v>
      </c>
      <c r="J155">
        <v>20.3091986561409</v>
      </c>
      <c r="K155">
        <v>6.5224344999204202</v>
      </c>
      <c r="L155">
        <v>3.1314837219443524E-5</v>
      </c>
      <c r="M155">
        <v>1.8348971709435177E-6</v>
      </c>
      <c r="N155" s="1">
        <v>-1.5795562459889401E-7</v>
      </c>
      <c r="O155" s="1">
        <v>5.9140446304648695E-11</v>
      </c>
      <c r="P155" s="1">
        <v>5.9951044298467303E-10</v>
      </c>
      <c r="Q155">
        <v>66.215525483896002</v>
      </c>
      <c r="S155">
        <v>20.617712204771401</v>
      </c>
      <c r="AA155">
        <v>1.55933602997793</v>
      </c>
      <c r="AB155">
        <v>9.2746840931858898</v>
      </c>
      <c r="AC155">
        <v>2.33274218816871</v>
      </c>
      <c r="AJ155">
        <v>0.79466777643477604</v>
      </c>
      <c r="AK155">
        <v>7.3830699146108597E-2</v>
      </c>
      <c r="AL155">
        <v>0.131501524419114</v>
      </c>
    </row>
    <row r="156" spans="1:38" x14ac:dyDescent="0.2">
      <c r="A156">
        <v>136</v>
      </c>
      <c r="B156">
        <v>768</v>
      </c>
      <c r="C156">
        <v>150</v>
      </c>
      <c r="D156">
        <v>0.442818517984921</v>
      </c>
      <c r="E156">
        <v>18.4616666697287</v>
      </c>
      <c r="F156">
        <v>2.5557452393986999</v>
      </c>
      <c r="G156">
        <v>-299.54578130287052</v>
      </c>
      <c r="H156">
        <v>-258.75556851789304</v>
      </c>
      <c r="I156">
        <v>39.178036579721898</v>
      </c>
      <c r="J156">
        <v>22.474054169626299</v>
      </c>
      <c r="K156">
        <v>7.2235942711067</v>
      </c>
      <c r="L156">
        <v>3.1298353603333122E-5</v>
      </c>
      <c r="M156">
        <v>1.8353052738170662E-6</v>
      </c>
      <c r="N156" s="1">
        <v>-1.7822702398350301E-7</v>
      </c>
      <c r="O156" s="1">
        <v>6.5578517013796802E-11</v>
      </c>
      <c r="P156" s="1">
        <v>6.7321624231685305E-10</v>
      </c>
      <c r="Q156">
        <v>66.264140425803703</v>
      </c>
      <c r="S156">
        <v>20.544578381951901</v>
      </c>
      <c r="AA156">
        <v>1.48765624523606</v>
      </c>
      <c r="AB156">
        <v>9.1912900600313492</v>
      </c>
      <c r="AC156">
        <v>2.5123348869768698</v>
      </c>
      <c r="AJ156">
        <v>0.78784954610581504</v>
      </c>
      <c r="AK156">
        <v>7.0466093770577207E-2</v>
      </c>
      <c r="AL156">
        <v>0.141684360123606</v>
      </c>
    </row>
    <row r="157" spans="1:38" x14ac:dyDescent="0.2">
      <c r="A157">
        <v>137</v>
      </c>
      <c r="B157">
        <v>767</v>
      </c>
      <c r="C157">
        <v>150</v>
      </c>
      <c r="D157">
        <v>0.44221554583473799</v>
      </c>
      <c r="E157">
        <v>20.441030879668599</v>
      </c>
      <c r="F157">
        <v>2.55414127978755</v>
      </c>
      <c r="G157">
        <v>-331.4026712823221</v>
      </c>
      <c r="H157">
        <v>-286.31273901714582</v>
      </c>
      <c r="I157">
        <v>43.349451776355501</v>
      </c>
      <c r="J157">
        <v>24.874287710600498</v>
      </c>
      <c r="K157">
        <v>8.00309326716995</v>
      </c>
      <c r="L157">
        <v>3.1265999975720778E-5</v>
      </c>
      <c r="M157">
        <v>1.835448284100344E-6</v>
      </c>
      <c r="N157" s="1">
        <v>-2.00552623085021E-7</v>
      </c>
      <c r="O157" s="1">
        <v>7.2758931797446106E-11</v>
      </c>
      <c r="P157" s="1">
        <v>7.5444781107326796E-10</v>
      </c>
      <c r="Q157">
        <v>66.308575677104898</v>
      </c>
      <c r="S157">
        <v>20.4666835099639</v>
      </c>
      <c r="AA157">
        <v>1.41302381984392</v>
      </c>
      <c r="AB157">
        <v>9.0861001010923292</v>
      </c>
      <c r="AC157">
        <v>2.7256168919948198</v>
      </c>
      <c r="AJ157">
        <v>0.77924095255221004</v>
      </c>
      <c r="AK157">
        <v>6.6966025632618706E-2</v>
      </c>
      <c r="AL157">
        <v>0.15379302181517099</v>
      </c>
    </row>
    <row r="158" spans="1:38" x14ac:dyDescent="0.2">
      <c r="A158">
        <v>138</v>
      </c>
      <c r="B158">
        <v>766</v>
      </c>
      <c r="C158">
        <v>150</v>
      </c>
      <c r="D158">
        <v>0.44161141317423203</v>
      </c>
      <c r="E158">
        <v>22.723148500011899</v>
      </c>
      <c r="F158">
        <v>2.5522808680529301</v>
      </c>
      <c r="G158">
        <v>-368.06210914528191</v>
      </c>
      <c r="H158">
        <v>-318.02374839732317</v>
      </c>
      <c r="I158">
        <v>48.153164363141698</v>
      </c>
      <c r="J158">
        <v>27.636508501701901</v>
      </c>
      <c r="K158">
        <v>8.9030752000843894</v>
      </c>
      <c r="L158">
        <v>3.1211564118504354E-5</v>
      </c>
      <c r="M158">
        <v>1.8352405750449869E-6</v>
      </c>
      <c r="N158" s="1">
        <v>-2.25606440654514E-7</v>
      </c>
      <c r="O158" s="1">
        <v>8.1081045312458205E-11</v>
      </c>
      <c r="P158" s="1">
        <v>8.4600948861003502E-10</v>
      </c>
      <c r="Q158">
        <v>66.347979132463394</v>
      </c>
      <c r="S158">
        <v>20.381507246919099</v>
      </c>
      <c r="AA158">
        <v>1.3335582730686</v>
      </c>
      <c r="AB158">
        <v>8.9506079413881405</v>
      </c>
      <c r="AC158">
        <v>2.9863474061606898</v>
      </c>
      <c r="AJ158">
        <v>0.76813889709284899</v>
      </c>
      <c r="AK158">
        <v>6.3242643004742097E-2</v>
      </c>
      <c r="AL158">
        <v>0.16861845990240801</v>
      </c>
    </row>
    <row r="159" spans="1:38" x14ac:dyDescent="0.2">
      <c r="A159">
        <v>139</v>
      </c>
      <c r="B159">
        <v>765</v>
      </c>
      <c r="C159">
        <v>150</v>
      </c>
      <c r="D159">
        <v>0.44100611664981298</v>
      </c>
      <c r="E159">
        <v>25.484335162043301</v>
      </c>
      <c r="F159">
        <v>2.5500679400772301</v>
      </c>
      <c r="G159">
        <v>-412.32413292432489</v>
      </c>
      <c r="H159">
        <v>-356.30785562465633</v>
      </c>
      <c r="I159">
        <v>53.957787698953403</v>
      </c>
      <c r="J159">
        <v>30.9708873207327</v>
      </c>
      <c r="K159">
        <v>9.9935906653810402</v>
      </c>
      <c r="L159">
        <v>3.1125810602157789E-5</v>
      </c>
      <c r="M159">
        <v>1.8345436717340001E-6</v>
      </c>
      <c r="N159" s="1">
        <v>-2.5445407256201701E-7</v>
      </c>
      <c r="O159" s="1">
        <v>9.1209503429964804E-11</v>
      </c>
      <c r="P159" s="1">
        <v>9.5240209393248006E-10</v>
      </c>
      <c r="Q159">
        <v>66.380257614047594</v>
      </c>
      <c r="S159">
        <v>20.286131251927099</v>
      </c>
      <c r="AA159">
        <v>1.2473403582256199</v>
      </c>
      <c r="AB159">
        <v>8.7724982362987909</v>
      </c>
      <c r="AC159">
        <v>3.3137725395008002</v>
      </c>
      <c r="AJ159">
        <v>0.75352170413331199</v>
      </c>
      <c r="AK159">
        <v>5.9206343593234102E-2</v>
      </c>
      <c r="AL159">
        <v>0.187271952273453</v>
      </c>
    </row>
    <row r="160" spans="1:38" x14ac:dyDescent="0.2">
      <c r="A160">
        <v>140</v>
      </c>
      <c r="B160">
        <v>764</v>
      </c>
      <c r="C160">
        <v>150</v>
      </c>
      <c r="D160">
        <v>0.44039965289495597</v>
      </c>
      <c r="E160">
        <v>27.076253545682999</v>
      </c>
      <c r="F160">
        <v>2.55170863272666</v>
      </c>
      <c r="G160">
        <v>-438.1597024969663</v>
      </c>
      <c r="H160">
        <v>-378.73779710993608</v>
      </c>
      <c r="I160">
        <v>57.293453586299101</v>
      </c>
      <c r="J160">
        <v>32.9134268717414</v>
      </c>
      <c r="K160">
        <v>10.6110287038337</v>
      </c>
      <c r="L160">
        <v>3.1120386800094674E-5</v>
      </c>
      <c r="M160">
        <v>1.8325143922402663E-6</v>
      </c>
      <c r="N160" s="1">
        <v>-2.7882229223707098E-7</v>
      </c>
      <c r="O160" s="1">
        <v>9.6585928502220396E-11</v>
      </c>
      <c r="P160" s="1">
        <v>1.0366607125990301E-9</v>
      </c>
      <c r="Q160">
        <v>66.264599425328797</v>
      </c>
      <c r="S160">
        <v>20.384956736707</v>
      </c>
      <c r="AA160">
        <v>1.3558596522498501</v>
      </c>
      <c r="AB160">
        <v>8.77384402062345</v>
      </c>
      <c r="AC160">
        <v>3.2207401650907599</v>
      </c>
      <c r="AJ160">
        <v>0.75363050168049295</v>
      </c>
      <c r="AK160">
        <v>6.4356747223604099E-2</v>
      </c>
      <c r="AL160">
        <v>0.18201275109590201</v>
      </c>
    </row>
    <row r="161" spans="1:38" x14ac:dyDescent="0.2">
      <c r="A161">
        <v>140</v>
      </c>
      <c r="B161">
        <v>764</v>
      </c>
      <c r="C161">
        <v>150</v>
      </c>
      <c r="D161">
        <v>0.44039965289495597</v>
      </c>
      <c r="E161">
        <v>16.229250445793902</v>
      </c>
      <c r="F161">
        <v>2.5235018072823401</v>
      </c>
      <c r="G161">
        <v>-258.80243195430927</v>
      </c>
      <c r="H161">
        <v>-223.52563490642524</v>
      </c>
      <c r="I161">
        <v>34.013206429044999</v>
      </c>
      <c r="J161">
        <v>19.4231890332305</v>
      </c>
      <c r="K161">
        <v>6.4312418556465802</v>
      </c>
      <c r="L161">
        <v>2.928551009311216E-5</v>
      </c>
      <c r="M161">
        <v>1.8138912032547279E-6</v>
      </c>
      <c r="N161" s="1">
        <v>-1.00674842699417E-7</v>
      </c>
      <c r="O161" s="1">
        <v>6.0864938954357503E-11</v>
      </c>
      <c r="P161" s="1">
        <v>4.2329461122793701E-10</v>
      </c>
      <c r="Q161">
        <v>66.3916547873648</v>
      </c>
      <c r="S161">
        <v>19.2101377630736</v>
      </c>
      <c r="AA161">
        <v>0.356975338045184</v>
      </c>
      <c r="AB161">
        <v>5.9770394062182799</v>
      </c>
      <c r="AC161">
        <v>8.06419270529803</v>
      </c>
      <c r="AJ161">
        <v>0.52065019482794095</v>
      </c>
      <c r="AK161">
        <v>1.7183392883753801E-2</v>
      </c>
      <c r="AL161">
        <v>0.46216641228830402</v>
      </c>
    </row>
    <row r="162" spans="1:38" x14ac:dyDescent="0.2">
      <c r="A162">
        <v>141</v>
      </c>
      <c r="B162">
        <v>763</v>
      </c>
      <c r="C162">
        <v>150</v>
      </c>
      <c r="D162">
        <v>0.43979201853014099</v>
      </c>
      <c r="E162">
        <v>27.800329093508701</v>
      </c>
      <c r="F162">
        <v>2.5529514286789099</v>
      </c>
      <c r="G162">
        <v>-449.96619509330498</v>
      </c>
      <c r="H162">
        <v>-389.0463001901345</v>
      </c>
      <c r="I162">
        <v>58.794474644762303</v>
      </c>
      <c r="J162">
        <v>33.807542390854898</v>
      </c>
      <c r="K162">
        <v>10.8894860987992</v>
      </c>
      <c r="L162">
        <v>3.1152530668212419E-5</v>
      </c>
      <c r="M162">
        <v>1.8317496468094254E-6</v>
      </c>
      <c r="N162" s="1">
        <v>-2.9658854688280802E-7</v>
      </c>
      <c r="O162" s="1">
        <v>9.8899559068346599E-11</v>
      </c>
      <c r="P162" s="1">
        <v>1.0944693079219199E-9</v>
      </c>
      <c r="Q162">
        <v>66.202392130548901</v>
      </c>
      <c r="S162">
        <v>20.450231030136401</v>
      </c>
      <c r="AA162">
        <v>1.42422683449309</v>
      </c>
      <c r="AB162">
        <v>8.8063434460905103</v>
      </c>
      <c r="AC162">
        <v>3.1168065587309899</v>
      </c>
      <c r="AJ162">
        <v>0.75629871833857698</v>
      </c>
      <c r="AK162">
        <v>6.7590817643848403E-2</v>
      </c>
      <c r="AL162">
        <v>0.17611046401757299</v>
      </c>
    </row>
    <row r="163" spans="1:38" x14ac:dyDescent="0.2">
      <c r="A163">
        <v>141</v>
      </c>
      <c r="B163">
        <v>763</v>
      </c>
      <c r="C163">
        <v>150</v>
      </c>
      <c r="D163">
        <v>0.43979201853014099</v>
      </c>
      <c r="E163">
        <v>23.463160328045099</v>
      </c>
      <c r="F163">
        <v>2.52318004547636</v>
      </c>
      <c r="G163">
        <v>-373.95327826524414</v>
      </c>
      <c r="H163">
        <v>-323.05169610918313</v>
      </c>
      <c r="I163">
        <v>49.125688516200299</v>
      </c>
      <c r="J163">
        <v>28.069641169182699</v>
      </c>
      <c r="K163">
        <v>9.2990432332051007</v>
      </c>
      <c r="L163">
        <v>2.9234094182901798E-5</v>
      </c>
      <c r="M163">
        <v>1.8129485566586903E-6</v>
      </c>
      <c r="N163" s="1">
        <v>-1.4737714744371899E-7</v>
      </c>
      <c r="O163" s="1">
        <v>8.8041078258724003E-11</v>
      </c>
      <c r="P163" s="1">
        <v>6.1707612391417398E-10</v>
      </c>
      <c r="Q163">
        <v>66.366507367239905</v>
      </c>
      <c r="S163">
        <v>19.195619066501301</v>
      </c>
      <c r="AA163">
        <v>0.350865071412364</v>
      </c>
      <c r="AB163">
        <v>5.88293707819708</v>
      </c>
      <c r="AC163">
        <v>8.2040714166492794</v>
      </c>
      <c r="AJ163">
        <v>0.51269644303427198</v>
      </c>
      <c r="AK163">
        <v>1.6897288835072698E-2</v>
      </c>
      <c r="AL163">
        <v>0.470406268130654</v>
      </c>
    </row>
    <row r="164" spans="1:38" x14ac:dyDescent="0.2">
      <c r="A164">
        <v>142</v>
      </c>
      <c r="B164">
        <v>762</v>
      </c>
      <c r="C164">
        <v>150</v>
      </c>
      <c r="D164">
        <v>0.439183210162781</v>
      </c>
      <c r="E164">
        <v>28.271324446279198</v>
      </c>
      <c r="F164">
        <v>2.5536429195447501</v>
      </c>
      <c r="G164">
        <v>-457.6128501433127</v>
      </c>
      <c r="H164">
        <v>-395.75396736403837</v>
      </c>
      <c r="I164">
        <v>59.758375867530603</v>
      </c>
      <c r="J164">
        <v>34.392255595160997</v>
      </c>
      <c r="K164">
        <v>11.0709779467989</v>
      </c>
      <c r="L164">
        <v>3.1185984894600128E-5</v>
      </c>
      <c r="M164">
        <v>1.8314809618742852E-6</v>
      </c>
      <c r="N164" s="1">
        <v>-3.1192305886221398E-7</v>
      </c>
      <c r="O164" s="1">
        <v>1.0039051402309401E-10</v>
      </c>
      <c r="P164" s="1">
        <v>1.1429835714848001E-9</v>
      </c>
      <c r="Q164">
        <v>66.171601912930797</v>
      </c>
      <c r="S164">
        <v>20.483947584420601</v>
      </c>
      <c r="AA164">
        <v>1.4592278133593699</v>
      </c>
      <c r="AB164">
        <v>8.8261214275410698</v>
      </c>
      <c r="AC164">
        <v>3.0591012617481002</v>
      </c>
      <c r="AJ164">
        <v>0.75792218072562501</v>
      </c>
      <c r="AK164">
        <v>6.9245030050941805E-2</v>
      </c>
      <c r="AL164">
        <v>0.17283278922343201</v>
      </c>
    </row>
    <row r="165" spans="1:38" x14ac:dyDescent="0.2">
      <c r="A165">
        <v>142</v>
      </c>
      <c r="B165">
        <v>762</v>
      </c>
      <c r="C165">
        <v>150</v>
      </c>
      <c r="D165">
        <v>0.439183210162781</v>
      </c>
      <c r="E165">
        <v>26.8895686119975</v>
      </c>
      <c r="F165">
        <v>2.5230101573244301</v>
      </c>
      <c r="G165">
        <v>-428.4023578349333</v>
      </c>
      <c r="H165">
        <v>-370.17053861698241</v>
      </c>
      <c r="I165">
        <v>56.254474441337898</v>
      </c>
      <c r="J165">
        <v>32.163315212471304</v>
      </c>
      <c r="K165">
        <v>10.6577329995821</v>
      </c>
      <c r="L165">
        <v>2.9212438607803435E-5</v>
      </c>
      <c r="M165">
        <v>1.8124936374189089E-6</v>
      </c>
      <c r="N165" s="1">
        <v>-1.7266806967951901E-7</v>
      </c>
      <c r="O165" s="1">
        <v>1.00909775694796E-10</v>
      </c>
      <c r="P165" s="1">
        <v>7.1798900495089404E-10</v>
      </c>
      <c r="Q165">
        <v>66.353732144548502</v>
      </c>
      <c r="S165">
        <v>19.185986182776499</v>
      </c>
      <c r="AA165">
        <v>0.34589876727305002</v>
      </c>
      <c r="AB165">
        <v>5.8292143223644501</v>
      </c>
      <c r="AC165">
        <v>8.2851685830374198</v>
      </c>
      <c r="AJ165">
        <v>0.50815229654023797</v>
      </c>
      <c r="AK165">
        <v>1.6662634727347699E-2</v>
      </c>
      <c r="AL165">
        <v>0.47518506873241301</v>
      </c>
    </row>
    <row r="166" spans="1:38" x14ac:dyDescent="0.2">
      <c r="A166">
        <v>143</v>
      </c>
      <c r="B166">
        <v>761</v>
      </c>
      <c r="C166">
        <v>150</v>
      </c>
      <c r="D166">
        <v>0.43857322438717999</v>
      </c>
      <c r="E166">
        <v>28.597481314353701</v>
      </c>
      <c r="F166">
        <v>2.5541111683578999</v>
      </c>
      <c r="G166">
        <v>-462.88897449223055</v>
      </c>
      <c r="H166">
        <v>-400.41068611531131</v>
      </c>
      <c r="I166">
        <v>60.415112292142602</v>
      </c>
      <c r="J166">
        <v>34.800521499905599</v>
      </c>
      <c r="K166">
        <v>11.196647064011501</v>
      </c>
      <c r="L166">
        <v>3.1221168496355992E-5</v>
      </c>
      <c r="M166">
        <v>1.8314321439510909E-6</v>
      </c>
      <c r="N166" s="1">
        <v>-3.2610470168812702E-7</v>
      </c>
      <c r="O166" s="1">
        <v>1.01397038338654E-10</v>
      </c>
      <c r="P166" s="1">
        <v>1.1868748218675699E-9</v>
      </c>
      <c r="Q166">
        <v>66.154113087280194</v>
      </c>
      <c r="S166">
        <v>20.504638853583199</v>
      </c>
      <c r="AA166">
        <v>1.4803791006581699</v>
      </c>
      <c r="AB166">
        <v>8.8413933694504596</v>
      </c>
      <c r="AC166">
        <v>3.0194755890278699</v>
      </c>
      <c r="AJ166">
        <v>0.75917564358031098</v>
      </c>
      <c r="AK166">
        <v>7.0243361789298797E-2</v>
      </c>
      <c r="AL166">
        <v>0.170580994630389</v>
      </c>
    </row>
    <row r="167" spans="1:38" x14ac:dyDescent="0.2">
      <c r="A167">
        <v>143</v>
      </c>
      <c r="B167">
        <v>761</v>
      </c>
      <c r="C167">
        <v>150</v>
      </c>
      <c r="D167">
        <v>0.43857322438717999</v>
      </c>
      <c r="E167">
        <v>28.818551927343002</v>
      </c>
      <c r="F167">
        <v>2.5228989750498698</v>
      </c>
      <c r="G167">
        <v>-458.99464952658781</v>
      </c>
      <c r="H167">
        <v>-396.69134527428736</v>
      </c>
      <c r="I167">
        <v>60.245906543828703</v>
      </c>
      <c r="J167">
        <v>34.468002861009303</v>
      </c>
      <c r="K167">
        <v>11.422792673168001</v>
      </c>
      <c r="L167">
        <v>2.9202862938579913E-5</v>
      </c>
      <c r="M167">
        <v>1.8122325924735334E-6</v>
      </c>
      <c r="N167" s="1">
        <v>-1.89910250792658E-7</v>
      </c>
      <c r="O167" s="1">
        <v>1.08142823508332E-10</v>
      </c>
      <c r="P167" s="1">
        <v>7.8346824800369197E-10</v>
      </c>
      <c r="Q167">
        <v>66.345890793833505</v>
      </c>
      <c r="S167">
        <v>19.178274669252701</v>
      </c>
      <c r="AA167">
        <v>0.341366361647576</v>
      </c>
      <c r="AB167">
        <v>5.7915235574646999</v>
      </c>
      <c r="AC167">
        <v>8.3429446178014608</v>
      </c>
      <c r="AJ167">
        <v>0.50496275816384095</v>
      </c>
      <c r="AK167">
        <v>1.64474295883183E-2</v>
      </c>
      <c r="AL167">
        <v>0.47858981224783897</v>
      </c>
    </row>
    <row r="168" spans="1:38" x14ac:dyDescent="0.2">
      <c r="A168">
        <v>144</v>
      </c>
      <c r="B168">
        <v>760</v>
      </c>
      <c r="C168">
        <v>150</v>
      </c>
      <c r="D168">
        <v>0.43796205778444602</v>
      </c>
      <c r="E168">
        <v>28.8661773319334</v>
      </c>
      <c r="F168">
        <v>2.5545000191758498</v>
      </c>
      <c r="G168">
        <v>-467.22529077443528</v>
      </c>
      <c r="H168">
        <v>-404.25510823451907</v>
      </c>
      <c r="I168">
        <v>60.949699985400201</v>
      </c>
      <c r="J168">
        <v>35.139119541017003</v>
      </c>
      <c r="K168">
        <v>11.3001280545092</v>
      </c>
      <c r="L168">
        <v>3.1257589175684635E-5</v>
      </c>
      <c r="M168">
        <v>1.8314627560665537E-6</v>
      </c>
      <c r="N168" s="1">
        <v>-3.40133556528164E-7</v>
      </c>
      <c r="O168" s="1">
        <v>1.02207434327175E-10</v>
      </c>
      <c r="P168" s="1">
        <v>1.2298009952921201E-9</v>
      </c>
      <c r="Q168">
        <v>66.141332230779199</v>
      </c>
      <c r="S168">
        <v>20.520700793831299</v>
      </c>
      <c r="AA168">
        <v>1.4966126039629699</v>
      </c>
      <c r="AB168">
        <v>8.8550203805752403</v>
      </c>
      <c r="AC168">
        <v>2.9863339908511701</v>
      </c>
      <c r="AJ168">
        <v>0.76029397825835598</v>
      </c>
      <c r="AK168">
        <v>7.1008800155875296E-2</v>
      </c>
      <c r="AL168">
        <v>0.168697221585767</v>
      </c>
    </row>
    <row r="169" spans="1:38" x14ac:dyDescent="0.2">
      <c r="A169">
        <v>144</v>
      </c>
      <c r="B169">
        <v>760</v>
      </c>
      <c r="C169">
        <v>150</v>
      </c>
      <c r="D169">
        <v>0.43796205778444602</v>
      </c>
      <c r="E169">
        <v>30.2073316782154</v>
      </c>
      <c r="F169">
        <v>2.5228096785183198</v>
      </c>
      <c r="G169">
        <v>-480.97900713311208</v>
      </c>
      <c r="H169">
        <v>-415.78254738531592</v>
      </c>
      <c r="I169">
        <v>63.104544110531997</v>
      </c>
      <c r="J169">
        <v>36.127584334784501</v>
      </c>
      <c r="K169">
        <v>11.9736862972384</v>
      </c>
      <c r="L169">
        <v>2.9197824563893698E-5</v>
      </c>
      <c r="M169">
        <v>1.8120405694040119E-6</v>
      </c>
      <c r="N169" s="1">
        <v>-2.0456051351889099E-7</v>
      </c>
      <c r="O169" s="1">
        <v>1.1334019296875999E-10</v>
      </c>
      <c r="P169" s="1">
        <v>8.3705864561629202E-10</v>
      </c>
      <c r="Q169">
        <v>66.339755748558503</v>
      </c>
      <c r="S169">
        <v>19.171288327322401</v>
      </c>
      <c r="AA169">
        <v>0.33703408696417397</v>
      </c>
      <c r="AB169">
        <v>5.7595363343609396</v>
      </c>
      <c r="AC169">
        <v>8.3923855027938004</v>
      </c>
      <c r="AJ169">
        <v>0.50225492827621399</v>
      </c>
      <c r="AK169">
        <v>1.6241319189159002E-2</v>
      </c>
      <c r="AL169">
        <v>0.48150375253462602</v>
      </c>
    </row>
    <row r="170" spans="1:38" x14ac:dyDescent="0.2">
      <c r="A170">
        <v>146</v>
      </c>
      <c r="B170">
        <v>807</v>
      </c>
      <c r="C170">
        <v>125</v>
      </c>
      <c r="D170">
        <v>0.49092301995093302</v>
      </c>
      <c r="E170">
        <v>4.4347692474356999E-2</v>
      </c>
      <c r="F170">
        <v>2.56752023094114</v>
      </c>
      <c r="G170">
        <v>-0.72657876269246235</v>
      </c>
      <c r="H170">
        <v>-0.62288274674257771</v>
      </c>
      <c r="I170">
        <v>9.6001496042109405E-2</v>
      </c>
      <c r="J170">
        <v>5.3870155730910203E-2</v>
      </c>
      <c r="K170">
        <v>1.7272577617860101E-2</v>
      </c>
      <c r="L170">
        <v>3.0483664656498407E-5</v>
      </c>
      <c r="M170">
        <v>1.8120101920991309E-6</v>
      </c>
      <c r="N170" s="1">
        <v>-1.20793870623283E-10</v>
      </c>
      <c r="O170" s="1">
        <v>1.5594466343296699E-13</v>
      </c>
      <c r="P170" s="1">
        <v>7.1761642258408905E-13</v>
      </c>
      <c r="Q170">
        <v>65.164215278731604</v>
      </c>
      <c r="S170">
        <v>21.566379763241901</v>
      </c>
      <c r="AA170">
        <v>2.5873053433388198</v>
      </c>
      <c r="AB170">
        <v>9.4189510097053493</v>
      </c>
      <c r="AC170">
        <v>1.26314860498227</v>
      </c>
      <c r="AJ170">
        <v>0.80643395810429397</v>
      </c>
      <c r="AK170">
        <v>0.12241221176174</v>
      </c>
      <c r="AL170">
        <v>7.1153830133965396E-2</v>
      </c>
    </row>
    <row r="171" spans="1:38" x14ac:dyDescent="0.2">
      <c r="A171">
        <v>147</v>
      </c>
      <c r="B171">
        <v>806</v>
      </c>
      <c r="C171">
        <v>125</v>
      </c>
      <c r="D171">
        <v>0.490386415234215</v>
      </c>
      <c r="E171">
        <v>0.45871644845346998</v>
      </c>
      <c r="F171">
        <v>2.5671447164365202</v>
      </c>
      <c r="G171">
        <v>-7.5139887633374522</v>
      </c>
      <c r="H171">
        <v>-6.4428643039514739</v>
      </c>
      <c r="I171">
        <v>0.99256309075288596</v>
      </c>
      <c r="J171">
        <v>0.55724001649063404</v>
      </c>
      <c r="K171">
        <v>0.17868741310782699</v>
      </c>
      <c r="L171">
        <v>3.0512241815455069E-5</v>
      </c>
      <c r="M171">
        <v>1.8131303539400316E-6</v>
      </c>
      <c r="N171" s="1">
        <v>-1.30056834716738E-9</v>
      </c>
      <c r="O171" s="1">
        <v>1.6139964977623199E-12</v>
      </c>
      <c r="P171" s="1">
        <v>7.5740507523577508E-12</v>
      </c>
      <c r="Q171">
        <v>65.210688730144795</v>
      </c>
      <c r="S171">
        <v>21.530989992079999</v>
      </c>
      <c r="AA171">
        <v>2.54726447521355</v>
      </c>
      <c r="AB171">
        <v>9.4297357182878301</v>
      </c>
      <c r="AC171">
        <v>1.2813210842737099</v>
      </c>
      <c r="AJ171">
        <v>0.80731486553180998</v>
      </c>
      <c r="AK171">
        <v>0.12051143488415</v>
      </c>
      <c r="AL171">
        <v>7.2173699584038298E-2</v>
      </c>
    </row>
    <row r="172" spans="1:38" x14ac:dyDescent="0.2">
      <c r="A172">
        <v>148</v>
      </c>
      <c r="B172">
        <v>805</v>
      </c>
      <c r="C172">
        <v>125</v>
      </c>
      <c r="D172">
        <v>0.48984881509993899</v>
      </c>
      <c r="E172">
        <v>0.87389138329633997</v>
      </c>
      <c r="F172">
        <v>2.5667768141343701</v>
      </c>
      <c r="G172">
        <v>-14.311931140021604</v>
      </c>
      <c r="H172">
        <v>-12.274157885403405</v>
      </c>
      <c r="I172">
        <v>1.8900646984354601</v>
      </c>
      <c r="J172">
        <v>1.06163832189369</v>
      </c>
      <c r="K172">
        <v>0.340462551509782</v>
      </c>
      <c r="L172">
        <v>3.0540408086303013E-5</v>
      </c>
      <c r="M172">
        <v>1.8142224567110952E-6</v>
      </c>
      <c r="N172" s="1">
        <v>-2.57720682078743E-9</v>
      </c>
      <c r="O172" s="1">
        <v>3.0765500566222899E-12</v>
      </c>
      <c r="P172" s="1">
        <v>1.47235957682268E-11</v>
      </c>
      <c r="Q172">
        <v>65.255991965848395</v>
      </c>
      <c r="S172">
        <v>21.496369883021401</v>
      </c>
      <c r="AA172">
        <v>2.5081316400420599</v>
      </c>
      <c r="AB172">
        <v>9.43993043317254</v>
      </c>
      <c r="AC172">
        <v>1.2995760779154499</v>
      </c>
      <c r="AJ172">
        <v>0.80814751859496503</v>
      </c>
      <c r="AK172">
        <v>0.118654159452299</v>
      </c>
      <c r="AL172">
        <v>7.3198321952734804E-2</v>
      </c>
    </row>
    <row r="173" spans="1:38" x14ac:dyDescent="0.2">
      <c r="A173">
        <v>149</v>
      </c>
      <c r="B173">
        <v>804</v>
      </c>
      <c r="C173">
        <v>125</v>
      </c>
      <c r="D173">
        <v>0.48931021677575198</v>
      </c>
      <c r="E173">
        <v>1.2896851469944901</v>
      </c>
      <c r="F173">
        <v>2.5664165375255501</v>
      </c>
      <c r="G173">
        <v>-21.117331664492063</v>
      </c>
      <c r="H173">
        <v>-18.1141397415524</v>
      </c>
      <c r="I173">
        <v>2.7880907236129202</v>
      </c>
      <c r="J173">
        <v>1.56683902589169</v>
      </c>
      <c r="K173">
        <v>0.50252370499371801</v>
      </c>
      <c r="L173">
        <v>3.0568176334080959E-5</v>
      </c>
      <c r="M173">
        <v>1.8152867736099126E-6</v>
      </c>
      <c r="N173" s="1">
        <v>-3.9535413453170299E-9</v>
      </c>
      <c r="O173" s="1">
        <v>4.5428449921166397E-12</v>
      </c>
      <c r="P173" s="1">
        <v>2.2172959963681199E-11</v>
      </c>
      <c r="Q173">
        <v>65.3001326264244</v>
      </c>
      <c r="S173">
        <v>21.4625162325163</v>
      </c>
      <c r="AA173">
        <v>2.4699024120378099</v>
      </c>
      <c r="AB173">
        <v>9.4495437824644792</v>
      </c>
      <c r="AC173">
        <v>1.31790494655688</v>
      </c>
      <c r="AJ173">
        <v>0.80893263584305997</v>
      </c>
      <c r="AK173">
        <v>0.116840148451248</v>
      </c>
      <c r="AL173">
        <v>7.4227215705691005E-2</v>
      </c>
    </row>
    <row r="174" spans="1:38" x14ac:dyDescent="0.2">
      <c r="A174">
        <v>150</v>
      </c>
      <c r="B174">
        <v>803</v>
      </c>
      <c r="C174">
        <v>125</v>
      </c>
      <c r="D174">
        <v>0.48877061747897599</v>
      </c>
      <c r="E174">
        <v>1.70590984387802</v>
      </c>
      <c r="F174">
        <v>2.5660638870107002</v>
      </c>
      <c r="G174">
        <v>-27.927110333034701</v>
      </c>
      <c r="H174">
        <v>-23.960179040198035</v>
      </c>
      <c r="I174">
        <v>3.6862252407532998</v>
      </c>
      <c r="J174">
        <v>2.0726155703939901</v>
      </c>
      <c r="K174">
        <v>0.66479632580983705</v>
      </c>
      <c r="L174">
        <v>3.0595560611615155E-5</v>
      </c>
      <c r="M174">
        <v>1.8163236206934909E-6</v>
      </c>
      <c r="N174" s="1">
        <v>-5.4324491052193197E-9</v>
      </c>
      <c r="O174" s="1">
        <v>6.0121167212972998E-12</v>
      </c>
      <c r="P174" s="1">
        <v>2.9928964331370799E-11</v>
      </c>
      <c r="Q174">
        <v>65.343120157748004</v>
      </c>
      <c r="S174">
        <v>21.429424600376201</v>
      </c>
      <c r="AA174">
        <v>2.43257092393383</v>
      </c>
      <c r="AB174">
        <v>9.4585851752587402</v>
      </c>
      <c r="AC174">
        <v>1.3362991426831501</v>
      </c>
      <c r="AJ174">
        <v>0.80967099847809398</v>
      </c>
      <c r="AK174">
        <v>0.115069097339036</v>
      </c>
      <c r="AL174">
        <v>7.5259904182869194E-2</v>
      </c>
    </row>
    <row r="175" spans="1:38" x14ac:dyDescent="0.2">
      <c r="A175">
        <v>151</v>
      </c>
      <c r="B175">
        <v>802</v>
      </c>
      <c r="C175">
        <v>125</v>
      </c>
      <c r="D175">
        <v>0.48823001441659297</v>
      </c>
      <c r="E175">
        <v>2.1223779100717599</v>
      </c>
      <c r="F175">
        <v>2.5657188502342998</v>
      </c>
      <c r="G175">
        <v>-34.738195706953839</v>
      </c>
      <c r="H175">
        <v>-29.809650138475867</v>
      </c>
      <c r="I175">
        <v>4.5840539166422998</v>
      </c>
      <c r="J175">
        <v>2.57874196178288</v>
      </c>
      <c r="K175">
        <v>0.82720595433827104</v>
      </c>
      <c r="L175">
        <v>3.0622576104743791E-5</v>
      </c>
      <c r="M175">
        <v>1.8173333544323534E-6</v>
      </c>
      <c r="N175" s="1">
        <v>-7.0168571846770301E-9</v>
      </c>
      <c r="O175" s="1">
        <v>7.4835998255356698E-12</v>
      </c>
      <c r="P175" s="1">
        <v>3.79985628307469E-11</v>
      </c>
      <c r="Q175">
        <v>65.384965719555694</v>
      </c>
      <c r="S175">
        <v>21.397089363317502</v>
      </c>
      <c r="AA175">
        <v>2.3961299324917298</v>
      </c>
      <c r="AB175">
        <v>9.4670647382609108</v>
      </c>
      <c r="AC175">
        <v>1.35475024637404</v>
      </c>
      <c r="AJ175">
        <v>0.81036344519727799</v>
      </c>
      <c r="AK175">
        <v>0.113340637202751</v>
      </c>
      <c r="AL175">
        <v>7.6295917599969704E-2</v>
      </c>
    </row>
    <row r="176" spans="1:38" x14ac:dyDescent="0.2">
      <c r="A176">
        <v>152</v>
      </c>
      <c r="B176">
        <v>801</v>
      </c>
      <c r="C176">
        <v>125</v>
      </c>
      <c r="D176">
        <v>0.487688404785181</v>
      </c>
      <c r="E176">
        <v>2.5389029675813202</v>
      </c>
      <c r="F176">
        <v>2.5653814025386499</v>
      </c>
      <c r="G176">
        <v>-41.547538849206539</v>
      </c>
      <c r="H176">
        <v>-35.65994452413296</v>
      </c>
      <c r="I176">
        <v>5.4811658754117802</v>
      </c>
      <c r="J176">
        <v>3.0849938185918502</v>
      </c>
      <c r="K176">
        <v>0.98967855815469596</v>
      </c>
      <c r="L176">
        <v>3.0649239075057078E-5</v>
      </c>
      <c r="M176">
        <v>1.8183163690822992E-6</v>
      </c>
      <c r="N176" s="1">
        <v>-8.7097479088973306E-9</v>
      </c>
      <c r="O176" s="1">
        <v>8.9565313640455801E-12</v>
      </c>
      <c r="P176" s="1">
        <v>4.6388864350759901E-11</v>
      </c>
      <c r="Q176">
        <v>65.4256820844478</v>
      </c>
      <c r="S176">
        <v>21.365503776812002</v>
      </c>
      <c r="AA176">
        <v>2.3605708930949101</v>
      </c>
      <c r="AB176">
        <v>9.4749932528681597</v>
      </c>
      <c r="AC176">
        <v>1.3732499927769899</v>
      </c>
      <c r="AJ176">
        <v>0.81101086707991299</v>
      </c>
      <c r="AK176">
        <v>0.11165433833511899</v>
      </c>
      <c r="AL176">
        <v>7.7334794584966796E-2</v>
      </c>
    </row>
    <row r="177" spans="1:38" x14ac:dyDescent="0.2">
      <c r="A177">
        <v>153</v>
      </c>
      <c r="B177">
        <v>800</v>
      </c>
      <c r="C177">
        <v>125</v>
      </c>
      <c r="D177">
        <v>0.48714578577086598</v>
      </c>
      <c r="E177">
        <v>2.95530063544326</v>
      </c>
      <c r="F177">
        <v>2.56505150743937</v>
      </c>
      <c r="G177">
        <v>-48.352126536952703</v>
      </c>
      <c r="H177">
        <v>-41.508482150797889</v>
      </c>
      <c r="I177">
        <v>6.3771554639657104</v>
      </c>
      <c r="J177">
        <v>3.59114936643619</v>
      </c>
      <c r="K177">
        <v>1.15214085443198</v>
      </c>
      <c r="L177">
        <v>3.0675566796421673E-5</v>
      </c>
      <c r="M177">
        <v>1.8192730938659843E-6</v>
      </c>
      <c r="N177" s="1">
        <v>-1.0514164693716099E-8</v>
      </c>
      <c r="O177" s="1">
        <v>1.04301540295918E-11</v>
      </c>
      <c r="P177" s="1">
        <v>5.5107155816076201E-11</v>
      </c>
      <c r="Q177">
        <v>65.465283529576197</v>
      </c>
      <c r="S177">
        <v>21.334660040434301</v>
      </c>
      <c r="AA177">
        <v>2.3258840389344901</v>
      </c>
      <c r="AB177">
        <v>9.4823820851187204</v>
      </c>
      <c r="AC177">
        <v>1.39179030593616</v>
      </c>
      <c r="AJ177">
        <v>0.811614201898608</v>
      </c>
      <c r="AK177">
        <v>0.110009714023863</v>
      </c>
      <c r="AL177">
        <v>7.8376084077528205E-2</v>
      </c>
    </row>
    <row r="178" spans="1:38" x14ac:dyDescent="0.2">
      <c r="A178">
        <v>154</v>
      </c>
      <c r="B178">
        <v>799</v>
      </c>
      <c r="C178">
        <v>125</v>
      </c>
      <c r="D178">
        <v>0.48660215454927003</v>
      </c>
      <c r="E178">
        <v>3.37138929603389</v>
      </c>
      <c r="F178">
        <v>2.5647291172046298</v>
      </c>
      <c r="G178">
        <v>-55.148993721623931</v>
      </c>
      <c r="H178">
        <v>-47.352722142404936</v>
      </c>
      <c r="I178">
        <v>7.2716239138357404</v>
      </c>
      <c r="J178">
        <v>4.0969903779161001</v>
      </c>
      <c r="K178">
        <v>1.3145206148353199</v>
      </c>
      <c r="L178">
        <v>3.0701577490538926E-5</v>
      </c>
      <c r="M178">
        <v>1.8202039900375723E-6</v>
      </c>
      <c r="N178" s="1">
        <v>-1.24332184031918E-8</v>
      </c>
      <c r="O178" s="1">
        <v>1.19037191351151E-11</v>
      </c>
      <c r="P178" s="1">
        <v>6.4160926418484094E-11</v>
      </c>
      <c r="Q178">
        <v>65.503785721422105</v>
      </c>
      <c r="S178">
        <v>21.304549369745601</v>
      </c>
      <c r="AA178">
        <v>2.29205846719907</v>
      </c>
      <c r="AB178">
        <v>9.4892431173774892</v>
      </c>
      <c r="AC178">
        <v>1.4103633242556199</v>
      </c>
      <c r="AJ178">
        <v>0.81217442857756506</v>
      </c>
      <c r="AK178">
        <v>0.108406224663293</v>
      </c>
      <c r="AL178">
        <v>7.9419346759141904E-2</v>
      </c>
    </row>
    <row r="179" spans="1:38" x14ac:dyDescent="0.2">
      <c r="A179">
        <v>155</v>
      </c>
      <c r="B179">
        <v>798</v>
      </c>
      <c r="C179">
        <v>125</v>
      </c>
      <c r="D179">
        <v>0.48605750828548999</v>
      </c>
      <c r="E179">
        <v>3.7869908084286599</v>
      </c>
      <c r="F179">
        <v>2.5644141734867199</v>
      </c>
      <c r="G179">
        <v>-61.93523510528739</v>
      </c>
      <c r="H179">
        <v>-53.190172753333201</v>
      </c>
      <c r="I179">
        <v>8.1641808821866206</v>
      </c>
      <c r="J179">
        <v>4.6023030475992304</v>
      </c>
      <c r="K179">
        <v>1.47674694968623</v>
      </c>
      <c r="L179">
        <v>3.0727290260959513E-5</v>
      </c>
      <c r="M179">
        <v>1.8211095478660088E-6</v>
      </c>
      <c r="N179" s="1">
        <v>-1.44700941812856E-8</v>
      </c>
      <c r="O179" s="1">
        <v>1.33764893996793E-11</v>
      </c>
      <c r="P179" s="1">
        <v>7.3557892803510904E-11</v>
      </c>
      <c r="Q179">
        <v>65.541205596196406</v>
      </c>
      <c r="S179">
        <v>21.275162071667602</v>
      </c>
      <c r="AA179">
        <v>2.25908222916678</v>
      </c>
      <c r="AB179">
        <v>9.4955886794175406</v>
      </c>
      <c r="AC179">
        <v>1.4289614235515999</v>
      </c>
      <c r="AJ179">
        <v>0.81269256160624503</v>
      </c>
      <c r="AK179">
        <v>0.10684328204337799</v>
      </c>
      <c r="AL179">
        <v>8.0464156350375904E-2</v>
      </c>
    </row>
    <row r="180" spans="1:38" x14ac:dyDescent="0.2">
      <c r="A180">
        <v>156</v>
      </c>
      <c r="B180">
        <v>797</v>
      </c>
      <c r="C180">
        <v>125</v>
      </c>
      <c r="D180">
        <v>0.48551184413399801</v>
      </c>
      <c r="E180">
        <v>4.2019311618173898</v>
      </c>
      <c r="F180">
        <v>2.5641066079985202</v>
      </c>
      <c r="G180">
        <v>-68.708015720838915</v>
      </c>
      <c r="H180">
        <v>-59.018400486761315</v>
      </c>
      <c r="I180">
        <v>9.0544458571953399</v>
      </c>
      <c r="J180">
        <v>5.1068787935770601</v>
      </c>
      <c r="K180">
        <v>1.63875056860343</v>
      </c>
      <c r="L180">
        <v>3.0752725026532754E-5</v>
      </c>
      <c r="M180">
        <v>1.8219902835740079E-6</v>
      </c>
      <c r="N180" s="1">
        <v>-1.6628058722450399E-8</v>
      </c>
      <c r="O180" s="1">
        <v>1.48477415061764E-11</v>
      </c>
      <c r="P180" s="1">
        <v>8.3306025047368802E-11</v>
      </c>
      <c r="Q180">
        <v>65.577561237333299</v>
      </c>
      <c r="S180">
        <v>21.246487622446601</v>
      </c>
      <c r="AA180">
        <v>2.2269424231107</v>
      </c>
      <c r="AB180">
        <v>9.5014314798139292</v>
      </c>
      <c r="AC180">
        <v>1.4475772372953899</v>
      </c>
      <c r="AJ180">
        <v>0.81316964548242499</v>
      </c>
      <c r="AK180">
        <v>0.10532025376493601</v>
      </c>
      <c r="AL180">
        <v>8.1510100752637399E-2</v>
      </c>
    </row>
    <row r="181" spans="1:38" x14ac:dyDescent="0.2">
      <c r="A181">
        <v>157</v>
      </c>
      <c r="B181">
        <v>796</v>
      </c>
      <c r="C181">
        <v>125</v>
      </c>
      <c r="D181">
        <v>0.48496515923864703</v>
      </c>
      <c r="E181">
        <v>4.6160410676207801</v>
      </c>
      <c r="F181">
        <v>2.5638063432254201</v>
      </c>
      <c r="G181">
        <v>-75.464580496006334</v>
      </c>
      <c r="H181">
        <v>-64.835038352973484</v>
      </c>
      <c r="I181">
        <v>9.94204942527508</v>
      </c>
      <c r="J181">
        <v>5.6105149839658104</v>
      </c>
      <c r="K181">
        <v>1.8004640170339501</v>
      </c>
      <c r="L181">
        <v>3.0777902455474933E-5</v>
      </c>
      <c r="M181">
        <v>1.8228467362765718E-6</v>
      </c>
      <c r="N181" s="1">
        <v>-1.89104679630164E-8</v>
      </c>
      <c r="O181" s="1">
        <v>1.6316768423562499E-11</v>
      </c>
      <c r="P181" s="1">
        <v>9.3413573355203496E-11</v>
      </c>
      <c r="Q181">
        <v>65.612871751823107</v>
      </c>
      <c r="S181">
        <v>21.2185147471472</v>
      </c>
      <c r="AA181">
        <v>2.1956252887388601</v>
      </c>
      <c r="AB181">
        <v>9.5067845387610692</v>
      </c>
      <c r="AC181">
        <v>1.46620367352967</v>
      </c>
      <c r="AJ181">
        <v>0.81360674927451404</v>
      </c>
      <c r="AK181">
        <v>0.103836467720541</v>
      </c>
      <c r="AL181">
        <v>8.2556783004944595E-2</v>
      </c>
    </row>
    <row r="182" spans="1:38" x14ac:dyDescent="0.2">
      <c r="A182">
        <v>158</v>
      </c>
      <c r="B182">
        <v>795</v>
      </c>
      <c r="C182">
        <v>125</v>
      </c>
      <c r="D182">
        <v>0.48441745073257497</v>
      </c>
      <c r="E182">
        <v>5.0291564815738496</v>
      </c>
      <c r="F182">
        <v>2.5635132931678299</v>
      </c>
      <c r="G182">
        <v>-82.202262660566959</v>
      </c>
      <c r="H182">
        <v>-70.637793145681798</v>
      </c>
      <c r="I182">
        <v>10.8266343817677</v>
      </c>
      <c r="J182">
        <v>6.1130155777616597</v>
      </c>
      <c r="K182">
        <v>1.9618218852140701</v>
      </c>
      <c r="L182">
        <v>3.0802843900696144E-5</v>
      </c>
      <c r="M182">
        <v>1.8236794649431971E-6</v>
      </c>
      <c r="N182" s="1">
        <v>-2.1320775141712401E-8</v>
      </c>
      <c r="O182" s="1">
        <v>1.7782881460618601E-11</v>
      </c>
      <c r="P182" s="1">
        <v>1.03889095252149E-10</v>
      </c>
      <c r="Q182">
        <v>65.647157146353905</v>
      </c>
      <c r="S182">
        <v>21.191231500069399</v>
      </c>
      <c r="AA182">
        <v>2.16511630243913</v>
      </c>
      <c r="AB182">
        <v>9.5116611228849202</v>
      </c>
      <c r="AC182">
        <v>1.48483392825257</v>
      </c>
      <c r="AJ182">
        <v>0.81400496134899802</v>
      </c>
      <c r="AK182">
        <v>0.10239121660706201</v>
      </c>
      <c r="AL182">
        <v>8.3603822043939E-2</v>
      </c>
    </row>
    <row r="183" spans="1:38" x14ac:dyDescent="0.2">
      <c r="A183">
        <v>159</v>
      </c>
      <c r="B183">
        <v>794</v>
      </c>
      <c r="C183">
        <v>125</v>
      </c>
      <c r="D183">
        <v>0.48386871573818202</v>
      </c>
      <c r="E183">
        <v>5.44111906560632</v>
      </c>
      <c r="F183">
        <v>2.5632273640913401</v>
      </c>
      <c r="G183">
        <v>-88.918491159488696</v>
      </c>
      <c r="H183">
        <v>-76.424451874826218</v>
      </c>
      <c r="I183">
        <v>11.707856706800801</v>
      </c>
      <c r="J183">
        <v>6.6141916920352299</v>
      </c>
      <c r="K183">
        <v>2.1227609933600902</v>
      </c>
      <c r="L183">
        <v>3.0827571337524608E-5</v>
      </c>
      <c r="M183">
        <v>1.8244890454377947E-6</v>
      </c>
      <c r="N183" s="1">
        <v>-2.3862539249169801E-8</v>
      </c>
      <c r="O183" s="1">
        <v>1.9245412084791201E-11</v>
      </c>
      <c r="P183" s="1">
        <v>1.14741483400142E-10</v>
      </c>
      <c r="Q183">
        <v>65.680438205704107</v>
      </c>
      <c r="S183">
        <v>21.1646253442625</v>
      </c>
      <c r="AA183">
        <v>2.13540027125504</v>
      </c>
      <c r="AB183">
        <v>9.5160746827037492</v>
      </c>
      <c r="AC183">
        <v>1.5034614960745101</v>
      </c>
      <c r="AJ183">
        <v>0.81436538431564898</v>
      </c>
      <c r="AK183">
        <v>0.100983762372158</v>
      </c>
      <c r="AL183">
        <v>8.4650853312192006E-2</v>
      </c>
    </row>
    <row r="184" spans="1:38" x14ac:dyDescent="0.2">
      <c r="A184">
        <v>160</v>
      </c>
      <c r="B184">
        <v>793</v>
      </c>
      <c r="C184">
        <v>125</v>
      </c>
      <c r="D184">
        <v>0.48331895136707098</v>
      </c>
      <c r="E184">
        <v>5.8517765752862303</v>
      </c>
      <c r="F184">
        <v>2.5629484552892601</v>
      </c>
      <c r="G184">
        <v>-95.61079684156789</v>
      </c>
      <c r="H184">
        <v>-82.192887156615896</v>
      </c>
      <c r="I184">
        <v>12.585386376168399</v>
      </c>
      <c r="J184">
        <v>7.1138620782097499</v>
      </c>
      <c r="K184">
        <v>2.2832205474946798</v>
      </c>
      <c r="L184">
        <v>3.0852107304002884E-5</v>
      </c>
      <c r="M184">
        <v>1.825276067637116E-6</v>
      </c>
      <c r="N184" s="1">
        <v>-2.6539433786388299E-8</v>
      </c>
      <c r="O184" s="1">
        <v>2.0703713454327499E-11</v>
      </c>
      <c r="P184" s="1">
        <v>1.2597999368290101E-10</v>
      </c>
      <c r="Q184">
        <v>65.712736373314002</v>
      </c>
      <c r="S184">
        <v>21.138683230314602</v>
      </c>
      <c r="AA184">
        <v>2.1064614257544898</v>
      </c>
      <c r="AB184">
        <v>9.5200387930444492</v>
      </c>
      <c r="AC184">
        <v>1.5220801775724</v>
      </c>
      <c r="AJ184">
        <v>0.81468913021484302</v>
      </c>
      <c r="AK184">
        <v>9.9613340602939401E-2</v>
      </c>
      <c r="AL184">
        <v>8.5697529182217194E-2</v>
      </c>
    </row>
    <row r="185" spans="1:38" x14ac:dyDescent="0.2">
      <c r="A185">
        <v>161</v>
      </c>
      <c r="B185">
        <v>792</v>
      </c>
      <c r="C185">
        <v>125</v>
      </c>
      <c r="D185">
        <v>0.48276815471999501</v>
      </c>
      <c r="E185">
        <v>6.26098318427485</v>
      </c>
      <c r="F185">
        <v>2.5626764598390301</v>
      </c>
      <c r="G185">
        <v>-102.27681761267756</v>
      </c>
      <c r="H185">
        <v>-87.941061721886896</v>
      </c>
      <c r="I185">
        <v>13.4589080324749</v>
      </c>
      <c r="J185">
        <v>7.6118535213940604</v>
      </c>
      <c r="K185">
        <v>2.4431422703543699</v>
      </c>
      <c r="L185">
        <v>3.0876474844697573E-5</v>
      </c>
      <c r="M185">
        <v>1.8260411326711486E-6</v>
      </c>
      <c r="N185" s="1">
        <v>-2.9355255855521599E-8</v>
      </c>
      <c r="O185" s="1">
        <v>2.2157161703759701E-11</v>
      </c>
      <c r="P185" s="1">
        <v>1.3761427371500601E-10</v>
      </c>
      <c r="Q185">
        <v>65.744073636008096</v>
      </c>
      <c r="S185">
        <v>21.113391672948701</v>
      </c>
      <c r="AA185">
        <v>2.078283510121</v>
      </c>
      <c r="AB185">
        <v>9.5235670969600594</v>
      </c>
      <c r="AC185">
        <v>1.540684083962</v>
      </c>
      <c r="AJ185">
        <v>0.81497731599092904</v>
      </c>
      <c r="AK185">
        <v>9.8279164778242306E-2</v>
      </c>
      <c r="AL185">
        <v>8.6743519230828098E-2</v>
      </c>
    </row>
    <row r="186" spans="1:38" x14ac:dyDescent="0.2">
      <c r="A186">
        <v>162</v>
      </c>
      <c r="B186">
        <v>791</v>
      </c>
      <c r="C186">
        <v>125</v>
      </c>
      <c r="D186">
        <v>0.48221632288681698</v>
      </c>
      <c r="E186">
        <v>6.6685997442330596</v>
      </c>
      <c r="F186">
        <v>2.5624112653473099</v>
      </c>
      <c r="G186">
        <v>-108.91430253006564</v>
      </c>
      <c r="H186">
        <v>-93.667032021215519</v>
      </c>
      <c r="I186">
        <v>14.328121513743399</v>
      </c>
      <c r="J186">
        <v>8.1080011609357197</v>
      </c>
      <c r="K186">
        <v>2.6024705067510601</v>
      </c>
      <c r="L186">
        <v>3.0900697458383662E-5</v>
      </c>
      <c r="M186">
        <v>1.8267848502996257E-6</v>
      </c>
      <c r="N186" s="1">
        <v>-3.2313935554300197E-8</v>
      </c>
      <c r="O186" s="1">
        <v>2.3605156976879099E-11</v>
      </c>
      <c r="P186" s="1">
        <v>1.4965439167136799E-10</v>
      </c>
      <c r="Q186">
        <v>65.774472413502707</v>
      </c>
      <c r="S186">
        <v>21.088736824981499</v>
      </c>
      <c r="AA186">
        <v>2.0508498689521302</v>
      </c>
      <c r="AB186">
        <v>9.5266732533945007</v>
      </c>
      <c r="AC186">
        <v>1.5592676391690401</v>
      </c>
      <c r="AJ186">
        <v>0.81523105927113404</v>
      </c>
      <c r="AK186">
        <v>9.6980430360721001E-2</v>
      </c>
      <c r="AL186">
        <v>8.7788510368144099E-2</v>
      </c>
    </row>
    <row r="187" spans="1:38" x14ac:dyDescent="0.2">
      <c r="A187">
        <v>163</v>
      </c>
      <c r="B187">
        <v>790</v>
      </c>
      <c r="C187">
        <v>125</v>
      </c>
      <c r="D187">
        <v>0.48166345294643498</v>
      </c>
      <c r="E187">
        <v>7.0744939804927904</v>
      </c>
      <c r="F187">
        <v>2.56215275467898</v>
      </c>
      <c r="G187">
        <v>-115.52111484470115</v>
      </c>
      <c r="H187">
        <v>-99.368950931455743</v>
      </c>
      <c r="I187">
        <v>15.192742240742501</v>
      </c>
      <c r="J187">
        <v>8.6021487326374206</v>
      </c>
      <c r="K187">
        <v>2.7611523034968899</v>
      </c>
      <c r="L187">
        <v>3.0924799049858781E-5</v>
      </c>
      <c r="M187">
        <v>1.8275078364352218E-6</v>
      </c>
      <c r="N187" s="1">
        <v>-3.5419545650391098E-8</v>
      </c>
      <c r="O187" s="1">
        <v>2.5047124208254801E-11</v>
      </c>
      <c r="P187" s="1">
        <v>1.6211086536321999E-10</v>
      </c>
      <c r="Q187">
        <v>65.803955453197801</v>
      </c>
      <c r="S187">
        <v>21.064704548268299</v>
      </c>
      <c r="AA187">
        <v>2.0241435303390398</v>
      </c>
      <c r="AB187">
        <v>9.5293708887247597</v>
      </c>
      <c r="AC187">
        <v>1.57782557946999</v>
      </c>
      <c r="AJ187">
        <v>0.81545147446017596</v>
      </c>
      <c r="AK187">
        <v>9.5716318709160697E-2</v>
      </c>
      <c r="AL187">
        <v>8.8832206830662397E-2</v>
      </c>
    </row>
    <row r="188" spans="1:38" x14ac:dyDescent="0.2">
      <c r="A188">
        <v>164</v>
      </c>
      <c r="B188">
        <v>789</v>
      </c>
      <c r="C188">
        <v>125</v>
      </c>
      <c r="D188">
        <v>0.48110954196676597</v>
      </c>
      <c r="E188">
        <v>7.4785406293795198</v>
      </c>
      <c r="F188">
        <v>2.5619008066622002</v>
      </c>
      <c r="G188">
        <v>-122.09523408954138</v>
      </c>
      <c r="H188">
        <v>-105.04506964652727</v>
      </c>
      <c r="I188">
        <v>16.052501476264201</v>
      </c>
      <c r="J188">
        <v>9.0941487398638898</v>
      </c>
      <c r="K188">
        <v>2.91913746618589</v>
      </c>
      <c r="L188">
        <v>3.0948803886326595E-5</v>
      </c>
      <c r="M188">
        <v>1.8282107108316047E-6</v>
      </c>
      <c r="N188" s="1">
        <v>-3.86763115395329E-8</v>
      </c>
      <c r="O188" s="1">
        <v>2.64825136745246E-11</v>
      </c>
      <c r="P188" s="1">
        <v>1.7499469161305101E-10</v>
      </c>
      <c r="Q188">
        <v>65.832545731092694</v>
      </c>
      <c r="S188">
        <v>21.041280481021602</v>
      </c>
      <c r="AA188">
        <v>1.99814728452457</v>
      </c>
      <c r="AB188">
        <v>9.5316735524403509</v>
      </c>
      <c r="AC188">
        <v>1.59635295092067</v>
      </c>
      <c r="AJ188">
        <v>0.81563966917133501</v>
      </c>
      <c r="AK188">
        <v>9.4486000778277707E-2</v>
      </c>
      <c r="AL188">
        <v>8.9874330050387197E-2</v>
      </c>
    </row>
    <row r="189" spans="1:38" x14ac:dyDescent="0.2">
      <c r="A189">
        <v>165</v>
      </c>
      <c r="B189">
        <v>788</v>
      </c>
      <c r="C189">
        <v>125</v>
      </c>
      <c r="D189">
        <v>0.48055458700466802</v>
      </c>
      <c r="E189">
        <v>7.88062152356681</v>
      </c>
      <c r="F189">
        <v>2.5616552967600299</v>
      </c>
      <c r="G189">
        <v>-128.63475731922478</v>
      </c>
      <c r="H189">
        <v>-110.69373884194039</v>
      </c>
      <c r="I189">
        <v>16.907146470606701</v>
      </c>
      <c r="J189">
        <v>9.5838625613542696</v>
      </c>
      <c r="K189">
        <v>3.0763785953301999</v>
      </c>
      <c r="L189">
        <v>3.0972736558399763E-5</v>
      </c>
      <c r="M189">
        <v>1.8288940949447553E-6</v>
      </c>
      <c r="N189" s="1">
        <v>-4.2088621496255298E-8</v>
      </c>
      <c r="O189" s="1">
        <v>2.7910801338847798E-11</v>
      </c>
      <c r="P189" s="1">
        <v>1.8831737599923301E-10</v>
      </c>
      <c r="Q189">
        <v>65.860266359369902</v>
      </c>
      <c r="S189">
        <v>21.018450100948101</v>
      </c>
      <c r="AA189">
        <v>1.97284375755637</v>
      </c>
      <c r="AB189">
        <v>9.5335946767208704</v>
      </c>
      <c r="AC189">
        <v>1.61484510540462</v>
      </c>
      <c r="AJ189">
        <v>0.815796740974151</v>
      </c>
      <c r="AK189">
        <v>9.3288640579063706E-2</v>
      </c>
      <c r="AL189">
        <v>9.0914618446784598E-2</v>
      </c>
    </row>
    <row r="190" spans="1:38" x14ac:dyDescent="0.2">
      <c r="A190">
        <v>166</v>
      </c>
      <c r="B190">
        <v>787</v>
      </c>
      <c r="C190">
        <v>125</v>
      </c>
      <c r="D190">
        <v>0.479998585105882</v>
      </c>
      <c r="E190">
        <v>8.28062561892113</v>
      </c>
      <c r="F190">
        <v>2.5614160977213798</v>
      </c>
      <c r="G190">
        <v>-135.13789939647427</v>
      </c>
      <c r="H190">
        <v>-116.3134090218762</v>
      </c>
      <c r="I190">
        <v>17.756440479741599</v>
      </c>
      <c r="J190">
        <v>10.071160487886999</v>
      </c>
      <c r="K190">
        <v>3.2328310992842999</v>
      </c>
      <c r="L190">
        <v>3.0996621946047627E-5</v>
      </c>
      <c r="M190">
        <v>1.8295586099628428E-6</v>
      </c>
      <c r="N190" s="1">
        <v>-4.5661037166133697E-8</v>
      </c>
      <c r="O190" s="1">
        <v>2.9331488965394702E-11</v>
      </c>
      <c r="P190" s="1">
        <v>2.0209096276007801E-10</v>
      </c>
      <c r="Q190">
        <v>65.887140500168698</v>
      </c>
      <c r="S190">
        <v>20.996198784881901</v>
      </c>
      <c r="AA190">
        <v>1.94821548060417</v>
      </c>
      <c r="AB190">
        <v>9.5351475406211197</v>
      </c>
      <c r="AC190">
        <v>1.63329769372399</v>
      </c>
      <c r="AJ190">
        <v>0.81592377451628595</v>
      </c>
      <c r="AK190">
        <v>9.2123398431477696E-2</v>
      </c>
      <c r="AL190">
        <v>9.1952827052235495E-2</v>
      </c>
    </row>
    <row r="191" spans="1:38" x14ac:dyDescent="0.2">
      <c r="A191">
        <v>167</v>
      </c>
      <c r="B191">
        <v>786</v>
      </c>
      <c r="C191">
        <v>125</v>
      </c>
      <c r="D191">
        <v>0.47944153330501299</v>
      </c>
      <c r="E191">
        <v>8.67844898423653</v>
      </c>
      <c r="F191">
        <v>2.5611830801813</v>
      </c>
      <c r="G191">
        <v>-141.60299267472249</v>
      </c>
      <c r="H191">
        <v>-121.9026303482443</v>
      </c>
      <c r="I191">
        <v>18.600162702618299</v>
      </c>
      <c r="J191">
        <v>10.555921713831401</v>
      </c>
      <c r="K191">
        <v>3.3884531923513199</v>
      </c>
      <c r="L191">
        <v>3.1020485189180233E-5</v>
      </c>
      <c r="M191">
        <v>1.8302048750217506E-6</v>
      </c>
      <c r="N191" s="1">
        <v>-4.9398304384069402E-8</v>
      </c>
      <c r="O191" s="1">
        <v>3.0744104081794203E-11</v>
      </c>
      <c r="P191" s="1">
        <v>2.1632806527230499E-10</v>
      </c>
      <c r="Q191">
        <v>65.913191286921602</v>
      </c>
      <c r="S191">
        <v>20.9745118632726</v>
      </c>
      <c r="AA191">
        <v>1.92424495326843</v>
      </c>
      <c r="AB191">
        <v>9.5363452376215392</v>
      </c>
      <c r="AC191">
        <v>1.6517066589157501</v>
      </c>
      <c r="AJ191">
        <v>0.81602183891805102</v>
      </c>
      <c r="AK191">
        <v>9.09894339314061E-2</v>
      </c>
      <c r="AL191">
        <v>9.2988727150542502E-2</v>
      </c>
    </row>
    <row r="192" spans="1:38" x14ac:dyDescent="0.2">
      <c r="A192">
        <v>168</v>
      </c>
      <c r="B192">
        <v>785</v>
      </c>
      <c r="C192">
        <v>125</v>
      </c>
      <c r="D192">
        <v>0.47888342862543298</v>
      </c>
      <c r="E192">
        <v>9.0739947405003392</v>
      </c>
      <c r="F192">
        <v>2.56095611323595</v>
      </c>
      <c r="G192">
        <v>-148.02848586105765</v>
      </c>
      <c r="H192">
        <v>-127.46005176511598</v>
      </c>
      <c r="I192">
        <v>19.438108109381101</v>
      </c>
      <c r="J192">
        <v>11.0380342674604</v>
      </c>
      <c r="K192">
        <v>3.54320587283891</v>
      </c>
      <c r="L192">
        <v>3.1044351663171181E-5</v>
      </c>
      <c r="M192">
        <v>1.8308335055888992E-6</v>
      </c>
      <c r="N192" s="1">
        <v>-5.3305364239163899E-8</v>
      </c>
      <c r="O192" s="1">
        <v>3.2148199742058901E-11</v>
      </c>
      <c r="P192" s="1">
        <v>2.31041896754606E-10</v>
      </c>
      <c r="Q192">
        <v>65.938441752015095</v>
      </c>
      <c r="S192">
        <v>20.953374670977698</v>
      </c>
      <c r="AA192">
        <v>1.9009147023639901</v>
      </c>
      <c r="AB192">
        <v>9.5372006475829298</v>
      </c>
      <c r="AC192">
        <v>1.6700682270602401</v>
      </c>
      <c r="AJ192">
        <v>0.81609198552411399</v>
      </c>
      <c r="AK192">
        <v>8.9885908701942796E-2</v>
      </c>
      <c r="AL192">
        <v>9.4022105773942599E-2</v>
      </c>
    </row>
    <row r="193" spans="1:38" x14ac:dyDescent="0.2">
      <c r="A193">
        <v>169</v>
      </c>
      <c r="B193">
        <v>784</v>
      </c>
      <c r="C193">
        <v>125</v>
      </c>
      <c r="D193">
        <v>0.47832426807926898</v>
      </c>
      <c r="E193">
        <v>9.9659130860306107</v>
      </c>
      <c r="F193">
        <v>2.56034490821565</v>
      </c>
      <c r="G193">
        <v>-162.52846273038998</v>
      </c>
      <c r="H193">
        <v>-139.97068677037225</v>
      </c>
      <c r="I193">
        <v>21.338292541283302</v>
      </c>
      <c r="J193">
        <v>12.1233114829654</v>
      </c>
      <c r="K193">
        <v>3.8924103756692698</v>
      </c>
      <c r="L193">
        <v>3.1066486986051958E-5</v>
      </c>
      <c r="M193">
        <v>1.8317555611749075E-6</v>
      </c>
      <c r="N193" s="1">
        <v>-6.0300758071004602E-8</v>
      </c>
      <c r="O193" s="1">
        <v>3.5333897206169497E-11</v>
      </c>
      <c r="P193" s="1">
        <v>2.58872592094772E-10</v>
      </c>
      <c r="Q193">
        <v>65.983645088413795</v>
      </c>
      <c r="S193">
        <v>20.910292333097502</v>
      </c>
      <c r="AA193">
        <v>1.8548237519055399</v>
      </c>
      <c r="AB193">
        <v>9.5249879092026095</v>
      </c>
      <c r="AC193">
        <v>1.7262509173803999</v>
      </c>
      <c r="AJ193">
        <v>0.815097062673803</v>
      </c>
      <c r="AK193">
        <v>8.7711862685905403E-2</v>
      </c>
      <c r="AL193">
        <v>9.7191074640290698E-2</v>
      </c>
    </row>
    <row r="194" spans="1:38" x14ac:dyDescent="0.2">
      <c r="A194">
        <v>170</v>
      </c>
      <c r="B194">
        <v>783</v>
      </c>
      <c r="C194">
        <v>125</v>
      </c>
      <c r="D194">
        <v>0.47776404866733202</v>
      </c>
      <c r="E194">
        <v>11.295893532000701</v>
      </c>
      <c r="F194">
        <v>2.5593918759217198</v>
      </c>
      <c r="G194">
        <v>-184.14028664382516</v>
      </c>
      <c r="H194">
        <v>-158.60876193188045</v>
      </c>
      <c r="I194">
        <v>24.174146392032</v>
      </c>
      <c r="J194">
        <v>13.7405166237636</v>
      </c>
      <c r="K194">
        <v>4.4135068327247504</v>
      </c>
      <c r="L194">
        <v>3.1083698880667375E-5</v>
      </c>
      <c r="M194">
        <v>1.8328398689024196E-6</v>
      </c>
      <c r="N194" s="1">
        <v>-7.0235669187235294E-8</v>
      </c>
      <c r="O194" s="1">
        <v>4.0100683027477799E-11</v>
      </c>
      <c r="P194" s="1">
        <v>2.9889452216315802E-10</v>
      </c>
      <c r="Q194">
        <v>66.043261129316704</v>
      </c>
      <c r="S194">
        <v>20.849122712509001</v>
      </c>
      <c r="AA194">
        <v>1.790447600452</v>
      </c>
      <c r="AB194">
        <v>9.49747494690439</v>
      </c>
      <c r="AC194">
        <v>1.8196936108177399</v>
      </c>
      <c r="AJ194">
        <v>0.81285455708716103</v>
      </c>
      <c r="AK194">
        <v>8.4679267766603603E-2</v>
      </c>
      <c r="AL194">
        <v>0.102466175146234</v>
      </c>
    </row>
    <row r="195" spans="1:38" x14ac:dyDescent="0.2">
      <c r="A195">
        <v>171</v>
      </c>
      <c r="B195">
        <v>782</v>
      </c>
      <c r="C195">
        <v>125</v>
      </c>
      <c r="D195">
        <v>0.47720276737904699</v>
      </c>
      <c r="E195">
        <v>12.657940779599</v>
      </c>
      <c r="F195">
        <v>2.5584111856119698</v>
      </c>
      <c r="G195">
        <v>-206.25139521421181</v>
      </c>
      <c r="H195">
        <v>-177.68280202590748</v>
      </c>
      <c r="I195">
        <v>27.075385668676699</v>
      </c>
      <c r="J195">
        <v>15.396146990801601</v>
      </c>
      <c r="K195">
        <v>4.9475787358908399</v>
      </c>
      <c r="L195">
        <v>3.1096067316393421E-5</v>
      </c>
      <c r="M195">
        <v>1.8337989485915313E-6</v>
      </c>
      <c r="N195" s="1">
        <v>-8.07951980054817E-8</v>
      </c>
      <c r="O195" s="1">
        <v>4.4994281100534298E-11</v>
      </c>
      <c r="P195" s="1">
        <v>3.4098932886569099E-10</v>
      </c>
      <c r="Q195">
        <v>66.099330551603003</v>
      </c>
      <c r="S195">
        <v>20.788502582884</v>
      </c>
      <c r="AA195">
        <v>1.7273523396385</v>
      </c>
      <c r="AB195">
        <v>9.4634990971806197</v>
      </c>
      <c r="AC195">
        <v>1.92131542869372</v>
      </c>
      <c r="AJ195">
        <v>0.81008414263227102</v>
      </c>
      <c r="AK195">
        <v>8.1709040153464696E-2</v>
      </c>
      <c r="AL195">
        <v>0.10820681721426301</v>
      </c>
    </row>
    <row r="196" spans="1:38" x14ac:dyDescent="0.2">
      <c r="A196">
        <v>172</v>
      </c>
      <c r="B196">
        <v>781</v>
      </c>
      <c r="C196">
        <v>125</v>
      </c>
      <c r="D196">
        <v>0.476640421192431</v>
      </c>
      <c r="E196">
        <v>14.060426113376201</v>
      </c>
      <c r="F196">
        <v>2.5573931639899699</v>
      </c>
      <c r="G196">
        <v>-228.99483789523796</v>
      </c>
      <c r="H196">
        <v>-197.30749966500514</v>
      </c>
      <c r="I196">
        <v>30.059610330818899</v>
      </c>
      <c r="J196">
        <v>17.100160550476101</v>
      </c>
      <c r="K196">
        <v>5.4979524898078198</v>
      </c>
      <c r="L196">
        <v>3.1103036845130005E-5</v>
      </c>
      <c r="M196">
        <v>1.8346271799306715E-6</v>
      </c>
      <c r="N196" s="1">
        <v>-9.2026641756376006E-8</v>
      </c>
      <c r="O196" s="1">
        <v>5.00459624671974E-11</v>
      </c>
      <c r="P196" s="1">
        <v>3.85360054223203E-10</v>
      </c>
      <c r="Q196">
        <v>66.1519163904034</v>
      </c>
      <c r="S196">
        <v>20.728052923455898</v>
      </c>
      <c r="AA196">
        <v>1.6652105650657301</v>
      </c>
      <c r="AB196">
        <v>9.4222071782245997</v>
      </c>
      <c r="AC196">
        <v>2.03261294285024</v>
      </c>
      <c r="AJ196">
        <v>0.80671565353253505</v>
      </c>
      <c r="AK196">
        <v>7.8785769778173906E-2</v>
      </c>
      <c r="AL196">
        <v>0.11449857668929</v>
      </c>
    </row>
    <row r="197" spans="1:38" x14ac:dyDescent="0.2">
      <c r="A197">
        <v>173</v>
      </c>
      <c r="B197">
        <v>780</v>
      </c>
      <c r="C197">
        <v>125</v>
      </c>
      <c r="D197">
        <v>0.47607700707401701</v>
      </c>
      <c r="E197">
        <v>15.515038870288</v>
      </c>
      <c r="F197">
        <v>2.5563254367720498</v>
      </c>
      <c r="G197">
        <v>-252.55655740312412</v>
      </c>
      <c r="H197">
        <v>-217.64314205169282</v>
      </c>
      <c r="I197">
        <v>33.151417510735698</v>
      </c>
      <c r="J197">
        <v>18.8664767287537</v>
      </c>
      <c r="K197">
        <v>6.0692737501682403</v>
      </c>
      <c r="L197">
        <v>3.110385450292569E-5</v>
      </c>
      <c r="M197">
        <v>1.8353161945298789E-6</v>
      </c>
      <c r="N197" s="1">
        <v>-1.03992360009198E-7</v>
      </c>
      <c r="O197" s="1">
        <v>5.5299565384546198E-11</v>
      </c>
      <c r="P197" s="1">
        <v>4.3227996342493301E-10</v>
      </c>
      <c r="Q197">
        <v>66.201060396898498</v>
      </c>
      <c r="S197">
        <v>20.667303705200599</v>
      </c>
      <c r="AA197">
        <v>1.6036247559088299</v>
      </c>
      <c r="AB197">
        <v>9.3724599881090693</v>
      </c>
      <c r="AC197">
        <v>2.15555115388289</v>
      </c>
      <c r="AJ197">
        <v>0.80265533324497995</v>
      </c>
      <c r="AK197">
        <v>7.5890784635185601E-2</v>
      </c>
      <c r="AL197">
        <v>0.121453882119833</v>
      </c>
    </row>
    <row r="198" spans="1:38" x14ac:dyDescent="0.2">
      <c r="A198">
        <v>174</v>
      </c>
      <c r="B198">
        <v>779</v>
      </c>
      <c r="C198">
        <v>125</v>
      </c>
      <c r="D198">
        <v>0.475512521978807</v>
      </c>
      <c r="E198">
        <v>17.038361853009601</v>
      </c>
      <c r="F198">
        <v>2.55519188343145</v>
      </c>
      <c r="G198">
        <v>-277.20046265800039</v>
      </c>
      <c r="H198">
        <v>-238.91723259960418</v>
      </c>
      <c r="I198">
        <v>36.385715020098097</v>
      </c>
      <c r="J198">
        <v>20.714853815972699</v>
      </c>
      <c r="K198">
        <v>6.6681339916156199</v>
      </c>
      <c r="L198">
        <v>3.1097479903695929E-5</v>
      </c>
      <c r="M198">
        <v>1.8358534841166355E-6</v>
      </c>
      <c r="N198" s="1">
        <v>-1.16776612761676E-7</v>
      </c>
      <c r="O198" s="1">
        <v>6.0817464757710598E-11</v>
      </c>
      <c r="P198" s="1">
        <v>4.8212498256967301E-10</v>
      </c>
      <c r="Q198">
        <v>66.246763546043198</v>
      </c>
      <c r="S198">
        <v>20.6056621221983</v>
      </c>
      <c r="AA198">
        <v>1.54210561372171</v>
      </c>
      <c r="AB198">
        <v>9.3127055816800599</v>
      </c>
      <c r="AC198">
        <v>2.2927631363566001</v>
      </c>
      <c r="AJ198">
        <v>0.79777535770944497</v>
      </c>
      <c r="AK198">
        <v>7.30011417707878E-2</v>
      </c>
      <c r="AL198">
        <v>0.129223500519766</v>
      </c>
    </row>
    <row r="199" spans="1:38" x14ac:dyDescent="0.2">
      <c r="A199">
        <v>175</v>
      </c>
      <c r="B199">
        <v>778</v>
      </c>
      <c r="C199">
        <v>125</v>
      </c>
      <c r="D199">
        <v>0.47494696285021398</v>
      </c>
      <c r="E199">
        <v>18.6544159502055</v>
      </c>
      <c r="F199">
        <v>2.5539711149853601</v>
      </c>
      <c r="G199">
        <v>-303.30890865392729</v>
      </c>
      <c r="H199">
        <v>-261.45940076904219</v>
      </c>
      <c r="I199">
        <v>39.813069385801199</v>
      </c>
      <c r="J199">
        <v>22.673919421818098</v>
      </c>
      <c r="K199">
        <v>7.3040825876029603</v>
      </c>
      <c r="L199">
        <v>3.1082447384584482E-5</v>
      </c>
      <c r="M199">
        <v>1.8362202277542253E-6</v>
      </c>
      <c r="N199" s="1">
        <v>-1.30496256113294E-7</v>
      </c>
      <c r="O199" s="1">
        <v>6.6690217548349706E-11</v>
      </c>
      <c r="P199" s="1">
        <v>5.3542505521575101E-10</v>
      </c>
      <c r="Q199">
        <v>66.288952726902494</v>
      </c>
      <c r="S199">
        <v>20.542367246185201</v>
      </c>
      <c r="AA199">
        <v>1.4800424243327599</v>
      </c>
      <c r="AB199">
        <v>9.2407861627678791</v>
      </c>
      <c r="AC199">
        <v>2.4478514398115401</v>
      </c>
      <c r="AJ199">
        <v>0.79189784263845897</v>
      </c>
      <c r="AK199">
        <v>7.0088246368719798E-2</v>
      </c>
      <c r="AL199">
        <v>0.13801391099282001</v>
      </c>
    </row>
    <row r="200" spans="1:38" x14ac:dyDescent="0.2">
      <c r="A200">
        <v>176</v>
      </c>
      <c r="B200">
        <v>777</v>
      </c>
      <c r="C200">
        <v>125</v>
      </c>
      <c r="D200">
        <v>0.47438032662001101</v>
      </c>
      <c r="E200">
        <v>20.398841595942301</v>
      </c>
      <c r="F200">
        <v>2.5526343796558701</v>
      </c>
      <c r="G200">
        <v>-331.44917477794058</v>
      </c>
      <c r="H200">
        <v>-285.75873975891142</v>
      </c>
      <c r="I200">
        <v>43.508484520334299</v>
      </c>
      <c r="J200">
        <v>24.786146236756199</v>
      </c>
      <c r="K200">
        <v>7.9912900016226898</v>
      </c>
      <c r="L200">
        <v>3.1056655728878628E-5</v>
      </c>
      <c r="M200">
        <v>1.8363878509928961E-6</v>
      </c>
      <c r="N200" s="1">
        <v>-1.45317677276765E-7</v>
      </c>
      <c r="O200" s="1">
        <v>7.3052420622839895E-11</v>
      </c>
      <c r="P200" s="1">
        <v>5.9294662745273503E-10</v>
      </c>
      <c r="Q200">
        <v>66.327419682676904</v>
      </c>
      <c r="S200">
        <v>20.476431116073201</v>
      </c>
      <c r="AA200">
        <v>1.4166687036054499</v>
      </c>
      <c r="AB200">
        <v>9.1536475738250296</v>
      </c>
      <c r="AC200">
        <v>2.6258329238193201</v>
      </c>
      <c r="AJ200">
        <v>0.78477072058780994</v>
      </c>
      <c r="AK200">
        <v>6.7116251672740199E-2</v>
      </c>
      <c r="AL200">
        <v>0.14811302773944901</v>
      </c>
    </row>
    <row r="201" spans="1:38" x14ac:dyDescent="0.2">
      <c r="A201">
        <v>177</v>
      </c>
      <c r="B201">
        <v>776</v>
      </c>
      <c r="C201">
        <v>125</v>
      </c>
      <c r="D201">
        <v>0.47381261020826598</v>
      </c>
      <c r="E201">
        <v>22.325625946775901</v>
      </c>
      <c r="F201">
        <v>2.5511432955408102</v>
      </c>
      <c r="G201">
        <v>-362.48030364330572</v>
      </c>
      <c r="H201">
        <v>-312.55597861485097</v>
      </c>
      <c r="I201">
        <v>47.585497811042003</v>
      </c>
      <c r="J201">
        <v>27.1158465995555</v>
      </c>
      <c r="K201">
        <v>8.7512238084780698</v>
      </c>
      <c r="L201">
        <v>3.1017071001532715E-5</v>
      </c>
      <c r="M201">
        <v>1.8363127616059048E-6</v>
      </c>
      <c r="N201" s="1">
        <v>-1.61482666906535E-7</v>
      </c>
      <c r="O201" s="1">
        <v>8.0108244099594797E-11</v>
      </c>
      <c r="P201" s="1">
        <v>6.5582124661963596E-10</v>
      </c>
      <c r="Q201">
        <v>66.361702993582298</v>
      </c>
      <c r="S201">
        <v>20.406587594410201</v>
      </c>
      <c r="AA201">
        <v>1.35104754117615</v>
      </c>
      <c r="AB201">
        <v>9.0469422216633308</v>
      </c>
      <c r="AC201">
        <v>2.8337196491678598</v>
      </c>
      <c r="AJ201">
        <v>0.77603459375799899</v>
      </c>
      <c r="AK201">
        <v>6.4041380701901796E-2</v>
      </c>
      <c r="AL201">
        <v>0.15992402554009799</v>
      </c>
    </row>
    <row r="202" spans="1:38" x14ac:dyDescent="0.2">
      <c r="A202">
        <v>178</v>
      </c>
      <c r="B202">
        <v>775</v>
      </c>
      <c r="C202">
        <v>125</v>
      </c>
      <c r="D202">
        <v>0.473243810523307</v>
      </c>
      <c r="E202">
        <v>24.516303344453299</v>
      </c>
      <c r="F202">
        <v>2.5494503007368299</v>
      </c>
      <c r="G202">
        <v>-397.69883360620207</v>
      </c>
      <c r="H202">
        <v>-342.96929889983073</v>
      </c>
      <c r="I202">
        <v>52.215364887059501</v>
      </c>
      <c r="J202">
        <v>29.760072006498799</v>
      </c>
      <c r="K202">
        <v>9.6163095775460405</v>
      </c>
      <c r="L202">
        <v>3.0959447113891924E-5</v>
      </c>
      <c r="M202">
        <v>1.8359298894407697E-6</v>
      </c>
      <c r="N202" s="1">
        <v>-1.7934010040546899E-7</v>
      </c>
      <c r="O202" s="1">
        <v>8.8166420710137896E-11</v>
      </c>
      <c r="P202" s="1">
        <v>7.2571030635099603E-10</v>
      </c>
      <c r="Q202">
        <v>66.390858456312898</v>
      </c>
      <c r="S202">
        <v>20.331365304079998</v>
      </c>
      <c r="AA202">
        <v>1.2821853527915701</v>
      </c>
      <c r="AB202">
        <v>8.9147085934394799</v>
      </c>
      <c r="AC202">
        <v>3.0808822933759101</v>
      </c>
      <c r="AJ202">
        <v>0.76519533670269002</v>
      </c>
      <c r="AK202">
        <v>6.0817248092254E-2</v>
      </c>
      <c r="AL202">
        <v>0.17398741520505501</v>
      </c>
    </row>
    <row r="203" spans="1:38" x14ac:dyDescent="0.2">
      <c r="A203">
        <v>179</v>
      </c>
      <c r="B203">
        <v>774</v>
      </c>
      <c r="C203">
        <v>125</v>
      </c>
      <c r="D203">
        <v>0.47267392446163797</v>
      </c>
      <c r="E203">
        <v>27.082704297261198</v>
      </c>
      <c r="F203">
        <v>2.5475146327378999</v>
      </c>
      <c r="G203">
        <v>-438.88051018522998</v>
      </c>
      <c r="H203">
        <v>-378.53079686669969</v>
      </c>
      <c r="I203">
        <v>57.632348105362396</v>
      </c>
      <c r="J203">
        <v>32.851711774557302</v>
      </c>
      <c r="K203">
        <v>10.631029925882901</v>
      </c>
      <c r="L203">
        <v>3.0878794612166191E-5</v>
      </c>
      <c r="M203">
        <v>1.8351537461570066E-6</v>
      </c>
      <c r="N203" s="1">
        <v>-1.99340487032931E-7</v>
      </c>
      <c r="O203" s="1">
        <v>9.7651016306403E-11</v>
      </c>
      <c r="P203" s="1">
        <v>8.0480920530412403E-10</v>
      </c>
      <c r="Q203">
        <v>66.413075962044203</v>
      </c>
      <c r="S203">
        <v>20.249751832941801</v>
      </c>
      <c r="AA203">
        <v>1.20966925221786</v>
      </c>
      <c r="AB203">
        <v>8.7502587886426593</v>
      </c>
      <c r="AC203">
        <v>3.3772441641533701</v>
      </c>
      <c r="AJ203">
        <v>0.75169515870506398</v>
      </c>
      <c r="AK203">
        <v>5.7424640865870603E-2</v>
      </c>
      <c r="AL203">
        <v>0.19088020042906401</v>
      </c>
    </row>
    <row r="204" spans="1:38" x14ac:dyDescent="0.2">
      <c r="A204">
        <v>180</v>
      </c>
      <c r="B204">
        <v>773</v>
      </c>
      <c r="C204">
        <v>125</v>
      </c>
      <c r="D204">
        <v>0.472102948907902</v>
      </c>
      <c r="E204">
        <v>28.731439136701699</v>
      </c>
      <c r="F204">
        <v>2.5468934772957401</v>
      </c>
      <c r="G204">
        <v>-465.25331520950368</v>
      </c>
      <c r="H204">
        <v>-401.34813714384109</v>
      </c>
      <c r="I204">
        <v>61.086056555620701</v>
      </c>
      <c r="J204">
        <v>34.828858159538399</v>
      </c>
      <c r="K204">
        <v>11.280974015139501</v>
      </c>
      <c r="L204">
        <v>3.0778956758259169E-5</v>
      </c>
      <c r="M204">
        <v>1.8327817489582068E-6</v>
      </c>
      <c r="N204" s="1">
        <v>-2.1299260814535701E-7</v>
      </c>
      <c r="O204" s="1">
        <v>1.0364957037732E-10</v>
      </c>
      <c r="P204" s="1">
        <v>8.5793269172111599E-10</v>
      </c>
      <c r="Q204">
        <v>66.346214408006503</v>
      </c>
      <c r="S204">
        <v>20.247610040399</v>
      </c>
      <c r="AA204">
        <v>1.2235034810185299</v>
      </c>
      <c r="AB204">
        <v>8.5956464128400203</v>
      </c>
      <c r="AC204">
        <v>3.5870256577358401</v>
      </c>
      <c r="AJ204">
        <v>0.73898106903918803</v>
      </c>
      <c r="AK204">
        <v>5.8126044540176502E-2</v>
      </c>
      <c r="AL204">
        <v>0.20289288642063399</v>
      </c>
    </row>
    <row r="205" spans="1:38" x14ac:dyDescent="0.2">
      <c r="A205">
        <v>180</v>
      </c>
      <c r="B205">
        <v>773</v>
      </c>
      <c r="C205">
        <v>125</v>
      </c>
      <c r="D205">
        <v>0.472102948907902</v>
      </c>
      <c r="E205">
        <v>10.3186450697824</v>
      </c>
      <c r="F205">
        <v>2.5238942762492398</v>
      </c>
      <c r="G205">
        <v>-165.12913156932743</v>
      </c>
      <c r="H205">
        <v>-142.35314426936273</v>
      </c>
      <c r="I205">
        <v>21.7712443721882</v>
      </c>
      <c r="J205">
        <v>12.3602150386851</v>
      </c>
      <c r="K205">
        <v>4.0883824520244803</v>
      </c>
      <c r="L205">
        <v>2.937054937265452E-5</v>
      </c>
      <c r="M205">
        <v>1.8178286465254435E-6</v>
      </c>
      <c r="N205" s="1">
        <v>-4.9564605906196098E-8</v>
      </c>
      <c r="O205" s="1">
        <v>3.8686607729550699E-11</v>
      </c>
      <c r="P205" s="1">
        <v>2.27262340402011E-10</v>
      </c>
      <c r="Q205">
        <v>66.4482918519425</v>
      </c>
      <c r="S205">
        <v>19.3004336298312</v>
      </c>
      <c r="AA205">
        <v>0.418254867934999</v>
      </c>
      <c r="AB205">
        <v>6.3399744218403002</v>
      </c>
      <c r="AC205">
        <v>7.4930452284508204</v>
      </c>
      <c r="AJ205">
        <v>0.551255283091306</v>
      </c>
      <c r="AK205">
        <v>2.0096343876967099E-2</v>
      </c>
      <c r="AL205">
        <v>0.42864837303172598</v>
      </c>
    </row>
    <row r="206" spans="1:38" x14ac:dyDescent="0.2">
      <c r="A206">
        <v>181</v>
      </c>
      <c r="B206">
        <v>772</v>
      </c>
      <c r="C206">
        <v>125</v>
      </c>
      <c r="D206">
        <v>0.47153088073482102</v>
      </c>
      <c r="E206">
        <v>27.843455396218801</v>
      </c>
      <c r="F206">
        <v>2.54906403726998</v>
      </c>
      <c r="G206">
        <v>-451.09877651772587</v>
      </c>
      <c r="H206">
        <v>-389.25497933923106</v>
      </c>
      <c r="I206">
        <v>59.172173543027199</v>
      </c>
      <c r="J206">
        <v>33.770792987941</v>
      </c>
      <c r="K206">
        <v>10.9230113442104</v>
      </c>
      <c r="L206">
        <v>3.0817365560300184E-5</v>
      </c>
      <c r="M206">
        <v>1.831589953046031E-6</v>
      </c>
      <c r="N206" s="1">
        <v>-2.1529530968645901E-7</v>
      </c>
      <c r="O206" s="1">
        <v>1.0005011930026E-10</v>
      </c>
      <c r="P206" s="1">
        <v>8.5770160580223301E-10</v>
      </c>
      <c r="Q206">
        <v>66.245804955513194</v>
      </c>
      <c r="S206">
        <v>20.360410511806201</v>
      </c>
      <c r="AA206">
        <v>1.3399941979680201</v>
      </c>
      <c r="AB206">
        <v>8.6676104325540706</v>
      </c>
      <c r="AC206">
        <v>3.38617990215843</v>
      </c>
      <c r="AJ206">
        <v>0.744899280770419</v>
      </c>
      <c r="AK206">
        <v>6.3637319696115802E-2</v>
      </c>
      <c r="AL206">
        <v>0.191463399533464</v>
      </c>
    </row>
    <row r="207" spans="1:38" x14ac:dyDescent="0.2">
      <c r="A207">
        <v>181</v>
      </c>
      <c r="B207">
        <v>772</v>
      </c>
      <c r="C207">
        <v>125</v>
      </c>
      <c r="D207">
        <v>0.47153088073482102</v>
      </c>
      <c r="E207">
        <v>20.9337828828154</v>
      </c>
      <c r="F207">
        <v>2.5231547051465202</v>
      </c>
      <c r="G207">
        <v>-334.70410935278011</v>
      </c>
      <c r="H207">
        <v>-288.60108977584349</v>
      </c>
      <c r="I207">
        <v>44.111390304680199</v>
      </c>
      <c r="J207">
        <v>25.055349241911198</v>
      </c>
      <c r="K207">
        <v>8.2966703706737999</v>
      </c>
      <c r="L207">
        <v>2.9266149629834941E-5</v>
      </c>
      <c r="M207">
        <v>1.8160370826935681E-6</v>
      </c>
      <c r="N207" s="1">
        <v>-9.9953576050867803E-8</v>
      </c>
      <c r="O207" s="1">
        <v>7.8593999503110905E-11</v>
      </c>
      <c r="P207" s="1">
        <v>4.5904321617441201E-10</v>
      </c>
      <c r="Q207">
        <v>66.405354135562007</v>
      </c>
      <c r="S207">
        <v>19.2721341429768</v>
      </c>
      <c r="AA207">
        <v>0.40492643063773498</v>
      </c>
      <c r="AB207">
        <v>6.17009923914138</v>
      </c>
      <c r="AC207">
        <v>7.7474860516820296</v>
      </c>
      <c r="AJ207">
        <v>0.536944043387243</v>
      </c>
      <c r="AK207">
        <v>1.9472593383584799E-2</v>
      </c>
      <c r="AL207">
        <v>0.44358336322917202</v>
      </c>
    </row>
    <row r="208" spans="1:38" x14ac:dyDescent="0.2">
      <c r="A208">
        <v>182</v>
      </c>
      <c r="B208">
        <v>771</v>
      </c>
      <c r="C208">
        <v>125</v>
      </c>
      <c r="D208">
        <v>0.47095771680314102</v>
      </c>
      <c r="E208">
        <v>27.813399964685001</v>
      </c>
      <c r="F208">
        <v>2.5502043086272099</v>
      </c>
      <c r="G208">
        <v>-450.69584410512954</v>
      </c>
      <c r="H208">
        <v>-389.00890614320849</v>
      </c>
      <c r="I208">
        <v>59.078617020467298</v>
      </c>
      <c r="J208">
        <v>33.746208122366902</v>
      </c>
      <c r="K208">
        <v>10.906341845080201</v>
      </c>
      <c r="L208">
        <v>3.0846733027741861E-5</v>
      </c>
      <c r="M208">
        <v>1.8310191447103423E-6</v>
      </c>
      <c r="N208" s="1">
        <v>-2.2305118600957199E-7</v>
      </c>
      <c r="O208" s="1">
        <v>9.9709796739459798E-11</v>
      </c>
      <c r="P208" s="1">
        <v>8.8024529458867003E-10</v>
      </c>
      <c r="Q208">
        <v>66.193724663886201</v>
      </c>
      <c r="S208">
        <v>20.4182608162739</v>
      </c>
      <c r="AA208">
        <v>1.39987351556157</v>
      </c>
      <c r="AB208">
        <v>8.7032143893117908</v>
      </c>
      <c r="AC208">
        <v>3.28492661496642</v>
      </c>
      <c r="AJ208">
        <v>0.74782568245417302</v>
      </c>
      <c r="AK208">
        <v>6.6469173959997005E-2</v>
      </c>
      <c r="AL208">
        <v>0.18570514358582799</v>
      </c>
    </row>
    <row r="209" spans="1:38" x14ac:dyDescent="0.2">
      <c r="A209">
        <v>182</v>
      </c>
      <c r="B209">
        <v>771</v>
      </c>
      <c r="C209">
        <v>125</v>
      </c>
      <c r="D209">
        <v>0.47095771680314102</v>
      </c>
      <c r="E209">
        <v>25.790022473839699</v>
      </c>
      <c r="F209">
        <v>2.52279817398259</v>
      </c>
      <c r="G209">
        <v>-412.12935337148713</v>
      </c>
      <c r="H209">
        <v>-355.43900846816365</v>
      </c>
      <c r="I209">
        <v>54.293295889789199</v>
      </c>
      <c r="J209">
        <v>30.855955939580301</v>
      </c>
      <c r="K209">
        <v>10.222784660227701</v>
      </c>
      <c r="L209">
        <v>2.9218124276872234E-5</v>
      </c>
      <c r="M209">
        <v>1.8151863510543591E-6</v>
      </c>
      <c r="N209" s="1">
        <v>-1.2484013860091799E-7</v>
      </c>
      <c r="O209" s="1">
        <v>9.6881041721575697E-11</v>
      </c>
      <c r="P209" s="1">
        <v>5.7032539665148005E-10</v>
      </c>
      <c r="Q209">
        <v>66.384252334932199</v>
      </c>
      <c r="S209">
        <v>19.256224036046302</v>
      </c>
      <c r="AA209">
        <v>0.39672424621045399</v>
      </c>
      <c r="AB209">
        <v>6.0813645940979102</v>
      </c>
      <c r="AC209">
        <v>7.8814347887130598</v>
      </c>
      <c r="AJ209">
        <v>0.52945880613687102</v>
      </c>
      <c r="AK209">
        <v>1.9086692144796299E-2</v>
      </c>
      <c r="AL209">
        <v>0.45145450171833101</v>
      </c>
    </row>
    <row r="210" spans="1:38" x14ac:dyDescent="0.2">
      <c r="A210">
        <v>183</v>
      </c>
      <c r="B210">
        <v>770</v>
      </c>
      <c r="C210">
        <v>125</v>
      </c>
      <c r="D210">
        <v>0.47038345396155901</v>
      </c>
      <c r="E210">
        <v>27.919930747677601</v>
      </c>
      <c r="F210">
        <v>2.5509230181185401</v>
      </c>
      <c r="G210">
        <v>-452.45222612229782</v>
      </c>
      <c r="H210">
        <v>-390.6204166050311</v>
      </c>
      <c r="I210">
        <v>59.274130774353303</v>
      </c>
      <c r="J210">
        <v>33.885317895071502</v>
      </c>
      <c r="K210">
        <v>10.9450307004051</v>
      </c>
      <c r="L210">
        <v>3.0875226777606024E-5</v>
      </c>
      <c r="M210">
        <v>1.8307704944538629E-6</v>
      </c>
      <c r="N210" s="1">
        <v>-2.3177869879845901E-7</v>
      </c>
      <c r="O210" s="1">
        <v>9.9924996051499002E-11</v>
      </c>
      <c r="P210" s="1">
        <v>9.0666413056983298E-10</v>
      </c>
      <c r="Q210">
        <v>66.163671795351107</v>
      </c>
      <c r="S210">
        <v>20.452729161704799</v>
      </c>
      <c r="AA210">
        <v>1.43532267949334</v>
      </c>
      <c r="AB210">
        <v>8.7266064318894703</v>
      </c>
      <c r="AC210">
        <v>3.2216699315611699</v>
      </c>
      <c r="AJ210">
        <v>0.74974784279216</v>
      </c>
      <c r="AK210">
        <v>6.8144400087246801E-2</v>
      </c>
      <c r="AL210">
        <v>0.18210775712059199</v>
      </c>
    </row>
    <row r="211" spans="1:38" x14ac:dyDescent="0.2">
      <c r="A211">
        <v>183</v>
      </c>
      <c r="B211">
        <v>770</v>
      </c>
      <c r="C211">
        <v>125</v>
      </c>
      <c r="D211">
        <v>0.47038345396155901</v>
      </c>
      <c r="E211">
        <v>28.437463873855702</v>
      </c>
      <c r="F211">
        <v>2.5225829245302198</v>
      </c>
      <c r="G211">
        <v>-454.25789031524192</v>
      </c>
      <c r="H211">
        <v>-391.85806437987725</v>
      </c>
      <c r="I211">
        <v>59.818651138728498</v>
      </c>
      <c r="J211">
        <v>34.0162755384655</v>
      </c>
      <c r="K211">
        <v>11.273153241989601</v>
      </c>
      <c r="L211">
        <v>2.9192556886181453E-5</v>
      </c>
      <c r="M211">
        <v>1.814708528966364E-6</v>
      </c>
      <c r="N211" s="1">
        <v>-1.4066736336813499E-7</v>
      </c>
      <c r="O211" s="1">
        <v>1.0685194319367E-10</v>
      </c>
      <c r="P211" s="1">
        <v>6.3753922077090999E-10</v>
      </c>
      <c r="Q211">
        <v>66.372058667813604</v>
      </c>
      <c r="S211">
        <v>19.244942455607202</v>
      </c>
      <c r="AA211">
        <v>0.390262052358054</v>
      </c>
      <c r="AB211">
        <v>6.0246155308958098</v>
      </c>
      <c r="AC211">
        <v>7.9681212933252699</v>
      </c>
      <c r="AJ211">
        <v>0.52466822363135202</v>
      </c>
      <c r="AK211">
        <v>1.8781165491617301E-2</v>
      </c>
      <c r="AL211">
        <v>0.45655061087703003</v>
      </c>
    </row>
    <row r="212" spans="1:38" x14ac:dyDescent="0.2">
      <c r="A212">
        <v>184</v>
      </c>
      <c r="B212">
        <v>769</v>
      </c>
      <c r="C212">
        <v>125</v>
      </c>
      <c r="D212">
        <v>0.46980808904668597</v>
      </c>
      <c r="E212">
        <v>28.0494220151663</v>
      </c>
      <c r="F212">
        <v>2.5514378227660202</v>
      </c>
      <c r="G212">
        <v>-454.55542670566052</v>
      </c>
      <c r="H212">
        <v>-392.52897602324475</v>
      </c>
      <c r="I212">
        <v>59.517776406866297</v>
      </c>
      <c r="J212">
        <v>34.051618339197802</v>
      </c>
      <c r="K212">
        <v>10.993574589545601</v>
      </c>
      <c r="L212">
        <v>3.0904252457226999E-5</v>
      </c>
      <c r="M212">
        <v>1.8306948693793386E-6</v>
      </c>
      <c r="N212" s="1">
        <v>-2.40837006246825E-7</v>
      </c>
      <c r="O212" s="1">
        <v>1.00252415928429E-10</v>
      </c>
      <c r="P212" s="1">
        <v>9.3418774528527003E-10</v>
      </c>
      <c r="Q212">
        <v>66.144814114054</v>
      </c>
      <c r="S212">
        <v>20.475665372999799</v>
      </c>
      <c r="AA212">
        <v>1.4586454707894301</v>
      </c>
      <c r="AB212">
        <v>8.7447133600482001</v>
      </c>
      <c r="AC212">
        <v>3.1761616821084302</v>
      </c>
      <c r="AJ212">
        <v>0.75123547447750005</v>
      </c>
      <c r="AK212">
        <v>6.9245418997516697E-2</v>
      </c>
      <c r="AL212">
        <v>0.17951910652498199</v>
      </c>
    </row>
    <row r="213" spans="1:38" x14ac:dyDescent="0.2">
      <c r="A213">
        <v>184</v>
      </c>
      <c r="B213">
        <v>769</v>
      </c>
      <c r="C213">
        <v>125</v>
      </c>
      <c r="D213">
        <v>0.46980808904668597</v>
      </c>
      <c r="E213">
        <v>30.0517614266947</v>
      </c>
      <c r="F213">
        <v>2.52243285231153</v>
      </c>
      <c r="G213">
        <v>-479.88855089825239</v>
      </c>
      <c r="H213">
        <v>-414.05827850174717</v>
      </c>
      <c r="I213">
        <v>63.167751663872899</v>
      </c>
      <c r="J213">
        <v>35.942683292766098</v>
      </c>
      <c r="K213">
        <v>11.9138003610901</v>
      </c>
      <c r="L213">
        <v>2.9177827430733859E-5</v>
      </c>
      <c r="M213">
        <v>1.8144079998140726E-6</v>
      </c>
      <c r="N213" s="1">
        <v>-1.52477521454289E-7</v>
      </c>
      <c r="O213" s="1">
        <v>1.1292687935310699E-10</v>
      </c>
      <c r="P213" s="1">
        <v>6.8478843517104702E-10</v>
      </c>
      <c r="Q213">
        <v>66.364133286734699</v>
      </c>
      <c r="S213">
        <v>19.2358200716223</v>
      </c>
      <c r="AA213">
        <v>0.38458527149261301</v>
      </c>
      <c r="AB213">
        <v>5.9830387284962203</v>
      </c>
      <c r="AC213">
        <v>8.0324226416540796</v>
      </c>
      <c r="AJ213">
        <v>0.52115670672873604</v>
      </c>
      <c r="AK213">
        <v>1.8511855657909901E-2</v>
      </c>
      <c r="AL213">
        <v>0.46033143761335299</v>
      </c>
    </row>
    <row r="214" spans="1:38" x14ac:dyDescent="0.2">
      <c r="A214">
        <v>185</v>
      </c>
      <c r="B214">
        <v>768</v>
      </c>
      <c r="C214">
        <v>125</v>
      </c>
      <c r="D214">
        <v>0.46923161888296799</v>
      </c>
      <c r="E214">
        <v>28.178630002376501</v>
      </c>
      <c r="F214">
        <v>2.5518407863010202</v>
      </c>
      <c r="G214">
        <v>-456.64026675463907</v>
      </c>
      <c r="H214">
        <v>-394.42076686569635</v>
      </c>
      <c r="I214">
        <v>59.760361032457098</v>
      </c>
      <c r="J214">
        <v>34.217396881417301</v>
      </c>
      <c r="K214">
        <v>11.042471831960301</v>
      </c>
      <c r="L214">
        <v>3.0934095000577106E-5</v>
      </c>
      <c r="M214">
        <v>1.8307201970409221E-6</v>
      </c>
      <c r="N214" s="1">
        <v>-2.50127893862085E-7</v>
      </c>
      <c r="O214" s="1">
        <v>1.0059402106795E-10</v>
      </c>
      <c r="P214" s="1">
        <v>9.6235177390122998E-10</v>
      </c>
      <c r="Q214">
        <v>66.132265761546293</v>
      </c>
      <c r="S214">
        <v>20.49220392925</v>
      </c>
      <c r="AA214">
        <v>1.4752179355478201</v>
      </c>
      <c r="AB214">
        <v>8.7601080046693198</v>
      </c>
      <c r="AC214">
        <v>3.1402043689864798</v>
      </c>
      <c r="AJ214">
        <v>0.75250011074082002</v>
      </c>
      <c r="AK214">
        <v>7.0026767870253706E-2</v>
      </c>
      <c r="AL214">
        <v>0.17747312138892599</v>
      </c>
    </row>
    <row r="215" spans="1:38" x14ac:dyDescent="0.2">
      <c r="A215">
        <v>185</v>
      </c>
      <c r="B215">
        <v>768</v>
      </c>
      <c r="C215">
        <v>125</v>
      </c>
      <c r="D215">
        <v>0.46923161888296799</v>
      </c>
      <c r="E215">
        <v>31.112591737229401</v>
      </c>
      <c r="F215">
        <v>2.5223178416661298</v>
      </c>
      <c r="G215">
        <v>-496.68522739182754</v>
      </c>
      <c r="H215">
        <v>-428.6443292982384</v>
      </c>
      <c r="I215">
        <v>65.351676601439905</v>
      </c>
      <c r="J215">
        <v>37.208465770465601</v>
      </c>
      <c r="K215">
        <v>12.3349211678564</v>
      </c>
      <c r="L215">
        <v>2.9169132625012245E-5</v>
      </c>
      <c r="M215">
        <v>1.8142036986819617E-6</v>
      </c>
      <c r="N215" s="1">
        <v>-1.62246462803284E-7</v>
      </c>
      <c r="O215" s="1">
        <v>1.1691229667940001E-10</v>
      </c>
      <c r="P215" s="1">
        <v>7.2166308890169696E-10</v>
      </c>
      <c r="Q215">
        <v>66.3585160532391</v>
      </c>
      <c r="S215">
        <v>19.2278713619109</v>
      </c>
      <c r="AA215">
        <v>0.37933820923614497</v>
      </c>
      <c r="AB215">
        <v>5.9496824489242499</v>
      </c>
      <c r="AC215">
        <v>8.0845919266894697</v>
      </c>
      <c r="AJ215">
        <v>0.51833842591157897</v>
      </c>
      <c r="AK215">
        <v>1.82623641648933E-2</v>
      </c>
      <c r="AL215">
        <v>0.46339920992352701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55B60-0EF6-4158-B0FC-9A5480B59780}">
  <sheetPr codeName="Sheet13"/>
  <dimension ref="A1:AJ10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750</v>
      </c>
      <c r="C2">
        <v>275</v>
      </c>
      <c r="D2">
        <v>0.29739578751893703</v>
      </c>
      <c r="E2">
        <v>0.16071008327403799</v>
      </c>
      <c r="F2">
        <v>2.54384628309294</v>
      </c>
      <c r="G2">
        <v>-2.6184041303938601</v>
      </c>
      <c r="H2">
        <v>-2.2959463961412787</v>
      </c>
      <c r="I2">
        <v>0.31516173997222402</v>
      </c>
      <c r="J2">
        <v>0.18607772270974299</v>
      </c>
      <c r="K2">
        <v>6.3176019849217696E-2</v>
      </c>
      <c r="L2">
        <v>0</v>
      </c>
      <c r="M2">
        <v>1.238311233006107E-6</v>
      </c>
      <c r="N2">
        <v>0</v>
      </c>
      <c r="O2" s="1">
        <v>8.9850995803781301E-14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749</v>
      </c>
      <c r="C3">
        <v>275</v>
      </c>
      <c r="D3">
        <v>0.29663992564692099</v>
      </c>
      <c r="E3">
        <v>0.37418811201727398</v>
      </c>
      <c r="F3">
        <v>2.54384628309294</v>
      </c>
      <c r="G3">
        <v>-6.0958079440437043</v>
      </c>
      <c r="H3">
        <v>-5.3461827245178224</v>
      </c>
      <c r="I3">
        <v>0.73338083405163801</v>
      </c>
      <c r="J3">
        <v>0.43319687599019402</v>
      </c>
      <c r="K3">
        <v>0.147095410011298</v>
      </c>
      <c r="L3">
        <v>0</v>
      </c>
      <c r="M3">
        <v>1.238311233006107E-6</v>
      </c>
      <c r="N3">
        <v>0</v>
      </c>
      <c r="O3" s="1">
        <v>2.0920388937487499E-13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748</v>
      </c>
      <c r="C4">
        <v>275</v>
      </c>
      <c r="D4">
        <v>0.29588258336189799</v>
      </c>
      <c r="E4">
        <v>0.58668310335710105</v>
      </c>
      <c r="F4">
        <v>2.54384628309294</v>
      </c>
      <c r="G4">
        <v>-9.5563628812660877</v>
      </c>
      <c r="H4">
        <v>-8.3828670769801317</v>
      </c>
      <c r="I4">
        <v>1.14919042675998</v>
      </c>
      <c r="J4">
        <v>0.67911426835618205</v>
      </c>
      <c r="K4">
        <v>0.23062836274988299</v>
      </c>
      <c r="L4">
        <v>0</v>
      </c>
      <c r="M4">
        <v>1.238311233006107E-6</v>
      </c>
      <c r="N4">
        <v>0</v>
      </c>
      <c r="O4" s="1">
        <v>3.2800717903930001E-13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747</v>
      </c>
      <c r="C5">
        <v>275</v>
      </c>
      <c r="D5">
        <v>0.29512375631034898</v>
      </c>
      <c r="E5">
        <v>1.1180562532273</v>
      </c>
      <c r="F5">
        <v>2.54384628309294</v>
      </c>
      <c r="G5">
        <v>-18.209603666307796</v>
      </c>
      <c r="H5">
        <v>-15.976727709756004</v>
      </c>
      <c r="I5">
        <v>2.1887721967865401</v>
      </c>
      <c r="J5">
        <v>1.2940371481143</v>
      </c>
      <c r="K5">
        <v>0.43951407781916602</v>
      </c>
      <c r="L5">
        <v>0</v>
      </c>
      <c r="M5">
        <v>1.2383112330061072E-6</v>
      </c>
      <c r="N5">
        <v>0</v>
      </c>
      <c r="O5" s="1">
        <v>6.25091255449227E-13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746</v>
      </c>
      <c r="C6">
        <v>275</v>
      </c>
      <c r="D6">
        <v>0.29436344012167098</v>
      </c>
      <c r="E6">
        <v>1.95344709644856</v>
      </c>
      <c r="F6">
        <v>2.54384628309294</v>
      </c>
      <c r="G6">
        <v>-31.811657861912281</v>
      </c>
      <c r="H6">
        <v>-27.916502353581603</v>
      </c>
      <c r="I6">
        <v>3.82196488086216</v>
      </c>
      <c r="J6">
        <v>2.2606244832611702</v>
      </c>
      <c r="K6">
        <v>0.76791082442035896</v>
      </c>
      <c r="L6">
        <v>0</v>
      </c>
      <c r="M6">
        <v>1.2383112330061072E-6</v>
      </c>
      <c r="N6">
        <v>0</v>
      </c>
      <c r="O6" s="1">
        <v>1.09214781854489E-12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745</v>
      </c>
      <c r="C7">
        <v>275</v>
      </c>
      <c r="D7">
        <v>0.29360163040809401</v>
      </c>
      <c r="E7">
        <v>2.8001517022024398</v>
      </c>
      <c r="F7">
        <v>2.54384628309294</v>
      </c>
      <c r="G7">
        <v>-45.594666525052411</v>
      </c>
      <c r="H7">
        <v>-40.019907069582452</v>
      </c>
      <c r="I7">
        <v>5.4753812851445796</v>
      </c>
      <c r="J7">
        <v>3.2400512971328901</v>
      </c>
      <c r="K7">
        <v>1.1007550734543099</v>
      </c>
      <c r="L7">
        <v>0</v>
      </c>
      <c r="M7">
        <v>1.238311233006107E-6</v>
      </c>
      <c r="N7">
        <v>0</v>
      </c>
      <c r="O7" s="1">
        <v>1.56552976464786E-12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744</v>
      </c>
      <c r="C8">
        <v>275</v>
      </c>
      <c r="D8">
        <v>0.29283832276459099</v>
      </c>
      <c r="E8">
        <v>3.6639972634940801</v>
      </c>
      <c r="F8">
        <v>2.54384628309294</v>
      </c>
      <c r="G8">
        <v>-59.653438524741674</v>
      </c>
      <c r="H8">
        <v>-52.370270024663583</v>
      </c>
      <c r="I8">
        <v>7.16036818569345</v>
      </c>
      <c r="J8">
        <v>4.2390534019147204</v>
      </c>
      <c r="K8">
        <v>1.4403375266209899</v>
      </c>
      <c r="L8">
        <v>0</v>
      </c>
      <c r="M8">
        <v>1.238311233006107E-6</v>
      </c>
      <c r="N8">
        <v>0</v>
      </c>
      <c r="O8" s="1">
        <v>2.0484950044230098E-12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743</v>
      </c>
      <c r="C9">
        <v>275</v>
      </c>
      <c r="D9">
        <v>0.29207351276878402</v>
      </c>
      <c r="E9">
        <v>4.5535122216457404</v>
      </c>
      <c r="F9">
        <v>2.54384628309294</v>
      </c>
      <c r="G9">
        <v>-74.126710944596596</v>
      </c>
      <c r="H9">
        <v>-65.089558965038989</v>
      </c>
      <c r="I9">
        <v>8.8935216056267201</v>
      </c>
      <c r="J9">
        <v>5.2674878576361701</v>
      </c>
      <c r="K9">
        <v>1.79001076122781</v>
      </c>
      <c r="L9">
        <v>0</v>
      </c>
      <c r="M9">
        <v>1.2383112330061072E-6</v>
      </c>
      <c r="N9">
        <v>0</v>
      </c>
      <c r="O9" s="1">
        <v>2.5458116826553302E-12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742</v>
      </c>
      <c r="C10">
        <v>275</v>
      </c>
      <c r="D10">
        <v>0.291307195980888</v>
      </c>
      <c r="E10">
        <v>5.4821545888787</v>
      </c>
      <c r="F10">
        <v>2.54384628309294</v>
      </c>
      <c r="G10">
        <v>-89.233393332021492</v>
      </c>
      <c r="H10">
        <v>-78.370251860892225</v>
      </c>
      <c r="I10">
        <v>10.7010210029347</v>
      </c>
      <c r="J10">
        <v>6.3409082866476298</v>
      </c>
      <c r="K10">
        <v>2.1550651960830001</v>
      </c>
      <c r="L10">
        <v>0</v>
      </c>
      <c r="M10">
        <v>1.238311233006107E-6</v>
      </c>
      <c r="N10">
        <v>0</v>
      </c>
      <c r="O10" s="1">
        <v>3.0650040055115398E-12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741</v>
      </c>
      <c r="C11">
        <v>275</v>
      </c>
      <c r="D11">
        <v>0.29053936794360102</v>
      </c>
      <c r="E11">
        <v>6.4733270472242204</v>
      </c>
      <c r="F11">
        <v>2.54384628309294</v>
      </c>
      <c r="G11">
        <v>-105.35414100828373</v>
      </c>
      <c r="H11">
        <v>-92.547064648619838</v>
      </c>
      <c r="I11">
        <v>12.6283847159334</v>
      </c>
      <c r="J11">
        <v>7.4863610346781702</v>
      </c>
      <c r="K11">
        <v>2.5447005545294199</v>
      </c>
      <c r="L11">
        <v>0</v>
      </c>
      <c r="M11">
        <v>1.238311233006107E-6</v>
      </c>
      <c r="N11">
        <v>0</v>
      </c>
      <c r="O11" s="1">
        <v>3.6191561195625798E-12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740</v>
      </c>
      <c r="C12">
        <v>275</v>
      </c>
      <c r="D12">
        <v>0.28977002418201098</v>
      </c>
      <c r="E12">
        <v>7.57381722987191</v>
      </c>
      <c r="F12">
        <v>2.54384628309294</v>
      </c>
      <c r="G12">
        <v>-123.2499741587808</v>
      </c>
      <c r="H12">
        <v>-108.28917561243814</v>
      </c>
      <c r="I12">
        <v>14.766617525877299</v>
      </c>
      <c r="J12">
        <v>8.7579191192082906</v>
      </c>
      <c r="K12">
        <v>2.9773093131489299</v>
      </c>
      <c r="L12">
        <v>0</v>
      </c>
      <c r="M12">
        <v>1.238311233006107E-6</v>
      </c>
      <c r="N12">
        <v>0</v>
      </c>
      <c r="O12" s="1">
        <v>4.2344264048412697E-12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739</v>
      </c>
      <c r="C13">
        <v>275</v>
      </c>
      <c r="D13">
        <v>0.28899916020352701</v>
      </c>
      <c r="E13">
        <v>12.4742589773881</v>
      </c>
      <c r="F13">
        <v>2.54384628309294</v>
      </c>
      <c r="G13">
        <v>-202.97135529879353</v>
      </c>
      <c r="H13">
        <v>-178.36929798935608</v>
      </c>
      <c r="I13">
        <v>24.306730533455902</v>
      </c>
      <c r="J13">
        <v>14.4226021361881</v>
      </c>
      <c r="K13">
        <v>4.90369998387688</v>
      </c>
      <c r="L13">
        <v>0</v>
      </c>
      <c r="M13">
        <v>1.2383112330061072E-6</v>
      </c>
      <c r="N13">
        <v>0</v>
      </c>
      <c r="O13" s="1">
        <v>6.9742020425774001E-12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738</v>
      </c>
      <c r="C14">
        <v>275</v>
      </c>
      <c r="D14">
        <v>0.28822677149780002</v>
      </c>
      <c r="E14">
        <v>23.927016138828701</v>
      </c>
      <c r="F14">
        <v>2.54384628309294</v>
      </c>
      <c r="G14">
        <v>-389.27502513335497</v>
      </c>
      <c r="H14">
        <v>-342.1598145788065</v>
      </c>
      <c r="I14">
        <v>46.595668846905397</v>
      </c>
      <c r="J14">
        <v>27.6605004172132</v>
      </c>
      <c r="K14">
        <v>9.4058419716056907</v>
      </c>
      <c r="L14">
        <v>0</v>
      </c>
      <c r="M14">
        <v>1.238311233006107E-6</v>
      </c>
      <c r="N14">
        <v>0</v>
      </c>
      <c r="O14" s="1">
        <v>1.33772952069287E-11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737</v>
      </c>
      <c r="C15">
        <v>275</v>
      </c>
      <c r="D15">
        <v>0.28745285353660599</v>
      </c>
      <c r="E15">
        <v>27.633258154309502</v>
      </c>
      <c r="F15">
        <v>2.54384628309294</v>
      </c>
      <c r="G15">
        <v>-449.51907032835442</v>
      </c>
      <c r="H15">
        <v>-395.19155796879289</v>
      </c>
      <c r="I15">
        <v>53.781628826967697</v>
      </c>
      <c r="J15">
        <v>31.9408208763465</v>
      </c>
      <c r="K15">
        <v>10.862786143159401</v>
      </c>
      <c r="L15">
        <v>0</v>
      </c>
      <c r="M15">
        <v>1.238311233006107E-6</v>
      </c>
      <c r="N15">
        <v>0</v>
      </c>
      <c r="O15" s="1">
        <v>1.54494087233714E-11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736</v>
      </c>
      <c r="C16">
        <v>275</v>
      </c>
      <c r="D16">
        <v>0.28667740177377199</v>
      </c>
      <c r="E16">
        <v>29.677992250934398</v>
      </c>
      <c r="F16">
        <v>2.54384628309294</v>
      </c>
      <c r="G16">
        <v>-482.72367123489749</v>
      </c>
      <c r="H16">
        <v>-424.46821891512417</v>
      </c>
      <c r="I16">
        <v>57.727248000568103</v>
      </c>
      <c r="J16">
        <v>34.299741708571503</v>
      </c>
      <c r="K16">
        <v>11.6665823906821</v>
      </c>
      <c r="L16">
        <v>0</v>
      </c>
      <c r="M16">
        <v>1.2383112330061072E-6</v>
      </c>
      <c r="N16">
        <v>0</v>
      </c>
      <c r="O16" s="1">
        <v>1.65925939609922E-11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735</v>
      </c>
      <c r="C17">
        <v>275</v>
      </c>
      <c r="D17">
        <v>0.285900411645091</v>
      </c>
      <c r="E17">
        <v>30.789557116996399</v>
      </c>
      <c r="F17">
        <v>2.54384628309294</v>
      </c>
      <c r="G17">
        <v>-500.74381880548526</v>
      </c>
      <c r="H17">
        <v>-440.40191006715571</v>
      </c>
      <c r="I17">
        <v>59.854097840926002</v>
      </c>
      <c r="J17">
        <v>35.579676289376799</v>
      </c>
      <c r="K17">
        <v>12.1035446684148</v>
      </c>
      <c r="L17">
        <v>0</v>
      </c>
      <c r="M17">
        <v>1.2383112330061072E-6</v>
      </c>
      <c r="N17">
        <v>0</v>
      </c>
      <c r="O17" s="1">
        <v>1.7214055963135901E-11</v>
      </c>
      <c r="P17">
        <v>0</v>
      </c>
      <c r="Q17">
        <v>100</v>
      </c>
      <c r="AJ17">
        <v>1</v>
      </c>
    </row>
    <row r="18" spans="1:36" x14ac:dyDescent="0.2">
      <c r="A18">
        <v>21</v>
      </c>
      <c r="B18">
        <v>752</v>
      </c>
      <c r="C18">
        <v>250</v>
      </c>
      <c r="D18">
        <v>0.32572842998585799</v>
      </c>
      <c r="E18">
        <v>0.30376845545512698</v>
      </c>
      <c r="F18">
        <v>2.5430588954681599</v>
      </c>
      <c r="G18">
        <v>-4.9533917932710931</v>
      </c>
      <c r="H18">
        <v>-4.3419980816561745</v>
      </c>
      <c r="I18">
        <v>0.59639439264002103</v>
      </c>
      <c r="J18">
        <v>0.351807743372548</v>
      </c>
      <c r="K18">
        <v>0.11945002767983599</v>
      </c>
      <c r="L18">
        <v>0</v>
      </c>
      <c r="M18">
        <v>1.2382833910659954E-6</v>
      </c>
      <c r="N18">
        <v>0</v>
      </c>
      <c r="O18" s="1">
        <v>1.69833140898066E-13</v>
      </c>
      <c r="P18">
        <v>0</v>
      </c>
      <c r="Q18">
        <v>100</v>
      </c>
      <c r="AJ18">
        <v>1</v>
      </c>
    </row>
    <row r="19" spans="1:36" x14ac:dyDescent="0.2">
      <c r="A19">
        <v>22</v>
      </c>
      <c r="B19">
        <v>751</v>
      </c>
      <c r="C19">
        <v>250</v>
      </c>
      <c r="D19">
        <v>0.32500170873407402</v>
      </c>
      <c r="E19">
        <v>1.15830395504845</v>
      </c>
      <c r="F19">
        <v>2.5430588954681599</v>
      </c>
      <c r="G19">
        <v>-18.885577468137981</v>
      </c>
      <c r="H19">
        <v>-16.557877997747124</v>
      </c>
      <c r="I19">
        <v>2.2728110827426198</v>
      </c>
      <c r="J19">
        <v>1.3413113276733699</v>
      </c>
      <c r="K19">
        <v>0.45547665337700299</v>
      </c>
      <c r="L19">
        <v>0</v>
      </c>
      <c r="M19">
        <v>1.2382833910659954E-6</v>
      </c>
      <c r="N19">
        <v>0</v>
      </c>
      <c r="O19" s="1">
        <v>6.4759324172022805E-13</v>
      </c>
      <c r="P19">
        <v>0</v>
      </c>
      <c r="Q19">
        <v>100</v>
      </c>
      <c r="AJ19">
        <v>1</v>
      </c>
    </row>
    <row r="20" spans="1:36" x14ac:dyDescent="0.2">
      <c r="A20">
        <v>23</v>
      </c>
      <c r="B20">
        <v>750</v>
      </c>
      <c r="C20">
        <v>250</v>
      </c>
      <c r="D20">
        <v>0.324273566925672</v>
      </c>
      <c r="E20">
        <v>2.0219036995844699</v>
      </c>
      <c r="F20">
        <v>2.5430588954681599</v>
      </c>
      <c r="G20">
        <v>-32.962181217177914</v>
      </c>
      <c r="H20">
        <v>-28.905320113240919</v>
      </c>
      <c r="I20">
        <v>3.9650697394683001</v>
      </c>
      <c r="J20">
        <v>2.3410555721979498</v>
      </c>
      <c r="K20">
        <v>0.79506758698652003</v>
      </c>
      <c r="L20">
        <v>0</v>
      </c>
      <c r="M20">
        <v>1.2382833910659954E-6</v>
      </c>
      <c r="N20">
        <v>0</v>
      </c>
      <c r="O20" s="1">
        <v>1.13042104842442E-12</v>
      </c>
      <c r="P20">
        <v>0</v>
      </c>
      <c r="Q20">
        <v>100</v>
      </c>
      <c r="AJ20">
        <v>1</v>
      </c>
    </row>
    <row r="21" spans="1:36" x14ac:dyDescent="0.2">
      <c r="A21">
        <v>24</v>
      </c>
      <c r="B21">
        <v>749</v>
      </c>
      <c r="C21">
        <v>250</v>
      </c>
      <c r="D21">
        <v>0.32354400039133302</v>
      </c>
      <c r="E21">
        <v>2.8993487970761902</v>
      </c>
      <c r="F21">
        <v>2.5430588954681599</v>
      </c>
      <c r="G21">
        <v>-47.261087498089069</v>
      </c>
      <c r="H21">
        <v>-41.452712221885719</v>
      </c>
      <c r="I21">
        <v>5.6825077299842004</v>
      </c>
      <c r="J21">
        <v>3.3565706685020298</v>
      </c>
      <c r="K21">
        <v>1.1401028903589101</v>
      </c>
      <c r="L21">
        <v>0</v>
      </c>
      <c r="M21">
        <v>1.2382833910659956E-6</v>
      </c>
      <c r="N21">
        <v>0</v>
      </c>
      <c r="O21" s="1">
        <v>1.62098961865123E-12</v>
      </c>
      <c r="P21">
        <v>0</v>
      </c>
      <c r="Q21">
        <v>100</v>
      </c>
      <c r="AJ21">
        <v>1</v>
      </c>
    </row>
    <row r="22" spans="1:36" x14ac:dyDescent="0.2">
      <c r="A22">
        <v>25</v>
      </c>
      <c r="B22">
        <v>748</v>
      </c>
      <c r="C22">
        <v>250</v>
      </c>
      <c r="D22">
        <v>0.32281300494540499</v>
      </c>
      <c r="E22">
        <v>3.7974184304709899</v>
      </c>
      <c r="F22">
        <v>2.5430588954681599</v>
      </c>
      <c r="G22">
        <v>-61.892709241307671</v>
      </c>
      <c r="H22">
        <v>-54.297033535332126</v>
      </c>
      <c r="I22">
        <v>7.4383545081286098</v>
      </c>
      <c r="J22">
        <v>4.39569679831376</v>
      </c>
      <c r="K22">
        <v>1.4932483228124001</v>
      </c>
      <c r="L22">
        <v>0</v>
      </c>
      <c r="M22">
        <v>1.2382833910659954E-6</v>
      </c>
      <c r="N22">
        <v>0</v>
      </c>
      <c r="O22" s="1">
        <v>2.1230891087253199E-12</v>
      </c>
      <c r="P22">
        <v>0</v>
      </c>
      <c r="Q22">
        <v>100</v>
      </c>
      <c r="AJ22">
        <v>1</v>
      </c>
    </row>
    <row r="23" spans="1:36" x14ac:dyDescent="0.2">
      <c r="A23">
        <v>26</v>
      </c>
      <c r="B23">
        <v>747</v>
      </c>
      <c r="C23">
        <v>250</v>
      </c>
      <c r="D23">
        <v>0.32208057638582899</v>
      </c>
      <c r="E23">
        <v>4.7263253627305701</v>
      </c>
      <c r="F23">
        <v>2.5430588954681599</v>
      </c>
      <c r="G23">
        <v>-77.023362292718076</v>
      </c>
      <c r="H23">
        <v>-67.584393336711116</v>
      </c>
      <c r="I23">
        <v>9.2525304670949904</v>
      </c>
      <c r="J23">
        <v>5.4702440738505098</v>
      </c>
      <c r="K23">
        <v>1.8585198208162099</v>
      </c>
      <c r="L23">
        <v>0</v>
      </c>
      <c r="M23">
        <v>1.2382833910659954E-6</v>
      </c>
      <c r="N23">
        <v>0</v>
      </c>
      <c r="O23" s="1">
        <v>2.6424293465761101E-12</v>
      </c>
      <c r="P23">
        <v>0</v>
      </c>
      <c r="Q23">
        <v>100</v>
      </c>
      <c r="AJ23">
        <v>1</v>
      </c>
    </row>
    <row r="24" spans="1:36" x14ac:dyDescent="0.2">
      <c r="A24">
        <v>27</v>
      </c>
      <c r="B24">
        <v>746</v>
      </c>
      <c r="C24">
        <v>250</v>
      </c>
      <c r="D24">
        <v>0.32134671049404001</v>
      </c>
      <c r="E24">
        <v>5.7026210800027304</v>
      </c>
      <c r="F24">
        <v>2.5430588954681599</v>
      </c>
      <c r="G24">
        <v>-92.922570363997906</v>
      </c>
      <c r="H24">
        <v>-81.551596482965479</v>
      </c>
      <c r="I24">
        <v>11.1573113683289</v>
      </c>
      <c r="J24">
        <v>6.59935191265357</v>
      </c>
      <c r="K24">
        <v>2.2424258793868401</v>
      </c>
      <c r="L24">
        <v>0</v>
      </c>
      <c r="M24">
        <v>1.2382833910659954E-6</v>
      </c>
      <c r="N24">
        <v>0</v>
      </c>
      <c r="O24" s="1">
        <v>3.1882640609187699E-12</v>
      </c>
      <c r="P24">
        <v>0</v>
      </c>
      <c r="Q24">
        <v>100</v>
      </c>
      <c r="AJ24">
        <v>1</v>
      </c>
    </row>
    <row r="25" spans="1:36" x14ac:dyDescent="0.2">
      <c r="A25">
        <v>28</v>
      </c>
      <c r="B25">
        <v>745</v>
      </c>
      <c r="C25">
        <v>250</v>
      </c>
      <c r="D25">
        <v>0.32061140303491598</v>
      </c>
      <c r="E25">
        <v>6.7558466601070704</v>
      </c>
      <c r="F25">
        <v>2.5430588954681599</v>
      </c>
      <c r="G25">
        <v>-110.07136413780069</v>
      </c>
      <c r="H25">
        <v>-96.621299979307423</v>
      </c>
      <c r="I25">
        <v>13.2102972631667</v>
      </c>
      <c r="J25">
        <v>7.8171799467485803</v>
      </c>
      <c r="K25">
        <v>2.65658285466619</v>
      </c>
      <c r="L25">
        <v>0</v>
      </c>
      <c r="M25">
        <v>1.2382833910659954E-6</v>
      </c>
      <c r="N25">
        <v>0</v>
      </c>
      <c r="O25" s="1">
        <v>3.7771092985696301E-12</v>
      </c>
      <c r="P25">
        <v>0</v>
      </c>
      <c r="Q25">
        <v>100</v>
      </c>
      <c r="AJ25">
        <v>1</v>
      </c>
    </row>
    <row r="26" spans="1:36" x14ac:dyDescent="0.2">
      <c r="A26">
        <v>29</v>
      </c>
      <c r="B26">
        <v>744</v>
      </c>
      <c r="C26">
        <v>250</v>
      </c>
      <c r="D26">
        <v>0.31987464975667701</v>
      </c>
      <c r="E26">
        <v>7.9467046128732699</v>
      </c>
      <c r="F26">
        <v>2.5430588954681599</v>
      </c>
      <c r="G26">
        <v>-129.45818834059139</v>
      </c>
      <c r="H26">
        <v>-113.66200058342297</v>
      </c>
      <c r="I26">
        <v>15.529850815679501</v>
      </c>
      <c r="J26">
        <v>9.1939220476075096</v>
      </c>
      <c r="K26">
        <v>3.1248606263247098</v>
      </c>
      <c r="L26">
        <v>0</v>
      </c>
      <c r="M26">
        <v>1.2382833910659954E-6</v>
      </c>
      <c r="N26">
        <v>0</v>
      </c>
      <c r="O26" s="1">
        <v>4.4429030729057598E-12</v>
      </c>
      <c r="P26">
        <v>0</v>
      </c>
      <c r="Q26">
        <v>100</v>
      </c>
      <c r="AJ26">
        <v>1</v>
      </c>
    </row>
    <row r="27" spans="1:36" x14ac:dyDescent="0.2">
      <c r="A27">
        <v>30</v>
      </c>
      <c r="B27">
        <v>743</v>
      </c>
      <c r="C27">
        <v>250</v>
      </c>
      <c r="D27">
        <v>0.31913644639078897</v>
      </c>
      <c r="E27">
        <v>12.599517093413301</v>
      </c>
      <c r="F27">
        <v>2.5430588954681599</v>
      </c>
      <c r="G27">
        <v>-205.23161796852332</v>
      </c>
      <c r="H27">
        <v>-180.22592010283105</v>
      </c>
      <c r="I27">
        <v>24.608274236768398</v>
      </c>
      <c r="J27">
        <v>14.575079646464101</v>
      </c>
      <c r="K27">
        <v>4.9544731802579296</v>
      </c>
      <c r="L27">
        <v>0</v>
      </c>
      <c r="M27">
        <v>1.2382833910659954E-6</v>
      </c>
      <c r="N27">
        <v>0</v>
      </c>
      <c r="O27" s="1">
        <v>7.0442322872770004E-12</v>
      </c>
      <c r="P27">
        <v>0</v>
      </c>
      <c r="Q27">
        <v>100</v>
      </c>
      <c r="AJ27">
        <v>1</v>
      </c>
    </row>
    <row r="28" spans="1:36" x14ac:dyDescent="0.2">
      <c r="A28">
        <v>31</v>
      </c>
      <c r="B28">
        <v>742</v>
      </c>
      <c r="C28">
        <v>250</v>
      </c>
      <c r="D28">
        <v>0.318396788651924</v>
      </c>
      <c r="E28">
        <v>24.298300574715402</v>
      </c>
      <c r="F28">
        <v>2.5430588954681599</v>
      </c>
      <c r="G28">
        <v>-395.74387962115179</v>
      </c>
      <c r="H28">
        <v>-347.59567942507834</v>
      </c>
      <c r="I28">
        <v>47.4296411329099</v>
      </c>
      <c r="J28">
        <v>28.104514925249699</v>
      </c>
      <c r="K28">
        <v>9.5547533790963293</v>
      </c>
      <c r="L28">
        <v>0</v>
      </c>
      <c r="M28">
        <v>1.2382833910659956E-6</v>
      </c>
      <c r="N28">
        <v>0</v>
      </c>
      <c r="O28" s="1">
        <v>1.35848756873269E-11</v>
      </c>
      <c r="P28">
        <v>0</v>
      </c>
      <c r="Q28">
        <v>100</v>
      </c>
      <c r="AJ28">
        <v>1</v>
      </c>
    </row>
    <row r="29" spans="1:36" x14ac:dyDescent="0.2">
      <c r="A29">
        <v>32</v>
      </c>
      <c r="B29">
        <v>741</v>
      </c>
      <c r="C29">
        <v>250</v>
      </c>
      <c r="D29">
        <v>0.31765567223783697</v>
      </c>
      <c r="E29">
        <v>27.3498330936598</v>
      </c>
      <c r="F29">
        <v>2.5430588954681599</v>
      </c>
      <c r="G29">
        <v>-445.39049997051279</v>
      </c>
      <c r="H29">
        <v>-391.28055028015046</v>
      </c>
      <c r="I29">
        <v>53.354976769079698</v>
      </c>
      <c r="J29">
        <v>31.629905809428202</v>
      </c>
      <c r="K29">
        <v>10.754699052545799</v>
      </c>
      <c r="L29">
        <v>0</v>
      </c>
      <c r="M29">
        <v>1.2382833910659954E-6</v>
      </c>
      <c r="N29">
        <v>0</v>
      </c>
      <c r="O29" s="1">
        <v>1.5290949319852201E-11</v>
      </c>
      <c r="P29">
        <v>0</v>
      </c>
      <c r="Q29">
        <v>100</v>
      </c>
      <c r="AJ29">
        <v>1</v>
      </c>
    </row>
    <row r="30" spans="1:36" x14ac:dyDescent="0.2">
      <c r="A30">
        <v>33</v>
      </c>
      <c r="B30">
        <v>740</v>
      </c>
      <c r="C30">
        <v>250</v>
      </c>
      <c r="D30">
        <v>0.31691309282929903</v>
      </c>
      <c r="E30">
        <v>29.019222120398599</v>
      </c>
      <c r="F30">
        <v>2.5430588954681599</v>
      </c>
      <c r="G30">
        <v>-472.5198116363182</v>
      </c>
      <c r="H30">
        <v>-415.19723268596817</v>
      </c>
      <c r="I30">
        <v>56.578570745052502</v>
      </c>
      <c r="J30">
        <v>33.556130616725902</v>
      </c>
      <c r="K30">
        <v>11.4111482719146</v>
      </c>
      <c r="L30">
        <v>0</v>
      </c>
      <c r="M30">
        <v>1.2382833910659954E-6</v>
      </c>
      <c r="N30">
        <v>0</v>
      </c>
      <c r="O30" s="1">
        <v>1.6224283827436399E-11</v>
      </c>
      <c r="P30">
        <v>0</v>
      </c>
      <c r="Q30">
        <v>100</v>
      </c>
      <c r="AJ30">
        <v>1</v>
      </c>
    </row>
    <row r="31" spans="1:36" x14ac:dyDescent="0.2">
      <c r="A31">
        <v>34</v>
      </c>
      <c r="B31">
        <v>739</v>
      </c>
      <c r="C31">
        <v>250</v>
      </c>
      <c r="D31">
        <v>0.31616904609000601</v>
      </c>
      <c r="E31">
        <v>29.9313184034737</v>
      </c>
      <c r="F31">
        <v>2.5430588954681599</v>
      </c>
      <c r="G31">
        <v>-487.3131298958113</v>
      </c>
      <c r="H31">
        <v>-428.28180690948483</v>
      </c>
      <c r="I31">
        <v>58.3227021551414</v>
      </c>
      <c r="J31">
        <v>34.6062637890861</v>
      </c>
      <c r="K31">
        <v>11.7698093649394</v>
      </c>
      <c r="L31">
        <v>0</v>
      </c>
      <c r="M31">
        <v>1.2382833910659954E-6</v>
      </c>
      <c r="N31">
        <v>0</v>
      </c>
      <c r="O31" s="1">
        <v>1.67342254417624E-11</v>
      </c>
      <c r="P31">
        <v>0</v>
      </c>
      <c r="Q31">
        <v>100</v>
      </c>
      <c r="AJ31">
        <v>1</v>
      </c>
    </row>
    <row r="32" spans="1:36" x14ac:dyDescent="0.2">
      <c r="A32">
        <v>42</v>
      </c>
      <c r="B32">
        <v>756</v>
      </c>
      <c r="C32">
        <v>225</v>
      </c>
      <c r="D32">
        <v>0.35534227274935698</v>
      </c>
      <c r="E32">
        <v>0.65951023087954797</v>
      </c>
      <c r="F32">
        <v>2.5422717692855801</v>
      </c>
      <c r="G32">
        <v>-10.76595477787442</v>
      </c>
      <c r="H32">
        <v>-9.430319552404697</v>
      </c>
      <c r="I32">
        <v>1.2978042321038901</v>
      </c>
      <c r="J32">
        <v>0.76419756981814502</v>
      </c>
      <c r="K32">
        <v>0.25941767471417099</v>
      </c>
      <c r="L32">
        <v>0</v>
      </c>
      <c r="M32">
        <v>1.2382554563563432E-6</v>
      </c>
      <c r="N32">
        <v>0</v>
      </c>
      <c r="O32" s="1">
        <v>3.68723914393502E-13</v>
      </c>
      <c r="P32">
        <v>0</v>
      </c>
      <c r="Q32">
        <v>100</v>
      </c>
      <c r="AJ32">
        <v>1</v>
      </c>
    </row>
    <row r="33" spans="1:36" x14ac:dyDescent="0.2">
      <c r="A33">
        <v>43</v>
      </c>
      <c r="B33">
        <v>755</v>
      </c>
      <c r="C33">
        <v>225</v>
      </c>
      <c r="D33">
        <v>0.354647181831445</v>
      </c>
      <c r="E33">
        <v>1.5377181732098699</v>
      </c>
      <c r="F33">
        <v>2.5422717692855801</v>
      </c>
      <c r="G33">
        <v>-25.098942295016947</v>
      </c>
      <c r="H33">
        <v>-21.989573659028597</v>
      </c>
      <c r="I33">
        <v>3.0242363818395601</v>
      </c>
      <c r="J33">
        <v>1.78158154217374</v>
      </c>
      <c r="K33">
        <v>0.60485987052517198</v>
      </c>
      <c r="L33">
        <v>0</v>
      </c>
      <c r="M33">
        <v>1.2382554563563432E-6</v>
      </c>
      <c r="N33">
        <v>0</v>
      </c>
      <c r="O33" s="1">
        <v>8.5971898162035802E-13</v>
      </c>
      <c r="P33">
        <v>0</v>
      </c>
      <c r="Q33">
        <v>100</v>
      </c>
      <c r="AJ33">
        <v>1</v>
      </c>
    </row>
    <row r="34" spans="1:36" x14ac:dyDescent="0.2">
      <c r="A34">
        <v>44</v>
      </c>
      <c r="B34">
        <v>754</v>
      </c>
      <c r="C34">
        <v>225</v>
      </c>
      <c r="D34">
        <v>0.35395073747748601</v>
      </c>
      <c r="E34">
        <v>2.4279525244461699</v>
      </c>
      <c r="F34">
        <v>2.5422717692855801</v>
      </c>
      <c r="G34">
        <v>-39.624750991101088</v>
      </c>
      <c r="H34">
        <v>-34.722855674963348</v>
      </c>
      <c r="I34">
        <v>4.7723266476539301</v>
      </c>
      <c r="J34">
        <v>2.8126381517184398</v>
      </c>
      <c r="K34">
        <v>0.95503264197771498</v>
      </c>
      <c r="L34">
        <v>0</v>
      </c>
      <c r="M34">
        <v>1.2382554563563434E-6</v>
      </c>
      <c r="N34">
        <v>0</v>
      </c>
      <c r="O34" s="1">
        <v>1.3574378635210001E-12</v>
      </c>
      <c r="P34">
        <v>0</v>
      </c>
      <c r="Q34">
        <v>100</v>
      </c>
      <c r="AJ34">
        <v>1</v>
      </c>
    </row>
    <row r="35" spans="1:36" x14ac:dyDescent="0.2">
      <c r="A35">
        <v>45</v>
      </c>
      <c r="B35">
        <v>753</v>
      </c>
      <c r="C35">
        <v>225</v>
      </c>
      <c r="D35">
        <v>0.35325293573064698</v>
      </c>
      <c r="E35">
        <v>3.3361832309810699</v>
      </c>
      <c r="F35">
        <v>2.5422717692855801</v>
      </c>
      <c r="G35">
        <v>-54.440732127306177</v>
      </c>
      <c r="H35">
        <v>-47.715591860217373</v>
      </c>
      <c r="I35">
        <v>6.5537594572808997</v>
      </c>
      <c r="J35">
        <v>3.8642761639883401</v>
      </c>
      <c r="K35">
        <v>1.31228426137878</v>
      </c>
      <c r="L35">
        <v>0</v>
      </c>
      <c r="M35">
        <v>1.2382554563563432E-6</v>
      </c>
      <c r="N35">
        <v>0</v>
      </c>
      <c r="O35" s="1">
        <v>1.8652182823923001E-12</v>
      </c>
      <c r="P35">
        <v>0</v>
      </c>
      <c r="Q35">
        <v>100</v>
      </c>
      <c r="AJ35">
        <v>1</v>
      </c>
    </row>
    <row r="36" spans="1:36" x14ac:dyDescent="0.2">
      <c r="A36">
        <v>46</v>
      </c>
      <c r="B36">
        <v>752</v>
      </c>
      <c r="C36">
        <v>225</v>
      </c>
      <c r="D36">
        <v>0.35255377261864101</v>
      </c>
      <c r="E36">
        <v>4.2712019505575602</v>
      </c>
      <c r="F36">
        <v>2.5422717692855801</v>
      </c>
      <c r="G36">
        <v>-69.690230053072071</v>
      </c>
      <c r="H36">
        <v>-61.093596772978174</v>
      </c>
      <c r="I36">
        <v>8.3857321173427106</v>
      </c>
      <c r="J36">
        <v>4.9466687298479304</v>
      </c>
      <c r="K36">
        <v>1.6800729183087399</v>
      </c>
      <c r="L36">
        <v>0</v>
      </c>
      <c r="M36">
        <v>1.2382554563563434E-6</v>
      </c>
      <c r="N36">
        <v>0</v>
      </c>
      <c r="O36" s="1">
        <v>2.38797554402515E-12</v>
      </c>
      <c r="P36">
        <v>0</v>
      </c>
      <c r="Q36">
        <v>100</v>
      </c>
      <c r="AJ36">
        <v>1</v>
      </c>
    </row>
    <row r="37" spans="1:36" x14ac:dyDescent="0.2">
      <c r="A37">
        <v>47</v>
      </c>
      <c r="B37">
        <v>751</v>
      </c>
      <c r="C37">
        <v>225</v>
      </c>
      <c r="D37">
        <v>0.35185324415369101</v>
      </c>
      <c r="E37">
        <v>5.2467378230369697</v>
      </c>
      <c r="F37">
        <v>2.5422717692855801</v>
      </c>
      <c r="G37">
        <v>-85.597071988635989</v>
      </c>
      <c r="H37">
        <v>-75.053355204510936</v>
      </c>
      <c r="I37">
        <v>10.295090352121299</v>
      </c>
      <c r="J37">
        <v>6.0757013258038901</v>
      </c>
      <c r="K37">
        <v>2.06379895588872</v>
      </c>
      <c r="L37">
        <v>0</v>
      </c>
      <c r="M37">
        <v>1.2382554563563432E-6</v>
      </c>
      <c r="N37">
        <v>0</v>
      </c>
      <c r="O37" s="1">
        <v>2.9333854386558602E-12</v>
      </c>
      <c r="P37">
        <v>0</v>
      </c>
      <c r="Q37">
        <v>100</v>
      </c>
      <c r="AJ37">
        <v>1</v>
      </c>
    </row>
    <row r="38" spans="1:36" x14ac:dyDescent="0.2">
      <c r="A38">
        <v>48</v>
      </c>
      <c r="B38">
        <v>750</v>
      </c>
      <c r="C38">
        <v>225</v>
      </c>
      <c r="D38">
        <v>0.35115134633240402</v>
      </c>
      <c r="E38">
        <v>6.2858888131770003</v>
      </c>
      <c r="F38">
        <v>2.5422717692855801</v>
      </c>
      <c r="G38">
        <v>-102.53780544345456</v>
      </c>
      <c r="H38">
        <v>-89.925445203403939</v>
      </c>
      <c r="I38">
        <v>12.326990412012499</v>
      </c>
      <c r="J38">
        <v>7.2780988705490799</v>
      </c>
      <c r="K38">
        <v>2.47254793492964</v>
      </c>
      <c r="L38">
        <v>0</v>
      </c>
      <c r="M38">
        <v>1.2382554563563432E-6</v>
      </c>
      <c r="N38">
        <v>0</v>
      </c>
      <c r="O38" s="1">
        <v>3.5143617492421602E-12</v>
      </c>
      <c r="P38">
        <v>0</v>
      </c>
      <c r="Q38">
        <v>100</v>
      </c>
      <c r="AJ38">
        <v>1</v>
      </c>
    </row>
    <row r="39" spans="1:36" x14ac:dyDescent="0.2">
      <c r="A39">
        <v>49</v>
      </c>
      <c r="B39">
        <v>749</v>
      </c>
      <c r="C39">
        <v>225</v>
      </c>
      <c r="D39">
        <v>0.350448075135744</v>
      </c>
      <c r="E39">
        <v>7.4316997913169898</v>
      </c>
      <c r="F39">
        <v>2.5422717692855801</v>
      </c>
      <c r="G39">
        <v>-121.21413946533785</v>
      </c>
      <c r="H39">
        <v>-106.32593375115077</v>
      </c>
      <c r="I39">
        <v>14.5655781579876</v>
      </c>
      <c r="J39">
        <v>8.6036649201374793</v>
      </c>
      <c r="K39">
        <v>2.9232515111495698</v>
      </c>
      <c r="L39">
        <v>0</v>
      </c>
      <c r="M39">
        <v>1.2382554563563434E-6</v>
      </c>
      <c r="N39">
        <v>0</v>
      </c>
      <c r="O39" s="1">
        <v>4.15497032395885E-12</v>
      </c>
      <c r="P39">
        <v>0</v>
      </c>
      <c r="Q39">
        <v>100</v>
      </c>
      <c r="AJ39">
        <v>1</v>
      </c>
    </row>
    <row r="40" spans="1:36" x14ac:dyDescent="0.2">
      <c r="A40">
        <v>50</v>
      </c>
      <c r="B40">
        <v>748</v>
      </c>
      <c r="C40">
        <v>225</v>
      </c>
      <c r="D40">
        <v>0.34974342652891699</v>
      </c>
      <c r="E40">
        <v>9.3082643439501904</v>
      </c>
      <c r="F40">
        <v>2.5422717692855801</v>
      </c>
      <c r="G40">
        <v>-151.80345586888089</v>
      </c>
      <c r="H40">
        <v>-133.18487099690205</v>
      </c>
      <c r="I40">
        <v>18.232957814208302</v>
      </c>
      <c r="J40">
        <v>10.774769366009799</v>
      </c>
      <c r="K40">
        <v>3.6613962584204498</v>
      </c>
      <c r="L40">
        <v>0</v>
      </c>
      <c r="M40">
        <v>1.2382554563563434E-6</v>
      </c>
      <c r="N40">
        <v>0</v>
      </c>
      <c r="O40" s="1">
        <v>5.20413407466552E-12</v>
      </c>
      <c r="P40">
        <v>0</v>
      </c>
      <c r="Q40">
        <v>100</v>
      </c>
      <c r="AJ40">
        <v>1</v>
      </c>
    </row>
    <row r="41" spans="1:36" x14ac:dyDescent="0.2">
      <c r="A41">
        <v>51</v>
      </c>
      <c r="B41">
        <v>747</v>
      </c>
      <c r="C41">
        <v>225</v>
      </c>
      <c r="D41">
        <v>0.34903739646130499</v>
      </c>
      <c r="E41">
        <v>20.144677112287599</v>
      </c>
      <c r="F41">
        <v>2.5422717692855801</v>
      </c>
      <c r="G41">
        <v>-328.48921123053202</v>
      </c>
      <c r="H41">
        <v>-288.25817182917081</v>
      </c>
      <c r="I41">
        <v>39.4363960215275</v>
      </c>
      <c r="J41">
        <v>23.315428400692799</v>
      </c>
      <c r="K41">
        <v>7.9238881364554397</v>
      </c>
      <c r="L41">
        <v>0</v>
      </c>
      <c r="M41">
        <v>1.2382554563563434E-6</v>
      </c>
      <c r="N41">
        <v>0</v>
      </c>
      <c r="O41" s="1">
        <v>1.1262636804177901E-11</v>
      </c>
      <c r="P41">
        <v>0</v>
      </c>
      <c r="Q41">
        <v>100</v>
      </c>
      <c r="AJ41">
        <v>1</v>
      </c>
    </row>
    <row r="42" spans="1:36" x14ac:dyDescent="0.2">
      <c r="A42">
        <v>52</v>
      </c>
      <c r="B42">
        <v>746</v>
      </c>
      <c r="C42">
        <v>225</v>
      </c>
      <c r="D42">
        <v>0.34832998086640898</v>
      </c>
      <c r="E42">
        <v>25.528376734818899</v>
      </c>
      <c r="F42">
        <v>2.5422717692855801</v>
      </c>
      <c r="G42">
        <v>-416.22855682975415</v>
      </c>
      <c r="H42">
        <v>-365.32520887722944</v>
      </c>
      <c r="I42">
        <v>49.946865478609297</v>
      </c>
      <c r="J42">
        <v>29.542685629708199</v>
      </c>
      <c r="K42">
        <v>10.041560876079201</v>
      </c>
      <c r="L42">
        <v>0</v>
      </c>
      <c r="M42">
        <v>1.2382554563563432E-6</v>
      </c>
      <c r="N42">
        <v>0</v>
      </c>
      <c r="O42" s="1">
        <v>1.42725958704552E-11</v>
      </c>
      <c r="P42">
        <v>0</v>
      </c>
      <c r="Q42">
        <v>100</v>
      </c>
      <c r="AJ42">
        <v>1</v>
      </c>
    </row>
    <row r="43" spans="1:36" x14ac:dyDescent="0.2">
      <c r="A43">
        <v>53</v>
      </c>
      <c r="B43">
        <v>745</v>
      </c>
      <c r="C43">
        <v>225</v>
      </c>
      <c r="D43">
        <v>0.347621175661739</v>
      </c>
      <c r="E43">
        <v>27.808637254797301</v>
      </c>
      <c r="F43">
        <v>2.5422717692855801</v>
      </c>
      <c r="G43">
        <v>-453.35277370315475</v>
      </c>
      <c r="H43">
        <v>-397.98917916719427</v>
      </c>
      <c r="I43">
        <v>54.376658189815302</v>
      </c>
      <c r="J43">
        <v>32.177332084556497</v>
      </c>
      <c r="K43">
        <v>10.938499019171299</v>
      </c>
      <c r="L43">
        <v>0</v>
      </c>
      <c r="M43">
        <v>1.2382554563563434E-6</v>
      </c>
      <c r="N43">
        <v>0</v>
      </c>
      <c r="O43" s="1">
        <v>1.5547460983073899E-11</v>
      </c>
      <c r="P43">
        <v>0</v>
      </c>
      <c r="Q43">
        <v>100</v>
      </c>
      <c r="AJ43">
        <v>1</v>
      </c>
    </row>
    <row r="44" spans="1:36" x14ac:dyDescent="0.2">
      <c r="A44">
        <v>54</v>
      </c>
      <c r="B44">
        <v>744</v>
      </c>
      <c r="C44">
        <v>225</v>
      </c>
      <c r="D44">
        <v>0.34691097674876298</v>
      </c>
      <c r="E44">
        <v>29.210602532736999</v>
      </c>
      <c r="F44">
        <v>2.5422717692855801</v>
      </c>
      <c r="G44">
        <v>-476.15133547171831</v>
      </c>
      <c r="H44">
        <v>-418.08749837380208</v>
      </c>
      <c r="I44">
        <v>57.084832225253201</v>
      </c>
      <c r="J44">
        <v>33.795140971337503</v>
      </c>
      <c r="K44">
        <v>11.4899606272014</v>
      </c>
      <c r="L44">
        <v>0</v>
      </c>
      <c r="M44">
        <v>1.2382554563563432E-6</v>
      </c>
      <c r="N44">
        <v>0</v>
      </c>
      <c r="O44" s="1">
        <v>1.63312822202915E-11</v>
      </c>
      <c r="P44">
        <v>0</v>
      </c>
      <c r="Q44">
        <v>100</v>
      </c>
      <c r="AJ44">
        <v>1</v>
      </c>
    </row>
    <row r="45" spans="1:36" x14ac:dyDescent="0.2">
      <c r="A45">
        <v>55</v>
      </c>
      <c r="B45">
        <v>743</v>
      </c>
      <c r="C45">
        <v>225</v>
      </c>
      <c r="D45">
        <v>0.34619938001279399</v>
      </c>
      <c r="E45">
        <v>30.0085203842802</v>
      </c>
      <c r="F45">
        <v>2.5422717692855801</v>
      </c>
      <c r="G45">
        <v>-489.0992750938774</v>
      </c>
      <c r="H45">
        <v>-429.54270728557185</v>
      </c>
      <c r="I45">
        <v>58.610016049112403</v>
      </c>
      <c r="J45">
        <v>34.713756998041802</v>
      </c>
      <c r="K45">
        <v>11.803820797928701</v>
      </c>
      <c r="L45">
        <v>0</v>
      </c>
      <c r="M45">
        <v>1.2382554563563432E-6</v>
      </c>
      <c r="N45">
        <v>0</v>
      </c>
      <c r="O45" s="1">
        <v>1.6777388102823601E-11</v>
      </c>
      <c r="P45">
        <v>0</v>
      </c>
      <c r="Q45">
        <v>100</v>
      </c>
      <c r="AJ45">
        <v>1</v>
      </c>
    </row>
    <row r="46" spans="1:36" x14ac:dyDescent="0.2">
      <c r="A46">
        <v>67</v>
      </c>
      <c r="B46">
        <v>761</v>
      </c>
      <c r="C46">
        <v>200</v>
      </c>
      <c r="D46">
        <v>0.38538945027317301</v>
      </c>
      <c r="E46">
        <v>0.66891087954537098</v>
      </c>
      <c r="F46">
        <v>2.5414849045122199</v>
      </c>
      <c r="G46">
        <v>-10.932582351378038</v>
      </c>
      <c r="H46">
        <v>-9.567441408628758</v>
      </c>
      <c r="I46">
        <v>1.32006086423563</v>
      </c>
      <c r="J46">
        <v>0.77557941449638901</v>
      </c>
      <c r="K46">
        <v>0.26319687296106598</v>
      </c>
      <c r="L46">
        <v>0</v>
      </c>
      <c r="M46">
        <v>1.2382274289707085E-6</v>
      </c>
      <c r="N46">
        <v>0</v>
      </c>
      <c r="O46" s="1">
        <v>3.7397969938606802E-13</v>
      </c>
      <c r="P46">
        <v>0</v>
      </c>
      <c r="Q46">
        <v>100</v>
      </c>
      <c r="AJ46">
        <v>1</v>
      </c>
    </row>
    <row r="47" spans="1:36" x14ac:dyDescent="0.2">
      <c r="A47">
        <v>68</v>
      </c>
      <c r="B47">
        <v>760</v>
      </c>
      <c r="C47">
        <v>200</v>
      </c>
      <c r="D47">
        <v>0.38472680636887402</v>
      </c>
      <c r="E47">
        <v>1.56009687000997</v>
      </c>
      <c r="F47">
        <v>2.5414849045122199</v>
      </c>
      <c r="G47">
        <v>-25.494918966566825</v>
      </c>
      <c r="H47">
        <v>-22.315895517858369</v>
      </c>
      <c r="I47">
        <v>3.0770202281454302</v>
      </c>
      <c r="J47">
        <v>1.80865215492482</v>
      </c>
      <c r="K47">
        <v>0.61385250301512095</v>
      </c>
      <c r="L47">
        <v>0</v>
      </c>
      <c r="M47">
        <v>1.2382274289707083E-6</v>
      </c>
      <c r="N47">
        <v>0</v>
      </c>
      <c r="O47" s="1">
        <v>8.7223063086672596E-13</v>
      </c>
      <c r="P47">
        <v>0</v>
      </c>
      <c r="Q47">
        <v>100</v>
      </c>
      <c r="AJ47">
        <v>1</v>
      </c>
    </row>
    <row r="48" spans="1:36" x14ac:dyDescent="0.2">
      <c r="A48">
        <v>69</v>
      </c>
      <c r="B48">
        <v>759</v>
      </c>
      <c r="C48">
        <v>200</v>
      </c>
      <c r="D48">
        <v>0.38406287845759102</v>
      </c>
      <c r="E48">
        <v>2.46369464660398</v>
      </c>
      <c r="F48">
        <v>2.5414849045122199</v>
      </c>
      <c r="G48">
        <v>-40.25654938463483</v>
      </c>
      <c r="H48">
        <v>-35.243970464179242</v>
      </c>
      <c r="I48">
        <v>4.8564442381975397</v>
      </c>
      <c r="J48">
        <v>2.8558520876025502</v>
      </c>
      <c r="K48">
        <v>0.969391808005578</v>
      </c>
      <c r="L48">
        <v>0</v>
      </c>
      <c r="M48">
        <v>1.2382274289707087E-6</v>
      </c>
      <c r="N48">
        <v>0</v>
      </c>
      <c r="O48" s="1">
        <v>1.37742083660268E-12</v>
      </c>
      <c r="P48">
        <v>0</v>
      </c>
      <c r="Q48">
        <v>100</v>
      </c>
      <c r="AJ48">
        <v>1</v>
      </c>
    </row>
    <row r="49" spans="1:36" x14ac:dyDescent="0.2">
      <c r="A49">
        <v>70</v>
      </c>
      <c r="B49">
        <v>758</v>
      </c>
      <c r="C49">
        <v>200</v>
      </c>
      <c r="D49">
        <v>0.383397662803666</v>
      </c>
      <c r="E49">
        <v>3.38593922760725</v>
      </c>
      <c r="F49">
        <v>2.5414849045122199</v>
      </c>
      <c r="G49">
        <v>-55.319270583285885</v>
      </c>
      <c r="H49">
        <v>-48.440910251532266</v>
      </c>
      <c r="I49">
        <v>6.6705720135320901</v>
      </c>
      <c r="J49">
        <v>3.9243994862233902</v>
      </c>
      <c r="K49">
        <v>1.3322680853211999</v>
      </c>
      <c r="L49">
        <v>0</v>
      </c>
      <c r="M49">
        <v>1.2382274289707085E-6</v>
      </c>
      <c r="N49">
        <v>0</v>
      </c>
      <c r="O49" s="1">
        <v>1.8930362372647899E-12</v>
      </c>
      <c r="P49">
        <v>0</v>
      </c>
      <c r="Q49">
        <v>100</v>
      </c>
      <c r="AJ49">
        <v>1</v>
      </c>
    </row>
    <row r="50" spans="1:36" x14ac:dyDescent="0.2">
      <c r="A50">
        <v>71</v>
      </c>
      <c r="B50">
        <v>757</v>
      </c>
      <c r="C50">
        <v>200</v>
      </c>
      <c r="D50">
        <v>0.38273115565694399</v>
      </c>
      <c r="E50">
        <v>4.3360078053815503</v>
      </c>
      <c r="F50">
        <v>2.5414849045122199</v>
      </c>
      <c r="G50">
        <v>-70.83289377515581</v>
      </c>
      <c r="H50">
        <v>-62.038083374139099</v>
      </c>
      <c r="I50">
        <v>8.5374075629924793</v>
      </c>
      <c r="J50">
        <v>5.0249205750810004</v>
      </c>
      <c r="K50">
        <v>1.7060922918264301</v>
      </c>
      <c r="L50">
        <v>0</v>
      </c>
      <c r="M50">
        <v>1.2382274289707085E-6</v>
      </c>
      <c r="N50">
        <v>0</v>
      </c>
      <c r="O50" s="1">
        <v>2.42420768622324E-12</v>
      </c>
      <c r="P50">
        <v>0</v>
      </c>
      <c r="Q50">
        <v>100</v>
      </c>
      <c r="AJ50">
        <v>1</v>
      </c>
    </row>
    <row r="51" spans="1:36" x14ac:dyDescent="0.2">
      <c r="A51">
        <v>72</v>
      </c>
      <c r="B51">
        <v>756</v>
      </c>
      <c r="C51">
        <v>200</v>
      </c>
      <c r="D51">
        <v>0.38206335325268598</v>
      </c>
      <c r="E51">
        <v>5.3281127656019196</v>
      </c>
      <c r="F51">
        <v>2.5414849045122199</v>
      </c>
      <c r="G51">
        <v>-87.029402900957038</v>
      </c>
      <c r="H51">
        <v>-76.238948467032444</v>
      </c>
      <c r="I51">
        <v>10.484821876232401</v>
      </c>
      <c r="J51">
        <v>6.1738706035838398</v>
      </c>
      <c r="K51">
        <v>2.0964565857315298</v>
      </c>
      <c r="L51">
        <v>0</v>
      </c>
      <c r="M51">
        <v>1.2382274289707083E-6</v>
      </c>
      <c r="N51">
        <v>0</v>
      </c>
      <c r="O51" s="1">
        <v>2.97888115039953E-12</v>
      </c>
      <c r="P51">
        <v>0</v>
      </c>
      <c r="Q51">
        <v>100</v>
      </c>
      <c r="AJ51">
        <v>1</v>
      </c>
    </row>
    <row r="52" spans="1:36" x14ac:dyDescent="0.2">
      <c r="A52">
        <v>73</v>
      </c>
      <c r="B52">
        <v>755</v>
      </c>
      <c r="C52">
        <v>200</v>
      </c>
      <c r="D52">
        <v>0.38139425181150599</v>
      </c>
      <c r="E52">
        <v>6.3857395012025897</v>
      </c>
      <c r="F52">
        <v>2.5414849045122199</v>
      </c>
      <c r="G52">
        <v>-104.29211732836576</v>
      </c>
      <c r="H52">
        <v>-91.379726443900879</v>
      </c>
      <c r="I52">
        <v>12.558859003515799</v>
      </c>
      <c r="J52">
        <v>7.3984399915910499</v>
      </c>
      <c r="K52">
        <v>2.5126017824717999</v>
      </c>
      <c r="L52">
        <v>0</v>
      </c>
      <c r="M52">
        <v>1.2382274289707087E-6</v>
      </c>
      <c r="N52">
        <v>0</v>
      </c>
      <c r="O52" s="1">
        <v>3.5701870189951099E-12</v>
      </c>
      <c r="P52">
        <v>0</v>
      </c>
      <c r="Q52">
        <v>100</v>
      </c>
      <c r="AJ52">
        <v>1</v>
      </c>
    </row>
    <row r="53" spans="1:36" x14ac:dyDescent="0.2">
      <c r="A53">
        <v>74</v>
      </c>
      <c r="B53">
        <v>754</v>
      </c>
      <c r="C53">
        <v>200</v>
      </c>
      <c r="D53">
        <v>0.38072384753930699</v>
      </c>
      <c r="E53">
        <v>7.5512047688019397</v>
      </c>
      <c r="F53">
        <v>2.5414849045122199</v>
      </c>
      <c r="G53">
        <v>-123.31168946533798</v>
      </c>
      <c r="H53">
        <v>-108.06624503646448</v>
      </c>
      <c r="I53">
        <v>14.8424713322041</v>
      </c>
      <c r="J53">
        <v>8.7476202315839409</v>
      </c>
      <c r="K53">
        <v>2.97117828848612</v>
      </c>
      <c r="L53">
        <v>0</v>
      </c>
      <c r="M53">
        <v>1.2382274289707083E-6</v>
      </c>
      <c r="N53">
        <v>0</v>
      </c>
      <c r="O53" s="1">
        <v>4.2217840609178601E-12</v>
      </c>
      <c r="P53">
        <v>0</v>
      </c>
      <c r="Q53">
        <v>100</v>
      </c>
      <c r="AJ53">
        <v>1</v>
      </c>
    </row>
    <row r="54" spans="1:36" x14ac:dyDescent="0.2">
      <c r="A54">
        <v>75</v>
      </c>
      <c r="B54">
        <v>753</v>
      </c>
      <c r="C54">
        <v>200</v>
      </c>
      <c r="D54">
        <v>0.380052136627202</v>
      </c>
      <c r="E54">
        <v>8.9101134849343797</v>
      </c>
      <c r="F54">
        <v>2.5414849045122199</v>
      </c>
      <c r="G54">
        <v>-145.48525310051042</v>
      </c>
      <c r="H54">
        <v>-127.5240804570517</v>
      </c>
      <c r="I54">
        <v>17.5034572367185</v>
      </c>
      <c r="J54">
        <v>10.320518021469001</v>
      </c>
      <c r="K54">
        <v>3.5058691354471998</v>
      </c>
      <c r="L54">
        <v>0</v>
      </c>
      <c r="M54">
        <v>1.2382274289707085E-6</v>
      </c>
      <c r="N54">
        <v>0</v>
      </c>
      <c r="O54" s="1">
        <v>4.98153291340733E-12</v>
      </c>
      <c r="P54">
        <v>0</v>
      </c>
      <c r="Q54">
        <v>100</v>
      </c>
      <c r="AJ54">
        <v>1</v>
      </c>
    </row>
    <row r="55" spans="1:36" x14ac:dyDescent="0.2">
      <c r="A55">
        <v>76</v>
      </c>
      <c r="B55">
        <v>752</v>
      </c>
      <c r="C55">
        <v>200</v>
      </c>
      <c r="D55">
        <v>0.37937911525142798</v>
      </c>
      <c r="E55">
        <v>18.258246066986601</v>
      </c>
      <c r="F55">
        <v>2.5414849045122199</v>
      </c>
      <c r="G55">
        <v>-298.08667017886756</v>
      </c>
      <c r="H55">
        <v>-261.33836195262887</v>
      </c>
      <c r="I55">
        <v>35.846762157965799</v>
      </c>
      <c r="J55">
        <v>21.1456859045595</v>
      </c>
      <c r="K55">
        <v>7.1840859784649798</v>
      </c>
      <c r="L55">
        <v>0</v>
      </c>
      <c r="M55">
        <v>1.2382274289707087E-6</v>
      </c>
      <c r="N55">
        <v>0</v>
      </c>
      <c r="O55" s="1">
        <v>1.0207956820928599E-11</v>
      </c>
      <c r="P55">
        <v>0</v>
      </c>
      <c r="Q55">
        <v>100</v>
      </c>
      <c r="AJ55">
        <v>1</v>
      </c>
    </row>
    <row r="56" spans="1:36" x14ac:dyDescent="0.2">
      <c r="A56">
        <v>77</v>
      </c>
      <c r="B56">
        <v>751</v>
      </c>
      <c r="C56">
        <v>200</v>
      </c>
      <c r="D56">
        <v>0.378704779573308</v>
      </c>
      <c r="E56">
        <v>24.657151994864901</v>
      </c>
      <c r="F56">
        <v>2.5414849045122199</v>
      </c>
      <c r="G56">
        <v>-402.5077043320706</v>
      </c>
      <c r="H56">
        <v>-352.95729108376827</v>
      </c>
      <c r="I56">
        <v>48.3819882324877</v>
      </c>
      <c r="J56">
        <v>28.5528829757754</v>
      </c>
      <c r="K56">
        <v>9.7018683648633797</v>
      </c>
      <c r="L56">
        <v>0</v>
      </c>
      <c r="M56">
        <v>1.2382274289707085E-6</v>
      </c>
      <c r="N56">
        <v>0</v>
      </c>
      <c r="O56" s="1">
        <v>1.37855050242619E-11</v>
      </c>
      <c r="P56">
        <v>0</v>
      </c>
      <c r="Q56">
        <v>100</v>
      </c>
      <c r="AJ56">
        <v>1</v>
      </c>
    </row>
    <row r="57" spans="1:36" x14ac:dyDescent="0.2">
      <c r="A57">
        <v>78</v>
      </c>
      <c r="B57">
        <v>750</v>
      </c>
      <c r="C57">
        <v>200</v>
      </c>
      <c r="D57">
        <v>0.37802912573913899</v>
      </c>
      <c r="E57">
        <v>27.2195847264721</v>
      </c>
      <c r="F57">
        <v>2.5414849045122199</v>
      </c>
      <c r="G57">
        <v>-444.28391427042465</v>
      </c>
      <c r="H57">
        <v>-389.66901121404453</v>
      </c>
      <c r="I57">
        <v>53.379175151620103</v>
      </c>
      <c r="J57">
        <v>31.516120431411998</v>
      </c>
      <c r="K57">
        <v>10.7101107223362</v>
      </c>
      <c r="L57">
        <v>0</v>
      </c>
      <c r="M57">
        <v>1.2382274289707085E-6</v>
      </c>
      <c r="N57">
        <v>0</v>
      </c>
      <c r="O57" s="1">
        <v>1.5218129088195201E-11</v>
      </c>
      <c r="P57">
        <v>0</v>
      </c>
      <c r="Q57">
        <v>100</v>
      </c>
      <c r="AJ57">
        <v>1</v>
      </c>
    </row>
    <row r="58" spans="1:36" x14ac:dyDescent="0.2">
      <c r="A58">
        <v>79</v>
      </c>
      <c r="B58">
        <v>749</v>
      </c>
      <c r="C58">
        <v>200</v>
      </c>
      <c r="D58">
        <v>0.37735214988015597</v>
      </c>
      <c r="E58">
        <v>28.633853979653001</v>
      </c>
      <c r="F58">
        <v>2.5414849045122199</v>
      </c>
      <c r="G58">
        <v>-467.31178466437029</v>
      </c>
      <c r="H58">
        <v>-409.94850030011833</v>
      </c>
      <c r="I58">
        <v>56.120221458936498</v>
      </c>
      <c r="J58">
        <v>33.149359087528801</v>
      </c>
      <c r="K58">
        <v>11.2665843219511</v>
      </c>
      <c r="L58">
        <v>0</v>
      </c>
      <c r="M58">
        <v>1.2382274289707085E-6</v>
      </c>
      <c r="N58">
        <v>0</v>
      </c>
      <c r="O58" s="1">
        <v>1.6008829323950101E-11</v>
      </c>
      <c r="P58">
        <v>0</v>
      </c>
      <c r="Q58">
        <v>100</v>
      </c>
      <c r="AJ58">
        <v>1</v>
      </c>
    </row>
    <row r="59" spans="1:36" x14ac:dyDescent="0.2">
      <c r="A59">
        <v>80</v>
      </c>
      <c r="B59">
        <v>748</v>
      </c>
      <c r="C59">
        <v>200</v>
      </c>
      <c r="D59">
        <v>0.37667384811242399</v>
      </c>
      <c r="E59">
        <v>29.6837087258053</v>
      </c>
      <c r="F59">
        <v>2.5414849045122199</v>
      </c>
      <c r="G59">
        <v>-484.38752028052335</v>
      </c>
      <c r="H59">
        <v>-425.01354573437646</v>
      </c>
      <c r="I59">
        <v>58.144224204227399</v>
      </c>
      <c r="J59">
        <v>34.3603386872268</v>
      </c>
      <c r="K59">
        <v>11.679671468086999</v>
      </c>
      <c r="L59">
        <v>0</v>
      </c>
      <c r="M59">
        <v>1.2382274289707083E-6</v>
      </c>
      <c r="N59">
        <v>0</v>
      </c>
      <c r="O59" s="1">
        <v>1.65957899705342E-11</v>
      </c>
      <c r="P59">
        <v>0</v>
      </c>
      <c r="Q59">
        <v>100</v>
      </c>
      <c r="AJ59">
        <v>1</v>
      </c>
    </row>
    <row r="60" spans="1:36" x14ac:dyDescent="0.2">
      <c r="A60">
        <v>96</v>
      </c>
      <c r="B60">
        <v>767</v>
      </c>
      <c r="C60">
        <v>175</v>
      </c>
      <c r="D60">
        <v>0.41577705138682203</v>
      </c>
      <c r="E60">
        <v>0.59898069928196596</v>
      </c>
      <c r="F60">
        <v>2.5406983011149902</v>
      </c>
      <c r="G60">
        <v>-9.8026509909531629</v>
      </c>
      <c r="H60">
        <v>-8.5689534884109193</v>
      </c>
      <c r="I60">
        <v>1.18607652986804</v>
      </c>
      <c r="J60">
        <v>0.69501698831104997</v>
      </c>
      <c r="K60">
        <v>0.23575435895678801</v>
      </c>
      <c r="L60">
        <v>0</v>
      </c>
      <c r="M60">
        <v>1.238199309002582E-6</v>
      </c>
      <c r="N60">
        <v>0</v>
      </c>
      <c r="O60" s="1">
        <v>3.3488261098066402E-13</v>
      </c>
      <c r="P60">
        <v>0</v>
      </c>
      <c r="Q60">
        <v>100</v>
      </c>
      <c r="AJ60">
        <v>1</v>
      </c>
    </row>
    <row r="61" spans="1:36" x14ac:dyDescent="0.2">
      <c r="A61">
        <v>97</v>
      </c>
      <c r="B61">
        <v>766</v>
      </c>
      <c r="C61">
        <v>175</v>
      </c>
      <c r="D61">
        <v>0.41514747630275201</v>
      </c>
      <c r="E61">
        <v>1.4940719342637701</v>
      </c>
      <c r="F61">
        <v>2.5406983011149902</v>
      </c>
      <c r="G61">
        <v>-24.448357284577689</v>
      </c>
      <c r="H61">
        <v>-21.375765979592632</v>
      </c>
      <c r="I61">
        <v>2.956831357345</v>
      </c>
      <c r="J61">
        <v>1.73340605883113</v>
      </c>
      <c r="K61">
        <v>0.58805562770207298</v>
      </c>
      <c r="L61">
        <v>0</v>
      </c>
      <c r="M61">
        <v>1.238199309002582E-6</v>
      </c>
      <c r="N61">
        <v>0</v>
      </c>
      <c r="O61" s="1">
        <v>8.3531691578538303E-13</v>
      </c>
      <c r="P61">
        <v>0</v>
      </c>
      <c r="Q61">
        <v>100</v>
      </c>
      <c r="AJ61">
        <v>1</v>
      </c>
    </row>
    <row r="62" spans="1:36" x14ac:dyDescent="0.2">
      <c r="A62">
        <v>98</v>
      </c>
      <c r="B62">
        <v>765</v>
      </c>
      <c r="C62">
        <v>175</v>
      </c>
      <c r="D62">
        <v>0.41451668833983701</v>
      </c>
      <c r="E62">
        <v>2.40076735592424</v>
      </c>
      <c r="F62">
        <v>2.5406983011149902</v>
      </c>
      <c r="G62">
        <v>-39.280385413588668</v>
      </c>
      <c r="H62">
        <v>-34.350690379218854</v>
      </c>
      <c r="I62">
        <v>4.7485382982900504</v>
      </c>
      <c r="J62">
        <v>2.7849985170273999</v>
      </c>
      <c r="K62">
        <v>0.94492421822404404</v>
      </c>
      <c r="L62">
        <v>0</v>
      </c>
      <c r="M62">
        <v>1.238199309002582E-6</v>
      </c>
      <c r="N62">
        <v>0</v>
      </c>
      <c r="O62" s="1">
        <v>1.3422389761019499E-12</v>
      </c>
      <c r="P62">
        <v>0</v>
      </c>
      <c r="Q62">
        <v>100</v>
      </c>
      <c r="AJ62">
        <v>1</v>
      </c>
    </row>
    <row r="63" spans="1:36" x14ac:dyDescent="0.2">
      <c r="A63">
        <v>99</v>
      </c>
      <c r="B63">
        <v>764</v>
      </c>
      <c r="C63">
        <v>175</v>
      </c>
      <c r="D63">
        <v>0.41388468398978101</v>
      </c>
      <c r="E63">
        <v>3.3250806198568399</v>
      </c>
      <c r="F63">
        <v>2.5406983011149902</v>
      </c>
      <c r="G63">
        <v>-54.397050653646836</v>
      </c>
      <c r="H63">
        <v>-47.579818321641369</v>
      </c>
      <c r="I63">
        <v>6.57304375645323</v>
      </c>
      <c r="J63">
        <v>3.8567637500712699</v>
      </c>
      <c r="K63">
        <v>1.3087270607445201</v>
      </c>
      <c r="L63">
        <v>0</v>
      </c>
      <c r="M63">
        <v>1.238199309002582E-6</v>
      </c>
      <c r="N63">
        <v>0</v>
      </c>
      <c r="O63" s="1">
        <v>1.8590109514942601E-12</v>
      </c>
      <c r="P63">
        <v>0</v>
      </c>
      <c r="Q63">
        <v>100</v>
      </c>
      <c r="AJ63">
        <v>1</v>
      </c>
    </row>
    <row r="64" spans="1:36" x14ac:dyDescent="0.2">
      <c r="A64">
        <v>100</v>
      </c>
      <c r="B64">
        <v>763</v>
      </c>
      <c r="C64">
        <v>175</v>
      </c>
      <c r="D64">
        <v>0.41325145973073701</v>
      </c>
      <c r="E64">
        <v>4.2757139700066302</v>
      </c>
      <c r="F64">
        <v>2.5406983011149902</v>
      </c>
      <c r="G64">
        <v>-69.940599790344791</v>
      </c>
      <c r="H64">
        <v>-61.187744460723714</v>
      </c>
      <c r="I64">
        <v>8.4474789650350495</v>
      </c>
      <c r="J64">
        <v>4.9587857478332902</v>
      </c>
      <c r="K64">
        <v>1.68288929391192</v>
      </c>
      <c r="L64">
        <v>0</v>
      </c>
      <c r="M64">
        <v>1.238199309002582E-6</v>
      </c>
      <c r="N64">
        <v>0</v>
      </c>
      <c r="O64" s="1">
        <v>2.3904981576180698E-12</v>
      </c>
      <c r="P64">
        <v>0</v>
      </c>
      <c r="Q64">
        <v>100</v>
      </c>
      <c r="AJ64">
        <v>1</v>
      </c>
    </row>
    <row r="65" spans="1:36" x14ac:dyDescent="0.2">
      <c r="A65">
        <v>101</v>
      </c>
      <c r="B65">
        <v>762</v>
      </c>
      <c r="C65">
        <v>175</v>
      </c>
      <c r="D65">
        <v>0.41261701202724399</v>
      </c>
      <c r="E65">
        <v>5.2657919622026998</v>
      </c>
      <c r="F65">
        <v>2.5406983011149902</v>
      </c>
      <c r="G65">
        <v>-86.125540840192912</v>
      </c>
      <c r="H65">
        <v>-75.362394568478592</v>
      </c>
      <c r="I65">
        <v>10.397668233313301</v>
      </c>
      <c r="J65">
        <v>6.1062715808191896</v>
      </c>
      <c r="K65">
        <v>2.0725766455197698</v>
      </c>
      <c r="L65">
        <v>0</v>
      </c>
      <c r="M65">
        <v>1.238199309002582E-6</v>
      </c>
      <c r="N65">
        <v>0</v>
      </c>
      <c r="O65" s="1">
        <v>2.9440383693453799E-12</v>
      </c>
      <c r="P65">
        <v>0</v>
      </c>
      <c r="Q65">
        <v>100</v>
      </c>
      <c r="AJ65">
        <v>1</v>
      </c>
    </row>
    <row r="66" spans="1:36" x14ac:dyDescent="0.2">
      <c r="A66">
        <v>102</v>
      </c>
      <c r="B66">
        <v>761</v>
      </c>
      <c r="C66">
        <v>175</v>
      </c>
      <c r="D66">
        <v>0.411981337330175</v>
      </c>
      <c r="E66">
        <v>6.3161626656498902</v>
      </c>
      <c r="F66">
        <v>2.5406983011149902</v>
      </c>
      <c r="G66">
        <v>-103.29258633620799</v>
      </c>
      <c r="H66">
        <v>-90.402300769611472</v>
      </c>
      <c r="I66">
        <v>12.464618833434701</v>
      </c>
      <c r="J66">
        <v>7.32337579173194</v>
      </c>
      <c r="K66">
        <v>2.4859947609198598</v>
      </c>
      <c r="L66">
        <v>0</v>
      </c>
      <c r="M66">
        <v>1.2381993090025817E-6</v>
      </c>
      <c r="N66">
        <v>0</v>
      </c>
      <c r="O66" s="1">
        <v>3.53128748119432E-12</v>
      </c>
      <c r="P66">
        <v>0</v>
      </c>
      <c r="Q66">
        <v>100</v>
      </c>
      <c r="AJ66">
        <v>1</v>
      </c>
    </row>
    <row r="67" spans="1:36" x14ac:dyDescent="0.2">
      <c r="A67">
        <v>103</v>
      </c>
      <c r="B67">
        <v>760</v>
      </c>
      <c r="C67">
        <v>175</v>
      </c>
      <c r="D67">
        <v>0.41134443207665999</v>
      </c>
      <c r="E67">
        <v>7.4621883097795001</v>
      </c>
      <c r="F67">
        <v>2.5406983011149902</v>
      </c>
      <c r="G67">
        <v>-122.01961604514966</v>
      </c>
      <c r="H67">
        <v>-106.81384769096054</v>
      </c>
      <c r="I67">
        <v>14.7178709327678</v>
      </c>
      <c r="J67">
        <v>8.6510672679262992</v>
      </c>
      <c r="K67">
        <v>2.93706195123784</v>
      </c>
      <c r="L67">
        <v>0</v>
      </c>
      <c r="M67">
        <v>1.238199309002582E-6</v>
      </c>
      <c r="N67">
        <v>0</v>
      </c>
      <c r="O67" s="1">
        <v>4.1720160729786404E-12</v>
      </c>
      <c r="P67">
        <v>0</v>
      </c>
      <c r="Q67">
        <v>100</v>
      </c>
      <c r="AJ67">
        <v>1</v>
      </c>
    </row>
    <row r="68" spans="1:36" x14ac:dyDescent="0.2">
      <c r="A68">
        <v>104</v>
      </c>
      <c r="B68">
        <v>759</v>
      </c>
      <c r="C68">
        <v>175</v>
      </c>
      <c r="D68">
        <v>0.41070629269001901</v>
      </c>
      <c r="E68">
        <v>8.76873310128755</v>
      </c>
      <c r="F68">
        <v>2.5406983011149902</v>
      </c>
      <c r="G68">
        <v>-143.36658114887862</v>
      </c>
      <c r="H68">
        <v>-125.52590971534592</v>
      </c>
      <c r="I68">
        <v>17.284959970481701</v>
      </c>
      <c r="J68">
        <v>10.1644920840577</v>
      </c>
      <c r="K68">
        <v>3.4513082869537599</v>
      </c>
      <c r="L68">
        <v>0</v>
      </c>
      <c r="M68">
        <v>1.2381993090025817E-6</v>
      </c>
      <c r="N68">
        <v>0</v>
      </c>
      <c r="O68" s="1">
        <v>4.9024889106976298E-12</v>
      </c>
      <c r="P68">
        <v>0</v>
      </c>
      <c r="Q68">
        <v>100</v>
      </c>
      <c r="AJ68">
        <v>1</v>
      </c>
    </row>
    <row r="69" spans="1:36" x14ac:dyDescent="0.2">
      <c r="A69">
        <v>105</v>
      </c>
      <c r="B69">
        <v>758</v>
      </c>
      <c r="C69">
        <v>175</v>
      </c>
      <c r="D69">
        <v>0.41006691557969399</v>
      </c>
      <c r="E69">
        <v>10.842942228717</v>
      </c>
      <c r="F69">
        <v>2.5406983011149902</v>
      </c>
      <c r="G69">
        <v>-177.25801122631589</v>
      </c>
      <c r="H69">
        <v>-155.23113516858808</v>
      </c>
      <c r="I69">
        <v>21.361466379991001</v>
      </c>
      <c r="J69">
        <v>12.5672772164896</v>
      </c>
      <c r="K69">
        <v>4.26770160941917</v>
      </c>
      <c r="L69">
        <v>0</v>
      </c>
      <c r="M69">
        <v>1.238199309002582E-6</v>
      </c>
      <c r="N69">
        <v>0</v>
      </c>
      <c r="O69" s="1">
        <v>6.06215326907545E-12</v>
      </c>
      <c r="P69">
        <v>0</v>
      </c>
      <c r="Q69">
        <v>100</v>
      </c>
      <c r="AJ69">
        <v>1</v>
      </c>
    </row>
    <row r="70" spans="1:36" x14ac:dyDescent="0.2">
      <c r="A70">
        <v>106</v>
      </c>
      <c r="B70">
        <v>757</v>
      </c>
      <c r="C70">
        <v>175</v>
      </c>
      <c r="D70">
        <v>0.40942629714119499</v>
      </c>
      <c r="E70">
        <v>22.3526311058136</v>
      </c>
      <c r="F70">
        <v>2.5406983011149902</v>
      </c>
      <c r="G70">
        <v>-365.37182465778335</v>
      </c>
      <c r="H70">
        <v>-320.03354083469873</v>
      </c>
      <c r="I70">
        <v>44.011341865829799</v>
      </c>
      <c r="J70">
        <v>25.9040576014172</v>
      </c>
      <c r="K70">
        <v>8.7978297525542697</v>
      </c>
      <c r="L70">
        <v>0</v>
      </c>
      <c r="M70">
        <v>1.238199309002582E-6</v>
      </c>
      <c r="N70">
        <v>0</v>
      </c>
      <c r="O70" s="1">
        <v>1.24970762429838E-11</v>
      </c>
      <c r="P70">
        <v>0</v>
      </c>
      <c r="Q70">
        <v>100</v>
      </c>
      <c r="AJ70">
        <v>1</v>
      </c>
    </row>
    <row r="71" spans="1:36" x14ac:dyDescent="0.2">
      <c r="A71">
        <v>107</v>
      </c>
      <c r="B71">
        <v>756</v>
      </c>
      <c r="C71">
        <v>175</v>
      </c>
      <c r="D71">
        <v>0.40878443375601398</v>
      </c>
      <c r="E71">
        <v>26.006378385639799</v>
      </c>
      <c r="F71">
        <v>2.5406983011149902</v>
      </c>
      <c r="G71">
        <v>-425.04408675586052</v>
      </c>
      <c r="H71">
        <v>-372.37616223794805</v>
      </c>
      <c r="I71">
        <v>51.176140035866901</v>
      </c>
      <c r="J71">
        <v>30.134500166240599</v>
      </c>
      <c r="K71">
        <v>10.235917572041799</v>
      </c>
      <c r="L71">
        <v>0</v>
      </c>
      <c r="M71">
        <v>1.238199309002582E-6</v>
      </c>
      <c r="N71">
        <v>0</v>
      </c>
      <c r="O71" s="1">
        <v>1.45398406098465E-11</v>
      </c>
      <c r="P71">
        <v>0</v>
      </c>
      <c r="Q71">
        <v>100</v>
      </c>
      <c r="AJ71">
        <v>1</v>
      </c>
    </row>
    <row r="72" spans="1:36" x14ac:dyDescent="0.2">
      <c r="A72">
        <v>108</v>
      </c>
      <c r="B72">
        <v>755</v>
      </c>
      <c r="C72">
        <v>175</v>
      </c>
      <c r="D72">
        <v>0.40814132179156798</v>
      </c>
      <c r="E72">
        <v>27.817523476401501</v>
      </c>
      <c r="F72">
        <v>2.5406983011149902</v>
      </c>
      <c r="G72">
        <v>-454.59042779538004</v>
      </c>
      <c r="H72">
        <v>-398.34154127292953</v>
      </c>
      <c r="I72">
        <v>54.708832876963903</v>
      </c>
      <c r="J72">
        <v>32.2290438117736</v>
      </c>
      <c r="K72">
        <v>10.9487708415413</v>
      </c>
      <c r="L72">
        <v>0</v>
      </c>
      <c r="M72">
        <v>1.2381993090025822E-6</v>
      </c>
      <c r="N72">
        <v>0</v>
      </c>
      <c r="O72" s="1">
        <v>1.5552429158335798E-11</v>
      </c>
      <c r="P72">
        <v>0</v>
      </c>
      <c r="Q72">
        <v>100</v>
      </c>
      <c r="AJ72">
        <v>1</v>
      </c>
    </row>
    <row r="73" spans="1:36" x14ac:dyDescent="0.2">
      <c r="A73">
        <v>109</v>
      </c>
      <c r="B73">
        <v>754</v>
      </c>
      <c r="C73">
        <v>175</v>
      </c>
      <c r="D73">
        <v>0.40749695760112897</v>
      </c>
      <c r="E73">
        <v>29.006539527774301</v>
      </c>
      <c r="F73">
        <v>2.5406983011149902</v>
      </c>
      <c r="G73">
        <v>-473.96414583105894</v>
      </c>
      <c r="H73">
        <v>-415.40162501694425</v>
      </c>
      <c r="I73">
        <v>57.014575100145599</v>
      </c>
      <c r="J73">
        <v>33.602345558118799</v>
      </c>
      <c r="K73">
        <v>11.4167587371726</v>
      </c>
      <c r="L73">
        <v>0</v>
      </c>
      <c r="M73">
        <v>1.2381993090025817E-6</v>
      </c>
      <c r="N73">
        <v>0</v>
      </c>
      <c r="O73" s="1">
        <v>1.6217193148659699E-11</v>
      </c>
      <c r="P73">
        <v>0</v>
      </c>
      <c r="Q73">
        <v>100</v>
      </c>
      <c r="AJ73">
        <v>1</v>
      </c>
    </row>
    <row r="74" spans="1:36" x14ac:dyDescent="0.2">
      <c r="A74">
        <v>110</v>
      </c>
      <c r="B74">
        <v>753</v>
      </c>
      <c r="C74">
        <v>175</v>
      </c>
      <c r="D74">
        <v>0.40685133752375702</v>
      </c>
      <c r="E74">
        <v>29.817435959355802</v>
      </c>
      <c r="F74">
        <v>2.5406983011149902</v>
      </c>
      <c r="G74">
        <v>-487.15552612678579</v>
      </c>
      <c r="H74">
        <v>-427.04898360554779</v>
      </c>
      <c r="I74">
        <v>58.574811208145</v>
      </c>
      <c r="J74">
        <v>34.5373137719128</v>
      </c>
      <c r="K74">
        <v>11.735921556002999</v>
      </c>
      <c r="L74">
        <v>0</v>
      </c>
      <c r="M74">
        <v>1.2381993090025822E-6</v>
      </c>
      <c r="N74">
        <v>0</v>
      </c>
      <c r="O74" s="1">
        <v>1.6670555192826399E-11</v>
      </c>
      <c r="P74">
        <v>0</v>
      </c>
      <c r="Q74">
        <v>100</v>
      </c>
      <c r="AJ74">
        <v>1</v>
      </c>
    </row>
    <row r="75" spans="1:36" x14ac:dyDescent="0.2">
      <c r="A75">
        <v>129</v>
      </c>
      <c r="B75">
        <v>775</v>
      </c>
      <c r="C75">
        <v>150</v>
      </c>
      <c r="D75">
        <v>0.44700710776129698</v>
      </c>
      <c r="E75">
        <v>5.7202690610647098E-3</v>
      </c>
      <c r="F75">
        <v>2.53991195906073</v>
      </c>
      <c r="G75">
        <v>-9.3762487470560291E-2</v>
      </c>
      <c r="H75">
        <v>-8.1836723852674792E-2</v>
      </c>
      <c r="I75">
        <v>1.1377916918270699E-2</v>
      </c>
      <c r="J75">
        <v>6.6439293889564398E-3</v>
      </c>
      <c r="K75">
        <v>2.2521524971204402E-3</v>
      </c>
      <c r="L75">
        <v>0</v>
      </c>
      <c r="M75">
        <v>1.2381710965453891E-6</v>
      </c>
      <c r="N75">
        <v>0</v>
      </c>
      <c r="O75" s="1">
        <v>3.1981308262146502E-15</v>
      </c>
      <c r="P75">
        <v>0</v>
      </c>
      <c r="Q75">
        <v>100</v>
      </c>
      <c r="AJ75">
        <v>1</v>
      </c>
    </row>
    <row r="76" spans="1:36" x14ac:dyDescent="0.2">
      <c r="A76">
        <v>130</v>
      </c>
      <c r="B76">
        <v>774</v>
      </c>
      <c r="C76">
        <v>150</v>
      </c>
      <c r="D76">
        <v>0.44641216635630598</v>
      </c>
      <c r="E76">
        <v>0.892233351287129</v>
      </c>
      <c r="F76">
        <v>2.53991195906073</v>
      </c>
      <c r="G76">
        <v>-14.623065558555609</v>
      </c>
      <c r="H76">
        <v>-12.765725034418443</v>
      </c>
      <c r="I76">
        <v>1.77371009324085</v>
      </c>
      <c r="J76">
        <v>1.0361775503828601</v>
      </c>
      <c r="K76">
        <v>0.35128514911874298</v>
      </c>
      <c r="L76">
        <v>0</v>
      </c>
      <c r="M76">
        <v>1.2381710965453891E-6</v>
      </c>
      <c r="N76">
        <v>0</v>
      </c>
      <c r="O76" s="1">
        <v>4.9883649780576198E-13</v>
      </c>
      <c r="P76">
        <v>0</v>
      </c>
      <c r="Q76">
        <v>100</v>
      </c>
      <c r="AJ76">
        <v>1</v>
      </c>
    </row>
    <row r="77" spans="1:36" x14ac:dyDescent="0.2">
      <c r="A77">
        <v>131</v>
      </c>
      <c r="B77">
        <v>773</v>
      </c>
      <c r="C77">
        <v>150</v>
      </c>
      <c r="D77">
        <v>0.44581608755914398</v>
      </c>
      <c r="E77">
        <v>1.7863969567951601</v>
      </c>
      <c r="F77">
        <v>2.53991195906073</v>
      </c>
      <c r="G77">
        <v>-29.27421633467538</v>
      </c>
      <c r="H77">
        <v>-25.561141859928888</v>
      </c>
      <c r="I77">
        <v>3.5492754143731702</v>
      </c>
      <c r="J77">
        <v>2.0743438662483502</v>
      </c>
      <c r="K77">
        <v>0.70333026718602298</v>
      </c>
      <c r="L77">
        <v>0</v>
      </c>
      <c r="M77">
        <v>1.2381710965453891E-6</v>
      </c>
      <c r="N77">
        <v>0</v>
      </c>
      <c r="O77" s="1">
        <v>9.9875217658367808E-13</v>
      </c>
      <c r="P77">
        <v>0</v>
      </c>
      <c r="Q77">
        <v>100</v>
      </c>
      <c r="AJ77">
        <v>1</v>
      </c>
    </row>
    <row r="78" spans="1:36" x14ac:dyDescent="0.2">
      <c r="A78">
        <v>132</v>
      </c>
      <c r="B78">
        <v>772</v>
      </c>
      <c r="C78">
        <v>150</v>
      </c>
      <c r="D78">
        <v>0.44521886810505501</v>
      </c>
      <c r="E78">
        <v>2.6927755415250201</v>
      </c>
      <c r="F78">
        <v>2.53991195906073</v>
      </c>
      <c r="G78">
        <v>-44.121962205484479</v>
      </c>
      <c r="H78">
        <v>-38.533430519656889</v>
      </c>
      <c r="I78">
        <v>5.3471096836124801</v>
      </c>
      <c r="J78">
        <v>3.12643836430225</v>
      </c>
      <c r="K78">
        <v>1.06018459888697</v>
      </c>
      <c r="L78">
        <v>0</v>
      </c>
      <c r="M78">
        <v>1.2381710965453891E-6</v>
      </c>
      <c r="N78">
        <v>0</v>
      </c>
      <c r="O78" s="1">
        <v>1.50549709733847E-12</v>
      </c>
      <c r="P78">
        <v>0</v>
      </c>
      <c r="Q78">
        <v>100</v>
      </c>
      <c r="AJ78">
        <v>1</v>
      </c>
    </row>
    <row r="79" spans="1:36" x14ac:dyDescent="0.2">
      <c r="A79">
        <v>133</v>
      </c>
      <c r="B79">
        <v>771</v>
      </c>
      <c r="C79">
        <v>150</v>
      </c>
      <c r="D79">
        <v>0.44462050471675502</v>
      </c>
      <c r="E79">
        <v>3.6176970891317</v>
      </c>
      <c r="F79">
        <v>2.53991195906073</v>
      </c>
      <c r="G79">
        <v>-59.269906817591405</v>
      </c>
      <c r="H79">
        <v>-51.773193528407177</v>
      </c>
      <c r="I79">
        <v>7.1797282853844999</v>
      </c>
      <c r="J79">
        <v>4.1998012062121397</v>
      </c>
      <c r="K79">
        <v>1.4243395627262301</v>
      </c>
      <c r="L79">
        <v>0</v>
      </c>
      <c r="M79">
        <v>1.2381710965453891E-6</v>
      </c>
      <c r="N79">
        <v>0</v>
      </c>
      <c r="O79" s="1">
        <v>2.02260915651852E-12</v>
      </c>
      <c r="P79">
        <v>0</v>
      </c>
      <c r="Q79">
        <v>100</v>
      </c>
      <c r="AJ79">
        <v>1</v>
      </c>
    </row>
    <row r="80" spans="1:36" x14ac:dyDescent="0.2">
      <c r="A80">
        <v>134</v>
      </c>
      <c r="B80">
        <v>770</v>
      </c>
      <c r="C80">
        <v>150</v>
      </c>
      <c r="D80">
        <v>0.44402099410439499</v>
      </c>
      <c r="E80">
        <v>4.5701880476563899</v>
      </c>
      <c r="F80">
        <v>2.53991195906073</v>
      </c>
      <c r="G80">
        <v>-74.865808146968462</v>
      </c>
      <c r="H80">
        <v>-65.409683875216061</v>
      </c>
      <c r="I80">
        <v>9.0649707824880394</v>
      </c>
      <c r="J80">
        <v>5.3049011967935096</v>
      </c>
      <c r="K80">
        <v>1.7993490015876199</v>
      </c>
      <c r="L80">
        <v>0</v>
      </c>
      <c r="M80">
        <v>1.2381710965453889E-6</v>
      </c>
      <c r="N80">
        <v>0</v>
      </c>
      <c r="O80" s="1">
        <v>2.5551349282313599E-12</v>
      </c>
      <c r="P80">
        <v>0</v>
      </c>
      <c r="Q80">
        <v>100</v>
      </c>
      <c r="AJ80">
        <v>1</v>
      </c>
    </row>
    <row r="81" spans="1:36" x14ac:dyDescent="0.2">
      <c r="A81">
        <v>135</v>
      </c>
      <c r="B81">
        <v>769</v>
      </c>
      <c r="C81">
        <v>150</v>
      </c>
      <c r="D81">
        <v>0.44342033296550898</v>
      </c>
      <c r="E81">
        <v>5.5635769260189303</v>
      </c>
      <c r="F81">
        <v>2.53991195906073</v>
      </c>
      <c r="G81">
        <v>-91.127817695848947</v>
      </c>
      <c r="H81">
        <v>-79.633773613381479</v>
      </c>
      <c r="I81">
        <v>11.0291647867077</v>
      </c>
      <c r="J81">
        <v>6.45719500321926</v>
      </c>
      <c r="K81">
        <v>2.1904605418198599</v>
      </c>
      <c r="L81">
        <v>0</v>
      </c>
      <c r="M81">
        <v>1.2381710965453893E-6</v>
      </c>
      <c r="N81">
        <v>0</v>
      </c>
      <c r="O81" s="1">
        <v>3.1105262149689701E-12</v>
      </c>
      <c r="P81">
        <v>0</v>
      </c>
      <c r="Q81">
        <v>100</v>
      </c>
      <c r="AJ81">
        <v>1</v>
      </c>
    </row>
    <row r="82" spans="1:36" x14ac:dyDescent="0.2">
      <c r="A82">
        <v>136</v>
      </c>
      <c r="B82">
        <v>768</v>
      </c>
      <c r="C82">
        <v>150</v>
      </c>
      <c r="D82">
        <v>0.442818517984921</v>
      </c>
      <c r="E82">
        <v>6.6183839518324499</v>
      </c>
      <c r="F82">
        <v>2.53991195906073</v>
      </c>
      <c r="G82">
        <v>-108.39176297641076</v>
      </c>
      <c r="H82">
        <v>-94.739343030196778</v>
      </c>
      <c r="I82">
        <v>13.1128271106122</v>
      </c>
      <c r="J82">
        <v>7.6804774286145996</v>
      </c>
      <c r="K82">
        <v>2.6057532932282998</v>
      </c>
      <c r="L82">
        <v>0</v>
      </c>
      <c r="M82">
        <v>1.2381710965453891E-6</v>
      </c>
      <c r="N82">
        <v>0</v>
      </c>
      <c r="O82" s="1">
        <v>3.7002556191194201E-12</v>
      </c>
      <c r="P82">
        <v>0</v>
      </c>
      <c r="Q82">
        <v>100</v>
      </c>
      <c r="AJ82">
        <v>1</v>
      </c>
    </row>
    <row r="83" spans="1:36" x14ac:dyDescent="0.2">
      <c r="A83">
        <v>137</v>
      </c>
      <c r="B83">
        <v>767</v>
      </c>
      <c r="C83">
        <v>150</v>
      </c>
      <c r="D83">
        <v>0.44221554583473799</v>
      </c>
      <c r="E83">
        <v>7.7677448814993904</v>
      </c>
      <c r="F83">
        <v>2.53991195906073</v>
      </c>
      <c r="G83">
        <v>-127.19989347051336</v>
      </c>
      <c r="H83">
        <v>-111.20096817596071</v>
      </c>
      <c r="I83">
        <v>15.3813635480965</v>
      </c>
      <c r="J83">
        <v>9.0131696396562404</v>
      </c>
      <c r="K83">
        <v>3.0582732813982698</v>
      </c>
      <c r="L83">
        <v>0</v>
      </c>
      <c r="M83">
        <v>1.2381710965453893E-6</v>
      </c>
      <c r="N83">
        <v>0</v>
      </c>
      <c r="O83" s="1">
        <v>4.3428489272968596E-12</v>
      </c>
      <c r="P83">
        <v>0</v>
      </c>
      <c r="Q83">
        <v>100</v>
      </c>
      <c r="AJ83">
        <v>1</v>
      </c>
    </row>
    <row r="84" spans="1:36" x14ac:dyDescent="0.2">
      <c r="A84">
        <v>138</v>
      </c>
      <c r="B84">
        <v>766</v>
      </c>
      <c r="C84">
        <v>150</v>
      </c>
      <c r="D84">
        <v>0.44161141317423203</v>
      </c>
      <c r="E84">
        <v>9.0675243570690895</v>
      </c>
      <c r="F84">
        <v>2.53991195906073</v>
      </c>
      <c r="G84">
        <v>-148.46634618700898</v>
      </c>
      <c r="H84">
        <v>-129.81878587994817</v>
      </c>
      <c r="I84">
        <v>17.9450130462982</v>
      </c>
      <c r="J84">
        <v>10.520043445490201</v>
      </c>
      <c r="K84">
        <v>3.5700152222686801</v>
      </c>
      <c r="L84">
        <v>0</v>
      </c>
      <c r="M84">
        <v>1.2381710965453891E-6</v>
      </c>
      <c r="N84">
        <v>0</v>
      </c>
      <c r="O84" s="1">
        <v>5.0695393615623498E-12</v>
      </c>
      <c r="P84">
        <v>0</v>
      </c>
      <c r="Q84">
        <v>100</v>
      </c>
      <c r="AJ84">
        <v>1</v>
      </c>
    </row>
    <row r="85" spans="1:36" x14ac:dyDescent="0.2">
      <c r="A85">
        <v>139</v>
      </c>
      <c r="B85">
        <v>765</v>
      </c>
      <c r="C85">
        <v>150</v>
      </c>
      <c r="D85">
        <v>0.44100611664981298</v>
      </c>
      <c r="E85">
        <v>10.6108381492435</v>
      </c>
      <c r="F85">
        <v>2.53991195906073</v>
      </c>
      <c r="G85">
        <v>-173.71467117906144</v>
      </c>
      <c r="H85">
        <v>-151.92655580597054</v>
      </c>
      <c r="I85">
        <v>20.987444370361601</v>
      </c>
      <c r="J85">
        <v>12.3090512860978</v>
      </c>
      <c r="K85">
        <v>4.1776401388209896</v>
      </c>
      <c r="L85">
        <v>0</v>
      </c>
      <c r="M85">
        <v>1.2381710965453893E-6</v>
      </c>
      <c r="N85">
        <v>0</v>
      </c>
      <c r="O85" s="1">
        <v>5.93238678370035E-12</v>
      </c>
      <c r="P85">
        <v>0</v>
      </c>
      <c r="Q85">
        <v>100</v>
      </c>
      <c r="AJ85">
        <v>1</v>
      </c>
    </row>
    <row r="86" spans="1:36" x14ac:dyDescent="0.2">
      <c r="A86">
        <v>140</v>
      </c>
      <c r="B86">
        <v>764</v>
      </c>
      <c r="C86">
        <v>150</v>
      </c>
      <c r="D86">
        <v>0.44039965289495597</v>
      </c>
      <c r="E86">
        <v>20.5143505524074</v>
      </c>
      <c r="F86">
        <v>2.53991195906073</v>
      </c>
      <c r="G86">
        <v>-335.80883888770927</v>
      </c>
      <c r="H86">
        <v>-293.74937933030833</v>
      </c>
      <c r="I86">
        <v>40.552918630285703</v>
      </c>
      <c r="J86">
        <v>23.794612104829501</v>
      </c>
      <c r="K86">
        <v>8.0767959216955294</v>
      </c>
      <c r="L86">
        <v>0</v>
      </c>
      <c r="M86">
        <v>1.2381710965453893E-6</v>
      </c>
      <c r="N86">
        <v>0</v>
      </c>
      <c r="O86" s="1">
        <v>1.1469316597009201E-11</v>
      </c>
      <c r="P86">
        <v>0</v>
      </c>
      <c r="Q86">
        <v>100</v>
      </c>
      <c r="AJ86">
        <v>1</v>
      </c>
    </row>
    <row r="87" spans="1:36" x14ac:dyDescent="0.2">
      <c r="A87">
        <v>141</v>
      </c>
      <c r="B87">
        <v>763</v>
      </c>
      <c r="C87">
        <v>150</v>
      </c>
      <c r="D87">
        <v>0.43979201853014099</v>
      </c>
      <c r="E87">
        <v>24.9538685116873</v>
      </c>
      <c r="F87">
        <v>2.53991195906073</v>
      </c>
      <c r="G87">
        <v>-408.43203509620901</v>
      </c>
      <c r="H87">
        <v>-357.34873005537941</v>
      </c>
      <c r="I87">
        <v>49.301071312869396</v>
      </c>
      <c r="J87">
        <v>28.9404034968384</v>
      </c>
      <c r="K87">
        <v>9.8246982233649298</v>
      </c>
      <c r="L87">
        <v>0</v>
      </c>
      <c r="M87">
        <v>1.2381710965453893E-6</v>
      </c>
      <c r="N87">
        <v>0</v>
      </c>
      <c r="O87" s="1">
        <v>1.39513955145459E-11</v>
      </c>
      <c r="P87">
        <v>0</v>
      </c>
      <c r="Q87">
        <v>100</v>
      </c>
      <c r="AJ87">
        <v>1</v>
      </c>
    </row>
    <row r="88" spans="1:36" x14ac:dyDescent="0.2">
      <c r="A88">
        <v>142</v>
      </c>
      <c r="B88">
        <v>762</v>
      </c>
      <c r="C88">
        <v>150</v>
      </c>
      <c r="D88">
        <v>0.439183210162781</v>
      </c>
      <c r="E88">
        <v>27.134015106947601</v>
      </c>
      <c r="F88">
        <v>2.53991195906073</v>
      </c>
      <c r="G88">
        <v>-444.06195569638948</v>
      </c>
      <c r="H88">
        <v>-388.60071156990881</v>
      </c>
      <c r="I88">
        <v>53.577978192996802</v>
      </c>
      <c r="J88">
        <v>31.464909079272601</v>
      </c>
      <c r="K88">
        <v>10.6830534066944</v>
      </c>
      <c r="L88">
        <v>0</v>
      </c>
      <c r="M88">
        <v>1.2381710965453893E-6</v>
      </c>
      <c r="N88">
        <v>0</v>
      </c>
      <c r="O88" s="1">
        <v>1.5170288185072E-11</v>
      </c>
      <c r="P88">
        <v>0</v>
      </c>
      <c r="Q88">
        <v>100</v>
      </c>
      <c r="AJ88">
        <v>1</v>
      </c>
    </row>
    <row r="89" spans="1:36" x14ac:dyDescent="0.2">
      <c r="A89">
        <v>143</v>
      </c>
      <c r="B89">
        <v>761</v>
      </c>
      <c r="C89">
        <v>150</v>
      </c>
      <c r="D89">
        <v>0.43857322438717999</v>
      </c>
      <c r="E89">
        <v>28.397959925000499</v>
      </c>
      <c r="F89">
        <v>2.53991195906073</v>
      </c>
      <c r="G89">
        <v>-464.69099758469929</v>
      </c>
      <c r="H89">
        <v>-406.73526839919128</v>
      </c>
      <c r="I89">
        <v>56.041898356629098</v>
      </c>
      <c r="J89">
        <v>32.926468689660403</v>
      </c>
      <c r="K89">
        <v>11.1806867256541</v>
      </c>
      <c r="L89">
        <v>0</v>
      </c>
      <c r="M89">
        <v>1.2381710965453891E-6</v>
      </c>
      <c r="N89">
        <v>0</v>
      </c>
      <c r="O89" s="1">
        <v>1.5876943910895E-11</v>
      </c>
      <c r="P89">
        <v>0</v>
      </c>
      <c r="Q89">
        <v>100</v>
      </c>
      <c r="AJ89">
        <v>1</v>
      </c>
    </row>
    <row r="90" spans="1:36" x14ac:dyDescent="0.2">
      <c r="A90">
        <v>144</v>
      </c>
      <c r="B90">
        <v>760</v>
      </c>
      <c r="C90">
        <v>150</v>
      </c>
      <c r="D90">
        <v>0.43796205778444602</v>
      </c>
      <c r="E90">
        <v>29.3254735940851</v>
      </c>
      <c r="F90">
        <v>2.53991195906073</v>
      </c>
      <c r="G90">
        <v>-479.81054367407171</v>
      </c>
      <c r="H90">
        <v>-420.05376190482087</v>
      </c>
      <c r="I90">
        <v>57.839405477666197</v>
      </c>
      <c r="J90">
        <v>33.997620295074498</v>
      </c>
      <c r="K90">
        <v>11.545862245134501</v>
      </c>
      <c r="L90">
        <v>0</v>
      </c>
      <c r="M90">
        <v>1.2381710965453893E-6</v>
      </c>
      <c r="N90">
        <v>0</v>
      </c>
      <c r="O90" s="1">
        <v>1.6395505192745399E-11</v>
      </c>
      <c r="P90">
        <v>0</v>
      </c>
      <c r="Q90">
        <v>100</v>
      </c>
      <c r="AJ90">
        <v>1</v>
      </c>
    </row>
    <row r="91" spans="1:36" x14ac:dyDescent="0.2">
      <c r="A91">
        <v>169</v>
      </c>
      <c r="B91">
        <v>784</v>
      </c>
      <c r="C91">
        <v>125</v>
      </c>
      <c r="D91">
        <v>0.47832426807926898</v>
      </c>
      <c r="E91">
        <v>0.475532510077535</v>
      </c>
      <c r="F91">
        <v>2.5391258783161499</v>
      </c>
      <c r="G91">
        <v>-7.8077981782472561</v>
      </c>
      <c r="H91">
        <v>-6.8028882286153509</v>
      </c>
      <c r="I91">
        <v>0.95058407002970602</v>
      </c>
      <c r="J91">
        <v>0.55291567405126596</v>
      </c>
      <c r="K91">
        <v>0.18728197532013999</v>
      </c>
      <c r="L91">
        <v>0</v>
      </c>
      <c r="M91">
        <v>1.2381427916924884E-6</v>
      </c>
      <c r="N91">
        <v>0</v>
      </c>
      <c r="O91" s="1">
        <v>2.65864273710077E-13</v>
      </c>
      <c r="P91">
        <v>0</v>
      </c>
      <c r="Q91">
        <v>100</v>
      </c>
      <c r="AJ91">
        <v>1</v>
      </c>
    </row>
    <row r="92" spans="1:36" x14ac:dyDescent="0.2">
      <c r="A92">
        <v>170</v>
      </c>
      <c r="B92">
        <v>783</v>
      </c>
      <c r="C92">
        <v>125</v>
      </c>
      <c r="D92">
        <v>0.47776404866733202</v>
      </c>
      <c r="E92">
        <v>1.35355062021119</v>
      </c>
      <c r="F92">
        <v>2.5391258783161499</v>
      </c>
      <c r="G92">
        <v>-22.221327739165012</v>
      </c>
      <c r="H92">
        <v>-19.365241577977852</v>
      </c>
      <c r="I92">
        <v>2.7042429211638099</v>
      </c>
      <c r="J92">
        <v>1.57362562420378</v>
      </c>
      <c r="K92">
        <v>0.53307739949813504</v>
      </c>
      <c r="L92">
        <v>0</v>
      </c>
      <c r="M92">
        <v>1.2381427916924879E-6</v>
      </c>
      <c r="N92">
        <v>0</v>
      </c>
      <c r="O92" s="1">
        <v>7.5675320813207502E-13</v>
      </c>
      <c r="P92">
        <v>0</v>
      </c>
      <c r="Q92">
        <v>100</v>
      </c>
      <c r="AJ92">
        <v>1</v>
      </c>
    </row>
    <row r="93" spans="1:36" x14ac:dyDescent="0.2">
      <c r="A93">
        <v>171</v>
      </c>
      <c r="B93">
        <v>782</v>
      </c>
      <c r="C93">
        <v>125</v>
      </c>
      <c r="D93">
        <v>0.47720276737904699</v>
      </c>
      <c r="E93">
        <v>2.23988135762042</v>
      </c>
      <c r="F93">
        <v>2.5391258783161499</v>
      </c>
      <c r="G93">
        <v>-36.767802760557728</v>
      </c>
      <c r="H93">
        <v>-32.048574669329845</v>
      </c>
      <c r="I93">
        <v>4.4725660723384202</v>
      </c>
      <c r="J93">
        <v>2.6037545658014398</v>
      </c>
      <c r="K93">
        <v>0.88214663823828499</v>
      </c>
      <c r="L93">
        <v>0</v>
      </c>
      <c r="M93">
        <v>1.2381427916924884E-6</v>
      </c>
      <c r="N93">
        <v>0</v>
      </c>
      <c r="O93" s="1">
        <v>1.2522896284071001E-12</v>
      </c>
      <c r="P93">
        <v>0</v>
      </c>
      <c r="Q93">
        <v>100</v>
      </c>
      <c r="AJ93">
        <v>1</v>
      </c>
    </row>
    <row r="94" spans="1:36" x14ac:dyDescent="0.2">
      <c r="A94">
        <v>172</v>
      </c>
      <c r="B94">
        <v>781</v>
      </c>
      <c r="C94">
        <v>125</v>
      </c>
      <c r="D94">
        <v>0.476640421192431</v>
      </c>
      <c r="E94">
        <v>3.1393558000189201</v>
      </c>
      <c r="F94">
        <v>2.5391258783161499</v>
      </c>
      <c r="G94">
        <v>-51.526469183700542</v>
      </c>
      <c r="H94">
        <v>-44.922045558789712</v>
      </c>
      <c r="I94">
        <v>6.2651649432346703</v>
      </c>
      <c r="J94">
        <v>3.6489134775666501</v>
      </c>
      <c r="K94">
        <v>1.23639234542433</v>
      </c>
      <c r="L94">
        <v>0</v>
      </c>
      <c r="M94">
        <v>1.2381427916924879E-6</v>
      </c>
      <c r="N94">
        <v>0</v>
      </c>
      <c r="O94" s="1">
        <v>1.7551745296098899E-12</v>
      </c>
      <c r="P94">
        <v>0</v>
      </c>
      <c r="Q94">
        <v>100</v>
      </c>
      <c r="AJ94">
        <v>1</v>
      </c>
    </row>
    <row r="95" spans="1:36" x14ac:dyDescent="0.2">
      <c r="A95">
        <v>173</v>
      </c>
      <c r="B95">
        <v>780</v>
      </c>
      <c r="C95">
        <v>125</v>
      </c>
      <c r="D95">
        <v>0.47607700707401701</v>
      </c>
      <c r="E95">
        <v>4.0585521038161003</v>
      </c>
      <c r="F95">
        <v>2.5391258783161499</v>
      </c>
      <c r="G95">
        <v>-66.60520589425721</v>
      </c>
      <c r="H95">
        <v>-58.079836292037413</v>
      </c>
      <c r="I95">
        <v>8.0951142783267098</v>
      </c>
      <c r="J95">
        <v>4.71674103319239</v>
      </c>
      <c r="K95">
        <v>1.5984052379898399</v>
      </c>
      <c r="L95">
        <v>0</v>
      </c>
      <c r="M95">
        <v>1.2381427916924884E-6</v>
      </c>
      <c r="N95">
        <v>0</v>
      </c>
      <c r="O95" s="1">
        <v>2.2690856766441401E-12</v>
      </c>
      <c r="P95">
        <v>0</v>
      </c>
      <c r="Q95">
        <v>100</v>
      </c>
      <c r="AJ95">
        <v>1</v>
      </c>
    </row>
    <row r="96" spans="1:36" x14ac:dyDescent="0.2">
      <c r="A96">
        <v>174</v>
      </c>
      <c r="B96">
        <v>779</v>
      </c>
      <c r="C96">
        <v>125</v>
      </c>
      <c r="D96">
        <v>0.475512521978807</v>
      </c>
      <c r="E96">
        <v>5.0066360195428601</v>
      </c>
      <c r="F96">
        <v>2.5391258783161499</v>
      </c>
      <c r="G96">
        <v>-82.154299443322685</v>
      </c>
      <c r="H96">
        <v>-71.653192206497565</v>
      </c>
      <c r="I96">
        <v>9.9806180077223896</v>
      </c>
      <c r="J96">
        <v>5.8178790731101202</v>
      </c>
      <c r="K96">
        <v>1.97179512142307</v>
      </c>
      <c r="L96">
        <v>0</v>
      </c>
      <c r="M96">
        <v>1.2381427916924881E-6</v>
      </c>
      <c r="N96">
        <v>0</v>
      </c>
      <c r="O96" s="1">
        <v>2.7991475258956298E-12</v>
      </c>
      <c r="P96">
        <v>0</v>
      </c>
      <c r="Q96">
        <v>100</v>
      </c>
      <c r="AJ96">
        <v>1</v>
      </c>
    </row>
    <row r="97" spans="1:36" x14ac:dyDescent="0.2">
      <c r="A97">
        <v>175</v>
      </c>
      <c r="B97">
        <v>778</v>
      </c>
      <c r="C97">
        <v>125</v>
      </c>
      <c r="D97">
        <v>0.47494696285021398</v>
      </c>
      <c r="E97">
        <v>5.9967239557939003</v>
      </c>
      <c r="F97">
        <v>2.5391258783161499</v>
      </c>
      <c r="G97">
        <v>-98.388782246885114</v>
      </c>
      <c r="H97">
        <v>-85.829946225225243</v>
      </c>
      <c r="I97">
        <v>11.9477106232791</v>
      </c>
      <c r="J97">
        <v>6.9675545077207799</v>
      </c>
      <c r="K97">
        <v>2.3617277138582402</v>
      </c>
      <c r="L97">
        <v>0</v>
      </c>
      <c r="M97">
        <v>1.2381427916924884E-6</v>
      </c>
      <c r="N97">
        <v>0</v>
      </c>
      <c r="O97" s="1">
        <v>3.3526932972196002E-12</v>
      </c>
      <c r="P97">
        <v>0</v>
      </c>
      <c r="Q97">
        <v>100</v>
      </c>
      <c r="AJ97">
        <v>1</v>
      </c>
    </row>
    <row r="98" spans="1:36" x14ac:dyDescent="0.2">
      <c r="A98">
        <v>176</v>
      </c>
      <c r="B98">
        <v>777</v>
      </c>
      <c r="C98">
        <v>125</v>
      </c>
      <c r="D98">
        <v>0.47438032662001101</v>
      </c>
      <c r="E98">
        <v>7.0481319589037703</v>
      </c>
      <c r="F98">
        <v>2.5391258783161499</v>
      </c>
      <c r="G98">
        <v>-115.62528807194109</v>
      </c>
      <c r="H98">
        <v>-100.88673361639704</v>
      </c>
      <c r="I98">
        <v>14.034713570008099</v>
      </c>
      <c r="J98">
        <v>8.1881892763313093</v>
      </c>
      <c r="K98">
        <v>2.7758103759620698</v>
      </c>
      <c r="L98">
        <v>0</v>
      </c>
      <c r="M98">
        <v>1.2381427916924881E-6</v>
      </c>
      <c r="N98">
        <v>0</v>
      </c>
      <c r="O98" s="1">
        <v>3.9405223503251199E-12</v>
      </c>
      <c r="P98">
        <v>0</v>
      </c>
      <c r="Q98">
        <v>100</v>
      </c>
      <c r="AJ98">
        <v>1</v>
      </c>
    </row>
    <row r="99" spans="1:36" x14ac:dyDescent="0.2">
      <c r="A99">
        <v>177</v>
      </c>
      <c r="B99">
        <v>776</v>
      </c>
      <c r="C99">
        <v>125</v>
      </c>
      <c r="D99">
        <v>0.47381261020826598</v>
      </c>
      <c r="E99">
        <v>8.1900122957221697</v>
      </c>
      <c r="F99">
        <v>2.5391258783161499</v>
      </c>
      <c r="G99">
        <v>-134.34164172693144</v>
      </c>
      <c r="H99">
        <v>-117.24108613800412</v>
      </c>
      <c r="I99">
        <v>16.2994382013318</v>
      </c>
      <c r="J99">
        <v>9.5136202471240896</v>
      </c>
      <c r="K99">
        <v>3.2255243293229201</v>
      </c>
      <c r="L99">
        <v>0</v>
      </c>
      <c r="M99">
        <v>1.2381427916924881E-6</v>
      </c>
      <c r="N99">
        <v>0</v>
      </c>
      <c r="O99" s="1">
        <v>4.57893335268234E-12</v>
      </c>
      <c r="P99">
        <v>0</v>
      </c>
      <c r="Q99">
        <v>100</v>
      </c>
      <c r="AJ99">
        <v>1</v>
      </c>
    </row>
    <row r="100" spans="1:36" x14ac:dyDescent="0.2">
      <c r="A100">
        <v>178</v>
      </c>
      <c r="B100">
        <v>775</v>
      </c>
      <c r="C100">
        <v>125</v>
      </c>
      <c r="D100">
        <v>0.473243810523307</v>
      </c>
      <c r="E100">
        <v>9.4663743052142593</v>
      </c>
      <c r="F100">
        <v>2.5391258783161499</v>
      </c>
      <c r="G100">
        <v>-155.25910899760686</v>
      </c>
      <c r="H100">
        <v>-135.52336910893152</v>
      </c>
      <c r="I100">
        <v>18.829117863545601</v>
      </c>
      <c r="J100">
        <v>10.994923801987801</v>
      </c>
      <c r="K100">
        <v>3.7282020501842901</v>
      </c>
      <c r="L100">
        <v>0</v>
      </c>
      <c r="M100">
        <v>1.2381427916924884E-6</v>
      </c>
      <c r="N100">
        <v>0</v>
      </c>
      <c r="O100" s="1">
        <v>5.2925313748016304E-12</v>
      </c>
      <c r="P100">
        <v>0</v>
      </c>
      <c r="Q100">
        <v>100</v>
      </c>
      <c r="AJ100">
        <v>1</v>
      </c>
    </row>
    <row r="101" spans="1:36" x14ac:dyDescent="0.2">
      <c r="A101">
        <v>179</v>
      </c>
      <c r="B101">
        <v>774</v>
      </c>
      <c r="C101">
        <v>125</v>
      </c>
      <c r="D101">
        <v>0.47267392446163797</v>
      </c>
      <c r="E101">
        <v>10.9377651887842</v>
      </c>
      <c r="F101">
        <v>2.5391258783161499</v>
      </c>
      <c r="G101">
        <v>-179.36981275017988</v>
      </c>
      <c r="H101">
        <v>-156.60093227813829</v>
      </c>
      <c r="I101">
        <v>21.7436665922184</v>
      </c>
      <c r="J101">
        <v>12.7023572069211</v>
      </c>
      <c r="K101">
        <v>4.3076892257258699</v>
      </c>
      <c r="L101">
        <v>0</v>
      </c>
      <c r="M101">
        <v>1.2381427916924881E-6</v>
      </c>
      <c r="N101">
        <v>0</v>
      </c>
      <c r="O101" s="1">
        <v>6.1151675990635002E-12</v>
      </c>
      <c r="P101">
        <v>0</v>
      </c>
      <c r="Q101">
        <v>100</v>
      </c>
      <c r="AJ101">
        <v>1</v>
      </c>
    </row>
    <row r="102" spans="1:36" x14ac:dyDescent="0.2">
      <c r="A102">
        <v>180</v>
      </c>
      <c r="B102">
        <v>773</v>
      </c>
      <c r="C102">
        <v>125</v>
      </c>
      <c r="D102">
        <v>0.472102948907902</v>
      </c>
      <c r="E102">
        <v>17.766474614453401</v>
      </c>
      <c r="F102">
        <v>2.5391258783161499</v>
      </c>
      <c r="G102">
        <v>-291.31938465632931</v>
      </c>
      <c r="H102">
        <v>-254.3912858112063</v>
      </c>
      <c r="I102">
        <v>35.299047789631402</v>
      </c>
      <c r="J102">
        <v>20.630228629287998</v>
      </c>
      <c r="K102">
        <v>6.99708303797662</v>
      </c>
      <c r="L102">
        <v>0</v>
      </c>
      <c r="M102">
        <v>1.2381427916924884E-6</v>
      </c>
      <c r="N102">
        <v>0</v>
      </c>
      <c r="O102" s="1">
        <v>9.9330135577692304E-12</v>
      </c>
      <c r="P102">
        <v>0</v>
      </c>
      <c r="Q102">
        <v>100</v>
      </c>
      <c r="AJ102">
        <v>1</v>
      </c>
    </row>
    <row r="103" spans="1:36" x14ac:dyDescent="0.2">
      <c r="A103">
        <v>181</v>
      </c>
      <c r="B103">
        <v>772</v>
      </c>
      <c r="C103">
        <v>125</v>
      </c>
      <c r="D103">
        <v>0.47153088073482102</v>
      </c>
      <c r="E103">
        <v>23.323881332013102</v>
      </c>
      <c r="F103">
        <v>2.5391258783161499</v>
      </c>
      <c r="G103">
        <v>-382.39863698956037</v>
      </c>
      <c r="H103">
        <v>-333.99272723199562</v>
      </c>
      <c r="I103">
        <v>46.314796687140401</v>
      </c>
      <c r="J103">
        <v>27.0801172531228</v>
      </c>
      <c r="K103">
        <v>9.18579166602035</v>
      </c>
      <c r="L103">
        <v>0</v>
      </c>
      <c r="M103">
        <v>1.2381427916924881E-6</v>
      </c>
      <c r="N103">
        <v>0</v>
      </c>
      <c r="O103" s="1">
        <v>1.3040090086426699E-11</v>
      </c>
      <c r="P103">
        <v>0</v>
      </c>
      <c r="Q103">
        <v>100</v>
      </c>
      <c r="AJ103">
        <v>1</v>
      </c>
    </row>
    <row r="104" spans="1:36" x14ac:dyDescent="0.2">
      <c r="A104">
        <v>182</v>
      </c>
      <c r="B104">
        <v>771</v>
      </c>
      <c r="C104">
        <v>125</v>
      </c>
      <c r="D104">
        <v>0.47095771680314102</v>
      </c>
      <c r="E104">
        <v>26.090579892607298</v>
      </c>
      <c r="F104">
        <v>2.5391258783161499</v>
      </c>
      <c r="G104">
        <v>-427.70729302699243</v>
      </c>
      <c r="H104">
        <v>-373.64151798158144</v>
      </c>
      <c r="I104">
        <v>51.779701235848201</v>
      </c>
      <c r="J104">
        <v>30.288674315197099</v>
      </c>
      <c r="K104">
        <v>10.2754180544643</v>
      </c>
      <c r="L104">
        <v>0</v>
      </c>
      <c r="M104">
        <v>1.2381427916924881E-6</v>
      </c>
      <c r="N104">
        <v>0</v>
      </c>
      <c r="O104" s="1">
        <v>1.4586916618364901E-11</v>
      </c>
      <c r="P104">
        <v>0</v>
      </c>
      <c r="Q104">
        <v>100</v>
      </c>
      <c r="AJ104">
        <v>1</v>
      </c>
    </row>
    <row r="105" spans="1:36" x14ac:dyDescent="0.2">
      <c r="A105">
        <v>183</v>
      </c>
      <c r="B105">
        <v>770</v>
      </c>
      <c r="C105">
        <v>125</v>
      </c>
      <c r="D105">
        <v>0.47038345396155901</v>
      </c>
      <c r="E105">
        <v>27.672868103064001</v>
      </c>
      <c r="F105">
        <v>2.5391258783161499</v>
      </c>
      <c r="G105">
        <v>-453.59110698201454</v>
      </c>
      <c r="H105">
        <v>-396.33348935015903</v>
      </c>
      <c r="I105">
        <v>54.889150775876402</v>
      </c>
      <c r="J105">
        <v>32.121617226217502</v>
      </c>
      <c r="K105">
        <v>10.8985806254771</v>
      </c>
      <c r="L105">
        <v>0</v>
      </c>
      <c r="M105">
        <v>1.2381427916924884E-6</v>
      </c>
      <c r="N105">
        <v>0</v>
      </c>
      <c r="O105" s="1">
        <v>1.5471554149886101E-11</v>
      </c>
      <c r="P105">
        <v>0</v>
      </c>
      <c r="Q105">
        <v>100</v>
      </c>
      <c r="AJ105">
        <v>1</v>
      </c>
    </row>
    <row r="106" spans="1:36" x14ac:dyDescent="0.2">
      <c r="A106">
        <v>184</v>
      </c>
      <c r="B106">
        <v>769</v>
      </c>
      <c r="C106">
        <v>125</v>
      </c>
      <c r="D106">
        <v>0.46980808904668597</v>
      </c>
      <c r="E106">
        <v>28.6765532170926</v>
      </c>
      <c r="F106">
        <v>2.5391258783161499</v>
      </c>
      <c r="G106">
        <v>-469.98583159931303</v>
      </c>
      <c r="H106">
        <v>-410.74164908985301</v>
      </c>
      <c r="I106">
        <v>56.8480377195797</v>
      </c>
      <c r="J106">
        <v>33.282562388413197</v>
      </c>
      <c r="K106">
        <v>11.2938682804138</v>
      </c>
      <c r="L106">
        <v>0</v>
      </c>
      <c r="M106">
        <v>1.2381427916924881E-6</v>
      </c>
      <c r="N106">
        <v>0</v>
      </c>
      <c r="O106" s="1">
        <v>1.60327019330972E-11</v>
      </c>
      <c r="P106">
        <v>0</v>
      </c>
      <c r="Q106">
        <v>100</v>
      </c>
      <c r="AJ106">
        <v>1</v>
      </c>
    </row>
    <row r="107" spans="1:36" x14ac:dyDescent="0.2">
      <c r="A107">
        <v>185</v>
      </c>
      <c r="B107">
        <v>768</v>
      </c>
      <c r="C107">
        <v>125</v>
      </c>
      <c r="D107">
        <v>0.46923161888296799</v>
      </c>
      <c r="E107">
        <v>29.362632148952901</v>
      </c>
      <c r="F107">
        <v>2.5391258783161499</v>
      </c>
      <c r="G107">
        <v>-481.17192624201846</v>
      </c>
      <c r="H107">
        <v>-420.60261087119915</v>
      </c>
      <c r="I107">
        <v>58.175397753272101</v>
      </c>
      <c r="J107">
        <v>34.074637419955998</v>
      </c>
      <c r="K107">
        <v>11.564071084347001</v>
      </c>
      <c r="L107">
        <v>0</v>
      </c>
      <c r="M107">
        <v>1.2381427916924881E-6</v>
      </c>
      <c r="N107">
        <v>0</v>
      </c>
      <c r="O107" s="1">
        <v>1.6416280075624501E-11</v>
      </c>
      <c r="P107">
        <v>0</v>
      </c>
      <c r="Q107">
        <v>100</v>
      </c>
      <c r="AJ10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B1C18-4B9F-44F2-9869-19A0EA601CD5}">
  <sheetPr codeName="Sheet14"/>
  <dimension ref="A1:AJ18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751</v>
      </c>
      <c r="C2">
        <v>275</v>
      </c>
      <c r="D2">
        <v>0.29815017331445698</v>
      </c>
      <c r="E2">
        <v>3.6947619511381902</v>
      </c>
      <c r="F2">
        <v>0.55793424403356595</v>
      </c>
      <c r="G2">
        <v>-79.871264892436884</v>
      </c>
      <c r="H2">
        <v>-47.119837939858833</v>
      </c>
      <c r="I2">
        <v>31.981195452083</v>
      </c>
      <c r="J2">
        <v>14.3008967040483</v>
      </c>
      <c r="K2">
        <v>6.62221756532999</v>
      </c>
      <c r="L2">
        <v>1.2032692437403828E-3</v>
      </c>
      <c r="M2">
        <v>1.9212262755833814E-4</v>
      </c>
      <c r="N2" s="1">
        <v>5.43819215138237E-6</v>
      </c>
      <c r="O2" s="1">
        <v>1.0322343494898599E-6</v>
      </c>
      <c r="P2" s="1">
        <v>-3.9003608251884704E-6</v>
      </c>
      <c r="AE2">
        <v>100</v>
      </c>
      <c r="AJ2">
        <v>1</v>
      </c>
    </row>
    <row r="3" spans="1:36" x14ac:dyDescent="0.2">
      <c r="A3">
        <v>2</v>
      </c>
      <c r="B3">
        <v>750</v>
      </c>
      <c r="C3">
        <v>275</v>
      </c>
      <c r="D3">
        <v>0.29739578751893703</v>
      </c>
      <c r="E3">
        <v>3.7029105986877702</v>
      </c>
      <c r="F3">
        <v>0.55860616772383997</v>
      </c>
      <c r="G3">
        <v>-80.01537299778947</v>
      </c>
      <c r="H3">
        <v>-47.23809427641028</v>
      </c>
      <c r="I3">
        <v>32.037724433571299</v>
      </c>
      <c r="J3">
        <v>14.3384536848023</v>
      </c>
      <c r="K3">
        <v>6.6288394447488299</v>
      </c>
      <c r="L3">
        <v>1.2038931123682388E-3</v>
      </c>
      <c r="M3">
        <v>1.9176447158538012E-4</v>
      </c>
      <c r="N3" s="1">
        <v>5.4905344708422304E-6</v>
      </c>
      <c r="O3" s="1">
        <v>1.0308395743292399E-6</v>
      </c>
      <c r="P3" s="1">
        <v>-3.90683496147322E-6</v>
      </c>
      <c r="AE3">
        <v>100</v>
      </c>
      <c r="AJ3">
        <v>1</v>
      </c>
    </row>
    <row r="4" spans="1:36" x14ac:dyDescent="0.2">
      <c r="A4">
        <v>3</v>
      </c>
      <c r="B4">
        <v>749</v>
      </c>
      <c r="C4">
        <v>275</v>
      </c>
      <c r="D4">
        <v>0.29663992564692099</v>
      </c>
      <c r="E4">
        <v>3.7136221606687698</v>
      </c>
      <c r="F4">
        <v>0.55927924797073003</v>
      </c>
      <c r="G4">
        <v>-80.214713391707889</v>
      </c>
      <c r="H4">
        <v>-47.389124800902017</v>
      </c>
      <c r="I4">
        <v>32.116336891306297</v>
      </c>
      <c r="J4">
        <v>14.385954745156701</v>
      </c>
      <c r="K4">
        <v>6.6400142221316996</v>
      </c>
      <c r="L4">
        <v>1.204511389717951E-3</v>
      </c>
      <c r="M4">
        <v>1.9140561801019588E-4</v>
      </c>
      <c r="N4" s="1">
        <v>5.5469181011056798E-6</v>
      </c>
      <c r="O4" s="1">
        <v>1.03013838472022E-6</v>
      </c>
      <c r="P4" s="1">
        <v>-3.9159568205014799E-6</v>
      </c>
      <c r="AE4">
        <v>100</v>
      </c>
      <c r="AJ4">
        <v>1</v>
      </c>
    </row>
    <row r="5" spans="1:36" x14ac:dyDescent="0.2">
      <c r="A5">
        <v>4</v>
      </c>
      <c r="B5">
        <v>748</v>
      </c>
      <c r="C5">
        <v>275</v>
      </c>
      <c r="D5">
        <v>0.29588258336189799</v>
      </c>
      <c r="E5">
        <v>3.7242539329332001</v>
      </c>
      <c r="F5">
        <v>0.55995348386390498</v>
      </c>
      <c r="G5">
        <v>-80.412159809116076</v>
      </c>
      <c r="H5">
        <v>-47.539225836222876</v>
      </c>
      <c r="I5">
        <v>32.1941587618753</v>
      </c>
      <c r="J5">
        <v>14.433170405656</v>
      </c>
      <c r="K5">
        <v>6.6510059143383602</v>
      </c>
      <c r="L5">
        <v>1.2051240414215599E-3</v>
      </c>
      <c r="M5">
        <v>1.9104607090488277E-4</v>
      </c>
      <c r="N5" s="1">
        <v>5.6034492175985801E-6</v>
      </c>
      <c r="O5" s="1">
        <v>1.0293927645218901E-6</v>
      </c>
      <c r="P5" s="1">
        <v>-3.9249362626913101E-6</v>
      </c>
      <c r="AE5">
        <v>100</v>
      </c>
      <c r="AJ5">
        <v>1</v>
      </c>
    </row>
    <row r="6" spans="1:36" x14ac:dyDescent="0.2">
      <c r="A6">
        <v>5</v>
      </c>
      <c r="B6">
        <v>747</v>
      </c>
      <c r="C6">
        <v>275</v>
      </c>
      <c r="D6">
        <v>0.29512375631034898</v>
      </c>
      <c r="E6">
        <v>3.8222584574835698</v>
      </c>
      <c r="F6">
        <v>0.56062887446346499</v>
      </c>
      <c r="G6">
        <v>-82.495188587275891</v>
      </c>
      <c r="H6">
        <v>-48.805046621929698</v>
      </c>
      <c r="I6">
        <v>33.026838500562697</v>
      </c>
      <c r="J6">
        <v>14.819159535723101</v>
      </c>
      <c r="K6">
        <v>6.8178052033826297</v>
      </c>
      <c r="L6">
        <v>1.2057310332263733E-3</v>
      </c>
      <c r="M6">
        <v>1.9068583439123634E-4</v>
      </c>
      <c r="N6" s="1">
        <v>5.79265858543643E-6</v>
      </c>
      <c r="O6" s="1">
        <v>1.0526883191165801E-6</v>
      </c>
      <c r="P6" s="1">
        <v>-4.0258843805635102E-6</v>
      </c>
      <c r="AE6">
        <v>100</v>
      </c>
      <c r="AJ6">
        <v>1</v>
      </c>
    </row>
    <row r="7" spans="1:36" x14ac:dyDescent="0.2">
      <c r="A7">
        <v>6</v>
      </c>
      <c r="B7">
        <v>746</v>
      </c>
      <c r="C7">
        <v>275</v>
      </c>
      <c r="D7">
        <v>0.29436344012167098</v>
      </c>
      <c r="E7">
        <v>4.0055690272805702</v>
      </c>
      <c r="F7">
        <v>0.56130541879990004</v>
      </c>
      <c r="G7">
        <v>-86.416947939166576</v>
      </c>
      <c r="H7">
        <v>-51.161206605400764</v>
      </c>
      <c r="I7">
        <v>34.595529182488598</v>
      </c>
      <c r="J7">
        <v>15.5363285755961</v>
      </c>
      <c r="K7">
        <v>7.1361666806008701</v>
      </c>
      <c r="L7">
        <v>1.2063323309982939E-3</v>
      </c>
      <c r="M7">
        <v>1.9032491264064458E-4</v>
      </c>
      <c r="N7" s="1">
        <v>6.1142553747314402E-6</v>
      </c>
      <c r="O7" s="1">
        <v>1.09919777965635E-6</v>
      </c>
      <c r="P7" s="1">
        <v>-4.2164616132652397E-6</v>
      </c>
      <c r="AE7">
        <v>100</v>
      </c>
      <c r="AJ7">
        <v>1</v>
      </c>
    </row>
    <row r="8" spans="1:36" x14ac:dyDescent="0.2">
      <c r="A8">
        <v>7</v>
      </c>
      <c r="B8">
        <v>745</v>
      </c>
      <c r="C8">
        <v>275</v>
      </c>
      <c r="D8">
        <v>0.29360163040809401</v>
      </c>
      <c r="E8">
        <v>4.1945468427053196</v>
      </c>
      <c r="F8">
        <v>0.56198311587393401</v>
      </c>
      <c r="G8">
        <v>-90.457773436328097</v>
      </c>
      <c r="H8">
        <v>-53.591202039280226</v>
      </c>
      <c r="I8">
        <v>36.211728894883798</v>
      </c>
      <c r="J8">
        <v>16.276066665819801</v>
      </c>
      <c r="K8">
        <v>7.4638307170179399</v>
      </c>
      <c r="L8">
        <v>1.206927900724657E-3</v>
      </c>
      <c r="M8">
        <v>1.899633098739132E-4</v>
      </c>
      <c r="N8" s="1">
        <v>6.4486046461092203E-6</v>
      </c>
      <c r="O8" s="1">
        <v>1.146891847384E-6</v>
      </c>
      <c r="P8" s="1">
        <v>-4.4127202755782602E-6</v>
      </c>
      <c r="AE8">
        <v>100</v>
      </c>
      <c r="AJ8">
        <v>1</v>
      </c>
    </row>
    <row r="9" spans="1:36" x14ac:dyDescent="0.2">
      <c r="A9">
        <v>8</v>
      </c>
      <c r="B9">
        <v>744</v>
      </c>
      <c r="C9">
        <v>275</v>
      </c>
      <c r="D9">
        <v>0.29283832276459099</v>
      </c>
      <c r="E9">
        <v>4.3904097834250999</v>
      </c>
      <c r="F9">
        <v>0.56266196465644502</v>
      </c>
      <c r="G9">
        <v>-94.643774202213251</v>
      </c>
      <c r="H9">
        <v>-56.110664624272601</v>
      </c>
      <c r="I9">
        <v>37.8858792115428</v>
      </c>
      <c r="J9">
        <v>17.0431269015676</v>
      </c>
      <c r="K9">
        <v>7.8029261958480403</v>
      </c>
      <c r="L9">
        <v>1.2075177085175582E-3</v>
      </c>
      <c r="M9">
        <v>1.8960103036114452E-4</v>
      </c>
      <c r="N9" s="1">
        <v>6.7977801983896698E-6</v>
      </c>
      <c r="O9" s="1">
        <v>1.19608537478519E-6</v>
      </c>
      <c r="P9" s="1">
        <v>-4.6159228337927697E-6</v>
      </c>
      <c r="AE9">
        <v>100</v>
      </c>
      <c r="AJ9">
        <v>1</v>
      </c>
    </row>
    <row r="10" spans="1:36" x14ac:dyDescent="0.2">
      <c r="A10">
        <v>9</v>
      </c>
      <c r="B10">
        <v>743</v>
      </c>
      <c r="C10">
        <v>275</v>
      </c>
      <c r="D10">
        <v>0.29207351276878402</v>
      </c>
      <c r="E10">
        <v>4.5949691580831802</v>
      </c>
      <c r="F10">
        <v>0.563341964088373</v>
      </c>
      <c r="G10">
        <v>-99.013804855401048</v>
      </c>
      <c r="H10">
        <v>-58.742831520164074</v>
      </c>
      <c r="I10">
        <v>39.633521486741699</v>
      </c>
      <c r="J10">
        <v>17.844574628921201</v>
      </c>
      <c r="K10">
        <v>8.1566250181965092</v>
      </c>
      <c r="L10">
        <v>1.2081017206166229E-3</v>
      </c>
      <c r="M10">
        <v>1.8923807842155033E-4</v>
      </c>
      <c r="N10" s="1">
        <v>7.1648343594019199E-6</v>
      </c>
      <c r="O10" s="1">
        <v>1.2472494621704399E-6</v>
      </c>
      <c r="P10" s="1">
        <v>-4.8279516107045101E-6</v>
      </c>
      <c r="AE10">
        <v>100</v>
      </c>
      <c r="AJ10">
        <v>1</v>
      </c>
    </row>
    <row r="11" spans="1:36" x14ac:dyDescent="0.2">
      <c r="A11">
        <v>10</v>
      </c>
      <c r="B11">
        <v>742</v>
      </c>
      <c r="C11">
        <v>275</v>
      </c>
      <c r="D11">
        <v>0.291307195980888</v>
      </c>
      <c r="E11">
        <v>4.8111308395009402</v>
      </c>
      <c r="F11">
        <v>0.56402311308061603</v>
      </c>
      <c r="G11">
        <v>-103.63023426277113</v>
      </c>
      <c r="H11">
        <v>-61.524965430719561</v>
      </c>
      <c r="I11">
        <v>41.479606025272297</v>
      </c>
      <c r="J11">
        <v>18.691739113424902</v>
      </c>
      <c r="K11">
        <v>8.5300242630540701</v>
      </c>
      <c r="L11">
        <v>1.2086799033924221E-3</v>
      </c>
      <c r="M11">
        <v>1.8887445842331584E-4</v>
      </c>
      <c r="N11" s="1">
        <v>7.5546174494047697E-6</v>
      </c>
      <c r="O11" s="1">
        <v>1.3011440379726601E-6</v>
      </c>
      <c r="P11" s="1">
        <v>-5.0518328415491997E-6</v>
      </c>
      <c r="AE11">
        <v>100</v>
      </c>
      <c r="AJ11">
        <v>1</v>
      </c>
    </row>
    <row r="12" spans="1:36" x14ac:dyDescent="0.2">
      <c r="A12">
        <v>11</v>
      </c>
      <c r="B12">
        <v>741</v>
      </c>
      <c r="C12">
        <v>275</v>
      </c>
      <c r="D12">
        <v>0.29053936794360102</v>
      </c>
      <c r="E12">
        <v>5.0440164433141197</v>
      </c>
      <c r="F12">
        <v>0.56470541051391998</v>
      </c>
      <c r="G12">
        <v>-108.60303860372247</v>
      </c>
      <c r="H12">
        <v>-64.522717940668329</v>
      </c>
      <c r="I12">
        <v>43.468133075975999</v>
      </c>
      <c r="J12">
        <v>19.604579903637902</v>
      </c>
      <c r="K12">
        <v>8.9321199149194097</v>
      </c>
      <c r="L12">
        <v>1.2092522233491973E-3</v>
      </c>
      <c r="M12">
        <v>1.8851017478340305E-4</v>
      </c>
      <c r="N12" s="1">
        <v>7.9756106658391907E-6</v>
      </c>
      <c r="O12" s="1">
        <v>1.3591145214418201E-6</v>
      </c>
      <c r="P12" s="1">
        <v>-5.2929091941748004E-6</v>
      </c>
      <c r="AE12">
        <v>100</v>
      </c>
      <c r="AJ12">
        <v>1</v>
      </c>
    </row>
    <row r="13" spans="1:36" x14ac:dyDescent="0.2">
      <c r="A13">
        <v>12</v>
      </c>
      <c r="B13">
        <v>740</v>
      </c>
      <c r="C13">
        <v>275</v>
      </c>
      <c r="D13">
        <v>0.28977002418201098</v>
      </c>
      <c r="E13">
        <v>5.3039442675499702</v>
      </c>
      <c r="F13">
        <v>0.56538885523881099</v>
      </c>
      <c r="G13">
        <v>-114.1538631456998</v>
      </c>
      <c r="H13">
        <v>-67.868316196496565</v>
      </c>
      <c r="I13">
        <v>45.687787782473002</v>
      </c>
      <c r="J13">
        <v>20.623295157704501</v>
      </c>
      <c r="K13">
        <v>9.3810555662786701</v>
      </c>
      <c r="L13">
        <v>1.2098186471282172E-3</v>
      </c>
      <c r="M13">
        <v>1.8814523196739467E-4</v>
      </c>
      <c r="N13" s="1">
        <v>8.4447938901218708E-6</v>
      </c>
      <c r="O13" s="1">
        <v>1.4238810639172999E-6</v>
      </c>
      <c r="P13" s="1">
        <v>-5.5619576132876098E-6</v>
      </c>
      <c r="AE13">
        <v>100</v>
      </c>
      <c r="AJ13">
        <v>1</v>
      </c>
    </row>
    <row r="14" spans="1:36" x14ac:dyDescent="0.2">
      <c r="A14">
        <v>13</v>
      </c>
      <c r="B14">
        <v>739</v>
      </c>
      <c r="C14">
        <v>275</v>
      </c>
      <c r="D14">
        <v>0.28899916020352701</v>
      </c>
      <c r="E14">
        <v>6.3672474883605803</v>
      </c>
      <c r="F14">
        <v>0.56607344607547905</v>
      </c>
      <c r="G14">
        <v>-136.98391633355726</v>
      </c>
      <c r="H14">
        <v>-81.498915623291225</v>
      </c>
      <c r="I14">
        <v>54.822550452277397</v>
      </c>
      <c r="J14">
        <v>24.7678577497426</v>
      </c>
      <c r="K14">
        <v>11.248094275582</v>
      </c>
      <c r="L14">
        <v>1.2103791415105356E-3</v>
      </c>
      <c r="M14">
        <v>1.8777963448927699E-4</v>
      </c>
      <c r="N14" s="1">
        <v>1.0207634527937499E-5</v>
      </c>
      <c r="O14" s="1">
        <v>1.70300347867855E-6</v>
      </c>
      <c r="P14" s="1">
        <v>-6.6724577682204397E-6</v>
      </c>
      <c r="AE14">
        <v>100</v>
      </c>
      <c r="AJ14">
        <v>1</v>
      </c>
    </row>
    <row r="15" spans="1:36" x14ac:dyDescent="0.2">
      <c r="A15">
        <v>14</v>
      </c>
      <c r="B15">
        <v>738</v>
      </c>
      <c r="C15">
        <v>275</v>
      </c>
      <c r="D15">
        <v>0.28822677149780002</v>
      </c>
      <c r="E15">
        <v>8.8430737284745398</v>
      </c>
      <c r="F15">
        <v>0.56675918181370799</v>
      </c>
      <c r="G15">
        <v>-190.17231266076493</v>
      </c>
      <c r="H15">
        <v>-113.22317683645163</v>
      </c>
      <c r="I15">
        <v>76.105618725340094</v>
      </c>
      <c r="J15">
        <v>34.41257043241</v>
      </c>
      <c r="K15">
        <v>15.6028768694588</v>
      </c>
      <c r="L15">
        <v>1.2109336734201098E-3</v>
      </c>
      <c r="M15">
        <v>1.8741338691124579E-4</v>
      </c>
      <c r="N15" s="1">
        <v>1.4273834381938999E-5</v>
      </c>
      <c r="O15" s="1">
        <v>2.35640489629673E-6</v>
      </c>
      <c r="P15" s="1">
        <v>-9.2605613787263005E-6</v>
      </c>
      <c r="AE15">
        <v>100</v>
      </c>
      <c r="AJ15">
        <v>1</v>
      </c>
    </row>
    <row r="16" spans="1:36" x14ac:dyDescent="0.2">
      <c r="A16">
        <v>15</v>
      </c>
      <c r="B16">
        <v>737</v>
      </c>
      <c r="C16">
        <v>275</v>
      </c>
      <c r="D16">
        <v>0.28745285353660599</v>
      </c>
      <c r="E16">
        <v>9.5325914952426807</v>
      </c>
      <c r="F16">
        <v>0.56744606121277097</v>
      </c>
      <c r="G16">
        <v>-204.91852770369101</v>
      </c>
      <c r="H16">
        <v>-122.08858972253836</v>
      </c>
      <c r="I16">
        <v>82.003062035711906</v>
      </c>
      <c r="J16">
        <v>37.110904803059299</v>
      </c>
      <c r="K16">
        <v>16.799114747345602</v>
      </c>
      <c r="L16">
        <v>1.2114822099271985E-3</v>
      </c>
      <c r="M16">
        <v>1.8704649384357146E-4</v>
      </c>
      <c r="N16" s="1">
        <v>1.5491493137797E-5</v>
      </c>
      <c r="O16" s="1">
        <v>2.5306630823401099E-6</v>
      </c>
      <c r="P16" s="1">
        <v>-9.9756127484214606E-6</v>
      </c>
      <c r="AE16">
        <v>100</v>
      </c>
      <c r="AJ16">
        <v>1</v>
      </c>
    </row>
    <row r="17" spans="1:36" x14ac:dyDescent="0.2">
      <c r="A17">
        <v>16</v>
      </c>
      <c r="B17">
        <v>736</v>
      </c>
      <c r="C17">
        <v>275</v>
      </c>
      <c r="D17">
        <v>0.28667740177377199</v>
      </c>
      <c r="E17">
        <v>9.8802287108846301</v>
      </c>
      <c r="F17">
        <v>0.56813408300133506</v>
      </c>
      <c r="G17">
        <v>-212.30657942143091</v>
      </c>
      <c r="H17">
        <v>-126.57942267985439</v>
      </c>
      <c r="I17">
        <v>84.955468280394797</v>
      </c>
      <c r="J17">
        <v>38.479886887092597</v>
      </c>
      <c r="K17">
        <v>17.390663588935499</v>
      </c>
      <c r="L17">
        <v>1.2120247182506815E-3</v>
      </c>
      <c r="M17">
        <v>1.8667895994427743E-4</v>
      </c>
      <c r="N17" s="1">
        <v>1.6164979620065202E-5</v>
      </c>
      <c r="O17" s="1">
        <v>2.6131288116560999E-6</v>
      </c>
      <c r="P17" s="1">
        <v>-1.0332006523164499E-5</v>
      </c>
      <c r="AE17">
        <v>100</v>
      </c>
      <c r="AJ17">
        <v>1</v>
      </c>
    </row>
    <row r="18" spans="1:36" x14ac:dyDescent="0.2">
      <c r="A18">
        <v>17</v>
      </c>
      <c r="B18">
        <v>735</v>
      </c>
      <c r="C18">
        <v>275</v>
      </c>
      <c r="D18">
        <v>0.285900411645091</v>
      </c>
      <c r="E18">
        <v>10.034661097774199</v>
      </c>
      <c r="F18">
        <v>0.56882324587739896</v>
      </c>
      <c r="G18">
        <v>-215.53876207824268</v>
      </c>
      <c r="H18">
        <v>-128.5970048393342</v>
      </c>
      <c r="I18">
        <v>86.244606148080507</v>
      </c>
      <c r="J18">
        <v>39.097164045751299</v>
      </c>
      <c r="K18">
        <v>17.641088282698199</v>
      </c>
      <c r="L18">
        <v>1.2125611657616518E-3</v>
      </c>
      <c r="M18">
        <v>1.8631078991901111E-4</v>
      </c>
      <c r="N18" s="1">
        <v>1.6527905863427299E-5</v>
      </c>
      <c r="O18" s="1">
        <v>2.6439959547092202E-6</v>
      </c>
      <c r="P18" s="1">
        <v>-1.04858582262725E-5</v>
      </c>
      <c r="AE18">
        <v>100</v>
      </c>
      <c r="AJ18">
        <v>1</v>
      </c>
    </row>
    <row r="19" spans="1:36" x14ac:dyDescent="0.2">
      <c r="A19">
        <v>18</v>
      </c>
      <c r="B19">
        <v>755</v>
      </c>
      <c r="C19">
        <v>250</v>
      </c>
      <c r="D19">
        <v>0.32790011185138401</v>
      </c>
      <c r="E19">
        <v>4.14072160129263</v>
      </c>
      <c r="F19">
        <v>0.52685606622883996</v>
      </c>
      <c r="G19">
        <v>-89.84653339893157</v>
      </c>
      <c r="H19">
        <v>-52.689028617254998</v>
      </c>
      <c r="I19">
        <v>36.142463995376403</v>
      </c>
      <c r="J19">
        <v>16.158256390410699</v>
      </c>
      <c r="K19">
        <v>7.8593032646113699</v>
      </c>
      <c r="L19">
        <v>1.2968387578846607E-3</v>
      </c>
      <c r="M19">
        <v>2.2813534073467382E-4</v>
      </c>
      <c r="N19" s="1">
        <v>6.3630785637871998E-6</v>
      </c>
      <c r="O19" s="1">
        <v>1.66087181577369E-6</v>
      </c>
      <c r="P19" s="1">
        <v>-5.5910302566393701E-6</v>
      </c>
      <c r="AE19">
        <v>100</v>
      </c>
      <c r="AJ19">
        <v>1</v>
      </c>
    </row>
    <row r="20" spans="1:36" x14ac:dyDescent="0.2">
      <c r="A20">
        <v>19</v>
      </c>
      <c r="B20">
        <v>754</v>
      </c>
      <c r="C20">
        <v>250</v>
      </c>
      <c r="D20">
        <v>0.32717762741566497</v>
      </c>
      <c r="E20">
        <v>4.1509821056487199</v>
      </c>
      <c r="F20">
        <v>0.52753998630330401</v>
      </c>
      <c r="G20">
        <v>-90.03294454520011</v>
      </c>
      <c r="H20">
        <v>-52.835791722137287</v>
      </c>
      <c r="I20">
        <v>36.216256895218002</v>
      </c>
      <c r="J20">
        <v>16.206272064737501</v>
      </c>
      <c r="K20">
        <v>7.8685639258104603</v>
      </c>
      <c r="L20">
        <v>1.297707704638724E-3</v>
      </c>
      <c r="M20">
        <v>2.2771925480444128E-4</v>
      </c>
      <c r="N20" s="1">
        <v>6.4390615000835602E-6</v>
      </c>
      <c r="O20" s="1">
        <v>1.65928296609107E-6</v>
      </c>
      <c r="P20" s="1">
        <v>-5.6035890214010099E-6</v>
      </c>
      <c r="AE20">
        <v>100</v>
      </c>
      <c r="AJ20">
        <v>1</v>
      </c>
    </row>
    <row r="21" spans="1:36" x14ac:dyDescent="0.2">
      <c r="A21">
        <v>20</v>
      </c>
      <c r="B21">
        <v>753</v>
      </c>
      <c r="C21">
        <v>250</v>
      </c>
      <c r="D21">
        <v>0.32645373483409301</v>
      </c>
      <c r="E21">
        <v>4.1996867006604699</v>
      </c>
      <c r="F21">
        <v>0.528225251476656</v>
      </c>
      <c r="G21">
        <v>-91.052692211881251</v>
      </c>
      <c r="H21">
        <v>-53.472128801969006</v>
      </c>
      <c r="I21">
        <v>36.625217296236102</v>
      </c>
      <c r="J21">
        <v>16.4044825558912</v>
      </c>
      <c r="K21">
        <v>7.9505602750346096</v>
      </c>
      <c r="L21">
        <v>1.2985701764441143E-3</v>
      </c>
      <c r="M21">
        <v>2.2730207043318771E-4</v>
      </c>
      <c r="N21" s="1">
        <v>6.5756489502497003E-6</v>
      </c>
      <c r="O21" s="1">
        <v>1.67297441361525E-6</v>
      </c>
      <c r="P21" s="1">
        <v>-5.6679533852811899E-6</v>
      </c>
      <c r="AE21">
        <v>100</v>
      </c>
      <c r="AJ21">
        <v>1</v>
      </c>
    </row>
    <row r="22" spans="1:36" x14ac:dyDescent="0.2">
      <c r="A22">
        <v>21</v>
      </c>
      <c r="B22">
        <v>752</v>
      </c>
      <c r="C22">
        <v>250</v>
      </c>
      <c r="D22">
        <v>0.32572842998585799</v>
      </c>
      <c r="E22">
        <v>4.2914930383092198</v>
      </c>
      <c r="F22">
        <v>0.52891186124509804</v>
      </c>
      <c r="G22">
        <v>-93.005712102220201</v>
      </c>
      <c r="H22">
        <v>-54.657811843965625</v>
      </c>
      <c r="I22">
        <v>37.409507012728803</v>
      </c>
      <c r="J22">
        <v>16.7713107268649</v>
      </c>
      <c r="K22">
        <v>8.1138150848172099</v>
      </c>
      <c r="L22">
        <v>1.2994261217443425E-3</v>
      </c>
      <c r="M22">
        <v>2.2688379187760327E-4</v>
      </c>
      <c r="N22" s="1">
        <v>6.7818784318548998E-6</v>
      </c>
      <c r="O22" s="1">
        <v>1.70363639051313E-6</v>
      </c>
      <c r="P22" s="1">
        <v>-5.7903667933175203E-6</v>
      </c>
      <c r="AE22">
        <v>100</v>
      </c>
      <c r="AJ22">
        <v>1</v>
      </c>
    </row>
    <row r="23" spans="1:36" x14ac:dyDescent="0.2">
      <c r="A23">
        <v>22</v>
      </c>
      <c r="B23">
        <v>751</v>
      </c>
      <c r="C23">
        <v>250</v>
      </c>
      <c r="D23">
        <v>0.32500170873407402</v>
      </c>
      <c r="E23">
        <v>4.4631703753233802</v>
      </c>
      <c r="F23">
        <v>0.52959981506698395</v>
      </c>
      <c r="G23">
        <v>-96.687424821447877</v>
      </c>
      <c r="H23">
        <v>-56.861795175752484</v>
      </c>
      <c r="I23">
        <v>38.889014056392298</v>
      </c>
      <c r="J23">
        <v>17.450769126884801</v>
      </c>
      <c r="K23">
        <v>8.4274394521057001</v>
      </c>
      <c r="L23">
        <v>1.3002754890942482E-3</v>
      </c>
      <c r="M23">
        <v>2.2646442348167082E-4</v>
      </c>
      <c r="N23" s="1">
        <v>7.1182796471351404E-6</v>
      </c>
      <c r="O23" s="1">
        <v>1.76563652659644E-6</v>
      </c>
      <c r="P23" s="1">
        <v>-6.0203772168030096E-6</v>
      </c>
      <c r="AE23">
        <v>100</v>
      </c>
      <c r="AJ23">
        <v>1</v>
      </c>
    </row>
    <row r="24" spans="1:36" x14ac:dyDescent="0.2">
      <c r="A24">
        <v>23</v>
      </c>
      <c r="B24">
        <v>750</v>
      </c>
      <c r="C24">
        <v>250</v>
      </c>
      <c r="D24">
        <v>0.324273566925672</v>
      </c>
      <c r="E24">
        <v>4.6392248702079604</v>
      </c>
      <c r="F24">
        <v>0.53028911236263798</v>
      </c>
      <c r="G24">
        <v>-100.46094879319128</v>
      </c>
      <c r="H24">
        <v>-59.122912632171882</v>
      </c>
      <c r="I24">
        <v>40.405308127225801</v>
      </c>
      <c r="J24">
        <v>18.147992985847299</v>
      </c>
      <c r="K24">
        <v>8.7484822185740505</v>
      </c>
      <c r="L24">
        <v>1.3011182271658577E-3</v>
      </c>
      <c r="M24">
        <v>2.2604396967675726E-4</v>
      </c>
      <c r="N24" s="1">
        <v>7.46684958638765E-6</v>
      </c>
      <c r="O24" s="1">
        <v>1.82888262857162E-6</v>
      </c>
      <c r="P24" s="1">
        <v>-6.2560828478081603E-6</v>
      </c>
      <c r="AE24">
        <v>100</v>
      </c>
      <c r="AJ24">
        <v>1</v>
      </c>
    </row>
    <row r="25" spans="1:36" x14ac:dyDescent="0.2">
      <c r="A25">
        <v>24</v>
      </c>
      <c r="B25">
        <v>749</v>
      </c>
      <c r="C25">
        <v>250</v>
      </c>
      <c r="D25">
        <v>0.32354400039133302</v>
      </c>
      <c r="E25">
        <v>4.8205214627987303</v>
      </c>
      <c r="F25">
        <v>0.53097975251415996</v>
      </c>
      <c r="G25">
        <v>-104.34489413455496</v>
      </c>
      <c r="H25">
        <v>-61.452242859008614</v>
      </c>
      <c r="I25">
        <v>41.965865943297203</v>
      </c>
      <c r="J25">
        <v>18.8663906251805</v>
      </c>
      <c r="K25">
        <v>9.07854101775788</v>
      </c>
      <c r="L25">
        <v>1.3019542847538942E-3</v>
      </c>
      <c r="M25">
        <v>2.2562243498164988E-4</v>
      </c>
      <c r="N25" s="1">
        <v>7.8291944163753893E-6</v>
      </c>
      <c r="O25" s="1">
        <v>1.8936957671145701E-6</v>
      </c>
      <c r="P25" s="1">
        <v>-6.4986348947606903E-6</v>
      </c>
      <c r="AE25">
        <v>100</v>
      </c>
      <c r="AJ25">
        <v>1</v>
      </c>
    </row>
    <row r="26" spans="1:36" x14ac:dyDescent="0.2">
      <c r="A26">
        <v>25</v>
      </c>
      <c r="B26">
        <v>748</v>
      </c>
      <c r="C26">
        <v>250</v>
      </c>
      <c r="D26">
        <v>0.32281300494540499</v>
      </c>
      <c r="E26">
        <v>5.0083206780760801</v>
      </c>
      <c r="F26">
        <v>0.53167173486526598</v>
      </c>
      <c r="G26">
        <v>-108.36640033784752</v>
      </c>
      <c r="H26">
        <v>-63.865922580948819</v>
      </c>
      <c r="I26">
        <v>43.581593130819897</v>
      </c>
      <c r="J26">
        <v>19.610925802930002</v>
      </c>
      <c r="K26">
        <v>9.4199490957428207</v>
      </c>
      <c r="L26">
        <v>1.3027836107818854E-3</v>
      </c>
      <c r="M26">
        <v>2.2519982400264786E-4</v>
      </c>
      <c r="N26" s="1">
        <v>8.2076193636075996E-6</v>
      </c>
      <c r="O26" s="1">
        <v>1.9605470699603499E-6</v>
      </c>
      <c r="P26" s="1">
        <v>-6.7497157223456403E-6</v>
      </c>
      <c r="AE26">
        <v>100</v>
      </c>
      <c r="AJ26">
        <v>1</v>
      </c>
    </row>
    <row r="27" spans="1:36" x14ac:dyDescent="0.2">
      <c r="A27">
        <v>26</v>
      </c>
      <c r="B27">
        <v>747</v>
      </c>
      <c r="C27">
        <v>250</v>
      </c>
      <c r="D27">
        <v>0.32208057638582899</v>
      </c>
      <c r="E27">
        <v>5.2045717943798104</v>
      </c>
      <c r="F27">
        <v>0.53236505872108797</v>
      </c>
      <c r="G27">
        <v>-112.56745990627977</v>
      </c>
      <c r="H27">
        <v>-66.388893983221678</v>
      </c>
      <c r="I27">
        <v>45.269366562403697</v>
      </c>
      <c r="J27">
        <v>20.3892699479252</v>
      </c>
      <c r="K27">
        <v>9.7763211711956899</v>
      </c>
      <c r="L27">
        <v>1.303606154307736E-3</v>
      </c>
      <c r="M27">
        <v>2.2477614143356754E-4</v>
      </c>
      <c r="N27" s="1">
        <v>8.6056426560876696E-6</v>
      </c>
      <c r="O27" s="1">
        <v>2.0301693326841398E-6</v>
      </c>
      <c r="P27" s="1">
        <v>-7.0119328051773298E-6</v>
      </c>
      <c r="AE27">
        <v>100</v>
      </c>
      <c r="AJ27">
        <v>1</v>
      </c>
    </row>
    <row r="28" spans="1:36" x14ac:dyDescent="0.2">
      <c r="A28">
        <v>27</v>
      </c>
      <c r="B28">
        <v>746</v>
      </c>
      <c r="C28">
        <v>250</v>
      </c>
      <c r="D28">
        <v>0.32134671049404001</v>
      </c>
      <c r="E28">
        <v>5.4125021290088497</v>
      </c>
      <c r="F28">
        <v>0.53305972334802598</v>
      </c>
      <c r="G28">
        <v>-117.01762873741872</v>
      </c>
      <c r="H28">
        <v>-69.062437395365805</v>
      </c>
      <c r="I28">
        <v>47.057144393010603</v>
      </c>
      <c r="J28">
        <v>21.214118331835</v>
      </c>
      <c r="K28">
        <v>10.1536505047017</v>
      </c>
      <c r="L28">
        <v>1.3044218645294641E-3</v>
      </c>
      <c r="M28">
        <v>2.2435139205577133E-4</v>
      </c>
      <c r="N28" s="1">
        <v>9.0290294205912204E-6</v>
      </c>
      <c r="O28" s="1">
        <v>2.1037812839347098E-6</v>
      </c>
      <c r="P28" s="1">
        <v>-7.2896105872149101E-6</v>
      </c>
      <c r="AE28">
        <v>100</v>
      </c>
      <c r="AJ28">
        <v>1</v>
      </c>
    </row>
    <row r="29" spans="1:36" x14ac:dyDescent="0.2">
      <c r="A29">
        <v>28</v>
      </c>
      <c r="B29">
        <v>745</v>
      </c>
      <c r="C29">
        <v>250</v>
      </c>
      <c r="D29">
        <v>0.32061140303491598</v>
      </c>
      <c r="E29">
        <v>5.6379555335786202</v>
      </c>
      <c r="F29">
        <v>0.53375572797354398</v>
      </c>
      <c r="G29">
        <v>-121.84289712355503</v>
      </c>
      <c r="H29">
        <v>-71.961280558815986</v>
      </c>
      <c r="I29">
        <v>48.995573293822602</v>
      </c>
      <c r="J29">
        <v>22.108450820379801</v>
      </c>
      <c r="K29">
        <v>10.562800993225199</v>
      </c>
      <c r="L29">
        <v>1.3052306907911382E-3</v>
      </c>
      <c r="M29">
        <v>2.2392558073817511E-4</v>
      </c>
      <c r="N29" s="1">
        <v>9.4881386851964899E-6</v>
      </c>
      <c r="O29" s="1">
        <v>2.1835971085871601E-6</v>
      </c>
      <c r="P29" s="1">
        <v>-7.5905891694013697E-6</v>
      </c>
      <c r="AE29">
        <v>100</v>
      </c>
      <c r="AJ29">
        <v>1</v>
      </c>
    </row>
    <row r="30" spans="1:36" x14ac:dyDescent="0.2">
      <c r="A30">
        <v>29</v>
      </c>
      <c r="B30">
        <v>744</v>
      </c>
      <c r="C30">
        <v>250</v>
      </c>
      <c r="D30">
        <v>0.31987464975667701</v>
      </c>
      <c r="E30">
        <v>5.8930172765427997</v>
      </c>
      <c r="F30">
        <v>0.53445307178602697</v>
      </c>
      <c r="G30">
        <v>-127.30388271976925</v>
      </c>
      <c r="H30">
        <v>-75.239931201895061</v>
      </c>
      <c r="I30">
        <v>51.1894252216807</v>
      </c>
      <c r="J30">
        <v>23.119777802524101</v>
      </c>
      <c r="K30">
        <v>11.026257659722299</v>
      </c>
      <c r="L30">
        <v>1.3060325825887276E-3</v>
      </c>
      <c r="M30">
        <v>2.2349871243725612E-4</v>
      </c>
      <c r="N30" s="1">
        <v>1.00042706308627E-5</v>
      </c>
      <c r="O30" s="1">
        <v>2.2742071590376299E-6</v>
      </c>
      <c r="P30" s="1">
        <v>-7.9310958279623298E-6</v>
      </c>
      <c r="AE30">
        <v>100</v>
      </c>
      <c r="AJ30">
        <v>1</v>
      </c>
    </row>
    <row r="31" spans="1:36" x14ac:dyDescent="0.2">
      <c r="A31">
        <v>30</v>
      </c>
      <c r="B31">
        <v>743</v>
      </c>
      <c r="C31">
        <v>250</v>
      </c>
      <c r="D31">
        <v>0.31913644639078897</v>
      </c>
      <c r="E31">
        <v>6.8151103207264097</v>
      </c>
      <c r="F31">
        <v>0.53515175393459302</v>
      </c>
      <c r="G31">
        <v>-147.16420811379174</v>
      </c>
      <c r="H31">
        <v>-87.039628313680979</v>
      </c>
      <c r="I31">
        <v>59.1728384832278</v>
      </c>
      <c r="J31">
        <v>26.750236044860198</v>
      </c>
      <c r="K31">
        <v>12.7349116780795</v>
      </c>
      <c r="L31">
        <v>1.30682748957556E-3</v>
      </c>
      <c r="M31">
        <v>2.2307079219698701E-4</v>
      </c>
      <c r="N31" s="1">
        <v>1.1670276214902999E-5</v>
      </c>
      <c r="O31" s="1">
        <v>2.62059377692966E-6</v>
      </c>
      <c r="P31" s="1">
        <v>-9.1686212822952E-6</v>
      </c>
      <c r="AE31">
        <v>100</v>
      </c>
      <c r="AJ31">
        <v>1</v>
      </c>
    </row>
    <row r="32" spans="1:36" x14ac:dyDescent="0.2">
      <c r="A32">
        <v>31</v>
      </c>
      <c r="B32">
        <v>742</v>
      </c>
      <c r="C32">
        <v>250</v>
      </c>
      <c r="D32">
        <v>0.318396788651924</v>
      </c>
      <c r="E32">
        <v>9.1545422993634897</v>
      </c>
      <c r="F32">
        <v>0.53585177352894597</v>
      </c>
      <c r="G32">
        <v>-197.6019939600213</v>
      </c>
      <c r="H32">
        <v>-116.9537786672638</v>
      </c>
      <c r="I32">
        <v>79.449789769013904</v>
      </c>
      <c r="J32">
        <v>35.950062878884701</v>
      </c>
      <c r="K32">
        <v>17.084094429835702</v>
      </c>
      <c r="L32">
        <v>1.3076153615686314E-3</v>
      </c>
      <c r="M32">
        <v>2.2264182514884903E-4</v>
      </c>
      <c r="N32" s="1">
        <v>1.5811673183701001E-5</v>
      </c>
      <c r="O32" s="1">
        <v>3.50744603491262E-6</v>
      </c>
      <c r="P32" s="1">
        <v>-1.23111160465665E-5</v>
      </c>
      <c r="AE32">
        <v>100</v>
      </c>
      <c r="AJ32">
        <v>1</v>
      </c>
    </row>
    <row r="33" spans="1:36" x14ac:dyDescent="0.2">
      <c r="A33">
        <v>32</v>
      </c>
      <c r="B33">
        <v>741</v>
      </c>
      <c r="C33">
        <v>250</v>
      </c>
      <c r="D33">
        <v>0.31765567223783697</v>
      </c>
      <c r="E33">
        <v>9.7626910237012101</v>
      </c>
      <c r="F33">
        <v>0.53655312963919899</v>
      </c>
      <c r="G33">
        <v>-210.64425493274317</v>
      </c>
      <c r="H33">
        <v>-124.76152506568462</v>
      </c>
      <c r="I33">
        <v>84.689953831642399</v>
      </c>
      <c r="J33">
        <v>38.356621848797602</v>
      </c>
      <c r="K33">
        <v>18.195199104077599</v>
      </c>
      <c r="L33">
        <v>1.3083961485540509E-3</v>
      </c>
      <c r="M33">
        <v>2.2221181651174395E-4</v>
      </c>
      <c r="N33" s="1">
        <v>1.7006554561006701E-5</v>
      </c>
      <c r="O33" s="1">
        <v>3.7268719491335602E-6</v>
      </c>
      <c r="P33" s="1">
        <v>-1.3123628604985501E-5</v>
      </c>
      <c r="AE33">
        <v>100</v>
      </c>
      <c r="AJ33">
        <v>1</v>
      </c>
    </row>
    <row r="34" spans="1:36" x14ac:dyDescent="0.2">
      <c r="A34">
        <v>33</v>
      </c>
      <c r="B34">
        <v>740</v>
      </c>
      <c r="C34">
        <v>250</v>
      </c>
      <c r="D34">
        <v>0.31691309282929903</v>
      </c>
      <c r="E34">
        <v>10.098111011950399</v>
      </c>
      <c r="F34">
        <v>0.53725582129572502</v>
      </c>
      <c r="G34">
        <v>-217.7938488147251</v>
      </c>
      <c r="H34">
        <v>-129.08768176558209</v>
      </c>
      <c r="I34">
        <v>87.560524905847203</v>
      </c>
      <c r="J34">
        <v>39.693393091127703</v>
      </c>
      <c r="K34">
        <v>18.795721910646499</v>
      </c>
      <c r="L34">
        <v>1.3091698006928352E-3</v>
      </c>
      <c r="M34">
        <v>2.2178077159190821E-4</v>
      </c>
      <c r="N34" s="1">
        <v>1.77404815812606E-5</v>
      </c>
      <c r="O34" s="1">
        <v>3.8408613176447802E-6</v>
      </c>
      <c r="P34" s="1">
        <v>-1.3568818836906999E-5</v>
      </c>
      <c r="AE34">
        <v>100</v>
      </c>
      <c r="AJ34">
        <v>1</v>
      </c>
    </row>
    <row r="35" spans="1:36" x14ac:dyDescent="0.2">
      <c r="A35">
        <v>34</v>
      </c>
      <c r="B35">
        <v>739</v>
      </c>
      <c r="C35">
        <v>250</v>
      </c>
      <c r="D35">
        <v>0.31616904609000601</v>
      </c>
      <c r="E35">
        <v>10.281779907270399</v>
      </c>
      <c r="F35">
        <v>0.53795984748899806</v>
      </c>
      <c r="G35">
        <v>-221.66604620258101</v>
      </c>
      <c r="H35">
        <v>-131.47601041619765</v>
      </c>
      <c r="I35">
        <v>89.113194340977003</v>
      </c>
      <c r="J35">
        <v>40.434599825584797</v>
      </c>
      <c r="K35">
        <v>19.112541494057702</v>
      </c>
      <c r="L35">
        <v>1.3099362683270542E-3</v>
      </c>
      <c r="M35">
        <v>2.213486957828817E-4</v>
      </c>
      <c r="N35" s="1">
        <v>1.82156692667513E-5</v>
      </c>
      <c r="O35" s="1">
        <v>3.8963980737432297E-6</v>
      </c>
      <c r="P35" s="1">
        <v>-1.3809616221682699E-5</v>
      </c>
      <c r="AE35">
        <v>100</v>
      </c>
      <c r="AJ35">
        <v>1</v>
      </c>
    </row>
    <row r="36" spans="1:36" x14ac:dyDescent="0.2">
      <c r="A36">
        <v>35</v>
      </c>
      <c r="B36">
        <v>763</v>
      </c>
      <c r="C36">
        <v>225</v>
      </c>
      <c r="D36">
        <v>0.360170342131933</v>
      </c>
      <c r="E36">
        <v>4.57454651578223</v>
      </c>
      <c r="F36">
        <v>0.48937938642464501</v>
      </c>
      <c r="G36">
        <v>-99.805984709070088</v>
      </c>
      <c r="H36">
        <v>-57.978023870394949</v>
      </c>
      <c r="I36">
        <v>40.371161197800298</v>
      </c>
      <c r="J36">
        <v>17.948774115342299</v>
      </c>
      <c r="K36">
        <v>9.34764855790797</v>
      </c>
      <c r="L36">
        <v>1.3991225925674422E-3</v>
      </c>
      <c r="M36">
        <v>2.7853131249827383E-4</v>
      </c>
      <c r="N36" s="1">
        <v>6.37085311596666E-6</v>
      </c>
      <c r="O36" s="1">
        <v>2.7752368398413701E-6</v>
      </c>
      <c r="P36" s="1">
        <v>-8.0309687881042593E-6</v>
      </c>
      <c r="AE36">
        <v>100</v>
      </c>
      <c r="AJ36">
        <v>1</v>
      </c>
    </row>
    <row r="37" spans="1:36" x14ac:dyDescent="0.2">
      <c r="A37">
        <v>36</v>
      </c>
      <c r="B37">
        <v>762</v>
      </c>
      <c r="C37">
        <v>225</v>
      </c>
      <c r="D37">
        <v>0.35948461575617302</v>
      </c>
      <c r="E37">
        <v>4.59766263655471</v>
      </c>
      <c r="F37">
        <v>0.49006487950535499</v>
      </c>
      <c r="G37">
        <v>-100.26975834258188</v>
      </c>
      <c r="H37">
        <v>-58.289043545669834</v>
      </c>
      <c r="I37">
        <v>40.557741256630898</v>
      </c>
      <c r="J37">
        <v>18.050210022348001</v>
      </c>
      <c r="K37">
        <v>9.3817427627038796</v>
      </c>
      <c r="L37">
        <v>1.400395218574617E-3</v>
      </c>
      <c r="M37">
        <v>2.7806099651990983E-4</v>
      </c>
      <c r="N37" s="1">
        <v>6.4909093754804199E-6</v>
      </c>
      <c r="O37" s="1">
        <v>2.7805271528632999E-6</v>
      </c>
      <c r="P37" s="1">
        <v>-8.0737699891319694E-6</v>
      </c>
      <c r="AE37">
        <v>100</v>
      </c>
      <c r="AJ37">
        <v>1</v>
      </c>
    </row>
    <row r="38" spans="1:36" x14ac:dyDescent="0.2">
      <c r="A38">
        <v>37</v>
      </c>
      <c r="B38">
        <v>761</v>
      </c>
      <c r="C38">
        <v>225</v>
      </c>
      <c r="D38">
        <v>0.35879756321617101</v>
      </c>
      <c r="E38">
        <v>4.64073669113285</v>
      </c>
      <c r="F38">
        <v>0.49075195566205598</v>
      </c>
      <c r="G38">
        <v>-101.1682252493474</v>
      </c>
      <c r="H38">
        <v>-58.85335998589558</v>
      </c>
      <c r="I38">
        <v>40.920099577392399</v>
      </c>
      <c r="J38">
        <v>18.230145785926201</v>
      </c>
      <c r="K38">
        <v>9.4563794144685591</v>
      </c>
      <c r="L38">
        <v>1.4016610472918712E-3</v>
      </c>
      <c r="M38">
        <v>2.7758893737240962E-4</v>
      </c>
      <c r="N38" s="1">
        <v>6.6407454985272504E-6</v>
      </c>
      <c r="O38" s="1">
        <v>2.7977436616063102E-6</v>
      </c>
      <c r="P38" s="1">
        <v>-8.1515472717897895E-6</v>
      </c>
      <c r="AE38">
        <v>100</v>
      </c>
      <c r="AJ38">
        <v>1</v>
      </c>
    </row>
    <row r="39" spans="1:36" x14ac:dyDescent="0.2">
      <c r="A39">
        <v>38</v>
      </c>
      <c r="B39">
        <v>760</v>
      </c>
      <c r="C39">
        <v>225</v>
      </c>
      <c r="D39">
        <v>0.35810918066108399</v>
      </c>
      <c r="E39">
        <v>4.68396591672958</v>
      </c>
      <c r="F39">
        <v>0.49144061549942197</v>
      </c>
      <c r="G39">
        <v>-102.06933153169417</v>
      </c>
      <c r="H39">
        <v>-59.419994138249756</v>
      </c>
      <c r="I39">
        <v>41.283470789692103</v>
      </c>
      <c r="J39">
        <v>18.410883354646099</v>
      </c>
      <c r="K39">
        <v>9.5310924026284205</v>
      </c>
      <c r="L39">
        <v>1.4029199985897737E-3</v>
      </c>
      <c r="M39">
        <v>2.7711513706788111E-4</v>
      </c>
      <c r="N39" s="1">
        <v>6.79279679775232E-6</v>
      </c>
      <c r="O39" s="1">
        <v>2.8148713482080399E-6</v>
      </c>
      <c r="P39" s="1">
        <v>-8.2295316185418604E-6</v>
      </c>
      <c r="AE39">
        <v>100</v>
      </c>
      <c r="AJ39">
        <v>1</v>
      </c>
    </row>
    <row r="40" spans="1:36" x14ac:dyDescent="0.2">
      <c r="A40">
        <v>39</v>
      </c>
      <c r="B40">
        <v>759</v>
      </c>
      <c r="C40">
        <v>225</v>
      </c>
      <c r="D40">
        <v>0.35741946422516302</v>
      </c>
      <c r="E40">
        <v>4.7273177556049797</v>
      </c>
      <c r="F40">
        <v>0.49213085957542302</v>
      </c>
      <c r="G40">
        <v>-102.97236442050421</v>
      </c>
      <c r="H40">
        <v>-59.988534975052914</v>
      </c>
      <c r="I40">
        <v>41.647565476879898</v>
      </c>
      <c r="J40">
        <v>18.592295091307399</v>
      </c>
      <c r="K40">
        <v>9.6058145178771799</v>
      </c>
      <c r="L40">
        <v>1.4041719922708541E-3</v>
      </c>
      <c r="M40">
        <v>2.7663959775880412E-4</v>
      </c>
      <c r="N40" s="1">
        <v>6.9470293664227403E-6</v>
      </c>
      <c r="O40" s="1">
        <v>2.8318894223356202E-6</v>
      </c>
      <c r="P40" s="1">
        <v>-8.3076620134710692E-6</v>
      </c>
      <c r="AE40">
        <v>100</v>
      </c>
      <c r="AJ40">
        <v>1</v>
      </c>
    </row>
    <row r="41" spans="1:36" x14ac:dyDescent="0.2">
      <c r="A41">
        <v>40</v>
      </c>
      <c r="B41">
        <v>758</v>
      </c>
      <c r="C41">
        <v>225</v>
      </c>
      <c r="D41">
        <v>0.356728410027642</v>
      </c>
      <c r="E41">
        <v>4.7707594431895401</v>
      </c>
      <c r="F41">
        <v>0.49282268840091997</v>
      </c>
      <c r="G41">
        <v>-103.8766077949349</v>
      </c>
      <c r="H41">
        <v>-60.558568332248427</v>
      </c>
      <c r="I41">
        <v>42.012092890654102</v>
      </c>
      <c r="J41">
        <v>18.774252222505101</v>
      </c>
      <c r="K41">
        <v>9.6804785077355096</v>
      </c>
      <c r="L41">
        <v>1.4054169480793059E-3</v>
      </c>
      <c r="M41">
        <v>2.7616232173905726E-4</v>
      </c>
      <c r="N41" s="1">
        <v>7.10340628685846E-6</v>
      </c>
      <c r="O41" s="1">
        <v>2.8487772230826401E-6</v>
      </c>
      <c r="P41" s="1">
        <v>-8.3858769682933808E-6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225</v>
      </c>
      <c r="D42">
        <v>0.35603601417269398</v>
      </c>
      <c r="E42">
        <v>4.8142582294425003</v>
      </c>
      <c r="F42">
        <v>0.49351610243928701</v>
      </c>
      <c r="G42">
        <v>-104.78134700810904</v>
      </c>
      <c r="H42">
        <v>-61.129679715275806</v>
      </c>
      <c r="I42">
        <v>42.3767629054229</v>
      </c>
      <c r="J42">
        <v>18.9566257083791</v>
      </c>
      <c r="K42">
        <v>9.7550175275886701</v>
      </c>
      <c r="L42">
        <v>1.4066547857104819E-3</v>
      </c>
      <c r="M42">
        <v>2.7568331144484348E-4</v>
      </c>
      <c r="N42" s="1">
        <v>7.2618879165778599E-6</v>
      </c>
      <c r="O42" s="1">
        <v>2.86551435415266E-6</v>
      </c>
      <c r="P42" s="1">
        <v>-8.4641149187586392E-6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225</v>
      </c>
      <c r="D43">
        <v>0.35534227274935698</v>
      </c>
      <c r="E43">
        <v>4.9465586370052499</v>
      </c>
      <c r="F43">
        <v>0.49421110210605501</v>
      </c>
      <c r="G43">
        <v>-107.6173064970704</v>
      </c>
      <c r="H43">
        <v>-62.829064931802996</v>
      </c>
      <c r="I43">
        <v>43.522394490475598</v>
      </c>
      <c r="J43">
        <v>19.489061835007899</v>
      </c>
      <c r="K43">
        <v>10.0089994253988</v>
      </c>
      <c r="L43">
        <v>1.4078854248212131E-3</v>
      </c>
      <c r="M43">
        <v>2.7520256945572124E-4</v>
      </c>
      <c r="N43" s="1">
        <v>7.5580787964962201E-6</v>
      </c>
      <c r="O43" s="1">
        <v>2.93475148300968E-6</v>
      </c>
      <c r="P43" s="1">
        <v>-8.6984273172020092E-6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225</v>
      </c>
      <c r="D44">
        <v>0.354647181831445</v>
      </c>
      <c r="E44">
        <v>5.1104100626815496</v>
      </c>
      <c r="F44">
        <v>0.49490768776852501</v>
      </c>
      <c r="G44">
        <v>-111.13710308801861</v>
      </c>
      <c r="H44">
        <v>-64.930375976008094</v>
      </c>
      <c r="I44">
        <v>44.944464915103303</v>
      </c>
      <c r="J44">
        <v>20.146482194598502</v>
      </c>
      <c r="K44">
        <v>10.3259864192527</v>
      </c>
      <c r="L44">
        <v>1.409108785039863E-3</v>
      </c>
      <c r="M44">
        <v>2.7472009849557617E-4</v>
      </c>
      <c r="N44" s="1">
        <v>7.9086068219187801E-6</v>
      </c>
      <c r="O44" s="1">
        <v>3.0221190471039398E-6</v>
      </c>
      <c r="P44" s="1">
        <v>-8.9882033072570406E-6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225</v>
      </c>
      <c r="D45">
        <v>0.35395073747748601</v>
      </c>
      <c r="E45">
        <v>5.2783775161988098</v>
      </c>
      <c r="F45">
        <v>0.49560585974538901</v>
      </c>
      <c r="G45">
        <v>-114.74351311370329</v>
      </c>
      <c r="H45">
        <v>-67.085303228533704</v>
      </c>
      <c r="I45">
        <v>46.401431628208002</v>
      </c>
      <c r="J45">
        <v>20.820885747452401</v>
      </c>
      <c r="K45">
        <v>10.650353324939401</v>
      </c>
      <c r="L45">
        <v>1.4103247859760767E-3</v>
      </c>
      <c r="M45">
        <v>2.7423590143348011E-4</v>
      </c>
      <c r="N45" s="1">
        <v>8.2723584761833008E-6</v>
      </c>
      <c r="O45" s="1">
        <v>3.1112618581932299E-6</v>
      </c>
      <c r="P45" s="1">
        <v>-9.2851996540612992E-6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225</v>
      </c>
      <c r="D46">
        <v>0.35325293573064698</v>
      </c>
      <c r="E46">
        <v>5.4514426773196796</v>
      </c>
      <c r="F46">
        <v>0.49630561830638598</v>
      </c>
      <c r="G46">
        <v>-118.45776149028634</v>
      </c>
      <c r="H46">
        <v>-69.306377026181082</v>
      </c>
      <c r="I46">
        <v>47.901870208412099</v>
      </c>
      <c r="J46">
        <v>21.516173931349002</v>
      </c>
      <c r="K46">
        <v>10.984043855724201</v>
      </c>
      <c r="L46">
        <v>1.4115333472314695E-3</v>
      </c>
      <c r="M46">
        <v>2.7374998128468052E-4</v>
      </c>
      <c r="N46" s="1">
        <v>8.6511622759178694E-6</v>
      </c>
      <c r="O46" s="1">
        <v>3.2027310880743301E-6</v>
      </c>
      <c r="P46" s="1">
        <v>-9.5911339434013195E-6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225</v>
      </c>
      <c r="D47">
        <v>0.35255377261864101</v>
      </c>
      <c r="E47">
        <v>5.63110195568993</v>
      </c>
      <c r="F47">
        <v>0.49700696367191499</v>
      </c>
      <c r="G47">
        <v>-122.31221909761408</v>
      </c>
      <c r="H47">
        <v>-71.612689263146478</v>
      </c>
      <c r="I47">
        <v>49.458861919519897</v>
      </c>
      <c r="J47">
        <v>22.238289903440901</v>
      </c>
      <c r="K47">
        <v>11.330026271839399</v>
      </c>
      <c r="L47">
        <v>1.4127343884097431E-3</v>
      </c>
      <c r="M47">
        <v>2.7326234121145598E-4</v>
      </c>
      <c r="N47" s="1">
        <v>9.0477523312763699E-6</v>
      </c>
      <c r="O47" s="1">
        <v>3.2973716388440698E-6</v>
      </c>
      <c r="P47" s="1">
        <v>-9.9086297326947002E-6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225</v>
      </c>
      <c r="D48">
        <v>0.35185324415369101</v>
      </c>
      <c r="E48">
        <v>5.8197557657224204</v>
      </c>
      <c r="F48">
        <v>0.497709896012688</v>
      </c>
      <c r="G48">
        <v>-126.35883217348972</v>
      </c>
      <c r="H48">
        <v>-74.034855662680357</v>
      </c>
      <c r="I48">
        <v>51.093401291248703</v>
      </c>
      <c r="J48">
        <v>22.996762673523801</v>
      </c>
      <c r="K48">
        <v>11.6930682157343</v>
      </c>
      <c r="L48">
        <v>1.4139278291270152E-3</v>
      </c>
      <c r="M48">
        <v>2.7277298452397321E-4</v>
      </c>
      <c r="N48" s="1">
        <v>9.4664532187501801E-6</v>
      </c>
      <c r="O48" s="1">
        <v>3.3965443032228801E-6</v>
      </c>
      <c r="P48" s="1">
        <v>-1.0241901948380501E-5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225</v>
      </c>
      <c r="D49">
        <v>0.35115134633240402</v>
      </c>
      <c r="E49">
        <v>6.0215169827123098</v>
      </c>
      <c r="F49">
        <v>0.49841441544936699</v>
      </c>
      <c r="G49">
        <v>-130.68662884181896</v>
      </c>
      <c r="H49">
        <v>-76.625321485357205</v>
      </c>
      <c r="I49">
        <v>52.841473135163703</v>
      </c>
      <c r="J49">
        <v>23.8079139634117</v>
      </c>
      <c r="K49">
        <v>12.0813459564233</v>
      </c>
      <c r="L49">
        <v>1.4151135890225653E-3</v>
      </c>
      <c r="M49">
        <v>2.7228191468116428E-4</v>
      </c>
      <c r="N49" s="1">
        <v>9.9146020365035697E-6</v>
      </c>
      <c r="O49" s="1">
        <v>3.5025871843138001E-6</v>
      </c>
      <c r="P49" s="1">
        <v>-1.0598180337549301E-5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225</v>
      </c>
      <c r="D50">
        <v>0.350448075135744</v>
      </c>
      <c r="E50">
        <v>6.2441242059043898</v>
      </c>
      <c r="F50">
        <v>0.49912052205220397</v>
      </c>
      <c r="G50">
        <v>-135.46315136956321</v>
      </c>
      <c r="H50">
        <v>-79.482749769402702</v>
      </c>
      <c r="I50">
        <v>54.770801615677001</v>
      </c>
      <c r="J50">
        <v>24.7024469387209</v>
      </c>
      <c r="K50">
        <v>12.510253395774599</v>
      </c>
      <c r="L50">
        <v>1.4162915877691448E-3</v>
      </c>
      <c r="M50">
        <v>2.7178913529151441E-4</v>
      </c>
      <c r="N50" s="1">
        <v>1.0405909360046E-5</v>
      </c>
      <c r="O50" s="1">
        <v>3.6199081074445599E-6</v>
      </c>
      <c r="P50" s="1">
        <v>-1.0991078138803999E-5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225</v>
      </c>
      <c r="D51">
        <v>0.34974342652891699</v>
      </c>
      <c r="E51">
        <v>6.5977613238222501</v>
      </c>
      <c r="F51">
        <v>0.49982821584070197</v>
      </c>
      <c r="G51">
        <v>-143.07727177397155</v>
      </c>
      <c r="H51">
        <v>-84.010378925784806</v>
      </c>
      <c r="I51">
        <v>57.847200207966701</v>
      </c>
      <c r="J51">
        <v>26.116656324107499</v>
      </c>
      <c r="K51">
        <v>13.200057769297601</v>
      </c>
      <c r="L51">
        <v>1.4174617450838846E-3</v>
      </c>
      <c r="M51">
        <v>2.7129465011387983E-4</v>
      </c>
      <c r="N51" s="1">
        <v>1.11274896080519E-5</v>
      </c>
      <c r="O51" s="1">
        <v>3.8120449186358399E-6</v>
      </c>
      <c r="P51" s="1">
        <v>-1.1614553542597101E-5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225</v>
      </c>
      <c r="D52">
        <v>0.34903739646130499</v>
      </c>
      <c r="E52">
        <v>8.5644242057820499</v>
      </c>
      <c r="F52">
        <v>0.50053749678325199</v>
      </c>
      <c r="G52">
        <v>-185.65071865689058</v>
      </c>
      <c r="H52">
        <v>-109.08613187806203</v>
      </c>
      <c r="I52">
        <v>75.057087554060701</v>
      </c>
      <c r="J52">
        <v>33.921198191833803</v>
      </c>
      <c r="K52">
        <v>17.110454782752601</v>
      </c>
      <c r="L52">
        <v>1.4186239807389418E-3</v>
      </c>
      <c r="M52">
        <v>2.7079846305825764E-4</v>
      </c>
      <c r="N52" s="1">
        <v>1.46165358478592E-5</v>
      </c>
      <c r="O52" s="1">
        <v>4.93159450140551E-6</v>
      </c>
      <c r="P52" s="1">
        <v>-1.50776959153481E-5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225</v>
      </c>
      <c r="D53">
        <v>0.34832998086640898</v>
      </c>
      <c r="E53">
        <v>9.5401105806885997</v>
      </c>
      <c r="F53">
        <v>0.50124836479679802</v>
      </c>
      <c r="G53">
        <v>-206.71704817624192</v>
      </c>
      <c r="H53">
        <v>-121.551366638479</v>
      </c>
      <c r="I53">
        <v>83.570760903563794</v>
      </c>
      <c r="J53">
        <v>37.807500209842502</v>
      </c>
      <c r="K53">
        <v>19.0327016519167</v>
      </c>
      <c r="L53">
        <v>1.4197782145724306E-3</v>
      </c>
      <c r="M53">
        <v>2.7030057818655599E-4</v>
      </c>
      <c r="N53" s="1">
        <v>1.6474020571905299E-5</v>
      </c>
      <c r="O53" s="1">
        <v>5.4747302589008201E-6</v>
      </c>
      <c r="P53" s="1">
        <v>-1.67963451230858E-5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225</v>
      </c>
      <c r="D54">
        <v>0.347621175661739</v>
      </c>
      <c r="E54">
        <v>9.9514801148150198</v>
      </c>
      <c r="F54">
        <v>0.50196081974649398</v>
      </c>
      <c r="G54">
        <v>-215.54353158104416</v>
      </c>
      <c r="H54">
        <v>-126.83211029676653</v>
      </c>
      <c r="I54">
        <v>87.135604903295302</v>
      </c>
      <c r="J54">
        <v>39.460561866008703</v>
      </c>
      <c r="K54">
        <v>19.8252128917966</v>
      </c>
      <c r="L54">
        <v>1.420924366499103E-3</v>
      </c>
      <c r="M54">
        <v>2.698009997132519E-4</v>
      </c>
      <c r="N54" s="1">
        <v>1.7385557001355199E-5</v>
      </c>
      <c r="O54" s="1">
        <v>5.6912732233269903E-6</v>
      </c>
      <c r="P54" s="1">
        <v>-1.7521337700482799E-5</v>
      </c>
      <c r="AE54">
        <v>100</v>
      </c>
      <c r="AJ54">
        <v>1</v>
      </c>
    </row>
    <row r="55" spans="1:36" x14ac:dyDescent="0.2">
      <c r="A55">
        <v>54</v>
      </c>
      <c r="B55">
        <v>744</v>
      </c>
      <c r="C55">
        <v>225</v>
      </c>
      <c r="D55">
        <v>0.34691097674876298</v>
      </c>
      <c r="E55">
        <v>10.206397080570699</v>
      </c>
      <c r="F55">
        <v>0.502674861445363</v>
      </c>
      <c r="G55">
        <v>-220.97554367772568</v>
      </c>
      <c r="H55">
        <v>-130.12152279860456</v>
      </c>
      <c r="I55">
        <v>89.327888321560394</v>
      </c>
      <c r="J55">
        <v>40.494734619521999</v>
      </c>
      <c r="K55">
        <v>20.304172464928701</v>
      </c>
      <c r="L55">
        <v>1.4220623565214816E-3</v>
      </c>
      <c r="M55">
        <v>2.6929973200613396E-4</v>
      </c>
      <c r="N55" s="1">
        <v>1.8037798749659202E-5</v>
      </c>
      <c r="O55" s="1">
        <v>5.8169981823387199E-6</v>
      </c>
      <c r="P55" s="1">
        <v>-1.7970651306076999E-5</v>
      </c>
      <c r="AE55">
        <v>100</v>
      </c>
      <c r="AJ55">
        <v>1</v>
      </c>
    </row>
    <row r="56" spans="1:36" x14ac:dyDescent="0.2">
      <c r="A56">
        <v>55</v>
      </c>
      <c r="B56">
        <v>743</v>
      </c>
      <c r="C56">
        <v>225</v>
      </c>
      <c r="D56">
        <v>0.34619938001279399</v>
      </c>
      <c r="E56">
        <v>10.351613608609499</v>
      </c>
      <c r="F56">
        <v>0.50339048965396604</v>
      </c>
      <c r="G56">
        <v>-224.02900312772684</v>
      </c>
      <c r="H56">
        <v>-132.01397340252387</v>
      </c>
      <c r="I56">
        <v>90.558434831640596</v>
      </c>
      <c r="J56">
        <v>41.0945408162844</v>
      </c>
      <c r="K56">
        <v>20.563784619223298</v>
      </c>
      <c r="L56">
        <v>1.4231921047410103E-3</v>
      </c>
      <c r="M56">
        <v>2.6879677958699806E-4</v>
      </c>
      <c r="N56" s="1">
        <v>1.85048368128612E-5</v>
      </c>
      <c r="O56" s="1">
        <v>5.8793791544068498E-6</v>
      </c>
      <c r="P56" s="1">
        <v>-1.8226560047768501E-5</v>
      </c>
      <c r="AE56">
        <v>100</v>
      </c>
      <c r="AJ56">
        <v>1</v>
      </c>
    </row>
    <row r="57" spans="1:36" x14ac:dyDescent="0.2">
      <c r="A57">
        <v>56</v>
      </c>
      <c r="B57">
        <v>772</v>
      </c>
      <c r="C57">
        <v>200</v>
      </c>
      <c r="D57">
        <v>0.39259484284552498</v>
      </c>
      <c r="E57">
        <v>5.0073115513781499</v>
      </c>
      <c r="F57">
        <v>0.446840204205251</v>
      </c>
      <c r="G57">
        <v>-109.91547596220094</v>
      </c>
      <c r="H57">
        <v>-63.148672224224796</v>
      </c>
      <c r="I57">
        <v>44.749240998067201</v>
      </c>
      <c r="J57">
        <v>19.683510321351701</v>
      </c>
      <c r="K57">
        <v>11.2060452579108</v>
      </c>
      <c r="L57">
        <v>1.5073421466128541E-3</v>
      </c>
      <c r="M57">
        <v>3.4805098602411916E-4</v>
      </c>
      <c r="N57" s="1">
        <v>4.4600851496505299E-6</v>
      </c>
      <c r="O57" s="1">
        <v>4.7985317934840703E-6</v>
      </c>
      <c r="P57" s="1">
        <v>-1.1516849958244701E-5</v>
      </c>
      <c r="AE57">
        <v>100</v>
      </c>
      <c r="AJ57">
        <v>1</v>
      </c>
    </row>
    <row r="58" spans="1:36" x14ac:dyDescent="0.2">
      <c r="A58">
        <v>57</v>
      </c>
      <c r="B58">
        <v>771</v>
      </c>
      <c r="C58">
        <v>200</v>
      </c>
      <c r="D58">
        <v>0.391946080543984</v>
      </c>
      <c r="E58">
        <v>5.0268794955801601</v>
      </c>
      <c r="F58">
        <v>0.44751467208788998</v>
      </c>
      <c r="G58">
        <v>-110.30009717090935</v>
      </c>
      <c r="H58">
        <v>-63.415216941579068</v>
      </c>
      <c r="I58">
        <v>44.905192662417598</v>
      </c>
      <c r="J58">
        <v>19.774856022459101</v>
      </c>
      <c r="K58">
        <v>11.2328819793262</v>
      </c>
      <c r="L58">
        <v>1.5092134599241449E-3</v>
      </c>
      <c r="M58">
        <v>3.4754657375281312E-4</v>
      </c>
      <c r="N58" s="1">
        <v>4.5963974575626604E-6</v>
      </c>
      <c r="O58" s="1">
        <v>4.8043386455696002E-6</v>
      </c>
      <c r="P58" s="1">
        <v>-1.15726084678946E-5</v>
      </c>
      <c r="AE58">
        <v>100</v>
      </c>
      <c r="AJ58">
        <v>1</v>
      </c>
    </row>
    <row r="59" spans="1:36" x14ac:dyDescent="0.2">
      <c r="A59">
        <v>58</v>
      </c>
      <c r="B59">
        <v>770</v>
      </c>
      <c r="C59">
        <v>200</v>
      </c>
      <c r="D59">
        <v>0.39129607439006903</v>
      </c>
      <c r="E59">
        <v>5.0646436220213999</v>
      </c>
      <c r="F59">
        <v>0.44819099547830699</v>
      </c>
      <c r="G59">
        <v>-111.0834869473686</v>
      </c>
      <c r="H59">
        <v>-63.911550583601546</v>
      </c>
      <c r="I59">
        <v>45.223443094331799</v>
      </c>
      <c r="J59">
        <v>19.937951505602101</v>
      </c>
      <c r="K59">
        <v>11.3001904837834</v>
      </c>
      <c r="L59">
        <v>1.51107917573961E-3</v>
      </c>
      <c r="M59">
        <v>3.4703954022967967E-4</v>
      </c>
      <c r="N59" s="1">
        <v>4.7515277552019997E-6</v>
      </c>
      <c r="O59" s="1">
        <v>4.8273478770895901E-6</v>
      </c>
      <c r="P59" s="1">
        <v>-1.1670274295101799E-5</v>
      </c>
      <c r="AE59">
        <v>100</v>
      </c>
      <c r="AJ59">
        <v>1</v>
      </c>
    </row>
    <row r="60" spans="1:36" x14ac:dyDescent="0.2">
      <c r="A60">
        <v>59</v>
      </c>
      <c r="B60">
        <v>769</v>
      </c>
      <c r="C60">
        <v>200</v>
      </c>
      <c r="D60">
        <v>0.390644820803149</v>
      </c>
      <c r="E60">
        <v>5.1025336150910601</v>
      </c>
      <c r="F60">
        <v>0.44886917717133401</v>
      </c>
      <c r="G60">
        <v>-111.86898095233202</v>
      </c>
      <c r="H60">
        <v>-64.409784924298918</v>
      </c>
      <c r="I60">
        <v>45.542499650817099</v>
      </c>
      <c r="J60">
        <v>20.101763815663801</v>
      </c>
      <c r="K60">
        <v>11.367529504355799</v>
      </c>
      <c r="L60">
        <v>1.5129391772352012E-3</v>
      </c>
      <c r="M60">
        <v>3.4652987992740041E-4</v>
      </c>
      <c r="N60" s="1">
        <v>4.90940551756834E-6</v>
      </c>
      <c r="O60" s="1">
        <v>4.8502406541320999E-6</v>
      </c>
      <c r="P60" s="1">
        <v>-1.1768281800602399E-5</v>
      </c>
      <c r="AE60">
        <v>100</v>
      </c>
      <c r="AJ60">
        <v>1</v>
      </c>
    </row>
    <row r="61" spans="1:36" x14ac:dyDescent="0.2">
      <c r="A61">
        <v>60</v>
      </c>
      <c r="B61">
        <v>768</v>
      </c>
      <c r="C61">
        <v>200</v>
      </c>
      <c r="D61">
        <v>0.38999231618883101</v>
      </c>
      <c r="E61">
        <v>5.1405235479556799</v>
      </c>
      <c r="F61">
        <v>0.44954921991226099</v>
      </c>
      <c r="G61">
        <v>-112.65600808279224</v>
      </c>
      <c r="H61">
        <v>-64.909594401798145</v>
      </c>
      <c r="I61">
        <v>45.86212880395</v>
      </c>
      <c r="J61">
        <v>20.2661913366919</v>
      </c>
      <c r="K61">
        <v>11.434840325068199</v>
      </c>
      <c r="L61">
        <v>1.5147933469271625E-3</v>
      </c>
      <c r="M61">
        <v>3.460175874855756E-4</v>
      </c>
      <c r="N61" s="1">
        <v>5.0700300220171596E-6</v>
      </c>
      <c r="O61" s="1">
        <v>4.8729904359131302E-6</v>
      </c>
      <c r="P61" s="1">
        <v>-1.18665672442046E-5</v>
      </c>
      <c r="AE61">
        <v>100</v>
      </c>
      <c r="AJ61">
        <v>1</v>
      </c>
    </row>
    <row r="62" spans="1:36" x14ac:dyDescent="0.2">
      <c r="A62">
        <v>61</v>
      </c>
      <c r="B62">
        <v>767</v>
      </c>
      <c r="C62">
        <v>200</v>
      </c>
      <c r="D62">
        <v>0.38933855693890601</v>
      </c>
      <c r="E62">
        <v>5.1785873571695697</v>
      </c>
      <c r="F62">
        <v>0.45023112639609703</v>
      </c>
      <c r="G62">
        <v>-113.44399517200254</v>
      </c>
      <c r="H62">
        <v>-65.410651321371233</v>
      </c>
      <c r="I62">
        <v>46.182096194124597</v>
      </c>
      <c r="J62">
        <v>20.431131593967901</v>
      </c>
      <c r="K62">
        <v>11.502064281121299</v>
      </c>
      <c r="L62">
        <v>1.5166415666822187E-3</v>
      </c>
      <c r="M62">
        <v>3.4550265771375322E-4</v>
      </c>
      <c r="N62" s="1">
        <v>5.2333977603197999E-6</v>
      </c>
      <c r="O62" s="1">
        <v>4.8955708196417303E-6</v>
      </c>
      <c r="P62" s="1">
        <v>-1.1965066259512799E-5</v>
      </c>
      <c r="AE62">
        <v>100</v>
      </c>
      <c r="AJ62">
        <v>1</v>
      </c>
    </row>
    <row r="63" spans="1:36" x14ac:dyDescent="0.2">
      <c r="A63">
        <v>62</v>
      </c>
      <c r="B63">
        <v>766</v>
      </c>
      <c r="C63">
        <v>200</v>
      </c>
      <c r="D63">
        <v>0.38868353943126899</v>
      </c>
      <c r="E63">
        <v>5.2166990042843198</v>
      </c>
      <c r="F63">
        <v>0.45091489926683098</v>
      </c>
      <c r="G63">
        <v>-114.23237053342939</v>
      </c>
      <c r="H63">
        <v>-65.912627893890715</v>
      </c>
      <c r="I63">
        <v>46.502168074917797</v>
      </c>
      <c r="J63">
        <v>20.596481889685499</v>
      </c>
      <c r="K63">
        <v>11.5691431193922</v>
      </c>
      <c r="L63">
        <v>1.5184837177288776E-3</v>
      </c>
      <c r="M63">
        <v>3.4498508559460385E-4</v>
      </c>
      <c r="N63" s="1">
        <v>5.3995025387369198E-6</v>
      </c>
      <c r="O63" s="1">
        <v>4.9179556970264197E-6</v>
      </c>
      <c r="P63" s="1">
        <v>-1.20637142313998E-5</v>
      </c>
      <c r="AE63">
        <v>100</v>
      </c>
      <c r="AJ63">
        <v>1</v>
      </c>
    </row>
    <row r="64" spans="1:36" x14ac:dyDescent="0.2">
      <c r="A64">
        <v>63</v>
      </c>
      <c r="B64">
        <v>765</v>
      </c>
      <c r="C64">
        <v>200</v>
      </c>
      <c r="D64">
        <v>0.38802726002986099</v>
      </c>
      <c r="E64">
        <v>5.2548326323815404</v>
      </c>
      <c r="F64">
        <v>0.45160054111671799</v>
      </c>
      <c r="G64">
        <v>-115.02056738492746</v>
      </c>
      <c r="H64">
        <v>-66.415198213948202</v>
      </c>
      <c r="I64">
        <v>46.822112709045101</v>
      </c>
      <c r="J64">
        <v>20.762139921407702</v>
      </c>
      <c r="K64">
        <v>11.636019344413</v>
      </c>
      <c r="L64">
        <v>1.5203196806685374E-3</v>
      </c>
      <c r="M64">
        <v>3.444648662870105E-4</v>
      </c>
      <c r="N64" s="1">
        <v>5.5683355965063102E-6</v>
      </c>
      <c r="O64" s="1">
        <v>4.9401194034917701E-6</v>
      </c>
      <c r="P64" s="1">
        <v>-1.21624466639754E-5</v>
      </c>
      <c r="AE64">
        <v>100</v>
      </c>
      <c r="AJ64">
        <v>1</v>
      </c>
    </row>
    <row r="65" spans="1:36" x14ac:dyDescent="0.2">
      <c r="A65">
        <v>64</v>
      </c>
      <c r="B65">
        <v>764</v>
      </c>
      <c r="C65">
        <v>200</v>
      </c>
      <c r="D65">
        <v>0.38736971508460899</v>
      </c>
      <c r="E65">
        <v>5.2929627152787102</v>
      </c>
      <c r="F65">
        <v>0.45228805448552301</v>
      </c>
      <c r="G65">
        <v>-115.8080271042385</v>
      </c>
      <c r="H65">
        <v>-66.918040149050825</v>
      </c>
      <c r="I65">
        <v>47.141701695491001</v>
      </c>
      <c r="J65">
        <v>20.928004374319698</v>
      </c>
      <c r="K65">
        <v>11.7026365449767</v>
      </c>
      <c r="L65">
        <v>1.5221493354871563E-3</v>
      </c>
      <c r="M65">
        <v>3.4394199512921054E-4</v>
      </c>
      <c r="N65" s="1">
        <v>5.7398857399236597E-6</v>
      </c>
      <c r="O65" s="1">
        <v>4.9620368580646199E-6</v>
      </c>
      <c r="P65" s="1">
        <v>-1.22611995336951E-5</v>
      </c>
      <c r="AE65">
        <v>100</v>
      </c>
      <c r="AJ65">
        <v>1</v>
      </c>
    </row>
    <row r="66" spans="1:36" x14ac:dyDescent="0.2">
      <c r="A66">
        <v>65</v>
      </c>
      <c r="B66">
        <v>763</v>
      </c>
      <c r="C66">
        <v>200</v>
      </c>
      <c r="D66">
        <v>0.38671090093133698</v>
      </c>
      <c r="E66">
        <v>5.3310641976888897</v>
      </c>
      <c r="F66">
        <v>0.452977441859793</v>
      </c>
      <c r="G66">
        <v>-116.59420227867842</v>
      </c>
      <c r="H66">
        <v>-67.420837117961028</v>
      </c>
      <c r="I66">
        <v>47.460711212677801</v>
      </c>
      <c r="J66">
        <v>21.0939754803215</v>
      </c>
      <c r="K66">
        <v>11.768939697749801</v>
      </c>
      <c r="L66">
        <v>1.5239725615670298E-3</v>
      </c>
      <c r="M66">
        <v>3.4341646764188337E-4</v>
      </c>
      <c r="N66" s="1">
        <v>5.9141394894540497E-6</v>
      </c>
      <c r="O66" s="1">
        <v>4.9836836924275102E-6</v>
      </c>
      <c r="P66" s="1">
        <v>-1.2359909623448201E-5</v>
      </c>
      <c r="AE66">
        <v>100</v>
      </c>
      <c r="AJ66">
        <v>1</v>
      </c>
    </row>
    <row r="67" spans="1:36" x14ac:dyDescent="0.2">
      <c r="A67">
        <v>66</v>
      </c>
      <c r="B67">
        <v>762</v>
      </c>
      <c r="C67">
        <v>200</v>
      </c>
      <c r="D67">
        <v>0.38605081389170998</v>
      </c>
      <c r="E67">
        <v>5.3691126244383804</v>
      </c>
      <c r="F67">
        <v>0.45366870567212503</v>
      </c>
      <c r="G67">
        <v>-117.37855950814193</v>
      </c>
      <c r="H67">
        <v>-67.923279733955908</v>
      </c>
      <c r="I67">
        <v>47.778923161021098</v>
      </c>
      <c r="J67">
        <v>21.259955536278799</v>
      </c>
      <c r="K67">
        <v>11.834875443929599</v>
      </c>
      <c r="L67">
        <v>1.5257892376992494E-3</v>
      </c>
      <c r="M67">
        <v>3.4288827953132307E-4</v>
      </c>
      <c r="N67" s="1">
        <v>6.0910812365995504E-6</v>
      </c>
      <c r="O67" s="1">
        <v>5.0050363675167103E-6</v>
      </c>
      <c r="P67" s="1">
        <v>-1.2458514833027099E-5</v>
      </c>
      <c r="AE67">
        <v>100</v>
      </c>
      <c r="AJ67">
        <v>1</v>
      </c>
    </row>
    <row r="68" spans="1:36" x14ac:dyDescent="0.2">
      <c r="A68">
        <v>67</v>
      </c>
      <c r="B68">
        <v>761</v>
      </c>
      <c r="C68">
        <v>200</v>
      </c>
      <c r="D68">
        <v>0.38538945027317301</v>
      </c>
      <c r="E68">
        <v>5.4916644180476499</v>
      </c>
      <c r="F68">
        <v>0.45436184830042903</v>
      </c>
      <c r="G68">
        <v>-120.00890545177086</v>
      </c>
      <c r="H68">
        <v>-69.495404451328739</v>
      </c>
      <c r="I68">
        <v>48.848468469804999</v>
      </c>
      <c r="J68">
        <v>21.761002611148701</v>
      </c>
      <c r="K68">
        <v>12.086543882567501</v>
      </c>
      <c r="L68">
        <v>1.5275992420961766E-3</v>
      </c>
      <c r="M68">
        <v>3.4235742669254382E-4</v>
      </c>
      <c r="N68" s="1">
        <v>6.3687825496173896E-6</v>
      </c>
      <c r="O68" s="1">
        <v>5.1046924682411103E-6</v>
      </c>
      <c r="P68" s="1">
        <v>-1.27533762632096E-5</v>
      </c>
      <c r="AE68">
        <v>100</v>
      </c>
      <c r="AJ68">
        <v>1</v>
      </c>
    </row>
    <row r="69" spans="1:36" x14ac:dyDescent="0.2">
      <c r="A69">
        <v>68</v>
      </c>
      <c r="B69">
        <v>760</v>
      </c>
      <c r="C69">
        <v>200</v>
      </c>
      <c r="D69">
        <v>0.38472680636887402</v>
      </c>
      <c r="E69">
        <v>5.6439291739875097</v>
      </c>
      <c r="F69">
        <v>0.45505687206717499</v>
      </c>
      <c r="G69">
        <v>-123.28614299713259</v>
      </c>
      <c r="H69">
        <v>-71.444642800988134</v>
      </c>
      <c r="I69">
        <v>50.181222473982203</v>
      </c>
      <c r="J69">
        <v>22.3805772583239</v>
      </c>
      <c r="K69">
        <v>12.402689686563701</v>
      </c>
      <c r="L69">
        <v>1.5294024524042343E-3</v>
      </c>
      <c r="M69">
        <v>3.4182390521239169E-4</v>
      </c>
      <c r="N69" s="1">
        <v>6.6887646087237199E-6</v>
      </c>
      <c r="O69" s="1">
        <v>5.2311920543923196E-6</v>
      </c>
      <c r="P69" s="1">
        <v>-1.31176225861051E-5</v>
      </c>
      <c r="AE69">
        <v>100</v>
      </c>
      <c r="AJ69">
        <v>1</v>
      </c>
    </row>
    <row r="70" spans="1:36" x14ac:dyDescent="0.2">
      <c r="A70">
        <v>69</v>
      </c>
      <c r="B70">
        <v>759</v>
      </c>
      <c r="C70">
        <v>200</v>
      </c>
      <c r="D70">
        <v>0.38406287845759102</v>
      </c>
      <c r="E70">
        <v>5.7996733850456499</v>
      </c>
      <c r="F70">
        <v>0.45575377923867499</v>
      </c>
      <c r="G70">
        <v>-126.63666895966686</v>
      </c>
      <c r="H70">
        <v>-73.43916403658524</v>
      </c>
      <c r="I70">
        <v>51.543694087422601</v>
      </c>
      <c r="J70">
        <v>23.014832428051299</v>
      </c>
      <c r="K70">
        <v>12.7254531925853</v>
      </c>
      <c r="L70">
        <v>1.531198745717248E-3</v>
      </c>
      <c r="M70">
        <v>3.4128771137268029E-4</v>
      </c>
      <c r="N70" s="1">
        <v>7.0215982299021596E-6</v>
      </c>
      <c r="O70" s="1">
        <v>5.3600489509511098E-6</v>
      </c>
      <c r="P70" s="1">
        <v>-1.3490386866139301E-5</v>
      </c>
      <c r="AE70">
        <v>100</v>
      </c>
      <c r="AJ70">
        <v>1</v>
      </c>
    </row>
    <row r="71" spans="1:36" x14ac:dyDescent="0.2">
      <c r="A71">
        <v>70</v>
      </c>
      <c r="B71">
        <v>758</v>
      </c>
      <c r="C71">
        <v>200</v>
      </c>
      <c r="D71">
        <v>0.383397662803666</v>
      </c>
      <c r="E71">
        <v>5.95982758783307</v>
      </c>
      <c r="F71">
        <v>0.45645257202433998</v>
      </c>
      <c r="G71">
        <v>-130.08070250919084</v>
      </c>
      <c r="H71">
        <v>-75.490797647846378</v>
      </c>
      <c r="I71">
        <v>52.944106522490003</v>
      </c>
      <c r="J71">
        <v>23.6674925358809</v>
      </c>
      <c r="K71">
        <v>13.0568386577417</v>
      </c>
      <c r="L71">
        <v>1.5329879985900401E-3</v>
      </c>
      <c r="M71">
        <v>3.407488416533214E-4</v>
      </c>
      <c r="N71" s="1">
        <v>7.3687683237602003E-6</v>
      </c>
      <c r="O71" s="1">
        <v>5.4920889525248903E-6</v>
      </c>
      <c r="P71" s="1">
        <v>-1.38738398779193E-5</v>
      </c>
      <c r="AE71">
        <v>100</v>
      </c>
      <c r="AJ71">
        <v>1</v>
      </c>
    </row>
    <row r="72" spans="1:36" x14ac:dyDescent="0.2">
      <c r="A72">
        <v>71</v>
      </c>
      <c r="B72">
        <v>757</v>
      </c>
      <c r="C72">
        <v>200</v>
      </c>
      <c r="D72">
        <v>0.38273115565694399</v>
      </c>
      <c r="E72">
        <v>6.1258116557072197</v>
      </c>
      <c r="F72">
        <v>0.45715325257592998</v>
      </c>
      <c r="G72">
        <v>-133.6491058828199</v>
      </c>
      <c r="H72">
        <v>-77.617588150597797</v>
      </c>
      <c r="I72">
        <v>54.395013636673703</v>
      </c>
      <c r="J72">
        <v>24.3442372397929</v>
      </c>
      <c r="K72">
        <v>13.3999082828132</v>
      </c>
      <c r="L72">
        <v>1.5347700870519451E-3</v>
      </c>
      <c r="M72">
        <v>3.4020729273536902E-4</v>
      </c>
      <c r="N72" s="1">
        <v>7.7324762420724197E-6</v>
      </c>
      <c r="O72" s="1">
        <v>5.6285772991234996E-6</v>
      </c>
      <c r="P72" s="1">
        <v>-1.42712982736612E-5</v>
      </c>
      <c r="AE72">
        <v>100</v>
      </c>
      <c r="AJ72">
        <v>1</v>
      </c>
    </row>
    <row r="73" spans="1:36" x14ac:dyDescent="0.2">
      <c r="A73">
        <v>72</v>
      </c>
      <c r="B73">
        <v>756</v>
      </c>
      <c r="C73">
        <v>200</v>
      </c>
      <c r="D73">
        <v>0.38206335325268598</v>
      </c>
      <c r="E73">
        <v>6.2998820297460201</v>
      </c>
      <c r="F73">
        <v>0.45785582298683303</v>
      </c>
      <c r="G73">
        <v>-137.39093528453267</v>
      </c>
      <c r="H73">
        <v>-79.848205838432818</v>
      </c>
      <c r="I73">
        <v>55.916372370844201</v>
      </c>
      <c r="J73">
        <v>25.054089361448799</v>
      </c>
      <c r="K73">
        <v>13.7595323974446</v>
      </c>
      <c r="L73">
        <v>1.5365448866216135E-3</v>
      </c>
      <c r="M73">
        <v>3.3966306150425685E-4</v>
      </c>
      <c r="N73" s="1">
        <v>8.1161521503812594E-6</v>
      </c>
      <c r="O73" s="1">
        <v>5.7715301134973303E-6</v>
      </c>
      <c r="P73" s="1">
        <v>-1.46880382273061E-5</v>
      </c>
      <c r="AE73">
        <v>100</v>
      </c>
      <c r="AJ73">
        <v>1</v>
      </c>
    </row>
    <row r="74" spans="1:36" x14ac:dyDescent="0.2">
      <c r="A74">
        <v>73</v>
      </c>
      <c r="B74">
        <v>755</v>
      </c>
      <c r="C74">
        <v>200</v>
      </c>
      <c r="D74">
        <v>0.38139425181150599</v>
      </c>
      <c r="E74">
        <v>6.4858287351592603</v>
      </c>
      <c r="F74">
        <v>0.45856028529133602</v>
      </c>
      <c r="G74">
        <v>-141.38859851501064</v>
      </c>
      <c r="H74">
        <v>-82.230800610453528</v>
      </c>
      <c r="I74">
        <v>57.541710347745799</v>
      </c>
      <c r="J74">
        <v>25.8122008497999</v>
      </c>
      <c r="K74">
        <v>14.143895455400401</v>
      </c>
      <c r="L74">
        <v>1.5383122723209872E-3</v>
      </c>
      <c r="M74">
        <v>3.3911614505275186E-4</v>
      </c>
      <c r="N74" s="1">
        <v>8.5254828162409693E-6</v>
      </c>
      <c r="O74" s="1">
        <v>5.9243396477778097E-6</v>
      </c>
      <c r="P74" s="1">
        <v>-1.5132928645548201E-5</v>
      </c>
      <c r="AE74">
        <v>100</v>
      </c>
      <c r="AJ74">
        <v>1</v>
      </c>
    </row>
    <row r="75" spans="1:36" x14ac:dyDescent="0.2">
      <c r="A75">
        <v>74</v>
      </c>
      <c r="B75">
        <v>754</v>
      </c>
      <c r="C75">
        <v>200</v>
      </c>
      <c r="D75">
        <v>0.38072384753930699</v>
      </c>
      <c r="E75">
        <v>6.6905336519301697</v>
      </c>
      <c r="F75">
        <v>0.45926664146385499</v>
      </c>
      <c r="G75">
        <v>-145.79174293032048</v>
      </c>
      <c r="H75">
        <v>-84.852795354785059</v>
      </c>
      <c r="I75">
        <v>59.331914822311099</v>
      </c>
      <c r="J75">
        <v>26.646080807006499</v>
      </c>
      <c r="K75">
        <v>14.5678633018172</v>
      </c>
      <c r="L75">
        <v>1.5400721186903535E-3</v>
      </c>
      <c r="M75">
        <v>3.3856654068413548E-4</v>
      </c>
      <c r="N75" s="1">
        <v>8.9707061373147897E-6</v>
      </c>
      <c r="O75" s="1">
        <v>6.0931724402943299E-6</v>
      </c>
      <c r="P75" s="1">
        <v>-1.56220822076498E-5</v>
      </c>
      <c r="AE75">
        <v>100</v>
      </c>
      <c r="AJ75">
        <v>1</v>
      </c>
    </row>
    <row r="76" spans="1:36" x14ac:dyDescent="0.2">
      <c r="A76">
        <v>75</v>
      </c>
      <c r="B76">
        <v>753</v>
      </c>
      <c r="C76">
        <v>200</v>
      </c>
      <c r="D76">
        <v>0.380052136627202</v>
      </c>
      <c r="E76">
        <v>6.9279130499920702</v>
      </c>
      <c r="F76">
        <v>0.45997489341823899</v>
      </c>
      <c r="G76">
        <v>-150.90299436752804</v>
      </c>
      <c r="H76">
        <v>-87.890964618306626</v>
      </c>
      <c r="I76">
        <v>61.410119696429497</v>
      </c>
      <c r="J76">
        <v>27.611352841408699</v>
      </c>
      <c r="K76">
        <v>15.0615025931268</v>
      </c>
      <c r="L76">
        <v>1.541824299803552E-3</v>
      </c>
      <c r="M76">
        <v>3.3801424591524664E-4</v>
      </c>
      <c r="N76" s="1">
        <v>9.4724165804401994E-6</v>
      </c>
      <c r="O76" s="1">
        <v>6.2905067443611004E-6</v>
      </c>
      <c r="P76" s="1">
        <v>-1.6188092756920198E-5</v>
      </c>
      <c r="AE76">
        <v>100</v>
      </c>
      <c r="AJ76">
        <v>1</v>
      </c>
    </row>
    <row r="77" spans="1:36" x14ac:dyDescent="0.2">
      <c r="A77">
        <v>76</v>
      </c>
      <c r="B77">
        <v>752</v>
      </c>
      <c r="C77">
        <v>200</v>
      </c>
      <c r="D77">
        <v>0.37937911525142798</v>
      </c>
      <c r="E77">
        <v>8.4724787137452502</v>
      </c>
      <c r="F77">
        <v>0.46068504300701602</v>
      </c>
      <c r="G77">
        <v>-184.47145865099284</v>
      </c>
      <c r="H77">
        <v>-107.51987535583216</v>
      </c>
      <c r="I77">
        <v>75.068459998781094</v>
      </c>
      <c r="J77">
        <v>33.791545958418098</v>
      </c>
      <c r="K77">
        <v>18.391043604200998</v>
      </c>
      <c r="L77">
        <v>1.5435686892833389E-3</v>
      </c>
      <c r="M77">
        <v>3.3745925847954796E-4</v>
      </c>
      <c r="N77" s="1">
        <v>1.18098614454348E-5</v>
      </c>
      <c r="O77" s="1">
        <v>7.6698414365810601E-6</v>
      </c>
      <c r="P77" s="1">
        <v>-1.98113106157531E-5</v>
      </c>
      <c r="AE77">
        <v>100</v>
      </c>
      <c r="AJ77">
        <v>1</v>
      </c>
    </row>
    <row r="78" spans="1:36" x14ac:dyDescent="0.2">
      <c r="A78">
        <v>77</v>
      </c>
      <c r="B78">
        <v>751</v>
      </c>
      <c r="C78">
        <v>200</v>
      </c>
      <c r="D78">
        <v>0.378704779573308</v>
      </c>
      <c r="E78">
        <v>9.5240964770691896</v>
      </c>
      <c r="F78">
        <v>0.46139709202066598</v>
      </c>
      <c r="G78">
        <v>-207.28398696488102</v>
      </c>
      <c r="H78">
        <v>-120.90341566841305</v>
      </c>
      <c r="I78">
        <v>84.348993379210697</v>
      </c>
      <c r="J78">
        <v>38.013101544593098</v>
      </c>
      <c r="K78">
        <v>20.641864983064501</v>
      </c>
      <c r="L78">
        <v>1.5453051603175106E-3</v>
      </c>
      <c r="M78">
        <v>3.3690157633022602E-4</v>
      </c>
      <c r="N78" s="1">
        <v>1.3530713671569199E-5</v>
      </c>
      <c r="O78" s="1">
        <v>8.5957648264626892E-6</v>
      </c>
      <c r="P78" s="1">
        <v>-2.2285904429143199E-5</v>
      </c>
      <c r="AE78">
        <v>100</v>
      </c>
      <c r="AJ78">
        <v>1</v>
      </c>
    </row>
    <row r="79" spans="1:36" x14ac:dyDescent="0.2">
      <c r="A79">
        <v>78</v>
      </c>
      <c r="B79">
        <v>750</v>
      </c>
      <c r="C79">
        <v>200</v>
      </c>
      <c r="D79">
        <v>0.37802912573913899</v>
      </c>
      <c r="E79">
        <v>9.9435138784220403</v>
      </c>
      <c r="F79">
        <v>0.46211104218689197</v>
      </c>
      <c r="G79">
        <v>-216.32421147494409</v>
      </c>
      <c r="H79">
        <v>-126.26740121624699</v>
      </c>
      <c r="I79">
        <v>88.024728092596405</v>
      </c>
      <c r="J79">
        <v>39.715584916056301</v>
      </c>
      <c r="K79">
        <v>21.517585538240699</v>
      </c>
      <c r="L79">
        <v>1.5470335856745737E-3</v>
      </c>
      <c r="M79">
        <v>3.3634119764314391E-4</v>
      </c>
      <c r="N79" s="1">
        <v>1.43942514328199E-5</v>
      </c>
      <c r="O79" s="1">
        <v>8.9470023392593108E-6</v>
      </c>
      <c r="P79" s="1">
        <v>-2.3283289272793599E-5</v>
      </c>
      <c r="AE79">
        <v>100</v>
      </c>
      <c r="AJ79">
        <v>1</v>
      </c>
    </row>
    <row r="80" spans="1:36" x14ac:dyDescent="0.2">
      <c r="A80">
        <v>79</v>
      </c>
      <c r="B80">
        <v>749</v>
      </c>
      <c r="C80">
        <v>200</v>
      </c>
      <c r="D80">
        <v>0.37735214988015597</v>
      </c>
      <c r="E80">
        <v>10.1738190054753</v>
      </c>
      <c r="F80">
        <v>0.46282689516988901</v>
      </c>
      <c r="G80">
        <v>-221.24452692127571</v>
      </c>
      <c r="H80">
        <v>-129.23257371235999</v>
      </c>
      <c r="I80">
        <v>90.023749247072004</v>
      </c>
      <c r="J80">
        <v>40.664575755383197</v>
      </c>
      <c r="K80">
        <v>21.9819096764911</v>
      </c>
      <c r="L80">
        <v>1.5487538377205383E-3</v>
      </c>
      <c r="M80">
        <v>3.3577812081994098E-4</v>
      </c>
      <c r="N80" s="1">
        <v>1.5002998500108901E-5</v>
      </c>
      <c r="O80" s="1">
        <v>9.1262136765413608E-6</v>
      </c>
      <c r="P80" s="1">
        <v>-2.3838590140652201E-5</v>
      </c>
      <c r="AE80">
        <v>100</v>
      </c>
      <c r="AJ80">
        <v>1</v>
      </c>
    </row>
    <row r="81" spans="1:36" x14ac:dyDescent="0.2">
      <c r="A81">
        <v>80</v>
      </c>
      <c r="B81">
        <v>748</v>
      </c>
      <c r="C81">
        <v>200</v>
      </c>
      <c r="D81">
        <v>0.37667384811242399</v>
      </c>
      <c r="E81">
        <v>10.347122984562001</v>
      </c>
      <c r="F81">
        <v>0.46354465256962502</v>
      </c>
      <c r="G81">
        <v>-224.921737610744</v>
      </c>
      <c r="H81">
        <v>-131.47533340837563</v>
      </c>
      <c r="I81">
        <v>91.516746277751807</v>
      </c>
      <c r="J81">
        <v>41.386871298684298</v>
      </c>
      <c r="K81">
        <v>22.321739507086399</v>
      </c>
      <c r="L81">
        <v>1.5504657884356865E-3</v>
      </c>
      <c r="M81">
        <v>3.3521234449100618E-4</v>
      </c>
      <c r="N81" s="1">
        <v>1.5540102131973299E-5</v>
      </c>
      <c r="O81" s="1">
        <v>9.2530981865844607E-6</v>
      </c>
      <c r="P81" s="1">
        <v>-2.4260644920634201E-5</v>
      </c>
      <c r="AE81">
        <v>100</v>
      </c>
      <c r="AJ81">
        <v>1</v>
      </c>
    </row>
    <row r="82" spans="1:36" x14ac:dyDescent="0.2">
      <c r="A82">
        <v>81</v>
      </c>
      <c r="B82">
        <v>782</v>
      </c>
      <c r="C82">
        <v>175</v>
      </c>
      <c r="D82">
        <v>0.42507747713595301</v>
      </c>
      <c r="E82">
        <v>5.44999711974513</v>
      </c>
      <c r="F82">
        <v>0.39868395404437801</v>
      </c>
      <c r="G82">
        <v>-120.44568749486341</v>
      </c>
      <c r="H82">
        <v>-68.311757739534613</v>
      </c>
      <c r="I82">
        <v>49.411977992085298</v>
      </c>
      <c r="J82">
        <v>21.307727932970501</v>
      </c>
      <c r="K82">
        <v>13.6699685664763</v>
      </c>
      <c r="L82">
        <v>1.6094568511722069E-3</v>
      </c>
      <c r="M82">
        <v>4.4466643715777659E-4</v>
      </c>
      <c r="N82" s="1">
        <v>-1.15699663728298E-6</v>
      </c>
      <c r="O82" s="1">
        <v>8.6269584439090805E-6</v>
      </c>
      <c r="P82" s="1">
        <v>-1.63802811029227E-5</v>
      </c>
      <c r="AE82">
        <v>100</v>
      </c>
      <c r="AJ82">
        <v>1</v>
      </c>
    </row>
    <row r="83" spans="1:36" x14ac:dyDescent="0.2">
      <c r="A83">
        <v>82</v>
      </c>
      <c r="B83">
        <v>781</v>
      </c>
      <c r="C83">
        <v>175</v>
      </c>
      <c r="D83">
        <v>0.42446568325190898</v>
      </c>
      <c r="E83">
        <v>5.4674796122743299</v>
      </c>
      <c r="F83">
        <v>0.39932666933365402</v>
      </c>
      <c r="G83">
        <v>-120.78249264323284</v>
      </c>
      <c r="H83">
        <v>-68.552273656627634</v>
      </c>
      <c r="I83">
        <v>49.550204253835801</v>
      </c>
      <c r="J83">
        <v>21.395054878787999</v>
      </c>
      <c r="K83">
        <v>13.691746713030099</v>
      </c>
      <c r="L83">
        <v>1.6121312952783831E-3</v>
      </c>
      <c r="M83">
        <v>4.441821078043548E-4</v>
      </c>
      <c r="N83" s="1">
        <v>-1.02563994457376E-6</v>
      </c>
      <c r="O83" s="1">
        <v>8.6361839575569408E-6</v>
      </c>
      <c r="P83" s="1">
        <v>-1.6459475658006499E-5</v>
      </c>
      <c r="AE83">
        <v>100</v>
      </c>
      <c r="AJ83">
        <v>1</v>
      </c>
    </row>
    <row r="84" spans="1:36" x14ac:dyDescent="0.2">
      <c r="A84">
        <v>83</v>
      </c>
      <c r="B84">
        <v>780</v>
      </c>
      <c r="C84">
        <v>175</v>
      </c>
      <c r="D84">
        <v>0.42385272753169101</v>
      </c>
      <c r="E84">
        <v>5.5002306273814598</v>
      </c>
      <c r="F84">
        <v>0.39997149020773798</v>
      </c>
      <c r="G84">
        <v>-121.45616091490544</v>
      </c>
      <c r="H84">
        <v>-68.984444734319553</v>
      </c>
      <c r="I84">
        <v>49.82658097166</v>
      </c>
      <c r="J84">
        <v>21.542340836921301</v>
      </c>
      <c r="K84">
        <v>13.751556703515799</v>
      </c>
      <c r="L84">
        <v>1.6148045595352155E-3</v>
      </c>
      <c r="M84">
        <v>4.4369429851733819E-4</v>
      </c>
      <c r="N84" s="1">
        <v>-8.9433860059421797E-7</v>
      </c>
      <c r="O84" s="1">
        <v>8.6692873968818407E-6</v>
      </c>
      <c r="P84" s="1">
        <v>-1.6584867517895101E-5</v>
      </c>
      <c r="AE84">
        <v>100</v>
      </c>
      <c r="AJ84">
        <v>1</v>
      </c>
    </row>
    <row r="85" spans="1:36" x14ac:dyDescent="0.2">
      <c r="A85">
        <v>84</v>
      </c>
      <c r="B85">
        <v>779</v>
      </c>
      <c r="C85">
        <v>175</v>
      </c>
      <c r="D85">
        <v>0.42323860666254698</v>
      </c>
      <c r="E85">
        <v>5.5330793338271302</v>
      </c>
      <c r="F85">
        <v>0.40061842301797101</v>
      </c>
      <c r="G85">
        <v>-122.13141259556335</v>
      </c>
      <c r="H85">
        <v>-69.418117140842767</v>
      </c>
      <c r="I85">
        <v>50.103561110569203</v>
      </c>
      <c r="J85">
        <v>21.690273854160001</v>
      </c>
      <c r="K85">
        <v>13.8113452001155</v>
      </c>
      <c r="L85">
        <v>1.6174765081413296E-3</v>
      </c>
      <c r="M85">
        <v>4.4320298887237961E-4</v>
      </c>
      <c r="N85" s="1">
        <v>-7.59828733303345E-7</v>
      </c>
      <c r="O85" s="1">
        <v>8.7022516167198106E-6</v>
      </c>
      <c r="P85" s="1">
        <v>-1.6710858174119899E-5</v>
      </c>
      <c r="AE85">
        <v>100</v>
      </c>
      <c r="AJ85">
        <v>1</v>
      </c>
    </row>
    <row r="86" spans="1:36" x14ac:dyDescent="0.2">
      <c r="A86">
        <v>85</v>
      </c>
      <c r="B86">
        <v>778</v>
      </c>
      <c r="C86">
        <v>175</v>
      </c>
      <c r="D86">
        <v>0.422623317319128</v>
      </c>
      <c r="E86">
        <v>5.5660053358749098</v>
      </c>
      <c r="F86">
        <v>0.40126747408564201</v>
      </c>
      <c r="G86">
        <v>-122.8077954258615</v>
      </c>
      <c r="H86">
        <v>-69.853036438538069</v>
      </c>
      <c r="I86">
        <v>50.380958186146998</v>
      </c>
      <c r="J86">
        <v>21.8387749805336</v>
      </c>
      <c r="K86">
        <v>13.871060315960101</v>
      </c>
      <c r="L86">
        <v>1.620147003555853E-3</v>
      </c>
      <c r="M86">
        <v>4.4270815849281126E-4</v>
      </c>
      <c r="N86" s="1">
        <v>-6.2206466336552201E-7</v>
      </c>
      <c r="O86" s="1">
        <v>8.7350417917597707E-6</v>
      </c>
      <c r="P86" s="1">
        <v>-1.68373841044049E-5</v>
      </c>
      <c r="AE86">
        <v>100</v>
      </c>
      <c r="AJ86">
        <v>1</v>
      </c>
    </row>
    <row r="87" spans="1:36" x14ac:dyDescent="0.2">
      <c r="A87">
        <v>86</v>
      </c>
      <c r="B87">
        <v>777</v>
      </c>
      <c r="C87">
        <v>175</v>
      </c>
      <c r="D87">
        <v>0.42200685616340999</v>
      </c>
      <c r="E87">
        <v>5.5989881682254499</v>
      </c>
      <c r="F87">
        <v>0.40191864970093999</v>
      </c>
      <c r="G87">
        <v>-123.48485635374691</v>
      </c>
      <c r="H87">
        <v>-70.288946998520856</v>
      </c>
      <c r="I87">
        <v>50.658585383110101</v>
      </c>
      <c r="J87">
        <v>21.987764686369299</v>
      </c>
      <c r="K87">
        <v>13.930650325361899</v>
      </c>
      <c r="L87">
        <v>1.6228159064942147E-3</v>
      </c>
      <c r="M87">
        <v>4.4220978705443925E-4</v>
      </c>
      <c r="N87" s="1">
        <v>-4.8100263376763298E-7</v>
      </c>
      <c r="O87" s="1">
        <v>8.7676232467335894E-6</v>
      </c>
      <c r="P87" s="1">
        <v>-1.6964381051164501E-5</v>
      </c>
      <c r="AE87">
        <v>100</v>
      </c>
      <c r="AJ87">
        <v>1</v>
      </c>
    </row>
    <row r="88" spans="1:36" x14ac:dyDescent="0.2">
      <c r="A88">
        <v>87</v>
      </c>
      <c r="B88">
        <v>776</v>
      </c>
      <c r="C88">
        <v>175</v>
      </c>
      <c r="D88">
        <v>0.42138921984463801</v>
      </c>
      <c r="E88">
        <v>5.6320074111439604</v>
      </c>
      <c r="F88">
        <v>0.40257195612188401</v>
      </c>
      <c r="G88">
        <v>-124.16214407492967</v>
      </c>
      <c r="H88">
        <v>-70.72559344432328</v>
      </c>
      <c r="I88">
        <v>50.9362565992393</v>
      </c>
      <c r="J88">
        <v>22.137163311820199</v>
      </c>
      <c r="K88">
        <v>13.990063951297101</v>
      </c>
      <c r="L88">
        <v>1.6254830759239614E-3</v>
      </c>
      <c r="M88">
        <v>4.4170785429031867E-4</v>
      </c>
      <c r="N88" s="1">
        <v>-3.3660089476470298E-7</v>
      </c>
      <c r="O88" s="1">
        <v>8.7999616402574008E-6</v>
      </c>
      <c r="P88" s="1">
        <v>-1.70917843675777E-5</v>
      </c>
      <c r="AE88">
        <v>100</v>
      </c>
      <c r="AJ88">
        <v>1</v>
      </c>
    </row>
    <row r="89" spans="1:36" x14ac:dyDescent="0.2">
      <c r="A89">
        <v>88</v>
      </c>
      <c r="B89">
        <v>775</v>
      </c>
      <c r="C89">
        <v>175</v>
      </c>
      <c r="D89">
        <v>0.42077040499928797</v>
      </c>
      <c r="E89">
        <v>5.66504280173893</v>
      </c>
      <c r="F89">
        <v>0.40322739957324999</v>
      </c>
      <c r="G89">
        <v>-124.83921148228708</v>
      </c>
      <c r="H89">
        <v>-71.162722049903678</v>
      </c>
      <c r="I89">
        <v>51.213787451937201</v>
      </c>
      <c r="J89">
        <v>22.286891503718302</v>
      </c>
      <c r="K89">
        <v>14.0492506405428</v>
      </c>
      <c r="L89">
        <v>1.6281483690613692E-3</v>
      </c>
      <c r="M89">
        <v>4.4120233999572094E-4</v>
      </c>
      <c r="N89" s="1">
        <v>-1.8881977161921799E-7</v>
      </c>
      <c r="O89" s="1">
        <v>8.8320231403557504E-6</v>
      </c>
      <c r="P89" s="1">
        <v>-1.72195293555399E-5</v>
      </c>
      <c r="AE89">
        <v>100</v>
      </c>
      <c r="AJ89">
        <v>1</v>
      </c>
    </row>
    <row r="90" spans="1:36" x14ac:dyDescent="0.2">
      <c r="A90">
        <v>89</v>
      </c>
      <c r="B90">
        <v>774</v>
      </c>
      <c r="C90">
        <v>175</v>
      </c>
      <c r="D90">
        <v>0.420150408250972</v>
      </c>
      <c r="E90">
        <v>5.6980743401365999</v>
      </c>
      <c r="F90">
        <v>0.40388498624548502</v>
      </c>
      <c r="G90">
        <v>-125.51561799679799</v>
      </c>
      <c r="H90">
        <v>-71.600082076139998</v>
      </c>
      <c r="I90">
        <v>51.490996236162196</v>
      </c>
      <c r="J90">
        <v>22.436870634722201</v>
      </c>
      <c r="K90">
        <v>14.108160823470699</v>
      </c>
      <c r="L90">
        <v>1.6308116413681734E-3</v>
      </c>
      <c r="M90">
        <v>4.4069322403309137E-4</v>
      </c>
      <c r="N90" s="1">
        <v>-3.7621715086141897E-8</v>
      </c>
      <c r="O90" s="1">
        <v>8.8637745897716502E-6</v>
      </c>
      <c r="P90" s="1">
        <v>-1.7347551591533301E-5</v>
      </c>
      <c r="AE90">
        <v>100</v>
      </c>
      <c r="AJ90">
        <v>1</v>
      </c>
    </row>
    <row r="91" spans="1:36" x14ac:dyDescent="0.2">
      <c r="A91">
        <v>90</v>
      </c>
      <c r="B91">
        <v>773</v>
      </c>
      <c r="C91">
        <v>175</v>
      </c>
      <c r="D91">
        <v>0.41952922621038902</v>
      </c>
      <c r="E91">
        <v>5.7310823886576499</v>
      </c>
      <c r="F91">
        <v>0.40454472229359001</v>
      </c>
      <c r="G91">
        <v>-126.19093173864553</v>
      </c>
      <c r="H91">
        <v>-72.03742702188228</v>
      </c>
      <c r="I91">
        <v>51.767704816742103</v>
      </c>
      <c r="J91">
        <v>22.5870231971906</v>
      </c>
      <c r="K91">
        <v>14.1667461539603</v>
      </c>
      <c r="L91">
        <v>1.6334727465490736E-3</v>
      </c>
      <c r="M91">
        <v>4.4018048633720578E-4</v>
      </c>
      <c r="N91" s="1">
        <v>1.17028665042411E-7</v>
      </c>
      <c r="O91" s="1">
        <v>8.8951836582241103E-6</v>
      </c>
      <c r="P91" s="1">
        <v>-1.7475787234470901E-5</v>
      </c>
      <c r="AE91">
        <v>100</v>
      </c>
      <c r="AJ91">
        <v>1</v>
      </c>
    </row>
    <row r="92" spans="1:36" x14ac:dyDescent="0.2">
      <c r="A92">
        <v>91</v>
      </c>
      <c r="B92">
        <v>772</v>
      </c>
      <c r="C92">
        <v>175</v>
      </c>
      <c r="D92">
        <v>0.418906855475288</v>
      </c>
      <c r="E92">
        <v>5.7640477638644096</v>
      </c>
      <c r="F92">
        <v>0.40520661383601803</v>
      </c>
      <c r="G92">
        <v>-126.86473153604121</v>
      </c>
      <c r="H92">
        <v>-72.474515787718005</v>
      </c>
      <c r="I92">
        <v>52.043739454056102</v>
      </c>
      <c r="J92">
        <v>22.737273171096401</v>
      </c>
      <c r="K92">
        <v>14.224959729302499</v>
      </c>
      <c r="L92">
        <v>1.6361315365495117E-3</v>
      </c>
      <c r="M92">
        <v>4.3966410692031812E-4</v>
      </c>
      <c r="N92" s="1">
        <v>2.7516458267665299E-7</v>
      </c>
      <c r="O92" s="1">
        <v>8.9262189815400499E-6</v>
      </c>
      <c r="P92" s="1">
        <v>-1.760417331485E-5</v>
      </c>
      <c r="AE92">
        <v>100</v>
      </c>
      <c r="AJ92">
        <v>1</v>
      </c>
    </row>
    <row r="93" spans="1:36" x14ac:dyDescent="0.2">
      <c r="A93">
        <v>92</v>
      </c>
      <c r="B93">
        <v>771</v>
      </c>
      <c r="C93">
        <v>175</v>
      </c>
      <c r="D93">
        <v>0.41828329263037001</v>
      </c>
      <c r="E93">
        <v>5.7969518198687702</v>
      </c>
      <c r="F93">
        <v>0.40587066695355301</v>
      </c>
      <c r="G93">
        <v>-127.53660873681011</v>
      </c>
      <c r="H93">
        <v>-72.911113732016133</v>
      </c>
      <c r="I93">
        <v>52.318931548722801</v>
      </c>
      <c r="J93">
        <v>22.887546359468601</v>
      </c>
      <c r="K93">
        <v>14.282756286332299</v>
      </c>
      <c r="L93">
        <v>1.6387878615539175E-3</v>
      </c>
      <c r="M93">
        <v>4.3914406587744188E-4</v>
      </c>
      <c r="N93" s="1">
        <v>4.3681707362960302E-7</v>
      </c>
      <c r="O93" s="1">
        <v>8.9568502853270603E-6</v>
      </c>
      <c r="P93" s="1">
        <v>-1.7732648000052501E-5</v>
      </c>
      <c r="AE93">
        <v>100</v>
      </c>
      <c r="AJ93">
        <v>1</v>
      </c>
    </row>
    <row r="94" spans="1:36" x14ac:dyDescent="0.2">
      <c r="A94">
        <v>93</v>
      </c>
      <c r="B94">
        <v>770</v>
      </c>
      <c r="C94">
        <v>175</v>
      </c>
      <c r="D94">
        <v>0.41765853424723398</v>
      </c>
      <c r="E94">
        <v>5.8297765220751501</v>
      </c>
      <c r="F94">
        <v>0.40653688768815099</v>
      </c>
      <c r="G94">
        <v>-128.20616880514083</v>
      </c>
      <c r="H94">
        <v>-73.346993608623592</v>
      </c>
      <c r="I94">
        <v>52.5931182980706</v>
      </c>
      <c r="J94">
        <v>23.037770687893602</v>
      </c>
      <c r="K94">
        <v>14.340092372004101</v>
      </c>
      <c r="L94">
        <v>1.6414415699846272E-3</v>
      </c>
      <c r="M94">
        <v>4.3862034339174849E-4</v>
      </c>
      <c r="N94" s="1">
        <v>6.0201500806616199E-7</v>
      </c>
      <c r="O94" s="1">
        <v>8.9870484920991408E-6</v>
      </c>
      <c r="P94" s="1">
        <v>-1.78611508329468E-5</v>
      </c>
      <c r="AE94">
        <v>100</v>
      </c>
      <c r="AJ94">
        <v>1</v>
      </c>
    </row>
    <row r="95" spans="1:36" x14ac:dyDescent="0.2">
      <c r="A95">
        <v>94</v>
      </c>
      <c r="B95">
        <v>769</v>
      </c>
      <c r="C95">
        <v>175</v>
      </c>
      <c r="D95">
        <v>0.41703257688433099</v>
      </c>
      <c r="E95">
        <v>5.8625045119297203</v>
      </c>
      <c r="F95">
        <v>0.407205282041807</v>
      </c>
      <c r="G95">
        <v>-128.8730327166659</v>
      </c>
      <c r="H95">
        <v>-73.781936393150872</v>
      </c>
      <c r="I95">
        <v>52.866143269774703</v>
      </c>
      <c r="J95">
        <v>23.187876470096299</v>
      </c>
      <c r="K95">
        <v>14.3969264900837</v>
      </c>
      <c r="L95">
        <v>1.6440925085012051E-3</v>
      </c>
      <c r="M95">
        <v>4.3809291974000774E-4</v>
      </c>
      <c r="N95" s="1">
        <v>7.7078511598690201E-7</v>
      </c>
      <c r="O95" s="1">
        <v>9.0167858129426905E-6</v>
      </c>
      <c r="P95" s="1">
        <v>-1.79896229452036E-5</v>
      </c>
      <c r="AE95">
        <v>100</v>
      </c>
      <c r="AJ95">
        <v>1</v>
      </c>
    </row>
    <row r="96" spans="1:36" x14ac:dyDescent="0.2">
      <c r="A96">
        <v>95</v>
      </c>
      <c r="B96">
        <v>768</v>
      </c>
      <c r="C96">
        <v>175</v>
      </c>
      <c r="D96">
        <v>0.416405417086878</v>
      </c>
      <c r="E96">
        <v>5.89511916150592</v>
      </c>
      <c r="F96">
        <v>0.407875855975387</v>
      </c>
      <c r="G96">
        <v>-129.53683812674035</v>
      </c>
      <c r="H96">
        <v>-74.215731982867098</v>
      </c>
      <c r="I96">
        <v>53.137856882350498</v>
      </c>
      <c r="J96">
        <v>23.337796634772399</v>
      </c>
      <c r="K96">
        <v>14.4532192213447</v>
      </c>
      <c r="L96">
        <v>1.6467405220001745E-3</v>
      </c>
      <c r="M96">
        <v>4.37561775298123E-4</v>
      </c>
      <c r="N96" s="1">
        <v>9.4315202425369501E-7</v>
      </c>
      <c r="O96" s="1">
        <v>9.0460358221295706E-6</v>
      </c>
      <c r="P96" s="1">
        <v>-1.8118007241412099E-5</v>
      </c>
      <c r="AE96">
        <v>100</v>
      </c>
      <c r="AJ96">
        <v>1</v>
      </c>
    </row>
    <row r="97" spans="1:36" x14ac:dyDescent="0.2">
      <c r="A97">
        <v>96</v>
      </c>
      <c r="B97">
        <v>767</v>
      </c>
      <c r="C97">
        <v>175</v>
      </c>
      <c r="D97">
        <v>0.41577705138682203</v>
      </c>
      <c r="E97">
        <v>5.9979240641687399</v>
      </c>
      <c r="F97">
        <v>0.40854861540745302</v>
      </c>
      <c r="G97">
        <v>-131.74177616324789</v>
      </c>
      <c r="H97">
        <v>-75.533734560239111</v>
      </c>
      <c r="I97">
        <v>54.041699738954001</v>
      </c>
      <c r="J97">
        <v>23.766099813779402</v>
      </c>
      <c r="K97">
        <v>14.6810534608883</v>
      </c>
      <c r="L97">
        <v>1.6493854536155934E-3</v>
      </c>
      <c r="M97">
        <v>4.3702689054680901E-4</v>
      </c>
      <c r="N97" s="1">
        <v>1.1324146927614101E-6</v>
      </c>
      <c r="O97" s="1">
        <v>9.1824279705427795E-6</v>
      </c>
      <c r="P97" s="1">
        <v>-1.8462704639531901E-5</v>
      </c>
      <c r="AE97">
        <v>100</v>
      </c>
      <c r="AJ97">
        <v>1</v>
      </c>
    </row>
    <row r="98" spans="1:36" x14ac:dyDescent="0.2">
      <c r="A98">
        <v>97</v>
      </c>
      <c r="B98">
        <v>766</v>
      </c>
      <c r="C98">
        <v>175</v>
      </c>
      <c r="D98">
        <v>0.41514747630275201</v>
      </c>
      <c r="E98">
        <v>6.1366100599420603</v>
      </c>
      <c r="F98">
        <v>0.40922356621307199</v>
      </c>
      <c r="G98">
        <v>-134.73267376919821</v>
      </c>
      <c r="H98">
        <v>-77.30457724609478</v>
      </c>
      <c r="I98">
        <v>55.2678711140939</v>
      </c>
      <c r="J98">
        <v>24.337466832744699</v>
      </c>
      <c r="K98">
        <v>14.9957396557823</v>
      </c>
      <c r="L98">
        <v>1.6520271447197136E-3</v>
      </c>
      <c r="M98">
        <v>4.3648824607725814E-4</v>
      </c>
      <c r="N98" s="1">
        <v>1.3372623945868501E-6</v>
      </c>
      <c r="O98" s="1">
        <v>9.3728049922461992E-6</v>
      </c>
      <c r="P98" s="1">
        <v>-1.8918943064468701E-5</v>
      </c>
      <c r="AE98">
        <v>100</v>
      </c>
      <c r="AJ98">
        <v>1</v>
      </c>
    </row>
    <row r="99" spans="1:36" x14ac:dyDescent="0.2">
      <c r="A99">
        <v>98</v>
      </c>
      <c r="B99">
        <v>765</v>
      </c>
      <c r="C99">
        <v>175</v>
      </c>
      <c r="D99">
        <v>0.41451668833983701</v>
      </c>
      <c r="E99">
        <v>6.27806740701467</v>
      </c>
      <c r="F99">
        <v>0.40990071422263102</v>
      </c>
      <c r="G99">
        <v>-137.78191831233136</v>
      </c>
      <c r="H99">
        <v>-79.111464305229177</v>
      </c>
      <c r="I99">
        <v>56.517889228714502</v>
      </c>
      <c r="J99">
        <v>24.920852572251199</v>
      </c>
      <c r="K99">
        <v>15.3160684750718</v>
      </c>
      <c r="L99">
        <v>1.6546654349248423E-3</v>
      </c>
      <c r="M99">
        <v>4.3594582259703305E-4</v>
      </c>
      <c r="N99" s="1">
        <v>1.55277132881012E-6</v>
      </c>
      <c r="O99" s="1">
        <v>9.56632391582455E-6</v>
      </c>
      <c r="P99" s="1">
        <v>-1.9384994503615899E-5</v>
      </c>
      <c r="AE99">
        <v>100</v>
      </c>
      <c r="AJ99">
        <v>1</v>
      </c>
    </row>
    <row r="100" spans="1:36" x14ac:dyDescent="0.2">
      <c r="A100">
        <v>99</v>
      </c>
      <c r="B100">
        <v>764</v>
      </c>
      <c r="C100">
        <v>175</v>
      </c>
      <c r="D100">
        <v>0.41388468398978101</v>
      </c>
      <c r="E100">
        <v>6.4231083822965704</v>
      </c>
      <c r="F100">
        <v>0.41058006522061502</v>
      </c>
      <c r="G100">
        <v>-140.90725595997665</v>
      </c>
      <c r="H100">
        <v>-80.964669193824989</v>
      </c>
      <c r="I100">
        <v>57.799028552467803</v>
      </c>
      <c r="J100">
        <v>25.519515109352501</v>
      </c>
      <c r="K100">
        <v>15.6439850016713</v>
      </c>
      <c r="L100">
        <v>1.6573001620850661E-3</v>
      </c>
      <c r="M100">
        <v>4.3539960093590103E-4</v>
      </c>
      <c r="N100" s="1">
        <v>1.7795451744835599E-6</v>
      </c>
      <c r="O100" s="1">
        <v>9.7641830382535196E-6</v>
      </c>
      <c r="P100" s="1">
        <v>-1.9863401463753001E-5</v>
      </c>
      <c r="AE100">
        <v>100</v>
      </c>
      <c r="AJ100">
        <v>1</v>
      </c>
    </row>
    <row r="101" spans="1:36" x14ac:dyDescent="0.2">
      <c r="A101">
        <v>100</v>
      </c>
      <c r="B101">
        <v>763</v>
      </c>
      <c r="C101">
        <v>175</v>
      </c>
      <c r="D101">
        <v>0.41325145973073701</v>
      </c>
      <c r="E101">
        <v>6.5729504910914498</v>
      </c>
      <c r="F101">
        <v>0.41126162494439</v>
      </c>
      <c r="G101">
        <v>-144.13528978810652</v>
      </c>
      <c r="H101">
        <v>-82.879587946187684</v>
      </c>
      <c r="I101">
        <v>59.122195905819801</v>
      </c>
      <c r="J101">
        <v>26.138335570930401</v>
      </c>
      <c r="K101">
        <v>15.9824065568486</v>
      </c>
      <c r="L101">
        <v>1.6599311622991152E-3</v>
      </c>
      <c r="M101">
        <v>4.3484956205187597E-4</v>
      </c>
      <c r="N101" s="1">
        <v>2.0184148410161601E-6</v>
      </c>
      <c r="O101" s="1">
        <v>9.9681831576125E-6</v>
      </c>
      <c r="P101" s="1">
        <v>-2.03579763028866E-5</v>
      </c>
      <c r="AE101">
        <v>100</v>
      </c>
      <c r="AJ101">
        <v>1</v>
      </c>
    </row>
    <row r="102" spans="1:36" x14ac:dyDescent="0.2">
      <c r="A102">
        <v>101</v>
      </c>
      <c r="B102">
        <v>762</v>
      </c>
      <c r="C102">
        <v>175</v>
      </c>
      <c r="D102">
        <v>0.41261701202724399</v>
      </c>
      <c r="E102">
        <v>6.7294749769763698</v>
      </c>
      <c r="F102">
        <v>0.411945399082977</v>
      </c>
      <c r="G102">
        <v>-147.50712801464698</v>
      </c>
      <c r="H102">
        <v>-84.880007893597323</v>
      </c>
      <c r="I102">
        <v>60.504246862646497</v>
      </c>
      <c r="J102">
        <v>26.784854342082902</v>
      </c>
      <c r="K102">
        <v>16.3358420605175</v>
      </c>
      <c r="L102">
        <v>1.6625582699135511E-3</v>
      </c>
      <c r="M102">
        <v>4.342956870372665E-4</v>
      </c>
      <c r="N102" s="1">
        <v>2.2705896066759502E-6</v>
      </c>
      <c r="O102" s="1">
        <v>1.01811111951952E-5</v>
      </c>
      <c r="P102" s="1">
        <v>-2.0874612572498701E-5</v>
      </c>
      <c r="AE102">
        <v>100</v>
      </c>
      <c r="AJ102">
        <v>1</v>
      </c>
    </row>
    <row r="103" spans="1:36" x14ac:dyDescent="0.2">
      <c r="A103">
        <v>102</v>
      </c>
      <c r="B103">
        <v>761</v>
      </c>
      <c r="C103">
        <v>175</v>
      </c>
      <c r="D103">
        <v>0.411981337330175</v>
      </c>
      <c r="E103">
        <v>6.8957148856262904</v>
      </c>
      <c r="F103">
        <v>0.412631393275806</v>
      </c>
      <c r="G103">
        <v>-151.08904797171371</v>
      </c>
      <c r="H103">
        <v>-87.004278898212135</v>
      </c>
      <c r="I103">
        <v>61.972359159700702</v>
      </c>
      <c r="J103">
        <v>27.471227353902901</v>
      </c>
      <c r="K103">
        <v>16.711561451692798</v>
      </c>
      <c r="L103">
        <v>1.6651813175267132E-3</v>
      </c>
      <c r="M103">
        <v>4.3373795712486939E-4</v>
      </c>
      <c r="N103" s="1">
        <v>2.53794213136235E-6</v>
      </c>
      <c r="O103" s="1">
        <v>1.04074645275264E-5</v>
      </c>
      <c r="P103" s="1">
        <v>-2.1422816732584801E-5</v>
      </c>
      <c r="AE103">
        <v>100</v>
      </c>
      <c r="AJ103">
        <v>1</v>
      </c>
    </row>
    <row r="104" spans="1:36" x14ac:dyDescent="0.2">
      <c r="A104">
        <v>103</v>
      </c>
      <c r="B104">
        <v>760</v>
      </c>
      <c r="C104">
        <v>175</v>
      </c>
      <c r="D104">
        <v>0.41134443207665999</v>
      </c>
      <c r="E104">
        <v>7.0768500286785203</v>
      </c>
      <c r="F104">
        <v>0.41331961311145299</v>
      </c>
      <c r="G104">
        <v>-154.99423571894644</v>
      </c>
      <c r="H104">
        <v>-89.317893948989536</v>
      </c>
      <c r="I104">
        <v>63.572948340620101</v>
      </c>
      <c r="J104">
        <v>28.218214122924799</v>
      </c>
      <c r="K104">
        <v>17.121979708159198</v>
      </c>
      <c r="L104">
        <v>1.6678001359930626E-3</v>
      </c>
      <c r="M104">
        <v>4.3317635369420935E-4</v>
      </c>
      <c r="N104" s="1">
        <v>2.8235893967947499E-6</v>
      </c>
      <c r="O104" s="1">
        <v>1.0654927635412E-5</v>
      </c>
      <c r="P104" s="1">
        <v>-2.2018830638226998E-5</v>
      </c>
      <c r="AE104">
        <v>100</v>
      </c>
      <c r="AJ104">
        <v>1</v>
      </c>
    </row>
    <row r="105" spans="1:36" x14ac:dyDescent="0.2">
      <c r="A105">
        <v>104</v>
      </c>
      <c r="B105">
        <v>759</v>
      </c>
      <c r="C105">
        <v>175</v>
      </c>
      <c r="D105">
        <v>0.41070629269001901</v>
      </c>
      <c r="E105">
        <v>7.2823764927735999</v>
      </c>
      <c r="F105">
        <v>0.41401006412639402</v>
      </c>
      <c r="G105">
        <v>-159.43018596003239</v>
      </c>
      <c r="H105">
        <v>-91.940922415462438</v>
      </c>
      <c r="I105">
        <v>65.391106881352698</v>
      </c>
      <c r="J105">
        <v>29.0638748828117</v>
      </c>
      <c r="K105">
        <v>17.5898537832412</v>
      </c>
      <c r="L105">
        <v>1.6704145544284377E-3</v>
      </c>
      <c r="M105">
        <v>4.3261085827785302E-4</v>
      </c>
      <c r="N105" s="1">
        <v>3.1331708697991201E-6</v>
      </c>
      <c r="O105" s="1">
        <v>1.09375906223432E-5</v>
      </c>
      <c r="P105" s="1">
        <v>-2.2692441689224301E-5</v>
      </c>
      <c r="AE105">
        <v>100</v>
      </c>
      <c r="AJ105">
        <v>1</v>
      </c>
    </row>
    <row r="106" spans="1:36" x14ac:dyDescent="0.2">
      <c r="A106">
        <v>105</v>
      </c>
      <c r="B106">
        <v>758</v>
      </c>
      <c r="C106">
        <v>175</v>
      </c>
      <c r="D106">
        <v>0.41006691557969399</v>
      </c>
      <c r="E106">
        <v>7.5999147353304899</v>
      </c>
      <c r="F106">
        <v>0.41470275180371802</v>
      </c>
      <c r="G106">
        <v>-166.31369731671029</v>
      </c>
      <c r="H106">
        <v>-95.980227629001561</v>
      </c>
      <c r="I106">
        <v>68.212984362710102</v>
      </c>
      <c r="J106">
        <v>30.3584808089768</v>
      </c>
      <c r="K106">
        <v>18.326173873395401</v>
      </c>
      <c r="L106">
        <v>1.6730244002158934E-3</v>
      </c>
      <c r="M106">
        <v>4.3204145256789736E-4</v>
      </c>
      <c r="N106" s="1">
        <v>3.5096300038298999E-6</v>
      </c>
      <c r="O106" s="1">
        <v>1.1386450554562599E-5</v>
      </c>
      <c r="P106" s="1">
        <v>-2.3717419205285699E-5</v>
      </c>
      <c r="AE106">
        <v>100</v>
      </c>
      <c r="AJ106">
        <v>1</v>
      </c>
    </row>
    <row r="107" spans="1:36" x14ac:dyDescent="0.2">
      <c r="A107">
        <v>106</v>
      </c>
      <c r="B107">
        <v>757</v>
      </c>
      <c r="C107">
        <v>175</v>
      </c>
      <c r="D107">
        <v>0.40942629714119499</v>
      </c>
      <c r="E107">
        <v>9.3152520924646591</v>
      </c>
      <c r="F107">
        <v>0.41539768157183499</v>
      </c>
      <c r="G107">
        <v>-203.76790884283935</v>
      </c>
      <c r="H107">
        <v>-117.68065453856228</v>
      </c>
      <c r="I107">
        <v>83.572863236952202</v>
      </c>
      <c r="J107">
        <v>37.244050843603297</v>
      </c>
      <c r="K107">
        <v>22.424901499730101</v>
      </c>
      <c r="L107">
        <v>1.6756294990119024E-3</v>
      </c>
      <c r="M107">
        <v>4.3146811842239522E-4</v>
      </c>
      <c r="N107" s="1">
        <v>4.5986176433398E-6</v>
      </c>
      <c r="O107" s="1">
        <v>1.3921895766343201E-5</v>
      </c>
      <c r="P107" s="1">
        <v>-2.9113914922705699E-5</v>
      </c>
      <c r="AE107">
        <v>100</v>
      </c>
      <c r="AJ107">
        <v>1</v>
      </c>
    </row>
    <row r="108" spans="1:36" x14ac:dyDescent="0.2">
      <c r="A108">
        <v>107</v>
      </c>
      <c r="B108">
        <v>756</v>
      </c>
      <c r="C108">
        <v>175</v>
      </c>
      <c r="D108">
        <v>0.40878443375601398</v>
      </c>
      <c r="E108">
        <v>9.8555870990293499</v>
      </c>
      <c r="F108">
        <v>0.41609485880319902</v>
      </c>
      <c r="G108">
        <v>-215.49914831069961</v>
      </c>
      <c r="H108">
        <v>-124.54619117531895</v>
      </c>
      <c r="I108">
        <v>88.382254391994394</v>
      </c>
      <c r="J108">
        <v>39.439901449431602</v>
      </c>
      <c r="K108">
        <v>23.685914138368901</v>
      </c>
      <c r="L108">
        <v>1.6782296747537668E-3</v>
      </c>
      <c r="M108">
        <v>4.3089083787200736E-4</v>
      </c>
      <c r="N108" s="1">
        <v>5.1824719087636198E-6</v>
      </c>
      <c r="O108" s="1">
        <v>1.46927580600615E-5</v>
      </c>
      <c r="P108" s="1">
        <v>-3.0848380350751999E-5</v>
      </c>
      <c r="AE108">
        <v>100</v>
      </c>
      <c r="AJ108">
        <v>1</v>
      </c>
    </row>
    <row r="109" spans="1:36" x14ac:dyDescent="0.2">
      <c r="A109">
        <v>108</v>
      </c>
      <c r="B109">
        <v>755</v>
      </c>
      <c r="C109">
        <v>175</v>
      </c>
      <c r="D109">
        <v>0.40814132179156798</v>
      </c>
      <c r="E109">
        <v>10.122456065243</v>
      </c>
      <c r="F109">
        <v>0.41679428881299901</v>
      </c>
      <c r="G109">
        <v>-221.24366489354753</v>
      </c>
      <c r="H109">
        <v>-127.95917118397458</v>
      </c>
      <c r="I109">
        <v>90.736066138718499</v>
      </c>
      <c r="J109">
        <v>40.544342797750097</v>
      </c>
      <c r="K109">
        <v>24.286455781510501</v>
      </c>
      <c r="L109">
        <v>1.6808247496673272E-3</v>
      </c>
      <c r="M109">
        <v>4.3030959312664792E-4</v>
      </c>
      <c r="N109" s="1">
        <v>5.6516288481258097E-6</v>
      </c>
      <c r="O109" s="1">
        <v>1.50527780154274E-5</v>
      </c>
      <c r="P109" s="1">
        <v>-3.1730442476660498E-5</v>
      </c>
      <c r="AE109">
        <v>100</v>
      </c>
      <c r="AJ109">
        <v>1</v>
      </c>
    </row>
    <row r="110" spans="1:36" x14ac:dyDescent="0.2">
      <c r="A110">
        <v>109</v>
      </c>
      <c r="B110">
        <v>754</v>
      </c>
      <c r="C110">
        <v>175</v>
      </c>
      <c r="D110">
        <v>0.40749695760112897</v>
      </c>
      <c r="E110">
        <v>10.297530628351</v>
      </c>
      <c r="F110">
        <v>0.41749597685781797</v>
      </c>
      <c r="G110">
        <v>-224.97793486443987</v>
      </c>
      <c r="H110">
        <v>-130.21357372010371</v>
      </c>
      <c r="I110">
        <v>92.265252420486306</v>
      </c>
      <c r="J110">
        <v>41.282739148889704</v>
      </c>
      <c r="K110">
        <v>24.664981698393401</v>
      </c>
      <c r="L110">
        <v>1.6834145442753245E-3</v>
      </c>
      <c r="M110">
        <v>4.2972436658222473E-4</v>
      </c>
      <c r="N110" s="1">
        <v>6.0870787823836102E-6</v>
      </c>
      <c r="O110" s="1">
        <v>1.5274484917722401E-5</v>
      </c>
      <c r="P110" s="1">
        <v>-3.2326603617740198E-5</v>
      </c>
      <c r="AE110">
        <v>100</v>
      </c>
      <c r="AJ110">
        <v>1</v>
      </c>
    </row>
    <row r="111" spans="1:36" x14ac:dyDescent="0.2">
      <c r="A111">
        <v>110</v>
      </c>
      <c r="B111">
        <v>753</v>
      </c>
      <c r="C111">
        <v>175</v>
      </c>
      <c r="D111">
        <v>0.40685133752375702</v>
      </c>
      <c r="E111">
        <v>10.417632240426901</v>
      </c>
      <c r="F111">
        <v>0.41819992813434598</v>
      </c>
      <c r="G111">
        <v>-227.50856454762811</v>
      </c>
      <c r="H111">
        <v>-131.77405678806181</v>
      </c>
      <c r="I111">
        <v>93.300657183111795</v>
      </c>
      <c r="J111">
        <v>41.801846914668097</v>
      </c>
      <c r="K111">
        <v>24.910650479787499</v>
      </c>
      <c r="L111">
        <v>1.6859988774069192E-3</v>
      </c>
      <c r="M111">
        <v>4.2913514082751174E-4</v>
      </c>
      <c r="N111" s="1">
        <v>6.5029410781689604E-6</v>
      </c>
      <c r="O111" s="1">
        <v>1.54133822998234E-5</v>
      </c>
      <c r="P111" s="1">
        <v>-3.2751339490025602E-5</v>
      </c>
      <c r="AE111">
        <v>100</v>
      </c>
      <c r="AJ111">
        <v>1</v>
      </c>
    </row>
    <row r="112" spans="1:36" x14ac:dyDescent="0.2">
      <c r="A112">
        <v>111</v>
      </c>
      <c r="B112">
        <v>793</v>
      </c>
      <c r="C112">
        <v>150</v>
      </c>
      <c r="D112">
        <v>0.45752520752239401</v>
      </c>
      <c r="E112">
        <v>5.9188296027691401</v>
      </c>
      <c r="F112">
        <v>0.34480836651431102</v>
      </c>
      <c r="G112">
        <v>-131.80035810096581</v>
      </c>
      <c r="H112">
        <v>-73.636515433875914</v>
      </c>
      <c r="I112">
        <v>54.558204553624101</v>
      </c>
      <c r="J112">
        <v>22.727655270439701</v>
      </c>
      <c r="K112">
        <v>17.1655626068559</v>
      </c>
      <c r="L112">
        <v>1.683602602127073E-3</v>
      </c>
      <c r="M112">
        <v>5.7880221804351034E-4</v>
      </c>
      <c r="N112" s="1">
        <v>-1.2306208070935101E-5</v>
      </c>
      <c r="O112" s="1">
        <v>1.6251306320402699E-5</v>
      </c>
      <c r="P112" s="1">
        <v>-2.3022047639657299E-5</v>
      </c>
      <c r="AE112">
        <v>100</v>
      </c>
      <c r="AJ112">
        <v>1</v>
      </c>
    </row>
    <row r="113" spans="1:36" x14ac:dyDescent="0.2">
      <c r="A113">
        <v>112</v>
      </c>
      <c r="B113">
        <v>792</v>
      </c>
      <c r="C113">
        <v>150</v>
      </c>
      <c r="D113">
        <v>0.456950194808243</v>
      </c>
      <c r="E113">
        <v>5.9467704978018503</v>
      </c>
      <c r="F113">
        <v>0.34538998947148503</v>
      </c>
      <c r="G113">
        <v>-132.36774025281454</v>
      </c>
      <c r="H113">
        <v>-74.006976488174445</v>
      </c>
      <c r="I113">
        <v>54.794317112042798</v>
      </c>
      <c r="J113">
        <v>22.8584636524416</v>
      </c>
      <c r="K113">
        <v>17.217553140151999</v>
      </c>
      <c r="L113">
        <v>1.6871577057192089E-3</v>
      </c>
      <c r="M113">
        <v>5.7843369134338157E-4</v>
      </c>
      <c r="N113" s="1">
        <v>-1.22634062423105E-5</v>
      </c>
      <c r="O113" s="1">
        <v>1.6302283587088902E-5</v>
      </c>
      <c r="P113" s="1">
        <v>-2.31793843760642E-5</v>
      </c>
      <c r="AE113">
        <v>100</v>
      </c>
      <c r="AJ113">
        <v>1</v>
      </c>
    </row>
    <row r="114" spans="1:36" x14ac:dyDescent="0.2">
      <c r="A114">
        <v>113</v>
      </c>
      <c r="B114">
        <v>791</v>
      </c>
      <c r="C114">
        <v>150</v>
      </c>
      <c r="D114">
        <v>0.45637410139548201</v>
      </c>
      <c r="E114">
        <v>5.9747886149401701</v>
      </c>
      <c r="F114">
        <v>0.34597382474481803</v>
      </c>
      <c r="G114">
        <v>-132.93634711994082</v>
      </c>
      <c r="H114">
        <v>-74.378637225116549</v>
      </c>
      <c r="I114">
        <v>55.030896993622903</v>
      </c>
      <c r="J114">
        <v>22.989879821026499</v>
      </c>
      <c r="K114">
        <v>17.269481641702299</v>
      </c>
      <c r="L114">
        <v>1.6907200999054417E-3</v>
      </c>
      <c r="M114">
        <v>5.7806149437167722E-4</v>
      </c>
      <c r="N114" s="1">
        <v>-1.22177552778959E-5</v>
      </c>
      <c r="O114" s="1">
        <v>1.63531433146683E-5</v>
      </c>
      <c r="P114" s="1">
        <v>-2.33377057906866E-5</v>
      </c>
      <c r="AE114">
        <v>100</v>
      </c>
      <c r="AJ114">
        <v>1</v>
      </c>
    </row>
    <row r="115" spans="1:36" x14ac:dyDescent="0.2">
      <c r="A115">
        <v>114</v>
      </c>
      <c r="B115">
        <v>790</v>
      </c>
      <c r="C115">
        <v>150</v>
      </c>
      <c r="D115">
        <v>0.45579692423458601</v>
      </c>
      <c r="E115">
        <v>6.0028682204836699</v>
      </c>
      <c r="F115">
        <v>0.34655988274475702</v>
      </c>
      <c r="G115">
        <v>-133.50582699140199</v>
      </c>
      <c r="H115">
        <v>-74.751303033246103</v>
      </c>
      <c r="I115">
        <v>55.267797740648</v>
      </c>
      <c r="J115">
        <v>23.1218451823012</v>
      </c>
      <c r="K115">
        <v>17.321301510552502</v>
      </c>
      <c r="L115">
        <v>1.6942896990151197E-3</v>
      </c>
      <c r="M115">
        <v>5.7768559114277133E-4</v>
      </c>
      <c r="N115" s="1">
        <v>-1.21691642832085E-5</v>
      </c>
      <c r="O115" s="1">
        <v>1.6403839206236999E-5</v>
      </c>
      <c r="P115" s="1">
        <v>-2.3496954663613498E-5</v>
      </c>
      <c r="AE115">
        <v>100</v>
      </c>
      <c r="AJ115">
        <v>1</v>
      </c>
    </row>
    <row r="116" spans="1:36" x14ac:dyDescent="0.2">
      <c r="A116">
        <v>115</v>
      </c>
      <c r="B116">
        <v>789</v>
      </c>
      <c r="C116">
        <v>150</v>
      </c>
      <c r="D116">
        <v>0.45521866026455898</v>
      </c>
      <c r="E116">
        <v>6.0309935349174504</v>
      </c>
      <c r="F116">
        <v>0.34714817390574498</v>
      </c>
      <c r="G116">
        <v>-134.07582771970769</v>
      </c>
      <c r="H116">
        <v>-75.124778491228753</v>
      </c>
      <c r="I116">
        <v>55.504872695311398</v>
      </c>
      <c r="J116">
        <v>23.254300705106001</v>
      </c>
      <c r="K116">
        <v>17.372966324618801</v>
      </c>
      <c r="L116">
        <v>1.6978664150258207E-3</v>
      </c>
      <c r="M116">
        <v>5.7730594539334094E-4</v>
      </c>
      <c r="N116" s="1">
        <v>-1.2117542590164701E-5</v>
      </c>
      <c r="O116" s="1">
        <v>1.64543250744142E-5</v>
      </c>
      <c r="P116" s="1">
        <v>-2.3657073011439699E-5</v>
      </c>
      <c r="AE116">
        <v>100</v>
      </c>
      <c r="AJ116">
        <v>1</v>
      </c>
    </row>
    <row r="117" spans="1:36" x14ac:dyDescent="0.2">
      <c r="A117">
        <v>116</v>
      </c>
      <c r="B117">
        <v>788</v>
      </c>
      <c r="C117">
        <v>150</v>
      </c>
      <c r="D117">
        <v>0.45463930641285699</v>
      </c>
      <c r="E117">
        <v>6.0591488137605598</v>
      </c>
      <c r="F117">
        <v>0.34773870868548101</v>
      </c>
      <c r="G117">
        <v>-134.64599851897555</v>
      </c>
      <c r="H117">
        <v>-75.498868373730076</v>
      </c>
      <c r="I117">
        <v>55.7419757454375</v>
      </c>
      <c r="J117">
        <v>23.387187229253499</v>
      </c>
      <c r="K117">
        <v>17.4244300747112</v>
      </c>
      <c r="L117">
        <v>1.701450157528024E-3</v>
      </c>
      <c r="M117">
        <v>5.7692252058317889E-4</v>
      </c>
      <c r="N117" s="1">
        <v>-1.2062799975217099E-5</v>
      </c>
      <c r="O117" s="1">
        <v>1.65045550643991E-5</v>
      </c>
      <c r="P117" s="1">
        <v>-2.3818002393933499E-5</v>
      </c>
      <c r="AE117">
        <v>100</v>
      </c>
      <c r="AJ117">
        <v>1</v>
      </c>
    </row>
    <row r="118" spans="1:36" x14ac:dyDescent="0.2">
      <c r="A118">
        <v>117</v>
      </c>
      <c r="B118">
        <v>787</v>
      </c>
      <c r="C118">
        <v>150</v>
      </c>
      <c r="D118">
        <v>0.45405885959534198</v>
      </c>
      <c r="E118">
        <v>6.0873184255113904</v>
      </c>
      <c r="F118">
        <v>0.34833149756415499</v>
      </c>
      <c r="G118">
        <v>-135.21599169413417</v>
      </c>
      <c r="H118">
        <v>-75.873378622972893</v>
      </c>
      <c r="I118">
        <v>55.978962041756802</v>
      </c>
      <c r="J118">
        <v>23.5204457645007</v>
      </c>
      <c r="K118">
        <v>17.475647387845601</v>
      </c>
      <c r="L118">
        <v>1.7050408336895921E-3</v>
      </c>
      <c r="M118">
        <v>5.7653527989610215E-4</v>
      </c>
      <c r="N118" s="1">
        <v>-1.2004846864606501E-5</v>
      </c>
      <c r="O118" s="1">
        <v>1.65544838670637E-5</v>
      </c>
      <c r="P118" s="1">
        <v>-2.39796842132617E-5</v>
      </c>
      <c r="AE118">
        <v>100</v>
      </c>
      <c r="AJ118">
        <v>1</v>
      </c>
    </row>
    <row r="119" spans="1:36" x14ac:dyDescent="0.2">
      <c r="A119">
        <v>118</v>
      </c>
      <c r="B119">
        <v>786</v>
      </c>
      <c r="C119">
        <v>150</v>
      </c>
      <c r="D119">
        <v>0.45347731671623798</v>
      </c>
      <c r="E119">
        <v>6.1154869264312399</v>
      </c>
      <c r="F119">
        <v>0.34892655104366499</v>
      </c>
      <c r="G119">
        <v>-135.78546429562309</v>
      </c>
      <c r="H119">
        <v>-76.248117282678351</v>
      </c>
      <c r="I119">
        <v>56.2156886844148</v>
      </c>
      <c r="J119">
        <v>23.6540177791865</v>
      </c>
      <c r="K119">
        <v>17.526573739199101</v>
      </c>
      <c r="L119">
        <v>1.7086383482201085E-3</v>
      </c>
      <c r="M119">
        <v>5.7614418624103096E-4</v>
      </c>
      <c r="N119" s="1">
        <v>-1.19435945260099E-5</v>
      </c>
      <c r="O119" s="1">
        <v>1.6604066921449301E-5</v>
      </c>
      <c r="P119" s="1">
        <v>-2.41420600046573E-5</v>
      </c>
      <c r="AE119">
        <v>100</v>
      </c>
      <c r="AJ119">
        <v>1</v>
      </c>
    </row>
    <row r="120" spans="1:36" x14ac:dyDescent="0.2">
      <c r="A120">
        <v>119</v>
      </c>
      <c r="B120">
        <v>785</v>
      </c>
      <c r="C120">
        <v>150</v>
      </c>
      <c r="D120">
        <v>0.452894674668055</v>
      </c>
      <c r="E120">
        <v>6.1436391308712199</v>
      </c>
      <c r="F120">
        <v>0.34952387964680498</v>
      </c>
      <c r="G120">
        <v>-136.35407967106016</v>
      </c>
      <c r="H120">
        <v>-76.622895378162312</v>
      </c>
      <c r="I120">
        <v>56.452015366886698</v>
      </c>
      <c r="J120">
        <v>23.787845473463499</v>
      </c>
      <c r="K120">
        <v>17.577165649109201</v>
      </c>
      <c r="L120">
        <v>1.7122426033349327E-3</v>
      </c>
      <c r="M120">
        <v>5.7574920225310182E-4</v>
      </c>
      <c r="N120" s="1">
        <v>-1.1878955243953999E-5</v>
      </c>
      <c r="O120" s="1">
        <v>1.6653260603219198E-5</v>
      </c>
      <c r="P120" s="1">
        <v>-2.4305071713268199E-5</v>
      </c>
      <c r="AE120">
        <v>100</v>
      </c>
      <c r="AJ120">
        <v>1</v>
      </c>
    </row>
    <row r="121" spans="1:36" x14ac:dyDescent="0.2">
      <c r="A121">
        <v>120</v>
      </c>
      <c r="B121">
        <v>784</v>
      </c>
      <c r="C121">
        <v>150</v>
      </c>
      <c r="D121">
        <v>0.45231093033155201</v>
      </c>
      <c r="E121">
        <v>6.1717601762882603</v>
      </c>
      <c r="F121">
        <v>0.35012349391644099</v>
      </c>
      <c r="G121">
        <v>-136.92150889521716</v>
      </c>
      <c r="H121">
        <v>-76.997527731814316</v>
      </c>
      <c r="I121">
        <v>56.687804969555103</v>
      </c>
      <c r="J121">
        <v>23.921872033710802</v>
      </c>
      <c r="K121">
        <v>17.627380862825401</v>
      </c>
      <c r="L121">
        <v>1.7158534987191804E-3</v>
      </c>
      <c r="M121">
        <v>5.7535029029500318E-4</v>
      </c>
      <c r="N121" s="1">
        <v>-1.1810842477371999E-5</v>
      </c>
      <c r="O121" s="1">
        <v>1.6702022396885901E-5</v>
      </c>
      <c r="P121" s="1">
        <v>-2.44686619536187E-5</v>
      </c>
      <c r="AE121">
        <v>100</v>
      </c>
      <c r="AJ121">
        <v>1</v>
      </c>
    </row>
    <row r="122" spans="1:36" x14ac:dyDescent="0.2">
      <c r="A122">
        <v>121</v>
      </c>
      <c r="B122">
        <v>783</v>
      </c>
      <c r="C122">
        <v>150</v>
      </c>
      <c r="D122">
        <v>0.45172608057567798</v>
      </c>
      <c r="E122">
        <v>6.1998355827943001</v>
      </c>
      <c r="F122">
        <v>0.35072540441465599</v>
      </c>
      <c r="G122">
        <v>-137.48743207519348</v>
      </c>
      <c r="H122">
        <v>-77.37183371187794</v>
      </c>
      <c r="I122">
        <v>56.922924101642302</v>
      </c>
      <c r="J122">
        <v>24.056041867385002</v>
      </c>
      <c r="K122">
        <v>17.677178512749901</v>
      </c>
      <c r="L122">
        <v>1.7194709314914001E-3</v>
      </c>
      <c r="M122">
        <v>5.7494741245833628E-4</v>
      </c>
      <c r="N122" s="1">
        <v>-1.1739170999194101E-5</v>
      </c>
      <c r="O122" s="1">
        <v>1.67503110515197E-5</v>
      </c>
      <c r="P122" s="1">
        <v>-2.4632774250791498E-5</v>
      </c>
      <c r="AE122">
        <v>100</v>
      </c>
      <c r="AJ122">
        <v>1</v>
      </c>
    </row>
    <row r="123" spans="1:36" x14ac:dyDescent="0.2">
      <c r="A123">
        <v>122</v>
      </c>
      <c r="B123">
        <v>782</v>
      </c>
      <c r="C123">
        <v>150</v>
      </c>
      <c r="D123">
        <v>0.451140122257502</v>
      </c>
      <c r="E123">
        <v>6.2278513066161496</v>
      </c>
      <c r="F123">
        <v>0.35132962172186999</v>
      </c>
      <c r="G123">
        <v>-138.05153951734283</v>
      </c>
      <c r="H123">
        <v>-77.745637906611648</v>
      </c>
      <c r="I123">
        <v>57.157243585919197</v>
      </c>
      <c r="J123">
        <v>24.190300815771302</v>
      </c>
      <c r="K123">
        <v>17.726519261579401</v>
      </c>
      <c r="L123">
        <v>1.7230947961672878E-3</v>
      </c>
      <c r="M123">
        <v>5.7454053056520214E-4</v>
      </c>
      <c r="N123" s="1">
        <v>-1.16638570170797E-5</v>
      </c>
      <c r="O123" s="1">
        <v>1.6798086718419901E-5</v>
      </c>
      <c r="P123" s="1">
        <v>-2.47973532605865E-5</v>
      </c>
      <c r="AE123">
        <v>100</v>
      </c>
      <c r="AJ123">
        <v>1</v>
      </c>
    </row>
    <row r="124" spans="1:36" x14ac:dyDescent="0.2">
      <c r="A124">
        <v>123</v>
      </c>
      <c r="B124">
        <v>781</v>
      </c>
      <c r="C124">
        <v>150</v>
      </c>
      <c r="D124">
        <v>0.45055305222216901</v>
      </c>
      <c r="E124">
        <v>6.25579378715255</v>
      </c>
      <c r="F124">
        <v>0.35193615643595</v>
      </c>
      <c r="G124">
        <v>-138.61353274940797</v>
      </c>
      <c r="H124">
        <v>-78.118770719766545</v>
      </c>
      <c r="I124">
        <v>57.390638883456901</v>
      </c>
      <c r="J124">
        <v>24.324596343239499</v>
      </c>
      <c r="K124">
        <v>17.775365425663601</v>
      </c>
      <c r="L124">
        <v>1.7267249846231801E-3</v>
      </c>
      <c r="M124">
        <v>5.7412960616987248E-4</v>
      </c>
      <c r="N124" s="1">
        <v>-1.15848182750758E-5</v>
      </c>
      <c r="O124" s="1">
        <v>1.6845311070068801E-5</v>
      </c>
      <c r="P124" s="1">
        <v>-2.4962344967083002E-5</v>
      </c>
      <c r="AE124">
        <v>100</v>
      </c>
      <c r="AJ124">
        <v>1</v>
      </c>
    </row>
    <row r="125" spans="1:36" x14ac:dyDescent="0.2">
      <c r="A125">
        <v>124</v>
      </c>
      <c r="B125">
        <v>780</v>
      </c>
      <c r="C125">
        <v>150</v>
      </c>
      <c r="D125">
        <v>0.44996486730285301</v>
      </c>
      <c r="E125">
        <v>6.2836499872767098</v>
      </c>
      <c r="F125">
        <v>0.35254501917127701</v>
      </c>
      <c r="G125">
        <v>-139.17312539048206</v>
      </c>
      <c r="H125">
        <v>-78.491068882807724</v>
      </c>
      <c r="I125">
        <v>57.6229904553552</v>
      </c>
      <c r="J125">
        <v>24.458877701482301</v>
      </c>
      <c r="K125">
        <v>17.8236810778027</v>
      </c>
      <c r="L125">
        <v>1.7303613860593157E-3</v>
      </c>
      <c r="M125">
        <v>5.7371460056058554E-4</v>
      </c>
      <c r="N125" s="1">
        <v>-1.15019741360228E-5</v>
      </c>
      <c r="O125" s="1">
        <v>1.6891947399605701E-5</v>
      </c>
      <c r="P125" s="1">
        <v>-2.5127696855858799E-5</v>
      </c>
      <c r="AE125">
        <v>100</v>
      </c>
      <c r="AJ125">
        <v>1</v>
      </c>
    </row>
    <row r="126" spans="1:36" x14ac:dyDescent="0.2">
      <c r="A126">
        <v>125</v>
      </c>
      <c r="B126">
        <v>779</v>
      </c>
      <c r="C126">
        <v>150</v>
      </c>
      <c r="D126">
        <v>0.44937556432067799</v>
      </c>
      <c r="E126">
        <v>6.3114074276507601</v>
      </c>
      <c r="F126">
        <v>0.35315622055781098</v>
      </c>
      <c r="G126">
        <v>-139.73004388620873</v>
      </c>
      <c r="H126">
        <v>-78.862375893281779</v>
      </c>
      <c r="I126">
        <v>57.854184068642098</v>
      </c>
      <c r="J126">
        <v>24.593096071539001</v>
      </c>
      <c r="K126">
        <v>17.871432131881701</v>
      </c>
      <c r="L126">
        <v>1.7340038869632503E-3</v>
      </c>
      <c r="M126">
        <v>5.7329547476154977E-4</v>
      </c>
      <c r="N126" s="1">
        <v>-1.1415245646710199E-5</v>
      </c>
      <c r="O126" s="1">
        <v>1.6937960703080399E-5</v>
      </c>
      <c r="P126" s="1">
        <v>-2.5293358065569399E-5</v>
      </c>
      <c r="AE126">
        <v>100</v>
      </c>
      <c r="AJ126">
        <v>1</v>
      </c>
    </row>
    <row r="127" spans="1:36" x14ac:dyDescent="0.2">
      <c r="A127">
        <v>126</v>
      </c>
      <c r="B127">
        <v>778</v>
      </c>
      <c r="C127">
        <v>150</v>
      </c>
      <c r="D127">
        <v>0.44878514008467002</v>
      </c>
      <c r="E127">
        <v>6.33905421388629</v>
      </c>
      <c r="F127">
        <v>0.353769771240103</v>
      </c>
      <c r="G127">
        <v>-140.28402808380199</v>
      </c>
      <c r="H127">
        <v>-79.232542364595943</v>
      </c>
      <c r="I127">
        <v>58.0841110358081</v>
      </c>
      <c r="J127">
        <v>24.7272046788841</v>
      </c>
      <c r="K127">
        <v>17.9185864062534</v>
      </c>
      <c r="L127">
        <v>1.7376523710728438E-3</v>
      </c>
      <c r="M127">
        <v>5.7287218953501972E-4</v>
      </c>
      <c r="N127" s="1">
        <v>-1.1324555584214199E-5</v>
      </c>
      <c r="O127" s="1">
        <v>1.6983317741528201E-5</v>
      </c>
      <c r="P127" s="1">
        <v>-2.5459279512865102E-5</v>
      </c>
      <c r="AE127">
        <v>100</v>
      </c>
      <c r="AJ127">
        <v>1</v>
      </c>
    </row>
    <row r="128" spans="1:36" x14ac:dyDescent="0.2">
      <c r="A128">
        <v>127</v>
      </c>
      <c r="B128">
        <v>777</v>
      </c>
      <c r="C128">
        <v>150</v>
      </c>
      <c r="D128">
        <v>0.44819359139171</v>
      </c>
      <c r="E128">
        <v>6.3665790581860504</v>
      </c>
      <c r="F128">
        <v>0.35438568187631497</v>
      </c>
      <c r="G128">
        <v>-140.83483168352413</v>
      </c>
      <c r="H128">
        <v>-79.601426307464948</v>
      </c>
      <c r="I128">
        <v>58.312668403131902</v>
      </c>
      <c r="J128">
        <v>24.861158887786299</v>
      </c>
      <c r="K128">
        <v>17.965113670726801</v>
      </c>
      <c r="L128">
        <v>1.7413067193394398E-3</v>
      </c>
      <c r="M128">
        <v>5.7244470538355828E-4</v>
      </c>
      <c r="N128" s="1">
        <v>-1.1229828487088701E-5</v>
      </c>
      <c r="O128" s="1">
        <v>1.70279870874576E-5</v>
      </c>
      <c r="P128" s="1">
        <v>-2.56254139968194E-5</v>
      </c>
      <c r="AE128">
        <v>100</v>
      </c>
      <c r="AJ128">
        <v>1</v>
      </c>
    </row>
    <row r="129" spans="1:36" x14ac:dyDescent="0.2">
      <c r="A129">
        <v>128</v>
      </c>
      <c r="B129">
        <v>776</v>
      </c>
      <c r="C129">
        <v>150</v>
      </c>
      <c r="D129">
        <v>0.447600915026452</v>
      </c>
      <c r="E129">
        <v>6.39397129437112</v>
      </c>
      <c r="F129">
        <v>0.35500396313718702</v>
      </c>
      <c r="G129">
        <v>-141.38222254274308</v>
      </c>
      <c r="H129">
        <v>-79.968893329165397</v>
      </c>
      <c r="I129">
        <v>58.539759077907902</v>
      </c>
      <c r="J129">
        <v>24.9949162704815</v>
      </c>
      <c r="K129">
        <v>18.010985674264798</v>
      </c>
      <c r="L129">
        <v>1.7449668098908986E-3</v>
      </c>
      <c r="M129">
        <v>5.7201298255247102E-4</v>
      </c>
      <c r="N129" s="1">
        <v>-1.11309906700712E-5</v>
      </c>
      <c r="O129" s="1">
        <v>1.7071939152994501E-5</v>
      </c>
      <c r="P129" s="1">
        <v>-2.57917162781407E-5</v>
      </c>
      <c r="AE129">
        <v>100</v>
      </c>
      <c r="AJ129">
        <v>1</v>
      </c>
    </row>
    <row r="130" spans="1:36" x14ac:dyDescent="0.2">
      <c r="A130">
        <v>129</v>
      </c>
      <c r="B130">
        <v>775</v>
      </c>
      <c r="C130">
        <v>150</v>
      </c>
      <c r="D130">
        <v>0.44700710776129698</v>
      </c>
      <c r="E130">
        <v>6.4218339803541298</v>
      </c>
      <c r="F130">
        <v>0.35562462570499698</v>
      </c>
      <c r="G130">
        <v>-141.93953383500573</v>
      </c>
      <c r="H130">
        <v>-80.342487067317435</v>
      </c>
      <c r="I130">
        <v>58.7709027671971</v>
      </c>
      <c r="J130">
        <v>25.130835898032998</v>
      </c>
      <c r="K130">
        <v>18.057900145760001</v>
      </c>
      <c r="L130">
        <v>1.7486325179944695E-3</v>
      </c>
      <c r="M130">
        <v>5.7157698103235167E-4</v>
      </c>
      <c r="N130" s="1">
        <v>-1.1029023166663201E-5</v>
      </c>
      <c r="O130" s="1">
        <v>1.7116780343079999E-5</v>
      </c>
      <c r="P130" s="1">
        <v>-2.59606215996521E-5</v>
      </c>
      <c r="AE130">
        <v>100</v>
      </c>
      <c r="AJ130">
        <v>1</v>
      </c>
    </row>
    <row r="131" spans="1:36" x14ac:dyDescent="0.2">
      <c r="A131">
        <v>130</v>
      </c>
      <c r="B131">
        <v>774</v>
      </c>
      <c r="C131">
        <v>150</v>
      </c>
      <c r="D131">
        <v>0.44641216635630598</v>
      </c>
      <c r="E131">
        <v>6.5445114084824398</v>
      </c>
      <c r="F131">
        <v>0.35624768027248299</v>
      </c>
      <c r="G131">
        <v>-144.59114841723044</v>
      </c>
      <c r="H131">
        <v>-81.902908491683547</v>
      </c>
      <c r="I131">
        <v>59.869154463881799</v>
      </c>
      <c r="J131">
        <v>25.638524005558299</v>
      </c>
      <c r="K131">
        <v>18.3706779605603</v>
      </c>
      <c r="L131">
        <v>1.7523037160198551E-3</v>
      </c>
      <c r="M131">
        <v>5.7113666056184315E-4</v>
      </c>
      <c r="N131" s="1">
        <v>-1.10836068126927E-5</v>
      </c>
      <c r="O131" s="1">
        <v>1.7413531067951599E-5</v>
      </c>
      <c r="P131" s="1">
        <v>-2.6514368660584699E-5</v>
      </c>
      <c r="AE131">
        <v>100</v>
      </c>
      <c r="AJ131">
        <v>1</v>
      </c>
    </row>
    <row r="132" spans="1:36" x14ac:dyDescent="0.2">
      <c r="A132">
        <v>131</v>
      </c>
      <c r="B132">
        <v>773</v>
      </c>
      <c r="C132">
        <v>150</v>
      </c>
      <c r="D132">
        <v>0.44581608755914398</v>
      </c>
      <c r="E132">
        <v>6.6689909771901599</v>
      </c>
      <c r="F132">
        <v>0.35687313754174299</v>
      </c>
      <c r="G132">
        <v>-147.28034208533214</v>
      </c>
      <c r="H132">
        <v>-83.486879163218163</v>
      </c>
      <c r="I132">
        <v>60.982917677459298</v>
      </c>
      <c r="J132">
        <v>26.154409067997101</v>
      </c>
      <c r="K132">
        <v>18.687287653893701</v>
      </c>
      <c r="L132">
        <v>1.7559802734019513E-3</v>
      </c>
      <c r="M132">
        <v>5.7069198063049425E-4</v>
      </c>
      <c r="N132" s="1">
        <v>-1.11325045663122E-5</v>
      </c>
      <c r="O132" s="1">
        <v>1.77138141296934E-5</v>
      </c>
      <c r="P132" s="1">
        <v>-2.7077825375751901E-5</v>
      </c>
      <c r="AE132">
        <v>100</v>
      </c>
      <c r="AJ132">
        <v>1</v>
      </c>
    </row>
    <row r="133" spans="1:36" x14ac:dyDescent="0.2">
      <c r="A133">
        <v>132</v>
      </c>
      <c r="B133">
        <v>772</v>
      </c>
      <c r="C133">
        <v>150</v>
      </c>
      <c r="D133">
        <v>0.44521886810505501</v>
      </c>
      <c r="E133">
        <v>6.7958133544344799</v>
      </c>
      <c r="F133">
        <v>0.35750100822311298</v>
      </c>
      <c r="G133">
        <v>-150.01900219872616</v>
      </c>
      <c r="H133">
        <v>-85.101192511033673</v>
      </c>
      <c r="I133">
        <v>62.117111103099603</v>
      </c>
      <c r="J133">
        <v>26.680641441150001</v>
      </c>
      <c r="K133">
        <v>19.0092145144196</v>
      </c>
      <c r="L133">
        <v>1.7596620566039769E-3</v>
      </c>
      <c r="M133">
        <v>5.7024290048188772E-4</v>
      </c>
      <c r="N133" s="1">
        <v>-1.11762832068685E-5</v>
      </c>
      <c r="O133" s="1">
        <v>1.8019029752056699E-5</v>
      </c>
      <c r="P133" s="1">
        <v>-2.7653249891773999E-5</v>
      </c>
      <c r="AE133">
        <v>100</v>
      </c>
      <c r="AJ133">
        <v>1</v>
      </c>
    </row>
    <row r="134" spans="1:36" x14ac:dyDescent="0.2">
      <c r="A134">
        <v>133</v>
      </c>
      <c r="B134">
        <v>771</v>
      </c>
      <c r="C134">
        <v>150</v>
      </c>
      <c r="D134">
        <v>0.44462050471675502</v>
      </c>
      <c r="E134">
        <v>6.92575871852776</v>
      </c>
      <c r="F134">
        <v>0.35813130303401502</v>
      </c>
      <c r="G134">
        <v>-152.82428144997675</v>
      </c>
      <c r="H134">
        <v>-86.755650743095202</v>
      </c>
      <c r="I134">
        <v>63.278833550074701</v>
      </c>
      <c r="J134">
        <v>27.220322139786401</v>
      </c>
      <c r="K134">
        <v>19.338601959264999</v>
      </c>
      <c r="L134">
        <v>1.7633489290803182E-3</v>
      </c>
      <c r="M134">
        <v>5.697893791168537E-4</v>
      </c>
      <c r="N134" s="1">
        <v>-1.12158359160493E-5</v>
      </c>
      <c r="O134" s="1">
        <v>1.8331201661894301E-5</v>
      </c>
      <c r="P134" s="1">
        <v>-2.82438964874428E-5</v>
      </c>
      <c r="AE134">
        <v>100</v>
      </c>
      <c r="AJ134">
        <v>1</v>
      </c>
    </row>
    <row r="135" spans="1:36" x14ac:dyDescent="0.2">
      <c r="A135">
        <v>134</v>
      </c>
      <c r="B135">
        <v>770</v>
      </c>
      <c r="C135">
        <v>150</v>
      </c>
      <c r="D135">
        <v>0.44402099410439499</v>
      </c>
      <c r="E135">
        <v>7.0599717003384201</v>
      </c>
      <c r="F135">
        <v>0.35876403269776902</v>
      </c>
      <c r="G135">
        <v>-155.72134278795221</v>
      </c>
      <c r="H135">
        <v>-88.464635161004495</v>
      </c>
      <c r="I135">
        <v>64.478500480550807</v>
      </c>
      <c r="J135">
        <v>27.777999623355701</v>
      </c>
      <c r="K135">
        <v>19.678593885931399</v>
      </c>
      <c r="L135">
        <v>1.7670407512394338E-3</v>
      </c>
      <c r="M135">
        <v>5.6933137529686657E-4</v>
      </c>
      <c r="N135" s="1">
        <v>-1.1252548314221299E-5</v>
      </c>
      <c r="O135" s="1">
        <v>1.8653301473462099E-5</v>
      </c>
      <c r="P135" s="1">
        <v>-2.8854537115140699E-5</v>
      </c>
      <c r="AE135">
        <v>100</v>
      </c>
      <c r="AJ135">
        <v>1</v>
      </c>
    </row>
    <row r="136" spans="1:36" x14ac:dyDescent="0.2">
      <c r="A136">
        <v>135</v>
      </c>
      <c r="B136">
        <v>769</v>
      </c>
      <c r="C136">
        <v>150</v>
      </c>
      <c r="D136">
        <v>0.44342033296550898</v>
      </c>
      <c r="E136">
        <v>7.2001738575594203</v>
      </c>
      <c r="F136">
        <v>0.359399207942393</v>
      </c>
      <c r="G136">
        <v>-158.74802739940779</v>
      </c>
      <c r="H136">
        <v>-90.249776602435901</v>
      </c>
      <c r="I136">
        <v>65.731776787021502</v>
      </c>
      <c r="J136">
        <v>28.3605146223912</v>
      </c>
      <c r="K136">
        <v>20.033916876949501</v>
      </c>
      <c r="L136">
        <v>1.7707373804070824E-3</v>
      </c>
      <c r="M136">
        <v>5.6886884754770936E-4</v>
      </c>
      <c r="N136" s="1">
        <v>-1.12885805679302E-5</v>
      </c>
      <c r="O136" s="1">
        <v>1.89898003267387E-5</v>
      </c>
      <c r="P136" s="1">
        <v>-2.9492348335682E-5</v>
      </c>
      <c r="AE136">
        <v>100</v>
      </c>
      <c r="AJ136">
        <v>1</v>
      </c>
    </row>
    <row r="137" spans="1:36" x14ac:dyDescent="0.2">
      <c r="A137">
        <v>136</v>
      </c>
      <c r="B137">
        <v>768</v>
      </c>
      <c r="C137">
        <v>150</v>
      </c>
      <c r="D137">
        <v>0.442818517984921</v>
      </c>
      <c r="E137">
        <v>7.3490433172469301</v>
      </c>
      <c r="F137">
        <v>0.36003683949936299</v>
      </c>
      <c r="G137">
        <v>-161.96319524303513</v>
      </c>
      <c r="H137">
        <v>-92.144726942305198</v>
      </c>
      <c r="I137">
        <v>67.063030182585607</v>
      </c>
      <c r="J137">
        <v>28.978509695994301</v>
      </c>
      <c r="K137">
        <v>20.4119204231041</v>
      </c>
      <c r="L137">
        <v>1.774438670789342E-3</v>
      </c>
      <c r="M137">
        <v>5.6840175416322629E-4</v>
      </c>
      <c r="N137" s="1">
        <v>-1.13273708694465E-5</v>
      </c>
      <c r="O137" s="1">
        <v>1.9347654484194501E-5</v>
      </c>
      <c r="P137" s="1">
        <v>-3.0168496173368301E-5</v>
      </c>
      <c r="AE137">
        <v>100</v>
      </c>
      <c r="AJ137">
        <v>1</v>
      </c>
    </row>
    <row r="138" spans="1:36" x14ac:dyDescent="0.2">
      <c r="A138">
        <v>137</v>
      </c>
      <c r="B138">
        <v>767</v>
      </c>
      <c r="C138">
        <v>150</v>
      </c>
      <c r="D138">
        <v>0.44221554583473799</v>
      </c>
      <c r="E138">
        <v>7.5109199837329701</v>
      </c>
      <c r="F138">
        <v>0.36067693810235402</v>
      </c>
      <c r="G138">
        <v>-165.46221689438843</v>
      </c>
      <c r="H138">
        <v>-94.204022948829632</v>
      </c>
      <c r="I138">
        <v>68.511745570539603</v>
      </c>
      <c r="J138">
        <v>29.6492339006234</v>
      </c>
      <c r="K138">
        <v>20.8245085567447</v>
      </c>
      <c r="L138">
        <v>1.7781444734358751E-3</v>
      </c>
      <c r="M138">
        <v>5.6793005320932499E-4</v>
      </c>
      <c r="N138" s="1">
        <v>-1.13745665573931E-5</v>
      </c>
      <c r="O138" s="1">
        <v>1.9738135491625501E-5</v>
      </c>
      <c r="P138" s="1">
        <v>-3.0901081299355798E-5</v>
      </c>
      <c r="AE138">
        <v>100</v>
      </c>
      <c r="AJ138">
        <v>1</v>
      </c>
    </row>
    <row r="139" spans="1:36" x14ac:dyDescent="0.2">
      <c r="A139">
        <v>138</v>
      </c>
      <c r="B139">
        <v>766</v>
      </c>
      <c r="C139">
        <v>150</v>
      </c>
      <c r="D139">
        <v>0.44161141317423203</v>
      </c>
      <c r="E139">
        <v>7.6930982182229304</v>
      </c>
      <c r="F139">
        <v>0.36131951448594002</v>
      </c>
      <c r="G139">
        <v>-169.40536323933679</v>
      </c>
      <c r="H139">
        <v>-96.519337465658452</v>
      </c>
      <c r="I139">
        <v>70.144279687137598</v>
      </c>
      <c r="J139">
        <v>30.401687548256</v>
      </c>
      <c r="K139">
        <v>21.291676507337598</v>
      </c>
      <c r="L139">
        <v>1.7818546362032704E-3</v>
      </c>
      <c r="M139">
        <v>5.6745370252813743E-4</v>
      </c>
      <c r="N139" s="1">
        <v>-1.1439706146056E-5</v>
      </c>
      <c r="O139" s="1">
        <v>2.0180180888023202E-5</v>
      </c>
      <c r="P139" s="1">
        <v>-3.1720545406451103E-5</v>
      </c>
      <c r="AE139">
        <v>100</v>
      </c>
      <c r="AJ139">
        <v>1</v>
      </c>
    </row>
    <row r="140" spans="1:36" x14ac:dyDescent="0.2">
      <c r="A140">
        <v>139</v>
      </c>
      <c r="B140">
        <v>765</v>
      </c>
      <c r="C140">
        <v>150</v>
      </c>
      <c r="D140">
        <v>0.44100611664981298</v>
      </c>
      <c r="E140">
        <v>7.9075903269226204</v>
      </c>
      <c r="F140">
        <v>0.36196457938427801</v>
      </c>
      <c r="G140">
        <v>-174.05648767537454</v>
      </c>
      <c r="H140">
        <v>-99.241670101300514</v>
      </c>
      <c r="I140">
        <v>72.069876976198699</v>
      </c>
      <c r="J140">
        <v>31.2836635725014</v>
      </c>
      <c r="K140">
        <v>21.846309769795301</v>
      </c>
      <c r="L140">
        <v>1.7855690037185882E-3</v>
      </c>
      <c r="M140">
        <v>5.669726597424163E-4</v>
      </c>
      <c r="N140" s="1">
        <v>-1.1538360438816901E-5</v>
      </c>
      <c r="O140" s="1">
        <v>2.07049399912783E-5</v>
      </c>
      <c r="P140" s="1">
        <v>-3.2677094630767E-5</v>
      </c>
      <c r="AE140">
        <v>100</v>
      </c>
      <c r="AJ140">
        <v>1</v>
      </c>
    </row>
    <row r="141" spans="1:36" x14ac:dyDescent="0.2">
      <c r="A141">
        <v>140</v>
      </c>
      <c r="B141">
        <v>764</v>
      </c>
      <c r="C141">
        <v>150</v>
      </c>
      <c r="D141">
        <v>0.44039965289495597</v>
      </c>
      <c r="E141">
        <v>9.2342053566506692</v>
      </c>
      <c r="F141">
        <v>0.36261214352975601</v>
      </c>
      <c r="G141">
        <v>-203.17289030079411</v>
      </c>
      <c r="H141">
        <v>-115.92747758805682</v>
      </c>
      <c r="I141">
        <v>84.125437103685599</v>
      </c>
      <c r="J141">
        <v>36.572188424070703</v>
      </c>
      <c r="K141">
        <v>25.465791814809599</v>
      </c>
      <c r="L141">
        <v>1.7892874173430719E-3</v>
      </c>
      <c r="M141">
        <v>5.6648688226013013E-4</v>
      </c>
      <c r="N141" s="1">
        <v>-1.3212506251495701E-5</v>
      </c>
      <c r="O141" s="1">
        <v>2.4134069917055001E-5</v>
      </c>
      <c r="P141" s="1">
        <v>-3.8243684023957301E-5</v>
      </c>
      <c r="AE141">
        <v>100</v>
      </c>
      <c r="AJ141">
        <v>1</v>
      </c>
    </row>
    <row r="142" spans="1:36" x14ac:dyDescent="0.2">
      <c r="A142">
        <v>141</v>
      </c>
      <c r="B142">
        <v>763</v>
      </c>
      <c r="C142">
        <v>150</v>
      </c>
      <c r="D142">
        <v>0.43979201853014099</v>
      </c>
      <c r="E142">
        <v>9.8228078264854197</v>
      </c>
      <c r="F142">
        <v>0.36326221765161398</v>
      </c>
      <c r="G142">
        <v>-216.03397425462327</v>
      </c>
      <c r="H142">
        <v>-123.35579834112329</v>
      </c>
      <c r="I142">
        <v>89.450173360351101</v>
      </c>
      <c r="J142">
        <v>38.9462790891331</v>
      </c>
      <c r="K142">
        <v>27.0405435775486</v>
      </c>
      <c r="L142">
        <v>1.7930097151359571E-3</v>
      </c>
      <c r="M142">
        <v>5.6599632727922838E-4</v>
      </c>
      <c r="N142" s="1">
        <v>-1.37717819844359E-5</v>
      </c>
      <c r="O142" s="1">
        <v>2.5624950267776201E-5</v>
      </c>
      <c r="P142" s="1">
        <v>-4.0771595392579999E-5</v>
      </c>
      <c r="AE142">
        <v>100</v>
      </c>
      <c r="AJ142">
        <v>1</v>
      </c>
    </row>
    <row r="143" spans="1:36" x14ac:dyDescent="0.2">
      <c r="A143">
        <v>142</v>
      </c>
      <c r="B143">
        <v>762</v>
      </c>
      <c r="C143">
        <v>150</v>
      </c>
      <c r="D143">
        <v>0.439183210162781</v>
      </c>
      <c r="E143">
        <v>10.110510343259101</v>
      </c>
      <c r="F143">
        <v>0.363914812474528</v>
      </c>
      <c r="G143">
        <v>-222.26939313140107</v>
      </c>
      <c r="H143">
        <v>-127.00890431300742</v>
      </c>
      <c r="I143">
        <v>92.031371949252303</v>
      </c>
      <c r="J143">
        <v>40.131299227287201</v>
      </c>
      <c r="K143">
        <v>27.782629331601498</v>
      </c>
      <c r="L143">
        <v>1.7967357318186277E-3</v>
      </c>
      <c r="M143">
        <v>5.6550095179265557E-4</v>
      </c>
      <c r="N143" s="1">
        <v>-1.3879115399977499E-5</v>
      </c>
      <c r="O143" s="1">
        <v>2.63264235238936E-5</v>
      </c>
      <c r="P143" s="1">
        <v>-4.2058897102312002E-5</v>
      </c>
      <c r="AE143">
        <v>100</v>
      </c>
      <c r="AJ143">
        <v>1</v>
      </c>
    </row>
    <row r="144" spans="1:36" x14ac:dyDescent="0.2">
      <c r="A144">
        <v>143</v>
      </c>
      <c r="B144">
        <v>761</v>
      </c>
      <c r="C144">
        <v>150</v>
      </c>
      <c r="D144">
        <v>0.43857322438717999</v>
      </c>
      <c r="E144">
        <v>10.276793788489</v>
      </c>
      <c r="F144">
        <v>0.36456993871718202</v>
      </c>
      <c r="G144">
        <v>-225.83144204395185</v>
      </c>
      <c r="H144">
        <v>-129.13858192631204</v>
      </c>
      <c r="I144">
        <v>93.505527370413404</v>
      </c>
      <c r="J144">
        <v>40.836498940849602</v>
      </c>
      <c r="K144">
        <v>28.1888128918423</v>
      </c>
      <c r="L144">
        <v>1.8004652987390155E-3</v>
      </c>
      <c r="M144">
        <v>5.650007125935925E-4</v>
      </c>
      <c r="N144" s="1">
        <v>-1.38015156442045E-5</v>
      </c>
      <c r="O144" s="1">
        <v>2.6709319352438501E-5</v>
      </c>
      <c r="P144" s="1">
        <v>-4.2845577225674499E-5</v>
      </c>
      <c r="AE144">
        <v>100</v>
      </c>
      <c r="AJ144">
        <v>1</v>
      </c>
    </row>
    <row r="145" spans="1:36" x14ac:dyDescent="0.2">
      <c r="A145">
        <v>144</v>
      </c>
      <c r="B145">
        <v>760</v>
      </c>
      <c r="C145">
        <v>150</v>
      </c>
      <c r="D145">
        <v>0.43796205778444602</v>
      </c>
      <c r="E145">
        <v>10.399041020947701</v>
      </c>
      <c r="F145">
        <v>0.365227607090785</v>
      </c>
      <c r="G145">
        <v>-228.42321404853905</v>
      </c>
      <c r="H145">
        <v>-130.71609048390386</v>
      </c>
      <c r="I145">
        <v>94.577819807851299</v>
      </c>
      <c r="J145">
        <v>41.368116809276103</v>
      </c>
      <c r="K145">
        <v>28.472768265742801</v>
      </c>
      <c r="L145">
        <v>1.8041982438361383E-3</v>
      </c>
      <c r="M145">
        <v>5.6449556628087639E-4</v>
      </c>
      <c r="N145" s="1">
        <v>-1.3651116972548901E-5</v>
      </c>
      <c r="O145" s="1">
        <v>2.6976138707680301E-5</v>
      </c>
      <c r="P145" s="1">
        <v>-4.3451616657307399E-5</v>
      </c>
      <c r="AE145">
        <v>100</v>
      </c>
      <c r="AJ145">
        <v>1</v>
      </c>
    </row>
    <row r="146" spans="1:36" x14ac:dyDescent="0.2">
      <c r="A146">
        <v>145</v>
      </c>
      <c r="B146">
        <v>808</v>
      </c>
      <c r="C146">
        <v>125</v>
      </c>
      <c r="D146">
        <v>0.49145863201221102</v>
      </c>
      <c r="E146">
        <v>6.4182199030603098</v>
      </c>
      <c r="F146">
        <v>0.284535568683425</v>
      </c>
      <c r="G146">
        <v>-144.32809576805047</v>
      </c>
      <c r="H146">
        <v>-79.068719876028794</v>
      </c>
      <c r="I146">
        <v>60.364471897122499</v>
      </c>
      <c r="J146">
        <v>23.691820753671301</v>
      </c>
      <c r="K146">
        <v>22.556828071646901</v>
      </c>
      <c r="L146">
        <v>1.6890701048132032E-3</v>
      </c>
      <c r="M146">
        <v>7.6500816114738793E-4</v>
      </c>
      <c r="N146" s="1">
        <v>-2.9292070804078099E-5</v>
      </c>
      <c r="O146" s="1">
        <v>3.2660967858642402E-5</v>
      </c>
      <c r="P146" s="1">
        <v>-3.2001722414518201E-5</v>
      </c>
      <c r="AE146">
        <v>100</v>
      </c>
      <c r="AJ146">
        <v>1</v>
      </c>
    </row>
    <row r="147" spans="1:36" x14ac:dyDescent="0.2">
      <c r="A147">
        <v>146</v>
      </c>
      <c r="B147">
        <v>807</v>
      </c>
      <c r="C147">
        <v>125</v>
      </c>
      <c r="D147">
        <v>0.49092301995093302</v>
      </c>
      <c r="E147">
        <v>6.4199643525427597</v>
      </c>
      <c r="F147">
        <v>0.28501716774842301</v>
      </c>
      <c r="G147">
        <v>-144.30695372261519</v>
      </c>
      <c r="H147">
        <v>-79.113921473972766</v>
      </c>
      <c r="I147">
        <v>60.358937320257297</v>
      </c>
      <c r="J147">
        <v>23.723761969327899</v>
      </c>
      <c r="K147">
        <v>22.524833866181201</v>
      </c>
      <c r="L147">
        <v>1.6932300644038241E-3</v>
      </c>
      <c r="M147">
        <v>7.6488038094331531E-4</v>
      </c>
      <c r="N147" s="1">
        <v>-2.93127106644088E-5</v>
      </c>
      <c r="O147" s="1">
        <v>3.2633045167509101E-5</v>
      </c>
      <c r="P147" s="1">
        <v>-3.2078098051784499E-5</v>
      </c>
      <c r="AE147">
        <v>100</v>
      </c>
      <c r="AJ147">
        <v>1</v>
      </c>
    </row>
    <row r="148" spans="1:36" x14ac:dyDescent="0.2">
      <c r="A148">
        <v>147</v>
      </c>
      <c r="B148">
        <v>806</v>
      </c>
      <c r="C148">
        <v>125</v>
      </c>
      <c r="D148">
        <v>0.490386415234215</v>
      </c>
      <c r="E148">
        <v>6.4433713904900003</v>
      </c>
      <c r="F148">
        <v>0.28550077203207203</v>
      </c>
      <c r="G148">
        <v>-144.77252548194082</v>
      </c>
      <c r="H148">
        <v>-79.426192071841299</v>
      </c>
      <c r="I148">
        <v>60.556938982418998</v>
      </c>
      <c r="J148">
        <v>23.8359938722961</v>
      </c>
      <c r="K148">
        <v>22.568665382684699</v>
      </c>
      <c r="L148">
        <v>1.6974068773031822E-3</v>
      </c>
      <c r="M148">
        <v>7.6475014385040882E-4</v>
      </c>
      <c r="N148" s="1">
        <v>-2.9430987374171401E-5</v>
      </c>
      <c r="O148" s="1">
        <v>3.2715021452766397E-5</v>
      </c>
      <c r="P148" s="1">
        <v>-3.2263467363948702E-5</v>
      </c>
      <c r="AE148">
        <v>100</v>
      </c>
      <c r="AJ148">
        <v>1</v>
      </c>
    </row>
    <row r="149" spans="1:36" x14ac:dyDescent="0.2">
      <c r="A149">
        <v>148</v>
      </c>
      <c r="B149">
        <v>805</v>
      </c>
      <c r="C149">
        <v>125</v>
      </c>
      <c r="D149">
        <v>0.48984881509993899</v>
      </c>
      <c r="E149">
        <v>6.4668284048827296</v>
      </c>
      <c r="F149">
        <v>0.28598639379797303</v>
      </c>
      <c r="G149">
        <v>-145.23880177822002</v>
      </c>
      <c r="H149">
        <v>-79.739277890646662</v>
      </c>
      <c r="I149">
        <v>60.755205308997198</v>
      </c>
      <c r="J149">
        <v>23.948739769614001</v>
      </c>
      <c r="K149">
        <v>22.612363892566901</v>
      </c>
      <c r="L149">
        <v>1.7016005873717861E-3</v>
      </c>
      <c r="M149">
        <v>7.6461741542753188E-4</v>
      </c>
      <c r="N149" s="1">
        <v>-2.9548219710709399E-5</v>
      </c>
      <c r="O149" s="1">
        <v>3.2796912155338501E-5</v>
      </c>
      <c r="P149" s="1">
        <v>-3.24500792997156E-5</v>
      </c>
      <c r="AE149">
        <v>100</v>
      </c>
      <c r="AJ149">
        <v>1</v>
      </c>
    </row>
    <row r="150" spans="1:36" x14ac:dyDescent="0.2">
      <c r="A150">
        <v>149</v>
      </c>
      <c r="B150">
        <v>804</v>
      </c>
      <c r="C150">
        <v>125</v>
      </c>
      <c r="D150">
        <v>0.48931021677575198</v>
      </c>
      <c r="E150">
        <v>6.4903234830910099</v>
      </c>
      <c r="F150">
        <v>0.28647404539289301</v>
      </c>
      <c r="G150">
        <v>-145.70551405425178</v>
      </c>
      <c r="H150">
        <v>-80.05303297701883</v>
      </c>
      <c r="I150">
        <v>60.953623208356703</v>
      </c>
      <c r="J150">
        <v>24.061958279035899</v>
      </c>
      <c r="K150">
        <v>22.6558865889217</v>
      </c>
      <c r="L150">
        <v>1.7058112374922745E-3</v>
      </c>
      <c r="M150">
        <v>7.6448216075012873E-4</v>
      </c>
      <c r="N150" s="1">
        <v>-2.9664308646434199E-5</v>
      </c>
      <c r="O150" s="1">
        <v>3.2878654360863698E-5</v>
      </c>
      <c r="P150" s="1">
        <v>-3.2637885098580398E-5</v>
      </c>
      <c r="AE150">
        <v>100</v>
      </c>
      <c r="AJ150">
        <v>1</v>
      </c>
    </row>
    <row r="151" spans="1:36" x14ac:dyDescent="0.2">
      <c r="A151">
        <v>150</v>
      </c>
      <c r="B151">
        <v>803</v>
      </c>
      <c r="C151">
        <v>125</v>
      </c>
      <c r="D151">
        <v>0.48877061747897599</v>
      </c>
      <c r="E151">
        <v>6.5138447235725598</v>
      </c>
      <c r="F151">
        <v>0.28696373924711899</v>
      </c>
      <c r="G151">
        <v>-146.17239445096621</v>
      </c>
      <c r="H151">
        <v>-80.3673113415432</v>
      </c>
      <c r="I151">
        <v>61.152079850736101</v>
      </c>
      <c r="J151">
        <v>24.1756078790531</v>
      </c>
      <c r="K151">
        <v>22.699190987203899</v>
      </c>
      <c r="L151">
        <v>1.710038869534916E-3</v>
      </c>
      <c r="M151">
        <v>7.6434434440379446E-4</v>
      </c>
      <c r="N151" s="1">
        <v>-2.9779154118483499E-5</v>
      </c>
      <c r="O151" s="1">
        <v>3.29601854514787E-5</v>
      </c>
      <c r="P151" s="1">
        <v>-3.2826835641716902E-5</v>
      </c>
      <c r="AE151">
        <v>100</v>
      </c>
      <c r="AJ151">
        <v>1</v>
      </c>
    </row>
    <row r="152" spans="1:36" x14ac:dyDescent="0.2">
      <c r="A152">
        <v>151</v>
      </c>
      <c r="B152">
        <v>802</v>
      </c>
      <c r="C152">
        <v>125</v>
      </c>
      <c r="D152">
        <v>0.48823001441659297</v>
      </c>
      <c r="E152">
        <v>6.5373802899239104</v>
      </c>
      <c r="F152">
        <v>0.28745548787480801</v>
      </c>
      <c r="G152">
        <v>-146.63917701891714</v>
      </c>
      <c r="H152">
        <v>-80.681967625579588</v>
      </c>
      <c r="I152">
        <v>61.350463176096802</v>
      </c>
      <c r="J152">
        <v>24.289647107109001</v>
      </c>
      <c r="K152">
        <v>22.742235113531802</v>
      </c>
      <c r="L152">
        <v>1.714283524322204E-3</v>
      </c>
      <c r="M152">
        <v>7.6420393047775114E-4</v>
      </c>
      <c r="N152" s="1">
        <v>-2.98926552829267E-5</v>
      </c>
      <c r="O152" s="1">
        <v>3.3041443379250203E-5</v>
      </c>
      <c r="P152" s="1">
        <v>-3.3016881716180703E-5</v>
      </c>
      <c r="AE152">
        <v>100</v>
      </c>
      <c r="AJ152">
        <v>1</v>
      </c>
    </row>
    <row r="153" spans="1:36" x14ac:dyDescent="0.2">
      <c r="A153">
        <v>152</v>
      </c>
      <c r="B153">
        <v>801</v>
      </c>
      <c r="C153">
        <v>125</v>
      </c>
      <c r="D153">
        <v>0.487688404785181</v>
      </c>
      <c r="E153">
        <v>6.5609184631647999</v>
      </c>
      <c r="F153">
        <v>0.28794930387432</v>
      </c>
      <c r="G153">
        <v>-147.10559888711657</v>
      </c>
      <c r="H153">
        <v>-80.996857747472163</v>
      </c>
      <c r="I153">
        <v>61.548662384281101</v>
      </c>
      <c r="J153">
        <v>24.404034752541101</v>
      </c>
      <c r="K153">
        <v>22.784977684920602</v>
      </c>
      <c r="L153">
        <v>1.7185452415927492E-3</v>
      </c>
      <c r="M153">
        <v>7.6406088255830758E-4</v>
      </c>
      <c r="N153" s="1">
        <v>-3.00047107619776E-5</v>
      </c>
      <c r="O153" s="1">
        <v>3.3122366928824102E-5</v>
      </c>
      <c r="P153" s="1">
        <v>-3.32079742735445E-5</v>
      </c>
      <c r="AE153">
        <v>100</v>
      </c>
      <c r="AJ153">
        <v>1</v>
      </c>
    </row>
    <row r="154" spans="1:36" x14ac:dyDescent="0.2">
      <c r="A154">
        <v>153</v>
      </c>
      <c r="B154">
        <v>800</v>
      </c>
      <c r="C154">
        <v>125</v>
      </c>
      <c r="D154">
        <v>0.48714578577086598</v>
      </c>
      <c r="E154">
        <v>6.5844476910298901</v>
      </c>
      <c r="F154">
        <v>0.288445199928548</v>
      </c>
      <c r="G154">
        <v>-147.57140136185654</v>
      </c>
      <c r="H154">
        <v>-81.311839512969257</v>
      </c>
      <c r="I154">
        <v>61.746568396018702</v>
      </c>
      <c r="J154">
        <v>24.518730039657001</v>
      </c>
      <c r="K154">
        <v>22.827378277263499</v>
      </c>
      <c r="L154">
        <v>1.7228240599642412E-3</v>
      </c>
      <c r="M154">
        <v>7.6391516372222577E-4</v>
      </c>
      <c r="N154" s="1">
        <v>-3.0115218878336902E-5</v>
      </c>
      <c r="O154" s="1">
        <v>3.3202895963167202E-5</v>
      </c>
      <c r="P154" s="1">
        <v>-3.34000646767019E-5</v>
      </c>
      <c r="AE154">
        <v>100</v>
      </c>
      <c r="AJ154">
        <v>1</v>
      </c>
    </row>
    <row r="155" spans="1:36" x14ac:dyDescent="0.2">
      <c r="A155">
        <v>154</v>
      </c>
      <c r="B155">
        <v>799</v>
      </c>
      <c r="C155">
        <v>125</v>
      </c>
      <c r="D155">
        <v>0.48660215454927003</v>
      </c>
      <c r="E155">
        <v>6.6079566341741103</v>
      </c>
      <c r="F155">
        <v>0.288943188805248</v>
      </c>
      <c r="G155">
        <v>-148.03633095362008</v>
      </c>
      <c r="H155">
        <v>-81.626773188619012</v>
      </c>
      <c r="I155">
        <v>61.9440742839734</v>
      </c>
      <c r="J155">
        <v>24.633692800549898</v>
      </c>
      <c r="K155">
        <v>22.8693974808589</v>
      </c>
      <c r="L155">
        <v>1.7271200168956274E-3</v>
      </c>
      <c r="M155">
        <v>7.6376673653004673E-4</v>
      </c>
      <c r="N155" s="1">
        <v>-3.0224077876010901E-5</v>
      </c>
      <c r="O155" s="1">
        <v>3.32829716520433E-5</v>
      </c>
      <c r="P155" s="1">
        <v>-3.3593104934213698E-5</v>
      </c>
      <c r="AE155">
        <v>100</v>
      </c>
      <c r="AJ155">
        <v>1</v>
      </c>
    </row>
    <row r="156" spans="1:36" x14ac:dyDescent="0.2">
      <c r="A156">
        <v>155</v>
      </c>
      <c r="B156">
        <v>798</v>
      </c>
      <c r="C156">
        <v>125</v>
      </c>
      <c r="D156">
        <v>0.48605750828548999</v>
      </c>
      <c r="E156">
        <v>6.6314342088505596</v>
      </c>
      <c r="F156">
        <v>0.28944328335734498</v>
      </c>
      <c r="G156">
        <v>-148.50014032240873</v>
      </c>
      <c r="H156">
        <v>-81.941522032619901</v>
      </c>
      <c r="I156">
        <v>62.141075669756603</v>
      </c>
      <c r="J156">
        <v>24.748883635923701</v>
      </c>
      <c r="K156">
        <v>22.9109970420817</v>
      </c>
      <c r="L156">
        <v>1.7314331486484162E-3</v>
      </c>
      <c r="M156">
        <v>7.6361556301935427E-4</v>
      </c>
      <c r="N156" s="1">
        <v>-3.0331186125370401E-5</v>
      </c>
      <c r="O156" s="1">
        <v>3.3362536681113602E-5</v>
      </c>
      <c r="P156" s="1">
        <v>-3.37870479197861E-5</v>
      </c>
      <c r="AE156">
        <v>100</v>
      </c>
      <c r="AJ156">
        <v>1</v>
      </c>
    </row>
    <row r="157" spans="1:36" x14ac:dyDescent="0.2">
      <c r="A157">
        <v>156</v>
      </c>
      <c r="B157">
        <v>797</v>
      </c>
      <c r="C157">
        <v>125</v>
      </c>
      <c r="D157">
        <v>0.48551184413399801</v>
      </c>
      <c r="E157">
        <v>6.6548696256301501</v>
      </c>
      <c r="F157">
        <v>0.28994549652324297</v>
      </c>
      <c r="G157">
        <v>-148.96258913207876</v>
      </c>
      <c r="H157">
        <v>-82.2559527777087</v>
      </c>
      <c r="I157">
        <v>62.337471082956199</v>
      </c>
      <c r="J157">
        <v>24.864264062241499</v>
      </c>
      <c r="K157">
        <v>22.952139989857301</v>
      </c>
      <c r="L157">
        <v>1.7357634902470736E-3</v>
      </c>
      <c r="M157">
        <v>7.6346160469796846E-4</v>
      </c>
      <c r="N157" s="1">
        <v>-3.04364423102171E-5</v>
      </c>
      <c r="O157" s="1">
        <v>3.34415354396338E-5</v>
      </c>
      <c r="P157" s="1">
        <v>-3.39818475744874E-5</v>
      </c>
      <c r="AE157">
        <v>100</v>
      </c>
      <c r="AJ157">
        <v>1</v>
      </c>
    </row>
    <row r="158" spans="1:36" x14ac:dyDescent="0.2">
      <c r="A158">
        <v>157</v>
      </c>
      <c r="B158">
        <v>796</v>
      </c>
      <c r="C158">
        <v>125</v>
      </c>
      <c r="D158">
        <v>0.48496515923864703</v>
      </c>
      <c r="E158">
        <v>6.6782524241297798</v>
      </c>
      <c r="F158">
        <v>0.29044984132711499</v>
      </c>
      <c r="G158">
        <v>-149.42344481320609</v>
      </c>
      <c r="H158">
        <v>-82.569936065576286</v>
      </c>
      <c r="I158">
        <v>62.533162281960898</v>
      </c>
      <c r="J158">
        <v>24.979796644989701</v>
      </c>
      <c r="K158">
        <v>22.992790746986401</v>
      </c>
      <c r="L158">
        <v>1.7401110754385713E-3</v>
      </c>
      <c r="M158">
        <v>7.6330482253711548E-4</v>
      </c>
      <c r="N158" s="1">
        <v>-3.0539745596525099E-5</v>
      </c>
      <c r="O158" s="1">
        <v>3.3519914186730503E-5</v>
      </c>
      <c r="P158" s="1">
        <v>-3.4177459091287997E-5</v>
      </c>
      <c r="AE158">
        <v>100</v>
      </c>
      <c r="AJ158">
        <v>1</v>
      </c>
    </row>
    <row r="159" spans="1:36" x14ac:dyDescent="0.2">
      <c r="A159">
        <v>158</v>
      </c>
      <c r="B159">
        <v>795</v>
      </c>
      <c r="C159">
        <v>125</v>
      </c>
      <c r="D159">
        <v>0.48441745073257497</v>
      </c>
      <c r="E159">
        <v>6.7015725032431401</v>
      </c>
      <c r="F159">
        <v>0.29095633087919698</v>
      </c>
      <c r="G159">
        <v>-149.88248322343011</v>
      </c>
      <c r="H159">
        <v>-82.883346826456162</v>
      </c>
      <c r="I159">
        <v>62.728054531932699</v>
      </c>
      <c r="J159">
        <v>25.095445116041301</v>
      </c>
      <c r="K159">
        <v>23.032915224743999</v>
      </c>
      <c r="L159">
        <v>1.744475936651073E-3</v>
      </c>
      <c r="M159">
        <v>7.6314517696453202E-4</v>
      </c>
      <c r="N159" s="1">
        <v>-3.0640995780337099E-5</v>
      </c>
      <c r="O159" s="1">
        <v>3.35976211938724E-5</v>
      </c>
      <c r="P159" s="1">
        <v>-3.4373839079078203E-5</v>
      </c>
      <c r="AE159">
        <v>100</v>
      </c>
      <c r="AJ159">
        <v>1</v>
      </c>
    </row>
    <row r="160" spans="1:36" x14ac:dyDescent="0.2">
      <c r="A160">
        <v>159</v>
      </c>
      <c r="B160">
        <v>794</v>
      </c>
      <c r="C160">
        <v>125</v>
      </c>
      <c r="D160">
        <v>0.48386871573818202</v>
      </c>
      <c r="E160">
        <v>6.7248201476066596</v>
      </c>
      <c r="F160">
        <v>0.291464978376057</v>
      </c>
      <c r="G160">
        <v>-150.33948922194745</v>
      </c>
      <c r="H160">
        <v>-83.196064612829005</v>
      </c>
      <c r="I160">
        <v>62.922056846889497</v>
      </c>
      <c r="J160">
        <v>25.211174477776499</v>
      </c>
      <c r="K160">
        <v>23.072480903452</v>
      </c>
      <c r="L160">
        <v>1.7488581049515789E-3</v>
      </c>
      <c r="M160">
        <v>7.6298262785748946E-4</v>
      </c>
      <c r="N160" s="1">
        <v>-3.07400934179744E-5</v>
      </c>
      <c r="O160" s="1">
        <v>3.36746068673812E-5</v>
      </c>
      <c r="P160" s="1">
        <v>-3.4570945709631201E-5</v>
      </c>
      <c r="AE160">
        <v>100</v>
      </c>
      <c r="AJ160">
        <v>1</v>
      </c>
    </row>
    <row r="161" spans="1:36" x14ac:dyDescent="0.2">
      <c r="A161">
        <v>160</v>
      </c>
      <c r="B161">
        <v>793</v>
      </c>
      <c r="C161">
        <v>125</v>
      </c>
      <c r="D161">
        <v>0.48331895136707098</v>
      </c>
      <c r="E161">
        <v>6.7479860491949397</v>
      </c>
      <c r="F161">
        <v>0.29197579710086402</v>
      </c>
      <c r="G161">
        <v>-150.79425713369989</v>
      </c>
      <c r="H161">
        <v>-83.507973873470164</v>
      </c>
      <c r="I161">
        <v>63.115082185640702</v>
      </c>
      <c r="J161">
        <v>25.326951089679099</v>
      </c>
      <c r="K161">
        <v>23.111456895393999</v>
      </c>
      <c r="L161">
        <v>1.7532576100027098E-3</v>
      </c>
      <c r="M161">
        <v>7.6281713453579456E-4</v>
      </c>
      <c r="N161" s="1">
        <v>-3.08369399333538E-5</v>
      </c>
      <c r="O161" s="1">
        <v>3.3750823845599E-5</v>
      </c>
      <c r="P161" s="1">
        <v>-3.4768738841564701E-5</v>
      </c>
      <c r="AE161">
        <v>100</v>
      </c>
      <c r="AJ161">
        <v>1</v>
      </c>
    </row>
    <row r="162" spans="1:36" x14ac:dyDescent="0.2">
      <c r="A162">
        <v>161</v>
      </c>
      <c r="B162">
        <v>792</v>
      </c>
      <c r="C162">
        <v>125</v>
      </c>
      <c r="D162">
        <v>0.48276815471999501</v>
      </c>
      <c r="E162">
        <v>6.7710613250979099</v>
      </c>
      <c r="F162">
        <v>0.29248880042363901</v>
      </c>
      <c r="G162">
        <v>-151.24659112707829</v>
      </c>
      <c r="H162">
        <v>-83.818964180732124</v>
      </c>
      <c r="I162">
        <v>63.307047611535602</v>
      </c>
      <c r="J162">
        <v>25.442742741269001</v>
      </c>
      <c r="K162">
        <v>23.1498139938717</v>
      </c>
      <c r="L162">
        <v>1.7576744800185901E-3</v>
      </c>
      <c r="M162">
        <v>7.6264865575475464E-4</v>
      </c>
      <c r="N162" s="1">
        <v>-3.0931437707114503E-5</v>
      </c>
      <c r="O162" s="1">
        <v>3.3826227076160898E-5</v>
      </c>
      <c r="P162" s="1">
        <v>-3.4967180126384802E-5</v>
      </c>
      <c r="AE162">
        <v>100</v>
      </c>
      <c r="AJ162">
        <v>1</v>
      </c>
    </row>
    <row r="163" spans="1:36" x14ac:dyDescent="0.2">
      <c r="A163">
        <v>162</v>
      </c>
      <c r="B163">
        <v>791</v>
      </c>
      <c r="C163">
        <v>125</v>
      </c>
      <c r="D163">
        <v>0.48221632288681698</v>
      </c>
      <c r="E163">
        <v>6.7940375312925996</v>
      </c>
      <c r="F163">
        <v>0.29300400180150099</v>
      </c>
      <c r="G163">
        <v>-151.6963055012198</v>
      </c>
      <c r="H163">
        <v>-84.128930408657368</v>
      </c>
      <c r="I163">
        <v>63.4978744143584</v>
      </c>
      <c r="J163">
        <v>25.558518710527501</v>
      </c>
      <c r="K163">
        <v>23.187524707922801</v>
      </c>
      <c r="L163">
        <v>1.7621087417196376E-3</v>
      </c>
      <c r="M163">
        <v>7.6247714969804304E-4</v>
      </c>
      <c r="N163" s="1">
        <v>-3.10234901465265E-5</v>
      </c>
      <c r="O163" s="1">
        <v>3.3900773872588797E-5</v>
      </c>
      <c r="P163" s="1">
        <v>-3.51662330953766E-5</v>
      </c>
      <c r="AE163">
        <v>100</v>
      </c>
      <c r="AJ163">
        <v>1</v>
      </c>
    </row>
    <row r="164" spans="1:36" x14ac:dyDescent="0.2">
      <c r="A164">
        <v>163</v>
      </c>
      <c r="B164">
        <v>790</v>
      </c>
      <c r="C164">
        <v>125</v>
      </c>
      <c r="D164">
        <v>0.48166345294643498</v>
      </c>
      <c r="E164">
        <v>6.81690667235923</v>
      </c>
      <c r="F164">
        <v>0.29352141477889798</v>
      </c>
      <c r="G164">
        <v>-152.1432248820355</v>
      </c>
      <c r="H164">
        <v>-84.437772861185834</v>
      </c>
      <c r="I164">
        <v>63.687488194002299</v>
      </c>
      <c r="J164">
        <v>25.674249807536601</v>
      </c>
      <c r="K164">
        <v>23.224563282696799</v>
      </c>
      <c r="L164">
        <v>1.7665604202865045E-3</v>
      </c>
      <c r="M164">
        <v>7.6230257397057058E-4</v>
      </c>
      <c r="N164" s="1">
        <v>-3.1113001735924201E-5</v>
      </c>
      <c r="O164" s="1">
        <v>3.3974423950119202E-5</v>
      </c>
      <c r="P164" s="1">
        <v>-3.5365863226781598E-5</v>
      </c>
      <c r="AE164">
        <v>100</v>
      </c>
      <c r="AJ164">
        <v>1</v>
      </c>
    </row>
    <row r="165" spans="1:36" x14ac:dyDescent="0.2">
      <c r="A165">
        <v>164</v>
      </c>
      <c r="B165">
        <v>789</v>
      </c>
      <c r="C165">
        <v>125</v>
      </c>
      <c r="D165">
        <v>0.48110954196676597</v>
      </c>
      <c r="E165">
        <v>6.83966120763899</v>
      </c>
      <c r="F165">
        <v>0.29404105298782102</v>
      </c>
      <c r="G165">
        <v>-152.58718433833411</v>
      </c>
      <c r="H165">
        <v>-84.745397356517728</v>
      </c>
      <c r="I165">
        <v>63.875818910664798</v>
      </c>
      <c r="J165">
        <v>25.789908405082802</v>
      </c>
      <c r="K165">
        <v>23.260905707347799</v>
      </c>
      <c r="L165">
        <v>1.7710295393128859E-3</v>
      </c>
      <c r="M165">
        <v>7.6212488559126935E-4</v>
      </c>
      <c r="N165" s="1">
        <v>-3.1199878069825099E-5</v>
      </c>
      <c r="O165" s="1">
        <v>3.40471394433981E-5</v>
      </c>
      <c r="P165" s="1">
        <v>-3.5566037995537799E-5</v>
      </c>
      <c r="AE165">
        <v>100</v>
      </c>
      <c r="AJ165">
        <v>1</v>
      </c>
    </row>
    <row r="166" spans="1:36" x14ac:dyDescent="0.2">
      <c r="A166">
        <v>165</v>
      </c>
      <c r="B166">
        <v>788</v>
      </c>
      <c r="C166">
        <v>125</v>
      </c>
      <c r="D166">
        <v>0.48055458700466802</v>
      </c>
      <c r="E166">
        <v>6.8622940542478901</v>
      </c>
      <c r="F166">
        <v>0.29456293014801499</v>
      </c>
      <c r="G166">
        <v>-153.02802942751256</v>
      </c>
      <c r="H166">
        <v>-85.051715272676432</v>
      </c>
      <c r="I166">
        <v>64.062800905514806</v>
      </c>
      <c r="J166">
        <v>25.905468457684499</v>
      </c>
      <c r="K166">
        <v>23.296529712002901</v>
      </c>
      <c r="L166">
        <v>1.7755161207574587E-3</v>
      </c>
      <c r="M166">
        <v>7.6194404098586788E-4</v>
      </c>
      <c r="N166" s="1">
        <v>-3.1284025870596302E-5</v>
      </c>
      <c r="O166" s="1">
        <v>3.4118884908254299E-5</v>
      </c>
      <c r="P166" s="1">
        <v>-3.57667269074739E-5</v>
      </c>
      <c r="AE166">
        <v>100</v>
      </c>
      <c r="AJ166">
        <v>1</v>
      </c>
    </row>
    <row r="167" spans="1:36" x14ac:dyDescent="0.2">
      <c r="A167">
        <v>166</v>
      </c>
      <c r="B167">
        <v>787</v>
      </c>
      <c r="C167">
        <v>125</v>
      </c>
      <c r="D167">
        <v>0.479998585105882</v>
      </c>
      <c r="E167">
        <v>6.88479858653342</v>
      </c>
      <c r="F167">
        <v>0.29508706006717</v>
      </c>
      <c r="G167">
        <v>-153.46561616181114</v>
      </c>
      <c r="H167">
        <v>-85.356643549062738</v>
      </c>
      <c r="I167">
        <v>64.248372888057901</v>
      </c>
      <c r="J167">
        <v>26.020905507397199</v>
      </c>
      <c r="K167">
        <v>23.3314147525351</v>
      </c>
      <c r="L167">
        <v>1.7800201848946909E-3</v>
      </c>
      <c r="M167">
        <v>7.6175999597960389E-4</v>
      </c>
      <c r="N167" s="1">
        <v>-3.1365352988754697E-5</v>
      </c>
      <c r="O167" s="1">
        <v>3.4189627305620102E-5</v>
      </c>
      <c r="P167" s="1">
        <v>-3.5967901515540201E-5</v>
      </c>
      <c r="AE167">
        <v>100</v>
      </c>
      <c r="AJ167">
        <v>1</v>
      </c>
    </row>
    <row r="168" spans="1:36" x14ac:dyDescent="0.2">
      <c r="A168">
        <v>167</v>
      </c>
      <c r="B168">
        <v>786</v>
      </c>
      <c r="C168">
        <v>125</v>
      </c>
      <c r="D168">
        <v>0.47944153330501299</v>
      </c>
      <c r="E168">
        <v>6.9071686333757398</v>
      </c>
      <c r="F168">
        <v>0.295613456641098</v>
      </c>
      <c r="G168">
        <v>-153.89981092659377</v>
      </c>
      <c r="H168">
        <v>-85.660104661291641</v>
      </c>
      <c r="I168">
        <v>64.4324779033591</v>
      </c>
      <c r="J168">
        <v>26.136196681580198</v>
      </c>
      <c r="K168">
        <v>23.365541988034899</v>
      </c>
      <c r="L168">
        <v>1.7845417502645997E-3</v>
      </c>
      <c r="M168">
        <v>7.6157270578989546E-4</v>
      </c>
      <c r="N168" s="1">
        <v>-3.1443768392265699E-5</v>
      </c>
      <c r="O168" s="1">
        <v>3.4259335974700702E-5</v>
      </c>
      <c r="P168" s="1">
        <v>-3.61695354251313E-5</v>
      </c>
      <c r="AE168">
        <v>100</v>
      </c>
      <c r="AJ168">
        <v>1</v>
      </c>
    </row>
    <row r="169" spans="1:36" x14ac:dyDescent="0.2">
      <c r="A169">
        <v>168</v>
      </c>
      <c r="B169">
        <v>785</v>
      </c>
      <c r="C169">
        <v>125</v>
      </c>
      <c r="D169">
        <v>0.47888342862543298</v>
      </c>
      <c r="E169">
        <v>6.9293984722845803</v>
      </c>
      <c r="F169">
        <v>0.29614213385389898</v>
      </c>
      <c r="G169">
        <v>-154.33049032743963</v>
      </c>
      <c r="H169">
        <v>-85.962026556245263</v>
      </c>
      <c r="I169">
        <v>64.615063269398405</v>
      </c>
      <c r="J169">
        <v>26.251320678594102</v>
      </c>
      <c r="K169">
        <v>23.3988942475276</v>
      </c>
      <c r="L169">
        <v>1.7890808336215283E-3</v>
      </c>
      <c r="M169">
        <v>7.6138212501897782E-4</v>
      </c>
      <c r="N169" s="1">
        <v>-3.1519182140100698E-5</v>
      </c>
      <c r="O169" s="1">
        <v>3.4327982590284398E-5</v>
      </c>
      <c r="P169" s="1">
        <v>-3.6371604282810701E-5</v>
      </c>
      <c r="AE169">
        <v>100</v>
      </c>
      <c r="AJ169">
        <v>1</v>
      </c>
    </row>
    <row r="170" spans="1:36" x14ac:dyDescent="0.2">
      <c r="A170">
        <v>169</v>
      </c>
      <c r="B170">
        <v>784</v>
      </c>
      <c r="C170">
        <v>125</v>
      </c>
      <c r="D170">
        <v>0.47832426807926898</v>
      </c>
      <c r="E170">
        <v>6.9974937074402099</v>
      </c>
      <c r="F170">
        <v>0.29667310577810901</v>
      </c>
      <c r="G170">
        <v>-155.78185936519222</v>
      </c>
      <c r="H170">
        <v>-86.833300860853811</v>
      </c>
      <c r="I170">
        <v>65.224956628608098</v>
      </c>
      <c r="J170">
        <v>26.540772293233601</v>
      </c>
      <c r="K170">
        <v>23.586545497905099</v>
      </c>
      <c r="L170">
        <v>1.7936374498817903E-3</v>
      </c>
      <c r="M170">
        <v>7.6118820764652681E-4</v>
      </c>
      <c r="N170" s="1">
        <v>-3.1800605070949501E-5</v>
      </c>
      <c r="O170" s="1">
        <v>3.46232003535963E-5</v>
      </c>
      <c r="P170" s="1">
        <v>-3.6816164478047299E-5</v>
      </c>
      <c r="AE170">
        <v>100</v>
      </c>
      <c r="AJ170">
        <v>1</v>
      </c>
    </row>
    <row r="171" spans="1:36" x14ac:dyDescent="0.2">
      <c r="A171">
        <v>170</v>
      </c>
      <c r="B171">
        <v>783</v>
      </c>
      <c r="C171">
        <v>125</v>
      </c>
      <c r="D171">
        <v>0.47776404866733202</v>
      </c>
      <c r="E171">
        <v>7.10501037259636</v>
      </c>
      <c r="F171">
        <v>0.297206386574835</v>
      </c>
      <c r="G171">
        <v>-158.10923713084665</v>
      </c>
      <c r="H171">
        <v>-88.194461316544604</v>
      </c>
      <c r="I171">
        <v>66.201620733356805</v>
      </c>
      <c r="J171">
        <v>26.980705546212501</v>
      </c>
      <c r="K171">
        <v>23.9059814779832</v>
      </c>
      <c r="L171">
        <v>1.798211612070214E-3</v>
      </c>
      <c r="M171">
        <v>7.6099090702220931E-4</v>
      </c>
      <c r="N171" s="1">
        <v>-3.2258110056043802E-5</v>
      </c>
      <c r="O171" s="1">
        <v>3.5112310956331998E-5</v>
      </c>
      <c r="P171" s="1">
        <v>-3.7470967968439498E-5</v>
      </c>
      <c r="AE171">
        <v>100</v>
      </c>
      <c r="AJ171">
        <v>1</v>
      </c>
    </row>
    <row r="172" spans="1:36" x14ac:dyDescent="0.2">
      <c r="A172">
        <v>171</v>
      </c>
      <c r="B172">
        <v>782</v>
      </c>
      <c r="C172">
        <v>125</v>
      </c>
      <c r="D172">
        <v>0.47720276737904699</v>
      </c>
      <c r="E172">
        <v>7.2140172741982704</v>
      </c>
      <c r="F172">
        <v>0.29774199049387401</v>
      </c>
      <c r="G172">
        <v>-160.46778550043902</v>
      </c>
      <c r="H172">
        <v>-89.574974524471131</v>
      </c>
      <c r="I172">
        <v>67.191337041788898</v>
      </c>
      <c r="J172">
        <v>27.4274504988276</v>
      </c>
      <c r="K172">
        <v>24.229089293828299</v>
      </c>
      <c r="L172">
        <v>1.8028033312655956E-3</v>
      </c>
      <c r="M172">
        <v>7.6079017585822502E-4</v>
      </c>
      <c r="N172" s="1">
        <v>-3.2718987452530402E-5</v>
      </c>
      <c r="O172" s="1">
        <v>3.5607371335514597E-5</v>
      </c>
      <c r="P172" s="1">
        <v>-3.8137008636477497E-5</v>
      </c>
      <c r="AE172">
        <v>100</v>
      </c>
      <c r="AJ172">
        <v>1</v>
      </c>
    </row>
    <row r="173" spans="1:36" x14ac:dyDescent="0.2">
      <c r="A173">
        <v>172</v>
      </c>
      <c r="B173">
        <v>781</v>
      </c>
      <c r="C173">
        <v>125</v>
      </c>
      <c r="D173">
        <v>0.476640421192431</v>
      </c>
      <c r="E173">
        <v>7.3250352114870996</v>
      </c>
      <c r="F173">
        <v>0.29827993187381102</v>
      </c>
      <c r="G173">
        <v>-162.8690438077991</v>
      </c>
      <c r="H173">
        <v>-90.981327769939512</v>
      </c>
      <c r="I173">
        <v>68.198935514695506</v>
      </c>
      <c r="J173">
        <v>27.8830183597019</v>
      </c>
      <c r="K173">
        <v>24.5575864439515</v>
      </c>
      <c r="L173">
        <v>1.8074126165450435E-3</v>
      </c>
      <c r="M173">
        <v>7.6058596622182622E-4</v>
      </c>
      <c r="N173" s="1">
        <v>-3.3185414806304399E-5</v>
      </c>
      <c r="O173" s="1">
        <v>3.61109153233403E-5</v>
      </c>
      <c r="P173" s="1">
        <v>-3.8817137719273802E-5</v>
      </c>
      <c r="AE173">
        <v>100</v>
      </c>
      <c r="AJ173">
        <v>1</v>
      </c>
    </row>
    <row r="174" spans="1:36" x14ac:dyDescent="0.2">
      <c r="A174">
        <v>173</v>
      </c>
      <c r="B174">
        <v>780</v>
      </c>
      <c r="C174">
        <v>125</v>
      </c>
      <c r="D174">
        <v>0.47607700707401701</v>
      </c>
      <c r="E174">
        <v>7.4387945202874501</v>
      </c>
      <c r="F174">
        <v>0.29882022514210899</v>
      </c>
      <c r="G174">
        <v>-165.32918903739159</v>
      </c>
      <c r="H174">
        <v>-92.422619692766162</v>
      </c>
      <c r="I174">
        <v>69.2311886052739</v>
      </c>
      <c r="J174">
        <v>28.350228721897899</v>
      </c>
      <c r="K174">
        <v>24.893878976062599</v>
      </c>
      <c r="L174">
        <v>1.8120394749271236E-3</v>
      </c>
      <c r="M174">
        <v>7.6037822952778472E-4</v>
      </c>
      <c r="N174" s="1">
        <v>-3.3660499631360203E-5</v>
      </c>
      <c r="O174" s="1">
        <v>3.6626495515946097E-5</v>
      </c>
      <c r="P174" s="1">
        <v>-3.9515347343853899E-5</v>
      </c>
      <c r="AE174">
        <v>100</v>
      </c>
      <c r="AJ174">
        <v>1</v>
      </c>
    </row>
    <row r="175" spans="1:36" x14ac:dyDescent="0.2">
      <c r="A175">
        <v>174</v>
      </c>
      <c r="B175">
        <v>779</v>
      </c>
      <c r="C175">
        <v>125</v>
      </c>
      <c r="D175">
        <v>0.475512521978807</v>
      </c>
      <c r="E175">
        <v>7.5563332955723297</v>
      </c>
      <c r="F175">
        <v>0.29936288481516998</v>
      </c>
      <c r="G175">
        <v>-167.87120820335241</v>
      </c>
      <c r="H175">
        <v>-93.911785038748732</v>
      </c>
      <c r="I175">
        <v>70.297721201850905</v>
      </c>
      <c r="J175">
        <v>28.8330893217708</v>
      </c>
      <c r="K175">
        <v>25.241383213679601</v>
      </c>
      <c r="L175">
        <v>1.8166839113140029E-3</v>
      </c>
      <c r="M175">
        <v>7.601669165309006E-4</v>
      </c>
      <c r="N175" s="1">
        <v>-3.4148715201078901E-5</v>
      </c>
      <c r="O175" s="1">
        <v>3.7159159819595798E-5</v>
      </c>
      <c r="P175" s="1">
        <v>-4.0237307585707997E-5</v>
      </c>
      <c r="AE175">
        <v>100</v>
      </c>
      <c r="AJ175">
        <v>1</v>
      </c>
    </row>
    <row r="176" spans="1:36" x14ac:dyDescent="0.2">
      <c r="A176">
        <v>175</v>
      </c>
      <c r="B176">
        <v>778</v>
      </c>
      <c r="C176">
        <v>125</v>
      </c>
      <c r="D176">
        <v>0.47494696285021398</v>
      </c>
      <c r="E176">
        <v>7.6791553670636796</v>
      </c>
      <c r="F176">
        <v>0.29990792549838502</v>
      </c>
      <c r="G176">
        <v>-170.52839217374091</v>
      </c>
      <c r="H176">
        <v>-95.467564528182436</v>
      </c>
      <c r="I176">
        <v>71.412474080591394</v>
      </c>
      <c r="J176">
        <v>29.3374068918802</v>
      </c>
      <c r="K176">
        <v>25.605043128828601</v>
      </c>
      <c r="L176">
        <v>1.8213459284321188E-3</v>
      </c>
      <c r="M176">
        <v>7.5995197731837339E-4</v>
      </c>
      <c r="N176" s="1">
        <v>-3.4656601158141802E-5</v>
      </c>
      <c r="O176" s="1">
        <v>3.7716217819598299E-5</v>
      </c>
      <c r="P176" s="1">
        <v>-4.0991230458280397E-5</v>
      </c>
      <c r="AE176">
        <v>100</v>
      </c>
      <c r="AJ176">
        <v>1</v>
      </c>
    </row>
    <row r="177" spans="1:36" x14ac:dyDescent="0.2">
      <c r="A177">
        <v>176</v>
      </c>
      <c r="B177">
        <v>777</v>
      </c>
      <c r="C177">
        <v>125</v>
      </c>
      <c r="D177">
        <v>0.47438032662001101</v>
      </c>
      <c r="E177">
        <v>7.8094883798155799</v>
      </c>
      <c r="F177">
        <v>0.30045536188616701</v>
      </c>
      <c r="G177">
        <v>-173.3500427653936</v>
      </c>
      <c r="H177">
        <v>-97.117723261410177</v>
      </c>
      <c r="I177">
        <v>72.596094436786899</v>
      </c>
      <c r="J177">
        <v>29.8717854601026</v>
      </c>
      <c r="K177">
        <v>25.992175113101599</v>
      </c>
      <c r="L177">
        <v>1.8260255267720871E-3</v>
      </c>
      <c r="M177">
        <v>7.5973336130231181E-4</v>
      </c>
      <c r="N177" s="1">
        <v>-3.5193907238412101E-5</v>
      </c>
      <c r="O177" s="1">
        <v>3.8308492315099298E-5</v>
      </c>
      <c r="P177" s="1">
        <v>-4.1789282442274798E-5</v>
      </c>
      <c r="AE177">
        <v>100</v>
      </c>
      <c r="AJ177">
        <v>1</v>
      </c>
    </row>
    <row r="178" spans="1:36" x14ac:dyDescent="0.2">
      <c r="A178">
        <v>177</v>
      </c>
      <c r="B178">
        <v>776</v>
      </c>
      <c r="C178">
        <v>125</v>
      </c>
      <c r="D178">
        <v>0.47381261020826598</v>
      </c>
      <c r="E178">
        <v>7.9506947706604096</v>
      </c>
      <c r="F178">
        <v>0.30100520876195502</v>
      </c>
      <c r="G178">
        <v>-176.41055793652183</v>
      </c>
      <c r="H178">
        <v>-98.904177061363271</v>
      </c>
      <c r="I178">
        <v>73.879741458261293</v>
      </c>
      <c r="J178">
        <v>30.449217641275499</v>
      </c>
      <c r="K178">
        <v>26.413811253837999</v>
      </c>
      <c r="L178">
        <v>1.8307227045269469E-3</v>
      </c>
      <c r="M178">
        <v>7.5951101721206872E-4</v>
      </c>
      <c r="N178" s="1">
        <v>-3.5775411467079202E-5</v>
      </c>
      <c r="O178" s="1">
        <v>3.8952310291680698E-5</v>
      </c>
      <c r="P178" s="1">
        <v>-4.26498383146148E-5</v>
      </c>
      <c r="AE178">
        <v>100</v>
      </c>
      <c r="AJ178">
        <v>1</v>
      </c>
    </row>
    <row r="179" spans="1:36" x14ac:dyDescent="0.2">
      <c r="A179">
        <v>178</v>
      </c>
      <c r="B179">
        <v>775</v>
      </c>
      <c r="C179">
        <v>125</v>
      </c>
      <c r="D179">
        <v>0.473243810523307</v>
      </c>
      <c r="E179">
        <v>8.1078192162258809</v>
      </c>
      <c r="F179">
        <v>0.301557480998209</v>
      </c>
      <c r="G179">
        <v>-179.82152088299651</v>
      </c>
      <c r="H179">
        <v>-100.88982650436979</v>
      </c>
      <c r="I179">
        <v>75.310150427571799</v>
      </c>
      <c r="J179">
        <v>31.089211125645001</v>
      </c>
      <c r="K179">
        <v>26.886480114462799</v>
      </c>
      <c r="L179">
        <v>1.8354374575295625E-3</v>
      </c>
      <c r="M179">
        <v>7.5928489308669839E-4</v>
      </c>
      <c r="N179" s="1">
        <v>-3.6423329008273303E-5</v>
      </c>
      <c r="O179" s="1">
        <v>3.9672146277775797E-5</v>
      </c>
      <c r="P179" s="1">
        <v>-4.3600502717510702E-5</v>
      </c>
      <c r="AE179">
        <v>100</v>
      </c>
      <c r="AJ179">
        <v>1</v>
      </c>
    </row>
    <row r="180" spans="1:36" x14ac:dyDescent="0.2">
      <c r="A180">
        <v>179</v>
      </c>
      <c r="B180">
        <v>774</v>
      </c>
      <c r="C180">
        <v>125</v>
      </c>
      <c r="D180">
        <v>0.47267392446163797</v>
      </c>
      <c r="E180">
        <v>8.2876825322579393</v>
      </c>
      <c r="F180">
        <v>0.30211219355637597</v>
      </c>
      <c r="G180">
        <v>-183.73370374945779</v>
      </c>
      <c r="H180">
        <v>-103.15975815205205</v>
      </c>
      <c r="I180">
        <v>76.950473493074199</v>
      </c>
      <c r="J180">
        <v>31.818189893782002</v>
      </c>
      <c r="K180">
        <v>27.432466179857801</v>
      </c>
      <c r="L180">
        <v>1.8401697791886685E-3</v>
      </c>
      <c r="M180">
        <v>7.5905493626736138E-4</v>
      </c>
      <c r="N180" s="1">
        <v>-3.7167654648979298E-5</v>
      </c>
      <c r="O180" s="1">
        <v>4.0501028663373403E-5</v>
      </c>
      <c r="P180" s="1">
        <v>-4.46787323285568E-5</v>
      </c>
      <c r="AE180">
        <v>100</v>
      </c>
      <c r="AJ180">
        <v>1</v>
      </c>
    </row>
    <row r="181" spans="1:36" x14ac:dyDescent="0.2">
      <c r="A181">
        <v>180</v>
      </c>
      <c r="B181">
        <v>773</v>
      </c>
      <c r="C181">
        <v>125</v>
      </c>
      <c r="D181">
        <v>0.472102948907902</v>
      </c>
      <c r="E181">
        <v>9.1020125563267307</v>
      </c>
      <c r="F181">
        <v>0.30266936148683299</v>
      </c>
      <c r="G181">
        <v>-201.70249116703047</v>
      </c>
      <c r="H181">
        <v>-113.33098239902753</v>
      </c>
      <c r="I181">
        <v>84.478055248783903</v>
      </c>
      <c r="J181">
        <v>34.987961317483702</v>
      </c>
      <c r="K181">
        <v>30.0724609574421</v>
      </c>
      <c r="L181">
        <v>1.8449196604234806E-3</v>
      </c>
      <c r="M181">
        <v>7.5882109338966267E-4</v>
      </c>
      <c r="N181" s="1">
        <v>-4.0746043640451E-5</v>
      </c>
      <c r="O181" s="1">
        <v>4.4424184113108602E-5</v>
      </c>
      <c r="P181" s="1">
        <v>-4.9191564108210099E-5</v>
      </c>
      <c r="AE181">
        <v>100</v>
      </c>
      <c r="AJ181">
        <v>1</v>
      </c>
    </row>
    <row r="182" spans="1:36" x14ac:dyDescent="0.2">
      <c r="A182">
        <v>181</v>
      </c>
      <c r="B182">
        <v>772</v>
      </c>
      <c r="C182">
        <v>125</v>
      </c>
      <c r="D182">
        <v>0.47153088073482102</v>
      </c>
      <c r="E182">
        <v>9.75443182342676</v>
      </c>
      <c r="F182">
        <v>0.30322899992881802</v>
      </c>
      <c r="G182">
        <v>-216.06972242005671</v>
      </c>
      <c r="H182">
        <v>-121.49190463556279</v>
      </c>
      <c r="I182">
        <v>90.497440433788398</v>
      </c>
      <c r="J182">
        <v>37.542583548465601</v>
      </c>
      <c r="K182">
        <v>32.168532118354598</v>
      </c>
      <c r="L182">
        <v>1.8496870895973502E-3</v>
      </c>
      <c r="M182">
        <v>7.5858331037610021E-4</v>
      </c>
      <c r="N182" s="1">
        <v>-4.3583737844636598E-5</v>
      </c>
      <c r="O182" s="1">
        <v>4.7547844664279002E-5</v>
      </c>
      <c r="P182" s="1">
        <v>-5.2850100981655503E-5</v>
      </c>
      <c r="AE182">
        <v>100</v>
      </c>
      <c r="AJ182">
        <v>1</v>
      </c>
    </row>
    <row r="183" spans="1:36" x14ac:dyDescent="0.2">
      <c r="A183">
        <v>182</v>
      </c>
      <c r="B183">
        <v>771</v>
      </c>
      <c r="C183">
        <v>125</v>
      </c>
      <c r="D183">
        <v>0.47095771680314102</v>
      </c>
      <c r="E183">
        <v>10.077276472339401</v>
      </c>
      <c r="F183">
        <v>0.30379112411033399</v>
      </c>
      <c r="G183">
        <v>-223.12755708630914</v>
      </c>
      <c r="H183">
        <v>-125.55175922333754</v>
      </c>
      <c r="I183">
        <v>93.455504189421703</v>
      </c>
      <c r="J183">
        <v>38.833671042177798</v>
      </c>
      <c r="K183">
        <v>33.171727784513699</v>
      </c>
      <c r="L183">
        <v>1.8544720524500773E-3</v>
      </c>
      <c r="M183">
        <v>7.5834153242848991E-4</v>
      </c>
      <c r="N183" s="1">
        <v>-4.4936335659640102E-5</v>
      </c>
      <c r="O183" s="1">
        <v>4.9058760476674102E-5</v>
      </c>
      <c r="P183" s="1">
        <v>-5.4737233280316703E-5</v>
      </c>
      <c r="AE183">
        <v>100</v>
      </c>
      <c r="AJ183">
        <v>1</v>
      </c>
    </row>
    <row r="184" spans="1:36" x14ac:dyDescent="0.2">
      <c r="A184">
        <v>183</v>
      </c>
      <c r="B184">
        <v>770</v>
      </c>
      <c r="C184">
        <v>125</v>
      </c>
      <c r="D184">
        <v>0.47038345396155901</v>
      </c>
      <c r="E184">
        <v>10.2612092839151</v>
      </c>
      <c r="F184">
        <v>0.30435574934801402</v>
      </c>
      <c r="G184">
        <v>-227.10499121686792</v>
      </c>
      <c r="H184">
        <v>-127.88292664077498</v>
      </c>
      <c r="I184">
        <v>95.123363533677406</v>
      </c>
      <c r="J184">
        <v>39.592145543935601</v>
      </c>
      <c r="K184">
        <v>33.7145242233685</v>
      </c>
      <c r="L184">
        <v>1.8592745320286448E-3</v>
      </c>
      <c r="M184">
        <v>7.5809570402031597E-4</v>
      </c>
      <c r="N184" s="1">
        <v>-4.5660585450263403E-5</v>
      </c>
      <c r="O184" s="1">
        <v>4.9890075617586898E-5</v>
      </c>
      <c r="P184" s="1">
        <v>-5.5877790503745403E-5</v>
      </c>
      <c r="AE184">
        <v>100</v>
      </c>
      <c r="AJ184">
        <v>1</v>
      </c>
    </row>
    <row r="185" spans="1:36" x14ac:dyDescent="0.2">
      <c r="A185">
        <v>184</v>
      </c>
      <c r="B185">
        <v>769</v>
      </c>
      <c r="C185">
        <v>125</v>
      </c>
      <c r="D185">
        <v>0.46980808904668597</v>
      </c>
      <c r="E185">
        <v>10.377557235176599</v>
      </c>
      <c r="F185">
        <v>0.304922891046987</v>
      </c>
      <c r="G185">
        <v>-229.58386565347678</v>
      </c>
      <c r="H185">
        <v>-129.37300882303379</v>
      </c>
      <c r="I185">
        <v>96.163503819937603</v>
      </c>
      <c r="J185">
        <v>40.091561162654202</v>
      </c>
      <c r="K185">
        <v>34.033382011904997</v>
      </c>
      <c r="L185">
        <v>1.8640945086170373E-3</v>
      </c>
      <c r="M185">
        <v>7.5784576888920777E-4</v>
      </c>
      <c r="N185" s="1">
        <v>-4.6076757180089398E-5</v>
      </c>
      <c r="O185" s="1">
        <v>5.0390726476073401E-5</v>
      </c>
      <c r="P185" s="1">
        <v>-5.6655492477672499E-5</v>
      </c>
      <c r="AE185">
        <v>100</v>
      </c>
      <c r="AJ185">
        <v>1</v>
      </c>
    </row>
    <row r="186" spans="1:36" x14ac:dyDescent="0.2">
      <c r="A186">
        <v>185</v>
      </c>
      <c r="B186">
        <v>768</v>
      </c>
      <c r="C186">
        <v>125</v>
      </c>
      <c r="D186">
        <v>0.46923161888296799</v>
      </c>
      <c r="E186">
        <v>10.4569068271036</v>
      </c>
      <c r="F186">
        <v>0.30549256470070202</v>
      </c>
      <c r="G186">
        <v>-231.24244619907148</v>
      </c>
      <c r="H186">
        <v>-130.40265328335281</v>
      </c>
      <c r="I186">
        <v>96.859988474218596</v>
      </c>
      <c r="J186">
        <v>40.449254896585998</v>
      </c>
      <c r="K186">
        <v>34.2296606706239</v>
      </c>
      <c r="L186">
        <v>1.8689319596645417E-3</v>
      </c>
      <c r="M186">
        <v>7.5759167002939119E-4</v>
      </c>
      <c r="N186" s="1">
        <v>-4.6322088149779503E-5</v>
      </c>
      <c r="O186" s="1">
        <v>5.0710302126408697E-5</v>
      </c>
      <c r="P186" s="1">
        <v>-5.7234977397341902E-5</v>
      </c>
      <c r="AE186">
        <v>100</v>
      </c>
      <c r="AJ18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E5D1B-B744-4364-8DA9-EF280E526E18}">
  <sheetPr codeName="Sheet15"/>
  <dimension ref="A1:AU18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751</v>
      </c>
      <c r="C2">
        <v>275</v>
      </c>
      <c r="D2">
        <v>0.29815017331445698</v>
      </c>
      <c r="E2">
        <v>200.87237716468718</v>
      </c>
      <c r="F2">
        <v>61.187381938831777</v>
      </c>
      <c r="G2">
        <v>72.099873599188783</v>
      </c>
      <c r="H2">
        <v>67.485926391720682</v>
      </c>
      <c r="J2">
        <v>54.517527054004518</v>
      </c>
      <c r="L2">
        <v>9.1524500167013212</v>
      </c>
      <c r="M2">
        <v>12.590109022422975</v>
      </c>
      <c r="N2">
        <v>2.5910268425833989</v>
      </c>
      <c r="O2">
        <v>39.687599346742182</v>
      </c>
      <c r="P2">
        <v>12.60285668577489</v>
      </c>
      <c r="Q2">
        <v>0.2504380148821625</v>
      </c>
      <c r="R2">
        <v>17.135264244307333</v>
      </c>
      <c r="S2">
        <v>49.569328547551798</v>
      </c>
      <c r="U2">
        <v>0.57289485410894381</v>
      </c>
      <c r="V2">
        <v>48.016515579225441</v>
      </c>
      <c r="W2">
        <v>20.965654778421687</v>
      </c>
      <c r="X2">
        <v>44.872890211220366</v>
      </c>
      <c r="Y2">
        <v>10.376106704498991</v>
      </c>
      <c r="Z2">
        <v>29.063879383917133</v>
      </c>
      <c r="AA2">
        <v>8.5668807118966352</v>
      </c>
      <c r="AB2">
        <v>34.668565352116794</v>
      </c>
      <c r="AC2">
        <v>2.243802753239156E-3</v>
      </c>
      <c r="AD2">
        <v>7.2250283938551414</v>
      </c>
      <c r="AE2">
        <v>11.148587426491323</v>
      </c>
      <c r="AF2">
        <v>12.259312503544278</v>
      </c>
      <c r="AG2">
        <v>20.04627888936675</v>
      </c>
      <c r="AH2">
        <v>8.4579446656540931</v>
      </c>
      <c r="AI2">
        <v>2.5372579501388448</v>
      </c>
      <c r="AK2">
        <v>48.176877775231539</v>
      </c>
    </row>
    <row r="3" spans="1:47" x14ac:dyDescent="0.2">
      <c r="A3">
        <v>2</v>
      </c>
      <c r="B3">
        <v>750</v>
      </c>
      <c r="C3">
        <v>275</v>
      </c>
      <c r="D3">
        <v>0.29739578751893703</v>
      </c>
      <c r="E3">
        <v>200.7561194467425</v>
      </c>
      <c r="F3">
        <v>60.823703806725931</v>
      </c>
      <c r="G3">
        <v>72.039654477751853</v>
      </c>
      <c r="H3">
        <v>67.423391437133816</v>
      </c>
      <c r="J3">
        <v>54.449832531571126</v>
      </c>
      <c r="L3">
        <v>9.0657290394732311</v>
      </c>
      <c r="M3">
        <v>12.522692213045946</v>
      </c>
      <c r="N3">
        <v>2.5905179763220518</v>
      </c>
      <c r="O3">
        <v>39.29046336058331</v>
      </c>
      <c r="P3">
        <v>12.503445410810913</v>
      </c>
      <c r="Q3">
        <v>0.18236340423698968</v>
      </c>
      <c r="R3">
        <v>16.918119253218858</v>
      </c>
      <c r="S3">
        <v>49.112697748175137</v>
      </c>
      <c r="U3">
        <v>0.49394708539825338</v>
      </c>
      <c r="V3">
        <v>47.907293770488252</v>
      </c>
      <c r="W3">
        <v>20.759004242337255</v>
      </c>
      <c r="X3">
        <v>44.671533327946698</v>
      </c>
      <c r="Y3">
        <v>10.284872222878015</v>
      </c>
      <c r="Z3">
        <v>28.855615842772536</v>
      </c>
      <c r="AA3">
        <v>8.4777176448826932</v>
      </c>
      <c r="AB3">
        <v>34.512702218045796</v>
      </c>
      <c r="AD3">
        <v>7.1061430808247756</v>
      </c>
      <c r="AE3">
        <v>11.05481603150001</v>
      </c>
      <c r="AF3">
        <v>12.188296919108495</v>
      </c>
      <c r="AG3">
        <v>19.872956977777505</v>
      </c>
      <c r="AH3">
        <v>8.3274987899371027</v>
      </c>
      <c r="AI3">
        <v>2.5364569661772842</v>
      </c>
      <c r="AK3">
        <v>48.174353051074945</v>
      </c>
    </row>
    <row r="4" spans="1:47" x14ac:dyDescent="0.2">
      <c r="A4">
        <v>3</v>
      </c>
      <c r="B4">
        <v>749</v>
      </c>
      <c r="C4">
        <v>275</v>
      </c>
      <c r="D4">
        <v>0.29663992564692099</v>
      </c>
      <c r="E4">
        <v>200.63491276651717</v>
      </c>
      <c r="F4">
        <v>60.442406674240381</v>
      </c>
      <c r="G4">
        <v>71.976922497511069</v>
      </c>
      <c r="H4">
        <v>67.358356780407178</v>
      </c>
      <c r="J4">
        <v>54.372465085271919</v>
      </c>
      <c r="L4">
        <v>8.9767369377682442</v>
      </c>
      <c r="M4">
        <v>12.447613638607598</v>
      </c>
      <c r="N4">
        <v>2.5924908748326807</v>
      </c>
      <c r="O4">
        <v>38.888976717799338</v>
      </c>
      <c r="P4">
        <v>12.401498068516657</v>
      </c>
      <c r="Q4">
        <v>0.10918460762212188</v>
      </c>
      <c r="R4">
        <v>16.689585338356171</v>
      </c>
      <c r="S4">
        <v>48.620336021055095</v>
      </c>
      <c r="U4">
        <v>0.4086442589962313</v>
      </c>
      <c r="V4">
        <v>47.786282007370083</v>
      </c>
      <c r="W4">
        <v>20.537514836317339</v>
      </c>
      <c r="X4">
        <v>44.448501711925722</v>
      </c>
      <c r="Y4">
        <v>10.190438478345438</v>
      </c>
      <c r="Z4">
        <v>28.635074842576675</v>
      </c>
      <c r="AA4">
        <v>8.3863407408342034</v>
      </c>
      <c r="AB4">
        <v>34.342280349840259</v>
      </c>
      <c r="AD4">
        <v>6.9796571080164158</v>
      </c>
      <c r="AE4">
        <v>10.955891569870534</v>
      </c>
      <c r="AF4">
        <v>12.112101664966797</v>
      </c>
      <c r="AG4">
        <v>19.687560654048667</v>
      </c>
      <c r="AH4">
        <v>8.188681305037667</v>
      </c>
      <c r="AI4">
        <v>2.5381369050488094</v>
      </c>
      <c r="AK4">
        <v>48.16847961207403</v>
      </c>
    </row>
    <row r="5" spans="1:47" x14ac:dyDescent="0.2">
      <c r="A5">
        <v>4</v>
      </c>
      <c r="B5">
        <v>748</v>
      </c>
      <c r="C5">
        <v>275</v>
      </c>
      <c r="D5">
        <v>0.29588258336189799</v>
      </c>
      <c r="E5">
        <v>200.51387001301072</v>
      </c>
      <c r="F5">
        <v>60.061807369915435</v>
      </c>
      <c r="G5">
        <v>71.914276464486903</v>
      </c>
      <c r="H5">
        <v>67.293421248645927</v>
      </c>
      <c r="J5">
        <v>54.295729363880675</v>
      </c>
      <c r="L5">
        <v>8.8879760926430649</v>
      </c>
      <c r="M5">
        <v>12.372679380144969</v>
      </c>
      <c r="N5">
        <v>2.5944636478657537</v>
      </c>
      <c r="O5">
        <v>38.488105097762144</v>
      </c>
      <c r="P5">
        <v>12.299730403777506</v>
      </c>
      <c r="Q5">
        <v>3.6119525065703102E-2</v>
      </c>
      <c r="R5">
        <v>16.461428013336377</v>
      </c>
      <c r="S5">
        <v>48.128901601621507</v>
      </c>
      <c r="U5">
        <v>0.32342100323531475</v>
      </c>
      <c r="V5">
        <v>47.665463898711032</v>
      </c>
      <c r="W5">
        <v>20.316293172900806</v>
      </c>
      <c r="X5">
        <v>44.225914997291106</v>
      </c>
      <c r="Y5">
        <v>10.09617229553062</v>
      </c>
      <c r="Z5">
        <v>28.414788467743776</v>
      </c>
      <c r="AA5">
        <v>8.2951390676318404</v>
      </c>
      <c r="AB5">
        <v>34.172111169264731</v>
      </c>
      <c r="AD5">
        <v>6.8532665002591031</v>
      </c>
      <c r="AE5">
        <v>10.857072422605018</v>
      </c>
      <c r="AF5">
        <v>12.036050937592641</v>
      </c>
      <c r="AG5">
        <v>19.502419455742793</v>
      </c>
      <c r="AH5">
        <v>8.0500856513904555</v>
      </c>
      <c r="AI5">
        <v>2.5398158746632449</v>
      </c>
      <c r="AK5">
        <v>48.162942837197498</v>
      </c>
    </row>
    <row r="6" spans="1:47" x14ac:dyDescent="0.2">
      <c r="A6">
        <v>5</v>
      </c>
      <c r="B6">
        <v>747</v>
      </c>
      <c r="C6">
        <v>275</v>
      </c>
      <c r="D6">
        <v>0.29512375631034898</v>
      </c>
      <c r="E6">
        <v>200.33570068502533</v>
      </c>
      <c r="F6">
        <v>59.325131799730833</v>
      </c>
      <c r="G6">
        <v>71.793153428719677</v>
      </c>
      <c r="H6">
        <v>67.170021913014182</v>
      </c>
      <c r="J6">
        <v>54.168132744969803</v>
      </c>
      <c r="L6">
        <v>8.7049319797341767</v>
      </c>
      <c r="M6">
        <v>12.340099124645393</v>
      </c>
      <c r="N6">
        <v>2.5964329280785168</v>
      </c>
      <c r="O6">
        <v>37.696614768720636</v>
      </c>
      <c r="P6">
        <v>12.081013172490833</v>
      </c>
      <c r="R6">
        <v>16.182329617288122</v>
      </c>
      <c r="S6">
        <v>47.791375092013318</v>
      </c>
      <c r="U6">
        <v>0.26026387079093372</v>
      </c>
      <c r="V6">
        <v>47.659147894005812</v>
      </c>
      <c r="W6">
        <v>20.080325403816133</v>
      </c>
      <c r="X6">
        <v>44.073136431197916</v>
      </c>
      <c r="Y6">
        <v>9.8861777507088817</v>
      </c>
      <c r="Z6">
        <v>28.005045832397183</v>
      </c>
      <c r="AA6">
        <v>8.1024060417997674</v>
      </c>
      <c r="AB6">
        <v>34.093055322371505</v>
      </c>
      <c r="AD6">
        <v>6.6116479155685282</v>
      </c>
      <c r="AE6">
        <v>10.691861050551186</v>
      </c>
      <c r="AF6">
        <v>12.00235106232984</v>
      </c>
      <c r="AG6">
        <v>19.408390667634411</v>
      </c>
      <c r="AH6">
        <v>7.7445415027541049</v>
      </c>
      <c r="AI6">
        <v>2.5414905058381265</v>
      </c>
      <c r="AK6">
        <v>48.070962776257822</v>
      </c>
    </row>
    <row r="7" spans="1:47" x14ac:dyDescent="0.2">
      <c r="A7">
        <v>6</v>
      </c>
      <c r="B7">
        <v>746</v>
      </c>
      <c r="C7">
        <v>275</v>
      </c>
      <c r="D7">
        <v>0.29436344012167098</v>
      </c>
      <c r="E7">
        <v>200.10156604863997</v>
      </c>
      <c r="F7">
        <v>58.234150386210665</v>
      </c>
      <c r="G7">
        <v>71.613109577510343</v>
      </c>
      <c r="H7">
        <v>66.987714981980929</v>
      </c>
      <c r="J7">
        <v>53.980268407226774</v>
      </c>
      <c r="L7">
        <v>8.4248203408141666</v>
      </c>
      <c r="M7">
        <v>12.349059795788765</v>
      </c>
      <c r="N7">
        <v>2.5983984954368156</v>
      </c>
      <c r="O7">
        <v>36.512776717003327</v>
      </c>
      <c r="P7">
        <v>11.744458552448178</v>
      </c>
      <c r="R7">
        <v>15.840378505978423</v>
      </c>
      <c r="S7">
        <v>47.573932130660708</v>
      </c>
      <c r="U7">
        <v>0.22038485238462074</v>
      </c>
      <c r="V7">
        <v>47.754181209666726</v>
      </c>
      <c r="W7">
        <v>19.832230727658732</v>
      </c>
      <c r="X7">
        <v>43.993310885313619</v>
      </c>
      <c r="Y7">
        <v>9.5595777079354178</v>
      </c>
      <c r="Z7">
        <v>27.40666759713876</v>
      </c>
      <c r="AA7">
        <v>7.8067925147288042</v>
      </c>
      <c r="AB7">
        <v>34.08939584629595</v>
      </c>
      <c r="AD7">
        <v>6.2544472050974411</v>
      </c>
      <c r="AE7">
        <v>10.461037190035928</v>
      </c>
      <c r="AF7">
        <v>12.010188748540942</v>
      </c>
      <c r="AG7">
        <v>19.389757112911067</v>
      </c>
      <c r="AH7">
        <v>7.2703901141610148</v>
      </c>
      <c r="AI7">
        <v>2.543160576698889</v>
      </c>
      <c r="AK7">
        <v>47.891767258732756</v>
      </c>
    </row>
    <row r="8" spans="1:47" x14ac:dyDescent="0.2">
      <c r="A8">
        <v>7</v>
      </c>
      <c r="B8">
        <v>745</v>
      </c>
      <c r="C8">
        <v>275</v>
      </c>
      <c r="D8">
        <v>0.29360163040809401</v>
      </c>
      <c r="E8">
        <v>199.86342374255779</v>
      </c>
      <c r="F8">
        <v>57.109782885673582</v>
      </c>
      <c r="G8">
        <v>71.426613386397335</v>
      </c>
      <c r="H8">
        <v>66.798968952292199</v>
      </c>
      <c r="J8">
        <v>53.773083854835335</v>
      </c>
      <c r="L8">
        <v>8.1312623870852541</v>
      </c>
      <c r="M8">
        <v>12.360985892562937</v>
      </c>
      <c r="N8">
        <v>2.6003632747185668</v>
      </c>
      <c r="O8">
        <v>35.287381533200538</v>
      </c>
      <c r="P8">
        <v>11.395006442793763</v>
      </c>
      <c r="R8">
        <v>15.476341609543326</v>
      </c>
      <c r="S8">
        <v>47.320305399622647</v>
      </c>
      <c r="U8">
        <v>0.18434450495648094</v>
      </c>
      <c r="V8">
        <v>47.840954901973255</v>
      </c>
      <c r="W8">
        <v>19.586708610503766</v>
      </c>
      <c r="X8">
        <v>43.92485480522204</v>
      </c>
      <c r="Y8">
        <v>9.2201846125759221</v>
      </c>
      <c r="Z8">
        <v>26.789644813652309</v>
      </c>
      <c r="AA8">
        <v>7.499349293527688</v>
      </c>
      <c r="AB8">
        <v>34.070344406314973</v>
      </c>
      <c r="AD8">
        <v>5.8847549102845056</v>
      </c>
      <c r="AE8">
        <v>10.224194011486263</v>
      </c>
      <c r="AF8">
        <v>12.020991425713644</v>
      </c>
      <c r="AG8">
        <v>19.35573338773111</v>
      </c>
      <c r="AH8">
        <v>6.7771202227131457</v>
      </c>
      <c r="AI8">
        <v>2.5448290101831561</v>
      </c>
      <c r="AK8">
        <v>47.70278088474943</v>
      </c>
    </row>
    <row r="9" spans="1:47" x14ac:dyDescent="0.2">
      <c r="A9">
        <v>8</v>
      </c>
      <c r="B9">
        <v>744</v>
      </c>
      <c r="C9">
        <v>275</v>
      </c>
      <c r="D9">
        <v>0.29283832276459099</v>
      </c>
      <c r="E9">
        <v>199.62024954607423</v>
      </c>
      <c r="F9">
        <v>55.944185454814352</v>
      </c>
      <c r="G9">
        <v>71.232433558091728</v>
      </c>
      <c r="H9">
        <v>66.602552547908587</v>
      </c>
      <c r="J9">
        <v>53.541944528070687</v>
      </c>
      <c r="L9">
        <v>7.8219403554928251</v>
      </c>
      <c r="M9">
        <v>12.376093832291472</v>
      </c>
      <c r="N9">
        <v>2.6023271515614321</v>
      </c>
      <c r="O9">
        <v>34.011979106741293</v>
      </c>
      <c r="P9">
        <v>11.03019415794094</v>
      </c>
      <c r="R9">
        <v>15.086718562817937</v>
      </c>
      <c r="S9">
        <v>47.021542755770653</v>
      </c>
      <c r="U9">
        <v>0.15245612997301933</v>
      </c>
      <c r="V9">
        <v>47.917764740576359</v>
      </c>
      <c r="W9">
        <v>19.344008591832658</v>
      </c>
      <c r="X9">
        <v>43.868699116951674</v>
      </c>
      <c r="Y9">
        <v>8.8655234305849717</v>
      </c>
      <c r="Z9">
        <v>26.148737743843764</v>
      </c>
      <c r="AA9">
        <v>7.1775713011692712</v>
      </c>
      <c r="AB9">
        <v>34.031489448148839</v>
      </c>
      <c r="AD9">
        <v>5.4994429126511015</v>
      </c>
      <c r="AE9">
        <v>9.9792302011805702</v>
      </c>
      <c r="AF9">
        <v>12.03497540254763</v>
      </c>
      <c r="AG9">
        <v>19.3019078295765</v>
      </c>
      <c r="AH9">
        <v>6.2609417690345763</v>
      </c>
      <c r="AI9">
        <v>2.5464956900879474</v>
      </c>
      <c r="AK9">
        <v>47.501684136483064</v>
      </c>
    </row>
    <row r="10" spans="1:47" x14ac:dyDescent="0.2">
      <c r="A10">
        <v>9</v>
      </c>
      <c r="B10">
        <v>743</v>
      </c>
      <c r="C10">
        <v>275</v>
      </c>
      <c r="D10">
        <v>0.29207351276878402</v>
      </c>
      <c r="E10">
        <v>199.37055824542492</v>
      </c>
      <c r="F10">
        <v>54.725940086108992</v>
      </c>
      <c r="G10">
        <v>71.028802688211073</v>
      </c>
      <c r="H10">
        <v>66.396698385739569</v>
      </c>
      <c r="J10">
        <v>53.280315663414946</v>
      </c>
      <c r="L10">
        <v>7.4935538295156512</v>
      </c>
      <c r="M10">
        <v>12.394618363401195</v>
      </c>
      <c r="N10">
        <v>2.6042899700407092</v>
      </c>
      <c r="O10">
        <v>32.674394145408613</v>
      </c>
      <c r="P10">
        <v>10.646486756618293</v>
      </c>
      <c r="R10">
        <v>14.666452311877315</v>
      </c>
      <c r="S10">
        <v>46.665507561013861</v>
      </c>
      <c r="U10">
        <v>0.12511696136177242</v>
      </c>
      <c r="V10">
        <v>47.982407413421249</v>
      </c>
      <c r="W10">
        <v>19.10443992631237</v>
      </c>
      <c r="X10">
        <v>43.826021202545554</v>
      </c>
      <c r="Y10">
        <v>8.492038317149472</v>
      </c>
      <c r="Z10">
        <v>25.476189940396178</v>
      </c>
      <c r="AA10">
        <v>6.8381959900897638</v>
      </c>
      <c r="AB10">
        <v>33.966799356641097</v>
      </c>
      <c r="AD10">
        <v>5.0939036595196763</v>
      </c>
      <c r="AE10">
        <v>9.7230006715766049</v>
      </c>
      <c r="AF10">
        <v>12.052375277300715</v>
      </c>
      <c r="AG10">
        <v>19.22224867351223</v>
      </c>
      <c r="AH10">
        <v>5.716380039325986</v>
      </c>
      <c r="AI10">
        <v>2.5481604586487325</v>
      </c>
      <c r="AK10">
        <v>47.285082803073514</v>
      </c>
    </row>
    <row r="11" spans="1:47" x14ac:dyDescent="0.2">
      <c r="A11">
        <v>10</v>
      </c>
      <c r="B11">
        <v>742</v>
      </c>
      <c r="C11">
        <v>275</v>
      </c>
      <c r="D11">
        <v>0.291307195980888</v>
      </c>
      <c r="E11">
        <v>199.11202683938041</v>
      </c>
      <c r="F11">
        <v>53.437140204035565</v>
      </c>
      <c r="G11">
        <v>70.812982307760279</v>
      </c>
      <c r="H11">
        <v>66.178668018122906</v>
      </c>
      <c r="J11">
        <v>52.978238149696672</v>
      </c>
      <c r="L11">
        <v>7.1408617048914165</v>
      </c>
      <c r="M11">
        <v>12.416814740273908</v>
      </c>
      <c r="N11">
        <v>2.6062515015016881</v>
      </c>
      <c r="O11">
        <v>31.255704617219646</v>
      </c>
      <c r="P11">
        <v>10.23840709566762</v>
      </c>
      <c r="R11">
        <v>14.207633502218115</v>
      </c>
      <c r="S11">
        <v>46.234383710920753</v>
      </c>
      <c r="U11">
        <v>0.10286723437068873</v>
      </c>
      <c r="V11">
        <v>48.03178033854249</v>
      </c>
      <c r="W11">
        <v>18.868407016079008</v>
      </c>
      <c r="X11">
        <v>43.798416911161333</v>
      </c>
      <c r="Y11">
        <v>8.0942160558728737</v>
      </c>
      <c r="Z11">
        <v>24.75966971625278</v>
      </c>
      <c r="AA11">
        <v>6.4758130533444058</v>
      </c>
      <c r="AB11">
        <v>33.86735385489542</v>
      </c>
      <c r="AD11">
        <v>4.6608432260427435</v>
      </c>
      <c r="AE11">
        <v>9.4504606812606919</v>
      </c>
      <c r="AF11">
        <v>12.073446081461501</v>
      </c>
      <c r="AG11">
        <v>19.107835420148543</v>
      </c>
      <c r="AH11">
        <v>5.1349079210057891</v>
      </c>
      <c r="AI11">
        <v>2.5498230853695758</v>
      </c>
      <c r="AK11">
        <v>47.047629468628386</v>
      </c>
    </row>
    <row r="12" spans="1:47" x14ac:dyDescent="0.2">
      <c r="A12">
        <v>11</v>
      </c>
      <c r="B12">
        <v>741</v>
      </c>
      <c r="C12">
        <v>275</v>
      </c>
      <c r="D12">
        <v>0.29053936794360102</v>
      </c>
      <c r="E12">
        <v>198.84064430674738</v>
      </c>
      <c r="F12">
        <v>52.046808879010506</v>
      </c>
      <c r="G12">
        <v>70.580286005711415</v>
      </c>
      <c r="H12">
        <v>65.943775055406846</v>
      </c>
      <c r="J12">
        <v>52.618872778122025</v>
      </c>
      <c r="L12">
        <v>6.7547522949324232</v>
      </c>
      <c r="M12">
        <v>12.44294520470271</v>
      </c>
      <c r="N12">
        <v>2.6082113763719383</v>
      </c>
      <c r="O12">
        <v>29.723444341972389</v>
      </c>
      <c r="P12">
        <v>9.7965820070095067</v>
      </c>
      <c r="R12">
        <v>13.696567520904004</v>
      </c>
      <c r="S12">
        <v>45.699000002295087</v>
      </c>
      <c r="U12">
        <v>8.6509857193282663E-2</v>
      </c>
      <c r="V12">
        <v>48.060961715349741</v>
      </c>
      <c r="W12">
        <v>18.636492208388759</v>
      </c>
      <c r="X12">
        <v>43.788247447839922</v>
      </c>
      <c r="Y12">
        <v>7.6626163544541956</v>
      </c>
      <c r="Z12">
        <v>23.977595146632055</v>
      </c>
      <c r="AA12">
        <v>6.0814589715558833</v>
      </c>
      <c r="AB12">
        <v>33.718448605355889</v>
      </c>
      <c r="AD12">
        <v>4.187544532464714</v>
      </c>
      <c r="AE12">
        <v>9.1527152825046922</v>
      </c>
      <c r="AF12">
        <v>12.098449693029163</v>
      </c>
      <c r="AG12">
        <v>18.943963368540956</v>
      </c>
      <c r="AH12">
        <v>4.5018652465914171</v>
      </c>
      <c r="AI12">
        <v>2.5514831988378712</v>
      </c>
      <c r="AK12">
        <v>46.780034650474967</v>
      </c>
    </row>
    <row r="13" spans="1:47" x14ac:dyDescent="0.2">
      <c r="A13">
        <v>12</v>
      </c>
      <c r="B13">
        <v>740</v>
      </c>
      <c r="C13">
        <v>275</v>
      </c>
      <c r="D13">
        <v>0.28977002418201098</v>
      </c>
      <c r="E13">
        <v>198.54842653971053</v>
      </c>
      <c r="F13">
        <v>50.493187041584989</v>
      </c>
      <c r="G13">
        <v>70.321470225257812</v>
      </c>
      <c r="H13">
        <v>65.682775962202356</v>
      </c>
      <c r="J13">
        <v>52.169179883025528</v>
      </c>
      <c r="L13">
        <v>6.3173249196494758</v>
      </c>
      <c r="M13">
        <v>12.473179406245277</v>
      </c>
      <c r="N13">
        <v>2.6101689054550605</v>
      </c>
      <c r="O13">
        <v>28.013404898274715</v>
      </c>
      <c r="P13">
        <v>9.3025237114541177</v>
      </c>
      <c r="R13">
        <v>13.105872815162448</v>
      </c>
      <c r="S13">
        <v>45.003523163211817</v>
      </c>
      <c r="U13">
        <v>7.7384843768477013E-2</v>
      </c>
      <c r="V13">
        <v>48.060715501515261</v>
      </c>
      <c r="W13">
        <v>18.409685906598003</v>
      </c>
      <c r="X13">
        <v>43.799429179085564</v>
      </c>
      <c r="Y13">
        <v>7.1786069953281153</v>
      </c>
      <c r="Z13">
        <v>23.086457626922172</v>
      </c>
      <c r="AA13">
        <v>5.6373228428333384</v>
      </c>
      <c r="AB13">
        <v>33.491747682843901</v>
      </c>
      <c r="AD13">
        <v>3.6484620954722824</v>
      </c>
      <c r="AE13">
        <v>8.8117056374263605</v>
      </c>
      <c r="AF13">
        <v>12.127555078154309</v>
      </c>
      <c r="AG13">
        <v>18.702295910518945</v>
      </c>
      <c r="AH13">
        <v>3.788198688559778</v>
      </c>
      <c r="AI13">
        <v>2.5531401080165761</v>
      </c>
      <c r="AK13">
        <v>46.463697900296374</v>
      </c>
    </row>
    <row r="14" spans="1:47" x14ac:dyDescent="0.2">
      <c r="A14">
        <v>13</v>
      </c>
      <c r="B14">
        <v>739</v>
      </c>
      <c r="C14">
        <v>275</v>
      </c>
      <c r="D14">
        <v>0.28899916020352701</v>
      </c>
      <c r="E14">
        <v>197.62014370554746</v>
      </c>
      <c r="F14">
        <v>44.183506539155154</v>
      </c>
      <c r="G14">
        <v>69.405626216041782</v>
      </c>
      <c r="H14">
        <v>64.76476200961082</v>
      </c>
      <c r="J14">
        <v>49.593913286425206</v>
      </c>
      <c r="L14">
        <v>4.6059113214794598</v>
      </c>
      <c r="M14">
        <v>12.417126412133257</v>
      </c>
      <c r="N14">
        <v>2.6120913065492828</v>
      </c>
      <c r="O14">
        <v>21.629676044045819</v>
      </c>
      <c r="P14">
        <v>7.4943819497631017</v>
      </c>
      <c r="R14">
        <v>10.620708552185421</v>
      </c>
      <c r="S14">
        <v>41.622161405702926</v>
      </c>
      <c r="U14">
        <v>4.6969829530136009E-2</v>
      </c>
      <c r="V14">
        <v>47.892687211645381</v>
      </c>
      <c r="W14">
        <v>18.264576597176731</v>
      </c>
      <c r="X14">
        <v>43.746598588321454</v>
      </c>
      <c r="Y14">
        <v>5.3619806555462821</v>
      </c>
      <c r="Z14">
        <v>18.68620007477762</v>
      </c>
      <c r="AA14">
        <v>3.9079496965061846</v>
      </c>
      <c r="AB14">
        <v>31.794027590609467</v>
      </c>
      <c r="AD14">
        <v>1.0926301151399951</v>
      </c>
      <c r="AE14">
        <v>6.9579150413547328</v>
      </c>
      <c r="AF14">
        <v>12.070338527671872</v>
      </c>
      <c r="AG14">
        <v>16.98957677335348</v>
      </c>
      <c r="AH14">
        <v>0.95064478784310513</v>
      </c>
      <c r="AI14">
        <v>2.554761028863159</v>
      </c>
      <c r="AK14">
        <v>44.716368360708657</v>
      </c>
    </row>
    <row r="15" spans="1:47" x14ac:dyDescent="0.2">
      <c r="A15">
        <v>14</v>
      </c>
      <c r="B15">
        <v>738</v>
      </c>
      <c r="C15">
        <v>275</v>
      </c>
      <c r="D15">
        <v>0.28822677149780002</v>
      </c>
      <c r="E15">
        <v>197.68836656428945</v>
      </c>
      <c r="F15">
        <v>43.917567447252686</v>
      </c>
      <c r="G15">
        <v>69.447969176402722</v>
      </c>
      <c r="H15">
        <v>64.804948417474449</v>
      </c>
      <c r="J15">
        <v>39.625518506960624</v>
      </c>
      <c r="L15">
        <v>3.0357986258058265</v>
      </c>
      <c r="M15">
        <v>12.253854291811853</v>
      </c>
      <c r="N15">
        <v>2.6140765884935528</v>
      </c>
      <c r="O15">
        <v>12.087453141098068</v>
      </c>
      <c r="P15">
        <v>7.6026851512059253</v>
      </c>
      <c r="R15">
        <v>8.9286144796142803</v>
      </c>
      <c r="S15">
        <v>37.864082825875656</v>
      </c>
      <c r="V15">
        <v>48.032205010812881</v>
      </c>
      <c r="W15">
        <v>18.04129760427314</v>
      </c>
      <c r="X15">
        <v>43.649838435791516</v>
      </c>
      <c r="Y15">
        <v>4.3176809784779113</v>
      </c>
      <c r="Z15">
        <v>17.49916843430946</v>
      </c>
      <c r="AA15">
        <v>1.9130119387201121</v>
      </c>
      <c r="AB15">
        <v>31.48085111144589</v>
      </c>
      <c r="AE15">
        <v>6.2801604039688979</v>
      </c>
      <c r="AF15">
        <v>11.9059661256842</v>
      </c>
      <c r="AG15">
        <v>16.661466754919942</v>
      </c>
      <c r="AI15">
        <v>2.5564439683767404</v>
      </c>
      <c r="AK15">
        <v>37.970728486536281</v>
      </c>
    </row>
    <row r="16" spans="1:47" x14ac:dyDescent="0.2">
      <c r="A16">
        <v>15</v>
      </c>
      <c r="B16">
        <v>737</v>
      </c>
      <c r="C16">
        <v>275</v>
      </c>
      <c r="D16">
        <v>0.28745285353660599</v>
      </c>
      <c r="E16">
        <v>197.74894483095841</v>
      </c>
      <c r="F16">
        <v>44.377881669069758</v>
      </c>
      <c r="G16">
        <v>69.437851882962335</v>
      </c>
      <c r="H16">
        <v>64.792687983960207</v>
      </c>
      <c r="J16">
        <v>33.688901931868692</v>
      </c>
      <c r="L16">
        <v>1.7887351800468205</v>
      </c>
      <c r="M16">
        <v>12.092878911647746</v>
      </c>
      <c r="N16">
        <v>2.6160539772167191</v>
      </c>
      <c r="O16">
        <v>5.5420442372426066</v>
      </c>
      <c r="P16">
        <v>7.6060681187706782</v>
      </c>
      <c r="R16">
        <v>7.5010786275672396</v>
      </c>
      <c r="S16">
        <v>34.312482080067092</v>
      </c>
      <c r="V16">
        <v>47.940229683083132</v>
      </c>
      <c r="W16">
        <v>17.791865663867743</v>
      </c>
      <c r="X16">
        <v>43.684320734275296</v>
      </c>
      <c r="Y16">
        <v>3.3684296223478047</v>
      </c>
      <c r="Z16">
        <v>17.891276036306298</v>
      </c>
      <c r="AA16">
        <v>0.46108299586883367</v>
      </c>
      <c r="AB16">
        <v>31.655375100137281</v>
      </c>
      <c r="AE16">
        <v>6.5013373834639943</v>
      </c>
      <c r="AF16">
        <v>11.743882970313882</v>
      </c>
      <c r="AG16">
        <v>16.821051942194444</v>
      </c>
      <c r="AI16">
        <v>2.5581181506452935</v>
      </c>
      <c r="AK16">
        <v>34.049985798088123</v>
      </c>
    </row>
    <row r="17" spans="1:37" x14ac:dyDescent="0.2">
      <c r="A17">
        <v>16</v>
      </c>
      <c r="B17">
        <v>736</v>
      </c>
      <c r="C17">
        <v>275</v>
      </c>
      <c r="D17">
        <v>0.28667740177377199</v>
      </c>
      <c r="E17">
        <v>197.82005971592784</v>
      </c>
      <c r="F17">
        <v>44.709229811823114</v>
      </c>
      <c r="G17">
        <v>69.415096188950528</v>
      </c>
      <c r="H17">
        <v>64.767802583885086</v>
      </c>
      <c r="J17">
        <v>28.784865280018483</v>
      </c>
      <c r="L17">
        <v>1.689344895922277</v>
      </c>
      <c r="M17">
        <v>11.885726640113893</v>
      </c>
      <c r="N17">
        <v>2.6180285166499706</v>
      </c>
      <c r="O17">
        <v>4.9893945625560434</v>
      </c>
      <c r="P17">
        <v>7.5841796267310517</v>
      </c>
      <c r="R17">
        <v>7.1893277898061339</v>
      </c>
      <c r="S17">
        <v>33.860396719974538</v>
      </c>
      <c r="V17">
        <v>48.05817709693504</v>
      </c>
      <c r="W17">
        <v>17.496484748862052</v>
      </c>
      <c r="X17">
        <v>43.719073245310383</v>
      </c>
      <c r="Y17">
        <v>3.0523870479291371</v>
      </c>
      <c r="Z17">
        <v>18.092281583802286</v>
      </c>
      <c r="AB17">
        <v>31.767969717959023</v>
      </c>
      <c r="AE17">
        <v>6.6103884854375075</v>
      </c>
      <c r="AF17">
        <v>11.53562047980806</v>
      </c>
      <c r="AG17">
        <v>16.918707546669157</v>
      </c>
      <c r="AI17">
        <v>2.5597886177594811</v>
      </c>
      <c r="AK17">
        <v>30.800863944224311</v>
      </c>
    </row>
    <row r="18" spans="1:37" x14ac:dyDescent="0.2">
      <c r="A18">
        <v>17</v>
      </c>
      <c r="B18">
        <v>735</v>
      </c>
      <c r="C18">
        <v>275</v>
      </c>
      <c r="D18">
        <v>0.285900411645091</v>
      </c>
      <c r="E18">
        <v>197.89280341835033</v>
      </c>
      <c r="F18">
        <v>45.022165555712185</v>
      </c>
      <c r="G18">
        <v>69.392315821937359</v>
      </c>
      <c r="H18">
        <v>64.742905966449584</v>
      </c>
      <c r="J18">
        <v>25.32894564995912</v>
      </c>
      <c r="L18">
        <v>1.6971287006613494</v>
      </c>
      <c r="M18">
        <v>11.675401954437868</v>
      </c>
      <c r="N18">
        <v>2.6200028117287424</v>
      </c>
      <c r="O18">
        <v>4.9665773376398947</v>
      </c>
      <c r="P18">
        <v>7.5622497591149056</v>
      </c>
      <c r="R18">
        <v>6.9832901076044056</v>
      </c>
      <c r="S18">
        <v>33.700679168191648</v>
      </c>
      <c r="V18">
        <v>48.196920882721692</v>
      </c>
      <c r="W18">
        <v>17.198138772094282</v>
      </c>
      <c r="X18">
        <v>43.75403473141229</v>
      </c>
      <c r="Y18">
        <v>2.8099771755240726</v>
      </c>
      <c r="Z18">
        <v>18.256359445514356</v>
      </c>
      <c r="AB18">
        <v>31.865962634815915</v>
      </c>
      <c r="AE18">
        <v>6.6978365657440309</v>
      </c>
      <c r="AF18">
        <v>11.324185742188114</v>
      </c>
      <c r="AG18">
        <v>17.001763849485997</v>
      </c>
      <c r="AI18">
        <v>2.5614579728149098</v>
      </c>
      <c r="AK18">
        <v>28.514785253722458</v>
      </c>
    </row>
    <row r="19" spans="1:37" x14ac:dyDescent="0.2">
      <c r="A19">
        <v>18</v>
      </c>
      <c r="B19">
        <v>755</v>
      </c>
      <c r="C19">
        <v>250</v>
      </c>
      <c r="D19">
        <v>0.32790011185138401</v>
      </c>
      <c r="E19">
        <v>186.67793772920771</v>
      </c>
      <c r="F19">
        <v>61.913542638379987</v>
      </c>
      <c r="G19">
        <v>72.309579578830864</v>
      </c>
      <c r="H19">
        <v>67.703839560342956</v>
      </c>
      <c r="J19">
        <v>54.134589764206062</v>
      </c>
      <c r="L19">
        <v>9.3538047665860358</v>
      </c>
      <c r="M19">
        <v>12.737790194835803</v>
      </c>
      <c r="N19">
        <v>2.5357748242183678</v>
      </c>
      <c r="O19">
        <v>41.275662576124361</v>
      </c>
      <c r="P19">
        <v>12.739749900778005</v>
      </c>
      <c r="Q19">
        <v>4.2261352390980701E-2</v>
      </c>
      <c r="R19">
        <v>17.884016962066266</v>
      </c>
      <c r="S19">
        <v>50.417609296361775</v>
      </c>
      <c r="U19">
        <v>0.66224930059911091</v>
      </c>
      <c r="V19">
        <v>47.764935853647145</v>
      </c>
      <c r="W19">
        <v>22.151827930007251</v>
      </c>
      <c r="X19">
        <v>43.884768990190587</v>
      </c>
      <c r="Y19">
        <v>10.483466983809809</v>
      </c>
      <c r="Z19">
        <v>29.769628862305243</v>
      </c>
      <c r="AA19">
        <v>8.8077182720565474</v>
      </c>
      <c r="AB19">
        <v>35.148529618662863</v>
      </c>
      <c r="AC19">
        <v>4.6451341903078966E-2</v>
      </c>
      <c r="AD19">
        <v>7.6010986454525264</v>
      </c>
      <c r="AE19">
        <v>11.656637049568127</v>
      </c>
      <c r="AF19">
        <v>12.441173353314539</v>
      </c>
      <c r="AG19">
        <v>20.646921578808534</v>
      </c>
      <c r="AH19">
        <v>8.3956997035832224</v>
      </c>
      <c r="AI19">
        <v>2.479959863253296</v>
      </c>
      <c r="AK19">
        <v>47.738313928747701</v>
      </c>
    </row>
    <row r="20" spans="1:37" x14ac:dyDescent="0.2">
      <c r="A20">
        <v>19</v>
      </c>
      <c r="B20">
        <v>754</v>
      </c>
      <c r="C20">
        <v>250</v>
      </c>
      <c r="D20">
        <v>0.32717762741566497</v>
      </c>
      <c r="E20">
        <v>186.57331420402278</v>
      </c>
      <c r="F20">
        <v>61.568132675776162</v>
      </c>
      <c r="G20">
        <v>72.250655036462931</v>
      </c>
      <c r="H20">
        <v>67.642536607386077</v>
      </c>
      <c r="J20">
        <v>54.098311538833308</v>
      </c>
      <c r="L20">
        <v>9.2624855010790004</v>
      </c>
      <c r="M20">
        <v>12.707333623235636</v>
      </c>
      <c r="N20">
        <v>2.5257173464078262</v>
      </c>
      <c r="O20">
        <v>40.838390383168829</v>
      </c>
      <c r="P20">
        <v>12.633338051276009</v>
      </c>
      <c r="R20">
        <v>17.705656136683483</v>
      </c>
      <c r="S20">
        <v>50.127357367125761</v>
      </c>
      <c r="U20">
        <v>0.61190085910480307</v>
      </c>
      <c r="V20">
        <v>47.720437717091762</v>
      </c>
      <c r="W20">
        <v>22.00131056555006</v>
      </c>
      <c r="X20">
        <v>43.781515352066769</v>
      </c>
      <c r="Y20">
        <v>10.387982293163468</v>
      </c>
      <c r="Z20">
        <v>29.581707556458124</v>
      </c>
      <c r="AA20">
        <v>8.7127817436471968</v>
      </c>
      <c r="AB20">
        <v>35.064143349415005</v>
      </c>
      <c r="AC20">
        <v>3.441827387374706E-2</v>
      </c>
      <c r="AD20">
        <v>7.495356538198525</v>
      </c>
      <c r="AE20">
        <v>11.573193643867397</v>
      </c>
      <c r="AF20">
        <v>12.397564634324889</v>
      </c>
      <c r="AG20">
        <v>20.535550634686921</v>
      </c>
      <c r="AH20">
        <v>8.2736755078385809</v>
      </c>
      <c r="AI20">
        <v>2.469614744853581</v>
      </c>
      <c r="AK20">
        <v>47.736834250414894</v>
      </c>
    </row>
    <row r="21" spans="1:37" x14ac:dyDescent="0.2">
      <c r="A21">
        <v>20</v>
      </c>
      <c r="B21">
        <v>753</v>
      </c>
      <c r="C21">
        <v>250</v>
      </c>
      <c r="D21">
        <v>0.32645373483409301</v>
      </c>
      <c r="E21">
        <v>186.45473557426143</v>
      </c>
      <c r="F21">
        <v>61.082565982073916</v>
      </c>
      <c r="G21">
        <v>72.167224772996988</v>
      </c>
      <c r="H21">
        <v>67.556741008438422</v>
      </c>
      <c r="J21">
        <v>54.07131944566197</v>
      </c>
      <c r="L21">
        <v>9.1248447300293734</v>
      </c>
      <c r="M21">
        <v>12.73003939325624</v>
      </c>
      <c r="N21">
        <v>2.5066310034655013</v>
      </c>
      <c r="O21">
        <v>40.191266148671751</v>
      </c>
      <c r="P21">
        <v>12.468893685128981</v>
      </c>
      <c r="R21">
        <v>17.539757446340822</v>
      </c>
      <c r="S21">
        <v>50.058631406884025</v>
      </c>
      <c r="U21">
        <v>0.59842792280183921</v>
      </c>
      <c r="V21">
        <v>47.785722095623953</v>
      </c>
      <c r="W21">
        <v>21.896349027803637</v>
      </c>
      <c r="X21">
        <v>43.801343845964162</v>
      </c>
      <c r="Y21">
        <v>10.237435818995428</v>
      </c>
      <c r="Z21">
        <v>29.327096296465733</v>
      </c>
      <c r="AA21">
        <v>8.567427111415963</v>
      </c>
      <c r="AB21">
        <v>35.084505304280519</v>
      </c>
      <c r="AC21">
        <v>1.3356482511034587E-2</v>
      </c>
      <c r="AD21">
        <v>7.3497593603220812</v>
      </c>
      <c r="AE21">
        <v>11.469071690373946</v>
      </c>
      <c r="AF21">
        <v>12.398089705817771</v>
      </c>
      <c r="AG21">
        <v>20.519901582776651</v>
      </c>
      <c r="AH21">
        <v>8.0858243875906215</v>
      </c>
      <c r="AI21">
        <v>2.4502399267408741</v>
      </c>
      <c r="AK21">
        <v>47.699700721684067</v>
      </c>
    </row>
    <row r="22" spans="1:37" x14ac:dyDescent="0.2">
      <c r="A22">
        <v>21</v>
      </c>
      <c r="B22">
        <v>752</v>
      </c>
      <c r="C22">
        <v>250</v>
      </c>
      <c r="D22">
        <v>0.32572842998585799</v>
      </c>
      <c r="E22">
        <v>186.29618564184349</v>
      </c>
      <c r="F22">
        <v>60.386495884978814</v>
      </c>
      <c r="G22">
        <v>72.050098149473556</v>
      </c>
      <c r="H22">
        <v>67.437262145460835</v>
      </c>
      <c r="J22">
        <v>53.98724693001143</v>
      </c>
      <c r="L22">
        <v>8.9372602191685697</v>
      </c>
      <c r="M22">
        <v>12.747741800806306</v>
      </c>
      <c r="N22">
        <v>2.4950213759723039</v>
      </c>
      <c r="O22">
        <v>39.356898877793022</v>
      </c>
      <c r="P22">
        <v>12.244541127841446</v>
      </c>
      <c r="R22">
        <v>17.310867530389775</v>
      </c>
      <c r="S22">
        <v>49.933272195351357</v>
      </c>
      <c r="U22">
        <v>0.57587739348742772</v>
      </c>
      <c r="V22">
        <v>47.859417256214691</v>
      </c>
      <c r="W22">
        <v>21.740035845972834</v>
      </c>
      <c r="X22">
        <v>43.786983344080944</v>
      </c>
      <c r="Y22">
        <v>10.025506072986172</v>
      </c>
      <c r="Z22">
        <v>28.952460707455639</v>
      </c>
      <c r="AA22">
        <v>8.3696525949316278</v>
      </c>
      <c r="AB22">
        <v>35.093928639022018</v>
      </c>
      <c r="AD22">
        <v>7.1305792241159347</v>
      </c>
      <c r="AE22">
        <v>11.320517637124061</v>
      </c>
      <c r="AF22">
        <v>12.401088449921595</v>
      </c>
      <c r="AG22">
        <v>20.500793165391396</v>
      </c>
      <c r="AH22">
        <v>7.7983064768652737</v>
      </c>
      <c r="AI22">
        <v>2.4383409876574214</v>
      </c>
      <c r="AK22">
        <v>47.613314025525163</v>
      </c>
    </row>
    <row r="23" spans="1:37" x14ac:dyDescent="0.2">
      <c r="A23">
        <v>22</v>
      </c>
      <c r="B23">
        <v>751</v>
      </c>
      <c r="C23">
        <v>250</v>
      </c>
      <c r="D23">
        <v>0.32500170873407402</v>
      </c>
      <c r="E23">
        <v>186.06305638094062</v>
      </c>
      <c r="F23">
        <v>59.293328877525077</v>
      </c>
      <c r="G23">
        <v>71.869033069943924</v>
      </c>
      <c r="H23">
        <v>67.253857943464908</v>
      </c>
      <c r="J23">
        <v>53.791885232361821</v>
      </c>
      <c r="L23">
        <v>8.6536503890737766</v>
      </c>
      <c r="M23">
        <v>12.757448979994102</v>
      </c>
      <c r="N23">
        <v>2.4969900053226026</v>
      </c>
      <c r="O23">
        <v>38.164849403474939</v>
      </c>
      <c r="P23">
        <v>11.905897751815628</v>
      </c>
      <c r="R23">
        <v>16.959144971774453</v>
      </c>
      <c r="S23">
        <v>49.691829254838247</v>
      </c>
      <c r="U23">
        <v>0.53819000936781514</v>
      </c>
      <c r="V23">
        <v>47.945921917221426</v>
      </c>
      <c r="W23">
        <v>21.491271794453443</v>
      </c>
      <c r="X23">
        <v>43.714349212533897</v>
      </c>
      <c r="Y23">
        <v>9.6967251575758073</v>
      </c>
      <c r="Z23">
        <v>28.351861347545011</v>
      </c>
      <c r="AA23">
        <v>8.0719952506555277</v>
      </c>
      <c r="AB23">
        <v>35.078177037824489</v>
      </c>
      <c r="AD23">
        <v>6.7725871363492507</v>
      </c>
      <c r="AE23">
        <v>11.088677202211352</v>
      </c>
      <c r="AF23">
        <v>12.409670547787467</v>
      </c>
      <c r="AG23">
        <v>20.470090614098673</v>
      </c>
      <c r="AH23">
        <v>7.3218024840562883</v>
      </c>
      <c r="AI23">
        <v>2.4400194671577644</v>
      </c>
      <c r="AK23">
        <v>47.433329836524251</v>
      </c>
    </row>
    <row r="24" spans="1:37" x14ac:dyDescent="0.2">
      <c r="A24">
        <v>23</v>
      </c>
      <c r="B24">
        <v>750</v>
      </c>
      <c r="C24">
        <v>250</v>
      </c>
      <c r="D24">
        <v>0.324273566925672</v>
      </c>
      <c r="E24">
        <v>185.82647807638304</v>
      </c>
      <c r="F24">
        <v>58.170179319684301</v>
      </c>
      <c r="G24">
        <v>71.682099139181929</v>
      </c>
      <c r="H24">
        <v>67.064598028225859</v>
      </c>
      <c r="J24">
        <v>53.578223953444159</v>
      </c>
      <c r="L24">
        <v>8.3576895453218132</v>
      </c>
      <c r="M24">
        <v>12.769898787674315</v>
      </c>
      <c r="N24">
        <v>2.4989578876229754</v>
      </c>
      <c r="O24">
        <v>36.934960205261604</v>
      </c>
      <c r="P24">
        <v>11.555523785674975</v>
      </c>
      <c r="R24">
        <v>16.586724111118247</v>
      </c>
      <c r="S24">
        <v>49.413874358933526</v>
      </c>
      <c r="U24">
        <v>0.50420471857394811</v>
      </c>
      <c r="V24">
        <v>48.023771048648406</v>
      </c>
      <c r="W24">
        <v>21.24513748986903</v>
      </c>
      <c r="X24">
        <v>43.652686839015324</v>
      </c>
      <c r="Y24">
        <v>9.3562895679185978</v>
      </c>
      <c r="Z24">
        <v>27.734272426181846</v>
      </c>
      <c r="AA24">
        <v>7.7633630524987094</v>
      </c>
      <c r="AB24">
        <v>35.046494855884539</v>
      </c>
      <c r="AD24">
        <v>6.4031470604700438</v>
      </c>
      <c r="AE24">
        <v>10.851353337652757</v>
      </c>
      <c r="AF24">
        <v>12.420994858037348</v>
      </c>
      <c r="AG24">
        <v>20.423459286209514</v>
      </c>
      <c r="AH24">
        <v>6.8278317810584452</v>
      </c>
      <c r="AI24">
        <v>2.4416963595087693</v>
      </c>
      <c r="AK24">
        <v>47.244592784065915</v>
      </c>
    </row>
    <row r="25" spans="1:37" x14ac:dyDescent="0.2">
      <c r="A25">
        <v>24</v>
      </c>
      <c r="B25">
        <v>749</v>
      </c>
      <c r="C25">
        <v>250</v>
      </c>
      <c r="D25">
        <v>0.32354400039133302</v>
      </c>
      <c r="E25">
        <v>185.58562486356885</v>
      </c>
      <c r="F25">
        <v>57.010652659631234</v>
      </c>
      <c r="G25">
        <v>71.488302204284167</v>
      </c>
      <c r="H25">
        <v>66.868488267883933</v>
      </c>
      <c r="J25">
        <v>53.342365654151564</v>
      </c>
      <c r="L25">
        <v>8.0475033423030684</v>
      </c>
      <c r="M25">
        <v>12.785244897095305</v>
      </c>
      <c r="N25">
        <v>2.5009249295926188</v>
      </c>
      <c r="O25">
        <v>35.66037349569735</v>
      </c>
      <c r="P25">
        <v>11.191430853367136</v>
      </c>
      <c r="R25">
        <v>16.190780296850484</v>
      </c>
      <c r="S25">
        <v>49.091673804219788</v>
      </c>
      <c r="U25">
        <v>0.47416523288743195</v>
      </c>
      <c r="V25">
        <v>48.091471920054303</v>
      </c>
      <c r="W25">
        <v>21.001864116209386</v>
      </c>
      <c r="X25">
        <v>43.602721436822087</v>
      </c>
      <c r="Y25">
        <v>9.0021963346175085</v>
      </c>
      <c r="Z25">
        <v>27.095362907279753</v>
      </c>
      <c r="AA25">
        <v>7.4419124931052067</v>
      </c>
      <c r="AB25">
        <v>34.995026851682773</v>
      </c>
      <c r="AD25">
        <v>6.0196825458704994</v>
      </c>
      <c r="AE25">
        <v>10.606785834221297</v>
      </c>
      <c r="AF25">
        <v>12.435214966314046</v>
      </c>
      <c r="AG25">
        <v>20.357043852950763</v>
      </c>
      <c r="AH25">
        <v>6.3133235738626796</v>
      </c>
      <c r="AI25">
        <v>2.4433715695899214</v>
      </c>
      <c r="AK25">
        <v>47.045203019645228</v>
      </c>
    </row>
    <row r="26" spans="1:37" x14ac:dyDescent="0.2">
      <c r="A26">
        <v>25</v>
      </c>
      <c r="B26">
        <v>748</v>
      </c>
      <c r="C26">
        <v>250</v>
      </c>
      <c r="D26">
        <v>0.32281300494540499</v>
      </c>
      <c r="E26">
        <v>185.33933326852289</v>
      </c>
      <c r="F26">
        <v>55.805716155290035</v>
      </c>
      <c r="G26">
        <v>71.286254786273759</v>
      </c>
      <c r="H26">
        <v>66.664141204545103</v>
      </c>
      <c r="J26">
        <v>53.079002543462181</v>
      </c>
      <c r="L26">
        <v>7.7205204319533038</v>
      </c>
      <c r="M26">
        <v>12.803645641849659</v>
      </c>
      <c r="N26">
        <v>2.5028910084177922</v>
      </c>
      <c r="O26">
        <v>34.331491330936721</v>
      </c>
      <c r="P26">
        <v>10.810843897219819</v>
      </c>
      <c r="R26">
        <v>15.767339968960682</v>
      </c>
      <c r="S26">
        <v>48.715134221184464</v>
      </c>
      <c r="U26">
        <v>0.44837311971984828</v>
      </c>
      <c r="V26">
        <v>48.14716254563033</v>
      </c>
      <c r="W26">
        <v>20.761727371683754</v>
      </c>
      <c r="X26">
        <v>43.56534775065974</v>
      </c>
      <c r="Y26">
        <v>8.6316483050807573</v>
      </c>
      <c r="Z26">
        <v>26.428930180938107</v>
      </c>
      <c r="AA26">
        <v>7.105007863231978</v>
      </c>
      <c r="AB26">
        <v>34.918708191120842</v>
      </c>
      <c r="AD26">
        <v>5.6185187978379716</v>
      </c>
      <c r="AE26">
        <v>10.352431548375646</v>
      </c>
      <c r="AF26">
        <v>12.452489089083755</v>
      </c>
      <c r="AG26">
        <v>20.265779363458595</v>
      </c>
      <c r="AH26">
        <v>5.7739695224518472</v>
      </c>
      <c r="AI26">
        <v>2.4450449727473034</v>
      </c>
      <c r="AK26">
        <v>46.832462689314205</v>
      </c>
    </row>
    <row r="27" spans="1:37" x14ac:dyDescent="0.2">
      <c r="A27">
        <v>26</v>
      </c>
      <c r="B27">
        <v>747</v>
      </c>
      <c r="C27">
        <v>250</v>
      </c>
      <c r="D27">
        <v>0.32208057638582899</v>
      </c>
      <c r="E27">
        <v>185.0858605619234</v>
      </c>
      <c r="F27">
        <v>54.541817556554584</v>
      </c>
      <c r="G27">
        <v>71.073895491967164</v>
      </c>
      <c r="H27">
        <v>66.449495466151461</v>
      </c>
      <c r="J27">
        <v>52.780423952448736</v>
      </c>
      <c r="L27">
        <v>7.372781697579267</v>
      </c>
      <c r="M27">
        <v>12.825262456697926</v>
      </c>
      <c r="N27">
        <v>2.5048559526230343</v>
      </c>
      <c r="O27">
        <v>32.93402530748989</v>
      </c>
      <c r="P27">
        <v>10.409639982557017</v>
      </c>
      <c r="R27">
        <v>15.310436984727183</v>
      </c>
      <c r="S27">
        <v>48.27016858788059</v>
      </c>
      <c r="U27">
        <v>0.42722586220224834</v>
      </c>
      <c r="V27">
        <v>48.188344457216715</v>
      </c>
      <c r="W27">
        <v>20.525070136968282</v>
      </c>
      <c r="X27">
        <v>43.541740658808337</v>
      </c>
      <c r="Y27">
        <v>8.2404881474494225</v>
      </c>
      <c r="Z27">
        <v>25.725568668823747</v>
      </c>
      <c r="AA27">
        <v>6.7485423915414575</v>
      </c>
      <c r="AB27">
        <v>34.810431478035717</v>
      </c>
      <c r="AD27">
        <v>5.1941020897134234</v>
      </c>
      <c r="AE27">
        <v>10.08440817906045</v>
      </c>
      <c r="AF27">
        <v>12.472978495330214</v>
      </c>
      <c r="AG27">
        <v>20.142558256158225</v>
      </c>
      <c r="AH27">
        <v>5.2033423869963231</v>
      </c>
      <c r="AI27">
        <v>2.4467163956653928</v>
      </c>
      <c r="AK27">
        <v>46.602306504827162</v>
      </c>
    </row>
    <row r="28" spans="1:37" x14ac:dyDescent="0.2">
      <c r="A28">
        <v>27</v>
      </c>
      <c r="B28">
        <v>746</v>
      </c>
      <c r="C28">
        <v>250</v>
      </c>
      <c r="D28">
        <v>0.32134671049404001</v>
      </c>
      <c r="E28">
        <v>184.82239259734007</v>
      </c>
      <c r="F28">
        <v>53.19705187607267</v>
      </c>
      <c r="G28">
        <v>70.847920190007031</v>
      </c>
      <c r="H28">
        <v>66.221246942512764</v>
      </c>
      <c r="J28">
        <v>52.434483741111848</v>
      </c>
      <c r="L28">
        <v>6.9979127417098317</v>
      </c>
      <c r="M28">
        <v>12.850247039952132</v>
      </c>
      <c r="N28">
        <v>2.506819503830009</v>
      </c>
      <c r="O28">
        <v>31.445036932176791</v>
      </c>
      <c r="P28">
        <v>9.9812106115113686</v>
      </c>
      <c r="R28">
        <v>14.810390966953593</v>
      </c>
      <c r="S28">
        <v>47.735334433412035</v>
      </c>
      <c r="U28">
        <v>0.41128700692085635</v>
      </c>
      <c r="V28">
        <v>48.211327576216505</v>
      </c>
      <c r="W28">
        <v>20.292351304748216</v>
      </c>
      <c r="X28">
        <v>43.533558139203407</v>
      </c>
      <c r="Y28">
        <v>7.8220503610482544</v>
      </c>
      <c r="Z28">
        <v>24.969943875402787</v>
      </c>
      <c r="AA28">
        <v>6.3662357182921552</v>
      </c>
      <c r="AB28">
        <v>34.659328366617054</v>
      </c>
      <c r="AD28">
        <v>4.7374035083591446</v>
      </c>
      <c r="AE28">
        <v>9.7963519104087133</v>
      </c>
      <c r="AF28">
        <v>12.496834630703683</v>
      </c>
      <c r="AG28">
        <v>19.976511932947755</v>
      </c>
      <c r="AH28">
        <v>4.5911043365905266</v>
      </c>
      <c r="AI28">
        <v>2.4483855781255608</v>
      </c>
      <c r="AK28">
        <v>46.348138704324306</v>
      </c>
    </row>
    <row r="29" spans="1:37" x14ac:dyDescent="0.2">
      <c r="A29">
        <v>28</v>
      </c>
      <c r="B29">
        <v>745</v>
      </c>
      <c r="C29">
        <v>250</v>
      </c>
      <c r="D29">
        <v>0.32061140303491598</v>
      </c>
      <c r="E29">
        <v>184.54390974932352</v>
      </c>
      <c r="F29">
        <v>51.732323079759617</v>
      </c>
      <c r="G29">
        <v>70.602479242760197</v>
      </c>
      <c r="H29">
        <v>65.973546017202992</v>
      </c>
      <c r="J29">
        <v>52.019902232320369</v>
      </c>
      <c r="L29">
        <v>6.5845782565226258</v>
      </c>
      <c r="M29">
        <v>12.878683777450165</v>
      </c>
      <c r="N29">
        <v>2.5087812312008615</v>
      </c>
      <c r="O29">
        <v>29.823850622692699</v>
      </c>
      <c r="P29">
        <v>9.5138561012699725</v>
      </c>
      <c r="R29">
        <v>14.24983671441073</v>
      </c>
      <c r="S29">
        <v>47.074062812297775</v>
      </c>
      <c r="U29">
        <v>0.40142617298719963</v>
      </c>
      <c r="V29">
        <v>48.20994189927017</v>
      </c>
      <c r="W29">
        <v>20.064263027228652</v>
      </c>
      <c r="X29">
        <v>43.543343739376418</v>
      </c>
      <c r="Y29">
        <v>7.3645303183396473</v>
      </c>
      <c r="Z29">
        <v>24.134466498094255</v>
      </c>
      <c r="AA29">
        <v>5.9466310266216897</v>
      </c>
      <c r="AB29">
        <v>34.446781240478238</v>
      </c>
      <c r="AD29">
        <v>4.2322210694345763</v>
      </c>
      <c r="AE29">
        <v>9.4767557014962769</v>
      </c>
      <c r="AF29">
        <v>12.524141455927525</v>
      </c>
      <c r="AG29">
        <v>19.749022352706259</v>
      </c>
      <c r="AH29">
        <v>3.9188896262566293</v>
      </c>
      <c r="AI29">
        <v>2.4500520874497749</v>
      </c>
      <c r="AK29">
        <v>46.058143240406352</v>
      </c>
    </row>
    <row r="30" spans="1:37" x14ac:dyDescent="0.2">
      <c r="A30">
        <v>29</v>
      </c>
      <c r="B30">
        <v>744</v>
      </c>
      <c r="C30">
        <v>250</v>
      </c>
      <c r="D30">
        <v>0.31987464975667701</v>
      </c>
      <c r="E30">
        <v>184.24006069940378</v>
      </c>
      <c r="F30">
        <v>50.066956249075837</v>
      </c>
      <c r="G30">
        <v>70.325613023348026</v>
      </c>
      <c r="H30">
        <v>65.694433084593484</v>
      </c>
      <c r="J30">
        <v>51.493296338926363</v>
      </c>
      <c r="L30">
        <v>6.109418693511965</v>
      </c>
      <c r="M30">
        <v>12.910336047973532</v>
      </c>
      <c r="N30">
        <v>2.5107403033027182</v>
      </c>
      <c r="O30">
        <v>27.987126804980846</v>
      </c>
      <c r="P30">
        <v>8.9836563899996005</v>
      </c>
      <c r="R30">
        <v>13.592772166771413</v>
      </c>
      <c r="S30">
        <v>46.213284800531333</v>
      </c>
      <c r="U30">
        <v>0.39913179364606799</v>
      </c>
      <c r="V30">
        <v>48.171992415199554</v>
      </c>
      <c r="W30">
        <v>19.842065768472622</v>
      </c>
      <c r="X30">
        <v>43.575415471325982</v>
      </c>
      <c r="Y30">
        <v>6.8437796642778528</v>
      </c>
      <c r="Z30">
        <v>23.161694001616858</v>
      </c>
      <c r="AA30">
        <v>5.4665808363798565</v>
      </c>
      <c r="AB30">
        <v>34.135393609543641</v>
      </c>
      <c r="AD30">
        <v>3.644914735072371</v>
      </c>
      <c r="AE30">
        <v>9.1015277818086453</v>
      </c>
      <c r="AF30">
        <v>12.554661524087784</v>
      </c>
      <c r="AG30">
        <v>19.422692200049841</v>
      </c>
      <c r="AH30">
        <v>3.1489891861855641</v>
      </c>
      <c r="AI30">
        <v>2.45171509036417</v>
      </c>
      <c r="AK30">
        <v>45.707833307163035</v>
      </c>
    </row>
    <row r="31" spans="1:37" x14ac:dyDescent="0.2">
      <c r="A31">
        <v>30</v>
      </c>
      <c r="B31">
        <v>743</v>
      </c>
      <c r="C31">
        <v>250</v>
      </c>
      <c r="D31">
        <v>0.31913644639078897</v>
      </c>
      <c r="E31">
        <v>183.34691230054528</v>
      </c>
      <c r="F31">
        <v>43.982564067977613</v>
      </c>
      <c r="G31">
        <v>69.43651001710144</v>
      </c>
      <c r="H31">
        <v>64.803096651307087</v>
      </c>
      <c r="J31">
        <v>48.955924466104214</v>
      </c>
      <c r="L31">
        <v>4.4438256317892959</v>
      </c>
      <c r="M31">
        <v>12.859300991680286</v>
      </c>
      <c r="N31">
        <v>2.5126688147728036</v>
      </c>
      <c r="O31">
        <v>21.801963359269244</v>
      </c>
      <c r="P31">
        <v>7.2289605664231251</v>
      </c>
      <c r="R31">
        <v>11.150599160888829</v>
      </c>
      <c r="S31">
        <v>42.756866228318728</v>
      </c>
      <c r="U31">
        <v>0.37931015938449542</v>
      </c>
      <c r="V31">
        <v>47.944105747283771</v>
      </c>
      <c r="W31">
        <v>19.695967145319162</v>
      </c>
      <c r="X31">
        <v>43.55392973472744</v>
      </c>
      <c r="Y31">
        <v>5.0806550006440849</v>
      </c>
      <c r="Z31">
        <v>18.940094091538068</v>
      </c>
      <c r="AA31">
        <v>3.7881542863101929</v>
      </c>
      <c r="AB31">
        <v>32.411466970788624</v>
      </c>
      <c r="AD31">
        <v>1.1871888199652263</v>
      </c>
      <c r="AE31">
        <v>7.3226374515581547</v>
      </c>
      <c r="AF31">
        <v>12.502464075734965</v>
      </c>
      <c r="AG31">
        <v>17.683795072736771</v>
      </c>
      <c r="AH31">
        <v>0.40619362044289409</v>
      </c>
      <c r="AI31">
        <v>2.4533466796664927</v>
      </c>
      <c r="AK31">
        <v>44.019946479256447</v>
      </c>
    </row>
    <row r="32" spans="1:37" x14ac:dyDescent="0.2">
      <c r="A32">
        <v>31</v>
      </c>
      <c r="B32">
        <v>742</v>
      </c>
      <c r="C32">
        <v>250</v>
      </c>
      <c r="D32">
        <v>0.318396788651924</v>
      </c>
      <c r="E32">
        <v>183.67556817509191</v>
      </c>
      <c r="F32">
        <v>44.451134064809075</v>
      </c>
      <c r="G32">
        <v>69.725986055380673</v>
      </c>
      <c r="H32">
        <v>65.090352570037382</v>
      </c>
      <c r="J32">
        <v>38.299912462600915</v>
      </c>
      <c r="L32">
        <v>3.074526831573432</v>
      </c>
      <c r="M32">
        <v>12.692371594276089</v>
      </c>
      <c r="N32">
        <v>2.5146718677828908</v>
      </c>
      <c r="O32">
        <v>12.518454044461249</v>
      </c>
      <c r="P32">
        <v>7.8315054189208722</v>
      </c>
      <c r="R32">
        <v>9.818125580727127</v>
      </c>
      <c r="S32">
        <v>39.079174251389176</v>
      </c>
      <c r="U32">
        <v>0.34498512309539214</v>
      </c>
      <c r="V32">
        <v>48.070652557047545</v>
      </c>
      <c r="W32">
        <v>19.460814225865477</v>
      </c>
      <c r="X32">
        <v>43.490132265896413</v>
      </c>
      <c r="Y32">
        <v>4.3191770149965256</v>
      </c>
      <c r="Z32">
        <v>17.090267829196659</v>
      </c>
      <c r="AA32">
        <v>1.9463778672875052</v>
      </c>
      <c r="AB32">
        <v>31.473339451750352</v>
      </c>
      <c r="AD32">
        <v>0.15827359843761704</v>
      </c>
      <c r="AE32">
        <v>6.1172072633361827</v>
      </c>
      <c r="AF32">
        <v>12.33444720450801</v>
      </c>
      <c r="AG32">
        <v>16.73077420663726</v>
      </c>
      <c r="AI32">
        <v>2.4550519556872898</v>
      </c>
      <c r="AK32">
        <v>36.848793165062752</v>
      </c>
    </row>
    <row r="33" spans="1:37" x14ac:dyDescent="0.2">
      <c r="A33">
        <v>32</v>
      </c>
      <c r="B33">
        <v>741</v>
      </c>
      <c r="C33">
        <v>250</v>
      </c>
      <c r="D33">
        <v>0.31765567223783697</v>
      </c>
      <c r="E33">
        <v>183.69834368616088</v>
      </c>
      <c r="F33">
        <v>44.942434891149063</v>
      </c>
      <c r="G33">
        <v>69.695363228153568</v>
      </c>
      <c r="H33">
        <v>65.0575229521274</v>
      </c>
      <c r="J33">
        <v>32.93784221834963</v>
      </c>
      <c r="L33">
        <v>1.8875968813013824</v>
      </c>
      <c r="M33">
        <v>12.518621049493825</v>
      </c>
      <c r="N33">
        <v>2.5166518271545018</v>
      </c>
      <c r="O33">
        <v>6.3992381176883857</v>
      </c>
      <c r="P33">
        <v>7.7938375158028146</v>
      </c>
      <c r="R33">
        <v>8.4502510175243977</v>
      </c>
      <c r="S33">
        <v>36.109886760776639</v>
      </c>
      <c r="U33">
        <v>0.32127886040927967</v>
      </c>
      <c r="V33">
        <v>48.138506441051454</v>
      </c>
      <c r="W33">
        <v>19.212017563509296</v>
      </c>
      <c r="X33">
        <v>43.457191256013104</v>
      </c>
      <c r="Y33">
        <v>3.3713678652186179</v>
      </c>
      <c r="Z33">
        <v>17.766308071337136</v>
      </c>
      <c r="AA33">
        <v>0.57667180672362883</v>
      </c>
      <c r="AB33">
        <v>32.039741383868346</v>
      </c>
      <c r="AE33">
        <v>6.5066041101814625</v>
      </c>
      <c r="AF33">
        <v>12.159586474741696</v>
      </c>
      <c r="AG33">
        <v>17.282262304195989</v>
      </c>
      <c r="AI33">
        <v>2.4567332814076752</v>
      </c>
      <c r="AK33">
        <v>33.237006091709461</v>
      </c>
    </row>
    <row r="34" spans="1:37" x14ac:dyDescent="0.2">
      <c r="A34">
        <v>33</v>
      </c>
      <c r="B34">
        <v>740</v>
      </c>
      <c r="C34">
        <v>250</v>
      </c>
      <c r="D34">
        <v>0.31691309282929903</v>
      </c>
      <c r="E34">
        <v>183.74671001403618</v>
      </c>
      <c r="F34">
        <v>45.238632897999963</v>
      </c>
      <c r="G34">
        <v>69.671766478605022</v>
      </c>
      <c r="H34">
        <v>65.031732762179701</v>
      </c>
      <c r="J34">
        <v>28.553080174547624</v>
      </c>
      <c r="L34">
        <v>1.6652731425304628</v>
      </c>
      <c r="M34">
        <v>12.309872267694486</v>
      </c>
      <c r="N34">
        <v>2.5186305477904876</v>
      </c>
      <c r="O34">
        <v>5.2304560716001918</v>
      </c>
      <c r="P34">
        <v>7.7702286219622518</v>
      </c>
      <c r="R34">
        <v>8.0403498174080408</v>
      </c>
      <c r="S34">
        <v>35.698208182486759</v>
      </c>
      <c r="U34">
        <v>0.29855529810589526</v>
      </c>
      <c r="V34">
        <v>48.370952837435297</v>
      </c>
      <c r="W34">
        <v>18.927573829984883</v>
      </c>
      <c r="X34">
        <v>43.42728521866303</v>
      </c>
      <c r="Y34">
        <v>2.9775722204330202</v>
      </c>
      <c r="Z34">
        <v>17.986651449279584</v>
      </c>
      <c r="AB34">
        <v>32.36435382415921</v>
      </c>
      <c r="AE34">
        <v>6.6286334102893161</v>
      </c>
      <c r="AF34">
        <v>11.949726657487336</v>
      </c>
      <c r="AG34">
        <v>17.591962283537576</v>
      </c>
      <c r="AI34">
        <v>2.4584125098899725</v>
      </c>
      <c r="AK34">
        <v>30.268197123293053</v>
      </c>
    </row>
    <row r="35" spans="1:37" x14ac:dyDescent="0.2">
      <c r="A35">
        <v>34</v>
      </c>
      <c r="B35">
        <v>739</v>
      </c>
      <c r="C35">
        <v>250</v>
      </c>
      <c r="D35">
        <v>0.31616904609000601</v>
      </c>
      <c r="E35">
        <v>183.79860235819328</v>
      </c>
      <c r="F35">
        <v>45.505068579403805</v>
      </c>
      <c r="G35">
        <v>69.646662550148577</v>
      </c>
      <c r="H35">
        <v>65.004448765067878</v>
      </c>
      <c r="J35">
        <v>25.297786345502772</v>
      </c>
      <c r="L35">
        <v>1.6740598337216979</v>
      </c>
      <c r="M35">
        <v>12.092433174657208</v>
      </c>
      <c r="N35">
        <v>2.520608533935083</v>
      </c>
      <c r="O35">
        <v>5.1937309662358953</v>
      </c>
      <c r="P35">
        <v>7.7436127521556486</v>
      </c>
      <c r="R35">
        <v>7.854686122965516</v>
      </c>
      <c r="S35">
        <v>35.891152555518609</v>
      </c>
      <c r="U35">
        <v>0.27644097587128325</v>
      </c>
      <c r="V35">
        <v>48.640164976872533</v>
      </c>
      <c r="W35">
        <v>18.634032495576836</v>
      </c>
      <c r="X35">
        <v>43.399337056271548</v>
      </c>
      <c r="Y35">
        <v>2.7269611003655374</v>
      </c>
      <c r="Z35">
        <v>18.152019397914465</v>
      </c>
      <c r="AB35">
        <v>32.659317145026364</v>
      </c>
      <c r="AE35">
        <v>6.7183639870338521</v>
      </c>
      <c r="AF35">
        <v>11.731176188573588</v>
      </c>
      <c r="AG35">
        <v>17.872015027531511</v>
      </c>
      <c r="AI35">
        <v>2.4600901435377747</v>
      </c>
      <c r="AK35">
        <v>28.051448986433673</v>
      </c>
    </row>
    <row r="36" spans="1:37" x14ac:dyDescent="0.2">
      <c r="A36">
        <v>35</v>
      </c>
      <c r="B36">
        <v>763</v>
      </c>
      <c r="C36">
        <v>225</v>
      </c>
      <c r="D36">
        <v>0.360170342131933</v>
      </c>
      <c r="E36">
        <v>172.87836634078263</v>
      </c>
      <c r="F36">
        <v>63.851034443774644</v>
      </c>
      <c r="G36">
        <v>72.730300364625563</v>
      </c>
      <c r="H36">
        <v>68.142960464186899</v>
      </c>
      <c r="J36">
        <v>53.940390619775307</v>
      </c>
      <c r="L36">
        <v>9.8632388872967933</v>
      </c>
      <c r="M36">
        <v>13.059625172916869</v>
      </c>
      <c r="N36">
        <v>2.5064571999756926</v>
      </c>
      <c r="O36">
        <v>44.424866576596749</v>
      </c>
      <c r="P36">
        <v>13.23906846979056</v>
      </c>
      <c r="Q36">
        <v>2.4733997277776323E-2</v>
      </c>
      <c r="R36">
        <v>19.344933961707778</v>
      </c>
      <c r="S36">
        <v>52.689498310650123</v>
      </c>
      <c r="U36">
        <v>1.0206700810530436</v>
      </c>
      <c r="V36">
        <v>47.791185152820105</v>
      </c>
      <c r="W36">
        <v>24.033312139821529</v>
      </c>
      <c r="X36">
        <v>43.402484746533958</v>
      </c>
      <c r="Y36">
        <v>10.91173594613411</v>
      </c>
      <c r="Z36">
        <v>31.147196748447616</v>
      </c>
      <c r="AA36">
        <v>9.3672699187041442</v>
      </c>
      <c r="AB36">
        <v>36.075795536536098</v>
      </c>
      <c r="AC36">
        <v>0.12452787414200907</v>
      </c>
      <c r="AD36">
        <v>8.3495441306813305</v>
      </c>
      <c r="AE36">
        <v>12.476188074355138</v>
      </c>
      <c r="AF36">
        <v>12.835565448386751</v>
      </c>
      <c r="AG36">
        <v>21.78819797321043</v>
      </c>
      <c r="AH36">
        <v>8.7504818222381946</v>
      </c>
      <c r="AI36">
        <v>2.4497579351273209</v>
      </c>
      <c r="AK36">
        <v>47.268360063703867</v>
      </c>
    </row>
    <row r="37" spans="1:37" x14ac:dyDescent="0.2">
      <c r="A37">
        <v>36</v>
      </c>
      <c r="B37">
        <v>762</v>
      </c>
      <c r="C37">
        <v>225</v>
      </c>
      <c r="D37">
        <v>0.35948461575617302</v>
      </c>
      <c r="E37">
        <v>172.76880431077666</v>
      </c>
      <c r="F37">
        <v>63.450630172164097</v>
      </c>
      <c r="G37">
        <v>72.661689638839391</v>
      </c>
      <c r="H37">
        <v>68.071857295468277</v>
      </c>
      <c r="J37">
        <v>53.90694007033575</v>
      </c>
      <c r="L37">
        <v>9.7543332022688638</v>
      </c>
      <c r="M37">
        <v>13.050386760243748</v>
      </c>
      <c r="N37">
        <v>2.492974907430892</v>
      </c>
      <c r="O37">
        <v>43.903745634860961</v>
      </c>
      <c r="P37">
        <v>13.109788196191722</v>
      </c>
      <c r="R37">
        <v>19.172885053481938</v>
      </c>
      <c r="S37">
        <v>52.489110839211051</v>
      </c>
      <c r="U37">
        <v>0.98561021246891678</v>
      </c>
      <c r="V37">
        <v>47.791885944048566</v>
      </c>
      <c r="W37">
        <v>23.899851505277912</v>
      </c>
      <c r="X37">
        <v>43.350104279091333</v>
      </c>
      <c r="Y37">
        <v>10.794705829961798</v>
      </c>
      <c r="Z37">
        <v>30.931764403335208</v>
      </c>
      <c r="AA37">
        <v>9.2528136803029781</v>
      </c>
      <c r="AB37">
        <v>36.032905559650231</v>
      </c>
      <c r="AC37">
        <v>0.10906666455494904</v>
      </c>
      <c r="AD37">
        <v>8.2285040104174119</v>
      </c>
      <c r="AE37">
        <v>12.383676736181842</v>
      </c>
      <c r="AF37">
        <v>12.809744219671391</v>
      </c>
      <c r="AG37">
        <v>21.714911336542876</v>
      </c>
      <c r="AH37">
        <v>8.6027968758840423</v>
      </c>
      <c r="AI37">
        <v>2.4359957402059362</v>
      </c>
      <c r="AK37">
        <v>47.252595348128253</v>
      </c>
    </row>
    <row r="38" spans="1:37" x14ac:dyDescent="0.2">
      <c r="A38">
        <v>37</v>
      </c>
      <c r="B38">
        <v>761</v>
      </c>
      <c r="C38">
        <v>225</v>
      </c>
      <c r="D38">
        <v>0.35879756321617101</v>
      </c>
      <c r="E38">
        <v>172.65200666690399</v>
      </c>
      <c r="F38">
        <v>62.971853388425814</v>
      </c>
      <c r="G38">
        <v>72.579297391591297</v>
      </c>
      <c r="H38">
        <v>67.986985516858923</v>
      </c>
      <c r="J38">
        <v>53.879839604409092</v>
      </c>
      <c r="L38">
        <v>9.6192168411465868</v>
      </c>
      <c r="M38">
        <v>13.07179222316651</v>
      </c>
      <c r="N38">
        <v>2.4742582964107354</v>
      </c>
      <c r="O38">
        <v>43.263391185619369</v>
      </c>
      <c r="P38">
        <v>12.947718168266197</v>
      </c>
      <c r="R38">
        <v>19.007731159489126</v>
      </c>
      <c r="S38">
        <v>52.414546903719675</v>
      </c>
      <c r="U38">
        <v>0.97222723715798576</v>
      </c>
      <c r="V38">
        <v>47.854847356797109</v>
      </c>
      <c r="W38">
        <v>23.792804101382906</v>
      </c>
      <c r="X38">
        <v>43.370056868870101</v>
      </c>
      <c r="Y38">
        <v>10.646568125751141</v>
      </c>
      <c r="Z38">
        <v>30.677968143779907</v>
      </c>
      <c r="AA38">
        <v>9.1098556354558244</v>
      </c>
      <c r="AB38">
        <v>36.048506949042512</v>
      </c>
      <c r="AC38">
        <v>8.837128183205685E-2</v>
      </c>
      <c r="AD38">
        <v>8.084734599111723</v>
      </c>
      <c r="AE38">
        <v>12.279070635511314</v>
      </c>
      <c r="AF38">
        <v>12.809332823470855</v>
      </c>
      <c r="AG38">
        <v>21.694884233825444</v>
      </c>
      <c r="AH38">
        <v>8.418114415872525</v>
      </c>
      <c r="AI38">
        <v>2.4169984069336867</v>
      </c>
      <c r="AK38">
        <v>47.217498753618585</v>
      </c>
    </row>
    <row r="39" spans="1:37" x14ac:dyDescent="0.2">
      <c r="A39">
        <v>38</v>
      </c>
      <c r="B39">
        <v>760</v>
      </c>
      <c r="C39">
        <v>225</v>
      </c>
      <c r="D39">
        <v>0.35810918066108399</v>
      </c>
      <c r="E39">
        <v>172.5356522411779</v>
      </c>
      <c r="F39">
        <v>62.493614740339254</v>
      </c>
      <c r="G39">
        <v>72.496764375821414</v>
      </c>
      <c r="H39">
        <v>67.901985901896566</v>
      </c>
      <c r="J39">
        <v>53.851436240572887</v>
      </c>
      <c r="L39">
        <v>9.4830609415275902</v>
      </c>
      <c r="M39">
        <v>13.093669624499112</v>
      </c>
      <c r="N39">
        <v>2.4554675922997431</v>
      </c>
      <c r="O39">
        <v>42.62191635657036</v>
      </c>
      <c r="P39">
        <v>12.785300139621926</v>
      </c>
      <c r="R39">
        <v>18.840486212991959</v>
      </c>
      <c r="S39">
        <v>52.335429603248578</v>
      </c>
      <c r="U39">
        <v>0.95959250846105093</v>
      </c>
      <c r="V39">
        <v>47.91599241187707</v>
      </c>
      <c r="W39">
        <v>23.686830531667162</v>
      </c>
      <c r="X39">
        <v>43.392428297293876</v>
      </c>
      <c r="Y39">
        <v>10.498054621918971</v>
      </c>
      <c r="Z39">
        <v>30.424355453864749</v>
      </c>
      <c r="AA39">
        <v>8.9663408325325431</v>
      </c>
      <c r="AB39">
        <v>36.061777705973554</v>
      </c>
      <c r="AC39">
        <v>6.7601950915823175E-2</v>
      </c>
      <c r="AD39">
        <v>7.9407798112487011</v>
      </c>
      <c r="AE39">
        <v>12.174680015817758</v>
      </c>
      <c r="AF39">
        <v>12.80931955351789</v>
      </c>
      <c r="AG39">
        <v>21.672454897522297</v>
      </c>
      <c r="AH39">
        <v>8.2328911167488137</v>
      </c>
      <c r="AI39">
        <v>2.3979261588571261</v>
      </c>
      <c r="AK39">
        <v>47.182345624483325</v>
      </c>
    </row>
    <row r="40" spans="1:37" x14ac:dyDescent="0.2">
      <c r="A40">
        <v>39</v>
      </c>
      <c r="B40">
        <v>759</v>
      </c>
      <c r="C40">
        <v>225</v>
      </c>
      <c r="D40">
        <v>0.35741946422516302</v>
      </c>
      <c r="E40">
        <v>172.41975308041637</v>
      </c>
      <c r="F40">
        <v>62.016005390869829</v>
      </c>
      <c r="G40">
        <v>72.414109674353341</v>
      </c>
      <c r="H40">
        <v>67.816877554042918</v>
      </c>
      <c r="J40">
        <v>53.821718545371809</v>
      </c>
      <c r="L40">
        <v>9.3461054569153319</v>
      </c>
      <c r="M40">
        <v>13.116000734929527</v>
      </c>
      <c r="N40">
        <v>2.4366060143367463</v>
      </c>
      <c r="O40">
        <v>41.979449698632493</v>
      </c>
      <c r="P40">
        <v>12.622575517555342</v>
      </c>
      <c r="R40">
        <v>18.671215259968477</v>
      </c>
      <c r="S40">
        <v>52.251617558244298</v>
      </c>
      <c r="U40">
        <v>0.94769011577326612</v>
      </c>
      <c r="V40">
        <v>47.975276497533777</v>
      </c>
      <c r="W40">
        <v>23.5819283807209</v>
      </c>
      <c r="X40">
        <v>43.417169428731469</v>
      </c>
      <c r="Y40">
        <v>10.349204328181417</v>
      </c>
      <c r="Z40">
        <v>30.170956701065517</v>
      </c>
      <c r="AA40">
        <v>8.8223726988999545</v>
      </c>
      <c r="AB40">
        <v>36.07263046309243</v>
      </c>
      <c r="AC40">
        <v>4.6761890603050686E-2</v>
      </c>
      <c r="AD40">
        <v>7.7966637066260667</v>
      </c>
      <c r="AE40">
        <v>12.070508228678497</v>
      </c>
      <c r="AF40">
        <v>12.809689405288701</v>
      </c>
      <c r="AG40">
        <v>21.647539185362007</v>
      </c>
      <c r="AH40">
        <v>8.0471794456102543</v>
      </c>
      <c r="AI40">
        <v>2.3787822133784027</v>
      </c>
      <c r="AK40">
        <v>47.147158645120598</v>
      </c>
    </row>
    <row r="41" spans="1:37" x14ac:dyDescent="0.2">
      <c r="A41">
        <v>40</v>
      </c>
      <c r="B41">
        <v>758</v>
      </c>
      <c r="C41">
        <v>225</v>
      </c>
      <c r="D41">
        <v>0.356728410027642</v>
      </c>
      <c r="E41">
        <v>172.3043206503431</v>
      </c>
      <c r="F41">
        <v>61.539117076208726</v>
      </c>
      <c r="G41">
        <v>72.33135280313293</v>
      </c>
      <c r="H41">
        <v>67.73168000992105</v>
      </c>
      <c r="J41">
        <v>53.790680715857569</v>
      </c>
      <c r="L41">
        <v>9.2083422531182944</v>
      </c>
      <c r="M41">
        <v>13.138766202185135</v>
      </c>
      <c r="N41">
        <v>2.417677030888667</v>
      </c>
      <c r="O41">
        <v>41.336123681291234</v>
      </c>
      <c r="P41">
        <v>12.459586824790698</v>
      </c>
      <c r="R41">
        <v>18.499987641582774</v>
      </c>
      <c r="S41">
        <v>52.162987695868893</v>
      </c>
      <c r="U41">
        <v>0.93650256936955523</v>
      </c>
      <c r="V41">
        <v>48.032661253702933</v>
      </c>
      <c r="W41">
        <v>23.47809297653928</v>
      </c>
      <c r="X41">
        <v>43.444226226372614</v>
      </c>
      <c r="Y41">
        <v>10.200057329500904</v>
      </c>
      <c r="Z41">
        <v>29.917802639519902</v>
      </c>
      <c r="AA41">
        <v>8.6779859894863627</v>
      </c>
      <c r="AB41">
        <v>36.08098711896136</v>
      </c>
      <c r="AC41">
        <v>2.5854568818399461E-2</v>
      </c>
      <c r="AD41">
        <v>7.6524107827749388</v>
      </c>
      <c r="AE41">
        <v>11.966558563358623</v>
      </c>
      <c r="AF41">
        <v>12.810426500436535</v>
      </c>
      <c r="AG41">
        <v>21.62006247012906</v>
      </c>
      <c r="AH41">
        <v>7.8610331060058165</v>
      </c>
      <c r="AI41">
        <v>2.3595700370269377</v>
      </c>
      <c r="AK41">
        <v>47.111961144041416</v>
      </c>
    </row>
    <row r="42" spans="1:37" x14ac:dyDescent="0.2">
      <c r="A42">
        <v>41</v>
      </c>
      <c r="B42">
        <v>757</v>
      </c>
      <c r="C42">
        <v>225</v>
      </c>
      <c r="D42">
        <v>0.35603601417269398</v>
      </c>
      <c r="E42">
        <v>172.18936577371022</v>
      </c>
      <c r="F42">
        <v>61.063041508542518</v>
      </c>
      <c r="G42">
        <v>72.248513580608616</v>
      </c>
      <c r="H42">
        <v>67.646413108696663</v>
      </c>
      <c r="J42">
        <v>53.758322493008166</v>
      </c>
      <c r="L42">
        <v>9.0697568945023086</v>
      </c>
      <c r="M42">
        <v>13.161945692382117</v>
      </c>
      <c r="N42">
        <v>2.398684333012016</v>
      </c>
      <c r="O42">
        <v>40.692073774523948</v>
      </c>
      <c r="P42">
        <v>12.296377411814778</v>
      </c>
      <c r="R42">
        <v>18.326876470403295</v>
      </c>
      <c r="S42">
        <v>52.069435622248967</v>
      </c>
      <c r="U42">
        <v>0.92601093878071639</v>
      </c>
      <c r="V42">
        <v>48.088114625414953</v>
      </c>
      <c r="W42">
        <v>23.375317462429347</v>
      </c>
      <c r="X42">
        <v>43.473540185128961</v>
      </c>
      <c r="Y42">
        <v>10.050654514884771</v>
      </c>
      <c r="Z42">
        <v>29.6649241963182</v>
      </c>
      <c r="AA42">
        <v>8.5332799078227399</v>
      </c>
      <c r="AB42">
        <v>36.086779121426005</v>
      </c>
      <c r="AC42">
        <v>4.8836761762345365E-3</v>
      </c>
      <c r="AD42">
        <v>7.5080458233250882</v>
      </c>
      <c r="AE42">
        <v>11.862834218073411</v>
      </c>
      <c r="AF42">
        <v>12.811514201708286</v>
      </c>
      <c r="AG42">
        <v>21.589959896603201</v>
      </c>
      <c r="AH42">
        <v>7.6745066961070201</v>
      </c>
      <c r="AI42">
        <v>2.3402933190208119</v>
      </c>
      <c r="AK42">
        <v>47.076776932153066</v>
      </c>
    </row>
    <row r="43" spans="1:37" x14ac:dyDescent="0.2">
      <c r="A43">
        <v>42</v>
      </c>
      <c r="B43">
        <v>756</v>
      </c>
      <c r="C43">
        <v>225</v>
      </c>
      <c r="D43">
        <v>0.35534227274935698</v>
      </c>
      <c r="E43">
        <v>171.98546139445847</v>
      </c>
      <c r="F43">
        <v>60.113465163339775</v>
      </c>
      <c r="G43">
        <v>72.089465951799639</v>
      </c>
      <c r="H43">
        <v>67.484950816146778</v>
      </c>
      <c r="J43">
        <v>53.592502977590833</v>
      </c>
      <c r="L43">
        <v>8.8163189757198204</v>
      </c>
      <c r="M43">
        <v>13.176159283175895</v>
      </c>
      <c r="N43">
        <v>2.3955536745053623</v>
      </c>
      <c r="O43">
        <v>39.61996325767511</v>
      </c>
      <c r="P43">
        <v>11.996620945059153</v>
      </c>
      <c r="R43">
        <v>18.006510618009596</v>
      </c>
      <c r="S43">
        <v>51.834917575280528</v>
      </c>
      <c r="U43">
        <v>0.89767858185059424</v>
      </c>
      <c r="V43">
        <v>48.157704818530895</v>
      </c>
      <c r="W43">
        <v>23.162677770119625</v>
      </c>
      <c r="X43">
        <v>43.434483811186695</v>
      </c>
      <c r="Y43">
        <v>9.7616555314806206</v>
      </c>
      <c r="Z43">
        <v>29.144132229218091</v>
      </c>
      <c r="AA43">
        <v>8.2690385882403934</v>
      </c>
      <c r="AB43">
        <v>36.061904513545407</v>
      </c>
      <c r="AD43">
        <v>7.1992477331306883</v>
      </c>
      <c r="AE43">
        <v>11.66040240663966</v>
      </c>
      <c r="AF43">
        <v>12.819498346144483</v>
      </c>
      <c r="AG43">
        <v>21.545055267534757</v>
      </c>
      <c r="AH43">
        <v>7.2633773545047839</v>
      </c>
      <c r="AI43">
        <v>2.3368778113202797</v>
      </c>
      <c r="AK43">
        <v>46.929903682335429</v>
      </c>
    </row>
    <row r="44" spans="1:37" x14ac:dyDescent="0.2">
      <c r="A44">
        <v>43</v>
      </c>
      <c r="B44">
        <v>755</v>
      </c>
      <c r="C44">
        <v>225</v>
      </c>
      <c r="D44">
        <v>0.354647181831445</v>
      </c>
      <c r="E44">
        <v>171.75015330554314</v>
      </c>
      <c r="F44">
        <v>58.986858272096519</v>
      </c>
      <c r="G44">
        <v>71.901100790634175</v>
      </c>
      <c r="H44">
        <v>67.294184026997883</v>
      </c>
      <c r="J44">
        <v>53.368076978093683</v>
      </c>
      <c r="L44">
        <v>8.5158346728610237</v>
      </c>
      <c r="M44">
        <v>13.189659695855172</v>
      </c>
      <c r="N44">
        <v>2.3975245185167613</v>
      </c>
      <c r="O44">
        <v>38.379039627793283</v>
      </c>
      <c r="P44">
        <v>11.643338658181662</v>
      </c>
      <c r="R44">
        <v>17.621747713294052</v>
      </c>
      <c r="S44">
        <v>51.522369258541048</v>
      </c>
      <c r="U44">
        <v>0.86664073476596315</v>
      </c>
      <c r="V44">
        <v>48.224069411604241</v>
      </c>
      <c r="W44">
        <v>22.916984426644461</v>
      </c>
      <c r="X44">
        <v>43.382408809651494</v>
      </c>
      <c r="Y44">
        <v>9.4181997710002445</v>
      </c>
      <c r="Z44">
        <v>28.522824486466046</v>
      </c>
      <c r="AA44">
        <v>7.9573952772487679</v>
      </c>
      <c r="AB44">
        <v>36.012547913265252</v>
      </c>
      <c r="AD44">
        <v>6.8279617553711969</v>
      </c>
      <c r="AE44">
        <v>11.421490195331172</v>
      </c>
      <c r="AF44">
        <v>12.83187112377785</v>
      </c>
      <c r="AG44">
        <v>21.480772669931014</v>
      </c>
      <c r="AH44">
        <v>6.7656335240149312</v>
      </c>
      <c r="AI44">
        <v>2.338562975234733</v>
      </c>
      <c r="AK44">
        <v>46.739924423397675</v>
      </c>
    </row>
    <row r="45" spans="1:37" x14ac:dyDescent="0.2">
      <c r="A45">
        <v>44</v>
      </c>
      <c r="B45">
        <v>754</v>
      </c>
      <c r="C45">
        <v>225</v>
      </c>
      <c r="D45">
        <v>0.35395073747748601</v>
      </c>
      <c r="E45">
        <v>171.51102135068356</v>
      </c>
      <c r="F45">
        <v>57.826596567796692</v>
      </c>
      <c r="G45">
        <v>71.706374096298006</v>
      </c>
      <c r="H45">
        <v>67.09706876127504</v>
      </c>
      <c r="J45">
        <v>53.122119671705761</v>
      </c>
      <c r="L45">
        <v>8.2021538678947881</v>
      </c>
      <c r="M45">
        <v>13.205808115615804</v>
      </c>
      <c r="N45">
        <v>2.3994945569848909</v>
      </c>
      <c r="O45">
        <v>37.096545093160628</v>
      </c>
      <c r="P45">
        <v>11.277340264214399</v>
      </c>
      <c r="R45">
        <v>17.214758361405998</v>
      </c>
      <c r="S45">
        <v>51.16484192332193</v>
      </c>
      <c r="U45">
        <v>0.83937380420431662</v>
      </c>
      <c r="V45">
        <v>48.279909542512208</v>
      </c>
      <c r="W45">
        <v>22.674237919609649</v>
      </c>
      <c r="X45">
        <v>43.341524457241114</v>
      </c>
      <c r="Y45">
        <v>9.0620574313293289</v>
      </c>
      <c r="Z45">
        <v>27.881378430889697</v>
      </c>
      <c r="AA45">
        <v>7.6338217076995063</v>
      </c>
      <c r="AB45">
        <v>35.942644037794864</v>
      </c>
      <c r="AD45">
        <v>6.4434273785114549</v>
      </c>
      <c r="AE45">
        <v>11.175650216935095</v>
      </c>
      <c r="AF45">
        <v>12.846891417355888</v>
      </c>
      <c r="AG45">
        <v>21.395944518872842</v>
      </c>
      <c r="AH45">
        <v>6.2487430749175097</v>
      </c>
      <c r="AI45">
        <v>2.3402465008644189</v>
      </c>
      <c r="AK45">
        <v>46.540094778786568</v>
      </c>
    </row>
    <row r="46" spans="1:37" x14ac:dyDescent="0.2">
      <c r="A46">
        <v>45</v>
      </c>
      <c r="B46">
        <v>753</v>
      </c>
      <c r="C46">
        <v>225</v>
      </c>
      <c r="D46">
        <v>0.35325293573064698</v>
      </c>
      <c r="E46">
        <v>171.26705373147632</v>
      </c>
      <c r="F46">
        <v>56.624761196141499</v>
      </c>
      <c r="G46">
        <v>71.5040837486263</v>
      </c>
      <c r="H46">
        <v>66.892402919691307</v>
      </c>
      <c r="J46">
        <v>52.849922104291558</v>
      </c>
      <c r="L46">
        <v>7.8729852713645956</v>
      </c>
      <c r="M46">
        <v>13.224704216582527</v>
      </c>
      <c r="N46">
        <v>2.401463685540155</v>
      </c>
      <c r="O46">
        <v>35.764124173916727</v>
      </c>
      <c r="P46">
        <v>10.896221441239803</v>
      </c>
      <c r="R46">
        <v>16.782100776993072</v>
      </c>
      <c r="S46">
        <v>50.753340730867123</v>
      </c>
      <c r="U46">
        <v>0.81611689310344759</v>
      </c>
      <c r="V46">
        <v>48.32357108971879</v>
      </c>
      <c r="W46">
        <v>22.434692223871423</v>
      </c>
      <c r="X46">
        <v>43.312540463122161</v>
      </c>
      <c r="Y46">
        <v>8.6907997754323549</v>
      </c>
      <c r="Z46">
        <v>27.214287021680523</v>
      </c>
      <c r="AA46">
        <v>7.2958604938280329</v>
      </c>
      <c r="AB46">
        <v>35.84763302877483</v>
      </c>
      <c r="AD46">
        <v>6.042394665947592</v>
      </c>
      <c r="AE46">
        <v>10.920593751752643</v>
      </c>
      <c r="AF46">
        <v>12.864658802255901</v>
      </c>
      <c r="AG46">
        <v>21.286010857582166</v>
      </c>
      <c r="AH46">
        <v>5.7089604481178169</v>
      </c>
      <c r="AI46">
        <v>2.3419282820002625</v>
      </c>
      <c r="AK46">
        <v>46.328032593725403</v>
      </c>
    </row>
    <row r="47" spans="1:37" x14ac:dyDescent="0.2">
      <c r="A47">
        <v>46</v>
      </c>
      <c r="B47">
        <v>752</v>
      </c>
      <c r="C47">
        <v>225</v>
      </c>
      <c r="D47">
        <v>0.35255377261864101</v>
      </c>
      <c r="E47">
        <v>171.01676479073336</v>
      </c>
      <c r="F47">
        <v>55.369714113341317</v>
      </c>
      <c r="G47">
        <v>71.292474938029329</v>
      </c>
      <c r="H47">
        <v>66.678431713577737</v>
      </c>
      <c r="J47">
        <v>52.544791042788511</v>
      </c>
      <c r="L47">
        <v>7.5249603821102973</v>
      </c>
      <c r="M47">
        <v>13.24644023721415</v>
      </c>
      <c r="N47">
        <v>2.4034317619218659</v>
      </c>
      <c r="O47">
        <v>34.369569878198917</v>
      </c>
      <c r="P47">
        <v>10.496472450664042</v>
      </c>
      <c r="R47">
        <v>16.318684664288323</v>
      </c>
      <c r="S47">
        <v>50.275584730210461</v>
      </c>
      <c r="U47">
        <v>0.79718404632379558</v>
      </c>
      <c r="V47">
        <v>48.352872175035714</v>
      </c>
      <c r="W47">
        <v>22.198654489490789</v>
      </c>
      <c r="X47">
        <v>43.296384717493851</v>
      </c>
      <c r="Y47">
        <v>8.3008812742144045</v>
      </c>
      <c r="Z47">
        <v>26.513398082717551</v>
      </c>
      <c r="AA47">
        <v>6.9402173164756382</v>
      </c>
      <c r="AB47">
        <v>35.72126727127128</v>
      </c>
      <c r="AD47">
        <v>5.6200635010638758</v>
      </c>
      <c r="AE47">
        <v>10.652918752115113</v>
      </c>
      <c r="AF47">
        <v>12.885265380313763</v>
      </c>
      <c r="AG47">
        <v>21.144723934834197</v>
      </c>
      <c r="AH47">
        <v>5.1408026206166459</v>
      </c>
      <c r="AI47">
        <v>2.3436081745423314</v>
      </c>
      <c r="AK47">
        <v>46.100224349521255</v>
      </c>
    </row>
    <row r="48" spans="1:37" x14ac:dyDescent="0.2">
      <c r="A48">
        <v>47</v>
      </c>
      <c r="B48">
        <v>751</v>
      </c>
      <c r="C48">
        <v>225</v>
      </c>
      <c r="D48">
        <v>0.35185324415369101</v>
      </c>
      <c r="E48">
        <v>170.75783511240712</v>
      </c>
      <c r="F48">
        <v>54.043279092058214</v>
      </c>
      <c r="G48">
        <v>71.068822559974535</v>
      </c>
      <c r="H48">
        <v>66.452430059362115</v>
      </c>
      <c r="J48">
        <v>52.196539744368081</v>
      </c>
      <c r="L48">
        <v>7.1527285399457829</v>
      </c>
      <c r="M48">
        <v>13.271085823777888</v>
      </c>
      <c r="N48">
        <v>2.4053985794198351</v>
      </c>
      <c r="O48">
        <v>32.893914566246387</v>
      </c>
      <c r="P48">
        <v>10.072642899619909</v>
      </c>
      <c r="R48">
        <v>15.816495813600143</v>
      </c>
      <c r="S48">
        <v>49.713496487287429</v>
      </c>
      <c r="U48">
        <v>0.78301435843512812</v>
      </c>
      <c r="V48">
        <v>48.364681181698614</v>
      </c>
      <c r="W48">
        <v>21.966521661625769</v>
      </c>
      <c r="X48">
        <v>43.294347776668552</v>
      </c>
      <c r="Y48">
        <v>7.8867959025658418</v>
      </c>
      <c r="Z48">
        <v>25.765905659810901</v>
      </c>
      <c r="AA48">
        <v>6.5614699165896457</v>
      </c>
      <c r="AB48">
        <v>35.554325081992033</v>
      </c>
      <c r="AD48">
        <v>5.168907537378586</v>
      </c>
      <c r="AE48">
        <v>10.36726351814392</v>
      </c>
      <c r="AF48">
        <v>12.90878059673533</v>
      </c>
      <c r="AG48">
        <v>20.962861866615086</v>
      </c>
      <c r="AH48">
        <v>4.5357344873247154</v>
      </c>
      <c r="AI48">
        <v>2.3452859699410737</v>
      </c>
      <c r="AK48">
        <v>45.851165681071741</v>
      </c>
    </row>
    <row r="49" spans="1:37" x14ac:dyDescent="0.2">
      <c r="A49">
        <v>48</v>
      </c>
      <c r="B49">
        <v>750</v>
      </c>
      <c r="C49">
        <v>225</v>
      </c>
      <c r="D49">
        <v>0.35115134633240402</v>
      </c>
      <c r="E49">
        <v>170.48635019131123</v>
      </c>
      <c r="F49">
        <v>52.614777092348923</v>
      </c>
      <c r="G49">
        <v>70.828553527568857</v>
      </c>
      <c r="H49">
        <v>66.20982489115319</v>
      </c>
      <c r="J49">
        <v>51.788288243177199</v>
      </c>
      <c r="L49">
        <v>6.7474911675224396</v>
      </c>
      <c r="M49">
        <v>13.298637561379058</v>
      </c>
      <c r="N49">
        <v>2.4073638121668552</v>
      </c>
      <c r="O49">
        <v>31.305303710608342</v>
      </c>
      <c r="P49">
        <v>9.615586311427462</v>
      </c>
      <c r="R49">
        <v>15.261900113482843</v>
      </c>
      <c r="S49">
        <v>49.037885384853972</v>
      </c>
      <c r="U49">
        <v>0.77426327424458985</v>
      </c>
      <c r="V49">
        <v>48.354021981186584</v>
      </c>
      <c r="W49">
        <v>21.73886164613598</v>
      </c>
      <c r="X49">
        <v>43.30834427180104</v>
      </c>
      <c r="Y49">
        <v>7.4393027180120255</v>
      </c>
      <c r="Z49">
        <v>24.950073802773151</v>
      </c>
      <c r="AA49">
        <v>6.1507951107023979</v>
      </c>
      <c r="AB49">
        <v>35.331875864515851</v>
      </c>
      <c r="AD49">
        <v>4.6761745045698069</v>
      </c>
      <c r="AE49">
        <v>10.054497900920232</v>
      </c>
      <c r="AF49">
        <v>12.935200716418588</v>
      </c>
      <c r="AG49">
        <v>20.725493736643418</v>
      </c>
      <c r="AH49">
        <v>3.8793963197789743</v>
      </c>
      <c r="AI49">
        <v>2.3469613404894547</v>
      </c>
      <c r="AK49">
        <v>45.571536935523312</v>
      </c>
    </row>
    <row r="50" spans="1:37" x14ac:dyDescent="0.2">
      <c r="A50">
        <v>49</v>
      </c>
      <c r="B50">
        <v>749</v>
      </c>
      <c r="C50">
        <v>225</v>
      </c>
      <c r="D50">
        <v>0.350448075135744</v>
      </c>
      <c r="E50">
        <v>170.19495970915634</v>
      </c>
      <c r="F50">
        <v>51.026598792093246</v>
      </c>
      <c r="G50">
        <v>70.563140831063563</v>
      </c>
      <c r="H50">
        <v>65.942089220244966</v>
      </c>
      <c r="J50">
        <v>51.288725133983391</v>
      </c>
      <c r="L50">
        <v>6.2926310303237551</v>
      </c>
      <c r="M50">
        <v>13.328844108051213</v>
      </c>
      <c r="N50">
        <v>2.4093268878064138</v>
      </c>
      <c r="O50">
        <v>29.544261644957679</v>
      </c>
      <c r="P50">
        <v>9.108248117272586</v>
      </c>
      <c r="R50">
        <v>14.629130818970955</v>
      </c>
      <c r="S50">
        <v>48.195654431693271</v>
      </c>
      <c r="U50">
        <v>0.77198143556946675</v>
      </c>
      <c r="V50">
        <v>48.31192483116542</v>
      </c>
      <c r="W50">
        <v>21.516616569822077</v>
      </c>
      <c r="X50">
        <v>43.341418853784049</v>
      </c>
      <c r="Y50">
        <v>6.9411648209285808</v>
      </c>
      <c r="Z50">
        <v>24.024815770663828</v>
      </c>
      <c r="AA50">
        <v>5.6916519949167119</v>
      </c>
      <c r="AB50">
        <v>35.02666676098535</v>
      </c>
      <c r="AD50">
        <v>4.1178064691698761</v>
      </c>
      <c r="AE50">
        <v>9.6972953569854248</v>
      </c>
      <c r="AF50">
        <v>12.964273830716639</v>
      </c>
      <c r="AG50">
        <v>20.405366120733625</v>
      </c>
      <c r="AH50">
        <v>3.1449236189521401</v>
      </c>
      <c r="AI50">
        <v>2.3486337119912513</v>
      </c>
      <c r="AK50">
        <v>45.243772871462788</v>
      </c>
    </row>
    <row r="51" spans="1:37" x14ac:dyDescent="0.2">
      <c r="A51">
        <v>50</v>
      </c>
      <c r="B51">
        <v>748</v>
      </c>
      <c r="C51">
        <v>225</v>
      </c>
      <c r="D51">
        <v>0.34974342652891699</v>
      </c>
      <c r="E51">
        <v>169.7838624564541</v>
      </c>
      <c r="F51">
        <v>48.529753252727581</v>
      </c>
      <c r="G51">
        <v>70.167817348435591</v>
      </c>
      <c r="H51">
        <v>65.544455945698147</v>
      </c>
      <c r="J51">
        <v>50.347269629989754</v>
      </c>
      <c r="L51">
        <v>5.584702532616669</v>
      </c>
      <c r="M51">
        <v>13.348843150997357</v>
      </c>
      <c r="N51">
        <v>2.4112827874200851</v>
      </c>
      <c r="O51">
        <v>26.869423826892071</v>
      </c>
      <c r="P51">
        <v>8.3410890772876929</v>
      </c>
      <c r="R51">
        <v>13.610964638377482</v>
      </c>
      <c r="S51">
        <v>46.709770291417378</v>
      </c>
      <c r="U51">
        <v>0.77485005445699451</v>
      </c>
      <c r="V51">
        <v>48.193177197743161</v>
      </c>
      <c r="W51">
        <v>21.311148941633295</v>
      </c>
      <c r="X51">
        <v>43.38918504437278</v>
      </c>
      <c r="Y51">
        <v>6.1799277337261351</v>
      </c>
      <c r="Z51">
        <v>22.446326490845404</v>
      </c>
      <c r="AA51">
        <v>4.9793112285393875</v>
      </c>
      <c r="AB51">
        <v>34.383603886859099</v>
      </c>
      <c r="AD51">
        <v>3.1803667926630301</v>
      </c>
      <c r="AE51">
        <v>9.0605787386861731</v>
      </c>
      <c r="AF51">
        <v>12.983132613601768</v>
      </c>
      <c r="AG51">
        <v>19.747380121472602</v>
      </c>
      <c r="AH51">
        <v>1.9984150180399627</v>
      </c>
      <c r="AI51">
        <v>2.3502980636879771</v>
      </c>
      <c r="AK51">
        <v>44.640826949309727</v>
      </c>
    </row>
    <row r="52" spans="1:37" x14ac:dyDescent="0.2">
      <c r="A52">
        <v>51</v>
      </c>
      <c r="B52">
        <v>747</v>
      </c>
      <c r="C52">
        <v>225</v>
      </c>
      <c r="D52">
        <v>0.34903739646130499</v>
      </c>
      <c r="E52">
        <v>169.52606365749335</v>
      </c>
      <c r="F52">
        <v>45.424538292991834</v>
      </c>
      <c r="G52">
        <v>69.881344885200818</v>
      </c>
      <c r="H52">
        <v>65.255686894153342</v>
      </c>
      <c r="J52">
        <v>42.577501099557793</v>
      </c>
      <c r="L52">
        <v>4.0038716569229367</v>
      </c>
      <c r="M52">
        <v>13.247895119210295</v>
      </c>
      <c r="N52">
        <v>2.4132524774934785</v>
      </c>
      <c r="O52">
        <v>18.505028197984952</v>
      </c>
      <c r="P52">
        <v>7.7916537921592992</v>
      </c>
      <c r="R52">
        <v>11.611649308857453</v>
      </c>
      <c r="S52">
        <v>42.653418759063669</v>
      </c>
      <c r="U52">
        <v>0.76255804009873962</v>
      </c>
      <c r="V52">
        <v>48.017480122715519</v>
      </c>
      <c r="W52">
        <v>21.125816448495144</v>
      </c>
      <c r="X52">
        <v>43.389759115368278</v>
      </c>
      <c r="Y52">
        <v>4.8963828843938684</v>
      </c>
      <c r="Z52">
        <v>18.758982072297844</v>
      </c>
      <c r="AA52">
        <v>3.1121236240653087</v>
      </c>
      <c r="AB52">
        <v>32.498646261334727</v>
      </c>
      <c r="AD52">
        <v>1.1206251151817157</v>
      </c>
      <c r="AE52">
        <v>7.1823080345677575</v>
      </c>
      <c r="AF52">
        <v>12.881058466250215</v>
      </c>
      <c r="AG52">
        <v>17.847515730608798</v>
      </c>
      <c r="AI52">
        <v>2.3519753602249471</v>
      </c>
      <c r="AK52">
        <v>39.485745481854487</v>
      </c>
    </row>
    <row r="53" spans="1:37" x14ac:dyDescent="0.2">
      <c r="A53">
        <v>52</v>
      </c>
      <c r="B53">
        <v>746</v>
      </c>
      <c r="C53">
        <v>225</v>
      </c>
      <c r="D53">
        <v>0.34832998086640898</v>
      </c>
      <c r="E53">
        <v>169.67058820045079</v>
      </c>
      <c r="F53">
        <v>45.274905077853838</v>
      </c>
      <c r="G53">
        <v>69.977347253465993</v>
      </c>
      <c r="H53">
        <v>65.349405898884839</v>
      </c>
      <c r="J53">
        <v>35.73101125527706</v>
      </c>
      <c r="L53">
        <v>2.8161395884383857</v>
      </c>
      <c r="M53">
        <v>13.096803974037577</v>
      </c>
      <c r="N53">
        <v>2.415243721262772</v>
      </c>
      <c r="O53">
        <v>11.591134441070139</v>
      </c>
      <c r="P53">
        <v>8.0071976725658374</v>
      </c>
      <c r="R53">
        <v>10.327783826457342</v>
      </c>
      <c r="S53">
        <v>39.379279128515854</v>
      </c>
      <c r="U53">
        <v>0.74503889331607109</v>
      </c>
      <c r="V53">
        <v>48.024683283191351</v>
      </c>
      <c r="W53">
        <v>20.893802885129471</v>
      </c>
      <c r="X53">
        <v>43.375416821681597</v>
      </c>
      <c r="Y53">
        <v>4.064591624539946</v>
      </c>
      <c r="Z53">
        <v>17.287836264741394</v>
      </c>
      <c r="AA53">
        <v>1.6476399765566676</v>
      </c>
      <c r="AB53">
        <v>31.715532166947686</v>
      </c>
      <c r="AD53">
        <v>0.2448166060802415</v>
      </c>
      <c r="AE53">
        <v>6.3074976382546728</v>
      </c>
      <c r="AF53">
        <v>12.728863118962753</v>
      </c>
      <c r="AG53">
        <v>17.049519000000164</v>
      </c>
      <c r="AI53">
        <v>2.3536733629980464</v>
      </c>
      <c r="AK53">
        <v>34.913345792914001</v>
      </c>
    </row>
    <row r="54" spans="1:37" x14ac:dyDescent="0.2">
      <c r="A54">
        <v>53</v>
      </c>
      <c r="B54">
        <v>745</v>
      </c>
      <c r="C54">
        <v>225</v>
      </c>
      <c r="D54">
        <v>0.347621175661739</v>
      </c>
      <c r="E54">
        <v>169.70812197188965</v>
      </c>
      <c r="F54">
        <v>45.691669254668419</v>
      </c>
      <c r="G54">
        <v>69.958342484048202</v>
      </c>
      <c r="H54">
        <v>65.328131011916895</v>
      </c>
      <c r="J54">
        <v>31.182844946432247</v>
      </c>
      <c r="L54">
        <v>1.7726966837191211</v>
      </c>
      <c r="M54">
        <v>12.925679574484755</v>
      </c>
      <c r="N54">
        <v>2.4172267305080135</v>
      </c>
      <c r="O54">
        <v>6.3198117274928842</v>
      </c>
      <c r="P54">
        <v>7.9927270152165164</v>
      </c>
      <c r="R54">
        <v>9.1092466569493311</v>
      </c>
      <c r="S54">
        <v>36.703780314620921</v>
      </c>
      <c r="U54">
        <v>0.72545850899966702</v>
      </c>
      <c r="V54">
        <v>48.078800898546334</v>
      </c>
      <c r="W54">
        <v>20.643229941988949</v>
      </c>
      <c r="X54">
        <v>43.355389607362888</v>
      </c>
      <c r="Y54">
        <v>3.1941362093714791</v>
      </c>
      <c r="Z54">
        <v>17.726872621869202</v>
      </c>
      <c r="AA54">
        <v>0.46007670934144701</v>
      </c>
      <c r="AB54">
        <v>32.097176330620968</v>
      </c>
      <c r="AE54">
        <v>6.5580968756453499</v>
      </c>
      <c r="AF54">
        <v>12.556626648247608</v>
      </c>
      <c r="AG54">
        <v>17.41627487445281</v>
      </c>
      <c r="AI54">
        <v>2.3553622819474955</v>
      </c>
      <c r="AK54">
        <v>31.860012643728606</v>
      </c>
    </row>
    <row r="55" spans="1:37" x14ac:dyDescent="0.2">
      <c r="A55">
        <v>54</v>
      </c>
      <c r="B55">
        <v>744</v>
      </c>
      <c r="C55">
        <v>225</v>
      </c>
      <c r="D55">
        <v>0.34691097674876298</v>
      </c>
      <c r="E55">
        <v>169.75897004271232</v>
      </c>
      <c r="F55">
        <v>45.982290000894473</v>
      </c>
      <c r="G55">
        <v>69.933576925456393</v>
      </c>
      <c r="H55">
        <v>65.301108603008899</v>
      </c>
      <c r="J55">
        <v>27.214301328671894</v>
      </c>
      <c r="L55">
        <v>1.6368978703856991</v>
      </c>
      <c r="M55">
        <v>12.71464185332931</v>
      </c>
      <c r="N55">
        <v>2.4192077249751667</v>
      </c>
      <c r="O55">
        <v>5.5868205743522541</v>
      </c>
      <c r="P55">
        <v>7.9667407602380678</v>
      </c>
      <c r="R55">
        <v>8.7795774205805337</v>
      </c>
      <c r="S55">
        <v>36.474857542952357</v>
      </c>
      <c r="U55">
        <v>0.70492945411546049</v>
      </c>
      <c r="V55">
        <v>48.309308730905194</v>
      </c>
      <c r="W55">
        <v>20.353402822509469</v>
      </c>
      <c r="X55">
        <v>43.332850811025203</v>
      </c>
      <c r="Y55">
        <v>2.8421043187249841</v>
      </c>
      <c r="Z55">
        <v>17.935175552136663</v>
      </c>
      <c r="AB55">
        <v>32.391795674526911</v>
      </c>
      <c r="AE55">
        <v>6.6732032649585884</v>
      </c>
      <c r="AF55">
        <v>12.344475212366449</v>
      </c>
      <c r="AG55">
        <v>17.696006502009539</v>
      </c>
      <c r="AI55">
        <v>2.3570483349780327</v>
      </c>
      <c r="AK55">
        <v>29.176903662763742</v>
      </c>
    </row>
    <row r="56" spans="1:37" x14ac:dyDescent="0.2">
      <c r="A56">
        <v>55</v>
      </c>
      <c r="B56">
        <v>743</v>
      </c>
      <c r="C56">
        <v>225</v>
      </c>
      <c r="D56">
        <v>0.34619938001279399</v>
      </c>
      <c r="E56">
        <v>169.81134459818378</v>
      </c>
      <c r="F56">
        <v>46.249728983684804</v>
      </c>
      <c r="G56">
        <v>69.908197831975286</v>
      </c>
      <c r="H56">
        <v>65.273485947736063</v>
      </c>
      <c r="J56">
        <v>24.244057065468631</v>
      </c>
      <c r="L56">
        <v>1.6452937590041183</v>
      </c>
      <c r="M56">
        <v>12.498228094955721</v>
      </c>
      <c r="N56">
        <v>2.4211883002184056</v>
      </c>
      <c r="O56">
        <v>5.5456675939733975</v>
      </c>
      <c r="P56">
        <v>7.9395350351768377</v>
      </c>
      <c r="R56">
        <v>8.5918135475053141</v>
      </c>
      <c r="S56">
        <v>36.638006216401294</v>
      </c>
      <c r="U56">
        <v>0.68378325323052314</v>
      </c>
      <c r="V56">
        <v>48.568902172672537</v>
      </c>
      <c r="W56">
        <v>20.058610702527922</v>
      </c>
      <c r="X56">
        <v>43.308746263390795</v>
      </c>
      <c r="Y56">
        <v>2.5854366574081751</v>
      </c>
      <c r="Z56">
        <v>18.101824803900207</v>
      </c>
      <c r="AB56">
        <v>32.67273710883719</v>
      </c>
      <c r="AE56">
        <v>6.7639091163107796</v>
      </c>
      <c r="AF56">
        <v>12.12694769701258</v>
      </c>
      <c r="AG56">
        <v>17.96206239454223</v>
      </c>
      <c r="AI56">
        <v>2.3587331158042377</v>
      </c>
      <c r="AK56">
        <v>27.155717959401411</v>
      </c>
    </row>
    <row r="57" spans="1:37" x14ac:dyDescent="0.2">
      <c r="A57">
        <v>56</v>
      </c>
      <c r="B57">
        <v>772</v>
      </c>
      <c r="C57">
        <v>200</v>
      </c>
      <c r="D57">
        <v>0.39259484284552498</v>
      </c>
      <c r="E57">
        <v>159.1576206982235</v>
      </c>
      <c r="F57">
        <v>66.040684648260168</v>
      </c>
      <c r="G57">
        <v>73.202243885982398</v>
      </c>
      <c r="H57">
        <v>68.636920535862998</v>
      </c>
      <c r="J57">
        <v>53.818431665378071</v>
      </c>
      <c r="L57">
        <v>10.432755952908717</v>
      </c>
      <c r="M57">
        <v>13.418000634324587</v>
      </c>
      <c r="N57">
        <v>2.4767882310521441</v>
      </c>
      <c r="O57">
        <v>47.982157614220121</v>
      </c>
      <c r="P57">
        <v>13.819773712400025</v>
      </c>
      <c r="Q57">
        <v>2.5190026872074212E-2</v>
      </c>
      <c r="R57">
        <v>20.952713198885121</v>
      </c>
      <c r="S57">
        <v>55.324583354777253</v>
      </c>
      <c r="U57">
        <v>1.4676164497614865</v>
      </c>
      <c r="V57">
        <v>47.85791258503145</v>
      </c>
      <c r="W57">
        <v>26.135708059509163</v>
      </c>
      <c r="X57">
        <v>42.982029280829281</v>
      </c>
      <c r="Y57">
        <v>11.410275281761946</v>
      </c>
      <c r="Z57">
        <v>32.688869077066329</v>
      </c>
      <c r="AA57">
        <v>9.9909096379492404</v>
      </c>
      <c r="AB57">
        <v>37.118516284594151</v>
      </c>
      <c r="AC57">
        <v>0.20428016990741021</v>
      </c>
      <c r="AD57">
        <v>9.1802572690496831</v>
      </c>
      <c r="AE57">
        <v>13.378817807325747</v>
      </c>
      <c r="AF57">
        <v>13.269337261768932</v>
      </c>
      <c r="AG57">
        <v>23.061092304048181</v>
      </c>
      <c r="AH57">
        <v>9.2015217055390348</v>
      </c>
      <c r="AI57">
        <v>2.4194654691778474</v>
      </c>
      <c r="AK57">
        <v>46.781165390792417</v>
      </c>
    </row>
    <row r="58" spans="1:37" x14ac:dyDescent="0.2">
      <c r="A58">
        <v>57</v>
      </c>
      <c r="B58">
        <v>771</v>
      </c>
      <c r="C58">
        <v>200</v>
      </c>
      <c r="D58">
        <v>0.391946080543984</v>
      </c>
      <c r="E58">
        <v>159.04928337065891</v>
      </c>
      <c r="F58">
        <v>65.646360530181951</v>
      </c>
      <c r="G58">
        <v>73.134547149392532</v>
      </c>
      <c r="H58">
        <v>68.56660587151697</v>
      </c>
      <c r="J58">
        <v>53.783017221814198</v>
      </c>
      <c r="L58">
        <v>10.326266166633959</v>
      </c>
      <c r="M58">
        <v>13.406924659650389</v>
      </c>
      <c r="N58">
        <v>2.4638291115270987</v>
      </c>
      <c r="O58">
        <v>47.468114296902492</v>
      </c>
      <c r="P58">
        <v>13.692767470988834</v>
      </c>
      <c r="R58">
        <v>20.781072126645274</v>
      </c>
      <c r="S58">
        <v>55.116261866165033</v>
      </c>
      <c r="U58">
        <v>1.4319862808305852</v>
      </c>
      <c r="V58">
        <v>47.855569754345019</v>
      </c>
      <c r="W58">
        <v>25.999553961157329</v>
      </c>
      <c r="X58">
        <v>42.927496299975736</v>
      </c>
      <c r="Y58">
        <v>11.295558572697649</v>
      </c>
      <c r="Z58">
        <v>32.475022821130743</v>
      </c>
      <c r="AA58">
        <v>9.8788076200680806</v>
      </c>
      <c r="AB58">
        <v>37.070937859399784</v>
      </c>
      <c r="AC58">
        <v>0.18933862894729847</v>
      </c>
      <c r="AD58">
        <v>9.0613628046778008</v>
      </c>
      <c r="AE58">
        <v>13.286294686575074</v>
      </c>
      <c r="AF58">
        <v>13.242195814924955</v>
      </c>
      <c r="AG58">
        <v>22.983651158680491</v>
      </c>
      <c r="AH58">
        <v>9.0566844306699306</v>
      </c>
      <c r="AI58">
        <v>2.4062348713056707</v>
      </c>
      <c r="AK58">
        <v>46.766446241010094</v>
      </c>
    </row>
    <row r="59" spans="1:37" x14ac:dyDescent="0.2">
      <c r="A59">
        <v>58</v>
      </c>
      <c r="B59">
        <v>770</v>
      </c>
      <c r="C59">
        <v>200</v>
      </c>
      <c r="D59">
        <v>0.39129607439006903</v>
      </c>
      <c r="E59">
        <v>158.93410890598528</v>
      </c>
      <c r="F59">
        <v>65.174127490679666</v>
      </c>
      <c r="G59">
        <v>73.05319559336732</v>
      </c>
      <c r="H59">
        <v>68.482649118071407</v>
      </c>
      <c r="J59">
        <v>53.755685938162031</v>
      </c>
      <c r="L59">
        <v>10.19386644661671</v>
      </c>
      <c r="M59">
        <v>13.426862485706886</v>
      </c>
      <c r="N59">
        <v>2.4455402949381617</v>
      </c>
      <c r="O59">
        <v>46.834701160435259</v>
      </c>
      <c r="P59">
        <v>13.533129299169577</v>
      </c>
      <c r="R59">
        <v>20.617280906855818</v>
      </c>
      <c r="S59">
        <v>55.03672900196964</v>
      </c>
      <c r="U59">
        <v>1.4184688465958806</v>
      </c>
      <c r="V59">
        <v>47.916633975238859</v>
      </c>
      <c r="W59">
        <v>25.889942219924293</v>
      </c>
      <c r="X59">
        <v>42.946818086983939</v>
      </c>
      <c r="Y59">
        <v>11.14991438489642</v>
      </c>
      <c r="Z59">
        <v>32.222038709044178</v>
      </c>
      <c r="AA59">
        <v>9.7384128091915922</v>
      </c>
      <c r="AB59">
        <v>37.082354749364384</v>
      </c>
      <c r="AC59">
        <v>0.16906754022920512</v>
      </c>
      <c r="AD59">
        <v>8.9196303145093818</v>
      </c>
      <c r="AE59">
        <v>13.181154354676959</v>
      </c>
      <c r="AF59">
        <v>13.240738703912996</v>
      </c>
      <c r="AG59">
        <v>22.9598780659922</v>
      </c>
      <c r="AH59">
        <v>8.8753307636462662</v>
      </c>
      <c r="AI59">
        <v>2.3876737730098188</v>
      </c>
      <c r="AK59">
        <v>46.733207690511954</v>
      </c>
    </row>
    <row r="60" spans="1:37" x14ac:dyDescent="0.2">
      <c r="A60">
        <v>59</v>
      </c>
      <c r="B60">
        <v>769</v>
      </c>
      <c r="C60">
        <v>200</v>
      </c>
      <c r="D60">
        <v>0.390644820803149</v>
      </c>
      <c r="E60">
        <v>158.81936697032282</v>
      </c>
      <c r="F60">
        <v>64.702494345494003</v>
      </c>
      <c r="G60">
        <v>72.971727290156537</v>
      </c>
      <c r="H60">
        <v>68.398588368020256</v>
      </c>
      <c r="J60">
        <v>53.727210174958834</v>
      </c>
      <c r="L60">
        <v>10.060631810545113</v>
      </c>
      <c r="M60">
        <v>13.447230380059533</v>
      </c>
      <c r="N60">
        <v>2.4271862347941089</v>
      </c>
      <c r="O60">
        <v>46.20036123014377</v>
      </c>
      <c r="P60">
        <v>13.373199816753342</v>
      </c>
      <c r="R60">
        <v>20.451557440677188</v>
      </c>
      <c r="S60">
        <v>54.952993472458864</v>
      </c>
      <c r="U60">
        <v>1.4056412505532665</v>
      </c>
      <c r="V60">
        <v>47.976017900647513</v>
      </c>
      <c r="W60">
        <v>25.781315756637539</v>
      </c>
      <c r="X60">
        <v>42.96838666597931</v>
      </c>
      <c r="Y60">
        <v>11.003949598997981</v>
      </c>
      <c r="Z60">
        <v>31.969249251864607</v>
      </c>
      <c r="AA60">
        <v>9.5975170162456198</v>
      </c>
      <c r="AB60">
        <v>37.091599031145755</v>
      </c>
      <c r="AC60">
        <v>0.14873135682162245</v>
      </c>
      <c r="AD60">
        <v>8.7777197749477445</v>
      </c>
      <c r="AE60">
        <v>13.076223141602245</v>
      </c>
      <c r="AF60">
        <v>13.239646655234216</v>
      </c>
      <c r="AG60">
        <v>22.933869561804279</v>
      </c>
      <c r="AH60">
        <v>8.6934907984090533</v>
      </c>
      <c r="AI60">
        <v>2.3690466259650593</v>
      </c>
      <c r="AK60">
        <v>46.699962639561981</v>
      </c>
    </row>
    <row r="61" spans="1:37" x14ac:dyDescent="0.2">
      <c r="A61">
        <v>60</v>
      </c>
      <c r="B61">
        <v>768</v>
      </c>
      <c r="C61">
        <v>200</v>
      </c>
      <c r="D61">
        <v>0.38999231618883101</v>
      </c>
      <c r="E61">
        <v>158.70506727028629</v>
      </c>
      <c r="F61">
        <v>64.231539529421525</v>
      </c>
      <c r="G61">
        <v>72.890158815582396</v>
      </c>
      <c r="H61">
        <v>68.314440217468544</v>
      </c>
      <c r="J61">
        <v>53.697578736173313</v>
      </c>
      <c r="L61">
        <v>9.9265422929576204</v>
      </c>
      <c r="M61">
        <v>13.468012263671342</v>
      </c>
      <c r="N61">
        <v>2.4087698839304617</v>
      </c>
      <c r="O61">
        <v>45.565207184909454</v>
      </c>
      <c r="P61">
        <v>13.213015150082034</v>
      </c>
      <c r="R61">
        <v>20.283960711948989</v>
      </c>
      <c r="S61">
        <v>54.864931130056831</v>
      </c>
      <c r="U61">
        <v>1.3934888227814721</v>
      </c>
      <c r="V61">
        <v>48.033682677583748</v>
      </c>
      <c r="W61">
        <v>25.673672084433314</v>
      </c>
      <c r="X61">
        <v>42.992156767987737</v>
      </c>
      <c r="Y61">
        <v>10.85769824823973</v>
      </c>
      <c r="Z61">
        <v>31.716681965866414</v>
      </c>
      <c r="AA61">
        <v>9.4562207992883049</v>
      </c>
      <c r="AB61">
        <v>37.098594958532907</v>
      </c>
      <c r="AC61">
        <v>0.12833303112013955</v>
      </c>
      <c r="AD61">
        <v>8.6356529425408031</v>
      </c>
      <c r="AE61">
        <v>12.971504405895953</v>
      </c>
      <c r="AF61">
        <v>13.238906548121417</v>
      </c>
      <c r="AG61">
        <v>22.905552858419306</v>
      </c>
      <c r="AH61">
        <v>8.5112106233782789</v>
      </c>
      <c r="AI61">
        <v>2.3503563811734898</v>
      </c>
      <c r="AK61">
        <v>46.666730057398915</v>
      </c>
    </row>
    <row r="62" spans="1:37" x14ac:dyDescent="0.2">
      <c r="A62">
        <v>61</v>
      </c>
      <c r="B62">
        <v>767</v>
      </c>
      <c r="C62">
        <v>200</v>
      </c>
      <c r="D62">
        <v>0.38933855693890601</v>
      </c>
      <c r="E62">
        <v>158.59121899144856</v>
      </c>
      <c r="F62">
        <v>63.76134179281366</v>
      </c>
      <c r="G62">
        <v>72.808507078852401</v>
      </c>
      <c r="H62">
        <v>68.230221595945665</v>
      </c>
      <c r="J62">
        <v>53.666785130500848</v>
      </c>
      <c r="L62">
        <v>9.7917702916802742</v>
      </c>
      <c r="M62">
        <v>13.489191134784681</v>
      </c>
      <c r="N62">
        <v>2.3902943997621824</v>
      </c>
      <c r="O62">
        <v>44.929354783805067</v>
      </c>
      <c r="P62">
        <v>13.052612296907681</v>
      </c>
      <c r="R62">
        <v>20.114553242265348</v>
      </c>
      <c r="S62">
        <v>54.77243339472993</v>
      </c>
      <c r="U62">
        <v>1.3819955739401928</v>
      </c>
      <c r="V62">
        <v>48.089594752418392</v>
      </c>
      <c r="W62">
        <v>25.567006838408119</v>
      </c>
      <c r="X62">
        <v>43.018079033684678</v>
      </c>
      <c r="Y62">
        <v>10.711195205727513</v>
      </c>
      <c r="Z62">
        <v>31.464364659465303</v>
      </c>
      <c r="AA62">
        <v>9.3145545260693616</v>
      </c>
      <c r="AB62">
        <v>37.103274713656937</v>
      </c>
      <c r="AC62">
        <v>0.10787572009990089</v>
      </c>
      <c r="AD62">
        <v>8.4934519127430779</v>
      </c>
      <c r="AE62">
        <v>12.86700145434612</v>
      </c>
      <c r="AF62">
        <v>13.238504543681799</v>
      </c>
      <c r="AG62">
        <v>22.874863301074885</v>
      </c>
      <c r="AH62">
        <v>8.3285372874227619</v>
      </c>
      <c r="AI62">
        <v>2.3316061942158322</v>
      </c>
      <c r="AK62">
        <v>46.63352938960039</v>
      </c>
    </row>
    <row r="63" spans="1:37" x14ac:dyDescent="0.2">
      <c r="A63">
        <v>62</v>
      </c>
      <c r="B63">
        <v>766</v>
      </c>
      <c r="C63">
        <v>200</v>
      </c>
      <c r="D63">
        <v>0.38868353943126899</v>
      </c>
      <c r="E63">
        <v>158.47783075385567</v>
      </c>
      <c r="F63">
        <v>63.29197973022486</v>
      </c>
      <c r="G63">
        <v>72.726789218745793</v>
      </c>
      <c r="H63">
        <v>68.145949662591462</v>
      </c>
      <c r="J63">
        <v>53.634827503097824</v>
      </c>
      <c r="L63">
        <v>9.6562358820154</v>
      </c>
      <c r="M63">
        <v>13.510749183994797</v>
      </c>
      <c r="N63">
        <v>2.3717631219509054</v>
      </c>
      <c r="O63">
        <v>44.292922127424184</v>
      </c>
      <c r="P63">
        <v>12.892028896430972</v>
      </c>
      <c r="R63">
        <v>19.94340065938696</v>
      </c>
      <c r="S63">
        <v>54.675407531346593</v>
      </c>
      <c r="U63">
        <v>1.3711443114488808</v>
      </c>
      <c r="V63">
        <v>48.143725905372165</v>
      </c>
      <c r="W63">
        <v>25.461313837392197</v>
      </c>
      <c r="X63">
        <v>43.046100377046074</v>
      </c>
      <c r="Y63">
        <v>10.564475967729084</v>
      </c>
      <c r="Z63">
        <v>31.212325255623323</v>
      </c>
      <c r="AA63">
        <v>9.1726146623283995</v>
      </c>
      <c r="AB63">
        <v>37.105578617040841</v>
      </c>
      <c r="AC63">
        <v>8.7362762981909037E-2</v>
      </c>
      <c r="AD63">
        <v>8.3511389961804312</v>
      </c>
      <c r="AE63">
        <v>12.762717515674309</v>
      </c>
      <c r="AF63">
        <v>13.238426177631069</v>
      </c>
      <c r="AG63">
        <v>22.841744555666168</v>
      </c>
      <c r="AH63">
        <v>8.1455185278611424</v>
      </c>
      <c r="AI63">
        <v>2.312799402918666</v>
      </c>
      <c r="AK63">
        <v>46.60038043372905</v>
      </c>
    </row>
    <row r="64" spans="1:37" x14ac:dyDescent="0.2">
      <c r="A64">
        <v>63</v>
      </c>
      <c r="B64">
        <v>765</v>
      </c>
      <c r="C64">
        <v>200</v>
      </c>
      <c r="D64">
        <v>0.38802726002986099</v>
      </c>
      <c r="E64">
        <v>158.36491057415776</v>
      </c>
      <c r="F64">
        <v>62.823531323199319</v>
      </c>
      <c r="G64">
        <v>72.645022500489986</v>
      </c>
      <c r="H64">
        <v>68.061641703033033</v>
      </c>
      <c r="J64">
        <v>53.601708519153327</v>
      </c>
      <c r="L64">
        <v>9.520119006758323</v>
      </c>
      <c r="M64">
        <v>13.532667913582019</v>
      </c>
      <c r="N64">
        <v>2.3531795489363074</v>
      </c>
      <c r="O64">
        <v>43.656028917072504</v>
      </c>
      <c r="P64">
        <v>12.731302999590071</v>
      </c>
      <c r="R64">
        <v>19.770571248553672</v>
      </c>
      <c r="S64">
        <v>54.5737767444122</v>
      </c>
      <c r="U64">
        <v>1.3609167636189394</v>
      </c>
      <c r="V64">
        <v>48.196053227474053</v>
      </c>
      <c r="W64">
        <v>25.35658516128245</v>
      </c>
      <c r="X64">
        <v>43.076164372989389</v>
      </c>
      <c r="Y64">
        <v>10.417576437046844</v>
      </c>
      <c r="Z64">
        <v>30.96059161741799</v>
      </c>
      <c r="AA64">
        <v>9.0302969483084592</v>
      </c>
      <c r="AB64">
        <v>37.105455242222249</v>
      </c>
      <c r="AC64">
        <v>6.6797657765209073E-2</v>
      </c>
      <c r="AD64">
        <v>8.2087365955440426</v>
      </c>
      <c r="AE64">
        <v>12.658655715383711</v>
      </c>
      <c r="AF64">
        <v>13.238656456167046</v>
      </c>
      <c r="AG64">
        <v>22.806148699900657</v>
      </c>
      <c r="AH64">
        <v>7.9622024987560982</v>
      </c>
      <c r="AI64">
        <v>2.2939395038871964</v>
      </c>
      <c r="AK64">
        <v>46.567303215129435</v>
      </c>
    </row>
    <row r="65" spans="1:37" x14ac:dyDescent="0.2">
      <c r="A65">
        <v>64</v>
      </c>
      <c r="B65">
        <v>764</v>
      </c>
      <c r="C65">
        <v>200</v>
      </c>
      <c r="D65">
        <v>0.38736971508460899</v>
      </c>
      <c r="E65">
        <v>158.25246583452497</v>
      </c>
      <c r="F65">
        <v>62.356073503574976</v>
      </c>
      <c r="G65">
        <v>72.563224214900202</v>
      </c>
      <c r="H65">
        <v>67.97731502852487</v>
      </c>
      <c r="J65">
        <v>53.567435203362109</v>
      </c>
      <c r="L65">
        <v>9.383326269238383</v>
      </c>
      <c r="M65">
        <v>13.554928259017489</v>
      </c>
      <c r="N65">
        <v>2.3345473137543182</v>
      </c>
      <c r="O65">
        <v>43.018795723524455</v>
      </c>
      <c r="P65">
        <v>12.57047284315343</v>
      </c>
      <c r="R65">
        <v>19.596135494462672</v>
      </c>
      <c r="S65">
        <v>54.467480097196059</v>
      </c>
      <c r="U65">
        <v>1.3512937094128672</v>
      </c>
      <c r="V65">
        <v>48.246559043129487</v>
      </c>
      <c r="W65">
        <v>25.252811242011258</v>
      </c>
      <c r="X65">
        <v>43.108211662190087</v>
      </c>
      <c r="Y65">
        <v>10.270532709826364</v>
      </c>
      <c r="Z65">
        <v>30.709191379445944</v>
      </c>
      <c r="AA65">
        <v>8.8877052204998321</v>
      </c>
      <c r="AB65">
        <v>37.102861437713798</v>
      </c>
      <c r="AC65">
        <v>4.6184037044865074E-2</v>
      </c>
      <c r="AD65">
        <v>8.0662670850423659</v>
      </c>
      <c r="AE65">
        <v>12.55481905217772</v>
      </c>
      <c r="AF65">
        <v>13.239179953278441</v>
      </c>
      <c r="AG65">
        <v>22.768036221074698</v>
      </c>
      <c r="AH65">
        <v>7.7786375037091879</v>
      </c>
      <c r="AI65">
        <v>2.2750301283213652</v>
      </c>
      <c r="AK65">
        <v>46.534317864763679</v>
      </c>
    </row>
    <row r="66" spans="1:37" x14ac:dyDescent="0.2">
      <c r="A66">
        <v>65</v>
      </c>
      <c r="B66">
        <v>763</v>
      </c>
      <c r="C66">
        <v>200</v>
      </c>
      <c r="D66">
        <v>0.38671090093133698</v>
      </c>
      <c r="E66">
        <v>158.14050325813125</v>
      </c>
      <c r="F66">
        <v>61.889681741860848</v>
      </c>
      <c r="G66">
        <v>72.481411581072877</v>
      </c>
      <c r="H66">
        <v>67.892986878642745</v>
      </c>
      <c r="J66">
        <v>53.532018740115454</v>
      </c>
      <c r="L66">
        <v>9.245977292398937</v>
      </c>
      <c r="M66">
        <v>13.577510710776858</v>
      </c>
      <c r="N66">
        <v>2.3158701594752311</v>
      </c>
      <c r="O66">
        <v>42.381343275211179</v>
      </c>
      <c r="P66">
        <v>12.409576630551642</v>
      </c>
      <c r="R66">
        <v>19.420165621347245</v>
      </c>
      <c r="S66">
        <v>54.356472267189993</v>
      </c>
      <c r="U66">
        <v>1.3422551116216643</v>
      </c>
      <c r="V66">
        <v>48.295230783076335</v>
      </c>
      <c r="W66">
        <v>25.149980966217058</v>
      </c>
      <c r="X66">
        <v>43.142180367097446</v>
      </c>
      <c r="Y66">
        <v>10.123380868582339</v>
      </c>
      <c r="Z66">
        <v>30.458151787497879</v>
      </c>
      <c r="AA66">
        <v>8.7448721037267685</v>
      </c>
      <c r="AB66">
        <v>37.097762261956305</v>
      </c>
      <c r="AC66">
        <v>2.5525643449724324E-2</v>
      </c>
      <c r="AD66">
        <v>7.9237526941265548</v>
      </c>
      <c r="AE66">
        <v>12.451210376398178</v>
      </c>
      <c r="AF66">
        <v>13.239980908011251</v>
      </c>
      <c r="AG66">
        <v>22.727375926463456</v>
      </c>
      <c r="AH66">
        <v>7.5948717368608563</v>
      </c>
      <c r="AI66">
        <v>2.2560750174557143</v>
      </c>
      <c r="AK66">
        <v>46.501444500461353</v>
      </c>
    </row>
    <row r="67" spans="1:37" x14ac:dyDescent="0.2">
      <c r="A67">
        <v>66</v>
      </c>
      <c r="B67">
        <v>762</v>
      </c>
      <c r="C67">
        <v>200</v>
      </c>
      <c r="D67">
        <v>0.38605081389170998</v>
      </c>
      <c r="E67">
        <v>158.02902889172853</v>
      </c>
      <c r="F67">
        <v>61.424429666304647</v>
      </c>
      <c r="G67">
        <v>72.399601653963131</v>
      </c>
      <c r="H67">
        <v>67.80867432885924</v>
      </c>
      <c r="J67">
        <v>53.495474240425914</v>
      </c>
      <c r="L67">
        <v>9.108118174984007</v>
      </c>
      <c r="M67">
        <v>13.60039543508606</v>
      </c>
      <c r="N67">
        <v>2.2971519146539263</v>
      </c>
      <c r="O67">
        <v>41.743791775175183</v>
      </c>
      <c r="P67">
        <v>12.248652322472362</v>
      </c>
      <c r="R67">
        <v>19.24273513900949</v>
      </c>
      <c r="S67">
        <v>54.240723153275745</v>
      </c>
      <c r="U67">
        <v>1.333780251589082</v>
      </c>
      <c r="V67">
        <v>48.342060813820495</v>
      </c>
      <c r="W67">
        <v>25.048081787886623</v>
      </c>
      <c r="X67">
        <v>43.178006509504783</v>
      </c>
      <c r="Y67">
        <v>9.9761567843020593</v>
      </c>
      <c r="Z67">
        <v>30.207499547873152</v>
      </c>
      <c r="AA67">
        <v>8.6018303103639777</v>
      </c>
      <c r="AB67">
        <v>37.090130837578862</v>
      </c>
      <c r="AC67">
        <v>4.8263050935690296E-3</v>
      </c>
      <c r="AD67">
        <v>7.7812153967822244</v>
      </c>
      <c r="AE67">
        <v>12.347832370330003</v>
      </c>
      <c r="AF67">
        <v>13.241043320656219</v>
      </c>
      <c r="AG67">
        <v>22.684144773035136</v>
      </c>
      <c r="AH67">
        <v>7.4109530343844705</v>
      </c>
      <c r="AI67">
        <v>2.2370779980085551</v>
      </c>
      <c r="AK67">
        <v>46.468703113611916</v>
      </c>
    </row>
    <row r="68" spans="1:37" x14ac:dyDescent="0.2">
      <c r="A68">
        <v>67</v>
      </c>
      <c r="B68">
        <v>761</v>
      </c>
      <c r="C68">
        <v>200</v>
      </c>
      <c r="D68">
        <v>0.38538945027317301</v>
      </c>
      <c r="E68">
        <v>157.8263463284575</v>
      </c>
      <c r="F68">
        <v>60.467662815913243</v>
      </c>
      <c r="G68">
        <v>72.238200901008383</v>
      </c>
      <c r="H68">
        <v>67.644783867169807</v>
      </c>
      <c r="J68">
        <v>53.314579402048956</v>
      </c>
      <c r="L68">
        <v>8.8481662748775083</v>
      </c>
      <c r="M68">
        <v>13.616133348137446</v>
      </c>
      <c r="N68">
        <v>2.294087084512197</v>
      </c>
      <c r="O68">
        <v>40.65500526946289</v>
      </c>
      <c r="P68">
        <v>11.944207381300936</v>
      </c>
      <c r="R68">
        <v>18.906012124511285</v>
      </c>
      <c r="S68">
        <v>53.961010003077753</v>
      </c>
      <c r="U68">
        <v>1.3094347148603764</v>
      </c>
      <c r="V68">
        <v>48.397410622992254</v>
      </c>
      <c r="W68">
        <v>24.837262937915455</v>
      </c>
      <c r="X68">
        <v>43.151658146380484</v>
      </c>
      <c r="Y68">
        <v>9.6823770865243262</v>
      </c>
      <c r="Z68">
        <v>29.679992624134762</v>
      </c>
      <c r="AA68">
        <v>8.3329193245987554</v>
      </c>
      <c r="AB68">
        <v>37.042201827801371</v>
      </c>
      <c r="AD68">
        <v>7.468473503800154</v>
      </c>
      <c r="AE68">
        <v>12.142814943345037</v>
      </c>
      <c r="AF68">
        <v>13.25061261815082</v>
      </c>
      <c r="AG68">
        <v>22.616271935033438</v>
      </c>
      <c r="AH68">
        <v>6.9930169692792497</v>
      </c>
      <c r="AI68">
        <v>2.2337335733654617</v>
      </c>
      <c r="AK68">
        <v>46.319245861507156</v>
      </c>
    </row>
    <row r="69" spans="1:37" x14ac:dyDescent="0.2">
      <c r="A69">
        <v>68</v>
      </c>
      <c r="B69">
        <v>760</v>
      </c>
      <c r="C69">
        <v>200</v>
      </c>
      <c r="D69">
        <v>0.38472680636887402</v>
      </c>
      <c r="E69">
        <v>157.59154068508423</v>
      </c>
      <c r="F69">
        <v>59.327679360522808</v>
      </c>
      <c r="G69">
        <v>72.046405616557294</v>
      </c>
      <c r="H69">
        <v>67.450511808521185</v>
      </c>
      <c r="J69">
        <v>53.070658539389811</v>
      </c>
      <c r="L69">
        <v>8.5389799743736692</v>
      </c>
      <c r="M69">
        <v>13.631587701391501</v>
      </c>
      <c r="N69">
        <v>2.2960606187338368</v>
      </c>
      <c r="O69">
        <v>39.38978347902551</v>
      </c>
      <c r="P69">
        <v>11.584019367765265</v>
      </c>
      <c r="R69">
        <v>18.501046873087812</v>
      </c>
      <c r="S69">
        <v>53.592670950547245</v>
      </c>
      <c r="U69">
        <v>1.2829348344901543</v>
      </c>
      <c r="V69">
        <v>48.446995785897215</v>
      </c>
      <c r="W69">
        <v>24.593811198776994</v>
      </c>
      <c r="X69">
        <v>43.114048070368611</v>
      </c>
      <c r="Y69">
        <v>9.331896166965377</v>
      </c>
      <c r="Z69">
        <v>29.048331894381082</v>
      </c>
      <c r="AA69">
        <v>8.0143814140043101</v>
      </c>
      <c r="AB69">
        <v>36.964795735837498</v>
      </c>
      <c r="AD69">
        <v>7.090995283953748</v>
      </c>
      <c r="AE69">
        <v>11.899927218645818</v>
      </c>
      <c r="AF69">
        <v>13.264937007174989</v>
      </c>
      <c r="AG69">
        <v>22.523962871176249</v>
      </c>
      <c r="AH69">
        <v>6.485348531383119</v>
      </c>
      <c r="AI69">
        <v>2.2354266913722625</v>
      </c>
      <c r="AK69">
        <v>46.12493745779912</v>
      </c>
    </row>
    <row r="70" spans="1:37" x14ac:dyDescent="0.2">
      <c r="A70">
        <v>69</v>
      </c>
      <c r="B70">
        <v>759</v>
      </c>
      <c r="C70">
        <v>200</v>
      </c>
      <c r="D70">
        <v>0.38406287845759102</v>
      </c>
      <c r="E70">
        <v>157.35295701214801</v>
      </c>
      <c r="F70">
        <v>58.153775098049238</v>
      </c>
      <c r="G70">
        <v>71.848313764992469</v>
      </c>
      <c r="H70">
        <v>67.249956137933609</v>
      </c>
      <c r="J70">
        <v>52.804225553859695</v>
      </c>
      <c r="L70">
        <v>8.2166728541847363</v>
      </c>
      <c r="M70">
        <v>13.649451637716568</v>
      </c>
      <c r="N70">
        <v>2.2980333459166187</v>
      </c>
      <c r="O70">
        <v>38.083078436043095</v>
      </c>
      <c r="P70">
        <v>11.211245061642375</v>
      </c>
      <c r="R70">
        <v>18.074031012861543</v>
      </c>
      <c r="S70">
        <v>53.175890634536358</v>
      </c>
      <c r="U70">
        <v>1.2600666832985665</v>
      </c>
      <c r="V70">
        <v>48.485284307566502</v>
      </c>
      <c r="W70">
        <v>24.353470828494231</v>
      </c>
      <c r="X70">
        <v>43.087232820073673</v>
      </c>
      <c r="Y70">
        <v>8.9688179931445102</v>
      </c>
      <c r="Z70">
        <v>28.395666079685075</v>
      </c>
      <c r="AA70">
        <v>7.6838543903854877</v>
      </c>
      <c r="AB70">
        <v>36.864696123071788</v>
      </c>
      <c r="AD70">
        <v>6.6998449732923033</v>
      </c>
      <c r="AE70">
        <v>11.649559311922413</v>
      </c>
      <c r="AF70">
        <v>13.281670464744019</v>
      </c>
      <c r="AG70">
        <v>22.408961977284459</v>
      </c>
      <c r="AH70">
        <v>5.9585657711758708</v>
      </c>
      <c r="AI70">
        <v>2.2371181787901633</v>
      </c>
      <c r="AK70">
        <v>45.920655530005831</v>
      </c>
    </row>
    <row r="71" spans="1:37" x14ac:dyDescent="0.2">
      <c r="A71">
        <v>70</v>
      </c>
      <c r="B71">
        <v>758</v>
      </c>
      <c r="C71">
        <v>200</v>
      </c>
      <c r="D71">
        <v>0.383397662803666</v>
      </c>
      <c r="E71">
        <v>157.10954886111097</v>
      </c>
      <c r="F71">
        <v>56.937709591186525</v>
      </c>
      <c r="G71">
        <v>71.642691707042246</v>
      </c>
      <c r="H71">
        <v>67.041883236811699</v>
      </c>
      <c r="J71">
        <v>52.510436166533907</v>
      </c>
      <c r="L71">
        <v>7.8790372671465194</v>
      </c>
      <c r="M71">
        <v>13.669772140574945</v>
      </c>
      <c r="N71">
        <v>2.300005165643364</v>
      </c>
      <c r="O71">
        <v>36.726279025388529</v>
      </c>
      <c r="P71">
        <v>10.823417106438564</v>
      </c>
      <c r="R71">
        <v>17.62141326447912</v>
      </c>
      <c r="S71">
        <v>52.701629889438408</v>
      </c>
      <c r="U71">
        <v>1.2410403235876595</v>
      </c>
      <c r="V71">
        <v>48.510653592614517</v>
      </c>
      <c r="W71">
        <v>24.116486934746266</v>
      </c>
      <c r="X71">
        <v>43.071834477847979</v>
      </c>
      <c r="Y71">
        <v>8.5906452606611925</v>
      </c>
      <c r="Z71">
        <v>27.716191836413174</v>
      </c>
      <c r="AA71">
        <v>7.338976863388976</v>
      </c>
      <c r="AB71">
        <v>36.737274545034936</v>
      </c>
      <c r="AD71">
        <v>6.2916137982021141</v>
      </c>
      <c r="AE71">
        <v>11.389264770688264</v>
      </c>
      <c r="AF71">
        <v>13.300859879460811</v>
      </c>
      <c r="AG71">
        <v>22.266640714328563</v>
      </c>
      <c r="AH71">
        <v>5.4088112578812826</v>
      </c>
      <c r="AI71">
        <v>2.2388079333642521</v>
      </c>
      <c r="AK71">
        <v>45.703897987180525</v>
      </c>
    </row>
    <row r="72" spans="1:37" x14ac:dyDescent="0.2">
      <c r="A72">
        <v>71</v>
      </c>
      <c r="B72">
        <v>757</v>
      </c>
      <c r="C72">
        <v>200</v>
      </c>
      <c r="D72">
        <v>0.38273115565694399</v>
      </c>
      <c r="E72">
        <v>156.85977417917726</v>
      </c>
      <c r="F72">
        <v>55.667334163751832</v>
      </c>
      <c r="G72">
        <v>71.427726497977261</v>
      </c>
      <c r="H72">
        <v>66.824480181145233</v>
      </c>
      <c r="J72">
        <v>52.182352223131311</v>
      </c>
      <c r="L72">
        <v>7.5224192096030205</v>
      </c>
      <c r="M72">
        <v>13.69257723212249</v>
      </c>
      <c r="N72">
        <v>2.3019759405569147</v>
      </c>
      <c r="O72">
        <v>35.306734972610663</v>
      </c>
      <c r="P72">
        <v>10.416909497878439</v>
      </c>
      <c r="R72">
        <v>17.137891097868351</v>
      </c>
      <c r="S72">
        <v>52.15738981256353</v>
      </c>
      <c r="U72">
        <v>1.2261399560794013</v>
      </c>
      <c r="V72">
        <v>48.520914259439913</v>
      </c>
      <c r="W72">
        <v>23.883156945769908</v>
      </c>
      <c r="X72">
        <v>43.068689844057097</v>
      </c>
      <c r="Y72">
        <v>8.1937089315047604</v>
      </c>
      <c r="Z72">
        <v>27.001321501779774</v>
      </c>
      <c r="AA72">
        <v>6.9760947619933864</v>
      </c>
      <c r="AB72">
        <v>36.576121978737952</v>
      </c>
      <c r="AD72">
        <v>5.8612626008917239</v>
      </c>
      <c r="AE72">
        <v>11.115418102241245</v>
      </c>
      <c r="AF72">
        <v>13.322533141699079</v>
      </c>
      <c r="AG72">
        <v>22.090589927838014</v>
      </c>
      <c r="AH72">
        <v>4.8304076025593758</v>
      </c>
      <c r="AI72">
        <v>2.2404958158990578</v>
      </c>
      <c r="AK72">
        <v>45.470967346436488</v>
      </c>
    </row>
    <row r="73" spans="1:37" x14ac:dyDescent="0.2">
      <c r="A73">
        <v>72</v>
      </c>
      <c r="B73">
        <v>756</v>
      </c>
      <c r="C73">
        <v>200</v>
      </c>
      <c r="D73">
        <v>0.38206335325268598</v>
      </c>
      <c r="E73">
        <v>156.60123385900704</v>
      </c>
      <c r="F73">
        <v>54.323746354844332</v>
      </c>
      <c r="G73">
        <v>71.200606462402973</v>
      </c>
      <c r="H73">
        <v>66.59493531629559</v>
      </c>
      <c r="J73">
        <v>51.809403175720448</v>
      </c>
      <c r="L73">
        <v>7.1414501903410459</v>
      </c>
      <c r="M73">
        <v>13.717850675885634</v>
      </c>
      <c r="N73">
        <v>2.303945471497082</v>
      </c>
      <c r="O73">
        <v>33.804830344161907</v>
      </c>
      <c r="P73">
        <v>9.9860987086053417</v>
      </c>
      <c r="R73">
        <v>16.615116409320414</v>
      </c>
      <c r="S73">
        <v>51.524643668933287</v>
      </c>
      <c r="U73">
        <v>1.2157693390121809</v>
      </c>
      <c r="V73">
        <v>48.512872000274491</v>
      </c>
      <c r="W73">
        <v>23.653869424942648</v>
      </c>
      <c r="X73">
        <v>43.078980444706488</v>
      </c>
      <c r="Y73">
        <v>7.7723196271854036</v>
      </c>
      <c r="Z73">
        <v>26.237647068362008</v>
      </c>
      <c r="AA73">
        <v>6.589787025958227</v>
      </c>
      <c r="AB73">
        <v>36.371727765845442</v>
      </c>
      <c r="AD73">
        <v>5.4009309213008949</v>
      </c>
      <c r="AE73">
        <v>10.822350453753266</v>
      </c>
      <c r="AF73">
        <v>13.346673821411253</v>
      </c>
      <c r="AG73">
        <v>21.87129876621167</v>
      </c>
      <c r="AH73">
        <v>4.2145355655190837</v>
      </c>
      <c r="AI73">
        <v>2.2421816253961921</v>
      </c>
      <c r="AK73">
        <v>45.216097307992314</v>
      </c>
    </row>
    <row r="74" spans="1:37" x14ac:dyDescent="0.2">
      <c r="A74">
        <v>73</v>
      </c>
      <c r="B74">
        <v>755</v>
      </c>
      <c r="C74">
        <v>200</v>
      </c>
      <c r="D74">
        <v>0.38139425181150599</v>
      </c>
      <c r="E74">
        <v>156.32992931854133</v>
      </c>
      <c r="F74">
        <v>52.875445590270829</v>
      </c>
      <c r="G74">
        <v>70.956666020737842</v>
      </c>
      <c r="H74">
        <v>66.348583083481884</v>
      </c>
      <c r="J74">
        <v>51.374226052589336</v>
      </c>
      <c r="L74">
        <v>6.7270515910332982</v>
      </c>
      <c r="M74">
        <v>13.745460881152725</v>
      </c>
      <c r="N74">
        <v>2.3059134480204073</v>
      </c>
      <c r="O74">
        <v>32.18800422378753</v>
      </c>
      <c r="P74">
        <v>9.5216532916761647</v>
      </c>
      <c r="R74">
        <v>16.039042879039748</v>
      </c>
      <c r="S74">
        <v>50.773586745130963</v>
      </c>
      <c r="U74">
        <v>1.2105294354343286</v>
      </c>
      <c r="V74">
        <v>48.481434407849797</v>
      </c>
      <c r="W74">
        <v>23.429186954809818</v>
      </c>
      <c r="X74">
        <v>43.104452524347167</v>
      </c>
      <c r="Y74">
        <v>7.3170360997066286</v>
      </c>
      <c r="Z74">
        <v>25.402731515378765</v>
      </c>
      <c r="AA74">
        <v>6.171006417188095</v>
      </c>
      <c r="AB74">
        <v>36.108767498800141</v>
      </c>
      <c r="AD74">
        <v>4.897479320053578</v>
      </c>
      <c r="AE74">
        <v>10.500555743546235</v>
      </c>
      <c r="AF74">
        <v>13.373150023039354</v>
      </c>
      <c r="AG74">
        <v>21.593442517362831</v>
      </c>
      <c r="AH74">
        <v>3.5465289782411649</v>
      </c>
      <c r="AI74">
        <v>2.2438650495731847</v>
      </c>
      <c r="AK74">
        <v>44.929652166612591</v>
      </c>
    </row>
    <row r="75" spans="1:37" x14ac:dyDescent="0.2">
      <c r="A75">
        <v>74</v>
      </c>
      <c r="B75">
        <v>754</v>
      </c>
      <c r="C75">
        <v>200</v>
      </c>
      <c r="D75">
        <v>0.38072384753930699</v>
      </c>
      <c r="E75">
        <v>156.03855492144686</v>
      </c>
      <c r="F75">
        <v>51.264888789894208</v>
      </c>
      <c r="G75">
        <v>70.68743522736338</v>
      </c>
      <c r="H75">
        <v>66.076953557922053</v>
      </c>
      <c r="J75">
        <v>50.845408712035393</v>
      </c>
      <c r="L75">
        <v>6.2626823080189791</v>
      </c>
      <c r="M75">
        <v>13.774945659796076</v>
      </c>
      <c r="N75">
        <v>2.3078793400143565</v>
      </c>
      <c r="O75">
        <v>30.397079917571574</v>
      </c>
      <c r="P75">
        <v>9.0066328484602209</v>
      </c>
      <c r="R75">
        <v>15.383836983320357</v>
      </c>
      <c r="S75">
        <v>49.851180669528226</v>
      </c>
      <c r="U75">
        <v>1.2113553615101451</v>
      </c>
      <c r="V75">
        <v>48.417587098373218</v>
      </c>
      <c r="W75">
        <v>23.210042974154117</v>
      </c>
      <c r="X75">
        <v>43.147797777025566</v>
      </c>
      <c r="Y75">
        <v>6.8107124830212697</v>
      </c>
      <c r="Z75">
        <v>24.45535210640033</v>
      </c>
      <c r="AA75">
        <v>5.7031093394607595</v>
      </c>
      <c r="AB75">
        <v>35.759894447896237</v>
      </c>
      <c r="AD75">
        <v>4.3268027522623926</v>
      </c>
      <c r="AE75">
        <v>10.132513029911216</v>
      </c>
      <c r="AF75">
        <v>13.40149903395508</v>
      </c>
      <c r="AG75">
        <v>21.229673927404747</v>
      </c>
      <c r="AH75">
        <v>2.7996771189661742</v>
      </c>
      <c r="AI75">
        <v>2.2455455564795352</v>
      </c>
      <c r="AK75">
        <v>44.593965997520058</v>
      </c>
    </row>
    <row r="76" spans="1:37" x14ac:dyDescent="0.2">
      <c r="A76">
        <v>75</v>
      </c>
      <c r="B76">
        <v>753</v>
      </c>
      <c r="C76">
        <v>200</v>
      </c>
      <c r="D76">
        <v>0.380052136627202</v>
      </c>
      <c r="E76">
        <v>155.71198529335709</v>
      </c>
      <c r="F76">
        <v>49.372933487613601</v>
      </c>
      <c r="G76">
        <v>70.375538859235391</v>
      </c>
      <c r="H76">
        <v>65.762671537451709</v>
      </c>
      <c r="J76">
        <v>50.15836291369228</v>
      </c>
      <c r="L76">
        <v>5.7143748333312905</v>
      </c>
      <c r="M76">
        <v>13.804765707325258</v>
      </c>
      <c r="N76">
        <v>2.3098421301638483</v>
      </c>
      <c r="O76">
        <v>28.310396988159038</v>
      </c>
      <c r="P76">
        <v>8.4062859383435207</v>
      </c>
      <c r="R76">
        <v>14.595817532330685</v>
      </c>
      <c r="S76">
        <v>48.650063652355229</v>
      </c>
      <c r="U76">
        <v>1.2197381221044132</v>
      </c>
      <c r="V76">
        <v>48.303174408706063</v>
      </c>
      <c r="W76">
        <v>22.998284852232029</v>
      </c>
      <c r="X76">
        <v>43.213237952030688</v>
      </c>
      <c r="Y76">
        <v>6.2181482825132663</v>
      </c>
      <c r="Z76">
        <v>23.309426094752968</v>
      </c>
      <c r="AA76">
        <v>5.1521681074301595</v>
      </c>
      <c r="AB76">
        <v>35.269474117496358</v>
      </c>
      <c r="AD76">
        <v>3.6386686911844297</v>
      </c>
      <c r="AE76">
        <v>9.6814582678001706</v>
      </c>
      <c r="AF76">
        <v>13.430180537974849</v>
      </c>
      <c r="AG76">
        <v>20.724357489335883</v>
      </c>
      <c r="AH76">
        <v>1.9189133197410988</v>
      </c>
      <c r="AI76">
        <v>2.2472221269602195</v>
      </c>
      <c r="AK76">
        <v>44.172270526655169</v>
      </c>
    </row>
    <row r="77" spans="1:37" x14ac:dyDescent="0.2">
      <c r="A77">
        <v>76</v>
      </c>
      <c r="B77">
        <v>752</v>
      </c>
      <c r="C77">
        <v>200</v>
      </c>
      <c r="D77">
        <v>0.37937911525142798</v>
      </c>
      <c r="E77">
        <v>155.44987619681262</v>
      </c>
      <c r="F77">
        <v>46.411986414618234</v>
      </c>
      <c r="G77">
        <v>70.082753496754023</v>
      </c>
      <c r="H77">
        <v>65.467513623391312</v>
      </c>
      <c r="J77">
        <v>43.803781138202929</v>
      </c>
      <c r="L77">
        <v>4.3729374838310537</v>
      </c>
      <c r="M77">
        <v>13.740192139021884</v>
      </c>
      <c r="N77">
        <v>2.3118118898290398</v>
      </c>
      <c r="O77">
        <v>21.380575191105159</v>
      </c>
      <c r="P77">
        <v>7.84417581633297</v>
      </c>
      <c r="R77">
        <v>12.835192343780154</v>
      </c>
      <c r="S77">
        <v>44.953984938394015</v>
      </c>
      <c r="U77">
        <v>1.2269622238882498</v>
      </c>
      <c r="V77">
        <v>48.026011141728198</v>
      </c>
      <c r="W77">
        <v>22.808450833417474</v>
      </c>
      <c r="X77">
        <v>43.271834567390727</v>
      </c>
      <c r="Y77">
        <v>5.0932550726632444</v>
      </c>
      <c r="Z77">
        <v>19.954695271993529</v>
      </c>
      <c r="AA77">
        <v>3.5904185910453381</v>
      </c>
      <c r="AB77">
        <v>33.381855666494765</v>
      </c>
      <c r="AD77">
        <v>1.7755987251659606</v>
      </c>
      <c r="AE77">
        <v>7.9751367478533757</v>
      </c>
      <c r="AF77">
        <v>13.364475727378776</v>
      </c>
      <c r="AG77">
        <v>18.821852439380315</v>
      </c>
      <c r="AI77">
        <v>2.2489048305366146</v>
      </c>
      <c r="AK77">
        <v>40.019489491295239</v>
      </c>
    </row>
    <row r="78" spans="1:37" x14ac:dyDescent="0.2">
      <c r="A78">
        <v>77</v>
      </c>
      <c r="B78">
        <v>751</v>
      </c>
      <c r="C78">
        <v>200</v>
      </c>
      <c r="D78">
        <v>0.378704779573308</v>
      </c>
      <c r="E78">
        <v>155.61789446638039</v>
      </c>
      <c r="F78">
        <v>46.130537424746578</v>
      </c>
      <c r="G78">
        <v>70.196831317484538</v>
      </c>
      <c r="H78">
        <v>65.579232014266935</v>
      </c>
      <c r="J78">
        <v>36.522970063211687</v>
      </c>
      <c r="L78">
        <v>3.2037894781459109</v>
      </c>
      <c r="M78">
        <v>13.600531252229651</v>
      </c>
      <c r="N78">
        <v>2.3138060486778058</v>
      </c>
      <c r="O78">
        <v>14.357074855293289</v>
      </c>
      <c r="P78">
        <v>8.0958242901410493</v>
      </c>
      <c r="R78">
        <v>11.55197982309779</v>
      </c>
      <c r="S78">
        <v>41.490984635073772</v>
      </c>
      <c r="U78">
        <v>1.2201671237140921</v>
      </c>
      <c r="V78">
        <v>47.950197255222754</v>
      </c>
      <c r="W78">
        <v>22.57818114379933</v>
      </c>
      <c r="X78">
        <v>43.289370629124122</v>
      </c>
      <c r="Y78">
        <v>4.2883051538701151</v>
      </c>
      <c r="Z78">
        <v>18.103145119995371</v>
      </c>
      <c r="AA78">
        <v>2.1230879766822182</v>
      </c>
      <c r="AB78">
        <v>32.247574027303678</v>
      </c>
      <c r="AD78">
        <v>0.72425944701443556</v>
      </c>
      <c r="AE78">
        <v>6.8674132310912377</v>
      </c>
      <c r="AF78">
        <v>13.223708334826547</v>
      </c>
      <c r="AG78">
        <v>17.672711145607821</v>
      </c>
      <c r="AI78">
        <v>2.2506110950369993</v>
      </c>
      <c r="AK78">
        <v>35.197598206089985</v>
      </c>
    </row>
    <row r="79" spans="1:37" x14ac:dyDescent="0.2">
      <c r="A79">
        <v>78</v>
      </c>
      <c r="B79">
        <v>750</v>
      </c>
      <c r="C79">
        <v>200</v>
      </c>
      <c r="D79">
        <v>0.37802912573913899</v>
      </c>
      <c r="E79">
        <v>155.73012027470841</v>
      </c>
      <c r="F79">
        <v>46.140925874848527</v>
      </c>
      <c r="G79">
        <v>70.256487585521114</v>
      </c>
      <c r="H79">
        <v>65.636541995174056</v>
      </c>
      <c r="J79">
        <v>31.889750317806175</v>
      </c>
      <c r="L79">
        <v>2.2545450475029685</v>
      </c>
      <c r="M79">
        <v>13.445250419269378</v>
      </c>
      <c r="N79">
        <v>2.3157967478803214</v>
      </c>
      <c r="O79">
        <v>9.2693937237442281</v>
      </c>
      <c r="P79">
        <v>8.2386340521027428</v>
      </c>
      <c r="R79">
        <v>10.49326849856396</v>
      </c>
      <c r="S79">
        <v>38.881425827835642</v>
      </c>
      <c r="U79">
        <v>1.2042128071058846</v>
      </c>
      <c r="V79">
        <v>47.975775977268938</v>
      </c>
      <c r="W79">
        <v>22.338893932296372</v>
      </c>
      <c r="X79">
        <v>43.280797872419484</v>
      </c>
      <c r="Y79">
        <v>3.5358749279210842</v>
      </c>
      <c r="Z79">
        <v>17.197093330952708</v>
      </c>
      <c r="AA79">
        <v>1.0120225259410509</v>
      </c>
      <c r="AB79">
        <v>31.782728992274105</v>
      </c>
      <c r="AD79">
        <v>0.13374845252562689</v>
      </c>
      <c r="AE79">
        <v>6.3263766226827993</v>
      </c>
      <c r="AF79">
        <v>13.067317879469748</v>
      </c>
      <c r="AG79">
        <v>17.193005547545919</v>
      </c>
      <c r="AI79">
        <v>2.2523130597914891</v>
      </c>
      <c r="AK79">
        <v>32.106482810777798</v>
      </c>
    </row>
    <row r="80" spans="1:37" x14ac:dyDescent="0.2">
      <c r="A80">
        <v>79</v>
      </c>
      <c r="B80">
        <v>749</v>
      </c>
      <c r="C80">
        <v>200</v>
      </c>
      <c r="D80">
        <v>0.37735214988015597</v>
      </c>
      <c r="E80">
        <v>155.75626085038485</v>
      </c>
      <c r="F80">
        <v>46.59700628375905</v>
      </c>
      <c r="G80">
        <v>70.22336797390291</v>
      </c>
      <c r="H80">
        <v>65.601089260194158</v>
      </c>
      <c r="J80">
        <v>28.383437229507138</v>
      </c>
      <c r="L80">
        <v>1.3764798568991101</v>
      </c>
      <c r="M80">
        <v>13.271440718594999</v>
      </c>
      <c r="N80">
        <v>2.3177812188715015</v>
      </c>
      <c r="O80">
        <v>5.0329699345311907</v>
      </c>
      <c r="P80">
        <v>8.1958937027711176</v>
      </c>
      <c r="R80">
        <v>9.4253937585970942</v>
      </c>
      <c r="S80">
        <v>36.649437627796459</v>
      </c>
      <c r="U80">
        <v>1.185631207988451</v>
      </c>
      <c r="V80">
        <v>48.042191201773562</v>
      </c>
      <c r="W80">
        <v>22.08299374105345</v>
      </c>
      <c r="X80">
        <v>43.26491270576836</v>
      </c>
      <c r="Y80">
        <v>2.7387504184880656</v>
      </c>
      <c r="Z80">
        <v>17.813359542255117</v>
      </c>
      <c r="AA80">
        <v>3.7443293333388285E-2</v>
      </c>
      <c r="AB80">
        <v>32.257120323008699</v>
      </c>
      <c r="AE80">
        <v>6.6815354704231851</v>
      </c>
      <c r="AF80">
        <v>12.892392676873511</v>
      </c>
      <c r="AG80">
        <v>17.65253264426028</v>
      </c>
      <c r="AI80">
        <v>2.2540079543957527</v>
      </c>
      <c r="AK80">
        <v>29.752257438291057</v>
      </c>
    </row>
    <row r="81" spans="1:37" x14ac:dyDescent="0.2">
      <c r="A81">
        <v>80</v>
      </c>
      <c r="B81">
        <v>748</v>
      </c>
      <c r="C81">
        <v>200</v>
      </c>
      <c r="D81">
        <v>0.37667384811242399</v>
      </c>
      <c r="E81">
        <v>155.81266106216123</v>
      </c>
      <c r="F81">
        <v>46.848063787514015</v>
      </c>
      <c r="G81">
        <v>70.194065079886528</v>
      </c>
      <c r="H81">
        <v>65.569466427668061</v>
      </c>
      <c r="J81">
        <v>24.875671235574615</v>
      </c>
      <c r="L81">
        <v>1.6101351421558503</v>
      </c>
      <c r="M81">
        <v>13.042662266834929</v>
      </c>
      <c r="N81">
        <v>2.3197637980338408</v>
      </c>
      <c r="O81">
        <v>6.0488982256210315</v>
      </c>
      <c r="P81">
        <v>8.1607927961455058</v>
      </c>
      <c r="R81">
        <v>9.4513935932581479</v>
      </c>
      <c r="S81">
        <v>37.375673526055571</v>
      </c>
      <c r="U81">
        <v>1.1659413369254772</v>
      </c>
      <c r="V81">
        <v>48.337077269983681</v>
      </c>
      <c r="W81">
        <v>21.772924333597363</v>
      </c>
      <c r="X81">
        <v>43.246065323389139</v>
      </c>
      <c r="Y81">
        <v>2.596778218740194</v>
      </c>
      <c r="Z81">
        <v>17.958478581352921</v>
      </c>
      <c r="AB81">
        <v>32.519478741656364</v>
      </c>
      <c r="AE81">
        <v>6.7596986763383153</v>
      </c>
      <c r="AF81">
        <v>12.662497185736338</v>
      </c>
      <c r="AG81">
        <v>17.900027500329607</v>
      </c>
      <c r="AI81">
        <v>2.2557001133917587</v>
      </c>
      <c r="AK81">
        <v>27.375373724077097</v>
      </c>
    </row>
    <row r="82" spans="1:37" x14ac:dyDescent="0.2">
      <c r="A82">
        <v>81</v>
      </c>
      <c r="B82">
        <v>782</v>
      </c>
      <c r="C82">
        <v>175</v>
      </c>
      <c r="D82">
        <v>0.42507747713595301</v>
      </c>
      <c r="E82">
        <v>145.49888719054942</v>
      </c>
      <c r="F82">
        <v>68.439395083182902</v>
      </c>
      <c r="G82">
        <v>73.722349319263841</v>
      </c>
      <c r="H82">
        <v>69.183020650257376</v>
      </c>
      <c r="J82">
        <v>53.762190121028716</v>
      </c>
      <c r="L82">
        <v>11.050333012782554</v>
      </c>
      <c r="M82">
        <v>13.80573657977777</v>
      </c>
      <c r="N82">
        <v>2.44339226972847</v>
      </c>
      <c r="O82">
        <v>51.942052352899879</v>
      </c>
      <c r="P82">
        <v>14.472581095107124</v>
      </c>
      <c r="Q82">
        <v>2.3810501492663179E-2</v>
      </c>
      <c r="R82">
        <v>22.681926311864615</v>
      </c>
      <c r="S82">
        <v>58.301331319508378</v>
      </c>
      <c r="U82">
        <v>2.0037554373832727</v>
      </c>
      <c r="V82">
        <v>47.943112809917466</v>
      </c>
      <c r="W82">
        <v>28.47475845359428</v>
      </c>
      <c r="X82">
        <v>42.574063570466464</v>
      </c>
      <c r="Y82">
        <v>11.96997562923686</v>
      </c>
      <c r="Z82">
        <v>34.398262738946833</v>
      </c>
      <c r="AA82">
        <v>10.667355752594274</v>
      </c>
      <c r="AB82">
        <v>38.27899263921806</v>
      </c>
      <c r="AC82">
        <v>0.28234384712029481</v>
      </c>
      <c r="AD82">
        <v>10.088904626587803</v>
      </c>
      <c r="AE82">
        <v>14.370571224603571</v>
      </c>
      <c r="AF82">
        <v>13.731948500744963</v>
      </c>
      <c r="AG82">
        <v>24.464493567364094</v>
      </c>
      <c r="AH82">
        <v>9.7402738123590638</v>
      </c>
      <c r="AI82">
        <v>2.3856830849166704</v>
      </c>
      <c r="AK82">
        <v>46.261730059636861</v>
      </c>
    </row>
    <row r="83" spans="1:37" x14ac:dyDescent="0.2">
      <c r="A83">
        <v>82</v>
      </c>
      <c r="B83">
        <v>781</v>
      </c>
      <c r="C83">
        <v>175</v>
      </c>
      <c r="D83">
        <v>0.42446568325190898</v>
      </c>
      <c r="E83">
        <v>145.39129453688631</v>
      </c>
      <c r="F83">
        <v>68.045372911210109</v>
      </c>
      <c r="G83">
        <v>73.654526694537054</v>
      </c>
      <c r="H83">
        <v>69.112443674628537</v>
      </c>
      <c r="J83">
        <v>53.724946410582312</v>
      </c>
      <c r="L83">
        <v>10.944392026586423</v>
      </c>
      <c r="M83">
        <v>13.79511806306369</v>
      </c>
      <c r="N83">
        <v>2.4305930519354213</v>
      </c>
      <c r="O83">
        <v>51.426010794628844</v>
      </c>
      <c r="P83">
        <v>14.345400543801956</v>
      </c>
      <c r="R83">
        <v>22.511306286548038</v>
      </c>
      <c r="S83">
        <v>58.094274126014177</v>
      </c>
      <c r="U83">
        <v>1.9692844573750727</v>
      </c>
      <c r="V83">
        <v>47.942409682796409</v>
      </c>
      <c r="W83">
        <v>28.337668085825854</v>
      </c>
      <c r="X83">
        <v>42.52298136369015</v>
      </c>
      <c r="Y83">
        <v>11.855271229588318</v>
      </c>
      <c r="Z83">
        <v>34.183075826171617</v>
      </c>
      <c r="AA83">
        <v>10.555536467976722</v>
      </c>
      <c r="AB83">
        <v>38.230987734238447</v>
      </c>
      <c r="AC83">
        <v>0.26755851422517224</v>
      </c>
      <c r="AD83">
        <v>9.9706591042307586</v>
      </c>
      <c r="AE83">
        <v>14.27706822850404</v>
      </c>
      <c r="AF83">
        <v>13.705418729581831</v>
      </c>
      <c r="AG83">
        <v>24.386794688423667</v>
      </c>
      <c r="AH83">
        <v>9.5956147561709759</v>
      </c>
      <c r="AI83">
        <v>2.3726214494164952</v>
      </c>
      <c r="AK83">
        <v>46.246535596273944</v>
      </c>
    </row>
    <row r="84" spans="1:37" x14ac:dyDescent="0.2">
      <c r="A84">
        <v>83</v>
      </c>
      <c r="B84">
        <v>780</v>
      </c>
      <c r="C84">
        <v>175</v>
      </c>
      <c r="D84">
        <v>0.42385272753169101</v>
      </c>
      <c r="E84">
        <v>145.27777029114779</v>
      </c>
      <c r="F84">
        <v>67.57960839581996</v>
      </c>
      <c r="G84">
        <v>73.574150746102248</v>
      </c>
      <c r="H84">
        <v>69.029325907669758</v>
      </c>
      <c r="J84">
        <v>53.696587760373049</v>
      </c>
      <c r="L84">
        <v>10.814730032576772</v>
      </c>
      <c r="M84">
        <v>13.813610903301837</v>
      </c>
      <c r="N84">
        <v>2.4127606673473352</v>
      </c>
      <c r="O84">
        <v>50.799120262833675</v>
      </c>
      <c r="P84">
        <v>14.188087365808217</v>
      </c>
      <c r="R84">
        <v>22.348602963963316</v>
      </c>
      <c r="S84">
        <v>58.008647075980015</v>
      </c>
      <c r="U84">
        <v>1.9557625446803768</v>
      </c>
      <c r="V84">
        <v>48.001233128332913</v>
      </c>
      <c r="W84">
        <v>28.225382413548353</v>
      </c>
      <c r="X84">
        <v>42.541943899244806</v>
      </c>
      <c r="Y84">
        <v>11.712038626848768</v>
      </c>
      <c r="Z84">
        <v>33.930934143969566</v>
      </c>
      <c r="AA84">
        <v>10.417666711535116</v>
      </c>
      <c r="AB84">
        <v>38.237791390931065</v>
      </c>
      <c r="AC84">
        <v>0.24774016822163017</v>
      </c>
      <c r="AD84">
        <v>9.8311596284378453</v>
      </c>
      <c r="AE84">
        <v>14.171406245182038</v>
      </c>
      <c r="AF84">
        <v>13.702967333204308</v>
      </c>
      <c r="AG84">
        <v>24.358873583329878</v>
      </c>
      <c r="AH84">
        <v>9.4175531614062713</v>
      </c>
      <c r="AI84">
        <v>2.3545258620641984</v>
      </c>
      <c r="AK84">
        <v>46.214903945305487</v>
      </c>
    </row>
    <row r="85" spans="1:37" x14ac:dyDescent="0.2">
      <c r="A85">
        <v>84</v>
      </c>
      <c r="B85">
        <v>779</v>
      </c>
      <c r="C85">
        <v>175</v>
      </c>
      <c r="D85">
        <v>0.42323860666254698</v>
      </c>
      <c r="E85">
        <v>145.16466756186801</v>
      </c>
      <c r="F85">
        <v>67.114506610684501</v>
      </c>
      <c r="G85">
        <v>73.493682401873798</v>
      </c>
      <c r="H85">
        <v>68.94612829715588</v>
      </c>
      <c r="J85">
        <v>53.667229737391231</v>
      </c>
      <c r="L85">
        <v>10.684236798813776</v>
      </c>
      <c r="M85">
        <v>13.832490493410361</v>
      </c>
      <c r="N85">
        <v>2.3948719776167802</v>
      </c>
      <c r="O85">
        <v>50.171499140003071</v>
      </c>
      <c r="P85">
        <v>14.030540299823075</v>
      </c>
      <c r="R85">
        <v>22.184125741536292</v>
      </c>
      <c r="S85">
        <v>57.919135751860239</v>
      </c>
      <c r="U85">
        <v>1.9428698065976184</v>
      </c>
      <c r="V85">
        <v>48.058502822843309</v>
      </c>
      <c r="W85">
        <v>28.113997118573977</v>
      </c>
      <c r="X85">
        <v>42.562977399545495</v>
      </c>
      <c r="Y85">
        <v>11.568541275632771</v>
      </c>
      <c r="Z85">
        <v>33.679000227075051</v>
      </c>
      <c r="AA85">
        <v>10.279351465211061</v>
      </c>
      <c r="AB85">
        <v>38.242565849275863</v>
      </c>
      <c r="AC85">
        <v>0.22786567032544749</v>
      </c>
      <c r="AD85">
        <v>9.6914891033603787</v>
      </c>
      <c r="AE85">
        <v>14.065947595415405</v>
      </c>
      <c r="AF85">
        <v>13.700846571485005</v>
      </c>
      <c r="AG85">
        <v>24.328869359201324</v>
      </c>
      <c r="AH85">
        <v>9.2390593101738343</v>
      </c>
      <c r="AI85">
        <v>2.3363731826843961</v>
      </c>
      <c r="AK85">
        <v>46.183312088750405</v>
      </c>
    </row>
    <row r="86" spans="1:37" x14ac:dyDescent="0.2">
      <c r="A86">
        <v>85</v>
      </c>
      <c r="B86">
        <v>778</v>
      </c>
      <c r="C86">
        <v>175</v>
      </c>
      <c r="D86">
        <v>0.422623317319128</v>
      </c>
      <c r="E86">
        <v>145.05199398715985</v>
      </c>
      <c r="F86">
        <v>66.650134662884469</v>
      </c>
      <c r="G86">
        <v>73.413136037475823</v>
      </c>
      <c r="H86">
        <v>68.862865238610581</v>
      </c>
      <c r="J86">
        <v>53.636862218500958</v>
      </c>
      <c r="L86">
        <v>10.553096995491821</v>
      </c>
      <c r="M86">
        <v>13.851742607710746</v>
      </c>
      <c r="N86">
        <v>2.3769296915189804</v>
      </c>
      <c r="O86">
        <v>49.543246058089018</v>
      </c>
      <c r="P86">
        <v>13.872790827143985</v>
      </c>
      <c r="R86">
        <v>22.017928367806586</v>
      </c>
      <c r="S86">
        <v>57.825633796845658</v>
      </c>
      <c r="U86">
        <v>1.9305926298702012</v>
      </c>
      <c r="V86">
        <v>48.114185829615728</v>
      </c>
      <c r="W86">
        <v>28.003509473770151</v>
      </c>
      <c r="X86">
        <v>42.586039893264633</v>
      </c>
      <c r="Y86">
        <v>11.424808834348672</v>
      </c>
      <c r="Z86">
        <v>33.42729886781234</v>
      </c>
      <c r="AA86">
        <v>10.14068964297547</v>
      </c>
      <c r="AB86">
        <v>38.245246839808829</v>
      </c>
      <c r="AC86">
        <v>0.20793772887505804</v>
      </c>
      <c r="AD86">
        <v>9.5516672067749457</v>
      </c>
      <c r="AE86">
        <v>13.960695536752583</v>
      </c>
      <c r="AF86">
        <v>13.699044932835461</v>
      </c>
      <c r="AG86">
        <v>24.296720460848686</v>
      </c>
      <c r="AH86">
        <v>9.0601737140990153</v>
      </c>
      <c r="AI86">
        <v>2.3181661182241253</v>
      </c>
      <c r="AK86">
        <v>46.151775849768065</v>
      </c>
    </row>
    <row r="87" spans="1:37" x14ac:dyDescent="0.2">
      <c r="A87">
        <v>86</v>
      </c>
      <c r="B87">
        <v>777</v>
      </c>
      <c r="C87">
        <v>175</v>
      </c>
      <c r="D87">
        <v>0.42200685616340999</v>
      </c>
      <c r="E87">
        <v>144.93975673928219</v>
      </c>
      <c r="F87">
        <v>66.186559730061731</v>
      </c>
      <c r="G87">
        <v>73.332526268988445</v>
      </c>
      <c r="H87">
        <v>68.779551368051273</v>
      </c>
      <c r="J87">
        <v>53.605478984432118</v>
      </c>
      <c r="L87">
        <v>10.421206446451556</v>
      </c>
      <c r="M87">
        <v>13.871352283312333</v>
      </c>
      <c r="N87">
        <v>2.3589366816002557</v>
      </c>
      <c r="O87">
        <v>48.914461951852154</v>
      </c>
      <c r="P87">
        <v>13.714871073810912</v>
      </c>
      <c r="R87">
        <v>21.850067432320341</v>
      </c>
      <c r="S87">
        <v>57.728048046252304</v>
      </c>
      <c r="U87">
        <v>1.9189163225774852</v>
      </c>
      <c r="V87">
        <v>48.168253675120241</v>
      </c>
      <c r="W87">
        <v>27.893915206688042</v>
      </c>
      <c r="X87">
        <v>42.611086070095347</v>
      </c>
      <c r="Y87">
        <v>11.280871583150345</v>
      </c>
      <c r="Z87">
        <v>33.175855051950847</v>
      </c>
      <c r="AA87">
        <v>10.001707765523753</v>
      </c>
      <c r="AB87">
        <v>38.245776857567321</v>
      </c>
      <c r="AC87">
        <v>0.18795921597882728</v>
      </c>
      <c r="AD87">
        <v>9.4117138580129449</v>
      </c>
      <c r="AE87">
        <v>13.855653280004745</v>
      </c>
      <c r="AF87">
        <v>13.697550332238624</v>
      </c>
      <c r="AG87">
        <v>24.262372261373365</v>
      </c>
      <c r="AH87">
        <v>8.8809375865629274</v>
      </c>
      <c r="AI87">
        <v>2.2999075394009387</v>
      </c>
      <c r="AK87">
        <v>46.120311383482175</v>
      </c>
    </row>
    <row r="88" spans="1:37" x14ac:dyDescent="0.2">
      <c r="A88">
        <v>87</v>
      </c>
      <c r="B88">
        <v>776</v>
      </c>
      <c r="C88">
        <v>175</v>
      </c>
      <c r="D88">
        <v>0.42138921984463801</v>
      </c>
      <c r="E88">
        <v>144.82796249461981</v>
      </c>
      <c r="F88">
        <v>65.723848695345865</v>
      </c>
      <c r="G88">
        <v>73.251867871452419</v>
      </c>
      <c r="H88">
        <v>68.696201480493244</v>
      </c>
      <c r="J88">
        <v>53.573077660946701</v>
      </c>
      <c r="L88">
        <v>10.288681786354653</v>
      </c>
      <c r="M88">
        <v>13.891303913235291</v>
      </c>
      <c r="N88">
        <v>2.3408959655431887</v>
      </c>
      <c r="O88">
        <v>48.285249471477613</v>
      </c>
      <c r="P88">
        <v>13.556813628981432</v>
      </c>
      <c r="R88">
        <v>21.680602011358527</v>
      </c>
      <c r="S88">
        <v>57.626298708417735</v>
      </c>
      <c r="U88">
        <v>1.907825211338718</v>
      </c>
      <c r="V88">
        <v>48.220682362813839</v>
      </c>
      <c r="W88">
        <v>27.785208553289582</v>
      </c>
      <c r="X88">
        <v>42.638067585122698</v>
      </c>
      <c r="Y88">
        <v>11.136760252860711</v>
      </c>
      <c r="Z88">
        <v>32.924693813357699</v>
      </c>
      <c r="AA88">
        <v>9.8624330282069135</v>
      </c>
      <c r="AB88">
        <v>38.244105303152061</v>
      </c>
      <c r="AC88">
        <v>0.16793314888219776</v>
      </c>
      <c r="AD88">
        <v>9.2716491182313128</v>
      </c>
      <c r="AE88">
        <v>13.750823965969616</v>
      </c>
      <c r="AF88">
        <v>13.696350185736737</v>
      </c>
      <c r="AG88">
        <v>24.225777184593532</v>
      </c>
      <c r="AH88">
        <v>8.7013926290444097</v>
      </c>
      <c r="AI88">
        <v>2.2816004620677179</v>
      </c>
      <c r="AK88">
        <v>46.088935083006618</v>
      </c>
    </row>
    <row r="89" spans="1:37" x14ac:dyDescent="0.2">
      <c r="A89">
        <v>88</v>
      </c>
      <c r="B89">
        <v>775</v>
      </c>
      <c r="C89">
        <v>175</v>
      </c>
      <c r="D89">
        <v>0.42077040499928797</v>
      </c>
      <c r="E89">
        <v>144.716617408535</v>
      </c>
      <c r="F89">
        <v>65.262067794720807</v>
      </c>
      <c r="G89">
        <v>73.171175698349671</v>
      </c>
      <c r="H89">
        <v>68.61283044943255</v>
      </c>
      <c r="J89">
        <v>53.539659623353593</v>
      </c>
      <c r="L89">
        <v>10.155563212377704</v>
      </c>
      <c r="M89">
        <v>13.911581341884656</v>
      </c>
      <c r="N89">
        <v>2.3228106868014002</v>
      </c>
      <c r="O89">
        <v>47.655712397361405</v>
      </c>
      <c r="P89">
        <v>13.398651364520051</v>
      </c>
      <c r="R89">
        <v>21.509593302173794</v>
      </c>
      <c r="S89">
        <v>57.520319404568774</v>
      </c>
      <c r="U89">
        <v>1.897302743801567</v>
      </c>
      <c r="V89">
        <v>48.271452342567443</v>
      </c>
      <c r="W89">
        <v>27.677382322807908</v>
      </c>
      <c r="X89">
        <v>42.666933378333056</v>
      </c>
      <c r="Y89">
        <v>10.992505854922443</v>
      </c>
      <c r="Z89">
        <v>32.673840092203918</v>
      </c>
      <c r="AA89">
        <v>9.7229551871841391</v>
      </c>
      <c r="AB89">
        <v>38.240188550300033</v>
      </c>
      <c r="AC89">
        <v>0.14786267060013789</v>
      </c>
      <c r="AD89">
        <v>9.1314930917818984</v>
      </c>
      <c r="AE89">
        <v>13.646210643375179</v>
      </c>
      <c r="AF89">
        <v>13.695431486539265</v>
      </c>
      <c r="AG89">
        <v>24.186894753250566</v>
      </c>
      <c r="AH89">
        <v>8.5215808187400253</v>
      </c>
      <c r="AI89">
        <v>2.263248027848269</v>
      </c>
      <c r="AK89">
        <v>46.057663485893158</v>
      </c>
    </row>
    <row r="90" spans="1:37" x14ac:dyDescent="0.2">
      <c r="A90">
        <v>89</v>
      </c>
      <c r="B90">
        <v>774</v>
      </c>
      <c r="C90">
        <v>175</v>
      </c>
      <c r="D90">
        <v>0.420150408250972</v>
      </c>
      <c r="E90">
        <v>144.60572709533668</v>
      </c>
      <c r="F90">
        <v>64.801282280236649</v>
      </c>
      <c r="G90">
        <v>73.090464602928336</v>
      </c>
      <c r="H90">
        <v>68.529453148167306</v>
      </c>
      <c r="J90">
        <v>53.505229868024678</v>
      </c>
      <c r="L90">
        <v>10.021964111236976</v>
      </c>
      <c r="M90">
        <v>13.932167962203359</v>
      </c>
      <c r="N90">
        <v>2.3046840947066172</v>
      </c>
      <c r="O90">
        <v>47.025955063069119</v>
      </c>
      <c r="P90">
        <v>13.240417257763784</v>
      </c>
      <c r="R90">
        <v>21.337104251976733</v>
      </c>
      <c r="S90">
        <v>57.410057077236424</v>
      </c>
      <c r="U90">
        <v>1.8873315952504597</v>
      </c>
      <c r="V90">
        <v>48.320548440030151</v>
      </c>
      <c r="W90">
        <v>27.57042797303636</v>
      </c>
      <c r="X90">
        <v>42.697630007803596</v>
      </c>
      <c r="Y90">
        <v>10.848139514236525</v>
      </c>
      <c r="Z90">
        <v>32.423318597760435</v>
      </c>
      <c r="AA90">
        <v>9.5831729000673374</v>
      </c>
      <c r="AB90">
        <v>38.233989943790547</v>
      </c>
      <c r="AC90">
        <v>0.12775103002665272</v>
      </c>
      <c r="AD90">
        <v>8.9912658295967223</v>
      </c>
      <c r="AE90">
        <v>13.541816247974293</v>
      </c>
      <c r="AF90">
        <v>13.694780882284931</v>
      </c>
      <c r="AG90">
        <v>24.14569156702612</v>
      </c>
      <c r="AH90">
        <v>8.3415441998466449</v>
      </c>
      <c r="AI90">
        <v>2.2448534842435706</v>
      </c>
      <c r="AK90">
        <v>46.026513182196872</v>
      </c>
    </row>
    <row r="91" spans="1:37" x14ac:dyDescent="0.2">
      <c r="A91">
        <v>90</v>
      </c>
      <c r="B91">
        <v>773</v>
      </c>
      <c r="C91">
        <v>175</v>
      </c>
      <c r="D91">
        <v>0.41952922621038902</v>
      </c>
      <c r="E91">
        <v>144.49529661358289</v>
      </c>
      <c r="F91">
        <v>64.341556105680226</v>
      </c>
      <c r="G91">
        <v>73.009749362846222</v>
      </c>
      <c r="H91">
        <v>68.446084374445817</v>
      </c>
      <c r="J91">
        <v>53.469796854644549</v>
      </c>
      <c r="L91">
        <v>9.8877803969727101</v>
      </c>
      <c r="M91">
        <v>13.953046812123707</v>
      </c>
      <c r="N91">
        <v>2.2865195245624665</v>
      </c>
      <c r="O91">
        <v>46.39608179820442</v>
      </c>
      <c r="P91">
        <v>13.082144220900609</v>
      </c>
      <c r="R91">
        <v>21.163199187387974</v>
      </c>
      <c r="S91">
        <v>57.295471772636894</v>
      </c>
      <c r="U91">
        <v>1.8778937768835975</v>
      </c>
      <c r="V91">
        <v>48.367959747796071</v>
      </c>
      <c r="W91">
        <v>27.464335693437601</v>
      </c>
      <c r="X91">
        <v>42.730101986952924</v>
      </c>
      <c r="Y91">
        <v>10.703692308138946</v>
      </c>
      <c r="Z91">
        <v>32.173153678814302</v>
      </c>
      <c r="AA91">
        <v>9.443182258618835</v>
      </c>
      <c r="AB91">
        <v>38.22547973014607</v>
      </c>
      <c r="AC91">
        <v>0.10760156202659989</v>
      </c>
      <c r="AD91">
        <v>8.8509872366221511</v>
      </c>
      <c r="AE91">
        <v>13.437643583482252</v>
      </c>
      <c r="AF91">
        <v>13.694384751583636</v>
      </c>
      <c r="AG91">
        <v>24.102141213336068</v>
      </c>
      <c r="AH91">
        <v>8.1613246825526193</v>
      </c>
      <c r="AI91">
        <v>2.2264201647260369</v>
      </c>
      <c r="AK91">
        <v>45.995500726101106</v>
      </c>
    </row>
    <row r="92" spans="1:37" x14ac:dyDescent="0.2">
      <c r="A92">
        <v>91</v>
      </c>
      <c r="B92">
        <v>772</v>
      </c>
      <c r="C92">
        <v>175</v>
      </c>
      <c r="D92">
        <v>0.418906855475288</v>
      </c>
      <c r="E92">
        <v>144.38533045622708</v>
      </c>
      <c r="F92">
        <v>63.882951634008371</v>
      </c>
      <c r="G92">
        <v>72.929044608365714</v>
      </c>
      <c r="H92">
        <v>68.362738778658183</v>
      </c>
      <c r="J92">
        <v>53.433372322981974</v>
      </c>
      <c r="L92">
        <v>9.7531276792206381</v>
      </c>
      <c r="M92">
        <v>13.974200670305263</v>
      </c>
      <c r="N92">
        <v>2.2683203776915875</v>
      </c>
      <c r="O92">
        <v>45.766196392251388</v>
      </c>
      <c r="P92">
        <v>12.923864937402442</v>
      </c>
      <c r="R92">
        <v>20.987943449197388</v>
      </c>
      <c r="S92">
        <v>57.176536311978282</v>
      </c>
      <c r="U92">
        <v>1.8689707452179418</v>
      </c>
      <c r="V92">
        <v>48.41367948436158</v>
      </c>
      <c r="W92">
        <v>27.359094495955443</v>
      </c>
      <c r="X92">
        <v>42.76429212549521</v>
      </c>
      <c r="Y92">
        <v>10.559195111933009</v>
      </c>
      <c r="Z92">
        <v>31.92336920149603</v>
      </c>
      <c r="AA92">
        <v>9.3030115482109679</v>
      </c>
      <c r="AB92">
        <v>38.214634928243299</v>
      </c>
      <c r="AC92">
        <v>8.7417667483616762E-2</v>
      </c>
      <c r="AD92">
        <v>8.7106769834050048</v>
      </c>
      <c r="AE92">
        <v>13.333695304048485</v>
      </c>
      <c r="AF92">
        <v>13.694229279806788</v>
      </c>
      <c r="AG92">
        <v>24.056224117978754</v>
      </c>
      <c r="AH92">
        <v>7.9809638485240582</v>
      </c>
      <c r="AI92">
        <v>2.2079514687866291</v>
      </c>
      <c r="AK92">
        <v>45.964642551015245</v>
      </c>
    </row>
    <row r="93" spans="1:37" x14ac:dyDescent="0.2">
      <c r="A93">
        <v>92</v>
      </c>
      <c r="B93">
        <v>771</v>
      </c>
      <c r="C93">
        <v>175</v>
      </c>
      <c r="D93">
        <v>0.41828329263037001</v>
      </c>
      <c r="E93">
        <v>144.27583254573335</v>
      </c>
      <c r="F93">
        <v>63.425529372382144</v>
      </c>
      <c r="G93">
        <v>72.848364755402415</v>
      </c>
      <c r="H93">
        <v>68.279430796885961</v>
      </c>
      <c r="J93">
        <v>53.395971088683929</v>
      </c>
      <c r="L93">
        <v>9.6180467820540869</v>
      </c>
      <c r="M93">
        <v>13.995612148827728</v>
      </c>
      <c r="N93">
        <v>2.2500901019565553</v>
      </c>
      <c r="O93">
        <v>45.136401590211555</v>
      </c>
      <c r="P93">
        <v>12.765611708650281</v>
      </c>
      <c r="R93">
        <v>20.81140303744829</v>
      </c>
      <c r="S93">
        <v>57.053235860655867</v>
      </c>
      <c r="U93">
        <v>1.8605435101779506</v>
      </c>
      <c r="V93">
        <v>48.457704823540929</v>
      </c>
      <c r="W93">
        <v>27.254692310732786</v>
      </c>
      <c r="X93">
        <v>42.800141870053011</v>
      </c>
      <c r="Y93">
        <v>10.414678453943656</v>
      </c>
      <c r="Z93">
        <v>31.673988437196343</v>
      </c>
      <c r="AA93">
        <v>9.1626889643186296</v>
      </c>
      <c r="AB93">
        <v>38.201439144201878</v>
      </c>
      <c r="AC93">
        <v>6.720279382092674E-2</v>
      </c>
      <c r="AD93">
        <v>8.5703544236515334</v>
      </c>
      <c r="AE93">
        <v>13.229973898864355</v>
      </c>
      <c r="AF93">
        <v>13.694300532294156</v>
      </c>
      <c r="AG93">
        <v>24.007927340562265</v>
      </c>
      <c r="AH93">
        <v>7.8005027785710146</v>
      </c>
      <c r="AI93">
        <v>2.1894508424550785</v>
      </c>
      <c r="AK93">
        <v>45.933954890011925</v>
      </c>
    </row>
    <row r="94" spans="1:37" x14ac:dyDescent="0.2">
      <c r="A94">
        <v>93</v>
      </c>
      <c r="B94">
        <v>770</v>
      </c>
      <c r="C94">
        <v>175</v>
      </c>
      <c r="D94">
        <v>0.41765853424723398</v>
      </c>
      <c r="E94">
        <v>144.16680623414661</v>
      </c>
      <c r="F94">
        <v>62.969347737878032</v>
      </c>
      <c r="G94">
        <v>72.767723944181682</v>
      </c>
      <c r="H94">
        <v>68.19617458956094</v>
      </c>
      <c r="J94">
        <v>53.357610822632353</v>
      </c>
      <c r="L94">
        <v>9.4825780813720488</v>
      </c>
      <c r="M94">
        <v>14.017263781625399</v>
      </c>
      <c r="N94">
        <v>2.2318321730507735</v>
      </c>
      <c r="O94">
        <v>44.506798626067038</v>
      </c>
      <c r="P94">
        <v>12.607416312532663</v>
      </c>
      <c r="R94">
        <v>20.633644271141659</v>
      </c>
      <c r="S94">
        <v>56.925567407681491</v>
      </c>
      <c r="U94">
        <v>1.8525927403709073</v>
      </c>
      <c r="V94">
        <v>48.500036698400159</v>
      </c>
      <c r="W94">
        <v>27.151116084796257</v>
      </c>
      <c r="X94">
        <v>42.8375916107588</v>
      </c>
      <c r="Y94">
        <v>10.270172381795483</v>
      </c>
      <c r="Z94">
        <v>31.425033961982837</v>
      </c>
      <c r="AA94">
        <v>9.0223048244995727</v>
      </c>
      <c r="AB94">
        <v>38.185882336544402</v>
      </c>
      <c r="AC94">
        <v>4.6960416293513454E-2</v>
      </c>
      <c r="AD94">
        <v>8.4300385188183213</v>
      </c>
      <c r="AE94">
        <v>13.126481679173191</v>
      </c>
      <c r="AF94">
        <v>13.694584524086393</v>
      </c>
      <c r="AG94">
        <v>23.957244320941435</v>
      </c>
      <c r="AH94">
        <v>7.6199818666537809</v>
      </c>
      <c r="AI94">
        <v>2.170921759593111</v>
      </c>
      <c r="AK94">
        <v>45.903453702706031</v>
      </c>
    </row>
    <row r="95" spans="1:37" x14ac:dyDescent="0.2">
      <c r="A95">
        <v>94</v>
      </c>
      <c r="B95">
        <v>769</v>
      </c>
      <c r="C95">
        <v>175</v>
      </c>
      <c r="D95">
        <v>0.41703257688433099</v>
      </c>
      <c r="E95">
        <v>144.05825430735553</v>
      </c>
      <c r="F95">
        <v>62.51446285061369</v>
      </c>
      <c r="G95">
        <v>72.687135983225545</v>
      </c>
      <c r="H95">
        <v>68.112983985447912</v>
      </c>
      <c r="J95">
        <v>53.318311818134653</v>
      </c>
      <c r="L95">
        <v>9.3467613152233469</v>
      </c>
      <c r="M95">
        <v>14.039138109277555</v>
      </c>
      <c r="N95">
        <v>2.2135500764468823</v>
      </c>
      <c r="O95">
        <v>43.877486791495429</v>
      </c>
      <c r="P95">
        <v>12.449309873372261</v>
      </c>
      <c r="R95">
        <v>20.454733465964505</v>
      </c>
      <c r="S95">
        <v>56.793539174955747</v>
      </c>
      <c r="U95">
        <v>1.8450988655161122</v>
      </c>
      <c r="V95">
        <v>48.540679587157982</v>
      </c>
      <c r="W95">
        <v>27.048351883817343</v>
      </c>
      <c r="X95">
        <v>42.876581042056593</v>
      </c>
      <c r="Y95">
        <v>10.125706339290302</v>
      </c>
      <c r="Z95">
        <v>31.17652756604431</v>
      </c>
      <c r="AA95">
        <v>8.8817571565511599</v>
      </c>
      <c r="AB95">
        <v>38.167960541221845</v>
      </c>
      <c r="AC95">
        <v>2.6694019933617773E-2</v>
      </c>
      <c r="AD95">
        <v>8.289747769069475</v>
      </c>
      <c r="AE95">
        <v>13.023220767041556</v>
      </c>
      <c r="AF95">
        <v>13.695067286661308</v>
      </c>
      <c r="AG95">
        <v>23.904174586198103</v>
      </c>
      <c r="AH95">
        <v>7.4394406902954646</v>
      </c>
      <c r="AI95">
        <v>2.1523677038393587</v>
      </c>
      <c r="AK95">
        <v>45.873154607969454</v>
      </c>
    </row>
    <row r="96" spans="1:37" x14ac:dyDescent="0.2">
      <c r="A96">
        <v>95</v>
      </c>
      <c r="B96">
        <v>768</v>
      </c>
      <c r="C96">
        <v>175</v>
      </c>
      <c r="D96">
        <v>0.416405417086878</v>
      </c>
      <c r="E96">
        <v>143.9501789933561</v>
      </c>
      <c r="F96">
        <v>62.060928359571541</v>
      </c>
      <c r="G96">
        <v>72.606614299833424</v>
      </c>
      <c r="H96">
        <v>68.029872432130503</v>
      </c>
      <c r="J96">
        <v>53.278096749868944</v>
      </c>
      <c r="L96">
        <v>9.2105562457600829</v>
      </c>
      <c r="M96">
        <v>14.061217757279605</v>
      </c>
      <c r="N96">
        <v>2.1952472905419151</v>
      </c>
      <c r="O96">
        <v>43.248563050445703</v>
      </c>
      <c r="P96">
        <v>12.29132274603211</v>
      </c>
      <c r="R96">
        <v>20.274736632651379</v>
      </c>
      <c r="S96">
        <v>56.657169963083803</v>
      </c>
      <c r="U96">
        <v>1.8380421733503898</v>
      </c>
      <c r="V96">
        <v>48.579641281794672</v>
      </c>
      <c r="W96">
        <v>26.946384993427486</v>
      </c>
      <c r="X96">
        <v>42.917049420972099</v>
      </c>
      <c r="Y96">
        <v>9.9813090566169684</v>
      </c>
      <c r="Z96">
        <v>30.928490176345321</v>
      </c>
      <c r="AA96">
        <v>8.7411407634360803</v>
      </c>
      <c r="AB96">
        <v>38.147675560652111</v>
      </c>
      <c r="AC96">
        <v>6.4070826983393748E-3</v>
      </c>
      <c r="AD96">
        <v>8.1495001525780495</v>
      </c>
      <c r="AE96">
        <v>12.92019308688271</v>
      </c>
      <c r="AF96">
        <v>13.695734929345729</v>
      </c>
      <c r="AG96">
        <v>23.848723422822122</v>
      </c>
      <c r="AH96">
        <v>7.2589178565964483</v>
      </c>
      <c r="AI96">
        <v>2.1337921517573144</v>
      </c>
      <c r="AK96">
        <v>45.843072824028447</v>
      </c>
    </row>
    <row r="97" spans="1:37" x14ac:dyDescent="0.2">
      <c r="A97">
        <v>96</v>
      </c>
      <c r="B97">
        <v>767</v>
      </c>
      <c r="C97">
        <v>175</v>
      </c>
      <c r="D97">
        <v>0.41577705138682203</v>
      </c>
      <c r="E97">
        <v>143.75982981800257</v>
      </c>
      <c r="F97">
        <v>61.158936711835366</v>
      </c>
      <c r="G97">
        <v>72.453111702917852</v>
      </c>
      <c r="H97">
        <v>67.873792758841319</v>
      </c>
      <c r="J97">
        <v>53.101242883400964</v>
      </c>
      <c r="L97">
        <v>8.9608704119096334</v>
      </c>
      <c r="M97">
        <v>14.078402763778662</v>
      </c>
      <c r="N97">
        <v>2.1906097646688836</v>
      </c>
      <c r="O97">
        <v>42.202556098679047</v>
      </c>
      <c r="P97">
        <v>12.001046519590755</v>
      </c>
      <c r="R97">
        <v>19.944289799958032</v>
      </c>
      <c r="S97">
        <v>56.35532151905366</v>
      </c>
      <c r="U97">
        <v>1.8185608462268132</v>
      </c>
      <c r="V97">
        <v>48.621000908791501</v>
      </c>
      <c r="W97">
        <v>26.748935078305188</v>
      </c>
      <c r="X97">
        <v>42.90769191027745</v>
      </c>
      <c r="Y97">
        <v>9.7019085440975967</v>
      </c>
      <c r="Z97">
        <v>30.428552577564361</v>
      </c>
      <c r="AA97">
        <v>8.4841083833024893</v>
      </c>
      <c r="AB97">
        <v>38.082765045313927</v>
      </c>
      <c r="AD97">
        <v>7.8542467127624898</v>
      </c>
      <c r="AE97">
        <v>12.724861678703578</v>
      </c>
      <c r="AF97">
        <v>13.705173445069875</v>
      </c>
      <c r="AG97">
        <v>23.762314436317933</v>
      </c>
      <c r="AH97">
        <v>6.864249356093084</v>
      </c>
      <c r="AI97">
        <v>2.1288810508456342</v>
      </c>
      <c r="AK97">
        <v>45.705970100215758</v>
      </c>
    </row>
    <row r="98" spans="1:37" x14ac:dyDescent="0.2">
      <c r="A98">
        <v>97</v>
      </c>
      <c r="B98">
        <v>766</v>
      </c>
      <c r="C98">
        <v>175</v>
      </c>
      <c r="D98">
        <v>0.41514747630275201</v>
      </c>
      <c r="E98">
        <v>143.52711164217945</v>
      </c>
      <c r="F98">
        <v>60.016647643070364</v>
      </c>
      <c r="G98">
        <v>72.259929025091125</v>
      </c>
      <c r="H98">
        <v>67.67804581855367</v>
      </c>
      <c r="J98">
        <v>52.842482750243711</v>
      </c>
      <c r="L98">
        <v>8.6471315849573482</v>
      </c>
      <c r="M98">
        <v>14.094918336488623</v>
      </c>
      <c r="N98">
        <v>2.192586271683008</v>
      </c>
      <c r="O98">
        <v>40.926026065845498</v>
      </c>
      <c r="P98">
        <v>11.638031654115766</v>
      </c>
      <c r="R98">
        <v>19.525621235967854</v>
      </c>
      <c r="S98">
        <v>55.938579655627301</v>
      </c>
      <c r="U98">
        <v>1.795671764806094</v>
      </c>
      <c r="V98">
        <v>48.655359675967475</v>
      </c>
      <c r="W98">
        <v>26.507575130796582</v>
      </c>
      <c r="X98">
        <v>42.881930351851615</v>
      </c>
      <c r="Y98">
        <v>9.3484536021650886</v>
      </c>
      <c r="Z98">
        <v>29.792335242895749</v>
      </c>
      <c r="AA98">
        <v>8.1624350387450537</v>
      </c>
      <c r="AB98">
        <v>37.979928498884739</v>
      </c>
      <c r="AD98">
        <v>7.4745717663081361</v>
      </c>
      <c r="AE98">
        <v>12.479776482773135</v>
      </c>
      <c r="AF98">
        <v>13.720556819861701</v>
      </c>
      <c r="AG98">
        <v>23.644595908928942</v>
      </c>
      <c r="AH98">
        <v>6.352704323683013</v>
      </c>
      <c r="AI98">
        <v>2.1305831721244823</v>
      </c>
      <c r="AK98">
        <v>45.510284275053195</v>
      </c>
    </row>
    <row r="99" spans="1:37" x14ac:dyDescent="0.2">
      <c r="A99">
        <v>98</v>
      </c>
      <c r="B99">
        <v>765</v>
      </c>
      <c r="C99">
        <v>175</v>
      </c>
      <c r="D99">
        <v>0.41451668833983701</v>
      </c>
      <c r="E99">
        <v>143.29084056943728</v>
      </c>
      <c r="F99">
        <v>58.841750269867404</v>
      </c>
      <c r="G99">
        <v>72.06077087544594</v>
      </c>
      <c r="H99">
        <v>67.476336240760901</v>
      </c>
      <c r="J99">
        <v>52.561368318795928</v>
      </c>
      <c r="L99">
        <v>8.321088211803465</v>
      </c>
      <c r="M99">
        <v>14.113550933475224</v>
      </c>
      <c r="N99">
        <v>2.1945619953063011</v>
      </c>
      <c r="O99">
        <v>39.609880175728705</v>
      </c>
      <c r="P99">
        <v>11.263072573561008</v>
      </c>
      <c r="R99">
        <v>19.085910525351405</v>
      </c>
      <c r="S99">
        <v>55.47265525666274</v>
      </c>
      <c r="U99">
        <v>1.7761711431838674</v>
      </c>
      <c r="V99">
        <v>48.67826824279134</v>
      </c>
      <c r="W99">
        <v>26.269398484630159</v>
      </c>
      <c r="X99">
        <v>42.866262727658089</v>
      </c>
      <c r="Y99">
        <v>8.9830087954841904</v>
      </c>
      <c r="Z99">
        <v>29.135374477076315</v>
      </c>
      <c r="AA99">
        <v>7.829322930129158</v>
      </c>
      <c r="AB99">
        <v>37.853632383152686</v>
      </c>
      <c r="AD99">
        <v>7.081478718234762</v>
      </c>
      <c r="AE99">
        <v>12.227110183680551</v>
      </c>
      <c r="AF99">
        <v>13.738056700985823</v>
      </c>
      <c r="AG99">
        <v>23.503419491895755</v>
      </c>
      <c r="AH99">
        <v>5.8228775829430575</v>
      </c>
      <c r="AI99">
        <v>2.1322836974816322</v>
      </c>
      <c r="AK99">
        <v>45.30495135295962</v>
      </c>
    </row>
    <row r="100" spans="1:37" x14ac:dyDescent="0.2">
      <c r="A100">
        <v>99</v>
      </c>
      <c r="B100">
        <v>764</v>
      </c>
      <c r="C100">
        <v>175</v>
      </c>
      <c r="D100">
        <v>0.41388468398978101</v>
      </c>
      <c r="E100">
        <v>143.0500116903078</v>
      </c>
      <c r="F100">
        <v>57.626298961658193</v>
      </c>
      <c r="G100">
        <v>71.854459976113219</v>
      </c>
      <c r="H100">
        <v>67.267486768033166</v>
      </c>
      <c r="J100">
        <v>52.253268287860031</v>
      </c>
      <c r="L100">
        <v>7.9803208475977989</v>
      </c>
      <c r="M100">
        <v>14.134303886239964</v>
      </c>
      <c r="N100">
        <v>2.1965368454102534</v>
      </c>
      <c r="O100">
        <v>38.245876483801709</v>
      </c>
      <c r="P100">
        <v>10.873814654165455</v>
      </c>
      <c r="R100">
        <v>18.621755206947885</v>
      </c>
      <c r="S100">
        <v>54.949080286780834</v>
      </c>
      <c r="U100">
        <v>1.7602328268072873</v>
      </c>
      <c r="V100">
        <v>48.688232687552507</v>
      </c>
      <c r="W100">
        <v>26.034625852542053</v>
      </c>
      <c r="X100">
        <v>42.86120249405112</v>
      </c>
      <c r="Y100">
        <v>8.6031869028377912</v>
      </c>
      <c r="Z100">
        <v>28.452035009764764</v>
      </c>
      <c r="AA100">
        <v>7.4823524211641921</v>
      </c>
      <c r="AB100">
        <v>37.699508867400773</v>
      </c>
      <c r="AD100">
        <v>6.6716704427675495</v>
      </c>
      <c r="AE100">
        <v>11.964458953379426</v>
      </c>
      <c r="AF100">
        <v>13.757676335297932</v>
      </c>
      <c r="AG100">
        <v>23.334417270119584</v>
      </c>
      <c r="AH100">
        <v>5.2710827210628928</v>
      </c>
      <c r="AI100">
        <v>2.1339825349525889</v>
      </c>
      <c r="AK100">
        <v>45.087538558404091</v>
      </c>
    </row>
    <row r="101" spans="1:37" x14ac:dyDescent="0.2">
      <c r="A101">
        <v>100</v>
      </c>
      <c r="B101">
        <v>763</v>
      </c>
      <c r="C101">
        <v>175</v>
      </c>
      <c r="D101">
        <v>0.41325145973073701</v>
      </c>
      <c r="E101">
        <v>142.80316304539065</v>
      </c>
      <c r="F101">
        <v>56.358727437952929</v>
      </c>
      <c r="G101">
        <v>71.639283500033144</v>
      </c>
      <c r="H101">
        <v>67.049784593789084</v>
      </c>
      <c r="J101">
        <v>51.911602082090191</v>
      </c>
      <c r="L101">
        <v>7.6216094062777922</v>
      </c>
      <c r="M101">
        <v>14.157153865743975</v>
      </c>
      <c r="N101">
        <v>2.1985106999389887</v>
      </c>
      <c r="O101">
        <v>36.822037243252062</v>
      </c>
      <c r="P101">
        <v>10.466832141923083</v>
      </c>
      <c r="R101">
        <v>18.128116366571859</v>
      </c>
      <c r="S101">
        <v>54.356171158185859</v>
      </c>
      <c r="U101">
        <v>1.7480958464849803</v>
      </c>
      <c r="V101">
        <v>48.683224093652086</v>
      </c>
      <c r="W101">
        <v>25.803524513900392</v>
      </c>
      <c r="X101">
        <v>42.867450942849821</v>
      </c>
      <c r="Y101">
        <v>8.2055162972860654</v>
      </c>
      <c r="Z101">
        <v>27.734100355802255</v>
      </c>
      <c r="AA101">
        <v>7.1182307438001882</v>
      </c>
      <c r="AB101">
        <v>37.511532242864675</v>
      </c>
      <c r="AD101">
        <v>6.2403397199562933</v>
      </c>
      <c r="AE101">
        <v>11.688319125085725</v>
      </c>
      <c r="AF101">
        <v>13.779392277203442</v>
      </c>
      <c r="AG101">
        <v>23.13156341854534</v>
      </c>
      <c r="AH101">
        <v>4.6919521602390777</v>
      </c>
      <c r="AI101">
        <v>2.1356795606456056</v>
      </c>
      <c r="AK101">
        <v>44.854499623297848</v>
      </c>
    </row>
    <row r="102" spans="1:37" x14ac:dyDescent="0.2">
      <c r="A102">
        <v>101</v>
      </c>
      <c r="B102">
        <v>762</v>
      </c>
      <c r="C102">
        <v>175</v>
      </c>
      <c r="D102">
        <v>0.41261701202724399</v>
      </c>
      <c r="E102">
        <v>142.54806967797691</v>
      </c>
      <c r="F102">
        <v>55.021429399214846</v>
      </c>
      <c r="G102">
        <v>71.412638038577796</v>
      </c>
      <c r="H102">
        <v>66.820626329919151</v>
      </c>
      <c r="J102">
        <v>51.526521623822568</v>
      </c>
      <c r="L102">
        <v>7.2399069368623605</v>
      </c>
      <c r="M102">
        <v>14.182021620061096</v>
      </c>
      <c r="N102">
        <v>2.2004833853060854</v>
      </c>
      <c r="O102">
        <v>35.320168467300128</v>
      </c>
      <c r="P102">
        <v>10.036918068220226</v>
      </c>
      <c r="R102">
        <v>17.597213880940689</v>
      </c>
      <c r="S102">
        <v>53.676828156550286</v>
      </c>
      <c r="U102">
        <v>1.7400990584299638</v>
      </c>
      <c r="V102">
        <v>48.660299463958189</v>
      </c>
      <c r="W102">
        <v>25.57644264230737</v>
      </c>
      <c r="X102">
        <v>42.885995485969005</v>
      </c>
      <c r="Y102">
        <v>7.7847215709545763</v>
      </c>
      <c r="Z102">
        <v>26.969037045566434</v>
      </c>
      <c r="AA102">
        <v>6.7319185092943368</v>
      </c>
      <c r="AB102">
        <v>37.280883182731294</v>
      </c>
      <c r="AD102">
        <v>5.7801550207839112</v>
      </c>
      <c r="AE102">
        <v>11.393344855249051</v>
      </c>
      <c r="AF102">
        <v>13.803125106699007</v>
      </c>
      <c r="AG102">
        <v>22.886038442557258</v>
      </c>
      <c r="AH102">
        <v>4.0773175083890969</v>
      </c>
      <c r="AI102">
        <v>2.1373745991375772</v>
      </c>
      <c r="AK102">
        <v>44.600427108743361</v>
      </c>
    </row>
    <row r="103" spans="1:37" x14ac:dyDescent="0.2">
      <c r="A103">
        <v>102</v>
      </c>
      <c r="B103">
        <v>761</v>
      </c>
      <c r="C103">
        <v>175</v>
      </c>
      <c r="D103">
        <v>0.411981337330175</v>
      </c>
      <c r="E103">
        <v>142.28114985656961</v>
      </c>
      <c r="F103">
        <v>53.586064718818676</v>
      </c>
      <c r="G103">
        <v>71.170346007352762</v>
      </c>
      <c r="H103">
        <v>66.575834412586019</v>
      </c>
      <c r="J103">
        <v>51.08235769992924</v>
      </c>
      <c r="L103">
        <v>6.8270770194974899</v>
      </c>
      <c r="M103">
        <v>14.208699385728767</v>
      </c>
      <c r="N103">
        <v>2.2024546399669447</v>
      </c>
      <c r="O103">
        <v>33.711073992078482</v>
      </c>
      <c r="P103">
        <v>9.5757170250107233</v>
      </c>
      <c r="R103">
        <v>17.016389344757169</v>
      </c>
      <c r="S103">
        <v>52.884305126869478</v>
      </c>
      <c r="U103">
        <v>1.7367352565539358</v>
      </c>
      <c r="V103">
        <v>48.614877022116183</v>
      </c>
      <c r="W103">
        <v>25.353878061011081</v>
      </c>
      <c r="X103">
        <v>42.91826097917216</v>
      </c>
      <c r="Y103">
        <v>7.3323373211868654</v>
      </c>
      <c r="Z103">
        <v>26.136605115297964</v>
      </c>
      <c r="AA103">
        <v>6.3151377984160204</v>
      </c>
      <c r="AB103">
        <v>36.993755916738259</v>
      </c>
      <c r="AD103">
        <v>5.2792832132727341</v>
      </c>
      <c r="AE103">
        <v>11.070892725918915</v>
      </c>
      <c r="AF103">
        <v>13.828666804301024</v>
      </c>
      <c r="AG103">
        <v>22.584036316149454</v>
      </c>
      <c r="AH103">
        <v>3.4140455379325187</v>
      </c>
      <c r="AI103">
        <v>2.1390673870476853</v>
      </c>
      <c r="AK103">
        <v>44.316595804432545</v>
      </c>
    </row>
    <row r="104" spans="1:37" x14ac:dyDescent="0.2">
      <c r="A104">
        <v>103</v>
      </c>
      <c r="B104">
        <v>760</v>
      </c>
      <c r="C104">
        <v>175</v>
      </c>
      <c r="D104">
        <v>0.41134443207665999</v>
      </c>
      <c r="E104">
        <v>141.99621072469142</v>
      </c>
      <c r="F104">
        <v>52.003644374033819</v>
      </c>
      <c r="G104">
        <v>70.905224380614911</v>
      </c>
      <c r="H104">
        <v>66.308225836645548</v>
      </c>
      <c r="J104">
        <v>50.552241713192778</v>
      </c>
      <c r="L104">
        <v>6.3691552526602679</v>
      </c>
      <c r="M104">
        <v>14.236658279362679</v>
      </c>
      <c r="N104">
        <v>2.2044240416935552</v>
      </c>
      <c r="O104">
        <v>31.944510530685296</v>
      </c>
      <c r="P104">
        <v>9.0688625609368483</v>
      </c>
      <c r="R104">
        <v>16.363604472803129</v>
      </c>
      <c r="S104">
        <v>51.933399827801431</v>
      </c>
      <c r="U104">
        <v>1.7387335951011882</v>
      </c>
      <c r="V104">
        <v>48.539237996566229</v>
      </c>
      <c r="W104">
        <v>25.13662774866604</v>
      </c>
      <c r="X104">
        <v>42.966333432973251</v>
      </c>
      <c r="Y104">
        <v>6.8338030118070581</v>
      </c>
      <c r="Z104">
        <v>25.201641774646454</v>
      </c>
      <c r="AA104">
        <v>5.8538953038476462</v>
      </c>
      <c r="AB104">
        <v>36.62676681184287</v>
      </c>
      <c r="AD104">
        <v>4.7171874939207079</v>
      </c>
      <c r="AE104">
        <v>10.7059093183101</v>
      </c>
      <c r="AF104">
        <v>13.855488069932846</v>
      </c>
      <c r="AG104">
        <v>22.202172989873034</v>
      </c>
      <c r="AH104">
        <v>2.679485674134666</v>
      </c>
      <c r="AI104">
        <v>2.1407575003103028</v>
      </c>
      <c r="AK104">
        <v>43.987870251284122</v>
      </c>
    </row>
    <row r="105" spans="1:37" x14ac:dyDescent="0.2">
      <c r="A105">
        <v>104</v>
      </c>
      <c r="B105">
        <v>759</v>
      </c>
      <c r="C105">
        <v>175</v>
      </c>
      <c r="D105">
        <v>0.41070629269001901</v>
      </c>
      <c r="E105">
        <v>141.68155516530064</v>
      </c>
      <c r="F105">
        <v>50.181647951018221</v>
      </c>
      <c r="G105">
        <v>70.603820241722616</v>
      </c>
      <c r="H105">
        <v>66.004347706092389</v>
      </c>
      <c r="J105">
        <v>49.885750900281096</v>
      </c>
      <c r="L105">
        <v>5.839634623309335</v>
      </c>
      <c r="M105">
        <v>14.264483862590355</v>
      </c>
      <c r="N105">
        <v>2.2063908551509819</v>
      </c>
      <c r="O105">
        <v>29.926201576902027</v>
      </c>
      <c r="P105">
        <v>8.4894481297900626</v>
      </c>
      <c r="R105">
        <v>15.597087987906754</v>
      </c>
      <c r="S105">
        <v>50.740562134789045</v>
      </c>
      <c r="U105">
        <v>1.7471545915759981</v>
      </c>
      <c r="V105">
        <v>48.419181332623417</v>
      </c>
      <c r="W105">
        <v>24.92614779456763</v>
      </c>
      <c r="X105">
        <v>43.033189844426403</v>
      </c>
      <c r="Y105">
        <v>6.2618279584384755</v>
      </c>
      <c r="Z105">
        <v>24.097225126925373</v>
      </c>
      <c r="AA105">
        <v>5.3218169455771127</v>
      </c>
      <c r="AB105">
        <v>36.136505116488621</v>
      </c>
      <c r="AD105">
        <v>4.0548452548333698</v>
      </c>
      <c r="AE105">
        <v>10.269628642459873</v>
      </c>
      <c r="AF105">
        <v>13.882173735436222</v>
      </c>
      <c r="AG105">
        <v>21.697036982675598</v>
      </c>
      <c r="AH105">
        <v>1.8310152678405793</v>
      </c>
      <c r="AI105">
        <v>2.1424442017535772</v>
      </c>
      <c r="AK105">
        <v>43.585517166154595</v>
      </c>
    </row>
    <row r="106" spans="1:37" x14ac:dyDescent="0.2">
      <c r="A106">
        <v>105</v>
      </c>
      <c r="B106">
        <v>758</v>
      </c>
      <c r="C106">
        <v>175</v>
      </c>
      <c r="D106">
        <v>0.41006691557969399</v>
      </c>
      <c r="E106">
        <v>141.23180305826551</v>
      </c>
      <c r="F106">
        <v>47.323548033322595</v>
      </c>
      <c r="G106">
        <v>70.155269881318318</v>
      </c>
      <c r="H106">
        <v>65.553336332247127</v>
      </c>
      <c r="J106">
        <v>48.702359215754029</v>
      </c>
      <c r="L106">
        <v>5.0221867912733869</v>
      </c>
      <c r="M106">
        <v>14.274513477519697</v>
      </c>
      <c r="N106">
        <v>2.2083507800261533</v>
      </c>
      <c r="O106">
        <v>26.871097776010735</v>
      </c>
      <c r="P106">
        <v>7.615742035021035</v>
      </c>
      <c r="R106">
        <v>14.384723283051908</v>
      </c>
      <c r="S106">
        <v>48.786322509034832</v>
      </c>
      <c r="U106">
        <v>1.7588859642855794</v>
      </c>
      <c r="V106">
        <v>48.20178804698245</v>
      </c>
      <c r="W106">
        <v>24.735034120044787</v>
      </c>
      <c r="X106">
        <v>43.108754125876246</v>
      </c>
      <c r="Y106">
        <v>5.3910091023811395</v>
      </c>
      <c r="Z106">
        <v>22.244081051515494</v>
      </c>
      <c r="AA106">
        <v>4.5014556256599025</v>
      </c>
      <c r="AB106">
        <v>35.244342146508934</v>
      </c>
      <c r="AD106">
        <v>2.9581793126398859</v>
      </c>
      <c r="AE106">
        <v>9.5088832199695847</v>
      </c>
      <c r="AF106">
        <v>13.89105684816435</v>
      </c>
      <c r="AG106">
        <v>20.789995315932725</v>
      </c>
      <c r="AH106">
        <v>0.51489404500883285</v>
      </c>
      <c r="AI106">
        <v>2.1441231892268213</v>
      </c>
      <c r="AK106">
        <v>42.864341080703916</v>
      </c>
    </row>
    <row r="107" spans="1:37" x14ac:dyDescent="0.2">
      <c r="A107">
        <v>106</v>
      </c>
      <c r="B107">
        <v>757</v>
      </c>
      <c r="C107">
        <v>175</v>
      </c>
      <c r="D107">
        <v>0.40942629714119499</v>
      </c>
      <c r="E107">
        <v>141.54656003403235</v>
      </c>
      <c r="F107">
        <v>47.104859801071846</v>
      </c>
      <c r="G107">
        <v>70.398458349230694</v>
      </c>
      <c r="H107">
        <v>65.794076785656159</v>
      </c>
      <c r="J107">
        <v>39.117951981788678</v>
      </c>
      <c r="L107">
        <v>3.8788928448695335</v>
      </c>
      <c r="M107">
        <v>14.158540650349186</v>
      </c>
      <c r="N107">
        <v>2.2103525285529662</v>
      </c>
      <c r="O107">
        <v>19.023941880654213</v>
      </c>
      <c r="P107">
        <v>8.1255631110569961</v>
      </c>
      <c r="R107">
        <v>13.128082087132642</v>
      </c>
      <c r="S107">
        <v>44.672654266348459</v>
      </c>
      <c r="U107">
        <v>1.7808880743755651</v>
      </c>
      <c r="V107">
        <v>47.913886172989081</v>
      </c>
      <c r="W107">
        <v>24.50380784505338</v>
      </c>
      <c r="X107">
        <v>43.210135019550798</v>
      </c>
      <c r="Y107">
        <v>4.7232039040638965</v>
      </c>
      <c r="Z107">
        <v>19.503188529764863</v>
      </c>
      <c r="AA107">
        <v>2.9615386445117764</v>
      </c>
      <c r="AB107">
        <v>33.176184599092998</v>
      </c>
      <c r="AD107">
        <v>1.5241876123601119</v>
      </c>
      <c r="AE107">
        <v>7.7832243651150606</v>
      </c>
      <c r="AF107">
        <v>13.773979652123691</v>
      </c>
      <c r="AG107">
        <v>18.707003404943794</v>
      </c>
      <c r="AI107">
        <v>2.1458431731256185</v>
      </c>
      <c r="AK107">
        <v>36.61279757108835</v>
      </c>
    </row>
    <row r="108" spans="1:37" x14ac:dyDescent="0.2">
      <c r="A108">
        <v>107</v>
      </c>
      <c r="B108">
        <v>756</v>
      </c>
      <c r="C108">
        <v>175</v>
      </c>
      <c r="D108">
        <v>0.40878443375601398</v>
      </c>
      <c r="E108">
        <v>141.68367244802766</v>
      </c>
      <c r="F108">
        <v>46.978075079957641</v>
      </c>
      <c r="G108">
        <v>70.480710879806551</v>
      </c>
      <c r="H108">
        <v>65.873894321423137</v>
      </c>
      <c r="J108">
        <v>33.724100001192532</v>
      </c>
      <c r="L108">
        <v>2.8950806246380671</v>
      </c>
      <c r="M108">
        <v>14.015366387258359</v>
      </c>
      <c r="N108">
        <v>2.2123470215984562</v>
      </c>
      <c r="O108">
        <v>13.468281864205634</v>
      </c>
      <c r="P108">
        <v>8.3135127700604112</v>
      </c>
      <c r="R108">
        <v>12.026656002283357</v>
      </c>
      <c r="S108">
        <v>41.767122565211089</v>
      </c>
      <c r="U108">
        <v>1.772876335093009</v>
      </c>
      <c r="V108">
        <v>47.866385932179831</v>
      </c>
      <c r="W108">
        <v>24.268322449372093</v>
      </c>
      <c r="X108">
        <v>43.225464844727668</v>
      </c>
      <c r="Y108">
        <v>3.9764967602455688</v>
      </c>
      <c r="Z108">
        <v>18.176855763918653</v>
      </c>
      <c r="AA108">
        <v>1.7732850482661597</v>
      </c>
      <c r="AB108">
        <v>32.364513971004705</v>
      </c>
      <c r="AD108">
        <v>0.73473349567511503</v>
      </c>
      <c r="AE108">
        <v>6.9875736168400726</v>
      </c>
      <c r="AF108">
        <v>13.629694079947356</v>
      </c>
      <c r="AG108">
        <v>17.880493673235236</v>
      </c>
      <c r="AI108">
        <v>2.1475550724788044</v>
      </c>
      <c r="AK108">
        <v>33.046096939221194</v>
      </c>
    </row>
    <row r="109" spans="1:37" x14ac:dyDescent="0.2">
      <c r="A109">
        <v>108</v>
      </c>
      <c r="B109">
        <v>755</v>
      </c>
      <c r="C109">
        <v>175</v>
      </c>
      <c r="D109">
        <v>0.40814132179156798</v>
      </c>
      <c r="E109">
        <v>141.78514850371462</v>
      </c>
      <c r="F109">
        <v>47.02137417694918</v>
      </c>
      <c r="G109">
        <v>70.528716487343075</v>
      </c>
      <c r="H109">
        <v>65.919477974644508</v>
      </c>
      <c r="J109">
        <v>29.927474548607801</v>
      </c>
      <c r="L109">
        <v>2.0714234854151146</v>
      </c>
      <c r="M109">
        <v>13.860058562345642</v>
      </c>
      <c r="N109">
        <v>2.2143394602947759</v>
      </c>
      <c r="O109">
        <v>9.1845417809026184</v>
      </c>
      <c r="P109">
        <v>8.4329742644191388</v>
      </c>
      <c r="R109">
        <v>11.084513880457543</v>
      </c>
      <c r="S109">
        <v>39.493580323490235</v>
      </c>
      <c r="U109">
        <v>1.7574193673991148</v>
      </c>
      <c r="V109">
        <v>47.899043289617055</v>
      </c>
      <c r="W109">
        <v>24.026271344215317</v>
      </c>
      <c r="X109">
        <v>43.219619898442552</v>
      </c>
      <c r="Y109">
        <v>3.2767390495834117</v>
      </c>
      <c r="Z109">
        <v>17.424045164479594</v>
      </c>
      <c r="AA109">
        <v>0.82709981569096269</v>
      </c>
      <c r="AB109">
        <v>31.979464114059535</v>
      </c>
      <c r="AD109">
        <v>0.22735803702888557</v>
      </c>
      <c r="AE109">
        <v>6.5360173988024588</v>
      </c>
      <c r="AF109">
        <v>13.473273212463058</v>
      </c>
      <c r="AG109">
        <v>17.480605179666366</v>
      </c>
      <c r="AI109">
        <v>2.1492640865796369</v>
      </c>
      <c r="AK109">
        <v>30.516669217784138</v>
      </c>
    </row>
    <row r="110" spans="1:37" x14ac:dyDescent="0.2">
      <c r="A110">
        <v>109</v>
      </c>
      <c r="B110">
        <v>754</v>
      </c>
      <c r="C110">
        <v>175</v>
      </c>
      <c r="D110">
        <v>0.40749695760112897</v>
      </c>
      <c r="E110">
        <v>141.82764284719053</v>
      </c>
      <c r="F110">
        <v>47.370447948052934</v>
      </c>
      <c r="G110">
        <v>70.504248269039451</v>
      </c>
      <c r="H110">
        <v>65.892600863357785</v>
      </c>
      <c r="J110">
        <v>26.62963410367415</v>
      </c>
      <c r="L110">
        <v>1.5710660415989732</v>
      </c>
      <c r="M110">
        <v>13.673036132124324</v>
      </c>
      <c r="N110">
        <v>2.2163266071875887</v>
      </c>
      <c r="O110">
        <v>6.7486355925322545</v>
      </c>
      <c r="P110">
        <v>8.4074905738050365</v>
      </c>
      <c r="R110">
        <v>10.394313318510942</v>
      </c>
      <c r="S110">
        <v>38.227729576721885</v>
      </c>
      <c r="U110">
        <v>1.739542165860481</v>
      </c>
      <c r="V110">
        <v>48.025584846884051</v>
      </c>
      <c r="W110">
        <v>23.754338644439006</v>
      </c>
      <c r="X110">
        <v>43.20706531185327</v>
      </c>
      <c r="Y110">
        <v>2.701682966545663</v>
      </c>
      <c r="Z110">
        <v>17.75815818047591</v>
      </c>
      <c r="AB110">
        <v>32.289733623553609</v>
      </c>
      <c r="AE110">
        <v>6.7256244268003034</v>
      </c>
      <c r="AF110">
        <v>13.285132774341545</v>
      </c>
      <c r="AG110">
        <v>17.776033288012083</v>
      </c>
      <c r="AI110">
        <v>2.1509669761355807</v>
      </c>
      <c r="AK110">
        <v>28.301677905161121</v>
      </c>
    </row>
    <row r="111" spans="1:37" x14ac:dyDescent="0.2">
      <c r="A111">
        <v>110</v>
      </c>
      <c r="B111">
        <v>753</v>
      </c>
      <c r="C111">
        <v>175</v>
      </c>
      <c r="D111">
        <v>0.40685133752375702</v>
      </c>
      <c r="E111">
        <v>141.87975873141565</v>
      </c>
      <c r="F111">
        <v>47.640255273287337</v>
      </c>
      <c r="G111">
        <v>70.47773137028237</v>
      </c>
      <c r="H111">
        <v>65.863688153828505</v>
      </c>
      <c r="J111">
        <v>23.741201868928474</v>
      </c>
      <c r="L111">
        <v>1.5785527621241673</v>
      </c>
      <c r="M111">
        <v>13.459362615368631</v>
      </c>
      <c r="N111">
        <v>2.2183126448778925</v>
      </c>
      <c r="O111">
        <v>6.6987338638180169</v>
      </c>
      <c r="P111">
        <v>8.3779161943814149</v>
      </c>
      <c r="R111">
        <v>10.203361790324287</v>
      </c>
      <c r="S111">
        <v>38.336146884570418</v>
      </c>
      <c r="U111">
        <v>1.7199484908132376</v>
      </c>
      <c r="V111">
        <v>48.266759487609789</v>
      </c>
      <c r="W111">
        <v>23.457014257874455</v>
      </c>
      <c r="X111">
        <v>43.189806632539579</v>
      </c>
      <c r="Y111">
        <v>2.4305898224533933</v>
      </c>
      <c r="Z111">
        <v>17.935150690637983</v>
      </c>
      <c r="AB111">
        <v>32.549724793218381</v>
      </c>
      <c r="AE111">
        <v>6.8228632421296904</v>
      </c>
      <c r="AF111">
        <v>13.070340472580323</v>
      </c>
      <c r="AG111">
        <v>18.021184480556347</v>
      </c>
      <c r="AI111">
        <v>2.1526679219078066</v>
      </c>
      <c r="AK111">
        <v>26.345559217106739</v>
      </c>
    </row>
    <row r="112" spans="1:37" x14ac:dyDescent="0.2">
      <c r="A112">
        <v>111</v>
      </c>
      <c r="B112">
        <v>793</v>
      </c>
      <c r="C112">
        <v>150</v>
      </c>
      <c r="D112">
        <v>0.45752520752239401</v>
      </c>
      <c r="E112">
        <v>131.87829275790349</v>
      </c>
      <c r="F112">
        <v>70.967713733604597</v>
      </c>
      <c r="G112">
        <v>74.283082963736305</v>
      </c>
      <c r="H112">
        <v>69.774116562971884</v>
      </c>
      <c r="J112">
        <v>53.769343221865853</v>
      </c>
      <c r="L112">
        <v>11.693072432178633</v>
      </c>
      <c r="M112">
        <v>14.221748552433327</v>
      </c>
      <c r="N112">
        <v>2.400049924369867</v>
      </c>
      <c r="O112">
        <v>56.269687721894279</v>
      </c>
      <c r="P112">
        <v>15.176426735779327</v>
      </c>
      <c r="R112">
        <v>24.501461329346725</v>
      </c>
      <c r="S112">
        <v>61.634621390369453</v>
      </c>
      <c r="U112">
        <v>2.6393955728397818</v>
      </c>
      <c r="V112">
        <v>48.035860490800758</v>
      </c>
      <c r="W112">
        <v>31.083986587957234</v>
      </c>
      <c r="X112">
        <v>42.133984835399872</v>
      </c>
      <c r="Y112">
        <v>12.570566297472876</v>
      </c>
      <c r="Z112">
        <v>36.266764254444844</v>
      </c>
      <c r="AA112">
        <v>11.373824652981973</v>
      </c>
      <c r="AB112">
        <v>39.575601284025538</v>
      </c>
      <c r="AC112">
        <v>0.35251146553860779</v>
      </c>
      <c r="AD112">
        <v>11.061915522015086</v>
      </c>
      <c r="AE112">
        <v>15.454359576515852</v>
      </c>
      <c r="AF112">
        <v>14.216109205738162</v>
      </c>
      <c r="AG112">
        <v>26.010527300543171</v>
      </c>
      <c r="AH112">
        <v>10.345815117895377</v>
      </c>
      <c r="AI112">
        <v>2.3421662454412671</v>
      </c>
      <c r="AK112">
        <v>45.685542911633</v>
      </c>
    </row>
    <row r="113" spans="1:37" x14ac:dyDescent="0.2">
      <c r="A113">
        <v>112</v>
      </c>
      <c r="B113">
        <v>792</v>
      </c>
      <c r="C113">
        <v>150</v>
      </c>
      <c r="D113">
        <v>0.456950194808243</v>
      </c>
      <c r="E113">
        <v>131.76624417995779</v>
      </c>
      <c r="F113">
        <v>70.507866974275515</v>
      </c>
      <c r="G113">
        <v>74.203624595065421</v>
      </c>
      <c r="H113">
        <v>69.691757036634542</v>
      </c>
      <c r="J113">
        <v>53.739317603842323</v>
      </c>
      <c r="L113">
        <v>11.566397121679319</v>
      </c>
      <c r="M113">
        <v>14.238673703539298</v>
      </c>
      <c r="N113">
        <v>2.382719491548563</v>
      </c>
      <c r="O113">
        <v>55.648881264030287</v>
      </c>
      <c r="P113">
        <v>15.021356325766144</v>
      </c>
      <c r="R113">
        <v>24.340251281247241</v>
      </c>
      <c r="S113">
        <v>61.54319568017916</v>
      </c>
      <c r="U113">
        <v>2.6258312579804022</v>
      </c>
      <c r="V113">
        <v>48.092722867995533</v>
      </c>
      <c r="W113">
        <v>30.968472736078887</v>
      </c>
      <c r="X113">
        <v>42.152047761970678</v>
      </c>
      <c r="Y113">
        <v>12.429716061935048</v>
      </c>
      <c r="Z113">
        <v>36.015322690411324</v>
      </c>
      <c r="AA113">
        <v>11.23848367188967</v>
      </c>
      <c r="AB113">
        <v>39.578157556288708</v>
      </c>
      <c r="AC113">
        <v>0.33319102182374943</v>
      </c>
      <c r="AD113">
        <v>10.925004002760904</v>
      </c>
      <c r="AE113">
        <v>15.348066301696585</v>
      </c>
      <c r="AF113">
        <v>14.212586478676632</v>
      </c>
      <c r="AG113">
        <v>25.978865455210226</v>
      </c>
      <c r="AH113">
        <v>10.17119261661729</v>
      </c>
      <c r="AI113">
        <v>2.3245830378620482</v>
      </c>
      <c r="AK113">
        <v>45.655129953594958</v>
      </c>
    </row>
    <row r="114" spans="1:37" x14ac:dyDescent="0.2">
      <c r="A114">
        <v>113</v>
      </c>
      <c r="B114">
        <v>791</v>
      </c>
      <c r="C114">
        <v>150</v>
      </c>
      <c r="D114">
        <v>0.45637410139548201</v>
      </c>
      <c r="E114">
        <v>131.65460378365572</v>
      </c>
      <c r="F114">
        <v>70.048725250301842</v>
      </c>
      <c r="G114">
        <v>74.124093495707669</v>
      </c>
      <c r="H114">
        <v>69.609337098341143</v>
      </c>
      <c r="J114">
        <v>53.708430474876337</v>
      </c>
      <c r="L114">
        <v>11.438952982270113</v>
      </c>
      <c r="M114">
        <v>14.255945730351954</v>
      </c>
      <c r="N114">
        <v>2.3653409700707533</v>
      </c>
      <c r="O114">
        <v>55.027509573809731</v>
      </c>
      <c r="P114">
        <v>14.866099320323759</v>
      </c>
      <c r="R114">
        <v>24.177404293950563</v>
      </c>
      <c r="S114">
        <v>61.448214971921516</v>
      </c>
      <c r="U114">
        <v>2.6128381691254732</v>
      </c>
      <c r="V114">
        <v>48.148161876730768</v>
      </c>
      <c r="W114">
        <v>30.853777904046687</v>
      </c>
      <c r="X114">
        <v>42.172018212602318</v>
      </c>
      <c r="Y114">
        <v>12.288647337905712</v>
      </c>
      <c r="Z114">
        <v>35.764095741654565</v>
      </c>
      <c r="AA114">
        <v>11.102885031469079</v>
      </c>
      <c r="AB114">
        <v>39.578838588209656</v>
      </c>
      <c r="AC114">
        <v>0.31382264792402292</v>
      </c>
      <c r="AD114">
        <v>10.787920443473496</v>
      </c>
      <c r="AE114">
        <v>15.241970237450674</v>
      </c>
      <c r="AF114">
        <v>14.209362671779685</v>
      </c>
      <c r="AG114">
        <v>25.945282600642667</v>
      </c>
      <c r="AH114">
        <v>9.9961755026600407</v>
      </c>
      <c r="AI114">
        <v>2.3069509766275997</v>
      </c>
      <c r="AK114">
        <v>45.624794741645537</v>
      </c>
    </row>
    <row r="115" spans="1:37" x14ac:dyDescent="0.2">
      <c r="A115">
        <v>114</v>
      </c>
      <c r="B115">
        <v>790</v>
      </c>
      <c r="C115">
        <v>150</v>
      </c>
      <c r="D115">
        <v>0.45579692423458601</v>
      </c>
      <c r="E115">
        <v>131.5433775304931</v>
      </c>
      <c r="F115">
        <v>69.590345514893258</v>
      </c>
      <c r="G115">
        <v>74.044502016758742</v>
      </c>
      <c r="H115">
        <v>69.526869118639922</v>
      </c>
      <c r="J115">
        <v>53.676672042069868</v>
      </c>
      <c r="L115">
        <v>11.310849498426224</v>
      </c>
      <c r="M115">
        <v>14.273552272976719</v>
      </c>
      <c r="N115">
        <v>2.3479167878095235</v>
      </c>
      <c r="O115">
        <v>54.405657988082623</v>
      </c>
      <c r="P115">
        <v>14.710682870112461</v>
      </c>
      <c r="R115">
        <v>24.012968594739611</v>
      </c>
      <c r="S115">
        <v>61.349586267209872</v>
      </c>
      <c r="U115">
        <v>2.6004039698815773</v>
      </c>
      <c r="V115">
        <v>48.202148973613582</v>
      </c>
      <c r="W115">
        <v>30.739899532876432</v>
      </c>
      <c r="X115">
        <v>42.193858207241405</v>
      </c>
      <c r="Y115">
        <v>12.14738570309815</v>
      </c>
      <c r="Z115">
        <v>35.513105537695658</v>
      </c>
      <c r="AA115">
        <v>10.966912809728049</v>
      </c>
      <c r="AB115">
        <v>39.577588960128672</v>
      </c>
      <c r="AC115">
        <v>0.29440877127933202</v>
      </c>
      <c r="AD115">
        <v>10.650682575477116</v>
      </c>
      <c r="AE115">
        <v>15.136074477213901</v>
      </c>
      <c r="AF115">
        <v>14.206427858197578</v>
      </c>
      <c r="AG115">
        <v>25.909725750355534</v>
      </c>
      <c r="AH115">
        <v>9.8207991875625424</v>
      </c>
      <c r="AI115">
        <v>2.2892724877916684</v>
      </c>
      <c r="AK115">
        <v>45.594550313620907</v>
      </c>
    </row>
    <row r="116" spans="1:37" x14ac:dyDescent="0.2">
      <c r="A116">
        <v>115</v>
      </c>
      <c r="B116">
        <v>789</v>
      </c>
      <c r="C116">
        <v>150</v>
      </c>
      <c r="D116">
        <v>0.45521866026455898</v>
      </c>
      <c r="E116">
        <v>131.43257097732908</v>
      </c>
      <c r="F116">
        <v>69.132784687412624</v>
      </c>
      <c r="G116">
        <v>73.964862691771899</v>
      </c>
      <c r="H116">
        <v>69.444365650574866</v>
      </c>
      <c r="J116">
        <v>53.644035740129624</v>
      </c>
      <c r="L116">
        <v>11.182187654824661</v>
      </c>
      <c r="M116">
        <v>14.291480373838562</v>
      </c>
      <c r="N116">
        <v>2.3304495055911247</v>
      </c>
      <c r="O116">
        <v>53.783413631317536</v>
      </c>
      <c r="P116">
        <v>14.555134623719729</v>
      </c>
      <c r="R116">
        <v>23.846994737343746</v>
      </c>
      <c r="S116">
        <v>61.247227625424379</v>
      </c>
      <c r="U116">
        <v>2.5885154337725118</v>
      </c>
      <c r="V116">
        <v>48.25465933686958</v>
      </c>
      <c r="W116">
        <v>30.626833793240763</v>
      </c>
      <c r="X116">
        <v>42.217527016205274</v>
      </c>
      <c r="Y116">
        <v>12.005957214787985</v>
      </c>
      <c r="Z116">
        <v>35.262374351846226</v>
      </c>
      <c r="AA116">
        <v>10.830662532810965</v>
      </c>
      <c r="AB116">
        <v>39.574358949271094</v>
      </c>
      <c r="AC116">
        <v>0.27495195228204822</v>
      </c>
      <c r="AD116">
        <v>10.513308310656623</v>
      </c>
      <c r="AE116">
        <v>15.030382076482754</v>
      </c>
      <c r="AF116">
        <v>14.203771646366436</v>
      </c>
      <c r="AG116">
        <v>25.872147747715253</v>
      </c>
      <c r="AH116">
        <v>9.6450996160746865</v>
      </c>
      <c r="AI116">
        <v>2.2715501303595373</v>
      </c>
      <c r="AK116">
        <v>45.564409947290173</v>
      </c>
    </row>
    <row r="117" spans="1:37" x14ac:dyDescent="0.2">
      <c r="A117">
        <v>116</v>
      </c>
      <c r="B117">
        <v>788</v>
      </c>
      <c r="C117">
        <v>150</v>
      </c>
      <c r="D117">
        <v>0.45463930641285699</v>
      </c>
      <c r="E117">
        <v>131.32218925570047</v>
      </c>
      <c r="F117">
        <v>68.676099371625526</v>
      </c>
      <c r="G117">
        <v>73.885188173389039</v>
      </c>
      <c r="H117">
        <v>69.361839366313973</v>
      </c>
      <c r="J117">
        <v>53.610518186878416</v>
      </c>
      <c r="L117">
        <v>11.052868126320551</v>
      </c>
      <c r="M117">
        <v>14.309716550965902</v>
      </c>
      <c r="N117">
        <v>2.3129418020172103</v>
      </c>
      <c r="O117">
        <v>53.160864954665897</v>
      </c>
      <c r="P117">
        <v>14.399482585735518</v>
      </c>
      <c r="R117">
        <v>23.67953531510636</v>
      </c>
      <c r="S117">
        <v>61.141068295754231</v>
      </c>
      <c r="U117">
        <v>2.5771585230952558</v>
      </c>
      <c r="V117">
        <v>48.305671872627094</v>
      </c>
      <c r="W117">
        <v>30.514575628870389</v>
      </c>
      <c r="X117">
        <v>42.242981405662555</v>
      </c>
      <c r="Y117">
        <v>11.864388276235614</v>
      </c>
      <c r="Z117">
        <v>35.01192448379512</v>
      </c>
      <c r="AA117">
        <v>10.694157637991971</v>
      </c>
      <c r="AB117">
        <v>39.569104632043349</v>
      </c>
      <c r="AC117">
        <v>0.25545486909971205</v>
      </c>
      <c r="AD117">
        <v>10.375815662063188</v>
      </c>
      <c r="AE117">
        <v>14.92489603289112</v>
      </c>
      <c r="AF117">
        <v>14.201383238113232</v>
      </c>
      <c r="AG117">
        <v>25.832507353062532</v>
      </c>
      <c r="AH117">
        <v>9.4691131005374487</v>
      </c>
      <c r="AI117">
        <v>2.253786581111775</v>
      </c>
      <c r="AK117">
        <v>45.534387089847677</v>
      </c>
    </row>
    <row r="118" spans="1:37" x14ac:dyDescent="0.2">
      <c r="A118">
        <v>117</v>
      </c>
      <c r="B118">
        <v>787</v>
      </c>
      <c r="C118">
        <v>150</v>
      </c>
      <c r="D118">
        <v>0.45405885959534198</v>
      </c>
      <c r="E118">
        <v>131.21223705544395</v>
      </c>
      <c r="F118">
        <v>68.220345584735924</v>
      </c>
      <c r="G118">
        <v>73.805491170827267</v>
      </c>
      <c r="H118">
        <v>69.279302994636794</v>
      </c>
      <c r="J118">
        <v>53.576119112076732</v>
      </c>
      <c r="L118">
        <v>10.922998395689476</v>
      </c>
      <c r="M118">
        <v>14.328246873562799</v>
      </c>
      <c r="N118">
        <v>2.2953964578067416</v>
      </c>
      <c r="O118">
        <v>52.538101277064605</v>
      </c>
      <c r="P118">
        <v>14.243754976078547</v>
      </c>
      <c r="R118">
        <v>23.510644667171384</v>
      </c>
      <c r="S118">
        <v>61.031048745163361</v>
      </c>
      <c r="U118">
        <v>2.5663184719314542</v>
      </c>
      <c r="V118">
        <v>48.355169189320854</v>
      </c>
      <c r="W118">
        <v>30.403118808468154</v>
      </c>
      <c r="X118">
        <v>42.270175897462074</v>
      </c>
      <c r="Y118">
        <v>11.722705504191257</v>
      </c>
      <c r="Z118">
        <v>34.761778144468927</v>
      </c>
      <c r="AA118">
        <v>10.557421980769213</v>
      </c>
      <c r="AB118">
        <v>39.561787931089121</v>
      </c>
      <c r="AC118">
        <v>0.23592030201705608</v>
      </c>
      <c r="AD118">
        <v>10.238222665201599</v>
      </c>
      <c r="AE118">
        <v>14.819619266855879</v>
      </c>
      <c r="AF118">
        <v>14.19925148856754</v>
      </c>
      <c r="AG118">
        <v>25.79076927510884</v>
      </c>
      <c r="AH118">
        <v>9.2928761563993927</v>
      </c>
      <c r="AI118">
        <v>2.2359846189448609</v>
      </c>
      <c r="AK118">
        <v>45.504495288447565</v>
      </c>
    </row>
    <row r="119" spans="1:37" x14ac:dyDescent="0.2">
      <c r="A119">
        <v>118</v>
      </c>
      <c r="B119">
        <v>786</v>
      </c>
      <c r="C119">
        <v>150</v>
      </c>
      <c r="D119">
        <v>0.45347731671623798</v>
      </c>
      <c r="E119">
        <v>131.10271861167419</v>
      </c>
      <c r="F119">
        <v>67.765578497641442</v>
      </c>
      <c r="G119">
        <v>73.72578438875334</v>
      </c>
      <c r="H119">
        <v>69.196769259811603</v>
      </c>
      <c r="J119">
        <v>53.540841260543324</v>
      </c>
      <c r="L119">
        <v>10.792615200874854</v>
      </c>
      <c r="M119">
        <v>14.347057038412071</v>
      </c>
      <c r="N119">
        <v>2.2778163397307911</v>
      </c>
      <c r="O119">
        <v>51.915212333085599</v>
      </c>
      <c r="P119">
        <v>14.087980091673483</v>
      </c>
      <c r="R119">
        <v>23.340378580416466</v>
      </c>
      <c r="S119">
        <v>60.917120584982591</v>
      </c>
      <c r="U119">
        <v>2.5559798720453699</v>
      </c>
      <c r="V119">
        <v>48.403137541017976</v>
      </c>
      <c r="W119">
        <v>30.292455985320025</v>
      </c>
      <c r="X119">
        <v>42.299063036811198</v>
      </c>
      <c r="Y119">
        <v>11.580935598562126</v>
      </c>
      <c r="Z119">
        <v>34.51195734486376</v>
      </c>
      <c r="AA119">
        <v>10.420542511728097</v>
      </c>
      <c r="AB119">
        <v>39.552376609283336</v>
      </c>
      <c r="AC119">
        <v>0.21635111737034127</v>
      </c>
      <c r="AD119">
        <v>10.100547300996844</v>
      </c>
      <c r="AE119">
        <v>14.714554603388649</v>
      </c>
      <c r="AF119">
        <v>14.197364966503788</v>
      </c>
      <c r="AG119">
        <v>25.746904148865514</v>
      </c>
      <c r="AH119">
        <v>9.1164253403500517</v>
      </c>
      <c r="AI119">
        <v>2.2181471088068032</v>
      </c>
      <c r="AK119">
        <v>45.474748121481475</v>
      </c>
    </row>
    <row r="120" spans="1:37" x14ac:dyDescent="0.2">
      <c r="A120">
        <v>119</v>
      </c>
      <c r="B120">
        <v>785</v>
      </c>
      <c r="C120">
        <v>150</v>
      </c>
      <c r="D120">
        <v>0.452894674668055</v>
      </c>
      <c r="E120">
        <v>130.99363769577749</v>
      </c>
      <c r="F120">
        <v>67.311852190997172</v>
      </c>
      <c r="G120">
        <v>73.646080468436452</v>
      </c>
      <c r="H120">
        <v>69.114250822743614</v>
      </c>
      <c r="J120">
        <v>53.504690273050684</v>
      </c>
      <c r="L120">
        <v>10.66175541058529</v>
      </c>
      <c r="M120">
        <v>14.366132446412104</v>
      </c>
      <c r="N120">
        <v>2.260204384458635</v>
      </c>
      <c r="O120">
        <v>51.292287833720955</v>
      </c>
      <c r="P120">
        <v>13.932186172604968</v>
      </c>
      <c r="R120">
        <v>23.168793992226323</v>
      </c>
      <c r="S120">
        <v>60.799246403899225</v>
      </c>
      <c r="U120">
        <v>2.5461267604893165</v>
      </c>
      <c r="V120">
        <v>48.449566743027162</v>
      </c>
      <c r="W120">
        <v>30.182578763377204</v>
      </c>
      <c r="X120">
        <v>42.329593665598715</v>
      </c>
      <c r="Y120">
        <v>11.439105216206267</v>
      </c>
      <c r="Z120">
        <v>34.262483789902525</v>
      </c>
      <c r="AA120">
        <v>10.283412726090551</v>
      </c>
      <c r="AB120">
        <v>39.540844213491603</v>
      </c>
      <c r="AC120">
        <v>0.19675025139379962</v>
      </c>
      <c r="AD120">
        <v>9.9628074213557927</v>
      </c>
      <c r="AE120">
        <v>14.609704755010899</v>
      </c>
      <c r="AF120">
        <v>14.195712014720053</v>
      </c>
      <c r="AG120">
        <v>25.700888463248521</v>
      </c>
      <c r="AH120">
        <v>8.939797093465808</v>
      </c>
      <c r="AI120">
        <v>2.2002769855440474</v>
      </c>
      <c r="AK120">
        <v>45.445159132256258</v>
      </c>
    </row>
    <row r="121" spans="1:37" x14ac:dyDescent="0.2">
      <c r="A121">
        <v>120</v>
      </c>
      <c r="B121">
        <v>784</v>
      </c>
      <c r="C121">
        <v>150</v>
      </c>
      <c r="D121">
        <v>0.45231093033155201</v>
      </c>
      <c r="E121">
        <v>130.88499761018184</v>
      </c>
      <c r="F121">
        <v>66.859219430509427</v>
      </c>
      <c r="G121">
        <v>73.566391932065372</v>
      </c>
      <c r="H121">
        <v>69.031760225296722</v>
      </c>
      <c r="J121">
        <v>53.467674547395525</v>
      </c>
      <c r="L121">
        <v>10.530455770785062</v>
      </c>
      <c r="M121">
        <v>14.385458277360641</v>
      </c>
      <c r="N121">
        <v>2.2425635826221257</v>
      </c>
      <c r="O121">
        <v>50.669417047773955</v>
      </c>
      <c r="P121">
        <v>13.776401274815624</v>
      </c>
      <c r="R121">
        <v>22.995948697363019</v>
      </c>
      <c r="S121">
        <v>60.677399511652659</v>
      </c>
      <c r="U121">
        <v>2.5367427069020927</v>
      </c>
      <c r="V121">
        <v>48.494450060820391</v>
      </c>
      <c r="W121">
        <v>30.073477767987637</v>
      </c>
      <c r="X121">
        <v>42.36171719426104</v>
      </c>
      <c r="Y121">
        <v>11.297240850841414</v>
      </c>
      <c r="Z121">
        <v>34.013378779611493</v>
      </c>
      <c r="AA121">
        <v>10.146125457536749</v>
      </c>
      <c r="AB121">
        <v>39.527169970632364</v>
      </c>
      <c r="AC121">
        <v>0.1771206942842394</v>
      </c>
      <c r="AD121">
        <v>9.8250206787762835</v>
      </c>
      <c r="AE121">
        <v>14.505072306440212</v>
      </c>
      <c r="AF121">
        <v>14.194280808890911</v>
      </c>
      <c r="AG121">
        <v>25.652704441208183</v>
      </c>
      <c r="AH121">
        <v>8.7630275918551099</v>
      </c>
      <c r="AI121">
        <v>2.1823772379632862</v>
      </c>
      <c r="AK121">
        <v>45.415741765893159</v>
      </c>
    </row>
    <row r="122" spans="1:37" x14ac:dyDescent="0.2">
      <c r="A122">
        <v>121</v>
      </c>
      <c r="B122">
        <v>783</v>
      </c>
      <c r="C122">
        <v>150</v>
      </c>
      <c r="D122">
        <v>0.45172608057567798</v>
      </c>
      <c r="E122">
        <v>130.77680118681238</v>
      </c>
      <c r="F122">
        <v>66.407731461110473</v>
      </c>
      <c r="G122">
        <v>73.486731130322909</v>
      </c>
      <c r="H122">
        <v>68.949309837864718</v>
      </c>
      <c r="J122">
        <v>53.429805083253072</v>
      </c>
      <c r="L122">
        <v>10.398752715863672</v>
      </c>
      <c r="M122">
        <v>14.405019563493424</v>
      </c>
      <c r="N122">
        <v>2.2248969631087028</v>
      </c>
      <c r="O122">
        <v>50.046688403713027</v>
      </c>
      <c r="P122">
        <v>13.620653149550751</v>
      </c>
      <c r="R122">
        <v>22.821901062959075</v>
      </c>
      <c r="S122">
        <v>60.551563607495105</v>
      </c>
      <c r="U122">
        <v>2.527810900952379</v>
      </c>
      <c r="V122">
        <v>48.537784078027038</v>
      </c>
      <c r="W122">
        <v>29.965142721248377</v>
      </c>
      <c r="X122">
        <v>42.395381873550775</v>
      </c>
      <c r="Y122">
        <v>11.155368719237499</v>
      </c>
      <c r="Z122">
        <v>33.764663116838562</v>
      </c>
      <c r="AA122">
        <v>10.008704985327277</v>
      </c>
      <c r="AB122">
        <v>39.511338642341848</v>
      </c>
      <c r="AC122">
        <v>0.15746547449312567</v>
      </c>
      <c r="AD122">
        <v>9.6872044597967353</v>
      </c>
      <c r="AE122">
        <v>14.400659700532795</v>
      </c>
      <c r="AF122">
        <v>14.193059415393716</v>
      </c>
      <c r="AG122">
        <v>25.602339878681608</v>
      </c>
      <c r="AH122">
        <v>8.5861526003831354</v>
      </c>
      <c r="AI122">
        <v>2.1644508931277313</v>
      </c>
      <c r="AK122">
        <v>45.386509309700784</v>
      </c>
    </row>
    <row r="123" spans="1:37" x14ac:dyDescent="0.2">
      <c r="A123">
        <v>122</v>
      </c>
      <c r="B123">
        <v>782</v>
      </c>
      <c r="C123">
        <v>150</v>
      </c>
      <c r="D123">
        <v>0.451140122257502</v>
      </c>
      <c r="E123">
        <v>130.66905078879537</v>
      </c>
      <c r="F123">
        <v>65.957437822655478</v>
      </c>
      <c r="G123">
        <v>73.407110193973651</v>
      </c>
      <c r="H123">
        <v>68.866911810961341</v>
      </c>
      <c r="J123">
        <v>53.391095313279251</v>
      </c>
      <c r="L123">
        <v>10.266682218287057</v>
      </c>
      <c r="M123">
        <v>14.424801259821384</v>
      </c>
      <c r="N123">
        <v>2.2072075778739695</v>
      </c>
      <c r="O123">
        <v>49.424189118883731</v>
      </c>
      <c r="P123">
        <v>13.464969131340956</v>
      </c>
      <c r="R123">
        <v>22.646709753975863</v>
      </c>
      <c r="S123">
        <v>60.421732378527295</v>
      </c>
      <c r="U123">
        <v>2.5193142373026691</v>
      </c>
      <c r="V123">
        <v>48.579568544455093</v>
      </c>
      <c r="W123">
        <v>29.857562519892983</v>
      </c>
      <c r="X123">
        <v>42.43053505945943</v>
      </c>
      <c r="Y123">
        <v>11.013514655411832</v>
      </c>
      <c r="Z123">
        <v>33.516357023700792</v>
      </c>
      <c r="AA123">
        <v>9.871175423424706</v>
      </c>
      <c r="AB123">
        <v>39.493340341454207</v>
      </c>
      <c r="AC123">
        <v>0.137787643540318</v>
      </c>
      <c r="AD123">
        <v>9.5493758236231709</v>
      </c>
      <c r="AE123">
        <v>14.296469226186165</v>
      </c>
      <c r="AF123">
        <v>14.192035846462911</v>
      </c>
      <c r="AG123">
        <v>25.54978794589362</v>
      </c>
      <c r="AH123">
        <v>8.40920736799014</v>
      </c>
      <c r="AI123">
        <v>2.1465010011666621</v>
      </c>
      <c r="AK123">
        <v>45.357474837684165</v>
      </c>
    </row>
    <row r="124" spans="1:37" x14ac:dyDescent="0.2">
      <c r="A124">
        <v>123</v>
      </c>
      <c r="B124">
        <v>781</v>
      </c>
      <c r="C124">
        <v>150</v>
      </c>
      <c r="D124">
        <v>0.45055305222216901</v>
      </c>
      <c r="E124">
        <v>130.56174831550456</v>
      </c>
      <c r="F124">
        <v>65.508386188061152</v>
      </c>
      <c r="G124">
        <v>73.327540989711892</v>
      </c>
      <c r="H124">
        <v>68.784578031066815</v>
      </c>
      <c r="J124">
        <v>53.351560924182678</v>
      </c>
      <c r="L124">
        <v>10.134279663056553</v>
      </c>
      <c r="M124">
        <v>14.444788311236875</v>
      </c>
      <c r="N124">
        <v>2.189498487403045</v>
      </c>
      <c r="O124">
        <v>48.802004857657096</v>
      </c>
      <c r="P124">
        <v>13.309376035166672</v>
      </c>
      <c r="R124">
        <v>22.470433472385583</v>
      </c>
      <c r="S124">
        <v>60.28790904046771</v>
      </c>
      <c r="U124">
        <v>2.5112353981838034</v>
      </c>
      <c r="V124">
        <v>48.619806208744023</v>
      </c>
      <c r="W124">
        <v>29.750725314995208</v>
      </c>
      <c r="X124">
        <v>42.467123465235723</v>
      </c>
      <c r="Y124">
        <v>10.871704013413142</v>
      </c>
      <c r="Z124">
        <v>33.268480066611104</v>
      </c>
      <c r="AA124">
        <v>9.7335606203090723</v>
      </c>
      <c r="AB124">
        <v>39.473170316081557</v>
      </c>
      <c r="AC124">
        <v>0.11809026147484454</v>
      </c>
      <c r="AD124">
        <v>9.4115514460745384</v>
      </c>
      <c r="AE124">
        <v>14.192503007932569</v>
      </c>
      <c r="AF124">
        <v>14.191198112753657</v>
      </c>
      <c r="AG124">
        <v>25.495046956889588</v>
      </c>
      <c r="AH124">
        <v>8.2322264410128803</v>
      </c>
      <c r="AI124">
        <v>2.1285306207394568</v>
      </c>
      <c r="AK124">
        <v>45.32865115976157</v>
      </c>
    </row>
    <row r="125" spans="1:37" x14ac:dyDescent="0.2">
      <c r="A125">
        <v>124</v>
      </c>
      <c r="B125">
        <v>780</v>
      </c>
      <c r="C125">
        <v>150</v>
      </c>
      <c r="D125">
        <v>0.44996486730285301</v>
      </c>
      <c r="E125">
        <v>130.45489521065696</v>
      </c>
      <c r="F125">
        <v>65.060622225435154</v>
      </c>
      <c r="G125">
        <v>73.248035080716505</v>
      </c>
      <c r="H125">
        <v>68.702320081184183</v>
      </c>
      <c r="J125">
        <v>53.311219670669644</v>
      </c>
      <c r="L125">
        <v>10.001579740300539</v>
      </c>
      <c r="M125">
        <v>14.464965715234735</v>
      </c>
      <c r="N125">
        <v>2.1717727470505102</v>
      </c>
      <c r="O125">
        <v>48.180219422687259</v>
      </c>
      <c r="P125">
        <v>13.153900063900757</v>
      </c>
      <c r="R125">
        <v>22.29313071214791</v>
      </c>
      <c r="S125">
        <v>60.150105829179012</v>
      </c>
      <c r="U125">
        <v>2.5035569320926978</v>
      </c>
      <c r="V125">
        <v>48.658502638021588</v>
      </c>
      <c r="W125">
        <v>29.644618591863537</v>
      </c>
      <c r="X125">
        <v>42.505093428723093</v>
      </c>
      <c r="Y125">
        <v>10.729961579765183</v>
      </c>
      <c r="Z125">
        <v>33.021051090917609</v>
      </c>
      <c r="AA125">
        <v>9.5959433229346462</v>
      </c>
      <c r="AB125">
        <v>39.450828705708098</v>
      </c>
      <c r="AC125">
        <v>9.837638321437886E-2</v>
      </c>
      <c r="AD125">
        <v>9.2737475695608929</v>
      </c>
      <c r="AE125">
        <v>14.088762997503743</v>
      </c>
      <c r="AF125">
        <v>14.190534272407385</v>
      </c>
      <c r="AG125">
        <v>25.438120111973049</v>
      </c>
      <c r="AH125">
        <v>8.0552436394449991</v>
      </c>
      <c r="AI125">
        <v>2.1105428053735573</v>
      </c>
      <c r="AK125">
        <v>45.300050776267526</v>
      </c>
    </row>
    <row r="126" spans="1:37" x14ac:dyDescent="0.2">
      <c r="A126">
        <v>125</v>
      </c>
      <c r="B126">
        <v>779</v>
      </c>
      <c r="C126">
        <v>150</v>
      </c>
      <c r="D126">
        <v>0.44937556432067799</v>
      </c>
      <c r="E126">
        <v>130.34849247267681</v>
      </c>
      <c r="F126">
        <v>64.614189480456233</v>
      </c>
      <c r="G126">
        <v>73.168603691461755</v>
      </c>
      <c r="H126">
        <v>68.620149205649071</v>
      </c>
      <c r="J126">
        <v>53.27009118480931</v>
      </c>
      <c r="L126">
        <v>9.8686163510623768</v>
      </c>
      <c r="M126">
        <v>14.485318580877138</v>
      </c>
      <c r="N126">
        <v>2.1540333940776755</v>
      </c>
      <c r="O126">
        <v>47.558914475612411</v>
      </c>
      <c r="P126">
        <v>12.99856672497469</v>
      </c>
      <c r="R126">
        <v>22.114859531137608</v>
      </c>
      <c r="S126">
        <v>60.008343456356791</v>
      </c>
      <c r="U126">
        <v>2.4962613289441826</v>
      </c>
      <c r="V126">
        <v>48.695666029296405</v>
      </c>
      <c r="W126">
        <v>29.539229250428551</v>
      </c>
      <c r="X126">
        <v>42.544391089700845</v>
      </c>
      <c r="Y126">
        <v>10.588311494549338</v>
      </c>
      <c r="Z126">
        <v>32.774088163956385</v>
      </c>
      <c r="AA126">
        <v>9.4582235851959844</v>
      </c>
      <c r="AB126">
        <v>39.426320276274176</v>
      </c>
      <c r="AC126">
        <v>7.864904558332525E-2</v>
      </c>
      <c r="AD126">
        <v>9.1359799584479404</v>
      </c>
      <c r="AE126">
        <v>13.985250967002825</v>
      </c>
      <c r="AF126">
        <v>14.190032477050757</v>
      </c>
      <c r="AG126">
        <v>25.379015219830933</v>
      </c>
      <c r="AH126">
        <v>7.8782918962803574</v>
      </c>
      <c r="AI126">
        <v>2.0925405905019714</v>
      </c>
      <c r="AK126">
        <v>45.271685836818172</v>
      </c>
    </row>
    <row r="127" spans="1:37" x14ac:dyDescent="0.2">
      <c r="A127">
        <v>126</v>
      </c>
      <c r="B127">
        <v>778</v>
      </c>
      <c r="C127">
        <v>150</v>
      </c>
      <c r="D127">
        <v>0.44878514008467002</v>
      </c>
      <c r="E127">
        <v>130.24254066788234</v>
      </c>
      <c r="F127">
        <v>64.169129284749218</v>
      </c>
      <c r="G127">
        <v>73.089257677774569</v>
      </c>
      <c r="H127">
        <v>68.538076280187511</v>
      </c>
      <c r="J127">
        <v>53.228196784275873</v>
      </c>
      <c r="L127">
        <v>9.7353401135717146</v>
      </c>
      <c r="M127">
        <v>14.505832182097814</v>
      </c>
      <c r="N127">
        <v>2.1362834359115155</v>
      </c>
      <c r="O127">
        <v>46.938169295801117</v>
      </c>
      <c r="P127">
        <v>12.843400758747753</v>
      </c>
      <c r="R127">
        <v>21.935677342283473</v>
      </c>
      <c r="S127">
        <v>59.862650534566114</v>
      </c>
      <c r="U127">
        <v>2.4893310897154151</v>
      </c>
      <c r="V127">
        <v>48.731307013480546</v>
      </c>
      <c r="W127">
        <v>29.434543683253221</v>
      </c>
      <c r="X127">
        <v>42.584962678577135</v>
      </c>
      <c r="Y127">
        <v>10.446777183499988</v>
      </c>
      <c r="Z127">
        <v>32.527608528663052</v>
      </c>
      <c r="AA127">
        <v>9.32048804164525</v>
      </c>
      <c r="AB127">
        <v>39.399654136743692</v>
      </c>
      <c r="AC127">
        <v>5.8911255572100578E-2</v>
      </c>
      <c r="AD127">
        <v>8.9982638612563157</v>
      </c>
      <c r="AE127">
        <v>13.881968504202321</v>
      </c>
      <c r="AF127">
        <v>14.189681013358491</v>
      </c>
      <c r="AG127">
        <v>25.317744402354148</v>
      </c>
      <c r="AH127">
        <v>7.7014031977570543</v>
      </c>
      <c r="AI127">
        <v>2.0745269817241865</v>
      </c>
      <c r="AK127">
        <v>45.243568105449071</v>
      </c>
    </row>
    <row r="128" spans="1:37" x14ac:dyDescent="0.2">
      <c r="A128">
        <v>127</v>
      </c>
      <c r="B128">
        <v>777</v>
      </c>
      <c r="C128">
        <v>150</v>
      </c>
      <c r="D128">
        <v>0.44819359139171</v>
      </c>
      <c r="E128">
        <v>130.13703994524505</v>
      </c>
      <c r="F128">
        <v>63.725480682622347</v>
      </c>
      <c r="G128">
        <v>73.010007500996977</v>
      </c>
      <c r="H128">
        <v>68.456111786078353</v>
      </c>
      <c r="J128">
        <v>53.185559281097873</v>
      </c>
      <c r="L128">
        <v>9.6019438095428153</v>
      </c>
      <c r="M128">
        <v>14.52649200708499</v>
      </c>
      <c r="N128">
        <v>2.1185258391763653</v>
      </c>
      <c r="O128">
        <v>46.318060567953744</v>
      </c>
      <c r="P128">
        <v>12.688426075864642</v>
      </c>
      <c r="R128">
        <v>21.75564072367402</v>
      </c>
      <c r="S128">
        <v>59.713062986638946</v>
      </c>
      <c r="U128">
        <v>2.482748791935967</v>
      </c>
      <c r="V128">
        <v>48.765438457554204</v>
      </c>
      <c r="W128">
        <v>29.330547852723562</v>
      </c>
      <c r="X128">
        <v>42.626754665132623</v>
      </c>
      <c r="Y128">
        <v>10.305381298538276</v>
      </c>
      <c r="Z128">
        <v>32.28162856494572</v>
      </c>
      <c r="AA128">
        <v>9.1827586168720874</v>
      </c>
      <c r="AB128">
        <v>39.370843445026615</v>
      </c>
      <c r="AC128">
        <v>3.9165979366969403E-2</v>
      </c>
      <c r="AD128">
        <v>8.8606139780344293</v>
      </c>
      <c r="AE128">
        <v>13.778917009207422</v>
      </c>
      <c r="AF128">
        <v>14.189468341470198</v>
      </c>
      <c r="AG128">
        <v>25.25432378959426</v>
      </c>
      <c r="AH128">
        <v>7.5246085036328791</v>
      </c>
      <c r="AI128">
        <v>2.0565049438353036</v>
      </c>
      <c r="AK128">
        <v>45.215708929990519</v>
      </c>
    </row>
    <row r="129" spans="1:37" x14ac:dyDescent="0.2">
      <c r="A129">
        <v>128</v>
      </c>
      <c r="B129">
        <v>776</v>
      </c>
      <c r="C129">
        <v>150</v>
      </c>
      <c r="D129">
        <v>0.447600915026452</v>
      </c>
      <c r="E129">
        <v>130.03199005318635</v>
      </c>
      <c r="F129">
        <v>63.283280381807998</v>
      </c>
      <c r="G129">
        <v>72.930863207246702</v>
      </c>
      <c r="H129">
        <v>68.374265789414352</v>
      </c>
      <c r="J129">
        <v>53.142202793832986</v>
      </c>
      <c r="L129">
        <v>9.4683800829299951</v>
      </c>
      <c r="M129">
        <v>14.547283801517082</v>
      </c>
      <c r="N129">
        <v>2.100763520034477</v>
      </c>
      <c r="O129">
        <v>45.69866220745218</v>
      </c>
      <c r="P129">
        <v>12.533665706116546</v>
      </c>
      <c r="R129">
        <v>21.574805248926324</v>
      </c>
      <c r="S129">
        <v>59.5596234420874</v>
      </c>
      <c r="U129">
        <v>2.4764971488869034</v>
      </c>
      <c r="V129">
        <v>48.798075264567792</v>
      </c>
      <c r="W129">
        <v>29.227227364361394</v>
      </c>
      <c r="X129">
        <v>42.66971396333858</v>
      </c>
      <c r="Y129">
        <v>10.164145669135836</v>
      </c>
      <c r="Z129">
        <v>32.036163761269528</v>
      </c>
      <c r="AA129">
        <v>9.0450565983373235</v>
      </c>
      <c r="AB129">
        <v>39.339905104853045</v>
      </c>
      <c r="AC129">
        <v>1.9416132693043674E-2</v>
      </c>
      <c r="AD129">
        <v>8.7230444344705695</v>
      </c>
      <c r="AE129">
        <v>13.676097693164834</v>
      </c>
      <c r="AF129">
        <v>14.1893831285664</v>
      </c>
      <c r="AG129">
        <v>25.188773206978833</v>
      </c>
      <c r="AH129">
        <v>7.3479376889360966</v>
      </c>
      <c r="AI129">
        <v>2.0384773911681071</v>
      </c>
      <c r="AK129">
        <v>45.188119217488087</v>
      </c>
    </row>
    <row r="130" spans="1:37" x14ac:dyDescent="0.2">
      <c r="A130">
        <v>129</v>
      </c>
      <c r="B130">
        <v>775</v>
      </c>
      <c r="C130">
        <v>150</v>
      </c>
      <c r="D130">
        <v>0.44700710776129698</v>
      </c>
      <c r="E130">
        <v>129.92659885542855</v>
      </c>
      <c r="F130">
        <v>62.838229748650861</v>
      </c>
      <c r="G130">
        <v>72.851128733158404</v>
      </c>
      <c r="H130">
        <v>68.291842246844254</v>
      </c>
      <c r="J130">
        <v>53.096816468141711</v>
      </c>
      <c r="L130">
        <v>9.3335753379930431</v>
      </c>
      <c r="M130">
        <v>14.568154971524008</v>
      </c>
      <c r="N130">
        <v>2.0831271188179716</v>
      </c>
      <c r="O130">
        <v>45.075989284849591</v>
      </c>
      <c r="P130">
        <v>12.377858184560289</v>
      </c>
      <c r="R130">
        <v>21.391755454382814</v>
      </c>
      <c r="S130">
        <v>59.400728722310774</v>
      </c>
      <c r="U130">
        <v>2.4704472069167407</v>
      </c>
      <c r="V130">
        <v>48.829239308714946</v>
      </c>
      <c r="W130">
        <v>29.123659845023699</v>
      </c>
      <c r="X130">
        <v>42.713336222427287</v>
      </c>
      <c r="Y130">
        <v>10.02178194498175</v>
      </c>
      <c r="Z130">
        <v>31.788804693223351</v>
      </c>
      <c r="AA130">
        <v>8.90627273971241</v>
      </c>
      <c r="AB130">
        <v>39.306403435122753</v>
      </c>
      <c r="AD130">
        <v>8.5840805337421831</v>
      </c>
      <c r="AE130">
        <v>13.572623075221784</v>
      </c>
      <c r="AF130">
        <v>14.189503426460281</v>
      </c>
      <c r="AG130">
        <v>25.120787619290205</v>
      </c>
      <c r="AH130">
        <v>7.1693560080840575</v>
      </c>
      <c r="AI130">
        <v>2.02057496222467</v>
      </c>
      <c r="AK130">
        <v>45.159774540254958</v>
      </c>
    </row>
    <row r="131" spans="1:37" x14ac:dyDescent="0.2">
      <c r="A131">
        <v>130</v>
      </c>
      <c r="B131">
        <v>774</v>
      </c>
      <c r="C131">
        <v>150</v>
      </c>
      <c r="D131">
        <v>0.44641216635630598</v>
      </c>
      <c r="E131">
        <v>129.69870331380613</v>
      </c>
      <c r="F131">
        <v>61.716685899227336</v>
      </c>
      <c r="G131">
        <v>72.660822970035682</v>
      </c>
      <c r="H131">
        <v>68.098860069721667</v>
      </c>
      <c r="J131">
        <v>52.837107068578568</v>
      </c>
      <c r="L131">
        <v>9.0243386395599376</v>
      </c>
      <c r="M131">
        <v>14.58406291866056</v>
      </c>
      <c r="N131">
        <v>2.0851072708861604</v>
      </c>
      <c r="O131">
        <v>43.815928387007766</v>
      </c>
      <c r="P131">
        <v>12.020531950670868</v>
      </c>
      <c r="R131">
        <v>20.974211184517593</v>
      </c>
      <c r="S131">
        <v>58.96575929361947</v>
      </c>
      <c r="U131">
        <v>2.4488643526702316</v>
      </c>
      <c r="V131">
        <v>48.855477299219551</v>
      </c>
      <c r="W131">
        <v>28.882567980516345</v>
      </c>
      <c r="X131">
        <v>42.69257554814164</v>
      </c>
      <c r="Y131">
        <v>9.6738971966291185</v>
      </c>
      <c r="Z131">
        <v>31.161935243466701</v>
      </c>
      <c r="AA131">
        <v>8.5896793440619508</v>
      </c>
      <c r="AB131">
        <v>39.192009616307047</v>
      </c>
      <c r="AD131">
        <v>8.2116259292768294</v>
      </c>
      <c r="AE131">
        <v>13.330138373885307</v>
      </c>
      <c r="AF131">
        <v>14.204277277428853</v>
      </c>
      <c r="AG131">
        <v>24.991528847930287</v>
      </c>
      <c r="AH131">
        <v>6.6670150759297124</v>
      </c>
      <c r="AI131">
        <v>2.0222882905335564</v>
      </c>
      <c r="AK131">
        <v>44.969140081891901</v>
      </c>
    </row>
    <row r="132" spans="1:37" x14ac:dyDescent="0.2">
      <c r="A132">
        <v>131</v>
      </c>
      <c r="B132">
        <v>773</v>
      </c>
      <c r="C132">
        <v>150</v>
      </c>
      <c r="D132">
        <v>0.44581608755914398</v>
      </c>
      <c r="E132">
        <v>129.46798542879478</v>
      </c>
      <c r="F132">
        <v>60.568017669197815</v>
      </c>
      <c r="G132">
        <v>72.465486387623685</v>
      </c>
      <c r="H132">
        <v>67.900859747882677</v>
      </c>
      <c r="J132">
        <v>52.557861431294498</v>
      </c>
      <c r="L132">
        <v>8.7045851313482387</v>
      </c>
      <c r="M132">
        <v>14.60178168181619</v>
      </c>
      <c r="N132">
        <v>2.087086712181184</v>
      </c>
      <c r="O132">
        <v>42.522508601351319</v>
      </c>
      <c r="P132">
        <v>11.653150701454967</v>
      </c>
      <c r="R132">
        <v>20.538492184973521</v>
      </c>
      <c r="S132">
        <v>58.486280483660337</v>
      </c>
      <c r="U132">
        <v>2.4303007546443105</v>
      </c>
      <c r="V132">
        <v>48.871175609006613</v>
      </c>
      <c r="W132">
        <v>28.644559764810598</v>
      </c>
      <c r="X132">
        <v>42.680839082683242</v>
      </c>
      <c r="Y132">
        <v>9.3158980363905624</v>
      </c>
      <c r="Z132">
        <v>30.517604029008631</v>
      </c>
      <c r="AA132">
        <v>8.2632726762974933</v>
      </c>
      <c r="AB132">
        <v>39.056201622918316</v>
      </c>
      <c r="AD132">
        <v>7.8277779963729364</v>
      </c>
      <c r="AE132">
        <v>13.081261513369277</v>
      </c>
      <c r="AF132">
        <v>14.220861461678481</v>
      </c>
      <c r="AG132">
        <v>24.840857608942116</v>
      </c>
      <c r="AH132">
        <v>6.149184413655659</v>
      </c>
      <c r="AI132">
        <v>2.024000110206043</v>
      </c>
      <c r="AK132">
        <v>44.770451347260845</v>
      </c>
    </row>
    <row r="133" spans="1:37" x14ac:dyDescent="0.2">
      <c r="A133">
        <v>132</v>
      </c>
      <c r="B133">
        <v>772</v>
      </c>
      <c r="C133">
        <v>150</v>
      </c>
      <c r="D133">
        <v>0.44521886810505501</v>
      </c>
      <c r="E133">
        <v>129.23368520751842</v>
      </c>
      <c r="F133">
        <v>59.386204746341036</v>
      </c>
      <c r="G133">
        <v>72.264235690925489</v>
      </c>
      <c r="H133">
        <v>67.69695800645718</v>
      </c>
      <c r="J133">
        <v>52.255547222332041</v>
      </c>
      <c r="L133">
        <v>8.3726357021271607</v>
      </c>
      <c r="M133">
        <v>14.621292634680032</v>
      </c>
      <c r="N133">
        <v>2.0890653758790179</v>
      </c>
      <c r="O133">
        <v>41.189525098840306</v>
      </c>
      <c r="P133">
        <v>11.273947801722363</v>
      </c>
      <c r="R133">
        <v>20.08206994207</v>
      </c>
      <c r="S133">
        <v>57.955854943305717</v>
      </c>
      <c r="U133">
        <v>2.4148705998719797</v>
      </c>
      <c r="V133">
        <v>48.875207143903602</v>
      </c>
      <c r="W133">
        <v>28.409808324177103</v>
      </c>
      <c r="X133">
        <v>42.678464440892753</v>
      </c>
      <c r="Y133">
        <v>8.9459897831673221</v>
      </c>
      <c r="Z133">
        <v>29.851526427474841</v>
      </c>
      <c r="AA133">
        <v>7.9253791302574976</v>
      </c>
      <c r="AB133">
        <v>38.89563723616029</v>
      </c>
      <c r="AD133">
        <v>7.43004192663469</v>
      </c>
      <c r="AE133">
        <v>12.824142156376857</v>
      </c>
      <c r="AF133">
        <v>14.239237291463377</v>
      </c>
      <c r="AG133">
        <v>24.665431622306151</v>
      </c>
      <c r="AH133">
        <v>5.6130984716506536</v>
      </c>
      <c r="AI133">
        <v>2.0257103525859601</v>
      </c>
      <c r="AK133">
        <v>44.561850821582709</v>
      </c>
    </row>
    <row r="134" spans="1:37" x14ac:dyDescent="0.2">
      <c r="A134">
        <v>133</v>
      </c>
      <c r="B134">
        <v>771</v>
      </c>
      <c r="C134">
        <v>150</v>
      </c>
      <c r="D134">
        <v>0.44462050471675502</v>
      </c>
      <c r="E134">
        <v>128.99474102991323</v>
      </c>
      <c r="F134">
        <v>58.162825765840175</v>
      </c>
      <c r="G134">
        <v>72.055832658150337</v>
      </c>
      <c r="H134">
        <v>67.48591664382127</v>
      </c>
      <c r="J134">
        <v>51.92533893170723</v>
      </c>
      <c r="L134">
        <v>8.0261166113558069</v>
      </c>
      <c r="M134">
        <v>14.642555689779671</v>
      </c>
      <c r="N134">
        <v>2.0910431749685219</v>
      </c>
      <c r="O134">
        <v>39.808296783281001</v>
      </c>
      <c r="P134">
        <v>10.880446742570895</v>
      </c>
      <c r="R134">
        <v>19.601325297355142</v>
      </c>
      <c r="S134">
        <v>57.365928455244813</v>
      </c>
      <c r="U134">
        <v>2.4027306919580904</v>
      </c>
      <c r="V134">
        <v>48.866092186402668</v>
      </c>
      <c r="W134">
        <v>28.178515530040539</v>
      </c>
      <c r="X134">
        <v>42.68591167547185</v>
      </c>
      <c r="Y134">
        <v>8.5616583049423536</v>
      </c>
      <c r="Z134">
        <v>29.157708202661667</v>
      </c>
      <c r="AA134">
        <v>7.5735664285810778</v>
      </c>
      <c r="AB134">
        <v>38.705880807732299</v>
      </c>
      <c r="AD134">
        <v>7.014924123709239</v>
      </c>
      <c r="AE134">
        <v>12.556196988043263</v>
      </c>
      <c r="AF134">
        <v>14.259364597697935</v>
      </c>
      <c r="AG134">
        <v>24.460815158335059</v>
      </c>
      <c r="AH134">
        <v>5.0548796091062371</v>
      </c>
      <c r="AI134">
        <v>2.027418928829908</v>
      </c>
      <c r="AK134">
        <v>44.340739029843476</v>
      </c>
    </row>
    <row r="135" spans="1:37" x14ac:dyDescent="0.2">
      <c r="A135">
        <v>134</v>
      </c>
      <c r="B135">
        <v>770</v>
      </c>
      <c r="C135">
        <v>150</v>
      </c>
      <c r="D135">
        <v>0.44402099410439499</v>
      </c>
      <c r="E135">
        <v>128.74962149871936</v>
      </c>
      <c r="F135">
        <v>56.885722655195444</v>
      </c>
      <c r="G135">
        <v>71.838488178926283</v>
      </c>
      <c r="H135">
        <v>67.265946569808065</v>
      </c>
      <c r="J135">
        <v>51.560384856806984</v>
      </c>
      <c r="L135">
        <v>7.6616584304253044</v>
      </c>
      <c r="M135">
        <v>14.66549128513979</v>
      </c>
      <c r="N135">
        <v>2.0930199919903618</v>
      </c>
      <c r="O135">
        <v>38.366297151891324</v>
      </c>
      <c r="P135">
        <v>10.469069207545793</v>
      </c>
      <c r="R135">
        <v>19.09093541911604</v>
      </c>
      <c r="S135">
        <v>56.704604186321703</v>
      </c>
      <c r="U135">
        <v>2.3940993954901399</v>
      </c>
      <c r="V135">
        <v>48.841785187071281</v>
      </c>
      <c r="W135">
        <v>27.950931256952515</v>
      </c>
      <c r="X135">
        <v>42.703816772422222</v>
      </c>
      <c r="Y135">
        <v>8.1592725050931687</v>
      </c>
      <c r="Z135">
        <v>28.427488908215125</v>
      </c>
      <c r="AA135">
        <v>7.204375997763913</v>
      </c>
      <c r="AB135">
        <v>38.48077016390215</v>
      </c>
      <c r="AD135">
        <v>6.5773736847648578</v>
      </c>
      <c r="AE135">
        <v>12.273698266742988</v>
      </c>
      <c r="AF135">
        <v>14.281163706360577</v>
      </c>
      <c r="AG135">
        <v>24.220845931477179</v>
      </c>
      <c r="AH135">
        <v>4.4689211721378079</v>
      </c>
      <c r="AI135">
        <v>2.0291257196462911</v>
      </c>
      <c r="AK135">
        <v>44.103359744788264</v>
      </c>
    </row>
    <row r="136" spans="1:37" x14ac:dyDescent="0.2">
      <c r="A136">
        <v>135</v>
      </c>
      <c r="B136">
        <v>769</v>
      </c>
      <c r="C136">
        <v>150</v>
      </c>
      <c r="D136">
        <v>0.44342033296550898</v>
      </c>
      <c r="E136">
        <v>128.49603086106401</v>
      </c>
      <c r="F136">
        <v>55.536662407009331</v>
      </c>
      <c r="G136">
        <v>71.609521722134801</v>
      </c>
      <c r="H136">
        <v>67.034367273543623</v>
      </c>
      <c r="J136">
        <v>51.150526545808184</v>
      </c>
      <c r="L136">
        <v>7.2739561640065151</v>
      </c>
      <c r="M136">
        <v>14.689941273195995</v>
      </c>
      <c r="N136">
        <v>2.0949956616931042</v>
      </c>
      <c r="O136">
        <v>36.844770351924957</v>
      </c>
      <c r="P136">
        <v>10.034453990966297</v>
      </c>
      <c r="R136">
        <v>18.542804705013246</v>
      </c>
      <c r="S136">
        <v>55.95452005781533</v>
      </c>
      <c r="U136">
        <v>2.3892834042864739</v>
      </c>
      <c r="V136">
        <v>48.799308193979535</v>
      </c>
      <c r="W136">
        <v>27.727388137601313</v>
      </c>
      <c r="X136">
        <v>42.733066151968345</v>
      </c>
      <c r="Y136">
        <v>7.7333929967280088</v>
      </c>
      <c r="Z136">
        <v>27.647857040209516</v>
      </c>
      <c r="AA136">
        <v>6.812450649857972</v>
      </c>
      <c r="AB136">
        <v>38.211315764713632</v>
      </c>
      <c r="AD136">
        <v>6.1098001498950847</v>
      </c>
      <c r="AE136">
        <v>11.971046384918276</v>
      </c>
      <c r="AF136">
        <v>14.304476310060085</v>
      </c>
      <c r="AG136">
        <v>23.936534242181843</v>
      </c>
      <c r="AH136">
        <v>3.8468114310611412</v>
      </c>
      <c r="AI136">
        <v>2.0308305579499022</v>
      </c>
      <c r="AK136">
        <v>43.844070755450169</v>
      </c>
    </row>
    <row r="137" spans="1:37" x14ac:dyDescent="0.2">
      <c r="A137">
        <v>136</v>
      </c>
      <c r="B137">
        <v>768</v>
      </c>
      <c r="C137">
        <v>150</v>
      </c>
      <c r="D137">
        <v>0.442818517984921</v>
      </c>
      <c r="E137">
        <v>128.23036323132288</v>
      </c>
      <c r="F137">
        <v>54.087006924278036</v>
      </c>
      <c r="G137">
        <v>71.364735851410572</v>
      </c>
      <c r="H137">
        <v>66.786981338945012</v>
      </c>
      <c r="J137">
        <v>50.679935288789508</v>
      </c>
      <c r="L137">
        <v>6.8547938475742702</v>
      </c>
      <c r="M137">
        <v>14.715580653177668</v>
      </c>
      <c r="N137">
        <v>2.0969699412070315</v>
      </c>
      <c r="O137">
        <v>35.214342843390284</v>
      </c>
      <c r="P137">
        <v>9.568205999102215</v>
      </c>
      <c r="R137">
        <v>17.944091515797936</v>
      </c>
      <c r="S137">
        <v>55.088977076205261</v>
      </c>
      <c r="U137">
        <v>2.388714260363304</v>
      </c>
      <c r="V137">
        <v>48.734087656804711</v>
      </c>
      <c r="W137">
        <v>27.50836746416584</v>
      </c>
      <c r="X137">
        <v>42.774895250936183</v>
      </c>
      <c r="Y137">
        <v>7.2755011393943008</v>
      </c>
      <c r="Z137">
        <v>26.798307872332646</v>
      </c>
      <c r="AA137">
        <v>6.3896232552761063</v>
      </c>
      <c r="AB137">
        <v>37.883683040460404</v>
      </c>
      <c r="AD137">
        <v>5.6002445430967018</v>
      </c>
      <c r="AE137">
        <v>11.639407781767897</v>
      </c>
      <c r="AF137">
        <v>14.328977170591433</v>
      </c>
      <c r="AG137">
        <v>23.594045283548571</v>
      </c>
      <c r="AH137">
        <v>3.1753486515862877</v>
      </c>
      <c r="AI137">
        <v>2.0325331990373652</v>
      </c>
      <c r="AK137">
        <v>43.553986729980572</v>
      </c>
    </row>
    <row r="138" spans="1:37" x14ac:dyDescent="0.2">
      <c r="A138">
        <v>137</v>
      </c>
      <c r="B138">
        <v>767</v>
      </c>
      <c r="C138">
        <v>150</v>
      </c>
      <c r="D138">
        <v>0.44221554583473799</v>
      </c>
      <c r="E138">
        <v>127.9466345902152</v>
      </c>
      <c r="F138">
        <v>52.489239540559637</v>
      </c>
      <c r="G138">
        <v>71.097204562103641</v>
      </c>
      <c r="H138">
        <v>66.516862781683713</v>
      </c>
      <c r="J138">
        <v>50.122508401479074</v>
      </c>
      <c r="L138">
        <v>6.3905684619620082</v>
      </c>
      <c r="M138">
        <v>14.741706384108493</v>
      </c>
      <c r="N138">
        <v>2.0989424564218431</v>
      </c>
      <c r="O138">
        <v>33.426499459918695</v>
      </c>
      <c r="P138">
        <v>9.0564728704700546</v>
      </c>
      <c r="R138">
        <v>17.273360308800047</v>
      </c>
      <c r="S138">
        <v>54.06452043633292</v>
      </c>
      <c r="U138">
        <v>2.3929889040962466</v>
      </c>
      <c r="V138">
        <v>48.6386970359993</v>
      </c>
      <c r="W138">
        <v>27.294632089987861</v>
      </c>
      <c r="X138">
        <v>42.830988301298902</v>
      </c>
      <c r="Y138">
        <v>6.7715340852444514</v>
      </c>
      <c r="Z138">
        <v>25.844638595942651</v>
      </c>
      <c r="AA138">
        <v>5.9223073412968512</v>
      </c>
      <c r="AB138">
        <v>37.475301052844912</v>
      </c>
      <c r="AD138">
        <v>5.0287741615067079</v>
      </c>
      <c r="AE138">
        <v>11.264012561614631</v>
      </c>
      <c r="AF138">
        <v>14.353962878317759</v>
      </c>
      <c r="AG138">
        <v>23.170807748862114</v>
      </c>
      <c r="AH138">
        <v>2.4326738140720678</v>
      </c>
      <c r="AI138">
        <v>2.0342332669642569</v>
      </c>
      <c r="AK138">
        <v>43.218306408338371</v>
      </c>
    </row>
    <row r="139" spans="1:37" x14ac:dyDescent="0.2">
      <c r="A139">
        <v>138</v>
      </c>
      <c r="B139">
        <v>766</v>
      </c>
      <c r="C139">
        <v>150</v>
      </c>
      <c r="D139">
        <v>0.44161141317423203</v>
      </c>
      <c r="E139">
        <v>127.63433499606445</v>
      </c>
      <c r="F139">
        <v>50.659906870212808</v>
      </c>
      <c r="G139">
        <v>70.794870071869738</v>
      </c>
      <c r="H139">
        <v>66.211953839776967</v>
      </c>
      <c r="J139">
        <v>49.432665487022632</v>
      </c>
      <c r="L139">
        <v>5.8576116739555433</v>
      </c>
      <c r="M139">
        <v>14.766698998230135</v>
      </c>
      <c r="N139">
        <v>2.1009126107445213</v>
      </c>
      <c r="O139">
        <v>31.396608224802105</v>
      </c>
      <c r="P139">
        <v>8.4751384657782598</v>
      </c>
      <c r="R139">
        <v>16.492873251195704</v>
      </c>
      <c r="S139">
        <v>52.80649498809732</v>
      </c>
      <c r="U139">
        <v>2.402862759397896</v>
      </c>
      <c r="V139">
        <v>48.500451542893799</v>
      </c>
      <c r="W139">
        <v>27.087508858082927</v>
      </c>
      <c r="X139">
        <v>42.903412418777656</v>
      </c>
      <c r="Y139">
        <v>6.1969867030495633</v>
      </c>
      <c r="Z139">
        <v>24.726281350016198</v>
      </c>
      <c r="AA139">
        <v>5.3868478502800281</v>
      </c>
      <c r="AB139">
        <v>36.94720566608251</v>
      </c>
      <c r="AD139">
        <v>4.3601397185376793</v>
      </c>
      <c r="AE139">
        <v>10.818601732309913</v>
      </c>
      <c r="AF139">
        <v>14.377813374346543</v>
      </c>
      <c r="AG139">
        <v>22.627856911456021</v>
      </c>
      <c r="AH139">
        <v>1.5805295303820104</v>
      </c>
      <c r="AI139">
        <v>2.0359301633026212</v>
      </c>
      <c r="AK139">
        <v>42.81087816303608</v>
      </c>
    </row>
    <row r="140" spans="1:37" x14ac:dyDescent="0.2">
      <c r="A140">
        <v>139</v>
      </c>
      <c r="B140">
        <v>765</v>
      </c>
      <c r="C140">
        <v>150</v>
      </c>
      <c r="D140">
        <v>0.44100611664981298</v>
      </c>
      <c r="E140">
        <v>127.27461238474727</v>
      </c>
      <c r="F140">
        <v>48.449163603979791</v>
      </c>
      <c r="G140">
        <v>70.436387643567571</v>
      </c>
      <c r="H140">
        <v>65.850909796482242</v>
      </c>
      <c r="J140">
        <v>48.52915440460702</v>
      </c>
      <c r="L140">
        <v>5.2135521559433693</v>
      </c>
      <c r="M140">
        <v>14.786632964688442</v>
      </c>
      <c r="N140">
        <v>2.1028794897548333</v>
      </c>
      <c r="O140">
        <v>28.974302460812535</v>
      </c>
      <c r="P140">
        <v>7.7815124183731079</v>
      </c>
      <c r="R140">
        <v>15.534971910471624</v>
      </c>
      <c r="S140">
        <v>51.185193527587657</v>
      </c>
      <c r="U140">
        <v>2.4189131852868311</v>
      </c>
      <c r="V140">
        <v>48.297618993970524</v>
      </c>
      <c r="W140">
        <v>26.88946416208136</v>
      </c>
      <c r="X140">
        <v>42.993523762442393</v>
      </c>
      <c r="Y140">
        <v>5.508405584970248</v>
      </c>
      <c r="Z140">
        <v>23.332976059043922</v>
      </c>
      <c r="AA140">
        <v>4.7409916601239237</v>
      </c>
      <c r="AB140">
        <v>36.231058518735288</v>
      </c>
      <c r="AD140">
        <v>3.5303095150605834</v>
      </c>
      <c r="AE140">
        <v>10.255070122926968</v>
      </c>
      <c r="AF140">
        <v>14.396602218880505</v>
      </c>
      <c r="AG140">
        <v>21.896853501202347</v>
      </c>
      <c r="AH140">
        <v>0.55058314795448227</v>
      </c>
      <c r="AI140">
        <v>2.0376229717974033</v>
      </c>
      <c r="AK140">
        <v>42.284278658640702</v>
      </c>
    </row>
    <row r="141" spans="1:37" x14ac:dyDescent="0.2">
      <c r="A141">
        <v>140</v>
      </c>
      <c r="B141">
        <v>764</v>
      </c>
      <c r="C141">
        <v>150</v>
      </c>
      <c r="D141">
        <v>0.44039965289495597</v>
      </c>
      <c r="E141">
        <v>127.53665064373173</v>
      </c>
      <c r="F141">
        <v>48.157276748535615</v>
      </c>
      <c r="G141">
        <v>70.631283165298342</v>
      </c>
      <c r="H141">
        <v>66.043256560340936</v>
      </c>
      <c r="J141">
        <v>40.738679409587263</v>
      </c>
      <c r="L141">
        <v>4.3404559579613418</v>
      </c>
      <c r="M141">
        <v>14.717011725122198</v>
      </c>
      <c r="N141">
        <v>2.1048776218068448</v>
      </c>
      <c r="O141">
        <v>22.835308231620687</v>
      </c>
      <c r="P141">
        <v>8.1946810549200411</v>
      </c>
      <c r="R141">
        <v>14.528869521609785</v>
      </c>
      <c r="S141">
        <v>47.586260701727518</v>
      </c>
      <c r="U141">
        <v>2.4587964292793001</v>
      </c>
      <c r="V141">
        <v>47.907839622680108</v>
      </c>
      <c r="W141">
        <v>26.659924926113334</v>
      </c>
      <c r="X141">
        <v>43.148756665348031</v>
      </c>
      <c r="Y141">
        <v>5.0033827648119713</v>
      </c>
      <c r="Z141">
        <v>20.895313131814223</v>
      </c>
      <c r="AA141">
        <v>3.555547028410321</v>
      </c>
      <c r="AB141">
        <v>34.176060694948603</v>
      </c>
      <c r="AD141">
        <v>2.2815045282652431</v>
      </c>
      <c r="AE141">
        <v>8.7066702139172794</v>
      </c>
      <c r="AF141">
        <v>14.325867387395537</v>
      </c>
      <c r="AG141">
        <v>19.827033136347353</v>
      </c>
      <c r="AI141">
        <v>2.0393462189672644</v>
      </c>
      <c r="AK141">
        <v>37.284316411219677</v>
      </c>
    </row>
    <row r="142" spans="1:37" x14ac:dyDescent="0.2">
      <c r="A142">
        <v>141</v>
      </c>
      <c r="B142">
        <v>763</v>
      </c>
      <c r="C142">
        <v>150</v>
      </c>
      <c r="D142">
        <v>0.43979201853014099</v>
      </c>
      <c r="E142">
        <v>127.69101699238647</v>
      </c>
      <c r="F142">
        <v>47.905672394798763</v>
      </c>
      <c r="G142">
        <v>70.727658714585175</v>
      </c>
      <c r="H142">
        <v>66.137096229354555</v>
      </c>
      <c r="J142">
        <v>35.006806477048407</v>
      </c>
      <c r="L142">
        <v>3.3866395795798088</v>
      </c>
      <c r="M142">
        <v>14.587910158797488</v>
      </c>
      <c r="N142">
        <v>2.1068752436142257</v>
      </c>
      <c r="O142">
        <v>17.232299655627379</v>
      </c>
      <c r="P142">
        <v>8.4108167893514914</v>
      </c>
      <c r="R142">
        <v>13.439765273856262</v>
      </c>
      <c r="S142">
        <v>44.533935496554008</v>
      </c>
      <c r="U142">
        <v>2.4604917394505184</v>
      </c>
      <c r="V142">
        <v>47.778313153797455</v>
      </c>
      <c r="W142">
        <v>26.427777455584142</v>
      </c>
      <c r="X142">
        <v>43.193070517449769</v>
      </c>
      <c r="Y142">
        <v>4.2952213755539788</v>
      </c>
      <c r="Z142">
        <v>19.246765479208303</v>
      </c>
      <c r="AA142">
        <v>2.3774670638335227</v>
      </c>
      <c r="AB142">
        <v>33.050047264362753</v>
      </c>
      <c r="AD142">
        <v>1.3490754315516393</v>
      </c>
      <c r="AE142">
        <v>7.7094509210785711</v>
      </c>
      <c r="AF142">
        <v>14.195652001370858</v>
      </c>
      <c r="AG142">
        <v>18.686199129009431</v>
      </c>
      <c r="AI142">
        <v>2.0410681396895396</v>
      </c>
      <c r="AK142">
        <v>33.530783996964026</v>
      </c>
    </row>
    <row r="143" spans="1:37" x14ac:dyDescent="0.2">
      <c r="A143">
        <v>142</v>
      </c>
      <c r="B143">
        <v>762</v>
      </c>
      <c r="C143">
        <v>150</v>
      </c>
      <c r="D143">
        <v>0.439183210162781</v>
      </c>
      <c r="E143">
        <v>127.80400622111131</v>
      </c>
      <c r="F143">
        <v>47.876027270740288</v>
      </c>
      <c r="G143">
        <v>70.786615150717509</v>
      </c>
      <c r="H143">
        <v>66.193529683330979</v>
      </c>
      <c r="J143">
        <v>30.944374758584395</v>
      </c>
      <c r="L143">
        <v>2.5652114527927878</v>
      </c>
      <c r="M143">
        <v>14.441346611740386</v>
      </c>
      <c r="N143">
        <v>2.1088712351777619</v>
      </c>
      <c r="O143">
        <v>12.824657536118698</v>
      </c>
      <c r="P143">
        <v>8.5521202424798179</v>
      </c>
      <c r="R143">
        <v>12.495632156909149</v>
      </c>
      <c r="S143">
        <v>42.144051366561712</v>
      </c>
      <c r="U143">
        <v>2.4495986071470712</v>
      </c>
      <c r="V143">
        <v>47.767400048325882</v>
      </c>
      <c r="W143">
        <v>26.188110317173411</v>
      </c>
      <c r="X143">
        <v>43.201419229234709</v>
      </c>
      <c r="Y143">
        <v>3.6082971821629131</v>
      </c>
      <c r="Z143">
        <v>18.28319347975944</v>
      </c>
      <c r="AA143">
        <v>1.4167078504348611</v>
      </c>
      <c r="AB143">
        <v>32.480203695371117</v>
      </c>
      <c r="AD143">
        <v>0.74414182287173403</v>
      </c>
      <c r="AE143">
        <v>7.1291990232232596</v>
      </c>
      <c r="AF143">
        <v>14.0479732923428</v>
      </c>
      <c r="AG143">
        <v>18.101535833366729</v>
      </c>
      <c r="AI143">
        <v>2.0427876121286794</v>
      </c>
      <c r="AK143">
        <v>30.843775049844918</v>
      </c>
    </row>
    <row r="144" spans="1:37" x14ac:dyDescent="0.2">
      <c r="A144">
        <v>143</v>
      </c>
      <c r="B144">
        <v>761</v>
      </c>
      <c r="C144">
        <v>150</v>
      </c>
      <c r="D144">
        <v>0.43857322438717999</v>
      </c>
      <c r="E144">
        <v>127.89449900080534</v>
      </c>
      <c r="F144">
        <v>47.946526121633987</v>
      </c>
      <c r="G144">
        <v>70.823872656501663</v>
      </c>
      <c r="H144">
        <v>66.228277125634563</v>
      </c>
      <c r="J144">
        <v>27.863836354710831</v>
      </c>
      <c r="L144">
        <v>1.8609664563554507</v>
      </c>
      <c r="M144">
        <v>14.285791179654737</v>
      </c>
      <c r="N144">
        <v>2.1108658948606087</v>
      </c>
      <c r="O144">
        <v>9.257826770260646</v>
      </c>
      <c r="P144">
        <v>8.6500321005730516</v>
      </c>
      <c r="R144">
        <v>11.664544198077222</v>
      </c>
      <c r="S144">
        <v>40.20847211177778</v>
      </c>
      <c r="U144">
        <v>2.4334022671277262</v>
      </c>
      <c r="V144">
        <v>47.814619182625059</v>
      </c>
      <c r="W144">
        <v>25.943564498479475</v>
      </c>
      <c r="X144">
        <v>43.194760132042283</v>
      </c>
      <c r="Y144">
        <v>2.963866742723984</v>
      </c>
      <c r="Z144">
        <v>17.66950349454703</v>
      </c>
      <c r="AA144">
        <v>0.62035105436939197</v>
      </c>
      <c r="AB144">
        <v>32.178888302912306</v>
      </c>
      <c r="AD144">
        <v>0.31348102292948299</v>
      </c>
      <c r="AE144">
        <v>6.7591767480878735</v>
      </c>
      <c r="AF144">
        <v>13.891301659902734</v>
      </c>
      <c r="AG144">
        <v>17.785401868523145</v>
      </c>
      <c r="AI144">
        <v>2.0445049328116212</v>
      </c>
      <c r="AK144">
        <v>28.791892230812628</v>
      </c>
    </row>
    <row r="145" spans="1:37" x14ac:dyDescent="0.2">
      <c r="A145">
        <v>144</v>
      </c>
      <c r="B145">
        <v>760</v>
      </c>
      <c r="C145">
        <v>150</v>
      </c>
      <c r="D145">
        <v>0.43796205778444602</v>
      </c>
      <c r="E145">
        <v>127.94813836435173</v>
      </c>
      <c r="F145">
        <v>48.210222876804572</v>
      </c>
      <c r="G145">
        <v>70.809410334572505</v>
      </c>
      <c r="H145">
        <v>66.211317679496787</v>
      </c>
      <c r="J145">
        <v>24.996447120625845</v>
      </c>
      <c r="L145">
        <v>1.5377774848029075</v>
      </c>
      <c r="M145">
        <v>14.096853462432128</v>
      </c>
      <c r="N145">
        <v>2.1128564420746567</v>
      </c>
      <c r="O145">
        <v>7.6567166608151336</v>
      </c>
      <c r="P145">
        <v>8.6445078106677347</v>
      </c>
      <c r="R145">
        <v>11.160298527095808</v>
      </c>
      <c r="S145">
        <v>39.38923532330611</v>
      </c>
      <c r="U145">
        <v>2.4153188899608136</v>
      </c>
      <c r="V145">
        <v>47.965847740433006</v>
      </c>
      <c r="W145">
        <v>25.667118790127102</v>
      </c>
      <c r="X145">
        <v>43.182933845360651</v>
      </c>
      <c r="Y145">
        <v>2.5010252161983528</v>
      </c>
      <c r="Z145">
        <v>17.769597518650283</v>
      </c>
      <c r="AB145">
        <v>32.350208037834918</v>
      </c>
      <c r="AE145">
        <v>6.811220181812776</v>
      </c>
      <c r="AF145">
        <v>13.701243928888289</v>
      </c>
      <c r="AG145">
        <v>17.94190141055924</v>
      </c>
      <c r="AI145">
        <v>2.0462173193124049</v>
      </c>
      <c r="AK145">
        <v>26.865216804252178</v>
      </c>
    </row>
    <row r="146" spans="1:37" x14ac:dyDescent="0.2">
      <c r="A146">
        <v>145</v>
      </c>
      <c r="B146">
        <v>808</v>
      </c>
      <c r="C146">
        <v>125</v>
      </c>
      <c r="D146">
        <v>0.49145863201221102</v>
      </c>
      <c r="E146">
        <v>118.57026219370871</v>
      </c>
      <c r="F146">
        <v>74.537288591715708</v>
      </c>
      <c r="G146">
        <v>75.051420221893409</v>
      </c>
      <c r="H146">
        <v>70.586843928075226</v>
      </c>
      <c r="J146">
        <v>54.000865521793855</v>
      </c>
      <c r="L146">
        <v>12.593765430006943</v>
      </c>
      <c r="M146">
        <v>14.760945997540508</v>
      </c>
      <c r="N146">
        <v>2.3634209244393993</v>
      </c>
      <c r="O146">
        <v>62.241709165147476</v>
      </c>
      <c r="P146">
        <v>16.218935050211918</v>
      </c>
      <c r="Q146">
        <v>4.3779454378577443E-2</v>
      </c>
      <c r="R146">
        <v>26.899727555469994</v>
      </c>
      <c r="S146">
        <v>66.267445235118203</v>
      </c>
      <c r="U146">
        <v>3.5371909263791297</v>
      </c>
      <c r="V146">
        <v>48.25530737387421</v>
      </c>
      <c r="W146">
        <v>34.495237169158401</v>
      </c>
      <c r="X146">
        <v>41.89769991162747</v>
      </c>
      <c r="Y146">
        <v>13.465908784550695</v>
      </c>
      <c r="Z146">
        <v>38.846296026506863</v>
      </c>
      <c r="AA146">
        <v>12.355610339050923</v>
      </c>
      <c r="AB146">
        <v>41.306986696234965</v>
      </c>
      <c r="AC146">
        <v>0.4374388084987425</v>
      </c>
      <c r="AD146">
        <v>12.377679335896252</v>
      </c>
      <c r="AE146">
        <v>16.888551904162739</v>
      </c>
      <c r="AF146">
        <v>14.842768122401337</v>
      </c>
      <c r="AG146">
        <v>28.065129858998343</v>
      </c>
      <c r="AH146">
        <v>11.350704794798803</v>
      </c>
      <c r="AI146">
        <v>2.3062717740325738</v>
      </c>
      <c r="AK146">
        <v>45.036872605856558</v>
      </c>
    </row>
    <row r="147" spans="1:37" x14ac:dyDescent="0.2">
      <c r="A147">
        <v>146</v>
      </c>
      <c r="B147">
        <v>807</v>
      </c>
      <c r="C147">
        <v>125</v>
      </c>
      <c r="D147">
        <v>0.49092301995093302</v>
      </c>
      <c r="E147">
        <v>118.46945543906281</v>
      </c>
      <c r="F147">
        <v>74.212157909336241</v>
      </c>
      <c r="G147">
        <v>74.995011461753336</v>
      </c>
      <c r="H147">
        <v>70.527341252816313</v>
      </c>
      <c r="J147">
        <v>53.945875469067211</v>
      </c>
      <c r="L147">
        <v>12.510687701271491</v>
      </c>
      <c r="M147">
        <v>14.722810306892864</v>
      </c>
      <c r="N147">
        <v>2.3560056408591992</v>
      </c>
      <c r="O147">
        <v>61.826658489756241</v>
      </c>
      <c r="P147">
        <v>16.119767748287963</v>
      </c>
      <c r="R147">
        <v>26.720808434259283</v>
      </c>
      <c r="S147">
        <v>65.937863196496338</v>
      </c>
      <c r="U147">
        <v>3.4852349359462673</v>
      </c>
      <c r="V147">
        <v>48.198137794770254</v>
      </c>
      <c r="W147">
        <v>34.331731220725558</v>
      </c>
      <c r="X147">
        <v>41.785124368511497</v>
      </c>
      <c r="Y147">
        <v>13.378065915818128</v>
      </c>
      <c r="Z147">
        <v>38.665141667299068</v>
      </c>
      <c r="AA147">
        <v>12.268824559248678</v>
      </c>
      <c r="AB147">
        <v>41.203348005717679</v>
      </c>
      <c r="AC147">
        <v>0.42802890868084092</v>
      </c>
      <c r="AD147">
        <v>12.282233627240874</v>
      </c>
      <c r="AE147">
        <v>16.805683471045104</v>
      </c>
      <c r="AF147">
        <v>14.794094504041377</v>
      </c>
      <c r="AG147">
        <v>27.937186911604595</v>
      </c>
      <c r="AH147">
        <v>11.237343583877221</v>
      </c>
      <c r="AI147">
        <v>2.2986161006022665</v>
      </c>
      <c r="AK147">
        <v>45.034413291461817</v>
      </c>
    </row>
    <row r="148" spans="1:37" x14ac:dyDescent="0.2">
      <c r="A148">
        <v>147</v>
      </c>
      <c r="B148">
        <v>806</v>
      </c>
      <c r="C148">
        <v>125</v>
      </c>
      <c r="D148">
        <v>0.490386415234215</v>
      </c>
      <c r="E148">
        <v>118.35896885376461</v>
      </c>
      <c r="F148">
        <v>73.757738352673798</v>
      </c>
      <c r="G148">
        <v>74.916268344465024</v>
      </c>
      <c r="H148">
        <v>70.445516254033265</v>
      </c>
      <c r="J148">
        <v>53.912409557515367</v>
      </c>
      <c r="L148">
        <v>12.386480801147654</v>
      </c>
      <c r="M148">
        <v>14.738403053305943</v>
      </c>
      <c r="N148">
        <v>2.3391576842934025</v>
      </c>
      <c r="O148">
        <v>61.210260123714662</v>
      </c>
      <c r="P148">
        <v>15.966505707939721</v>
      </c>
      <c r="R148">
        <v>26.559954210041877</v>
      </c>
      <c r="S148">
        <v>65.837814674834149</v>
      </c>
      <c r="U148">
        <v>3.4722738795064076</v>
      </c>
      <c r="V148">
        <v>48.252154857438718</v>
      </c>
      <c r="W148">
        <v>34.213067767723565</v>
      </c>
      <c r="X148">
        <v>41.803483712755167</v>
      </c>
      <c r="Y148">
        <v>13.239216793793387</v>
      </c>
      <c r="Z148">
        <v>38.414235119110074</v>
      </c>
      <c r="AA148">
        <v>12.135732829018016</v>
      </c>
      <c r="AB148">
        <v>41.200487449677951</v>
      </c>
      <c r="AC148">
        <v>0.40918650080898233</v>
      </c>
      <c r="AD148">
        <v>12.148231075051779</v>
      </c>
      <c r="AE148">
        <v>16.698748808208965</v>
      </c>
      <c r="AF148">
        <v>14.789716712706966</v>
      </c>
      <c r="AG148">
        <v>27.90059166790591</v>
      </c>
      <c r="AH148">
        <v>11.065899582630047</v>
      </c>
      <c r="AI148">
        <v>2.2815270163850525</v>
      </c>
      <c r="AK148">
        <v>45.004649742747709</v>
      </c>
    </row>
    <row r="149" spans="1:37" x14ac:dyDescent="0.2">
      <c r="A149">
        <v>148</v>
      </c>
      <c r="B149">
        <v>805</v>
      </c>
      <c r="C149">
        <v>125</v>
      </c>
      <c r="D149">
        <v>0.48984881509993899</v>
      </c>
      <c r="E149">
        <v>118.24888150588147</v>
      </c>
      <c r="F149">
        <v>73.304099352064043</v>
      </c>
      <c r="G149">
        <v>74.837478373088828</v>
      </c>
      <c r="H149">
        <v>70.363656453701623</v>
      </c>
      <c r="J149">
        <v>53.878201136317301</v>
      </c>
      <c r="L149">
        <v>12.26165346389312</v>
      </c>
      <c r="M149">
        <v>14.754295818704778</v>
      </c>
      <c r="N149">
        <v>2.3222712609952385</v>
      </c>
      <c r="O149">
        <v>60.593506665899646</v>
      </c>
      <c r="P149">
        <v>15.813118161323363</v>
      </c>
      <c r="R149">
        <v>26.397616124051162</v>
      </c>
      <c r="S149">
        <v>65.73445782801646</v>
      </c>
      <c r="U149">
        <v>3.4598193625232807</v>
      </c>
      <c r="V149">
        <v>48.304853630646093</v>
      </c>
      <c r="W149">
        <v>34.095144546250218</v>
      </c>
      <c r="X149">
        <v>41.823570783790544</v>
      </c>
      <c r="Y149">
        <v>13.100208336831763</v>
      </c>
      <c r="Z149">
        <v>38.163564511486996</v>
      </c>
      <c r="AA149">
        <v>12.002377199623602</v>
      </c>
      <c r="AB149">
        <v>41.19586107368098</v>
      </c>
      <c r="AC149">
        <v>0.39030579070798843</v>
      </c>
      <c r="AD149">
        <v>12.01406268332387</v>
      </c>
      <c r="AE149">
        <v>16.592008261780833</v>
      </c>
      <c r="AF149">
        <v>14.785600541575358</v>
      </c>
      <c r="AG149">
        <v>27.862194384778846</v>
      </c>
      <c r="AH149">
        <v>10.894110443628856</v>
      </c>
      <c r="AI149">
        <v>2.2643987258270455</v>
      </c>
      <c r="AK149">
        <v>44.975005375201874</v>
      </c>
    </row>
    <row r="150" spans="1:37" x14ac:dyDescent="0.2">
      <c r="A150">
        <v>149</v>
      </c>
      <c r="B150">
        <v>804</v>
      </c>
      <c r="C150">
        <v>125</v>
      </c>
      <c r="D150">
        <v>0.48931021677575198</v>
      </c>
      <c r="E150">
        <v>118.13919770319251</v>
      </c>
      <c r="F150">
        <v>72.851289018311974</v>
      </c>
      <c r="G150">
        <v>74.758652249365667</v>
      </c>
      <c r="H150">
        <v>70.281772572515152</v>
      </c>
      <c r="J150">
        <v>53.843242788236495</v>
      </c>
      <c r="L150">
        <v>12.136237254574121</v>
      </c>
      <c r="M150">
        <v>14.770477542946479</v>
      </c>
      <c r="N150">
        <v>2.3053486162486263</v>
      </c>
      <c r="O150">
        <v>59.9764728250696</v>
      </c>
      <c r="P150">
        <v>15.659628777044956</v>
      </c>
      <c r="R150">
        <v>26.233838911838816</v>
      </c>
      <c r="S150">
        <v>65.627718084542792</v>
      </c>
      <c r="U150">
        <v>3.4478596815426847</v>
      </c>
      <c r="V150">
        <v>48.356211667854168</v>
      </c>
      <c r="W150">
        <v>33.97795841296697</v>
      </c>
      <c r="X150">
        <v>41.845349628030206</v>
      </c>
      <c r="Y150">
        <v>12.96106284927609</v>
      </c>
      <c r="Z150">
        <v>37.913149629321985</v>
      </c>
      <c r="AA150">
        <v>11.868843035572034</v>
      </c>
      <c r="AB150">
        <v>41.1894245919204</v>
      </c>
      <c r="AC150">
        <v>0.37138902323302003</v>
      </c>
      <c r="AD150">
        <v>11.87974461271201</v>
      </c>
      <c r="AE150">
        <v>16.485464704731708</v>
      </c>
      <c r="AF150">
        <v>14.781737180796927</v>
      </c>
      <c r="AG150">
        <v>27.821953026777827</v>
      </c>
      <c r="AH150">
        <v>10.7220076001077</v>
      </c>
      <c r="AI150">
        <v>2.2472334724038849</v>
      </c>
      <c r="AK150">
        <v>44.945491027932675</v>
      </c>
    </row>
    <row r="151" spans="1:37" x14ac:dyDescent="0.2">
      <c r="A151">
        <v>150</v>
      </c>
      <c r="B151">
        <v>803</v>
      </c>
      <c r="C151">
        <v>125</v>
      </c>
      <c r="D151">
        <v>0.48877061747897599</v>
      </c>
      <c r="E151">
        <v>118.02992139323385</v>
      </c>
      <c r="F151">
        <v>72.399355200356538</v>
      </c>
      <c r="G151">
        <v>74.679800776238054</v>
      </c>
      <c r="H151">
        <v>70.199875432402337</v>
      </c>
      <c r="J151">
        <v>53.807529738854349</v>
      </c>
      <c r="L151">
        <v>12.010336148851495</v>
      </c>
      <c r="M151">
        <v>14.786936726075261</v>
      </c>
      <c r="N151">
        <v>2.2883920941163507</v>
      </c>
      <c r="O151">
        <v>59.359234424911705</v>
      </c>
      <c r="P151">
        <v>15.50606152494243</v>
      </c>
      <c r="R151">
        <v>26.068669049152714</v>
      </c>
      <c r="S151">
        <v>65.517530201259135</v>
      </c>
      <c r="U151">
        <v>3.4363824464499708</v>
      </c>
      <c r="V151">
        <v>48.406209617387866</v>
      </c>
      <c r="W151">
        <v>33.861505207193474</v>
      </c>
      <c r="X151">
        <v>41.868782177725379</v>
      </c>
      <c r="Y151">
        <v>12.821802926601134</v>
      </c>
      <c r="Z151">
        <v>37.663010295159204</v>
      </c>
      <c r="AA151">
        <v>11.735013270994081</v>
      </c>
      <c r="AB151">
        <v>41.181138563652347</v>
      </c>
      <c r="AC151">
        <v>0.35243854201845359</v>
      </c>
      <c r="AD151">
        <v>11.745293106925471</v>
      </c>
      <c r="AE151">
        <v>16.379120967398627</v>
      </c>
      <c r="AF151">
        <v>14.778117479503162</v>
      </c>
      <c r="AG151">
        <v>27.779830502314024</v>
      </c>
      <c r="AH151">
        <v>10.549622787062585</v>
      </c>
      <c r="AI151">
        <v>2.2300335983705426</v>
      </c>
      <c r="AK151">
        <v>44.916117672409918</v>
      </c>
    </row>
    <row r="152" spans="1:37" x14ac:dyDescent="0.2">
      <c r="A152">
        <v>151</v>
      </c>
      <c r="B152">
        <v>802</v>
      </c>
      <c r="C152">
        <v>125</v>
      </c>
      <c r="D152">
        <v>0.48823001441659297</v>
      </c>
      <c r="E152">
        <v>117.92105615199301</v>
      </c>
      <c r="F152">
        <v>71.948345275337545</v>
      </c>
      <c r="G152">
        <v>74.600934809297186</v>
      </c>
      <c r="H152">
        <v>70.117975907976614</v>
      </c>
      <c r="J152">
        <v>53.771059808616144</v>
      </c>
      <c r="L152">
        <v>11.883839715670067</v>
      </c>
      <c r="M152">
        <v>14.803661486865151</v>
      </c>
      <c r="N152">
        <v>2.2714041249383365</v>
      </c>
      <c r="O152">
        <v>58.741868045535341</v>
      </c>
      <c r="P152">
        <v>15.352440566480553</v>
      </c>
      <c r="R152">
        <v>25.902154516312667</v>
      </c>
      <c r="S152">
        <v>65.403838301701427</v>
      </c>
      <c r="U152">
        <v>3.425374646301691</v>
      </c>
      <c r="V152">
        <v>48.454831206572621</v>
      </c>
      <c r="W152">
        <v>33.745779790220013</v>
      </c>
      <c r="X152">
        <v>41.893828459159614</v>
      </c>
      <c r="Y152">
        <v>12.682451352309124</v>
      </c>
      <c r="Z152">
        <v>37.413166275911749</v>
      </c>
      <c r="AA152">
        <v>11.600980270511995</v>
      </c>
      <c r="AB152">
        <v>41.170968436033753</v>
      </c>
      <c r="AC152">
        <v>0.33345677697452586</v>
      </c>
      <c r="AD152">
        <v>11.610724429931633</v>
      </c>
      <c r="AE152">
        <v>16.272979820836099</v>
      </c>
      <c r="AF152">
        <v>14.774731991839602</v>
      </c>
      <c r="AG152">
        <v>27.735794693992009</v>
      </c>
      <c r="AH152">
        <v>10.376987914672897</v>
      </c>
      <c r="AI152">
        <v>2.2128015322566856</v>
      </c>
      <c r="AK152">
        <v>44.886896360686109</v>
      </c>
    </row>
    <row r="153" spans="1:37" x14ac:dyDescent="0.2">
      <c r="A153">
        <v>152</v>
      </c>
      <c r="B153">
        <v>801</v>
      </c>
      <c r="C153">
        <v>125</v>
      </c>
      <c r="D153">
        <v>0.487688404785181</v>
      </c>
      <c r="E153">
        <v>117.81260517523172</v>
      </c>
      <c r="F153">
        <v>71.498305945522816</v>
      </c>
      <c r="G153">
        <v>74.522065208869506</v>
      </c>
      <c r="H153">
        <v>70.036084878621139</v>
      </c>
      <c r="J153">
        <v>53.733833345931572</v>
      </c>
      <c r="L153">
        <v>11.756854654617589</v>
      </c>
      <c r="M153">
        <v>14.820639623180625</v>
      </c>
      <c r="N153">
        <v>2.2543872124157214</v>
      </c>
      <c r="O153">
        <v>58.124450666540376</v>
      </c>
      <c r="P153">
        <v>15.198790146012731</v>
      </c>
      <c r="R153">
        <v>25.734344559737007</v>
      </c>
      <c r="S153">
        <v>65.286595841460112</v>
      </c>
      <c r="U153">
        <v>3.4148227181571298</v>
      </c>
      <c r="V153">
        <v>48.502063204414718</v>
      </c>
      <c r="W153">
        <v>33.630776091036083</v>
      </c>
      <c r="X153">
        <v>41.920446795602146</v>
      </c>
      <c r="Y153">
        <v>12.543030995587431</v>
      </c>
      <c r="Z153">
        <v>37.163637191387721</v>
      </c>
      <c r="AA153">
        <v>11.466764719589163</v>
      </c>
      <c r="AB153">
        <v>41.158884548231782</v>
      </c>
      <c r="AC153">
        <v>0.31444623137326649</v>
      </c>
      <c r="AD153">
        <v>11.476054803738538</v>
      </c>
      <c r="AE153">
        <v>16.167043960660227</v>
      </c>
      <c r="AF153">
        <v>14.771571024419279</v>
      </c>
      <c r="AG153">
        <v>27.689818449802232</v>
      </c>
      <c r="AH153">
        <v>10.204134942464826</v>
      </c>
      <c r="AI153">
        <v>2.1955397759531925</v>
      </c>
      <c r="AK153">
        <v>44.857838174033041</v>
      </c>
    </row>
    <row r="154" spans="1:37" x14ac:dyDescent="0.2">
      <c r="A154">
        <v>153</v>
      </c>
      <c r="B154">
        <v>800</v>
      </c>
      <c r="C154">
        <v>125</v>
      </c>
      <c r="D154">
        <v>0.48714578577086598</v>
      </c>
      <c r="E154">
        <v>117.70457127282143</v>
      </c>
      <c r="F154">
        <v>71.049283048217163</v>
      </c>
      <c r="G154">
        <v>74.443202794031706</v>
      </c>
      <c r="H154">
        <v>69.954213182505683</v>
      </c>
      <c r="J154">
        <v>53.695853141929014</v>
      </c>
      <c r="L154">
        <v>11.629414034302531</v>
      </c>
      <c r="M154">
        <v>14.837858671564037</v>
      </c>
      <c r="N154">
        <v>2.2373439207118011</v>
      </c>
      <c r="O154">
        <v>57.507059322017938</v>
      </c>
      <c r="P154">
        <v>15.045134485906413</v>
      </c>
      <c r="R154">
        <v>25.565289452794278</v>
      </c>
      <c r="S154">
        <v>65.165765496351071</v>
      </c>
      <c r="U154">
        <v>3.4047126167031849</v>
      </c>
      <c r="V154">
        <v>48.547895360615485</v>
      </c>
      <c r="W154">
        <v>33.516487156636593</v>
      </c>
      <c r="X154">
        <v>41.948594048683184</v>
      </c>
      <c r="Y154">
        <v>12.40356471256027</v>
      </c>
      <c r="Z154">
        <v>36.914442427460102</v>
      </c>
      <c r="AA154">
        <v>11.332387475766605</v>
      </c>
      <c r="AB154">
        <v>41.144862094746266</v>
      </c>
      <c r="AC154">
        <v>0.29540946894758457</v>
      </c>
      <c r="AD154">
        <v>11.341300348557418</v>
      </c>
      <c r="AE154">
        <v>16.061315992042768</v>
      </c>
      <c r="AF154">
        <v>14.768624683004342</v>
      </c>
      <c r="AG154">
        <v>27.641879533547442</v>
      </c>
      <c r="AH154">
        <v>10.031095757616857</v>
      </c>
      <c r="AI154">
        <v>2.1782508918117043</v>
      </c>
      <c r="AK154">
        <v>44.82895417334332</v>
      </c>
    </row>
    <row r="155" spans="1:37" x14ac:dyDescent="0.2">
      <c r="A155">
        <v>154</v>
      </c>
      <c r="B155">
        <v>799</v>
      </c>
      <c r="C155">
        <v>125</v>
      </c>
      <c r="D155">
        <v>0.48660215454927003</v>
      </c>
      <c r="E155">
        <v>117.59695686583305</v>
      </c>
      <c r="F155">
        <v>70.601321378082247</v>
      </c>
      <c r="G155">
        <v>74.364358298561541</v>
      </c>
      <c r="H155">
        <v>69.872371572536423</v>
      </c>
      <c r="J155">
        <v>53.657124329858682</v>
      </c>
      <c r="L155">
        <v>11.501550794774277</v>
      </c>
      <c r="M155">
        <v>14.855305966566442</v>
      </c>
      <c r="N155">
        <v>2.220276861573355</v>
      </c>
      <c r="O155">
        <v>56.889770767410276</v>
      </c>
      <c r="P155">
        <v>14.891497685571405</v>
      </c>
      <c r="R155">
        <v>25.39504025952635</v>
      </c>
      <c r="S155">
        <v>65.041318984494112</v>
      </c>
      <c r="U155">
        <v>3.3950298846100058</v>
      </c>
      <c r="V155">
        <v>48.59232032552044</v>
      </c>
      <c r="W155">
        <v>33.402905206644952</v>
      </c>
      <c r="X155">
        <v>41.978225813295467</v>
      </c>
      <c r="Y155">
        <v>12.264075251162492</v>
      </c>
      <c r="Z155">
        <v>36.665601053705274</v>
      </c>
      <c r="AA155">
        <v>11.197933194995828</v>
      </c>
      <c r="AB155">
        <v>41.128881053253139</v>
      </c>
      <c r="AC155">
        <v>0.27634910101410415</v>
      </c>
      <c r="AD155">
        <v>11.206477025361878</v>
      </c>
      <c r="AE155">
        <v>15.955798415745956</v>
      </c>
      <c r="AF155">
        <v>14.765882918960651</v>
      </c>
      <c r="AG155">
        <v>27.591960539804539</v>
      </c>
      <c r="AH155">
        <v>9.8579020575507386</v>
      </c>
      <c r="AI155">
        <v>2.1609374897667624</v>
      </c>
      <c r="AK155">
        <v>44.800255351460606</v>
      </c>
    </row>
    <row r="156" spans="1:37" x14ac:dyDescent="0.2">
      <c r="A156">
        <v>155</v>
      </c>
      <c r="B156">
        <v>798</v>
      </c>
      <c r="C156">
        <v>125</v>
      </c>
      <c r="D156">
        <v>0.48605750828548999</v>
      </c>
      <c r="E156">
        <v>117.48976398627393</v>
      </c>
      <c r="F156">
        <v>70.154464523637401</v>
      </c>
      <c r="G156">
        <v>74.285542329321629</v>
      </c>
      <c r="H156">
        <v>69.790570674740721</v>
      </c>
      <c r="J156">
        <v>53.617654270840426</v>
      </c>
      <c r="L156">
        <v>11.37329759834161</v>
      </c>
      <c r="M156">
        <v>14.872968698842344</v>
      </c>
      <c r="N156">
        <v>2.2031886816515009</v>
      </c>
      <c r="O156">
        <v>56.272661162098494</v>
      </c>
      <c r="P156">
        <v>14.737903625542051</v>
      </c>
      <c r="R156">
        <v>25.223648603501637</v>
      </c>
      <c r="S156">
        <v>64.91323682677239</v>
      </c>
      <c r="U156">
        <v>3.385759722590882</v>
      </c>
      <c r="V156">
        <v>48.635333552409797</v>
      </c>
      <c r="W156">
        <v>33.290021691308112</v>
      </c>
      <c r="X156">
        <v>42.009296647812022</v>
      </c>
      <c r="Y156">
        <v>12.124585160730902</v>
      </c>
      <c r="Z156">
        <v>36.41713174644125</v>
      </c>
      <c r="AA156">
        <v>11.063290265201678</v>
      </c>
      <c r="AB156">
        <v>41.110926079163853</v>
      </c>
      <c r="AC156">
        <v>0.25726777379320753</v>
      </c>
      <c r="AD156">
        <v>11.071600581511564</v>
      </c>
      <c r="AE156">
        <v>15.850493615371406</v>
      </c>
      <c r="AF156">
        <v>14.763335574672793</v>
      </c>
      <c r="AG156">
        <v>27.540048775805861</v>
      </c>
      <c r="AH156">
        <v>9.6845852383571192</v>
      </c>
      <c r="AI156">
        <v>2.1436022146562004</v>
      </c>
      <c r="AK156">
        <v>44.771752587897765</v>
      </c>
    </row>
    <row r="157" spans="1:37" x14ac:dyDescent="0.2">
      <c r="A157">
        <v>156</v>
      </c>
      <c r="B157">
        <v>797</v>
      </c>
      <c r="C157">
        <v>125</v>
      </c>
      <c r="D157">
        <v>0.48551184413399801</v>
      </c>
      <c r="E157">
        <v>117.38299427943797</v>
      </c>
      <c r="F157">
        <v>69.708754719852905</v>
      </c>
      <c r="G157">
        <v>74.206765327541291</v>
      </c>
      <c r="H157">
        <v>69.708820949546194</v>
      </c>
      <c r="J157">
        <v>53.57745242825051</v>
      </c>
      <c r="L157">
        <v>11.244686710716538</v>
      </c>
      <c r="M157">
        <v>14.890833971225314</v>
      </c>
      <c r="N157">
        <v>2.1860820501953193</v>
      </c>
      <c r="O157">
        <v>55.655805771628778</v>
      </c>
      <c r="P157">
        <v>14.584375877739628</v>
      </c>
      <c r="R157">
        <v>25.051166444222446</v>
      </c>
      <c r="S157">
        <v>64.781508051637942</v>
      </c>
      <c r="U157">
        <v>3.3768870582127652</v>
      </c>
      <c r="V157">
        <v>48.676933184075303</v>
      </c>
      <c r="W157">
        <v>33.177827351847128</v>
      </c>
      <c r="X157">
        <v>42.041760285598393</v>
      </c>
      <c r="Y157">
        <v>11.985116707371644</v>
      </c>
      <c r="Z157">
        <v>36.169052718116468</v>
      </c>
      <c r="AA157">
        <v>10.928548738878904</v>
      </c>
      <c r="AB157">
        <v>41.09098636989301</v>
      </c>
      <c r="AC157">
        <v>0.23816815610300437</v>
      </c>
      <c r="AD157">
        <v>10.936686500118574</v>
      </c>
      <c r="AE157">
        <v>15.745403846012078</v>
      </c>
      <c r="AF157">
        <v>14.760972427314613</v>
      </c>
      <c r="AG157">
        <v>27.486136113401738</v>
      </c>
      <c r="AH157">
        <v>9.5111762912802398</v>
      </c>
      <c r="AI157">
        <v>2.1262477339149983</v>
      </c>
      <c r="AK157">
        <v>44.743456606572558</v>
      </c>
    </row>
    <row r="158" spans="1:37" x14ac:dyDescent="0.2">
      <c r="A158">
        <v>157</v>
      </c>
      <c r="B158">
        <v>796</v>
      </c>
      <c r="C158">
        <v>125</v>
      </c>
      <c r="D158">
        <v>0.48496515923864703</v>
      </c>
      <c r="E158">
        <v>117.276649008589</v>
      </c>
      <c r="F158">
        <v>69.264232716484898</v>
      </c>
      <c r="G158">
        <v>74.128037533075343</v>
      </c>
      <c r="H158">
        <v>69.627132656045049</v>
      </c>
      <c r="J158">
        <v>53.536530233033986</v>
      </c>
      <c r="L158">
        <v>11.115667823052922</v>
      </c>
      <c r="M158">
        <v>14.908888852672542</v>
      </c>
      <c r="N158">
        <v>2.1689596471633998</v>
      </c>
      <c r="O158">
        <v>55.039278690084643</v>
      </c>
      <c r="P158">
        <v>14.430937622103157</v>
      </c>
      <c r="R158">
        <v>24.877645863120105</v>
      </c>
      <c r="S158">
        <v>64.646129852974383</v>
      </c>
      <c r="U158">
        <v>3.3683966130863654</v>
      </c>
      <c r="V158">
        <v>48.717119926798397</v>
      </c>
      <c r="W158">
        <v>33.066312282676563</v>
      </c>
      <c r="X158">
        <v>42.075569843685223</v>
      </c>
      <c r="Y158">
        <v>11.845691795288595</v>
      </c>
      <c r="Z158">
        <v>35.921381652988003</v>
      </c>
      <c r="AA158">
        <v>10.793729230814177</v>
      </c>
      <c r="AB158">
        <v>41.069055503154928</v>
      </c>
      <c r="AC158">
        <v>0.21905292747099908</v>
      </c>
      <c r="AD158">
        <v>10.801749953231376</v>
      </c>
      <c r="AE158">
        <v>15.640531224218313</v>
      </c>
      <c r="AF158">
        <v>14.758783230907284</v>
      </c>
      <c r="AG158">
        <v>27.430218815468255</v>
      </c>
      <c r="AH158">
        <v>9.3377056982218853</v>
      </c>
      <c r="AI158">
        <v>2.1088767256870637</v>
      </c>
      <c r="AK158">
        <v>44.715377936567251</v>
      </c>
    </row>
    <row r="159" spans="1:37" x14ac:dyDescent="0.2">
      <c r="A159">
        <v>158</v>
      </c>
      <c r="B159">
        <v>795</v>
      </c>
      <c r="C159">
        <v>125</v>
      </c>
      <c r="D159">
        <v>0.48441745073257497</v>
      </c>
      <c r="E159">
        <v>117.17072906193653</v>
      </c>
      <c r="F159">
        <v>68.820937664751852</v>
      </c>
      <c r="G159">
        <v>74.049368952219169</v>
      </c>
      <c r="H159">
        <v>69.545515819803143</v>
      </c>
      <c r="J159">
        <v>53.494900942087867</v>
      </c>
      <c r="L159">
        <v>10.986432518137146</v>
      </c>
      <c r="M159">
        <v>14.927120428771367</v>
      </c>
      <c r="N159">
        <v>2.1518241520246901</v>
      </c>
      <c r="O159">
        <v>54.423152587796437</v>
      </c>
      <c r="P159">
        <v>14.27761157101186</v>
      </c>
      <c r="R159">
        <v>24.703138860843993</v>
      </c>
      <c r="S159">
        <v>64.507107205348689</v>
      </c>
      <c r="U159">
        <v>3.3602729671192204</v>
      </c>
      <c r="V159">
        <v>48.755896912596036</v>
      </c>
      <c r="W159">
        <v>32.955465993862703</v>
      </c>
      <c r="X159">
        <v>42.110678022446891</v>
      </c>
      <c r="Y159">
        <v>11.706331895418208</v>
      </c>
      <c r="Z159">
        <v>35.67413565051779</v>
      </c>
      <c r="AA159">
        <v>10.658852103433556</v>
      </c>
      <c r="AB159">
        <v>41.045131251682818</v>
      </c>
      <c r="AC159">
        <v>0.19992476693412187</v>
      </c>
      <c r="AD159">
        <v>10.666805759752418</v>
      </c>
      <c r="AE159">
        <v>15.535877719678332</v>
      </c>
      <c r="AF159">
        <v>14.756757755617842</v>
      </c>
      <c r="AG159">
        <v>27.372297339424961</v>
      </c>
      <c r="AH159">
        <v>9.1642033541304571</v>
      </c>
      <c r="AI159">
        <v>2.0914918676253818</v>
      </c>
      <c r="AK159">
        <v>44.687526876713221</v>
      </c>
    </row>
    <row r="160" spans="1:37" x14ac:dyDescent="0.2">
      <c r="A160">
        <v>159</v>
      </c>
      <c r="B160">
        <v>794</v>
      </c>
      <c r="C160">
        <v>125</v>
      </c>
      <c r="D160">
        <v>0.48386871573818202</v>
      </c>
      <c r="E160">
        <v>117.0652349612819</v>
      </c>
      <c r="F160">
        <v>68.378907018150855</v>
      </c>
      <c r="G160">
        <v>73.970769328465025</v>
      </c>
      <c r="H160">
        <v>69.463980203620906</v>
      </c>
      <c r="J160">
        <v>53.452579491852482</v>
      </c>
      <c r="L160">
        <v>10.856932675784778</v>
      </c>
      <c r="M160">
        <v>14.945515850043744</v>
      </c>
      <c r="N160">
        <v>2.1346782329943843</v>
      </c>
      <c r="O160">
        <v>53.807498479090796</v>
      </c>
      <c r="P160">
        <v>14.124419900048801</v>
      </c>
      <c r="R160">
        <v>24.527697167082763</v>
      </c>
      <c r="S160">
        <v>64.364452449500561</v>
      </c>
      <c r="U160">
        <v>3.3525006206317314</v>
      </c>
      <c r="V160">
        <v>48.793269554810699</v>
      </c>
      <c r="W160">
        <v>32.845277474738118</v>
      </c>
      <c r="X160">
        <v>42.147037297271105</v>
      </c>
      <c r="Y160">
        <v>11.567057979998435</v>
      </c>
      <c r="Z160">
        <v>35.42733117465572</v>
      </c>
      <c r="AA160">
        <v>10.523937396871769</v>
      </c>
      <c r="AB160">
        <v>41.019215380676378</v>
      </c>
      <c r="AC160">
        <v>0.18078634227543375</v>
      </c>
      <c r="AD160">
        <v>10.531868347112924</v>
      </c>
      <c r="AE160">
        <v>15.431445148006894</v>
      </c>
      <c r="AF160">
        <v>14.754885825312227</v>
      </c>
      <c r="AG160">
        <v>27.312376123921485</v>
      </c>
      <c r="AH160">
        <v>8.9906984805062251</v>
      </c>
      <c r="AI160">
        <v>2.0740958261282532</v>
      </c>
      <c r="AK160">
        <v>44.659913463051502</v>
      </c>
    </row>
    <row r="161" spans="1:37" x14ac:dyDescent="0.2">
      <c r="A161">
        <v>160</v>
      </c>
      <c r="B161">
        <v>793</v>
      </c>
      <c r="C161">
        <v>125</v>
      </c>
      <c r="D161">
        <v>0.48331895136707098</v>
      </c>
      <c r="E161">
        <v>116.96016687286753</v>
      </c>
      <c r="F161">
        <v>67.938176453412467</v>
      </c>
      <c r="G161">
        <v>73.892248117258461</v>
      </c>
      <c r="H161">
        <v>69.382535282287904</v>
      </c>
      <c r="J161">
        <v>53.409582349427446</v>
      </c>
      <c r="L161">
        <v>10.727198156099057</v>
      </c>
      <c r="M161">
        <v>14.964062375914891</v>
      </c>
      <c r="N161">
        <v>2.117524537225818</v>
      </c>
      <c r="O161">
        <v>53.192385519190751</v>
      </c>
      <c r="P161">
        <v>13.971384187686315</v>
      </c>
      <c r="R161">
        <v>24.351372064587569</v>
      </c>
      <c r="S161">
        <v>64.218184849058687</v>
      </c>
      <c r="U161">
        <v>3.345064052270327</v>
      </c>
      <c r="V161">
        <v>48.829245396222433</v>
      </c>
      <c r="W161">
        <v>32.735735255896046</v>
      </c>
      <c r="X161">
        <v>42.184600098999496</v>
      </c>
      <c r="Y161">
        <v>11.427890465528668</v>
      </c>
      <c r="Z161">
        <v>35.180984011554798</v>
      </c>
      <c r="AA161">
        <v>10.389066216866661</v>
      </c>
      <c r="AB161">
        <v>40.991313428624821</v>
      </c>
      <c r="AC161">
        <v>0.16164030021590289</v>
      </c>
      <c r="AD161">
        <v>10.396951718301358</v>
      </c>
      <c r="AE161">
        <v>15.327235165335935</v>
      </c>
      <c r="AF161">
        <v>14.753157351704543</v>
      </c>
      <c r="AG161">
        <v>27.250463359849533</v>
      </c>
      <c r="AH161">
        <v>8.8172195516969172</v>
      </c>
      <c r="AI161">
        <v>2.0566912465316531</v>
      </c>
      <c r="AK161">
        <v>44.6325474409024</v>
      </c>
    </row>
    <row r="162" spans="1:37" x14ac:dyDescent="0.2">
      <c r="A162">
        <v>161</v>
      </c>
      <c r="B162">
        <v>792</v>
      </c>
      <c r="C162">
        <v>125</v>
      </c>
      <c r="D162">
        <v>0.48276815471999501</v>
      </c>
      <c r="E162">
        <v>116.85552461943266</v>
      </c>
      <c r="F162">
        <v>67.49877980599129</v>
      </c>
      <c r="G162">
        <v>73.813814463951331</v>
      </c>
      <c r="H162">
        <v>69.30119022053637</v>
      </c>
      <c r="J162">
        <v>53.365927362671435</v>
      </c>
      <c r="L162">
        <v>10.59725803499154</v>
      </c>
      <c r="M162">
        <v>14.982747415488939</v>
      </c>
      <c r="N162">
        <v>2.1003656816368221</v>
      </c>
      <c r="O162">
        <v>52.577880823989382</v>
      </c>
      <c r="P162">
        <v>13.818525362037661</v>
      </c>
      <c r="R162">
        <v>24.174214227424855</v>
      </c>
      <c r="S162">
        <v>64.068330130010253</v>
      </c>
      <c r="U162">
        <v>3.3379477736187377</v>
      </c>
      <c r="V162">
        <v>48.863833954002963</v>
      </c>
      <c r="W162">
        <v>32.626827470603679</v>
      </c>
      <c r="X162">
        <v>42.223318981822686</v>
      </c>
      <c r="Y162">
        <v>11.288849162345889</v>
      </c>
      <c r="Z162">
        <v>34.935109233793895</v>
      </c>
      <c r="AA162">
        <v>10.254130422304049</v>
      </c>
      <c r="AB162">
        <v>40.96143447754072</v>
      </c>
      <c r="AC162">
        <v>0.14248925724076089</v>
      </c>
      <c r="AD162">
        <v>10.262069423125871</v>
      </c>
      <c r="AE162">
        <v>15.223249264190438</v>
      </c>
      <c r="AF162">
        <v>14.751562365967775</v>
      </c>
      <c r="AG162">
        <v>27.186570751408819</v>
      </c>
      <c r="AH162">
        <v>8.6437942347905175</v>
      </c>
      <c r="AI162">
        <v>2.0392807439353549</v>
      </c>
      <c r="AK162">
        <v>44.605438240116534</v>
      </c>
    </row>
    <row r="163" spans="1:37" x14ac:dyDescent="0.2">
      <c r="A163">
        <v>162</v>
      </c>
      <c r="B163">
        <v>791</v>
      </c>
      <c r="C163">
        <v>125</v>
      </c>
      <c r="D163">
        <v>0.48221632288681698</v>
      </c>
      <c r="E163">
        <v>116.7513076935363</v>
      </c>
      <c r="F163">
        <v>67.060749021346865</v>
      </c>
      <c r="G163">
        <v>73.735477185179306</v>
      </c>
      <c r="H163">
        <v>69.219953854418648</v>
      </c>
      <c r="J163">
        <v>53.321633611163847</v>
      </c>
      <c r="L163">
        <v>10.467054118059492</v>
      </c>
      <c r="M163">
        <v>15.001558564611596</v>
      </c>
      <c r="N163">
        <v>2.0832042445275869</v>
      </c>
      <c r="O163">
        <v>51.964049314713854</v>
      </c>
      <c r="P163">
        <v>13.665863655217311</v>
      </c>
      <c r="R163">
        <v>23.996273574226858</v>
      </c>
      <c r="S163">
        <v>63.914920008032311</v>
      </c>
      <c r="U163">
        <v>3.3311363798912832</v>
      </c>
      <c r="V163">
        <v>48.897046562798501</v>
      </c>
      <c r="W163">
        <v>32.518541914593129</v>
      </c>
      <c r="X163">
        <v>42.263146780343178</v>
      </c>
      <c r="Y163">
        <v>11.14995323136394</v>
      </c>
      <c r="Z163">
        <v>34.689721171558794</v>
      </c>
      <c r="AA163">
        <v>10.119214987955086</v>
      </c>
      <c r="AB163">
        <v>40.929590915283249</v>
      </c>
      <c r="AC163">
        <v>0.12333579121725022</v>
      </c>
      <c r="AD163">
        <v>10.127234534039296</v>
      </c>
      <c r="AE163">
        <v>15.119488770756636</v>
      </c>
      <c r="AF163">
        <v>14.750091047408517</v>
      </c>
      <c r="AG163">
        <v>27.120713270039072</v>
      </c>
      <c r="AH163">
        <v>8.4704493262203222</v>
      </c>
      <c r="AI163">
        <v>2.0218668948204428</v>
      </c>
      <c r="AK163">
        <v>44.578594954006455</v>
      </c>
    </row>
    <row r="164" spans="1:37" x14ac:dyDescent="0.2">
      <c r="A164">
        <v>163</v>
      </c>
      <c r="B164">
        <v>790</v>
      </c>
      <c r="C164">
        <v>125</v>
      </c>
      <c r="D164">
        <v>0.48166345294643498</v>
      </c>
      <c r="E164">
        <v>116.64751527210305</v>
      </c>
      <c r="F164">
        <v>66.624114122358577</v>
      </c>
      <c r="G164">
        <v>73.657244753737544</v>
      </c>
      <c r="H164">
        <v>69.138834676182896</v>
      </c>
      <c r="J164">
        <v>53.276721259722798</v>
      </c>
      <c r="L164">
        <v>10.33678199965242</v>
      </c>
      <c r="M164">
        <v>15.020483638888344</v>
      </c>
      <c r="N164">
        <v>2.0660427580986518</v>
      </c>
      <c r="O164">
        <v>51.350953588389814</v>
      </c>
      <c r="P164">
        <v>13.513418565614483</v>
      </c>
      <c r="R164">
        <v>23.81759913689152</v>
      </c>
      <c r="S164">
        <v>63.757991709107507</v>
      </c>
      <c r="U164">
        <v>3.3246145962218785</v>
      </c>
      <c r="V164">
        <v>48.928896217444716</v>
      </c>
      <c r="W164">
        <v>32.410866103376542</v>
      </c>
      <c r="X164">
        <v>42.30403675206135</v>
      </c>
      <c r="Y164">
        <v>11.01122114824371</v>
      </c>
      <c r="Z164">
        <v>34.444833390861753</v>
      </c>
      <c r="AA164">
        <v>9.9843380789223151</v>
      </c>
      <c r="AB164">
        <v>40.89579819271836</v>
      </c>
      <c r="AC164">
        <v>0.10418243391226238</v>
      </c>
      <c r="AD164">
        <v>9.9924596266463599</v>
      </c>
      <c r="AE164">
        <v>15.015954843531595</v>
      </c>
      <c r="AF164">
        <v>14.748733749004307</v>
      </c>
      <c r="AG164">
        <v>27.052908904108225</v>
      </c>
      <c r="AH164">
        <v>8.2972107410382261</v>
      </c>
      <c r="AI164">
        <v>2.004452229567419</v>
      </c>
      <c r="AK164">
        <v>44.552026322205634</v>
      </c>
    </row>
    <row r="165" spans="1:37" x14ac:dyDescent="0.2">
      <c r="A165">
        <v>164</v>
      </c>
      <c r="B165">
        <v>789</v>
      </c>
      <c r="C165">
        <v>125</v>
      </c>
      <c r="D165">
        <v>0.48110954196676597</v>
      </c>
      <c r="E165">
        <v>116.54414623178359</v>
      </c>
      <c r="F165">
        <v>66.188903190697033</v>
      </c>
      <c r="G165">
        <v>73.579125286628795</v>
      </c>
      <c r="H165">
        <v>69.057840822321666</v>
      </c>
      <c r="J165">
        <v>53.231211415663381</v>
      </c>
      <c r="L165">
        <v>10.206386280916245</v>
      </c>
      <c r="M165">
        <v>15.039510703000589</v>
      </c>
      <c r="N165">
        <v>2.0488837017666834</v>
      </c>
      <c r="O165">
        <v>50.738653811778939</v>
      </c>
      <c r="P165">
        <v>13.361208827309428</v>
      </c>
      <c r="R165">
        <v>23.638238944460689</v>
      </c>
      <c r="S165">
        <v>63.597587490059588</v>
      </c>
      <c r="U165">
        <v>3.3183673198324626</v>
      </c>
      <c r="V165">
        <v>48.959397417409633</v>
      </c>
      <c r="W165">
        <v>32.303787327180778</v>
      </c>
      <c r="X165">
        <v>42.345942707239232</v>
      </c>
      <c r="Y165">
        <v>10.87267067428122</v>
      </c>
      <c r="Z165">
        <v>34.200458678115552</v>
      </c>
      <c r="AA165">
        <v>9.8495172919420284</v>
      </c>
      <c r="AB165">
        <v>40.86007457930647</v>
      </c>
      <c r="AC165">
        <v>8.5031664308817798E-2</v>
      </c>
      <c r="AD165">
        <v>9.8577567644849449</v>
      </c>
      <c r="AE165">
        <v>14.912648473205744</v>
      </c>
      <c r="AF165">
        <v>14.747481020037542</v>
      </c>
      <c r="AG165">
        <v>26.983178407807149</v>
      </c>
      <c r="AH165">
        <v>8.1241034294008507</v>
      </c>
      <c r="AI165">
        <v>1.9870392257724476</v>
      </c>
      <c r="AK165">
        <v>44.525740716960364</v>
      </c>
    </row>
    <row r="166" spans="1:37" x14ac:dyDescent="0.2">
      <c r="A166">
        <v>165</v>
      </c>
      <c r="B166">
        <v>788</v>
      </c>
      <c r="C166">
        <v>125</v>
      </c>
      <c r="D166">
        <v>0.48055458700466802</v>
      </c>
      <c r="E166">
        <v>116.44119916482704</v>
      </c>
      <c r="F166">
        <v>65.755142360137029</v>
      </c>
      <c r="G166">
        <v>73.501126535950661</v>
      </c>
      <c r="H166">
        <v>68.976980064458644</v>
      </c>
      <c r="J166">
        <v>53.185125990829917</v>
      </c>
      <c r="L166">
        <v>10.075806624253689</v>
      </c>
      <c r="M166">
        <v>15.058628096730565</v>
      </c>
      <c r="N166">
        <v>2.0317294962022681</v>
      </c>
      <c r="O166">
        <v>50.127207636170532</v>
      </c>
      <c r="P166">
        <v>13.209252385875342</v>
      </c>
      <c r="R166">
        <v>23.458239921785957</v>
      </c>
      <c r="S166">
        <v>63.433754164750262</v>
      </c>
      <c r="U166">
        <v>3.3123796583507894</v>
      </c>
      <c r="V166">
        <v>48.9885660148285</v>
      </c>
      <c r="W166">
        <v>32.197292703592908</v>
      </c>
      <c r="X166">
        <v>42.388819126783844</v>
      </c>
      <c r="Y166">
        <v>10.734318833308384</v>
      </c>
      <c r="Z166">
        <v>33.956609030104282</v>
      </c>
      <c r="AA166">
        <v>9.7147696247458217</v>
      </c>
      <c r="AB166">
        <v>40.8224409200729</v>
      </c>
      <c r="AC166">
        <v>6.5885902643622235E-2</v>
      </c>
      <c r="AD166">
        <v>9.7231374875461167</v>
      </c>
      <c r="AE166">
        <v>14.80957048349164</v>
      </c>
      <c r="AF166">
        <v>14.746323626158283</v>
      </c>
      <c r="AG166">
        <v>26.911545052166108</v>
      </c>
      <c r="AH166">
        <v>7.9511513765688822</v>
      </c>
      <c r="AI166">
        <v>1.9696303022850299</v>
      </c>
      <c r="AK166">
        <v>44.499746132405555</v>
      </c>
    </row>
    <row r="167" spans="1:37" x14ac:dyDescent="0.2">
      <c r="A167">
        <v>166</v>
      </c>
      <c r="B167">
        <v>787</v>
      </c>
      <c r="C167">
        <v>125</v>
      </c>
      <c r="D167">
        <v>0.479998585105882</v>
      </c>
      <c r="E167">
        <v>116.33867239554392</v>
      </c>
      <c r="F167">
        <v>65.322855824519607</v>
      </c>
      <c r="G167">
        <v>73.423255883085048</v>
      </c>
      <c r="H167">
        <v>68.896259803540048</v>
      </c>
      <c r="J167">
        <v>53.13848756957222</v>
      </c>
      <c r="L167">
        <v>9.945234990652887</v>
      </c>
      <c r="M167">
        <v>15.077824456316767</v>
      </c>
      <c r="N167">
        <v>2.0145824983869152</v>
      </c>
      <c r="O167">
        <v>49.5166701377522</v>
      </c>
      <c r="P167">
        <v>13.057566381829005</v>
      </c>
      <c r="R167">
        <v>23.277647802960349</v>
      </c>
      <c r="S167">
        <v>63.266542636225481</v>
      </c>
      <c r="U167">
        <v>3.3066369630007513</v>
      </c>
      <c r="V167">
        <v>49.016419065191805</v>
      </c>
      <c r="W167">
        <v>32.091369225961436</v>
      </c>
      <c r="X167">
        <v>42.432621263822675</v>
      </c>
      <c r="Y167">
        <v>10.596181895783923</v>
      </c>
      <c r="Z167">
        <v>33.713295650954926</v>
      </c>
      <c r="AA167">
        <v>9.5801114524246813</v>
      </c>
      <c r="AB167">
        <v>40.782920394664693</v>
      </c>
      <c r="AC167">
        <v>4.6747505463490269E-2</v>
      </c>
      <c r="AD167">
        <v>9.5886128054591246</v>
      </c>
      <c r="AE167">
        <v>14.706721533477307</v>
      </c>
      <c r="AF167">
        <v>14.745252565792983</v>
      </c>
      <c r="AG167">
        <v>26.838034379160742</v>
      </c>
      <c r="AH167">
        <v>7.7783775764636056</v>
      </c>
      <c r="AI167">
        <v>1.9522278142638441</v>
      </c>
      <c r="AK167">
        <v>44.474050177681349</v>
      </c>
    </row>
    <row r="168" spans="1:37" x14ac:dyDescent="0.2">
      <c r="A168">
        <v>167</v>
      </c>
      <c r="B168">
        <v>786</v>
      </c>
      <c r="C168">
        <v>125</v>
      </c>
      <c r="D168">
        <v>0.47944153330501299</v>
      </c>
      <c r="E168">
        <v>116.23656399676707</v>
      </c>
      <c r="F168">
        <v>64.89206585324807</v>
      </c>
      <c r="G168">
        <v>73.345520334957854</v>
      </c>
      <c r="H168">
        <v>68.815687066090973</v>
      </c>
      <c r="J168">
        <v>53.09131928300264</v>
      </c>
      <c r="L168">
        <v>9.8146135919016455</v>
      </c>
      <c r="M168">
        <v>15.097088733627809</v>
      </c>
      <c r="N168">
        <v>1.9974449971474817</v>
      </c>
      <c r="O168">
        <v>48.907093772823146</v>
      </c>
      <c r="P168">
        <v>12.906167138669334</v>
      </c>
      <c r="R168">
        <v>23.096507058263438</v>
      </c>
      <c r="S168">
        <v>63.0960074450661</v>
      </c>
      <c r="U168">
        <v>3.3011248588893438</v>
      </c>
      <c r="V168">
        <v>49.04297468514757</v>
      </c>
      <c r="W168">
        <v>31.986003810224055</v>
      </c>
      <c r="X168">
        <v>42.477305235974718</v>
      </c>
      <c r="Y168">
        <v>10.458275367216347</v>
      </c>
      <c r="Z168">
        <v>33.470528952507742</v>
      </c>
      <c r="AA168">
        <v>9.4455585080887534</v>
      </c>
      <c r="AB168">
        <v>40.74153828319448</v>
      </c>
      <c r="AC168">
        <v>2.7618761160817611E-2</v>
      </c>
      <c r="AD168">
        <v>9.4541931932562964</v>
      </c>
      <c r="AE168">
        <v>14.604102120354771</v>
      </c>
      <c r="AF168">
        <v>14.74425908485822</v>
      </c>
      <c r="AG168">
        <v>26.762673963097168</v>
      </c>
      <c r="AH168">
        <v>7.6058040170741217</v>
      </c>
      <c r="AI168">
        <v>1.9348340487131492</v>
      </c>
      <c r="AK168">
        <v>44.448660071988677</v>
      </c>
    </row>
    <row r="169" spans="1:37" x14ac:dyDescent="0.2">
      <c r="A169">
        <v>168</v>
      </c>
      <c r="B169">
        <v>785</v>
      </c>
      <c r="C169">
        <v>125</v>
      </c>
      <c r="D169">
        <v>0.47888342862543298</v>
      </c>
      <c r="E169">
        <v>116.13487180683335</v>
      </c>
      <c r="F169">
        <v>64.462792820145566</v>
      </c>
      <c r="G169">
        <v>73.267926523290214</v>
      </c>
      <c r="H169">
        <v>68.735268503469982</v>
      </c>
      <c r="J169">
        <v>53.04364469086687</v>
      </c>
      <c r="L169">
        <v>9.6839650709911336</v>
      </c>
      <c r="M169">
        <v>15.116410210963453</v>
      </c>
      <c r="N169">
        <v>1.9803192097269282</v>
      </c>
      <c r="O169">
        <v>48.298528356417116</v>
      </c>
      <c r="P169">
        <v>12.755070157963956</v>
      </c>
      <c r="R169">
        <v>22.914860835056512</v>
      </c>
      <c r="S169">
        <v>62.922206330601185</v>
      </c>
      <c r="U169">
        <v>3.2958292702413523</v>
      </c>
      <c r="V169">
        <v>49.068251914911052</v>
      </c>
      <c r="W169">
        <v>31.881183336922248</v>
      </c>
      <c r="X169">
        <v>42.522828103437384</v>
      </c>
      <c r="Y169">
        <v>10.320613983215388</v>
      </c>
      <c r="Z169">
        <v>33.228318560815836</v>
      </c>
      <c r="AA169">
        <v>9.311183476383551</v>
      </c>
      <c r="AB169">
        <v>40.698321737713947</v>
      </c>
      <c r="AC169">
        <v>8.5018865434036729E-3</v>
      </c>
      <c r="AD169">
        <v>9.3198885913300504</v>
      </c>
      <c r="AE169">
        <v>14.501712583408574</v>
      </c>
      <c r="AF169">
        <v>14.743334688126328</v>
      </c>
      <c r="AG169">
        <v>26.685493178650287</v>
      </c>
      <c r="AH169">
        <v>7.433451675266685</v>
      </c>
      <c r="AI169">
        <v>1.9174512210527253</v>
      </c>
      <c r="AK169">
        <v>44.423582643454047</v>
      </c>
    </row>
    <row r="170" spans="1:37" x14ac:dyDescent="0.2">
      <c r="A170">
        <v>169</v>
      </c>
      <c r="B170">
        <v>784</v>
      </c>
      <c r="C170">
        <v>125</v>
      </c>
      <c r="D170">
        <v>0.47832426807926898</v>
      </c>
      <c r="E170">
        <v>115.96699835751988</v>
      </c>
      <c r="F170">
        <v>63.664931121765129</v>
      </c>
      <c r="G170">
        <v>73.129895209574485</v>
      </c>
      <c r="H170">
        <v>68.59442489684362</v>
      </c>
      <c r="J170">
        <v>52.876182987980343</v>
      </c>
      <c r="L170">
        <v>9.4571407910534688</v>
      </c>
      <c r="M170">
        <v>15.133827189259344</v>
      </c>
      <c r="N170">
        <v>1.9735947199882238</v>
      </c>
      <c r="O170">
        <v>47.339797050295466</v>
      </c>
      <c r="P170">
        <v>12.493506567498162</v>
      </c>
      <c r="R170">
        <v>22.60256543560407</v>
      </c>
      <c r="S170">
        <v>62.587008415920884</v>
      </c>
      <c r="U170">
        <v>3.2830668307387496</v>
      </c>
      <c r="V170">
        <v>49.087280484298525</v>
      </c>
      <c r="W170">
        <v>31.703141269709729</v>
      </c>
      <c r="X170">
        <v>42.536965594475262</v>
      </c>
      <c r="Y170">
        <v>10.070237551497952</v>
      </c>
      <c r="Z170">
        <v>32.77956677642139</v>
      </c>
      <c r="AA170">
        <v>9.0790102112445314</v>
      </c>
      <c r="AB170">
        <v>40.605411373917313</v>
      </c>
      <c r="AD170">
        <v>9.0586227079654158</v>
      </c>
      <c r="AE170">
        <v>14.323600775131839</v>
      </c>
      <c r="AF170">
        <v>14.750907265641713</v>
      </c>
      <c r="AG170">
        <v>26.569022230777904</v>
      </c>
      <c r="AH170">
        <v>7.0845638799731105</v>
      </c>
      <c r="AI170">
        <v>1.9104689133206145</v>
      </c>
      <c r="AK170">
        <v>44.309934608461425</v>
      </c>
    </row>
    <row r="171" spans="1:37" x14ac:dyDescent="0.2">
      <c r="A171">
        <v>170</v>
      </c>
      <c r="B171">
        <v>783</v>
      </c>
      <c r="C171">
        <v>125</v>
      </c>
      <c r="D171">
        <v>0.47776404866733202</v>
      </c>
      <c r="E171">
        <v>115.74159676399981</v>
      </c>
      <c r="F171">
        <v>62.539088634401274</v>
      </c>
      <c r="G171">
        <v>72.93775691444533</v>
      </c>
      <c r="H171">
        <v>68.399486786557958</v>
      </c>
      <c r="J171">
        <v>52.594987831452016</v>
      </c>
      <c r="L171">
        <v>9.1427317538252897</v>
      </c>
      <c r="M171">
        <v>15.150786380847098</v>
      </c>
      <c r="N171">
        <v>1.9755780137151424</v>
      </c>
      <c r="O171">
        <v>46.06457061145268</v>
      </c>
      <c r="P171">
        <v>12.132443915316815</v>
      </c>
      <c r="R171">
        <v>22.168684652241026</v>
      </c>
      <c r="S171">
        <v>62.086669106101589</v>
      </c>
      <c r="U171">
        <v>3.265985316275243</v>
      </c>
      <c r="V171">
        <v>49.094275330228861</v>
      </c>
      <c r="W171">
        <v>31.465733102566492</v>
      </c>
      <c r="X171">
        <v>42.530507964081707</v>
      </c>
      <c r="Y171">
        <v>9.7184532712156724</v>
      </c>
      <c r="Z171">
        <v>32.145463524007297</v>
      </c>
      <c r="AA171">
        <v>8.758259225914502</v>
      </c>
      <c r="AB171">
        <v>40.456463471311906</v>
      </c>
      <c r="AD171">
        <v>8.6830859435917027</v>
      </c>
      <c r="AE171">
        <v>14.077463779600572</v>
      </c>
      <c r="AF171">
        <v>14.766730020773348</v>
      </c>
      <c r="AG171">
        <v>26.405223890184672</v>
      </c>
      <c r="AH171">
        <v>6.5771202792452303</v>
      </c>
      <c r="AI171">
        <v>1.9121936094761305</v>
      </c>
      <c r="AK171">
        <v>44.116431966296481</v>
      </c>
    </row>
    <row r="172" spans="1:37" x14ac:dyDescent="0.2">
      <c r="A172">
        <v>171</v>
      </c>
      <c r="B172">
        <v>782</v>
      </c>
      <c r="C172">
        <v>125</v>
      </c>
      <c r="D172">
        <v>0.47720276737904699</v>
      </c>
      <c r="E172">
        <v>115.51331955791791</v>
      </c>
      <c r="F172">
        <v>61.385555400132851</v>
      </c>
      <c r="G172">
        <v>72.740648932671533</v>
      </c>
      <c r="H172">
        <v>68.199591487131443</v>
      </c>
      <c r="J172">
        <v>52.293684720416117</v>
      </c>
      <c r="L172">
        <v>8.8180238196631109</v>
      </c>
      <c r="M172">
        <v>15.169227917094128</v>
      </c>
      <c r="N172">
        <v>1.9775605978096495</v>
      </c>
      <c r="O172">
        <v>44.756055198387294</v>
      </c>
      <c r="P172">
        <v>11.761448318913112</v>
      </c>
      <c r="R172">
        <v>21.717039008675279</v>
      </c>
      <c r="S172">
        <v>61.540723405860732</v>
      </c>
      <c r="U172">
        <v>3.2516413172599439</v>
      </c>
      <c r="V172">
        <v>49.090720732146927</v>
      </c>
      <c r="W172">
        <v>31.231446140217876</v>
      </c>
      <c r="X172">
        <v>42.532268489729454</v>
      </c>
      <c r="Y172">
        <v>9.356637068203872</v>
      </c>
      <c r="Z172">
        <v>31.492948222207492</v>
      </c>
      <c r="AA172">
        <v>8.4277752137360071</v>
      </c>
      <c r="AB172">
        <v>40.285167585352504</v>
      </c>
      <c r="AD172">
        <v>8.2957293606579636</v>
      </c>
      <c r="AE172">
        <v>13.824291648990476</v>
      </c>
      <c r="AF172">
        <v>14.784034597058529</v>
      </c>
      <c r="AG172">
        <v>26.21907922466194</v>
      </c>
      <c r="AH172">
        <v>6.0542218188201717</v>
      </c>
      <c r="AI172">
        <v>1.9139168145950312</v>
      </c>
      <c r="AK172">
        <v>43.91459078161428</v>
      </c>
    </row>
    <row r="173" spans="1:37" x14ac:dyDescent="0.2">
      <c r="A173">
        <v>172</v>
      </c>
      <c r="B173">
        <v>781</v>
      </c>
      <c r="C173">
        <v>125</v>
      </c>
      <c r="D173">
        <v>0.476640421192431</v>
      </c>
      <c r="E173">
        <v>115.28135427790242</v>
      </c>
      <c r="F173">
        <v>60.197878774478049</v>
      </c>
      <c r="G173">
        <v>72.537630194412344</v>
      </c>
      <c r="H173">
        <v>67.993797948508316</v>
      </c>
      <c r="J173">
        <v>51.96857616271565</v>
      </c>
      <c r="L173">
        <v>8.4813039367049488</v>
      </c>
      <c r="M173">
        <v>15.189099249504618</v>
      </c>
      <c r="N173">
        <v>1.9795424070471506</v>
      </c>
      <c r="O173">
        <v>43.407636942440362</v>
      </c>
      <c r="P173">
        <v>11.378637594486607</v>
      </c>
      <c r="R173">
        <v>21.244894468710594</v>
      </c>
      <c r="S173">
        <v>60.942691573907048</v>
      </c>
      <c r="U173">
        <v>3.2401377779765133</v>
      </c>
      <c r="V173">
        <v>49.075509502514898</v>
      </c>
      <c r="W173">
        <v>31.000432664198556</v>
      </c>
      <c r="X173">
        <v>42.542548520922537</v>
      </c>
      <c r="Y173">
        <v>8.9828746172738025</v>
      </c>
      <c r="Z173">
        <v>30.817425393984035</v>
      </c>
      <c r="AA173">
        <v>8.0857601169973492</v>
      </c>
      <c r="AB173">
        <v>40.088145334322768</v>
      </c>
      <c r="AD173">
        <v>7.8938916110310871</v>
      </c>
      <c r="AE173">
        <v>13.562079972955283</v>
      </c>
      <c r="AF173">
        <v>14.802768386054998</v>
      </c>
      <c r="AG173">
        <v>26.00720979271691</v>
      </c>
      <c r="AH173">
        <v>5.5129257866762975</v>
      </c>
      <c r="AI173">
        <v>1.9156384616269804</v>
      </c>
      <c r="AK173">
        <v>43.702404130263346</v>
      </c>
    </row>
    <row r="174" spans="1:37" x14ac:dyDescent="0.2">
      <c r="A174">
        <v>173</v>
      </c>
      <c r="B174">
        <v>780</v>
      </c>
      <c r="C174">
        <v>125</v>
      </c>
      <c r="D174">
        <v>0.47607700707401701</v>
      </c>
      <c r="E174">
        <v>115.04457861792392</v>
      </c>
      <c r="F174">
        <v>58.967129980697479</v>
      </c>
      <c r="G174">
        <v>72.32739482283084</v>
      </c>
      <c r="H174">
        <v>67.78080031367675</v>
      </c>
      <c r="J174">
        <v>51.614619708841495</v>
      </c>
      <c r="L174">
        <v>8.1299583788423622</v>
      </c>
      <c r="M174">
        <v>15.210317263626836</v>
      </c>
      <c r="N174">
        <v>1.98152335672735</v>
      </c>
      <c r="O174">
        <v>42.010155365494562</v>
      </c>
      <c r="P174">
        <v>10.981399924832438</v>
      </c>
      <c r="R174">
        <v>20.748381548737761</v>
      </c>
      <c r="S174">
        <v>60.283889814432278</v>
      </c>
      <c r="U174">
        <v>3.2316175268381193</v>
      </c>
      <c r="V174">
        <v>49.047160546357006</v>
      </c>
      <c r="W174">
        <v>30.772875184791559</v>
      </c>
      <c r="X174">
        <v>42.561762806664426</v>
      </c>
      <c r="Y174">
        <v>8.5945109878685209</v>
      </c>
      <c r="Z174">
        <v>30.112536787119147</v>
      </c>
      <c r="AA174">
        <v>7.7295302988483305</v>
      </c>
      <c r="AB174">
        <v>39.860878333719278</v>
      </c>
      <c r="AD174">
        <v>7.4738845201011292</v>
      </c>
      <c r="AE174">
        <v>13.288062358022787</v>
      </c>
      <c r="AF174">
        <v>14.822848193902269</v>
      </c>
      <c r="AG174">
        <v>25.765097130610162</v>
      </c>
      <c r="AH174">
        <v>4.9491467693704028</v>
      </c>
      <c r="AI174">
        <v>1.9173584640445445</v>
      </c>
      <c r="AK174">
        <v>43.477094462636025</v>
      </c>
    </row>
    <row r="175" spans="1:37" x14ac:dyDescent="0.2">
      <c r="A175">
        <v>174</v>
      </c>
      <c r="B175">
        <v>779</v>
      </c>
      <c r="C175">
        <v>125</v>
      </c>
      <c r="D175">
        <v>0.475512521978807</v>
      </c>
      <c r="E175">
        <v>114.80140038810859</v>
      </c>
      <c r="F175">
        <v>57.680628763893566</v>
      </c>
      <c r="G175">
        <v>72.108086750194374</v>
      </c>
      <c r="H175">
        <v>67.55874253476405</v>
      </c>
      <c r="J175">
        <v>51.224725488981434</v>
      </c>
      <c r="L175">
        <v>7.7603656837945669</v>
      </c>
      <c r="M175">
        <v>15.232744114452849</v>
      </c>
      <c r="N175">
        <v>1.9835033336687109</v>
      </c>
      <c r="O175">
        <v>40.550605109129513</v>
      </c>
      <c r="P175">
        <v>10.566023082524136</v>
      </c>
      <c r="R175">
        <v>20.221910298048442</v>
      </c>
      <c r="S175">
        <v>59.552269350612264</v>
      </c>
      <c r="U175">
        <v>3.2262768281250627</v>
      </c>
      <c r="V175">
        <v>49.003617555673216</v>
      </c>
      <c r="W175">
        <v>30.549005854934734</v>
      </c>
      <c r="X175">
        <v>42.590476708591019</v>
      </c>
      <c r="Y175">
        <v>8.1877737196712221</v>
      </c>
      <c r="Z175">
        <v>29.369243847322235</v>
      </c>
      <c r="AA175">
        <v>7.3555059645123402</v>
      </c>
      <c r="AB175">
        <v>39.597105239660081</v>
      </c>
      <c r="AD175">
        <v>7.0304594207237798</v>
      </c>
      <c r="AE175">
        <v>12.998311329830324</v>
      </c>
      <c r="AF175">
        <v>14.844136067714055</v>
      </c>
      <c r="AG175">
        <v>25.486479786764615</v>
      </c>
      <c r="AH175">
        <v>4.3570715653521237</v>
      </c>
      <c r="AI175">
        <v>1.9190767068379999</v>
      </c>
      <c r="AK175">
        <v>43.234713250964049</v>
      </c>
    </row>
    <row r="176" spans="1:37" x14ac:dyDescent="0.2">
      <c r="A176">
        <v>175</v>
      </c>
      <c r="B176">
        <v>778</v>
      </c>
      <c r="C176">
        <v>125</v>
      </c>
      <c r="D176">
        <v>0.47494696285021398</v>
      </c>
      <c r="E176">
        <v>114.54948973700151</v>
      </c>
      <c r="F176">
        <v>56.319811024892324</v>
      </c>
      <c r="G176">
        <v>71.876992219318225</v>
      </c>
      <c r="H176">
        <v>67.324910874486491</v>
      </c>
      <c r="J176">
        <v>50.788586543511656</v>
      </c>
      <c r="L176">
        <v>7.3672893968596833</v>
      </c>
      <c r="M176">
        <v>15.256139226011573</v>
      </c>
      <c r="N176">
        <v>1.9854821821589876</v>
      </c>
      <c r="O176">
        <v>39.009978055274907</v>
      </c>
      <c r="P176">
        <v>10.127079418765701</v>
      </c>
      <c r="R176">
        <v>19.657195916148826</v>
      </c>
      <c r="S176">
        <v>58.730509224484017</v>
      </c>
      <c r="U176">
        <v>3.2243817371002255</v>
      </c>
      <c r="V176">
        <v>48.941921409569453</v>
      </c>
      <c r="W176">
        <v>30.329139514854166</v>
      </c>
      <c r="X176">
        <v>42.629449344416386</v>
      </c>
      <c r="Y176">
        <v>7.7571470407376912</v>
      </c>
      <c r="Z176">
        <v>28.574283307162677</v>
      </c>
      <c r="AA176">
        <v>6.9583609702469253</v>
      </c>
      <c r="AB176">
        <v>39.287826589367185</v>
      </c>
      <c r="AD176">
        <v>6.5559100999416637</v>
      </c>
      <c r="AE176">
        <v>12.68706404620456</v>
      </c>
      <c r="AF176">
        <v>14.866391281121855</v>
      </c>
      <c r="AG176">
        <v>25.162358148189512</v>
      </c>
      <c r="AH176">
        <v>3.7281845846810415</v>
      </c>
      <c r="AI176">
        <v>1.9207930324672644</v>
      </c>
      <c r="AK176">
        <v>42.969468171808039</v>
      </c>
    </row>
    <row r="177" spans="1:37" x14ac:dyDescent="0.2">
      <c r="A177">
        <v>176</v>
      </c>
      <c r="B177">
        <v>777</v>
      </c>
      <c r="C177">
        <v>125</v>
      </c>
      <c r="D177">
        <v>0.47438032662001101</v>
      </c>
      <c r="E177">
        <v>114.28531698904621</v>
      </c>
      <c r="F177">
        <v>54.856549635426326</v>
      </c>
      <c r="G177">
        <v>71.63001424474021</v>
      </c>
      <c r="H177">
        <v>67.075208367316819</v>
      </c>
      <c r="J177">
        <v>50.290670942779109</v>
      </c>
      <c r="L177">
        <v>6.942589179964874</v>
      </c>
      <c r="M177">
        <v>15.280060640800153</v>
      </c>
      <c r="N177">
        <v>1.9874596823755524</v>
      </c>
      <c r="O177">
        <v>37.35956629869932</v>
      </c>
      <c r="P177">
        <v>9.656374764146161</v>
      </c>
      <c r="R177">
        <v>19.041583902039456</v>
      </c>
      <c r="S177">
        <v>57.792799056608381</v>
      </c>
      <c r="U177">
        <v>3.2262835567781183</v>
      </c>
      <c r="V177">
        <v>48.857663750169571</v>
      </c>
      <c r="W177">
        <v>30.113732003715988</v>
      </c>
      <c r="X177">
        <v>42.679669450003153</v>
      </c>
      <c r="Y177">
        <v>7.2943011244192508</v>
      </c>
      <c r="Z177">
        <v>27.707479922908981</v>
      </c>
      <c r="AA177">
        <v>6.530049177950044</v>
      </c>
      <c r="AB177">
        <v>38.919616016695805</v>
      </c>
      <c r="AD177">
        <v>6.0385141880365749</v>
      </c>
      <c r="AE177">
        <v>12.345544097043344</v>
      </c>
      <c r="AF177">
        <v>14.889171662126179</v>
      </c>
      <c r="AG177">
        <v>24.77930563443412</v>
      </c>
      <c r="AH177">
        <v>3.0495932653552162</v>
      </c>
      <c r="AI177">
        <v>1.9225072192809416</v>
      </c>
      <c r="AK177">
        <v>42.672554721343431</v>
      </c>
    </row>
    <row r="178" spans="1:37" x14ac:dyDescent="0.2">
      <c r="A178">
        <v>177</v>
      </c>
      <c r="B178">
        <v>776</v>
      </c>
      <c r="C178">
        <v>125</v>
      </c>
      <c r="D178">
        <v>0.47381261020826598</v>
      </c>
      <c r="E178">
        <v>114.00334704981537</v>
      </c>
      <c r="F178">
        <v>53.246738152573528</v>
      </c>
      <c r="G178">
        <v>71.360768033379898</v>
      </c>
      <c r="H178">
        <v>66.803250240151513</v>
      </c>
      <c r="J178">
        <v>49.706744063632591</v>
      </c>
      <c r="L178">
        <v>6.4735940124600386</v>
      </c>
      <c r="M178">
        <v>15.30365485755714</v>
      </c>
      <c r="N178">
        <v>1.9894355181653574</v>
      </c>
      <c r="O178">
        <v>35.554576790179425</v>
      </c>
      <c r="P178">
        <v>9.1411392377511547</v>
      </c>
      <c r="R178">
        <v>18.355142893890214</v>
      </c>
      <c r="S178">
        <v>56.69940874989851</v>
      </c>
      <c r="U178">
        <v>3.2324159449473542</v>
      </c>
      <c r="V178">
        <v>48.744079893346452</v>
      </c>
      <c r="W178">
        <v>29.903485977388854</v>
      </c>
      <c r="X178">
        <v>42.742327693855252</v>
      </c>
      <c r="Y178">
        <v>6.7862459438512381</v>
      </c>
      <c r="Z178">
        <v>26.737002571861634</v>
      </c>
      <c r="AA178">
        <v>6.0580646725977711</v>
      </c>
      <c r="AB178">
        <v>38.471743809991814</v>
      </c>
      <c r="AD178">
        <v>5.4597863978694354</v>
      </c>
      <c r="AE178">
        <v>11.959870210758066</v>
      </c>
      <c r="AF178">
        <v>14.911623398652509</v>
      </c>
      <c r="AG178">
        <v>24.316592223227047</v>
      </c>
      <c r="AH178">
        <v>2.3011224289842565</v>
      </c>
      <c r="AI178">
        <v>1.9242189492961679</v>
      </c>
      <c r="AK178">
        <v>42.33009945981587</v>
      </c>
    </row>
    <row r="179" spans="1:37" x14ac:dyDescent="0.2">
      <c r="A179">
        <v>178</v>
      </c>
      <c r="B179">
        <v>775</v>
      </c>
      <c r="C179">
        <v>125</v>
      </c>
      <c r="D179">
        <v>0.473243810523307</v>
      </c>
      <c r="E179">
        <v>113.69472536061788</v>
      </c>
      <c r="F179">
        <v>51.419797880844854</v>
      </c>
      <c r="G179">
        <v>71.05913573065574</v>
      </c>
      <c r="H179">
        <v>66.498918658421715</v>
      </c>
      <c r="J179">
        <v>48.998246744332107</v>
      </c>
      <c r="L179">
        <v>5.9404916797572733</v>
      </c>
      <c r="M179">
        <v>15.325203269368377</v>
      </c>
      <c r="N179">
        <v>1.9914092439278031</v>
      </c>
      <c r="O179">
        <v>33.523865204586265</v>
      </c>
      <c r="P179">
        <v>8.5611367062739312</v>
      </c>
      <c r="R179">
        <v>17.565948342268427</v>
      </c>
      <c r="S179">
        <v>55.388336389213919</v>
      </c>
      <c r="U179">
        <v>3.243206745412567</v>
      </c>
      <c r="V179">
        <v>48.590700608286816</v>
      </c>
      <c r="W179">
        <v>29.699539243073954</v>
      </c>
      <c r="X179">
        <v>42.818519157803252</v>
      </c>
      <c r="Y179">
        <v>6.2123720252330763</v>
      </c>
      <c r="Z179">
        <v>25.611430497539729</v>
      </c>
      <c r="AA179">
        <v>5.5223406306807448</v>
      </c>
      <c r="AB179">
        <v>37.911671010543195</v>
      </c>
      <c r="AD179">
        <v>4.7898963815621638</v>
      </c>
      <c r="AE179">
        <v>11.507527235001911</v>
      </c>
      <c r="AF179">
        <v>14.932027443537695</v>
      </c>
      <c r="AG179">
        <v>23.741678515807049</v>
      </c>
      <c r="AH179">
        <v>1.4505997098093102</v>
      </c>
      <c r="AI179">
        <v>1.9259277750824115</v>
      </c>
      <c r="AK179">
        <v>41.919737753382059</v>
      </c>
    </row>
    <row r="180" spans="1:37" x14ac:dyDescent="0.2">
      <c r="A180">
        <v>179</v>
      </c>
      <c r="B180">
        <v>774</v>
      </c>
      <c r="C180">
        <v>125</v>
      </c>
      <c r="D180">
        <v>0.47267392446163797</v>
      </c>
      <c r="E180">
        <v>113.34588579687711</v>
      </c>
      <c r="F180">
        <v>49.267396824455993</v>
      </c>
      <c r="G180">
        <v>70.709837380342648</v>
      </c>
      <c r="H180">
        <v>66.146933685953258</v>
      </c>
      <c r="J180">
        <v>48.106477499713307</v>
      </c>
      <c r="L180">
        <v>5.312904672405959</v>
      </c>
      <c r="M180">
        <v>15.341227995817654</v>
      </c>
      <c r="N180">
        <v>1.9933803244382096</v>
      </c>
      <c r="O180">
        <v>31.159540731176609</v>
      </c>
      <c r="P180">
        <v>7.8858067435544958</v>
      </c>
      <c r="R180">
        <v>16.625148156644613</v>
      </c>
      <c r="S180">
        <v>53.768296615637354</v>
      </c>
      <c r="U180">
        <v>3.2586837870499807</v>
      </c>
      <c r="V180">
        <v>48.382411348000268</v>
      </c>
      <c r="W180">
        <v>29.503733631746488</v>
      </c>
      <c r="X180">
        <v>42.908018595263854</v>
      </c>
      <c r="Y180">
        <v>5.5414862827241071</v>
      </c>
      <c r="Z180">
        <v>24.250539956887721</v>
      </c>
      <c r="AA180">
        <v>4.8926523062577765</v>
      </c>
      <c r="AB180">
        <v>37.190930237383881</v>
      </c>
      <c r="AD180">
        <v>3.9823841701670677</v>
      </c>
      <c r="AE180">
        <v>10.953156332999823</v>
      </c>
      <c r="AF180">
        <v>14.946905386503991</v>
      </c>
      <c r="AG180">
        <v>23.006096601553288</v>
      </c>
      <c r="AH180">
        <v>0.44890725404796883</v>
      </c>
      <c r="AI180">
        <v>1.927633159584361</v>
      </c>
      <c r="AK180">
        <v>41.406705028154065</v>
      </c>
    </row>
    <row r="181" spans="1:37" x14ac:dyDescent="0.2">
      <c r="A181">
        <v>180</v>
      </c>
      <c r="B181">
        <v>773</v>
      </c>
      <c r="C181">
        <v>125</v>
      </c>
      <c r="D181">
        <v>0.472102948907902</v>
      </c>
      <c r="E181">
        <v>113.57116745627837</v>
      </c>
      <c r="F181">
        <v>49.382320306213749</v>
      </c>
      <c r="G181">
        <v>70.882533692525698</v>
      </c>
      <c r="H181">
        <v>66.316956052920787</v>
      </c>
      <c r="J181">
        <v>43.021697261442313</v>
      </c>
      <c r="L181">
        <v>4.8591797997735489</v>
      </c>
      <c r="M181">
        <v>15.332751302798615</v>
      </c>
      <c r="N181">
        <v>1.9953751138440468</v>
      </c>
      <c r="O181">
        <v>27.537023531903003</v>
      </c>
      <c r="P181">
        <v>8.2544971454843932</v>
      </c>
      <c r="R181">
        <v>16.096524239311837</v>
      </c>
      <c r="S181">
        <v>51.245797014406342</v>
      </c>
      <c r="U181">
        <v>3.3134466420027606</v>
      </c>
      <c r="V181">
        <v>47.974792990285174</v>
      </c>
      <c r="W181">
        <v>29.270600306311323</v>
      </c>
      <c r="X181">
        <v>43.110084769143207</v>
      </c>
      <c r="Y181">
        <v>5.3270236062286358</v>
      </c>
      <c r="Z181">
        <v>22.781903939326465</v>
      </c>
      <c r="AA181">
        <v>4.2404083272294084</v>
      </c>
      <c r="AB181">
        <v>35.611092635515213</v>
      </c>
      <c r="AD181">
        <v>3.2681165244993826</v>
      </c>
      <c r="AE181">
        <v>9.9518297642646409</v>
      </c>
      <c r="AF181">
        <v>14.937305852966123</v>
      </c>
      <c r="AG181">
        <v>21.411443985203775</v>
      </c>
      <c r="AI181">
        <v>1.9293614551182738</v>
      </c>
      <c r="AK181">
        <v>38.23566688143287</v>
      </c>
    </row>
    <row r="182" spans="1:37" x14ac:dyDescent="0.2">
      <c r="A182">
        <v>181</v>
      </c>
      <c r="B182">
        <v>772</v>
      </c>
      <c r="C182">
        <v>125</v>
      </c>
      <c r="D182">
        <v>0.47153088073482102</v>
      </c>
      <c r="E182">
        <v>113.74319677720607</v>
      </c>
      <c r="F182">
        <v>48.966545688940855</v>
      </c>
      <c r="G182">
        <v>70.991870521023642</v>
      </c>
      <c r="H182">
        <v>66.423631633271697</v>
      </c>
      <c r="J182">
        <v>36.968713658322578</v>
      </c>
      <c r="L182">
        <v>3.9698975348552339</v>
      </c>
      <c r="M182">
        <v>15.224931746850125</v>
      </c>
      <c r="N182">
        <v>1.9973755636834392</v>
      </c>
      <c r="O182">
        <v>22.037865679912453</v>
      </c>
      <c r="P182">
        <v>8.4964815928737707</v>
      </c>
      <c r="R182">
        <v>15.041059615578193</v>
      </c>
      <c r="S182">
        <v>48.031304300215858</v>
      </c>
      <c r="U182">
        <v>3.3300000191001899</v>
      </c>
      <c r="V182">
        <v>47.719397159986158</v>
      </c>
      <c r="W182">
        <v>29.043079962394135</v>
      </c>
      <c r="X182">
        <v>43.19785878818805</v>
      </c>
      <c r="Y182">
        <v>4.6897344594808015</v>
      </c>
      <c r="Z182">
        <v>20.76909871080154</v>
      </c>
      <c r="AA182">
        <v>3.1122900449073643</v>
      </c>
      <c r="AB182">
        <v>34.071565910847688</v>
      </c>
      <c r="AD182">
        <v>2.1858797435621193</v>
      </c>
      <c r="AE182">
        <v>8.7163705208451798</v>
      </c>
      <c r="AF182">
        <v>14.828369356391455</v>
      </c>
      <c r="AG182">
        <v>19.857110329807071</v>
      </c>
      <c r="AI182">
        <v>1.9310946113905954</v>
      </c>
      <c r="AK182">
        <v>34.327639566422569</v>
      </c>
    </row>
    <row r="183" spans="1:37" x14ac:dyDescent="0.2">
      <c r="A183">
        <v>182</v>
      </c>
      <c r="B183">
        <v>771</v>
      </c>
      <c r="C183">
        <v>125</v>
      </c>
      <c r="D183">
        <v>0.47095771680314102</v>
      </c>
      <c r="E183">
        <v>113.87077435812438</v>
      </c>
      <c r="F183">
        <v>48.827349972633584</v>
      </c>
      <c r="G183">
        <v>71.06430569296738</v>
      </c>
      <c r="H183">
        <v>66.493418274302854</v>
      </c>
      <c r="J183">
        <v>32.555344357683438</v>
      </c>
      <c r="L183">
        <v>3.1627555452938543</v>
      </c>
      <c r="M183">
        <v>15.092304250326574</v>
      </c>
      <c r="N183">
        <v>1.999375462198028</v>
      </c>
      <c r="O183">
        <v>17.507045553189016</v>
      </c>
      <c r="P183">
        <v>8.6646695499173028</v>
      </c>
      <c r="R183">
        <v>14.099735915120631</v>
      </c>
      <c r="S183">
        <v>45.489361180218822</v>
      </c>
      <c r="U183">
        <v>3.3268767714310892</v>
      </c>
      <c r="V183">
        <v>47.638441357493974</v>
      </c>
      <c r="W183">
        <v>28.807465948253981</v>
      </c>
      <c r="X183">
        <v>43.22922353598149</v>
      </c>
      <c r="Y183">
        <v>4.0328822582205648</v>
      </c>
      <c r="Z183">
        <v>19.518484145405822</v>
      </c>
      <c r="AA183">
        <v>2.1436524630132481</v>
      </c>
      <c r="AB183">
        <v>33.231735309581104</v>
      </c>
      <c r="AD183">
        <v>1.4533566668009708</v>
      </c>
      <c r="AE183">
        <v>7.957093318367269</v>
      </c>
      <c r="AF183">
        <v>14.694624612773502</v>
      </c>
      <c r="AG183">
        <v>19.002474675429553</v>
      </c>
      <c r="AI183">
        <v>1.9328264148103571</v>
      </c>
      <c r="AK183">
        <v>31.438146810505678</v>
      </c>
    </row>
    <row r="184" spans="1:37" x14ac:dyDescent="0.2">
      <c r="A184">
        <v>183</v>
      </c>
      <c r="B184">
        <v>770</v>
      </c>
      <c r="C184">
        <v>125</v>
      </c>
      <c r="D184">
        <v>0.47038345396155901</v>
      </c>
      <c r="E184">
        <v>113.97161463474835</v>
      </c>
      <c r="F184">
        <v>48.828167752191135</v>
      </c>
      <c r="G184">
        <v>71.112225946061201</v>
      </c>
      <c r="H184">
        <v>66.538702733923571</v>
      </c>
      <c r="J184">
        <v>29.192812189817221</v>
      </c>
      <c r="L184">
        <v>2.4530097704043548</v>
      </c>
      <c r="M184">
        <v>14.946401545005017</v>
      </c>
      <c r="N184">
        <v>2.0013742623144974</v>
      </c>
      <c r="O184">
        <v>13.780764100889622</v>
      </c>
      <c r="P184">
        <v>8.7838339667028933</v>
      </c>
      <c r="R184">
        <v>13.260990449443492</v>
      </c>
      <c r="S184">
        <v>43.422221260059509</v>
      </c>
      <c r="U184">
        <v>3.3149612912366804</v>
      </c>
      <c r="V184">
        <v>47.642490615353097</v>
      </c>
      <c r="W184">
        <v>28.56583627957658</v>
      </c>
      <c r="X184">
        <v>43.235532470900139</v>
      </c>
      <c r="Y184">
        <v>3.3971676274574194</v>
      </c>
      <c r="Z184">
        <v>18.705310056526734</v>
      </c>
      <c r="AA184">
        <v>1.3249797563122556</v>
      </c>
      <c r="AB184">
        <v>32.755725273221799</v>
      </c>
      <c r="AD184">
        <v>0.9302711879327854</v>
      </c>
      <c r="AE184">
        <v>7.4648447316542814</v>
      </c>
      <c r="AF184">
        <v>14.547603812227923</v>
      </c>
      <c r="AG184">
        <v>18.511660922145037</v>
      </c>
      <c r="AI184">
        <v>1.9345563164720994</v>
      </c>
      <c r="AK184">
        <v>29.216911449282577</v>
      </c>
    </row>
    <row r="185" spans="1:37" x14ac:dyDescent="0.2">
      <c r="A185">
        <v>184</v>
      </c>
      <c r="B185">
        <v>769</v>
      </c>
      <c r="C185">
        <v>125</v>
      </c>
      <c r="D185">
        <v>0.46980808904668597</v>
      </c>
      <c r="E185">
        <v>114.05595232221906</v>
      </c>
      <c r="F185">
        <v>48.902128571820853</v>
      </c>
      <c r="G185">
        <v>71.144222483573373</v>
      </c>
      <c r="H185">
        <v>66.568076235646274</v>
      </c>
      <c r="J185">
        <v>26.526336689727728</v>
      </c>
      <c r="L185">
        <v>1.8324601321393492</v>
      </c>
      <c r="M185">
        <v>14.792780197105932</v>
      </c>
      <c r="N185">
        <v>2.0033720604763068</v>
      </c>
      <c r="O185">
        <v>10.666439832713642</v>
      </c>
      <c r="P185">
        <v>8.8711573680231606</v>
      </c>
      <c r="R185">
        <v>12.507855592850946</v>
      </c>
      <c r="S185">
        <v>41.707207231311195</v>
      </c>
      <c r="U185">
        <v>3.2985928146949961</v>
      </c>
      <c r="V185">
        <v>47.694803606523898</v>
      </c>
      <c r="W185">
        <v>28.320093568873759</v>
      </c>
      <c r="X185">
        <v>43.229286097312666</v>
      </c>
      <c r="Y185">
        <v>2.7972087463626281</v>
      </c>
      <c r="Z185">
        <v>18.147061313158996</v>
      </c>
      <c r="AA185">
        <v>0.62725122203227512</v>
      </c>
      <c r="AB185">
        <v>32.482086277853533</v>
      </c>
      <c r="AD185">
        <v>0.53434735202450734</v>
      </c>
      <c r="AE185">
        <v>7.126511042173612</v>
      </c>
      <c r="AF185">
        <v>14.39286362284558</v>
      </c>
      <c r="AG185">
        <v>18.223219648136325</v>
      </c>
      <c r="AI185">
        <v>1.9362844109856223</v>
      </c>
      <c r="AK185">
        <v>27.443525130513276</v>
      </c>
    </row>
    <row r="186" spans="1:37" x14ac:dyDescent="0.2">
      <c r="A186">
        <v>185</v>
      </c>
      <c r="B186">
        <v>768</v>
      </c>
      <c r="C186">
        <v>125</v>
      </c>
      <c r="D186">
        <v>0.46923161888296799</v>
      </c>
      <c r="E186">
        <v>114.12956012304514</v>
      </c>
      <c r="F186">
        <v>49.016248859014539</v>
      </c>
      <c r="G186">
        <v>71.165569040763316</v>
      </c>
      <c r="H186">
        <v>66.586812535013209</v>
      </c>
      <c r="J186">
        <v>24.34537057195266</v>
      </c>
      <c r="L186">
        <v>1.2880997323671728</v>
      </c>
      <c r="M186">
        <v>14.634377805238683</v>
      </c>
      <c r="N186">
        <v>2.0053690222304663</v>
      </c>
      <c r="O186">
        <v>8.0172319981289455</v>
      </c>
      <c r="P186">
        <v>8.9371874118149179</v>
      </c>
      <c r="R186">
        <v>11.825327006946766</v>
      </c>
      <c r="S186">
        <v>40.261255315825736</v>
      </c>
      <c r="U186">
        <v>3.2797027283481723</v>
      </c>
      <c r="V186">
        <v>47.77781257205212</v>
      </c>
      <c r="W186">
        <v>28.071575052055231</v>
      </c>
      <c r="X186">
        <v>43.216048047613619</v>
      </c>
      <c r="Y186">
        <v>2.2369564430279207</v>
      </c>
      <c r="Z186">
        <v>17.744727187227731</v>
      </c>
      <c r="AA186">
        <v>2.5169967274196098E-2</v>
      </c>
      <c r="AB186">
        <v>32.329171766340799</v>
      </c>
      <c r="AD186">
        <v>0.21973753172749455</v>
      </c>
      <c r="AE186">
        <v>6.8817417056466308</v>
      </c>
      <c r="AF186">
        <v>14.233341814216187</v>
      </c>
      <c r="AG186">
        <v>18.055504467491328</v>
      </c>
      <c r="AI186">
        <v>1.9380108620640473</v>
      </c>
      <c r="AK186">
        <v>25.984721667633547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25538-B27C-466C-874E-1F81DF31E46D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26.7773437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75.83</v>
      </c>
      <c r="D2" t="s">
        <v>22</v>
      </c>
      <c r="E2">
        <v>600</v>
      </c>
      <c r="G2" t="s">
        <v>31</v>
      </c>
      <c r="H2" t="s">
        <v>33</v>
      </c>
    </row>
    <row r="3" spans="1:8" x14ac:dyDescent="0.2">
      <c r="A3" t="s">
        <v>3</v>
      </c>
      <c r="B3">
        <v>0.08</v>
      </c>
      <c r="D3" t="s">
        <v>23</v>
      </c>
      <c r="E3">
        <v>1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0.60286600000000001</v>
      </c>
      <c r="D7" t="s">
        <v>26</v>
      </c>
      <c r="E7">
        <v>25</v>
      </c>
    </row>
    <row r="8" spans="1:8" x14ac:dyDescent="0.2">
      <c r="A8" t="s">
        <v>8</v>
      </c>
      <c r="B8">
        <v>0.04</v>
      </c>
    </row>
    <row r="9" spans="1:8" x14ac:dyDescent="0.2">
      <c r="A9" t="s">
        <v>9</v>
      </c>
      <c r="B9">
        <v>0.03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0.6</v>
      </c>
    </row>
    <row r="13" spans="1:8" x14ac:dyDescent="0.2">
      <c r="A13" t="s">
        <v>13</v>
      </c>
      <c r="B13">
        <v>4.63</v>
      </c>
    </row>
    <row r="14" spans="1:8" x14ac:dyDescent="0.2">
      <c r="A14" t="s">
        <v>14</v>
      </c>
      <c r="B14">
        <v>3.87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10.852915260000001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orthopyroxene</vt:lpstr>
      <vt:lpstr>rhm-oxide</vt:lpstr>
      <vt:lpstr>spinel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2025-06-12T15:56:37Z</dcterms:created>
  <dcterms:modified xsi:type="dcterms:W3CDTF">2025-06-12T15:59:07Z</dcterms:modified>
</cp:coreProperties>
</file>