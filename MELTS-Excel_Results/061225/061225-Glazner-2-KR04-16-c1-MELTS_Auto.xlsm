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6CA94455-A23F-4A02-B55F-CC1FFB5F3791}" xr6:coauthVersionLast="47" xr6:coauthVersionMax="47" xr10:uidLastSave="{00000000-0000-0000-0000-000000000000}"/>
  <bookViews>
    <workbookView xWindow="28680" yWindow="4920" windowWidth="29040" windowHeight="15720" activeTab="1" xr2:uid="{44F93477-1CFE-4684-84FF-73A0BBD508A7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orthopyroxene" sheetId="10" r:id="rId9"/>
    <sheet name="feldspar1" sheetId="14" r:id="rId10"/>
    <sheet name="feldspar2" sheetId="15" r:id="rId11"/>
    <sheet name="feldspar" sheetId="9" r:id="rId12"/>
    <sheet name="quartz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B1" i="17"/>
  <c r="C2" i="13" l="1"/>
  <c r="C4" i="13"/>
  <c r="C6" i="13"/>
  <c r="C8" i="13"/>
  <c r="C10" i="13"/>
  <c r="C3" i="13"/>
  <c r="D9" i="13"/>
  <c r="D2" i="13"/>
  <c r="D4" i="13"/>
  <c r="D6" i="13"/>
  <c r="D8" i="13"/>
  <c r="D10" i="13"/>
  <c r="E6" i="13"/>
  <c r="E10" i="13"/>
  <c r="F6" i="13"/>
  <c r="F10" i="13"/>
  <c r="G6" i="13"/>
  <c r="G10" i="13"/>
  <c r="H2" i="13"/>
  <c r="H6" i="13"/>
  <c r="H10" i="13"/>
  <c r="C7" i="13"/>
  <c r="D5" i="13"/>
  <c r="E5" i="13"/>
  <c r="F5" i="13"/>
  <c r="G5" i="13"/>
  <c r="H7" i="13"/>
  <c r="E2" i="13"/>
  <c r="E4" i="13"/>
  <c r="E8" i="13"/>
  <c r="F4" i="13"/>
  <c r="F8" i="13"/>
  <c r="G4" i="13"/>
  <c r="G8" i="13"/>
  <c r="H4" i="13"/>
  <c r="H8" i="13"/>
  <c r="C5" i="13"/>
  <c r="C9" i="13"/>
  <c r="D7" i="13"/>
  <c r="F7" i="13"/>
  <c r="G7" i="13"/>
  <c r="H5" i="13"/>
  <c r="F2" i="13"/>
  <c r="E7" i="13"/>
  <c r="G2" i="13"/>
  <c r="E9" i="13"/>
  <c r="F9" i="13"/>
  <c r="H9" i="13"/>
  <c r="G9" i="13"/>
  <c r="B10" i="13"/>
  <c r="B9" i="13"/>
  <c r="B8" i="13"/>
  <c r="B7" i="13"/>
  <c r="B6" i="13"/>
  <c r="B5" i="13"/>
  <c r="B4" i="13"/>
  <c r="B3" i="13"/>
  <c r="B2" i="13"/>
  <c r="E4" i="17" l="1"/>
  <c r="G4" i="17"/>
  <c r="F4" i="17"/>
  <c r="D4" i="17"/>
  <c r="H2" i="17"/>
  <c r="G2" i="17"/>
  <c r="F2" i="17"/>
  <c r="E2" i="17"/>
  <c r="H4" i="17"/>
  <c r="C4" i="17"/>
  <c r="H3" i="17"/>
  <c r="G3" i="17"/>
  <c r="F3" i="17"/>
  <c r="E3" i="17"/>
  <c r="D2" i="17"/>
  <c r="D3" i="17"/>
  <c r="C2" i="17"/>
  <c r="C3" i="17"/>
  <c r="B4" i="17"/>
  <c r="B3" i="17"/>
  <c r="B2" i="17"/>
  <c r="G7" i="17" l="1"/>
  <c r="G6" i="17"/>
  <c r="C6" i="17"/>
  <c r="C7" i="17"/>
  <c r="F7" i="17"/>
  <c r="F6" i="17"/>
  <c r="D6" i="17"/>
  <c r="D7" i="17"/>
  <c r="H7" i="17"/>
  <c r="H6" i="17"/>
  <c r="E6" i="17"/>
  <c r="E7" i="17"/>
  <c r="B6" i="17"/>
  <c r="B7" i="17"/>
  <c r="J7" i="17" l="1"/>
  <c r="J6" i="17"/>
  <c r="B13" i="17" s="1"/>
  <c r="L7" i="17"/>
  <c r="K7" i="17"/>
  <c r="K6" i="17"/>
  <c r="L6" i="17"/>
  <c r="N6" i="17" s="1" a="1"/>
  <c r="N7" i="17" a="1"/>
  <c r="P7" i="17" l="1"/>
  <c r="O7" i="17"/>
  <c r="N7" i="17"/>
  <c r="P6" i="17"/>
  <c r="O6" i="17"/>
  <c r="N6" i="17"/>
  <c r="B9" i="17"/>
  <c r="C13" i="17" l="1"/>
  <c r="C9" i="17"/>
  <c r="D9" i="17"/>
  <c r="H9" i="17"/>
  <c r="E9" i="17"/>
  <c r="F9" i="17"/>
  <c r="G9" i="17"/>
  <c r="C14" i="17"/>
  <c r="E10" i="17"/>
  <c r="G10" i="17"/>
  <c r="C10" i="17"/>
  <c r="D10" i="17"/>
  <c r="F10" i="17"/>
  <c r="H10" i="17"/>
  <c r="B14" i="17"/>
  <c r="B10" i="17"/>
</calcChain>
</file>

<file path=xl/sharedStrings.xml><?xml version="1.0" encoding="utf-8"?>
<sst xmlns="http://schemas.openxmlformats.org/spreadsheetml/2006/main" count="639" uniqueCount="150">
  <si>
    <t xml:space="preserve"> </t>
  </si>
  <si>
    <t>061225-Glazner-2-KR04-16-c1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</si>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</sst>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Phase_Data!$B$2:$H$2</c:f>
              <c:numCache>
                <c:formatCode>General</c:formatCode>
                <c:ptCount val="7"/>
                <c:pt idx="0">
                  <c:v>757</c:v>
                </c:pt>
                <c:pt idx="1">
                  <c:v>757</c:v>
                </c:pt>
                <c:pt idx="2">
                  <c:v>757</c:v>
                </c:pt>
                <c:pt idx="3">
                  <c:v>760</c:v>
                </c:pt>
                <c:pt idx="4">
                  <c:v>769</c:v>
                </c:pt>
                <c:pt idx="5">
                  <c:v>780</c:v>
                </c:pt>
                <c:pt idx="6">
                  <c:v>793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7-49CC-B111-7BF1227CD5D9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Phase_Data!$B$3:$H$3</c:f>
              <c:numCache>
                <c:formatCode>General</c:formatCode>
                <c:ptCount val="7"/>
                <c:pt idx="0">
                  <c:v>736</c:v>
                </c:pt>
                <c:pt idx="1">
                  <c:v>738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07-49CC-B111-7BF1227CD5D9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Phase_Data!$B$4:$H$4</c:f>
              <c:numCache>
                <c:formatCode>General</c:formatCode>
                <c:ptCount val="7"/>
                <c:pt idx="0">
                  <c:v>739</c:v>
                </c:pt>
                <c:pt idx="1">
                  <c:v>743</c:v>
                </c:pt>
                <c:pt idx="2">
                  <c:v>747</c:v>
                </c:pt>
                <c:pt idx="3">
                  <c:v>752</c:v>
                </c:pt>
                <c:pt idx="4">
                  <c:v>757</c:v>
                </c:pt>
                <c:pt idx="5">
                  <c:v>764</c:v>
                </c:pt>
                <c:pt idx="6">
                  <c:v>773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07-49CC-B111-7BF1227CD5D9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Phase_Data!$B$5:$H$5</c:f>
              <c:numCache>
                <c:formatCode>General</c:formatCode>
                <c:ptCount val="7"/>
                <c:pt idx="0">
                  <c:v>739</c:v>
                </c:pt>
                <c:pt idx="1">
                  <c:v>742</c:v>
                </c:pt>
                <c:pt idx="2">
                  <c:v>746</c:v>
                </c:pt>
                <c:pt idx="3">
                  <c:v>751</c:v>
                </c:pt>
                <c:pt idx="4">
                  <c:v>756</c:v>
                </c:pt>
                <c:pt idx="5">
                  <c:v>762</c:v>
                </c:pt>
                <c:pt idx="6">
                  <c:v>770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F07-49CC-B111-7BF1227CD5D9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Phase_Data!$B$6:$H$6</c:f>
              <c:numCache>
                <c:formatCode>General</c:formatCode>
                <c:ptCount val="7"/>
                <c:pt idx="0">
                  <c:v>741</c:v>
                </c:pt>
                <c:pt idx="1">
                  <c:v>747</c:v>
                </c:pt>
                <c:pt idx="2">
                  <c:v>752</c:v>
                </c:pt>
                <c:pt idx="3">
                  <c:v>759</c:v>
                </c:pt>
                <c:pt idx="4">
                  <c:v>768</c:v>
                </c:pt>
                <c:pt idx="5">
                  <c:v>779</c:v>
                </c:pt>
                <c:pt idx="6">
                  <c:v>792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F07-49CC-B111-7BF1227CD5D9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Phase_Data!$B$7:$H$7</c:f>
              <c:numCache>
                <c:formatCode>General</c:formatCode>
                <c:ptCount val="7"/>
                <c:pt idx="0">
                  <c:v>739</c:v>
                </c:pt>
                <c:pt idx="1">
                  <c:v>743</c:v>
                </c:pt>
                <c:pt idx="2">
                  <c:v>747</c:v>
                </c:pt>
                <c:pt idx="3">
                  <c:v>751</c:v>
                </c:pt>
                <c:pt idx="4">
                  <c:v>757</c:v>
                </c:pt>
                <c:pt idx="5">
                  <c:v>763</c:v>
                </c:pt>
                <c:pt idx="6">
                  <c:v>771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F07-49CC-B111-7BF1227CD5D9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Phase_Data!$B$8:$H$8</c:f>
              <c:numCache>
                <c:formatCode>General</c:formatCode>
                <c:ptCount val="7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758</c:v>
                </c:pt>
                <c:pt idx="4">
                  <c:v>763</c:v>
                </c:pt>
                <c:pt idx="5">
                  <c:v>770</c:v>
                </c:pt>
                <c:pt idx="6">
                  <c:v>778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F07-49CC-B111-7BF1227CD5D9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Phase_Data!$B$9:$H$9</c:f>
              <c:numCache>
                <c:formatCode>General</c:formatCode>
                <c:ptCount val="7"/>
                <c:pt idx="0">
                  <c:v>757</c:v>
                </c:pt>
                <c:pt idx="1">
                  <c:v>757</c:v>
                </c:pt>
                <c:pt idx="2">
                  <c:v>757</c:v>
                </c:pt>
                <c:pt idx="3">
                  <c:v>760</c:v>
                </c:pt>
                <c:pt idx="4">
                  <c:v>769</c:v>
                </c:pt>
                <c:pt idx="5">
                  <c:v>780</c:v>
                </c:pt>
                <c:pt idx="6">
                  <c:v>793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AF07-49CC-B111-7BF1227CD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2702352"/>
        <c:axId val="1212698512"/>
      </c:scatterChart>
      <c:valAx>
        <c:axId val="1212702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1212698512"/>
        <c:crosses val="autoZero"/>
        <c:crossBetween val="midCat"/>
      </c:valAx>
      <c:valAx>
        <c:axId val="1212698512"/>
        <c:scaling>
          <c:orientation val="minMax"/>
          <c:max val="275"/>
          <c:min val="12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1212702352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758</c:v>
                </c:pt>
                <c:pt idx="4">
                  <c:v>763</c:v>
                </c:pt>
                <c:pt idx="5">
                  <c:v>770</c:v>
                </c:pt>
                <c:pt idx="6">
                  <c:v>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33-4F1C-BB8D-02E7B92B59FB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741</c:v>
                </c:pt>
                <c:pt idx="1">
                  <c:v>747</c:v>
                </c:pt>
                <c:pt idx="2">
                  <c:v>752</c:v>
                </c:pt>
                <c:pt idx="3">
                  <c:v>759</c:v>
                </c:pt>
                <c:pt idx="4">
                  <c:v>768</c:v>
                </c:pt>
                <c:pt idx="5">
                  <c:v>779</c:v>
                </c:pt>
                <c:pt idx="6">
                  <c:v>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33-4F1C-BB8D-02E7B92B59FB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P_Calc!$B$4:$H$4</c:f>
              <c:numCache>
                <c:formatCode>General</c:formatCode>
                <c:ptCount val="7"/>
                <c:pt idx="0">
                  <c:v>739</c:v>
                </c:pt>
                <c:pt idx="1">
                  <c:v>743</c:v>
                </c:pt>
                <c:pt idx="2">
                  <c:v>747</c:v>
                </c:pt>
                <c:pt idx="3">
                  <c:v>751</c:v>
                </c:pt>
                <c:pt idx="4">
                  <c:v>757</c:v>
                </c:pt>
                <c:pt idx="5">
                  <c:v>763</c:v>
                </c:pt>
                <c:pt idx="6">
                  <c:v>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33-4F1C-BB8D-02E7B92B5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5157408"/>
        <c:axId val="1195155008"/>
      </c:scatterChart>
      <c:valAx>
        <c:axId val="119515740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195155008"/>
        <c:crosses val="autoZero"/>
        <c:crossBetween val="midCat"/>
      </c:valAx>
      <c:valAx>
        <c:axId val="119515500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19515740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758</c:v>
                </c:pt>
                <c:pt idx="4">
                  <c:v>763</c:v>
                </c:pt>
                <c:pt idx="5">
                  <c:v>770</c:v>
                </c:pt>
                <c:pt idx="6">
                  <c:v>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D-4F6B-9480-7EEB2D452392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741</c:v>
                </c:pt>
                <c:pt idx="1">
                  <c:v>747</c:v>
                </c:pt>
                <c:pt idx="2">
                  <c:v>752</c:v>
                </c:pt>
                <c:pt idx="3">
                  <c:v>759</c:v>
                </c:pt>
                <c:pt idx="4">
                  <c:v>768</c:v>
                </c:pt>
                <c:pt idx="5">
                  <c:v>779</c:v>
                </c:pt>
                <c:pt idx="6">
                  <c:v>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D-4F6B-9480-7EEB2D452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177104"/>
        <c:axId val="2078175184"/>
      </c:scatterChart>
      <c:valAx>
        <c:axId val="207817710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78175184"/>
        <c:crosses val="autoZero"/>
        <c:crossBetween val="midCat"/>
      </c:valAx>
      <c:valAx>
        <c:axId val="2078175184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78177104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P_Calc!$B$6:$H$6</c:f>
              <c:numCache>
                <c:formatCode>General</c:formatCode>
                <c:ptCount val="7"/>
                <c:pt idx="0">
                  <c:v>17</c:v>
                </c:pt>
                <c:pt idx="1">
                  <c:v>13</c:v>
                </c:pt>
                <c:pt idx="2">
                  <c:v>9</c:v>
                </c:pt>
                <c:pt idx="3">
                  <c:v>8</c:v>
                </c:pt>
                <c:pt idx="4">
                  <c:v>11</c:v>
                </c:pt>
                <c:pt idx="5">
                  <c:v>16</c:v>
                </c:pt>
                <c:pt idx="6">
                  <c:v>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82-41D3-A616-9837CDE440F0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P_Calc!$B$9:$H$9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82-41D3-A616-9837CDE440F0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82-41D3-A616-9837CDE44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178544"/>
        <c:axId val="424115504"/>
      </c:scatterChart>
      <c:valAx>
        <c:axId val="207817854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424115504"/>
        <c:crosses val="autoZero"/>
        <c:crossBetween val="midCat"/>
      </c:valAx>
      <c:valAx>
        <c:axId val="424115504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78178544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P_Calc!$B$7:$H$7</c:f>
              <c:numCache>
                <c:formatCode>General</c:formatCode>
                <c:ptCount val="7"/>
                <c:pt idx="0">
                  <c:v>15</c:v>
                </c:pt>
                <c:pt idx="1">
                  <c:v>9</c:v>
                </c:pt>
                <c:pt idx="2">
                  <c:v>4</c:v>
                </c:pt>
                <c:pt idx="3">
                  <c:v>1</c:v>
                </c:pt>
                <c:pt idx="4">
                  <c:v>5</c:v>
                </c:pt>
                <c:pt idx="5">
                  <c:v>9</c:v>
                </c:pt>
                <c:pt idx="6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A0-479A-8F56-521344C208C6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P_Calc!$B$10:$H$10</c:f>
              <c:numCache>
                <c:formatCode>General</c:formatCode>
                <c:ptCount val="7"/>
                <c:pt idx="0">
                  <c:v>17.800000000002484</c:v>
                </c:pt>
                <c:pt idx="1">
                  <c:v>8.9714285714329662</c:v>
                </c:pt>
                <c:pt idx="2">
                  <c:v>3.7142857142912646</c:v>
                </c:pt>
                <c:pt idx="3">
                  <c:v>2.0285714285773793</c:v>
                </c:pt>
                <c:pt idx="4">
                  <c:v>3.9142857142913101</c:v>
                </c:pt>
                <c:pt idx="5">
                  <c:v>9.3714285714330572</c:v>
                </c:pt>
                <c:pt idx="6">
                  <c:v>18.40000000000262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A0-479A-8F56-521344C208C6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200.7000000000003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2.0271714285773754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A0-479A-8F56-521344C20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116944"/>
        <c:axId val="2078178544"/>
      </c:scatterChart>
      <c:valAx>
        <c:axId val="42411694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78178544"/>
        <c:crosses val="autoZero"/>
        <c:crossBetween val="midCat"/>
      </c:valAx>
      <c:valAx>
        <c:axId val="2078178544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424116944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F896CF2-1018-42DB-9588-CDBBF6566348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FC68C8-DD69-F400-D923-DC9A558E2CB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516C4D0-CC0B-5111-6D20-9554CE5DDE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867A45C-6EB1-CFBA-4092-24E0582FBC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997CBF6-376D-CB9E-EAD5-A816E77A4B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8749498-7A01-8ED3-7B15-AE497C3C40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1AFAA-E2DD-4586-B9F2-2D9410B969BB}">
  <dimension ref="A1:P14"/>
  <sheetViews>
    <sheetView tabSelected="1" workbookViewId="0"/>
  </sheetViews>
  <sheetFormatPr defaultRowHeight="15" x14ac:dyDescent="0.2"/>
  <sheetData>
    <row r="1" spans="1:16" x14ac:dyDescent="0.2">
      <c r="A1" t="s">
        <v>135</v>
      </c>
      <c r="B1">
        <f>Phase_Data!B1</f>
        <v>275</v>
      </c>
      <c r="C1">
        <f>Phase_Data!C1</f>
        <v>250</v>
      </c>
      <c r="D1">
        <f>Phase_Data!D1</f>
        <v>225</v>
      </c>
      <c r="E1">
        <f>Phase_Data!E1</f>
        <v>200</v>
      </c>
      <c r="F1">
        <f>Phase_Data!F1</f>
        <v>175</v>
      </c>
      <c r="G1">
        <f>Phase_Data!G1</f>
        <v>150</v>
      </c>
      <c r="H1">
        <f>Phase_Data!H1</f>
        <v>125</v>
      </c>
      <c r="J1" t="s">
        <v>142</v>
      </c>
      <c r="K1" t="s">
        <v>143</v>
      </c>
      <c r="L1" t="s">
        <v>144</v>
      </c>
      <c r="N1" t="s">
        <v>145</v>
      </c>
      <c r="O1" t="s">
        <v>146</v>
      </c>
      <c r="P1" t="s">
        <v>147</v>
      </c>
    </row>
    <row r="2" spans="1:16" x14ac:dyDescent="0.2">
      <c r="A2" t="s">
        <v>96</v>
      </c>
      <c r="B2">
        <f ca="1">IFERROR(VLOOKUP($A2,Phase_Data!$1:$1048576,COLUMN(),0),"-")</f>
        <v>756</v>
      </c>
      <c r="C2">
        <f ca="1">IFERROR(VLOOKUP($A2,Phase_Data!$1:$1048576,COLUMN(),0),"-")</f>
        <v>756</v>
      </c>
      <c r="D2">
        <f ca="1">IFERROR(VLOOKUP($A2,Phase_Data!$1:$1048576,COLUMN(),0),"-")</f>
        <v>756</v>
      </c>
      <c r="E2">
        <f ca="1">IFERROR(VLOOKUP($A2,Phase_Data!$1:$1048576,COLUMN(),0),"-")</f>
        <v>758</v>
      </c>
      <c r="F2">
        <f ca="1">IFERROR(VLOOKUP($A2,Phase_Data!$1:$1048576,COLUMN(),0),"-")</f>
        <v>763</v>
      </c>
      <c r="G2">
        <f ca="1">IFERROR(VLOOKUP($A2,Phase_Data!$1:$1048576,COLUMN(),0),"-")</f>
        <v>770</v>
      </c>
      <c r="H2">
        <f ca="1">IFERROR(VLOOKUP($A2,Phase_Data!$1:$1048576,COLUMN(),0),"-")</f>
        <v>778</v>
      </c>
    </row>
    <row r="3" spans="1:16" x14ac:dyDescent="0.2">
      <c r="A3" t="s">
        <v>133</v>
      </c>
      <c r="B3">
        <f ca="1">IFERROR(VLOOKUP($A3,Phase_Data!$1:$1048576,COLUMN(),0),"-")</f>
        <v>741</v>
      </c>
      <c r="C3">
        <f ca="1">IFERROR(VLOOKUP($A3,Phase_Data!$1:$1048576,COLUMN(),0),"-")</f>
        <v>747</v>
      </c>
      <c r="D3">
        <f ca="1">IFERROR(VLOOKUP($A3,Phase_Data!$1:$1048576,COLUMN(),0),"-")</f>
        <v>752</v>
      </c>
      <c r="E3">
        <f ca="1">IFERROR(VLOOKUP($A3,Phase_Data!$1:$1048576,COLUMN(),0),"-")</f>
        <v>759</v>
      </c>
      <c r="F3">
        <f ca="1">IFERROR(VLOOKUP($A3,Phase_Data!$1:$1048576,COLUMN(),0),"-")</f>
        <v>768</v>
      </c>
      <c r="G3">
        <f ca="1">IFERROR(VLOOKUP($A3,Phase_Data!$1:$1048576,COLUMN(),0),"-")</f>
        <v>779</v>
      </c>
      <c r="H3">
        <f ca="1">IFERROR(VLOOKUP($A3,Phase_Data!$1:$1048576,COLUMN(),0),"-")</f>
        <v>792</v>
      </c>
    </row>
    <row r="4" spans="1:16" x14ac:dyDescent="0.2">
      <c r="A4" t="s">
        <v>134</v>
      </c>
      <c r="B4">
        <f ca="1">IFERROR(VLOOKUP($A4,Phase_Data!$1:$1048576,COLUMN(),0),"-")</f>
        <v>739</v>
      </c>
      <c r="C4">
        <f ca="1">IFERROR(VLOOKUP($A4,Phase_Data!$1:$1048576,COLUMN(),0),"-")</f>
        <v>743</v>
      </c>
      <c r="D4">
        <f ca="1">IFERROR(VLOOKUP($A4,Phase_Data!$1:$1048576,COLUMN(),0),"-")</f>
        <v>747</v>
      </c>
      <c r="E4">
        <f ca="1">IFERROR(VLOOKUP($A4,Phase_Data!$1:$1048576,COLUMN(),0),"-")</f>
        <v>751</v>
      </c>
      <c r="F4">
        <f ca="1">IFERROR(VLOOKUP($A4,Phase_Data!$1:$1048576,COLUMN(),0),"-")</f>
        <v>757</v>
      </c>
      <c r="G4">
        <f ca="1">IFERROR(VLOOKUP($A4,Phase_Data!$1:$1048576,COLUMN(),0),"-")</f>
        <v>763</v>
      </c>
      <c r="H4">
        <f ca="1">IFERROR(VLOOKUP($A4,Phase_Data!$1:$1048576,COLUMN(),0),"-")</f>
        <v>771</v>
      </c>
    </row>
    <row r="6" spans="1:16" x14ac:dyDescent="0.2">
      <c r="A6" t="s">
        <v>136</v>
      </c>
      <c r="B6">
        <f ca="1">IF(AND(B2&lt;&gt;0,B3&lt;&gt;0,B4&lt;&gt;0),MAX(B2:B4)-MIN(B2:B4),"-")</f>
        <v>17</v>
      </c>
      <c r="C6">
        <f t="shared" ref="C6:H6" ca="1" si="0">IF(AND(C2&lt;&gt;0,C3&lt;&gt;0,C4&lt;&gt;0),MAX(C2:C4)-MIN(C2:C4),"-")</f>
        <v>13</v>
      </c>
      <c r="D6">
        <f t="shared" ca="1" si="0"/>
        <v>9</v>
      </c>
      <c r="E6">
        <f t="shared" ca="1" si="0"/>
        <v>8</v>
      </c>
      <c r="F6">
        <f t="shared" ca="1" si="0"/>
        <v>11</v>
      </c>
      <c r="G6">
        <f t="shared" ca="1" si="0"/>
        <v>16</v>
      </c>
      <c r="H6">
        <f t="shared" ca="1" si="0"/>
        <v>21</v>
      </c>
      <c r="J6">
        <f ca="1">MIN(B6:H6)</f>
        <v>8</v>
      </c>
      <c r="K6" t="str">
        <f ca="1">IF(J6&lt;=5,INDEX(B$1:H$1,1,MATCH(J6,B6:H6,0)),"-")</f>
        <v>-</v>
      </c>
      <c r="L6" t="str">
        <f ca="1">IF(J6&lt;=5,MATCH(J6,B6:H6,0),"-")</f>
        <v>-</v>
      </c>
      <c r="N6" t="str">
        <f t="array" aca="1" ref="N6:P6" ca="1">IF(L6="-","-",TRANSPOSE(MMULT(MINVERSE(MMULT(TRANSPOSE(generate_matrix(TRANSPOSE(INDEX(B$1:H$1,1,MAX(L6-2,1)):INDEX(B$1:H$1,1,MIN(L6+2,COUNT(B$1:H$1)))))),generate_matrix(TRANSPOSE(INDEX(B$1:H$1,1,MAX(L6-2,1)):INDEX(B$1:H$1,1,MIN(L6+2,COUNT(B$1:H$1))))))),MMULT(TRANSPOSE(generate_matrix(TRANSPOSE(INDEX(B$1:H$1,1,MAX(L6-2,1)):INDEX(B$1:H$1,1,MIN(L6+2,COUNT(B$1:H$1)))))),TRANSPOSE(INDEX(B6:H6,1,MAX(L6-2,1)):INDEX(B6:H6,1,MIN(L6+2,COUNT(B$1:H$1))))))))</f>
        <v>-</v>
      </c>
      <c r="O6" t="str">
        <f ca="1"/>
        <v>-</v>
      </c>
      <c r="P6" t="str">
        <f ca="1"/>
        <v>-</v>
      </c>
    </row>
    <row r="7" spans="1:16" x14ac:dyDescent="0.2">
      <c r="A7" t="s">
        <v>137</v>
      </c>
      <c r="B7">
        <f ca="1">IF(AND(MAX(B2:B4)&lt;&gt;0,LARGE(B2:B4,2)&lt;&gt;0),MAX(B2:B4)-LARGE(B2:B4,2),"-")</f>
        <v>15</v>
      </c>
      <c r="C7">
        <f t="shared" ref="C7:H7" ca="1" si="1">IF(AND(MAX(C2:C4)&lt;&gt;0,LARGE(C2:C4,2)&lt;&gt;0),MAX(C2:C4)-LARGE(C2:C4,2),"-")</f>
        <v>9</v>
      </c>
      <c r="D7">
        <f t="shared" ca="1" si="1"/>
        <v>4</v>
      </c>
      <c r="E7">
        <f t="shared" ca="1" si="1"/>
        <v>1</v>
      </c>
      <c r="F7">
        <f t="shared" ca="1" si="1"/>
        <v>5</v>
      </c>
      <c r="G7">
        <f t="shared" ca="1" si="1"/>
        <v>9</v>
      </c>
      <c r="H7">
        <f t="shared" ca="1" si="1"/>
        <v>14</v>
      </c>
      <c r="J7">
        <f ca="1">MIN(B7:H7)</f>
        <v>1</v>
      </c>
      <c r="K7">
        <f ca="1">IF(J7&lt;=5,INDEX(B$1:H$1,1,MATCH(J7,B7:H7,0)),"-")</f>
        <v>200</v>
      </c>
      <c r="L7">
        <f ca="1">IF(J7&lt;=5,MATCH(J7,B7:H7,0),"-")</f>
        <v>4</v>
      </c>
      <c r="N7">
        <f t="array" aca="1" ref="N7:P7" ca="1">IF(L7="-","-",TRANSPOSE(MMULT(MINVERSE(MMULT(TRANSPOSE(generate_matrix(TRANSPOSE(INDEX(B$1:H$1,1,MAX(L7-2,1)):INDEX(B$1:H$1,1,MIN(L7+2,COUNT(B$1:H$1)))))),generate_matrix(TRANSPOSE(INDEX(B$1:H$1,1,MAX(L7-2,1)):INDEX(B$1:H$1,1,MIN(L7+2,COUNT(B$1:H$1))))))),MMULT(TRANSPOSE(generate_matrix(TRANSPOSE(INDEX(B$1:H$1,1,MAX(L7-2,1)):INDEX(B$1:H$1,1,MIN(L7+2,COUNT(B$1:H$1)))))),TRANSPOSE(INDEX(B7:H7,1,MAX(L7-2,1)):INDEX(B7:H7,1,MIN(L7+2,COUNT(B$1:H$1))))))))</f>
        <v>117.11428571426768</v>
      </c>
      <c r="O7">
        <f ca="1"/>
        <v>-1.1468571428569021</v>
      </c>
      <c r="P7">
        <f ca="1"/>
        <v>2.857142857142253E-3</v>
      </c>
    </row>
    <row r="9" spans="1:16" x14ac:dyDescent="0.2">
      <c r="A9" t="s">
        <v>138</v>
      </c>
      <c r="B9" t="str">
        <f ca="1">IFERROR(IF($P6&gt;0,$P6*B$1^2+$O6*B$1+$N6,"-"),"-")</f>
        <v>-</v>
      </c>
      <c r="C9" t="str">
        <f ca="1">IFERROR(IF($P6&gt;0,$P6*C$1^2+$O6*C$1+$N6,"-"),"-")</f>
        <v>-</v>
      </c>
      <c r="D9" t="str">
        <f ca="1">IFERROR(IF($P6&gt;0,$P6*D$1^2+$O6*D$1+$N6,"-"),"-")</f>
        <v>-</v>
      </c>
      <c r="E9" t="str">
        <f ca="1">IFERROR(IF($P6&gt;0,$P6*E$1^2+$O6*E$1+$N6,"-"),"-")</f>
        <v>-</v>
      </c>
      <c r="F9" t="str">
        <f ca="1">IFERROR(IF($P6&gt;0,$P6*F$1^2+$O6*F$1+$N6,"-"),"-")</f>
        <v>-</v>
      </c>
      <c r="G9" t="str">
        <f ca="1">IFERROR(IF($P6&gt;0,$P6*G$1^2+$O6*G$1+$N6,"-"),"-")</f>
        <v>-</v>
      </c>
      <c r="H9" t="str">
        <f ca="1">IFERROR(IF($P6&gt;0,$P6*H$1^2+$O6*H$1+$N6,"-"),"-")</f>
        <v>-</v>
      </c>
    </row>
    <row r="10" spans="1:16" x14ac:dyDescent="0.2">
      <c r="A10" t="s">
        <v>139</v>
      </c>
      <c r="B10">
        <f ca="1">IFERROR(IF($P7&gt;0,$P7*B$1^2+$O7*B$1+$N7,"-"),"-")</f>
        <v>17.800000000002484</v>
      </c>
      <c r="C10">
        <f ca="1">IFERROR(IF($P7&gt;0,$P7*C$1^2+$O7*C$1+$N7,"-"),"-")</f>
        <v>8.9714285714329662</v>
      </c>
      <c r="D10">
        <f ca="1">IFERROR(IF($P7&gt;0,$P7*D$1^2+$O7*D$1+$N7,"-"),"-")</f>
        <v>3.7142857142912646</v>
      </c>
      <c r="E10">
        <f ca="1">IFERROR(IF($P7&gt;0,$P7*E$1^2+$O7*E$1+$N7,"-"),"-")</f>
        <v>2.0285714285773793</v>
      </c>
      <c r="F10">
        <f ca="1">IFERROR(IF($P7&gt;0,$P7*F$1^2+$O7*F$1+$N7,"-"),"-")</f>
        <v>3.9142857142913101</v>
      </c>
      <c r="G10">
        <f ca="1">IFERROR(IF($P7&gt;0,$P7*G$1^2+$O7*G$1+$N7,"-"),"-")</f>
        <v>9.3714285714330572</v>
      </c>
      <c r="H10">
        <f ca="1">IFERROR(IF($P7&gt;0,$P7*H$1^2+$O7*H$1+$N7,"-"),"-")</f>
        <v>18.40000000000262</v>
      </c>
    </row>
    <row r="12" spans="1:16" x14ac:dyDescent="0.2">
      <c r="B12" t="s">
        <v>148</v>
      </c>
      <c r="C12" t="s">
        <v>149</v>
      </c>
    </row>
    <row r="13" spans="1:16" x14ac:dyDescent="0.2">
      <c r="A13" t="s">
        <v>140</v>
      </c>
      <c r="B13" s="2" t="str">
        <f ca="1">IFERROR(IF($J6&lt;=5,IF($P6&gt;0,-$O6/(2*$P6),"-"),"-"),"-")</f>
        <v>-</v>
      </c>
      <c r="C13" s="2" t="str">
        <f ca="1">IFERROR(IF($P6&gt;0,$P6*B13^2+$O6*B13+$N6,"-"),"-")</f>
        <v>-</v>
      </c>
    </row>
    <row r="14" spans="1:16" x14ac:dyDescent="0.2">
      <c r="A14" t="s">
        <v>141</v>
      </c>
      <c r="B14" s="2">
        <f ca="1">IFERROR(IF($J7&lt;=5,IF($P7&gt;0,-$O7/(2*$P7),"-"),"-"),"-")</f>
        <v>200.7000000000003</v>
      </c>
      <c r="C14" s="2">
        <f ca="1">IFERROR(IF($P7&gt;0,$P7*B14^2+$O7*B14+$N7,"-"),"-")</f>
        <v>2.0271714285773754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A635C-3923-4C05-92B2-2CBD5E1A48DD}">
  <sheetPr codeName="Sheet2"/>
  <dimension ref="A1:H10"/>
  <sheetViews>
    <sheetView workbookViewId="0"/>
  </sheetViews>
  <sheetFormatPr defaultRowHeight="15" x14ac:dyDescent="0.2"/>
  <sheetData>
    <row r="1" spans="1:8" x14ac:dyDescent="0.2">
      <c r="A1">
        <v>275</v>
      </c>
      <c r="B1">
        <v>275</v>
      </c>
      <c r="C1">
        <v>250</v>
      </c>
      <c r="D1">
        <v>225</v>
      </c>
      <c r="E1">
        <v>200</v>
      </c>
      <c r="F1">
        <v>175</v>
      </c>
      <c r="G1">
        <v>150</v>
      </c>
      <c r="H1">
        <v>125</v>
      </c>
    </row>
    <row r="2" spans="1:8" x14ac:dyDescent="0.2">
      <c r="A2" t="s">
        <v>132</v>
      </c>
      <c r="B2">
        <f ca="1">_xlfn.IFNA(INDEX(INDIRECT("'"&amp;$A2&amp;"'!$B:$B"),MATCH(B$1,INDIRECT("'"&amp;$A2&amp;"'!$c:$c"),0)),"")</f>
        <v>757</v>
      </c>
      <c r="C2">
        <f t="shared" ref="C2:H10" ca="1" si="0">_xlfn.IFNA(INDEX(INDIRECT("'"&amp;$A2&amp;"'!$B:$B"),MATCH(C$1,INDIRECT("'"&amp;$A2&amp;"'!$c:$c"),0)),"")</f>
        <v>757</v>
      </c>
      <c r="D2">
        <f t="shared" ca="1" si="0"/>
        <v>757</v>
      </c>
      <c r="E2">
        <f t="shared" ca="1" si="0"/>
        <v>760</v>
      </c>
      <c r="F2">
        <f t="shared" ca="1" si="0"/>
        <v>769</v>
      </c>
      <c r="G2">
        <f t="shared" ca="1" si="0"/>
        <v>780</v>
      </c>
      <c r="H2">
        <f t="shared" ca="1" si="0"/>
        <v>793</v>
      </c>
    </row>
    <row r="3" spans="1:8" x14ac:dyDescent="0.2">
      <c r="A3" t="s">
        <v>97</v>
      </c>
      <c r="B3">
        <f ca="1">_xlfn.IFNA(INDEX(INDIRECT("'"&amp;$A3&amp;"'!$B:$B"),MATCH(B$1,INDIRECT("'"&amp;$A3&amp;"'!$c:$c"),0)),"")</f>
        <v>736</v>
      </c>
      <c r="C3">
        <f t="shared" ca="1" si="0"/>
        <v>738</v>
      </c>
    </row>
    <row r="4" spans="1:8" x14ac:dyDescent="0.2">
      <c r="A4" t="s">
        <v>101</v>
      </c>
      <c r="B4">
        <f ca="1">_xlfn.IFNA(INDEX(INDIRECT("'"&amp;$A4&amp;"'!$B:$B"),MATCH(B$1,INDIRECT("'"&amp;$A4&amp;"'!$c:$c"),0)),"")</f>
        <v>739</v>
      </c>
      <c r="C4">
        <f t="shared" ca="1" si="0"/>
        <v>743</v>
      </c>
      <c r="D4">
        <f t="shared" ca="1" si="0"/>
        <v>747</v>
      </c>
      <c r="E4">
        <f t="shared" ca="1" si="0"/>
        <v>752</v>
      </c>
      <c r="F4">
        <f t="shared" ca="1" si="0"/>
        <v>757</v>
      </c>
      <c r="G4">
        <f t="shared" ca="1" si="0"/>
        <v>764</v>
      </c>
      <c r="H4">
        <f t="shared" ca="1" si="0"/>
        <v>773</v>
      </c>
    </row>
    <row r="5" spans="1:8" x14ac:dyDescent="0.2">
      <c r="A5" t="s">
        <v>94</v>
      </c>
      <c r="B5">
        <f ca="1">_xlfn.IFNA(INDEX(INDIRECT("'"&amp;$A5&amp;"'!$B:$B"),MATCH(B$1,INDIRECT("'"&amp;$A5&amp;"'!$c:$c"),0)),"")</f>
        <v>739</v>
      </c>
      <c r="C5">
        <f t="shared" ca="1" si="0"/>
        <v>742</v>
      </c>
      <c r="D5">
        <f t="shared" ca="1" si="0"/>
        <v>746</v>
      </c>
      <c r="E5">
        <f t="shared" ca="1" si="0"/>
        <v>751</v>
      </c>
      <c r="F5">
        <f t="shared" ca="1" si="0"/>
        <v>756</v>
      </c>
      <c r="G5">
        <f t="shared" ca="1" si="0"/>
        <v>762</v>
      </c>
      <c r="H5">
        <f t="shared" ca="1" si="0"/>
        <v>770</v>
      </c>
    </row>
    <row r="6" spans="1:8" x14ac:dyDescent="0.2">
      <c r="A6" t="s">
        <v>133</v>
      </c>
      <c r="B6">
        <f ca="1">_xlfn.IFNA(INDEX(INDIRECT("'"&amp;$A6&amp;"'!$B:$B"),MATCH(B$1,INDIRECT("'"&amp;$A6&amp;"'!$c:$c"),0)),"")</f>
        <v>741</v>
      </c>
      <c r="C6">
        <f t="shared" ca="1" si="0"/>
        <v>747</v>
      </c>
      <c r="D6">
        <f t="shared" ca="1" si="0"/>
        <v>752</v>
      </c>
      <c r="E6">
        <f t="shared" ca="1" si="0"/>
        <v>759</v>
      </c>
      <c r="F6">
        <f t="shared" ca="1" si="0"/>
        <v>768</v>
      </c>
      <c r="G6">
        <f t="shared" ca="1" si="0"/>
        <v>779</v>
      </c>
      <c r="H6">
        <f t="shared" ca="1" si="0"/>
        <v>792</v>
      </c>
    </row>
    <row r="7" spans="1:8" x14ac:dyDescent="0.2">
      <c r="A7" t="s">
        <v>134</v>
      </c>
      <c r="B7">
        <f ca="1">_xlfn.IFNA(INDEX(INDIRECT("'"&amp;$A7&amp;"'!$B:$B"),MATCH(B$1,INDIRECT("'"&amp;$A7&amp;"'!$c:$c"),0)),"")</f>
        <v>739</v>
      </c>
      <c r="C7">
        <f t="shared" ca="1" si="0"/>
        <v>743</v>
      </c>
      <c r="D7">
        <f t="shared" ca="1" si="0"/>
        <v>747</v>
      </c>
      <c r="E7">
        <f t="shared" ca="1" si="0"/>
        <v>751</v>
      </c>
      <c r="F7">
        <f t="shared" ca="1" si="0"/>
        <v>757</v>
      </c>
      <c r="G7">
        <f t="shared" ca="1" si="0"/>
        <v>763</v>
      </c>
      <c r="H7">
        <f t="shared" ca="1" si="0"/>
        <v>771</v>
      </c>
    </row>
    <row r="8" spans="1:8" x14ac:dyDescent="0.2">
      <c r="A8" t="s">
        <v>96</v>
      </c>
      <c r="B8">
        <f ca="1">_xlfn.IFNA(INDEX(INDIRECT("'"&amp;$A8&amp;"'!$B:$B"),MATCH(B$1,INDIRECT("'"&amp;$A8&amp;"'!$c:$c"),0)),"")</f>
        <v>756</v>
      </c>
      <c r="C8">
        <f t="shared" ca="1" si="0"/>
        <v>756</v>
      </c>
      <c r="D8">
        <f t="shared" ca="1" si="0"/>
        <v>756</v>
      </c>
      <c r="E8">
        <f t="shared" ca="1" si="0"/>
        <v>758</v>
      </c>
      <c r="F8">
        <f t="shared" ca="1" si="0"/>
        <v>763</v>
      </c>
      <c r="G8">
        <f t="shared" ca="1" si="0"/>
        <v>770</v>
      </c>
      <c r="H8">
        <f t="shared" ca="1" si="0"/>
        <v>778</v>
      </c>
    </row>
    <row r="9" spans="1:8" x14ac:dyDescent="0.2">
      <c r="A9" t="s">
        <v>71</v>
      </c>
      <c r="B9">
        <f ca="1">_xlfn.IFNA(INDEX(INDIRECT("'"&amp;$A9&amp;"'!$B:$B"),MATCH(B$1,INDIRECT("'"&amp;$A9&amp;"'!$c:$c"),0)),"")</f>
        <v>757</v>
      </c>
      <c r="C9">
        <f t="shared" ca="1" si="0"/>
        <v>757</v>
      </c>
      <c r="D9">
        <f t="shared" ca="1" si="0"/>
        <v>757</v>
      </c>
      <c r="E9">
        <f t="shared" ca="1" si="0"/>
        <v>760</v>
      </c>
      <c r="F9">
        <f t="shared" ca="1" si="0"/>
        <v>769</v>
      </c>
      <c r="G9">
        <f t="shared" ca="1" si="0"/>
        <v>780</v>
      </c>
      <c r="H9">
        <f t="shared" ca="1" si="0"/>
        <v>793</v>
      </c>
    </row>
    <row r="10" spans="1:8" x14ac:dyDescent="0.2">
      <c r="A10" t="s">
        <v>84</v>
      </c>
      <c r="B10">
        <f ca="1">_xlfn.IFNA(INDEX(INDIRECT("'"&amp;$A10&amp;"'!$B:$B"),MATCH(B$1,INDIRECT("'"&amp;$A10&amp;"'!$c:$c"),0)),"")</f>
        <v>741</v>
      </c>
      <c r="C10">
        <f t="shared" ca="1" si="0"/>
        <v>747</v>
      </c>
      <c r="D10">
        <f t="shared" ca="1" si="0"/>
        <v>752</v>
      </c>
      <c r="E10">
        <f t="shared" ca="1" si="0"/>
        <v>759</v>
      </c>
      <c r="F10">
        <f t="shared" ca="1" si="0"/>
        <v>768</v>
      </c>
      <c r="G10">
        <f t="shared" ca="1" si="0"/>
        <v>779</v>
      </c>
      <c r="H10">
        <f t="shared" ca="1" si="0"/>
        <v>792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CC3B4-2E68-42EC-8495-B2CFC4F88630}">
  <sheetPr codeName="Sheet3"/>
  <dimension ref="A1:Q156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757</v>
      </c>
      <c r="C2">
        <v>275</v>
      </c>
      <c r="D2">
        <v>0.30264573120419402</v>
      </c>
      <c r="E2">
        <v>109.585173918267</v>
      </c>
      <c r="F2">
        <v>1.97447398072529</v>
      </c>
      <c r="G2">
        <v>-1811.3459504985756</v>
      </c>
      <c r="H2">
        <v>-1489.5354468362953</v>
      </c>
      <c r="I2">
        <v>312.39426418357499</v>
      </c>
      <c r="J2">
        <v>159.04581682166</v>
      </c>
      <c r="K2">
        <v>55.500946068690403</v>
      </c>
      <c r="L2">
        <v>0.86104652286590755</v>
      </c>
      <c r="M2">
        <v>-0.86085263540550994</v>
      </c>
      <c r="N2">
        <v>47.779641623539398</v>
      </c>
      <c r="O2">
        <v>47.7796368272801</v>
      </c>
      <c r="P2">
        <v>47.779631078260799</v>
      </c>
      <c r="Q2" t="s">
        <v>51</v>
      </c>
    </row>
    <row r="3" spans="1:17" x14ac:dyDescent="0.2">
      <c r="A3">
        <v>2</v>
      </c>
      <c r="B3">
        <v>756</v>
      </c>
      <c r="C3">
        <v>275</v>
      </c>
      <c r="D3">
        <v>0.30190011174270298</v>
      </c>
      <c r="E3">
        <v>109.58521602323501</v>
      </c>
      <c r="F3">
        <v>1.9750377965015</v>
      </c>
      <c r="G3">
        <v>-1811.0343107329916</v>
      </c>
      <c r="H3">
        <v>-1489.6975373394312</v>
      </c>
      <c r="I3">
        <v>312.23749898125101</v>
      </c>
      <c r="J3">
        <v>159.04149295837701</v>
      </c>
      <c r="K3">
        <v>55.485123483383397</v>
      </c>
      <c r="L3">
        <v>0.86101479608837694</v>
      </c>
      <c r="M3">
        <v>-0.86082095686718363</v>
      </c>
      <c r="N3">
        <v>47.764259219672397</v>
      </c>
      <c r="O3">
        <v>47.764254370695703</v>
      </c>
      <c r="P3">
        <v>47.764248625481002</v>
      </c>
      <c r="Q3" t="s">
        <v>51</v>
      </c>
    </row>
    <row r="4" spans="1:17" x14ac:dyDescent="0.2">
      <c r="A4">
        <v>3</v>
      </c>
      <c r="B4">
        <v>755</v>
      </c>
      <c r="C4">
        <v>275</v>
      </c>
      <c r="D4">
        <v>0.30115304187132302</v>
      </c>
      <c r="E4">
        <v>109.58526625291699</v>
      </c>
      <c r="F4">
        <v>1.97560557787678</v>
      </c>
      <c r="G4">
        <v>-1810.7229770736585</v>
      </c>
      <c r="H4">
        <v>-1489.8928101622466</v>
      </c>
      <c r="I4">
        <v>312.04845860616098</v>
      </c>
      <c r="J4">
        <v>159.047504661207</v>
      </c>
      <c r="K4">
        <v>55.469202699199997</v>
      </c>
      <c r="L4">
        <v>0.85924491730877106</v>
      </c>
      <c r="M4">
        <v>-0.85905064864481084</v>
      </c>
      <c r="N4">
        <v>47.652356666444</v>
      </c>
      <c r="O4">
        <v>47.6523517525941</v>
      </c>
      <c r="P4">
        <v>47.652345997122701</v>
      </c>
      <c r="Q4" t="s">
        <v>51</v>
      </c>
    </row>
    <row r="5" spans="1:17" x14ac:dyDescent="0.2">
      <c r="A5">
        <v>4</v>
      </c>
      <c r="B5">
        <v>754</v>
      </c>
      <c r="C5">
        <v>275</v>
      </c>
      <c r="D5">
        <v>0.30040451735384299</v>
      </c>
      <c r="E5">
        <v>109.58531668071799</v>
      </c>
      <c r="F5">
        <v>1.97617477037381</v>
      </c>
      <c r="G5">
        <v>-1810.4118355846954</v>
      </c>
      <c r="H5">
        <v>-1490.0879162238843</v>
      </c>
      <c r="I5">
        <v>311.85939954863397</v>
      </c>
      <c r="J5">
        <v>159.05346304282301</v>
      </c>
      <c r="K5">
        <v>55.453251566403402</v>
      </c>
      <c r="L5">
        <v>0.85748447773036263</v>
      </c>
      <c r="M5">
        <v>-0.8572897843933629</v>
      </c>
      <c r="N5">
        <v>47.541008115275503</v>
      </c>
      <c r="O5">
        <v>47.541003136286299</v>
      </c>
      <c r="P5">
        <v>47.540997370744101</v>
      </c>
      <c r="Q5" t="s">
        <v>51</v>
      </c>
    </row>
    <row r="6" spans="1:17" x14ac:dyDescent="0.2">
      <c r="A6">
        <v>5</v>
      </c>
      <c r="B6">
        <v>753</v>
      </c>
      <c r="C6">
        <v>275</v>
      </c>
      <c r="D6">
        <v>0.29965453393753799</v>
      </c>
      <c r="E6">
        <v>109.585367307543</v>
      </c>
      <c r="F6">
        <v>1.9767453610701</v>
      </c>
      <c r="G6">
        <v>-1810.1008862996653</v>
      </c>
      <c r="H6">
        <v>-1490.2828569121084</v>
      </c>
      <c r="I6">
        <v>311.67032043467901</v>
      </c>
      <c r="J6">
        <v>159.05936792252601</v>
      </c>
      <c r="K6">
        <v>55.437270508235798</v>
      </c>
      <c r="L6">
        <v>0.8557333949626752</v>
      </c>
      <c r="M6">
        <v>-0.85553828169863433</v>
      </c>
      <c r="N6">
        <v>47.430209068337</v>
      </c>
      <c r="O6">
        <v>47.430204023945997</v>
      </c>
      <c r="P6">
        <v>47.430198248518302</v>
      </c>
      <c r="Q6" t="s">
        <v>51</v>
      </c>
    </row>
    <row r="7" spans="1:17" x14ac:dyDescent="0.2">
      <c r="A7">
        <v>6</v>
      </c>
      <c r="B7">
        <v>752</v>
      </c>
      <c r="C7">
        <v>275</v>
      </c>
      <c r="D7">
        <v>0.29890308735307097</v>
      </c>
      <c r="E7">
        <v>109.585418134359</v>
      </c>
      <c r="F7">
        <v>1.97731733713876</v>
      </c>
      <c r="G7">
        <v>-1809.7901292545191</v>
      </c>
      <c r="H7">
        <v>-1490.4776335999795</v>
      </c>
      <c r="I7">
        <v>311.48121990161201</v>
      </c>
      <c r="J7">
        <v>159.06521911600501</v>
      </c>
      <c r="K7">
        <v>55.421259944512798</v>
      </c>
      <c r="L7">
        <v>0.85399158753402049</v>
      </c>
      <c r="M7">
        <v>-0.85379605906546097</v>
      </c>
      <c r="N7">
        <v>47.319955076412597</v>
      </c>
      <c r="O7">
        <v>47.319949966360802</v>
      </c>
      <c r="P7">
        <v>47.319944181232401</v>
      </c>
      <c r="Q7" t="s">
        <v>51</v>
      </c>
    </row>
    <row r="8" spans="1:17" x14ac:dyDescent="0.2">
      <c r="A8">
        <v>7</v>
      </c>
      <c r="B8">
        <v>751</v>
      </c>
      <c r="C8">
        <v>275</v>
      </c>
      <c r="D8">
        <v>0.29815017331445698</v>
      </c>
      <c r="E8">
        <v>109.58546916213299</v>
      </c>
      <c r="F8">
        <v>1.9778906858460501</v>
      </c>
      <c r="G8">
        <v>-1809.4795644865701</v>
      </c>
      <c r="H8">
        <v>-1490.6722476451762</v>
      </c>
      <c r="I8">
        <v>311.29209659777399</v>
      </c>
      <c r="J8">
        <v>159.07101643535199</v>
      </c>
      <c r="K8">
        <v>55.405220291665302</v>
      </c>
      <c r="L8">
        <v>0.85225897487794022</v>
      </c>
      <c r="M8">
        <v>-0.85206303590415389</v>
      </c>
      <c r="N8">
        <v>47.210241738204303</v>
      </c>
      <c r="O8">
        <v>47.210236562236197</v>
      </c>
      <c r="P8">
        <v>47.210230767591398</v>
      </c>
      <c r="Q8" t="s">
        <v>51</v>
      </c>
    </row>
    <row r="9" spans="1:17" x14ac:dyDescent="0.2">
      <c r="A9">
        <v>8</v>
      </c>
      <c r="B9">
        <v>750</v>
      </c>
      <c r="C9">
        <v>275</v>
      </c>
      <c r="D9">
        <v>0.29739578751893703</v>
      </c>
      <c r="E9">
        <v>109.585520391808</v>
      </c>
      <c r="F9">
        <v>1.9784653945511199</v>
      </c>
      <c r="G9">
        <v>-1809.1691920340461</v>
      </c>
      <c r="H9">
        <v>-1490.8667003897217</v>
      </c>
      <c r="I9">
        <v>311.10294918241499</v>
      </c>
      <c r="J9">
        <v>159.07675968899201</v>
      </c>
      <c r="K9">
        <v>55.389151962736797</v>
      </c>
      <c r="L9">
        <v>0.85053547732677648</v>
      </c>
      <c r="M9">
        <v>-0.85033913252407101</v>
      </c>
      <c r="N9">
        <v>47.101064699992897</v>
      </c>
      <c r="O9">
        <v>47.101059457856799</v>
      </c>
      <c r="P9">
        <v>47.101053653879298</v>
      </c>
      <c r="Q9" t="s">
        <v>51</v>
      </c>
    </row>
    <row r="10" spans="1:17" x14ac:dyDescent="0.2">
      <c r="A10">
        <v>9</v>
      </c>
      <c r="B10">
        <v>749</v>
      </c>
      <c r="C10">
        <v>275</v>
      </c>
      <c r="D10">
        <v>0.29663992564692099</v>
      </c>
      <c r="E10">
        <v>109.58557182434799</v>
      </c>
      <c r="F10">
        <v>1.97904145070287</v>
      </c>
      <c r="G10">
        <v>-1808.8590119369042</v>
      </c>
      <c r="H10">
        <v>-1491.0609931609108</v>
      </c>
      <c r="I10">
        <v>310.91377632563302</v>
      </c>
      <c r="J10">
        <v>159.082448681882</v>
      </c>
      <c r="K10">
        <v>55.3730553675001</v>
      </c>
      <c r="L10">
        <v>0.84882101609666716</v>
      </c>
      <c r="M10">
        <v>-0.84862427011860198</v>
      </c>
      <c r="N10">
        <v>46.9924196549238</v>
      </c>
      <c r="O10">
        <v>46.992414346371199</v>
      </c>
      <c r="P10">
        <v>46.992408533244301</v>
      </c>
      <c r="Q10" t="s">
        <v>51</v>
      </c>
    </row>
    <row r="11" spans="1:17" x14ac:dyDescent="0.2">
      <c r="A11">
        <v>10</v>
      </c>
      <c r="B11">
        <v>748</v>
      </c>
      <c r="C11">
        <v>275</v>
      </c>
      <c r="D11">
        <v>0.29588258336189799</v>
      </c>
      <c r="E11">
        <v>109.58562346074</v>
      </c>
      <c r="F11">
        <v>1.9796188418417</v>
      </c>
      <c r="G11">
        <v>-1808.5490242367694</v>
      </c>
      <c r="H11">
        <v>-1491.2551272716205</v>
      </c>
      <c r="I11">
        <v>310.72457670806699</v>
      </c>
      <c r="J11">
        <v>159.08808321547099</v>
      </c>
      <c r="K11">
        <v>55.356930912411798</v>
      </c>
      <c r="L11">
        <v>0.84711551327006207</v>
      </c>
      <c r="M11">
        <v>-0.8469183707476835</v>
      </c>
      <c r="N11">
        <v>46.884302342017101</v>
      </c>
      <c r="O11">
        <v>46.884296966803603</v>
      </c>
      <c r="P11">
        <v>46.884291144709799</v>
      </c>
      <c r="Q11" t="s">
        <v>51</v>
      </c>
    </row>
    <row r="12" spans="1:17" x14ac:dyDescent="0.2">
      <c r="A12">
        <v>11</v>
      </c>
      <c r="B12">
        <v>747</v>
      </c>
      <c r="C12">
        <v>275</v>
      </c>
      <c r="D12">
        <v>0.29512375631034898</v>
      </c>
      <c r="E12">
        <v>109.58567530195501</v>
      </c>
      <c r="F12">
        <v>1.98019755559443</v>
      </c>
      <c r="G12">
        <v>-1808.2392289763111</v>
      </c>
      <c r="H12">
        <v>-1491.4491040196485</v>
      </c>
      <c r="I12">
        <v>310.53534902098602</v>
      </c>
      <c r="J12">
        <v>159.093663087756</v>
      </c>
      <c r="K12">
        <v>55.340779000739197</v>
      </c>
      <c r="L12">
        <v>0.84541889179698293</v>
      </c>
      <c r="M12">
        <v>-0.8452213573390549</v>
      </c>
      <c r="N12">
        <v>46.776708546362102</v>
      </c>
      <c r="O12">
        <v>46.776703104246501</v>
      </c>
      <c r="P12">
        <v>46.7766972733681</v>
      </c>
      <c r="Q12" t="s">
        <v>51</v>
      </c>
    </row>
    <row r="13" spans="1:17" x14ac:dyDescent="0.2">
      <c r="A13">
        <v>12</v>
      </c>
      <c r="B13">
        <v>746</v>
      </c>
      <c r="C13">
        <v>275</v>
      </c>
      <c r="D13">
        <v>0.29436344012167098</v>
      </c>
      <c r="E13">
        <v>109.585727348918</v>
      </c>
      <c r="F13">
        <v>1.9807775796745599</v>
      </c>
      <c r="G13">
        <v>-1807.9296261987504</v>
      </c>
      <c r="H13">
        <v>-1491.6429246879641</v>
      </c>
      <c r="I13">
        <v>310.34609196560899</v>
      </c>
      <c r="J13">
        <v>159.099188093393</v>
      </c>
      <c r="K13">
        <v>55.324600032540303</v>
      </c>
      <c r="L13">
        <v>0.84373107545939507</v>
      </c>
      <c r="M13">
        <v>-0.84353315365261761</v>
      </c>
      <c r="N13">
        <v>46.669634097142897</v>
      </c>
      <c r="O13">
        <v>46.6696285878878</v>
      </c>
      <c r="P13">
        <v>46.669622748406397</v>
      </c>
      <c r="Q13" t="s">
        <v>51</v>
      </c>
    </row>
    <row r="14" spans="1:17" x14ac:dyDescent="0.2">
      <c r="A14">
        <v>13</v>
      </c>
      <c r="B14">
        <v>745</v>
      </c>
      <c r="C14">
        <v>275</v>
      </c>
      <c r="D14">
        <v>0.29360163040809401</v>
      </c>
      <c r="E14">
        <v>109.585779602648</v>
      </c>
      <c r="F14">
        <v>1.9813589018822499</v>
      </c>
      <c r="G14">
        <v>-1807.6202159501449</v>
      </c>
      <c r="H14">
        <v>-1491.8365905463959</v>
      </c>
      <c r="I14">
        <v>310.156804253742</v>
      </c>
      <c r="J14">
        <v>159.10465802369299</v>
      </c>
      <c r="K14">
        <v>55.3083944047412</v>
      </c>
      <c r="L14">
        <v>0.84205198888651089</v>
      </c>
      <c r="M14">
        <v>-0.84185368429574692</v>
      </c>
      <c r="N14">
        <v>46.563074868566403</v>
      </c>
      <c r="O14">
        <v>46.563069291938199</v>
      </c>
      <c r="P14">
        <v>46.563063444034903</v>
      </c>
      <c r="Q14" t="s">
        <v>51</v>
      </c>
    </row>
    <row r="15" spans="1:17" x14ac:dyDescent="0.2">
      <c r="A15">
        <v>14</v>
      </c>
      <c r="B15">
        <v>744</v>
      </c>
      <c r="C15">
        <v>275</v>
      </c>
      <c r="D15">
        <v>0.29283832276459099</v>
      </c>
      <c r="E15">
        <v>109.585832064112</v>
      </c>
      <c r="F15">
        <v>1.98194151010137</v>
      </c>
      <c r="G15">
        <v>-1807.3109982769722</v>
      </c>
      <c r="H15">
        <v>-1492.0301028499309</v>
      </c>
      <c r="I15">
        <v>309.96748460712598</v>
      </c>
      <c r="J15">
        <v>159.110072666636</v>
      </c>
      <c r="K15">
        <v>55.292162511146799</v>
      </c>
      <c r="L15">
        <v>0.84038155753102728</v>
      </c>
      <c r="M15">
        <v>-0.84018287469951658</v>
      </c>
      <c r="N15">
        <v>46.457026778570601</v>
      </c>
      <c r="O15">
        <v>46.4570211343392</v>
      </c>
      <c r="P15">
        <v>46.457015278194703</v>
      </c>
      <c r="Q15" t="s">
        <v>51</v>
      </c>
    </row>
    <row r="16" spans="1:17" x14ac:dyDescent="0.2">
      <c r="A16">
        <v>15</v>
      </c>
      <c r="B16">
        <v>743</v>
      </c>
      <c r="C16">
        <v>275</v>
      </c>
      <c r="D16">
        <v>0.29207351276878402</v>
      </c>
      <c r="E16">
        <v>109.58588473431401</v>
      </c>
      <c r="F16">
        <v>1.9825253922975801</v>
      </c>
      <c r="G16">
        <v>-1807.0019732275948</v>
      </c>
      <c r="H16">
        <v>-1492.2234628402875</v>
      </c>
      <c r="I16">
        <v>309.77813175737998</v>
      </c>
      <c r="J16">
        <v>159.11543180709899</v>
      </c>
      <c r="K16">
        <v>55.275904742543503</v>
      </c>
      <c r="L16">
        <v>0.83871970765127501</v>
      </c>
      <c r="M16">
        <v>-0.83852065110084295</v>
      </c>
      <c r="N16">
        <v>46.351485787935999</v>
      </c>
      <c r="O16">
        <v>46.351480075875301</v>
      </c>
      <c r="P16">
        <v>46.351474211669498</v>
      </c>
      <c r="Q16" t="s">
        <v>51</v>
      </c>
    </row>
    <row r="17" spans="1:17" x14ac:dyDescent="0.2">
      <c r="A17">
        <v>16</v>
      </c>
      <c r="B17">
        <v>742</v>
      </c>
      <c r="C17">
        <v>275</v>
      </c>
      <c r="D17">
        <v>0.291307195980888</v>
      </c>
      <c r="E17">
        <v>109.58593761424299</v>
      </c>
      <c r="F17">
        <v>1.9831105365208299</v>
      </c>
      <c r="G17">
        <v>-1806.6931408513747</v>
      </c>
      <c r="H17">
        <v>-1492.4166717451303</v>
      </c>
      <c r="I17">
        <v>309.58874444595102</v>
      </c>
      <c r="J17">
        <v>159.12073522659</v>
      </c>
      <c r="K17">
        <v>55.259621486607003</v>
      </c>
      <c r="L17">
        <v>0.83706636631430209</v>
      </c>
      <c r="M17">
        <v>-0.83686694054557176</v>
      </c>
      <c r="N17">
        <v>46.246447900392702</v>
      </c>
      <c r="O17">
        <v>46.246442120280101</v>
      </c>
      <c r="P17">
        <v>46.246436248192801</v>
      </c>
      <c r="Q17" t="s">
        <v>51</v>
      </c>
    </row>
    <row r="18" spans="1:17" x14ac:dyDescent="0.2">
      <c r="A18">
        <v>17</v>
      </c>
      <c r="B18">
        <v>741</v>
      </c>
      <c r="C18">
        <v>275</v>
      </c>
      <c r="D18">
        <v>0.29053936794360102</v>
      </c>
      <c r="E18">
        <v>109.585991806799</v>
      </c>
      <c r="F18">
        <v>1.98207669430072</v>
      </c>
      <c r="G18">
        <v>-1806.3846161707454</v>
      </c>
      <c r="H18">
        <v>-1492.8330076455914</v>
      </c>
      <c r="I18">
        <v>309.17932825863102</v>
      </c>
      <c r="J18">
        <v>159.14678467826499</v>
      </c>
      <c r="K18">
        <v>55.288471996015097</v>
      </c>
      <c r="L18">
        <v>0.82429876873849772</v>
      </c>
      <c r="M18">
        <v>-0.82409459383559325</v>
      </c>
      <c r="N18">
        <v>45.564461156470301</v>
      </c>
      <c r="O18">
        <v>45.564455197692403</v>
      </c>
      <c r="P18">
        <v>45.564449189302898</v>
      </c>
      <c r="Q18" t="s">
        <v>51</v>
      </c>
    </row>
    <row r="19" spans="1:17" x14ac:dyDescent="0.2">
      <c r="A19">
        <v>18</v>
      </c>
      <c r="B19">
        <v>740</v>
      </c>
      <c r="C19">
        <v>275</v>
      </c>
      <c r="D19">
        <v>0.28977002418201098</v>
      </c>
      <c r="E19">
        <v>109.5860458305</v>
      </c>
      <c r="F19">
        <v>1.98082823927563</v>
      </c>
      <c r="G19">
        <v>-1806.0765259362827</v>
      </c>
      <c r="H19">
        <v>-1493.2796173429629</v>
      </c>
      <c r="I19">
        <v>308.73965941327299</v>
      </c>
      <c r="J19">
        <v>159.178371384999</v>
      </c>
      <c r="K19">
        <v>55.323345890189003</v>
      </c>
      <c r="L19">
        <v>0.81001257567210683</v>
      </c>
      <c r="M19">
        <v>-0.80980306102631494</v>
      </c>
      <c r="N19">
        <v>44.802582259147997</v>
      </c>
      <c r="O19">
        <v>44.802576105149697</v>
      </c>
      <c r="P19">
        <v>44.802569943167001</v>
      </c>
      <c r="Q19" t="s">
        <v>51</v>
      </c>
    </row>
    <row r="20" spans="1:17" x14ac:dyDescent="0.2">
      <c r="A20">
        <v>19</v>
      </c>
      <c r="B20">
        <v>739</v>
      </c>
      <c r="C20">
        <v>275</v>
      </c>
      <c r="D20">
        <v>0.28899916020352701</v>
      </c>
      <c r="E20">
        <v>109.59608371562599</v>
      </c>
      <c r="F20">
        <v>1.9341884045406701</v>
      </c>
      <c r="G20">
        <v>-1805.9341086358977</v>
      </c>
      <c r="H20">
        <v>-1502.925611840865</v>
      </c>
      <c r="I20">
        <v>299.37575556206298</v>
      </c>
      <c r="J20">
        <v>159.15713271270201</v>
      </c>
      <c r="K20">
        <v>56.662568888501497</v>
      </c>
      <c r="L20">
        <v>0.34642293996224643</v>
      </c>
      <c r="M20">
        <v>-0.34605889660614814</v>
      </c>
      <c r="N20">
        <v>19.611343572577901</v>
      </c>
      <c r="O20">
        <v>19.611333208108</v>
      </c>
      <c r="P20">
        <v>19.611322465749701</v>
      </c>
      <c r="Q20" t="s">
        <v>51</v>
      </c>
    </row>
    <row r="21" spans="1:17" x14ac:dyDescent="0.2">
      <c r="A21">
        <v>20</v>
      </c>
      <c r="B21">
        <v>738</v>
      </c>
      <c r="C21">
        <v>275</v>
      </c>
      <c r="D21">
        <v>0.28822677149780002</v>
      </c>
      <c r="E21">
        <v>109.59770531641</v>
      </c>
      <c r="F21">
        <v>1.9185554851136499</v>
      </c>
      <c r="G21">
        <v>-1805.6632285573608</v>
      </c>
      <c r="H21">
        <v>-1506.4704272043136</v>
      </c>
      <c r="I21">
        <v>295.89892029522201</v>
      </c>
      <c r="J21">
        <v>159.178658144823</v>
      </c>
      <c r="K21">
        <v>57.125116352794997</v>
      </c>
      <c r="L21">
        <v>0.184753866711827</v>
      </c>
      <c r="M21">
        <v>-0.18433624131952792</v>
      </c>
      <c r="N21">
        <v>10.5334064814888</v>
      </c>
      <c r="O21">
        <v>10.533394537504799</v>
      </c>
      <c r="P21">
        <v>10.5333821622692</v>
      </c>
      <c r="Q21" t="s">
        <v>51</v>
      </c>
    </row>
    <row r="22" spans="1:17" x14ac:dyDescent="0.2">
      <c r="A22">
        <v>21</v>
      </c>
      <c r="B22">
        <v>737</v>
      </c>
      <c r="C22">
        <v>275</v>
      </c>
      <c r="D22">
        <v>0.28745285353660599</v>
      </c>
      <c r="E22">
        <v>109.5979711115</v>
      </c>
      <c r="F22">
        <v>1.9144040030117</v>
      </c>
      <c r="G22">
        <v>-1805.37230009993</v>
      </c>
      <c r="H22">
        <v>-1507.6614034083905</v>
      </c>
      <c r="I22">
        <v>294.72504816553698</v>
      </c>
      <c r="J22">
        <v>159.21145298643401</v>
      </c>
      <c r="K22">
        <v>57.249133902291703</v>
      </c>
      <c r="L22">
        <v>0.13591882365584423</v>
      </c>
      <c r="M22">
        <v>-0.13548523464489393</v>
      </c>
      <c r="N22">
        <v>7.7597099694741196</v>
      </c>
      <c r="O22">
        <v>7.75969747873099</v>
      </c>
      <c r="P22">
        <v>7.7596846184272099</v>
      </c>
      <c r="Q22" t="s">
        <v>51</v>
      </c>
    </row>
    <row r="23" spans="1:17" x14ac:dyDescent="0.2">
      <c r="A23">
        <v>22</v>
      </c>
      <c r="B23">
        <v>736</v>
      </c>
      <c r="C23">
        <v>275</v>
      </c>
      <c r="D23">
        <v>0.28667740177377199</v>
      </c>
      <c r="E23">
        <v>109.59796984914399</v>
      </c>
      <c r="F23">
        <v>1.9126554928349</v>
      </c>
      <c r="G23">
        <v>-1805.0779288179074</v>
      </c>
      <c r="H23">
        <v>-1508.3610918385409</v>
      </c>
      <c r="I23">
        <v>294.03216727018503</v>
      </c>
      <c r="J23">
        <v>159.24628593387601</v>
      </c>
      <c r="K23">
        <v>57.301469218955198</v>
      </c>
      <c r="L23">
        <v>0.11048048434173502</v>
      </c>
      <c r="M23">
        <v>-0.11003874552813699</v>
      </c>
      <c r="N23">
        <v>6.3087368086784501</v>
      </c>
      <c r="O23">
        <v>6.3087239885505602</v>
      </c>
      <c r="P23">
        <v>6.3087108847246602</v>
      </c>
      <c r="Q23" t="s">
        <v>51</v>
      </c>
    </row>
    <row r="24" spans="1:17" x14ac:dyDescent="0.2">
      <c r="A24">
        <v>23</v>
      </c>
      <c r="B24">
        <v>735</v>
      </c>
      <c r="C24">
        <v>275</v>
      </c>
      <c r="D24">
        <v>0.285900411645091</v>
      </c>
      <c r="E24">
        <v>109.597949443833</v>
      </c>
      <c r="F24">
        <v>1.9119153116826</v>
      </c>
      <c r="G24">
        <v>-1804.7838172042377</v>
      </c>
      <c r="H24">
        <v>-1508.8482031680503</v>
      </c>
      <c r="I24">
        <v>293.54898340619599</v>
      </c>
      <c r="J24">
        <v>159.284052826622</v>
      </c>
      <c r="K24">
        <v>57.323642304731798</v>
      </c>
      <c r="L24">
        <v>9.5094346630283599E-2</v>
      </c>
      <c r="M24">
        <v>-9.4647797030346176E-2</v>
      </c>
      <c r="N24">
        <v>5.4289418868496897</v>
      </c>
      <c r="O24">
        <v>5.4289288312406203</v>
      </c>
      <c r="P24">
        <v>5.4289155874485804</v>
      </c>
      <c r="Q24" t="s">
        <v>51</v>
      </c>
    </row>
    <row r="25" spans="1:17" x14ac:dyDescent="0.2">
      <c r="A25">
        <v>24</v>
      </c>
      <c r="B25">
        <v>734</v>
      </c>
      <c r="C25">
        <v>275</v>
      </c>
      <c r="D25">
        <v>0.28512187856823701</v>
      </c>
      <c r="E25">
        <v>109.597911069899</v>
      </c>
      <c r="F25">
        <v>1.91165756434922</v>
      </c>
      <c r="G25">
        <v>-1804.4898423271861</v>
      </c>
      <c r="H25">
        <v>-1509.2340336001823</v>
      </c>
      <c r="I25">
        <v>293.16551636048598</v>
      </c>
      <c r="J25">
        <v>159.32374124948601</v>
      </c>
      <c r="K25">
        <v>57.331351134118798</v>
      </c>
      <c r="L25">
        <v>8.4493002240231832E-2</v>
      </c>
      <c r="M25">
        <v>-8.4043233636013709E-2</v>
      </c>
      <c r="N25">
        <v>4.8217150680714802</v>
      </c>
      <c r="O25">
        <v>4.8217018223366201</v>
      </c>
      <c r="P25">
        <v>4.8216884881481503</v>
      </c>
      <c r="Q25" t="s">
        <v>51</v>
      </c>
    </row>
    <row r="26" spans="1:17" x14ac:dyDescent="0.2">
      <c r="A26">
        <v>25</v>
      </c>
      <c r="B26">
        <v>757</v>
      </c>
      <c r="C26">
        <v>250</v>
      </c>
      <c r="D26">
        <v>0.32934087268844398</v>
      </c>
      <c r="E26">
        <v>109.58549151063799</v>
      </c>
      <c r="F26">
        <v>1.9404696334607401</v>
      </c>
      <c r="G26">
        <v>-1812.7504280854926</v>
      </c>
      <c r="H26">
        <v>-1490.5084542921616</v>
      </c>
      <c r="I26">
        <v>312.813325705772</v>
      </c>
      <c r="J26">
        <v>159.85520504246199</v>
      </c>
      <c r="K26">
        <v>56.473695656446502</v>
      </c>
      <c r="L26">
        <v>0.84276833127035677</v>
      </c>
      <c r="M26">
        <v>-0.8425283922580078</v>
      </c>
      <c r="N26">
        <v>47.582734764209697</v>
      </c>
      <c r="O26">
        <v>47.582729606506803</v>
      </c>
      <c r="P26">
        <v>47.582721408413697</v>
      </c>
      <c r="Q26" t="s">
        <v>51</v>
      </c>
    </row>
    <row r="27" spans="1:17" x14ac:dyDescent="0.2">
      <c r="A27">
        <v>26</v>
      </c>
      <c r="B27">
        <v>756</v>
      </c>
      <c r="C27">
        <v>250</v>
      </c>
      <c r="D27">
        <v>0.32862119224602798</v>
      </c>
      <c r="E27">
        <v>109.585534193372</v>
      </c>
      <c r="F27">
        <v>1.94107860030948</v>
      </c>
      <c r="G27">
        <v>-1812.4383795444303</v>
      </c>
      <c r="H27">
        <v>-1490.6715138549096</v>
      </c>
      <c r="I27">
        <v>312.65562892526299</v>
      </c>
      <c r="J27">
        <v>159.85314911230699</v>
      </c>
      <c r="K27">
        <v>56.456000378294704</v>
      </c>
      <c r="L27">
        <v>0.8427536103335469</v>
      </c>
      <c r="M27">
        <v>-0.84251373122871609</v>
      </c>
      <c r="N27">
        <v>47.5669929165662</v>
      </c>
      <c r="O27">
        <v>47.566987682721397</v>
      </c>
      <c r="P27">
        <v>47.566979488850201</v>
      </c>
      <c r="Q27" t="s">
        <v>51</v>
      </c>
    </row>
    <row r="28" spans="1:17" x14ac:dyDescent="0.2">
      <c r="A28">
        <v>27</v>
      </c>
      <c r="B28">
        <v>755</v>
      </c>
      <c r="C28">
        <v>250</v>
      </c>
      <c r="D28">
        <v>0.32790011185138401</v>
      </c>
      <c r="E28">
        <v>109.585584906029</v>
      </c>
      <c r="F28">
        <v>1.94168364257491</v>
      </c>
      <c r="G28">
        <v>-1812.1266356853557</v>
      </c>
      <c r="H28">
        <v>-1490.8659704978143</v>
      </c>
      <c r="I28">
        <v>312.467389677531</v>
      </c>
      <c r="J28">
        <v>159.860674081506</v>
      </c>
      <c r="K28">
        <v>56.438434409791199</v>
      </c>
      <c r="L28">
        <v>0.84108962831381606</v>
      </c>
      <c r="M28">
        <v>-0.84084931169078647</v>
      </c>
      <c r="N28">
        <v>47.458255049831699</v>
      </c>
      <c r="O28">
        <v>47.458249728619798</v>
      </c>
      <c r="P28">
        <v>47.458241522066999</v>
      </c>
      <c r="Q28" t="s">
        <v>51</v>
      </c>
    </row>
    <row r="29" spans="1:17" x14ac:dyDescent="0.2">
      <c r="A29">
        <v>28</v>
      </c>
      <c r="B29">
        <v>754</v>
      </c>
      <c r="C29">
        <v>250</v>
      </c>
      <c r="D29">
        <v>0.32717762741566497</v>
      </c>
      <c r="E29">
        <v>109.585635818556</v>
      </c>
      <c r="F29">
        <v>1.9422902112402001</v>
      </c>
      <c r="G29">
        <v>-1811.8150832323527</v>
      </c>
      <c r="H29">
        <v>-1491.0602728970644</v>
      </c>
      <c r="I29">
        <v>312.27912038147701</v>
      </c>
      <c r="J29">
        <v>159.86815661371</v>
      </c>
      <c r="K29">
        <v>56.420835148308001</v>
      </c>
      <c r="L29">
        <v>0.83943439059960667</v>
      </c>
      <c r="M29">
        <v>-0.8391936415944965</v>
      </c>
      <c r="N29">
        <v>47.350041312282499</v>
      </c>
      <c r="O29">
        <v>47.350035903266203</v>
      </c>
      <c r="P29">
        <v>47.350027684267197</v>
      </c>
      <c r="Q29" t="s">
        <v>51</v>
      </c>
    </row>
    <row r="30" spans="1:17" x14ac:dyDescent="0.2">
      <c r="A30">
        <v>29</v>
      </c>
      <c r="B30">
        <v>753</v>
      </c>
      <c r="C30">
        <v>250</v>
      </c>
      <c r="D30">
        <v>0.32645373483409301</v>
      </c>
      <c r="E30">
        <v>109.585686931909</v>
      </c>
      <c r="F30">
        <v>1.94289829209936</v>
      </c>
      <c r="G30">
        <v>-1811.5037222311594</v>
      </c>
      <c r="H30">
        <v>-1491.2544223295381</v>
      </c>
      <c r="I30">
        <v>312.09081974977698</v>
      </c>
      <c r="J30">
        <v>159.87559638948099</v>
      </c>
      <c r="K30">
        <v>56.403203079405003</v>
      </c>
      <c r="L30">
        <v>0.8377878216333039</v>
      </c>
      <c r="M30">
        <v>-0.83754664536171597</v>
      </c>
      <c r="N30">
        <v>47.242347551730902</v>
      </c>
      <c r="O30">
        <v>47.242342054477703</v>
      </c>
      <c r="P30">
        <v>47.2423338232677</v>
      </c>
      <c r="Q30" t="s">
        <v>51</v>
      </c>
    </row>
    <row r="31" spans="1:17" x14ac:dyDescent="0.2">
      <c r="A31">
        <v>30</v>
      </c>
      <c r="B31">
        <v>752</v>
      </c>
      <c r="C31">
        <v>250</v>
      </c>
      <c r="D31">
        <v>0.32572842998585799</v>
      </c>
      <c r="E31">
        <v>109.58573824704099</v>
      </c>
      <c r="F31">
        <v>1.94350787102911</v>
      </c>
      <c r="G31">
        <v>-1811.1925527287467</v>
      </c>
      <c r="H31">
        <v>-1491.4484200582042</v>
      </c>
      <c r="I31">
        <v>311.90248650485302</v>
      </c>
      <c r="J31">
        <v>159.88299308609299</v>
      </c>
      <c r="K31">
        <v>56.385538685271499</v>
      </c>
      <c r="L31">
        <v>0.83614984666353065</v>
      </c>
      <c r="M31">
        <v>-0.8359082482207536</v>
      </c>
      <c r="N31">
        <v>47.135169659050199</v>
      </c>
      <c r="O31">
        <v>47.135164073132302</v>
      </c>
      <c r="P31">
        <v>47.135155829946498</v>
      </c>
      <c r="Q31" t="s">
        <v>51</v>
      </c>
    </row>
    <row r="32" spans="1:17" x14ac:dyDescent="0.2">
      <c r="A32">
        <v>31</v>
      </c>
      <c r="B32">
        <v>751</v>
      </c>
      <c r="C32">
        <v>250</v>
      </c>
      <c r="D32">
        <v>0.32500170873407402</v>
      </c>
      <c r="E32">
        <v>109.585789764899</v>
      </c>
      <c r="F32">
        <v>1.94411893399062</v>
      </c>
      <c r="G32">
        <v>-1810.8815747732569</v>
      </c>
      <c r="H32">
        <v>-1491.6422673315431</v>
      </c>
      <c r="I32">
        <v>311.71411937942497</v>
      </c>
      <c r="J32">
        <v>159.89034637722301</v>
      </c>
      <c r="K32">
        <v>56.367842444678303</v>
      </c>
      <c r="L32">
        <v>0.83452039177405846</v>
      </c>
      <c r="M32">
        <v>-0.83427837623527934</v>
      </c>
      <c r="N32">
        <v>47.028503569787198</v>
      </c>
      <c r="O32">
        <v>47.0284978947819</v>
      </c>
      <c r="P32">
        <v>47.028489639855302</v>
      </c>
      <c r="Q32" t="s">
        <v>51</v>
      </c>
    </row>
    <row r="33" spans="1:17" x14ac:dyDescent="0.2">
      <c r="A33">
        <v>32</v>
      </c>
      <c r="B33">
        <v>750</v>
      </c>
      <c r="C33">
        <v>250</v>
      </c>
      <c r="D33">
        <v>0.324273566925672</v>
      </c>
      <c r="E33">
        <v>109.585841486441</v>
      </c>
      <c r="F33">
        <v>1.94473146702522</v>
      </c>
      <c r="G33">
        <v>-1810.5707884142755</v>
      </c>
      <c r="H33">
        <v>-1491.8359653846435</v>
      </c>
      <c r="I33">
        <v>311.525717115752</v>
      </c>
      <c r="J33">
        <v>159.89765593336401</v>
      </c>
      <c r="K33">
        <v>56.3501148331138</v>
      </c>
      <c r="L33">
        <v>0.83289938383475925</v>
      </c>
      <c r="M33">
        <v>-0.83265695625525615</v>
      </c>
      <c r="N33">
        <v>46.9223452615296</v>
      </c>
      <c r="O33">
        <v>46.922339497019401</v>
      </c>
      <c r="P33">
        <v>46.922331230586501</v>
      </c>
      <c r="Q33" t="s">
        <v>51</v>
      </c>
    </row>
    <row r="34" spans="1:17" x14ac:dyDescent="0.2">
      <c r="A34">
        <v>33</v>
      </c>
      <c r="B34">
        <v>749</v>
      </c>
      <c r="C34">
        <v>250</v>
      </c>
      <c r="D34">
        <v>0.32354400039133302</v>
      </c>
      <c r="E34">
        <v>109.58589341263399</v>
      </c>
      <c r="F34">
        <v>1.9453454562536301</v>
      </c>
      <c r="G34">
        <v>-1810.2601937028128</v>
      </c>
      <c r="H34">
        <v>-1492.0295154389942</v>
      </c>
      <c r="I34">
        <v>311.33727846587198</v>
      </c>
      <c r="J34">
        <v>159.904921421746</v>
      </c>
      <c r="K34">
        <v>56.332356322807598</v>
      </c>
      <c r="L34">
        <v>0.83128675051082124</v>
      </c>
      <c r="M34">
        <v>-0.83104391592615756</v>
      </c>
      <c r="N34">
        <v>46.8166907544663</v>
      </c>
      <c r="O34">
        <v>46.816684900038503</v>
      </c>
      <c r="P34">
        <v>46.816676622333702</v>
      </c>
      <c r="Q34" t="s">
        <v>51</v>
      </c>
    </row>
    <row r="35" spans="1:17" x14ac:dyDescent="0.2">
      <c r="A35">
        <v>34</v>
      </c>
      <c r="B35">
        <v>748</v>
      </c>
      <c r="C35">
        <v>250</v>
      </c>
      <c r="D35">
        <v>0.32281300494540499</v>
      </c>
      <c r="E35">
        <v>109.585945544455</v>
      </c>
      <c r="F35">
        <v>1.9459608878767201</v>
      </c>
      <c r="G35">
        <v>-1809.9497906912418</v>
      </c>
      <c r="H35">
        <v>-1492.2229187026298</v>
      </c>
      <c r="I35">
        <v>311.14880219143902</v>
      </c>
      <c r="J35">
        <v>159.91214250629699</v>
      </c>
      <c r="K35">
        <v>56.3145673827119</v>
      </c>
      <c r="L35">
        <v>0.82968242025294991</v>
      </c>
      <c r="M35">
        <v>-0.8294391836791658</v>
      </c>
      <c r="N35">
        <v>46.711536110837002</v>
      </c>
      <c r="O35">
        <v>46.711530166084103</v>
      </c>
      <c r="P35">
        <v>46.711521877341703</v>
      </c>
      <c r="Q35" t="s">
        <v>51</v>
      </c>
    </row>
    <row r="36" spans="1:17" x14ac:dyDescent="0.2">
      <c r="A36">
        <v>35</v>
      </c>
      <c r="B36">
        <v>747</v>
      </c>
      <c r="C36">
        <v>250</v>
      </c>
      <c r="D36">
        <v>0.32208057638582899</v>
      </c>
      <c r="E36">
        <v>109.58599800850099</v>
      </c>
      <c r="F36">
        <v>1.9464047228047701</v>
      </c>
      <c r="G36">
        <v>-1809.6395826053927</v>
      </c>
      <c r="H36">
        <v>-1492.4401936965767</v>
      </c>
      <c r="I36">
        <v>310.93675274573002</v>
      </c>
      <c r="J36">
        <v>159.92038824916301</v>
      </c>
      <c r="K36">
        <v>56.301753034480598</v>
      </c>
      <c r="L36">
        <v>0.82690806086508717</v>
      </c>
      <c r="M36">
        <v>-0.82666392953940027</v>
      </c>
      <c r="N36">
        <v>46.544658449324302</v>
      </c>
      <c r="O36">
        <v>46.544652402951797</v>
      </c>
      <c r="P36">
        <v>46.544644086349201</v>
      </c>
      <c r="Q36" t="s">
        <v>51</v>
      </c>
    </row>
    <row r="37" spans="1:17" x14ac:dyDescent="0.2">
      <c r="A37">
        <v>36</v>
      </c>
      <c r="B37">
        <v>746</v>
      </c>
      <c r="C37">
        <v>250</v>
      </c>
      <c r="D37">
        <v>0.32134671049404001</v>
      </c>
      <c r="E37">
        <v>109.58605158637501</v>
      </c>
      <c r="F37">
        <v>1.94522510948104</v>
      </c>
      <c r="G37">
        <v>-1809.3297259745855</v>
      </c>
      <c r="H37">
        <v>-1492.883280437962</v>
      </c>
      <c r="I37">
        <v>310.50311523203499</v>
      </c>
      <c r="J37">
        <v>159.94005175679399</v>
      </c>
      <c r="K37">
        <v>56.3359227948742</v>
      </c>
      <c r="L37">
        <v>0.81305248892086679</v>
      </c>
      <c r="M37">
        <v>-0.81280278609329626</v>
      </c>
      <c r="N37">
        <v>45.792067512939099</v>
      </c>
      <c r="O37">
        <v>45.792061260797901</v>
      </c>
      <c r="P37">
        <v>45.792052756085901</v>
      </c>
      <c r="Q37" t="s">
        <v>51</v>
      </c>
    </row>
    <row r="38" spans="1:17" x14ac:dyDescent="0.2">
      <c r="A38">
        <v>37</v>
      </c>
      <c r="B38">
        <v>745</v>
      </c>
      <c r="C38">
        <v>250</v>
      </c>
      <c r="D38">
        <v>0.32061140303491598</v>
      </c>
      <c r="E38">
        <v>109.58610484314499</v>
      </c>
      <c r="F38">
        <v>1.9440519198515001</v>
      </c>
      <c r="G38">
        <v>-1809.0202977891149</v>
      </c>
      <c r="H38">
        <v>-1493.3263723644166</v>
      </c>
      <c r="I38">
        <v>310.069041744797</v>
      </c>
      <c r="J38">
        <v>159.96223855967301</v>
      </c>
      <c r="K38">
        <v>56.369947594566398</v>
      </c>
      <c r="L38">
        <v>0.79918732248385216</v>
      </c>
      <c r="M38">
        <v>-0.79893205286003699</v>
      </c>
      <c r="N38">
        <v>45.037872720678401</v>
      </c>
      <c r="O38">
        <v>45.037866260022703</v>
      </c>
      <c r="P38">
        <v>45.0378575673315</v>
      </c>
      <c r="Q38" t="s">
        <v>51</v>
      </c>
    </row>
    <row r="39" spans="1:17" x14ac:dyDescent="0.2">
      <c r="A39">
        <v>38</v>
      </c>
      <c r="B39">
        <v>744</v>
      </c>
      <c r="C39">
        <v>250</v>
      </c>
      <c r="D39">
        <v>0.31987464975667701</v>
      </c>
      <c r="E39">
        <v>109.58615773187699</v>
      </c>
      <c r="F39">
        <v>1.9428815501232</v>
      </c>
      <c r="G39">
        <v>-1808.711298032043</v>
      </c>
      <c r="H39">
        <v>-1493.7701289960137</v>
      </c>
      <c r="I39">
        <v>309.63388272129703</v>
      </c>
      <c r="J39">
        <v>159.98698680506899</v>
      </c>
      <c r="K39">
        <v>56.4039314310888</v>
      </c>
      <c r="L39">
        <v>0.78527560079474723</v>
      </c>
      <c r="M39">
        <v>-0.78501475640604423</v>
      </c>
      <c r="N39">
        <v>44.280075428417803</v>
      </c>
      <c r="O39">
        <v>44.280068756265699</v>
      </c>
      <c r="P39">
        <v>44.280059875303202</v>
      </c>
      <c r="Q39" t="s">
        <v>51</v>
      </c>
    </row>
    <row r="40" spans="1:17" x14ac:dyDescent="0.2">
      <c r="A40">
        <v>39</v>
      </c>
      <c r="B40">
        <v>743</v>
      </c>
      <c r="C40">
        <v>250</v>
      </c>
      <c r="D40">
        <v>0.31913644639078897</v>
      </c>
      <c r="E40">
        <v>109.595768766023</v>
      </c>
      <c r="F40">
        <v>1.9195388595865699</v>
      </c>
      <c r="G40">
        <v>-1808.558974252157</v>
      </c>
      <c r="H40">
        <v>-1498.6689113361365</v>
      </c>
      <c r="I40">
        <v>304.96868944096298</v>
      </c>
      <c r="J40">
        <v>159.86941120869099</v>
      </c>
      <c r="K40">
        <v>57.094842450664302</v>
      </c>
      <c r="L40">
        <v>0.55703977478518119</v>
      </c>
      <c r="M40">
        <v>-0.55669677479699098</v>
      </c>
      <c r="N40">
        <v>31.787365261484201</v>
      </c>
      <c r="O40">
        <v>31.787356550890799</v>
      </c>
      <c r="P40">
        <v>31.7873448507086</v>
      </c>
      <c r="Q40" t="s">
        <v>51</v>
      </c>
    </row>
    <row r="41" spans="1:17" x14ac:dyDescent="0.2">
      <c r="A41">
        <v>40</v>
      </c>
      <c r="B41">
        <v>742</v>
      </c>
      <c r="C41">
        <v>250</v>
      </c>
      <c r="D41">
        <v>0.318396788651924</v>
      </c>
      <c r="E41">
        <v>109.598467637193</v>
      </c>
      <c r="F41">
        <v>1.8846189507287501</v>
      </c>
      <c r="G41">
        <v>-1808.3032931226294</v>
      </c>
      <c r="H41">
        <v>-1506.1150562849157</v>
      </c>
      <c r="I41">
        <v>297.68366242285799</v>
      </c>
      <c r="J41">
        <v>159.62285926485001</v>
      </c>
      <c r="K41">
        <v>58.154178909648103</v>
      </c>
      <c r="L41">
        <v>0.20770502549330455</v>
      </c>
      <c r="M41">
        <v>-0.20723737337430695</v>
      </c>
      <c r="N41">
        <v>12.055652041174399</v>
      </c>
      <c r="O41">
        <v>12.055640137946799</v>
      </c>
      <c r="P41">
        <v>12.055624036706799</v>
      </c>
      <c r="Q41" t="s">
        <v>51</v>
      </c>
    </row>
    <row r="42" spans="1:17" x14ac:dyDescent="0.2">
      <c r="A42">
        <v>41</v>
      </c>
      <c r="B42">
        <v>741</v>
      </c>
      <c r="C42">
        <v>250</v>
      </c>
      <c r="D42">
        <v>0.31765567223783697</v>
      </c>
      <c r="E42">
        <v>109.5988218529</v>
      </c>
      <c r="F42">
        <v>1.8791621703116399</v>
      </c>
      <c r="G42">
        <v>-1808.0121895846999</v>
      </c>
      <c r="H42">
        <v>-1507.5960335015211</v>
      </c>
      <c r="I42">
        <v>296.23009777998499</v>
      </c>
      <c r="J42">
        <v>159.606336207738</v>
      </c>
      <c r="K42">
        <v>58.323237655813799</v>
      </c>
      <c r="L42">
        <v>0.14568530282835901</v>
      </c>
      <c r="M42">
        <v>-0.14519583712696424</v>
      </c>
      <c r="N42">
        <v>8.4724084439434701</v>
      </c>
      <c r="O42">
        <v>8.4723958463861102</v>
      </c>
      <c r="P42">
        <v>8.4723789656708899</v>
      </c>
      <c r="Q42" t="s">
        <v>51</v>
      </c>
    </row>
    <row r="43" spans="1:17" x14ac:dyDescent="0.2">
      <c r="A43">
        <v>42</v>
      </c>
      <c r="B43">
        <v>740</v>
      </c>
      <c r="C43">
        <v>250</v>
      </c>
      <c r="D43">
        <v>0.31691309282929903</v>
      </c>
      <c r="E43">
        <v>109.598883256929</v>
      </c>
      <c r="F43">
        <v>1.87710787298014</v>
      </c>
      <c r="G43">
        <v>-1807.7173677687315</v>
      </c>
      <c r="H43">
        <v>-1508.371469990172</v>
      </c>
      <c r="I43">
        <v>295.466237429839</v>
      </c>
      <c r="J43">
        <v>159.61830454989899</v>
      </c>
      <c r="K43">
        <v>58.387099023204897</v>
      </c>
      <c r="L43">
        <v>0.11689592877167126</v>
      </c>
      <c r="M43">
        <v>-0.11639652107215237</v>
      </c>
      <c r="N43">
        <v>6.8002506029261403</v>
      </c>
      <c r="O43">
        <v>6.8002376058326996</v>
      </c>
      <c r="P43">
        <v>6.8002203735815199</v>
      </c>
      <c r="Q43" t="s">
        <v>51</v>
      </c>
    </row>
    <row r="44" spans="1:17" x14ac:dyDescent="0.2">
      <c r="A44">
        <v>43</v>
      </c>
      <c r="B44">
        <v>739</v>
      </c>
      <c r="C44">
        <v>250</v>
      </c>
      <c r="D44">
        <v>0.31616904609000601</v>
      </c>
      <c r="E44">
        <v>109.598866919971</v>
      </c>
      <c r="F44">
        <v>1.8762431248440601</v>
      </c>
      <c r="G44">
        <v>-1807.4219087858796</v>
      </c>
      <c r="H44">
        <v>-1508.89875736829</v>
      </c>
      <c r="I44">
        <v>294.94535931075097</v>
      </c>
      <c r="J44">
        <v>159.641269913911</v>
      </c>
      <c r="K44">
        <v>58.414000546480402</v>
      </c>
      <c r="L44">
        <v>9.9749133858283934E-2</v>
      </c>
      <c r="M44">
        <v>-9.9243940598885277E-2</v>
      </c>
      <c r="N44">
        <v>5.8014719199094396</v>
      </c>
      <c r="O44">
        <v>5.8014586273336599</v>
      </c>
      <c r="P44">
        <v>5.8014411942906499</v>
      </c>
      <c r="Q44" t="s">
        <v>51</v>
      </c>
    </row>
    <row r="45" spans="1:17" x14ac:dyDescent="0.2">
      <c r="A45">
        <v>44</v>
      </c>
      <c r="B45">
        <v>738</v>
      </c>
      <c r="C45">
        <v>250</v>
      </c>
      <c r="D45">
        <v>0.31542352766652099</v>
      </c>
      <c r="E45">
        <v>109.598804602351</v>
      </c>
      <c r="F45">
        <v>1.87590992776392</v>
      </c>
      <c r="G45">
        <v>-1807.1261760957962</v>
      </c>
      <c r="H45">
        <v>-1509.3211405080031</v>
      </c>
      <c r="I45">
        <v>294.52690628639601</v>
      </c>
      <c r="J45">
        <v>159.66867330174099</v>
      </c>
      <c r="K45">
        <v>58.424342757753003</v>
      </c>
      <c r="L45">
        <v>8.7605387037186067E-2</v>
      </c>
      <c r="M45">
        <v>-8.7096206894440018E-2</v>
      </c>
      <c r="N45">
        <v>5.09279960250141</v>
      </c>
      <c r="O45">
        <v>5.0927860597187902</v>
      </c>
      <c r="P45">
        <v>5.0927684916266598</v>
      </c>
      <c r="Q45" t="s">
        <v>51</v>
      </c>
    </row>
    <row r="46" spans="1:17" x14ac:dyDescent="0.2">
      <c r="A46">
        <v>45</v>
      </c>
      <c r="B46">
        <v>737</v>
      </c>
      <c r="C46">
        <v>250</v>
      </c>
      <c r="D46">
        <v>0.31467653318814098</v>
      </c>
      <c r="E46">
        <v>109.598751564114</v>
      </c>
      <c r="F46">
        <v>1.87592830676936</v>
      </c>
      <c r="G46">
        <v>-1806.8309624455444</v>
      </c>
      <c r="H46">
        <v>-1509.6658091658014</v>
      </c>
      <c r="I46">
        <v>294.18505712757002</v>
      </c>
      <c r="J46">
        <v>159.70106685349199</v>
      </c>
      <c r="K46">
        <v>58.423742084717702</v>
      </c>
      <c r="L46">
        <v>7.9051194366049016E-2</v>
      </c>
      <c r="M46">
        <v>-7.8539298741240313E-2</v>
      </c>
      <c r="N46">
        <v>4.5928339084297498</v>
      </c>
      <c r="O46">
        <v>4.5928201480159503</v>
      </c>
      <c r="P46">
        <v>4.5928024911286398</v>
      </c>
      <c r="Q46" t="s">
        <v>51</v>
      </c>
    </row>
    <row r="47" spans="1:17" x14ac:dyDescent="0.2">
      <c r="A47">
        <v>46</v>
      </c>
      <c r="B47">
        <v>757</v>
      </c>
      <c r="C47">
        <v>225</v>
      </c>
      <c r="D47">
        <v>0.35603601417269398</v>
      </c>
      <c r="E47">
        <v>109.585812685728</v>
      </c>
      <c r="F47">
        <v>1.90129737689824</v>
      </c>
      <c r="G47">
        <v>-1814.1815132095039</v>
      </c>
      <c r="H47">
        <v>-1491.4506723277746</v>
      </c>
      <c r="I47">
        <v>313.28810044278202</v>
      </c>
      <c r="J47">
        <v>160.681282434206</v>
      </c>
      <c r="K47">
        <v>57.637386984936498</v>
      </c>
      <c r="L47">
        <v>0.82235394288843311</v>
      </c>
      <c r="M47">
        <v>-0.82205466117268711</v>
      </c>
      <c r="N47">
        <v>47.383916974406098</v>
      </c>
      <c r="O47">
        <v>47.383912353387501</v>
      </c>
      <c r="P47">
        <v>47.383900444838901</v>
      </c>
      <c r="Q47" t="s">
        <v>51</v>
      </c>
    </row>
    <row r="48" spans="1:17" x14ac:dyDescent="0.2">
      <c r="A48">
        <v>47</v>
      </c>
      <c r="B48">
        <v>756</v>
      </c>
      <c r="C48">
        <v>225</v>
      </c>
      <c r="D48">
        <v>0.35534227274935698</v>
      </c>
      <c r="E48">
        <v>109.585857997067</v>
      </c>
      <c r="F48">
        <v>1.9019628699721101</v>
      </c>
      <c r="G48">
        <v>-1813.8690351243836</v>
      </c>
      <c r="H48">
        <v>-1491.622596564584</v>
      </c>
      <c r="I48">
        <v>313.12183531688498</v>
      </c>
      <c r="J48">
        <v>160.68444792633099</v>
      </c>
      <c r="K48">
        <v>57.617243599857403</v>
      </c>
      <c r="L48">
        <v>0.82194959402348167</v>
      </c>
      <c r="M48">
        <v>-0.8216502400614405</v>
      </c>
      <c r="N48">
        <v>47.344050021276303</v>
      </c>
      <c r="O48">
        <v>47.344045287651397</v>
      </c>
      <c r="P48">
        <v>47.344033376942399</v>
      </c>
      <c r="Q48" t="s">
        <v>51</v>
      </c>
    </row>
    <row r="49" spans="1:17" x14ac:dyDescent="0.2">
      <c r="A49">
        <v>48</v>
      </c>
      <c r="B49">
        <v>755</v>
      </c>
      <c r="C49">
        <v>225</v>
      </c>
      <c r="D49">
        <v>0.354647181831445</v>
      </c>
      <c r="E49">
        <v>109.58590915929901</v>
      </c>
      <c r="F49">
        <v>1.9026177878427499</v>
      </c>
      <c r="G49">
        <v>-1813.5568324097678</v>
      </c>
      <c r="H49">
        <v>-1491.8161380351537</v>
      </c>
      <c r="I49">
        <v>312.93449284180201</v>
      </c>
      <c r="J49">
        <v>160.69406304224199</v>
      </c>
      <c r="K49">
        <v>57.597437519782403</v>
      </c>
      <c r="L49">
        <v>0.82040678815232004</v>
      </c>
      <c r="M49">
        <v>-0.82010698108580971</v>
      </c>
      <c r="N49">
        <v>47.238885892737997</v>
      </c>
      <c r="O49">
        <v>47.238881039751298</v>
      </c>
      <c r="P49">
        <v>47.238869111769297</v>
      </c>
      <c r="Q49" t="s">
        <v>51</v>
      </c>
    </row>
    <row r="50" spans="1:17" x14ac:dyDescent="0.2">
      <c r="A50">
        <v>49</v>
      </c>
      <c r="B50">
        <v>754</v>
      </c>
      <c r="C50">
        <v>225</v>
      </c>
      <c r="D50">
        <v>0.35395073747748601</v>
      </c>
      <c r="E50">
        <v>109.58596052303299</v>
      </c>
      <c r="F50">
        <v>1.9032744170734299</v>
      </c>
      <c r="G50">
        <v>-1813.2448202402188</v>
      </c>
      <c r="H50">
        <v>-1492.0095395808328</v>
      </c>
      <c r="I50">
        <v>312.74710729065998</v>
      </c>
      <c r="J50">
        <v>160.70364900774101</v>
      </c>
      <c r="K50">
        <v>57.577593404285601</v>
      </c>
      <c r="L50">
        <v>0.81887198620299984</v>
      </c>
      <c r="M50">
        <v>-0.81857173168400765</v>
      </c>
      <c r="N50">
        <v>47.134212864652397</v>
      </c>
      <c r="O50">
        <v>47.134207891534899</v>
      </c>
      <c r="P50">
        <v>47.134195946580398</v>
      </c>
      <c r="Q50" t="s">
        <v>51</v>
      </c>
    </row>
    <row r="51" spans="1:17" x14ac:dyDescent="0.2">
      <c r="A51">
        <v>50</v>
      </c>
      <c r="B51">
        <v>753</v>
      </c>
      <c r="C51">
        <v>225</v>
      </c>
      <c r="D51">
        <v>0.35325293573064698</v>
      </c>
      <c r="E51">
        <v>109.58601208923</v>
      </c>
      <c r="F51">
        <v>1.9039327423422101</v>
      </c>
      <c r="G51">
        <v>-1812.9329986746186</v>
      </c>
      <c r="H51">
        <v>-1492.2028023657715</v>
      </c>
      <c r="I51">
        <v>312.55967746067699</v>
      </c>
      <c r="J51">
        <v>160.71320530484601</v>
      </c>
      <c r="K51">
        <v>57.557711809933998</v>
      </c>
      <c r="L51">
        <v>0.81734511972953217</v>
      </c>
      <c r="M51">
        <v>-0.81704442339619476</v>
      </c>
      <c r="N51">
        <v>47.0300271503679</v>
      </c>
      <c r="O51">
        <v>47.030022056356799</v>
      </c>
      <c r="P51">
        <v>47.030010094730599</v>
      </c>
      <c r="Q51" t="s">
        <v>51</v>
      </c>
    </row>
    <row r="52" spans="1:17" x14ac:dyDescent="0.2">
      <c r="A52">
        <v>51</v>
      </c>
      <c r="B52">
        <v>752</v>
      </c>
      <c r="C52">
        <v>225</v>
      </c>
      <c r="D52">
        <v>0.35255377261864101</v>
      </c>
      <c r="E52">
        <v>109.58606446772799</v>
      </c>
      <c r="F52">
        <v>1.90353941353684</v>
      </c>
      <c r="G52">
        <v>-1812.6214184504508</v>
      </c>
      <c r="H52">
        <v>-1492.5394590152464</v>
      </c>
      <c r="I52">
        <v>312.23227211173298</v>
      </c>
      <c r="J52">
        <v>160.72338579190401</v>
      </c>
      <c r="K52">
        <v>57.569632490095699</v>
      </c>
      <c r="L52">
        <v>0.80888063015411271</v>
      </c>
      <c r="M52">
        <v>-0.80857631114232509</v>
      </c>
      <c r="N52">
        <v>46.5522886851398</v>
      </c>
      <c r="O52">
        <v>46.552283420847097</v>
      </c>
      <c r="P52">
        <v>46.552271313745599</v>
      </c>
      <c r="Q52" t="s">
        <v>51</v>
      </c>
    </row>
    <row r="53" spans="1:17" x14ac:dyDescent="0.2">
      <c r="A53">
        <v>52</v>
      </c>
      <c r="B53">
        <v>751</v>
      </c>
      <c r="C53">
        <v>225</v>
      </c>
      <c r="D53">
        <v>0.35185324415369101</v>
      </c>
      <c r="E53">
        <v>109.586117104354</v>
      </c>
      <c r="F53">
        <v>1.9024026963963401</v>
      </c>
      <c r="G53">
        <v>-1812.3102488609188</v>
      </c>
      <c r="H53">
        <v>-1492.9782141737642</v>
      </c>
      <c r="I53">
        <v>311.804959350329</v>
      </c>
      <c r="J53">
        <v>160.73579184057999</v>
      </c>
      <c r="K53">
        <v>57.604058968135199</v>
      </c>
      <c r="L53">
        <v>0.7954714960061946</v>
      </c>
      <c r="M53">
        <v>-0.79516129206612862</v>
      </c>
      <c r="N53">
        <v>45.8074152100654</v>
      </c>
      <c r="O53">
        <v>45.807409737482899</v>
      </c>
      <c r="P53">
        <v>45.807397393119402</v>
      </c>
      <c r="Q53" t="s">
        <v>51</v>
      </c>
    </row>
    <row r="54" spans="1:17" x14ac:dyDescent="0.2">
      <c r="A54">
        <v>53</v>
      </c>
      <c r="B54">
        <v>750</v>
      </c>
      <c r="C54">
        <v>225</v>
      </c>
      <c r="D54">
        <v>0.35115134633240402</v>
      </c>
      <c r="E54">
        <v>109.586169434686</v>
      </c>
      <c r="F54">
        <v>1.9012771777667301</v>
      </c>
      <c r="G54">
        <v>-1811.9995014124413</v>
      </c>
      <c r="H54">
        <v>-1493.4165211918942</v>
      </c>
      <c r="I54">
        <v>311.37766190439203</v>
      </c>
      <c r="J54">
        <v>160.750421259783</v>
      </c>
      <c r="K54">
        <v>57.638186959887399</v>
      </c>
      <c r="L54">
        <v>0.78207552406750647</v>
      </c>
      <c r="M54">
        <v>-0.78175945062881358</v>
      </c>
      <c r="N54">
        <v>45.062143916177597</v>
      </c>
      <c r="O54">
        <v>45.062138231389703</v>
      </c>
      <c r="P54">
        <v>45.0621256502222</v>
      </c>
      <c r="Q54" t="s">
        <v>51</v>
      </c>
    </row>
    <row r="55" spans="1:17" x14ac:dyDescent="0.2">
      <c r="A55">
        <v>54</v>
      </c>
      <c r="B55">
        <v>749</v>
      </c>
      <c r="C55">
        <v>225</v>
      </c>
      <c r="D55">
        <v>0.350448075135744</v>
      </c>
      <c r="E55">
        <v>109.586221418165</v>
      </c>
      <c r="F55">
        <v>1.9001596961790801</v>
      </c>
      <c r="G55">
        <v>-1811.6891756906059</v>
      </c>
      <c r="H55">
        <v>-1493.8549364168987</v>
      </c>
      <c r="I55">
        <v>310.94983523279001</v>
      </c>
      <c r="J55">
        <v>160.767271687809</v>
      </c>
      <c r="K55">
        <v>57.672111264398197</v>
      </c>
      <c r="L55">
        <v>0.76866157521034484</v>
      </c>
      <c r="M55">
        <v>-0.76833963615285594</v>
      </c>
      <c r="N55">
        <v>44.314764578877103</v>
      </c>
      <c r="O55">
        <v>44.314758677813202</v>
      </c>
      <c r="P55">
        <v>44.314745859848102</v>
      </c>
      <c r="Q55" t="s">
        <v>51</v>
      </c>
    </row>
    <row r="56" spans="1:17" x14ac:dyDescent="0.2">
      <c r="A56">
        <v>55</v>
      </c>
      <c r="B56">
        <v>748</v>
      </c>
      <c r="C56">
        <v>225</v>
      </c>
      <c r="D56">
        <v>0.34974342652891699</v>
      </c>
      <c r="E56">
        <v>109.586273001176</v>
      </c>
      <c r="F56">
        <v>1.8990461943725601</v>
      </c>
      <c r="G56">
        <v>-1811.3792716858134</v>
      </c>
      <c r="H56">
        <v>-1494.2941727476616</v>
      </c>
      <c r="I56">
        <v>310.52077978141602</v>
      </c>
      <c r="J56">
        <v>160.78634535142299</v>
      </c>
      <c r="K56">
        <v>57.705954350090501</v>
      </c>
      <c r="L56">
        <v>0.75518984373424425</v>
      </c>
      <c r="M56">
        <v>-0.75486202807607528</v>
      </c>
      <c r="N56">
        <v>43.563078278498502</v>
      </c>
      <c r="O56">
        <v>43.563072156865303</v>
      </c>
      <c r="P56">
        <v>43.563059101521802</v>
      </c>
      <c r="Q56" t="s">
        <v>51</v>
      </c>
    </row>
    <row r="57" spans="1:17" x14ac:dyDescent="0.2">
      <c r="A57">
        <v>56</v>
      </c>
      <c r="B57">
        <v>747</v>
      </c>
      <c r="C57">
        <v>225</v>
      </c>
      <c r="D57">
        <v>0.34903739646130499</v>
      </c>
      <c r="E57">
        <v>109.596429285887</v>
      </c>
      <c r="F57">
        <v>1.8756402522693401</v>
      </c>
      <c r="G57">
        <v>-1811.2351043662215</v>
      </c>
      <c r="H57">
        <v>-1499.0684848294081</v>
      </c>
      <c r="I57">
        <v>306.004681747863</v>
      </c>
      <c r="J57">
        <v>160.54181130001001</v>
      </c>
      <c r="K57">
        <v>58.4314764802509</v>
      </c>
      <c r="L57">
        <v>0.53630269869340708</v>
      </c>
      <c r="M57">
        <v>-0.53588884908372991</v>
      </c>
      <c r="N57">
        <v>31.316643891090798</v>
      </c>
      <c r="O57">
        <v>31.316636125177201</v>
      </c>
      <c r="P57">
        <v>31.316619564642899</v>
      </c>
      <c r="Q57" t="s">
        <v>51</v>
      </c>
    </row>
    <row r="58" spans="1:17" x14ac:dyDescent="0.2">
      <c r="A58">
        <v>57</v>
      </c>
      <c r="B58">
        <v>746</v>
      </c>
      <c r="C58">
        <v>225</v>
      </c>
      <c r="D58">
        <v>0.34832998086640898</v>
      </c>
      <c r="E58">
        <v>109.599340514511</v>
      </c>
      <c r="F58">
        <v>1.84195563708351</v>
      </c>
      <c r="G58">
        <v>-1810.9812228283204</v>
      </c>
      <c r="H58">
        <v>-1506.0708415023539</v>
      </c>
      <c r="I58">
        <v>299.18631771276603</v>
      </c>
      <c r="J58">
        <v>160.095599996304</v>
      </c>
      <c r="K58">
        <v>59.501617904352202</v>
      </c>
      <c r="L58">
        <v>0.21210859405196478</v>
      </c>
      <c r="M58">
        <v>-0.21156877910355162</v>
      </c>
      <c r="N58">
        <v>12.5937903432733</v>
      </c>
      <c r="O58">
        <v>12.593780084138</v>
      </c>
      <c r="P58">
        <v>12.5937582433943</v>
      </c>
      <c r="Q58" t="s">
        <v>51</v>
      </c>
    </row>
    <row r="59" spans="1:17" x14ac:dyDescent="0.2">
      <c r="A59">
        <v>58</v>
      </c>
      <c r="B59">
        <v>745</v>
      </c>
      <c r="C59">
        <v>225</v>
      </c>
      <c r="D59">
        <v>0.347621175661739</v>
      </c>
      <c r="E59">
        <v>109.59967863032399</v>
      </c>
      <c r="F59">
        <v>1.8360892183036599</v>
      </c>
      <c r="G59">
        <v>-1810.6883930036702</v>
      </c>
      <c r="H59">
        <v>-1507.6178954609973</v>
      </c>
      <c r="I59">
        <v>297.67334299607001</v>
      </c>
      <c r="J59">
        <v>160.029312388047</v>
      </c>
      <c r="K59">
        <v>59.691913409078303</v>
      </c>
      <c r="L59">
        <v>0.14773756677859609</v>
      </c>
      <c r="M59">
        <v>-0.14717308379583796</v>
      </c>
      <c r="N59">
        <v>8.7903843463683895</v>
      </c>
      <c r="O59">
        <v>8.7903734151113095</v>
      </c>
      <c r="P59">
        <v>8.7903505232906198</v>
      </c>
      <c r="Q59" t="s">
        <v>51</v>
      </c>
    </row>
    <row r="60" spans="1:17" x14ac:dyDescent="0.2">
      <c r="A60">
        <v>59</v>
      </c>
      <c r="B60">
        <v>744</v>
      </c>
      <c r="C60">
        <v>225</v>
      </c>
      <c r="D60">
        <v>0.34691097674876298</v>
      </c>
      <c r="E60">
        <v>109.599724474369</v>
      </c>
      <c r="F60">
        <v>1.8339208016647599</v>
      </c>
      <c r="G60">
        <v>-1810.3918883447964</v>
      </c>
      <c r="H60">
        <v>-1508.4191668377264</v>
      </c>
      <c r="I60">
        <v>296.88684970475498</v>
      </c>
      <c r="J60">
        <v>160.01821837607301</v>
      </c>
      <c r="K60">
        <v>59.762517756971398</v>
      </c>
      <c r="L60">
        <v>0.11810828201756328</v>
      </c>
      <c r="M60">
        <v>-0.11753263174635296</v>
      </c>
      <c r="N60">
        <v>7.0294862002542304</v>
      </c>
      <c r="O60">
        <v>7.0294748447812703</v>
      </c>
      <c r="P60">
        <v>7.0294514789633498</v>
      </c>
      <c r="Q60" t="s">
        <v>51</v>
      </c>
    </row>
    <row r="61" spans="1:17" x14ac:dyDescent="0.2">
      <c r="A61">
        <v>60</v>
      </c>
      <c r="B61">
        <v>743</v>
      </c>
      <c r="C61">
        <v>225</v>
      </c>
      <c r="D61">
        <v>0.34619938001279399</v>
      </c>
      <c r="E61">
        <v>109.599697028287</v>
      </c>
      <c r="F61">
        <v>1.8330352688127201</v>
      </c>
      <c r="G61">
        <v>-1810.0948342759154</v>
      </c>
      <c r="H61">
        <v>-1508.9597896038513</v>
      </c>
      <c r="I61">
        <v>296.354725220918</v>
      </c>
      <c r="J61">
        <v>160.02749812043399</v>
      </c>
      <c r="K61">
        <v>59.7913738448011</v>
      </c>
      <c r="L61">
        <v>0.10056731059747576</v>
      </c>
      <c r="M61">
        <v>-9.9985185724546982E-2</v>
      </c>
      <c r="N61">
        <v>5.9837428092029104</v>
      </c>
      <c r="O61">
        <v>5.9837311160571298</v>
      </c>
      <c r="P61">
        <v>5.9837074781496602</v>
      </c>
      <c r="Q61" t="s">
        <v>51</v>
      </c>
    </row>
    <row r="62" spans="1:17" x14ac:dyDescent="0.2">
      <c r="A62">
        <v>61</v>
      </c>
      <c r="B62">
        <v>742</v>
      </c>
      <c r="C62">
        <v>225</v>
      </c>
      <c r="D62">
        <v>0.345486381322956</v>
      </c>
      <c r="E62">
        <v>109.599643834792</v>
      </c>
      <c r="F62">
        <v>1.8327557940643</v>
      </c>
      <c r="G62">
        <v>-1809.797827365727</v>
      </c>
      <c r="H62">
        <v>-1509.3768122259767</v>
      </c>
      <c r="I62">
        <v>295.94333132091498</v>
      </c>
      <c r="J62">
        <v>160.04707919545299</v>
      </c>
      <c r="K62">
        <v>59.800462336416999</v>
      </c>
      <c r="L62">
        <v>8.8747753464689716E-2</v>
      </c>
      <c r="M62">
        <v>-8.8161374521685626E-2</v>
      </c>
      <c r="N62">
        <v>5.2776104208522803</v>
      </c>
      <c r="O62">
        <v>5.2775984310820903</v>
      </c>
      <c r="P62">
        <v>5.2775746170146203</v>
      </c>
      <c r="Q62" t="s">
        <v>51</v>
      </c>
    </row>
    <row r="63" spans="1:17" x14ac:dyDescent="0.2">
      <c r="A63">
        <v>62</v>
      </c>
      <c r="B63">
        <v>741</v>
      </c>
      <c r="C63">
        <v>225</v>
      </c>
      <c r="D63">
        <v>0.34477197653207198</v>
      </c>
      <c r="E63">
        <v>109.59957993373899</v>
      </c>
      <c r="F63">
        <v>1.8328151430440001</v>
      </c>
      <c r="G63">
        <v>-1809.5010213587952</v>
      </c>
      <c r="H63">
        <v>-1509.7245868383807</v>
      </c>
      <c r="I63">
        <v>295.59959310664698</v>
      </c>
      <c r="J63">
        <v>160.07291168398999</v>
      </c>
      <c r="K63">
        <v>59.798491053337898</v>
      </c>
      <c r="L63">
        <v>8.0130796539505125E-2</v>
      </c>
      <c r="M63">
        <v>-7.9541406975964027E-2</v>
      </c>
      <c r="N63">
        <v>4.7619911184038397</v>
      </c>
      <c r="O63">
        <v>4.7619788550750801</v>
      </c>
      <c r="P63">
        <v>4.7619549187487404</v>
      </c>
      <c r="Q63" t="s">
        <v>51</v>
      </c>
    </row>
    <row r="64" spans="1:17" x14ac:dyDescent="0.2">
      <c r="A64">
        <v>63</v>
      </c>
      <c r="B64">
        <v>760</v>
      </c>
      <c r="C64">
        <v>200</v>
      </c>
      <c r="D64">
        <v>0.38472680636887402</v>
      </c>
      <c r="E64">
        <v>109.58601008896601</v>
      </c>
      <c r="F64">
        <v>1.85222814928181</v>
      </c>
      <c r="G64">
        <v>-1816.5852982681954</v>
      </c>
      <c r="H64">
        <v>-1491.8590362009509</v>
      </c>
      <c r="I64">
        <v>314.31000138457898</v>
      </c>
      <c r="J64">
        <v>161.49950344125401</v>
      </c>
      <c r="K64">
        <v>59.164423201028399</v>
      </c>
      <c r="L64">
        <v>0.79807369567430719</v>
      </c>
      <c r="M64">
        <v>-0.79769526708173921</v>
      </c>
      <c r="N64">
        <v>47.1992767951592</v>
      </c>
      <c r="O64">
        <v>47.199275389006303</v>
      </c>
      <c r="P64">
        <v>47.1992576874934</v>
      </c>
      <c r="Q64" t="s">
        <v>51</v>
      </c>
    </row>
    <row r="65" spans="1:17" x14ac:dyDescent="0.2">
      <c r="A65">
        <v>64</v>
      </c>
      <c r="B65">
        <v>759</v>
      </c>
      <c r="C65">
        <v>200</v>
      </c>
      <c r="D65">
        <v>0.38406287845759102</v>
      </c>
      <c r="E65">
        <v>109.586050474641</v>
      </c>
      <c r="F65">
        <v>1.8527841105129299</v>
      </c>
      <c r="G65">
        <v>-1816.2717198528635</v>
      </c>
      <c r="H65">
        <v>-1492.0398896030349</v>
      </c>
      <c r="I65">
        <v>314.13549463388</v>
      </c>
      <c r="J65">
        <v>161.49979743716301</v>
      </c>
      <c r="K65">
        <v>59.146691647902003</v>
      </c>
      <c r="L65">
        <v>0.79742213094139802</v>
      </c>
      <c r="M65">
        <v>-0.79704332676053025</v>
      </c>
      <c r="N65">
        <v>47.146565971923401</v>
      </c>
      <c r="O65">
        <v>47.146564410813802</v>
      </c>
      <c r="P65">
        <v>47.146546687187701</v>
      </c>
      <c r="Q65" t="s">
        <v>51</v>
      </c>
    </row>
    <row r="66" spans="1:17" x14ac:dyDescent="0.2">
      <c r="A66">
        <v>65</v>
      </c>
      <c r="B66">
        <v>758</v>
      </c>
      <c r="C66">
        <v>200</v>
      </c>
      <c r="D66">
        <v>0.383397662803666</v>
      </c>
      <c r="E66">
        <v>109.586087485045</v>
      </c>
      <c r="F66">
        <v>1.8526979889975099</v>
      </c>
      <c r="G66">
        <v>-1815.9582918328499</v>
      </c>
      <c r="H66">
        <v>-1492.2921964954865</v>
      </c>
      <c r="I66">
        <v>313.89151510712497</v>
      </c>
      <c r="J66">
        <v>161.49279297208301</v>
      </c>
      <c r="K66">
        <v>59.149461021621697</v>
      </c>
      <c r="L66">
        <v>0.79343220226470912</v>
      </c>
      <c r="M66">
        <v>-0.79305124503205937</v>
      </c>
      <c r="N66">
        <v>46.9126575871162</v>
      </c>
      <c r="O66">
        <v>46.9126558650715</v>
      </c>
      <c r="P66">
        <v>46.912638032921897</v>
      </c>
      <c r="Q66" t="s">
        <v>51</v>
      </c>
    </row>
    <row r="67" spans="1:17" x14ac:dyDescent="0.2">
      <c r="A67">
        <v>66</v>
      </c>
      <c r="B67">
        <v>757</v>
      </c>
      <c r="C67">
        <v>200</v>
      </c>
      <c r="D67">
        <v>0.38273115565694399</v>
      </c>
      <c r="E67">
        <v>109.586139199553</v>
      </c>
      <c r="F67">
        <v>1.8515671759708501</v>
      </c>
      <c r="G67">
        <v>-1815.6454452590808</v>
      </c>
      <c r="H67">
        <v>-1492.7255272796926</v>
      </c>
      <c r="I67">
        <v>313.47193483876202</v>
      </c>
      <c r="J67">
        <v>161.497344269362</v>
      </c>
      <c r="K67">
        <v>59.185613474754199</v>
      </c>
      <c r="L67">
        <v>0.78053242178869353</v>
      </c>
      <c r="M67">
        <v>-0.78014516133812428</v>
      </c>
      <c r="N67">
        <v>46.177534037004897</v>
      </c>
      <c r="O67">
        <v>46.177532136085702</v>
      </c>
      <c r="P67">
        <v>46.177513995294802</v>
      </c>
      <c r="Q67" t="s">
        <v>51</v>
      </c>
    </row>
    <row r="68" spans="1:17" x14ac:dyDescent="0.2">
      <c r="A68">
        <v>67</v>
      </c>
      <c r="B68">
        <v>756</v>
      </c>
      <c r="C68">
        <v>200</v>
      </c>
      <c r="D68">
        <v>0.38206335325268598</v>
      </c>
      <c r="E68">
        <v>109.586190640144</v>
      </c>
      <c r="F68">
        <v>1.8504533821531799</v>
      </c>
      <c r="G68">
        <v>-1815.3330133375307</v>
      </c>
      <c r="H68">
        <v>-1493.1578177425135</v>
      </c>
      <c r="I68">
        <v>313.05295283483298</v>
      </c>
      <c r="J68">
        <v>161.50393014119001</v>
      </c>
      <c r="K68">
        <v>59.221265283986497</v>
      </c>
      <c r="L68">
        <v>0.76767658612090117</v>
      </c>
      <c r="M68">
        <v>-0.76728305242801109</v>
      </c>
      <c r="N68">
        <v>45.443696847776003</v>
      </c>
      <c r="O68">
        <v>45.4436947624204</v>
      </c>
      <c r="P68">
        <v>45.4436763139812</v>
      </c>
      <c r="Q68" t="s">
        <v>51</v>
      </c>
    </row>
    <row r="69" spans="1:17" x14ac:dyDescent="0.2">
      <c r="A69">
        <v>68</v>
      </c>
      <c r="B69">
        <v>755</v>
      </c>
      <c r="C69">
        <v>200</v>
      </c>
      <c r="D69">
        <v>0.38139425181150599</v>
      </c>
      <c r="E69">
        <v>109.58624177600301</v>
      </c>
      <c r="F69">
        <v>1.8493539923239599</v>
      </c>
      <c r="G69">
        <v>-1815.0209951660288</v>
      </c>
      <c r="H69">
        <v>-1493.589491694803</v>
      </c>
      <c r="I69">
        <v>312.63415783464802</v>
      </c>
      <c r="J69">
        <v>161.51251892622099</v>
      </c>
      <c r="K69">
        <v>59.256498339883997</v>
      </c>
      <c r="L69">
        <v>0.7548409831253915</v>
      </c>
      <c r="M69">
        <v>-0.75444119653883701</v>
      </c>
      <c r="N69">
        <v>44.709826262650999</v>
      </c>
      <c r="O69">
        <v>44.709823987266702</v>
      </c>
      <c r="P69">
        <v>44.709805231727998</v>
      </c>
      <c r="Q69" t="s">
        <v>51</v>
      </c>
    </row>
    <row r="70" spans="1:17" x14ac:dyDescent="0.2">
      <c r="A70">
        <v>69</v>
      </c>
      <c r="B70">
        <v>754</v>
      </c>
      <c r="C70">
        <v>200</v>
      </c>
      <c r="D70">
        <v>0.38072384753930699</v>
      </c>
      <c r="E70">
        <v>109.586292567461</v>
      </c>
      <c r="F70">
        <v>1.8482657872738</v>
      </c>
      <c r="G70">
        <v>-1814.7093901560622</v>
      </c>
      <c r="H70">
        <v>-1494.0210728946104</v>
      </c>
      <c r="I70">
        <v>312.215039995697</v>
      </c>
      <c r="J70">
        <v>161.523077727139</v>
      </c>
      <c r="K70">
        <v>59.291414320394701</v>
      </c>
      <c r="L70">
        <v>0.74199641122673732</v>
      </c>
      <c r="M70">
        <v>-0.74159038015523016</v>
      </c>
      <c r="N70">
        <v>43.974283982982499</v>
      </c>
      <c r="O70">
        <v>43.974281511923799</v>
      </c>
      <c r="P70">
        <v>43.974262449275599</v>
      </c>
      <c r="Q70" t="s">
        <v>51</v>
      </c>
    </row>
    <row r="71" spans="1:17" x14ac:dyDescent="0.2">
      <c r="A71">
        <v>70</v>
      </c>
      <c r="B71">
        <v>753</v>
      </c>
      <c r="C71">
        <v>200</v>
      </c>
      <c r="D71">
        <v>0.380052136627202</v>
      </c>
      <c r="E71">
        <v>109.58634296199899</v>
      </c>
      <c r="F71">
        <v>1.84718466190094</v>
      </c>
      <c r="G71">
        <v>-1814.3981980870794</v>
      </c>
      <c r="H71">
        <v>-1494.4532304873205</v>
      </c>
      <c r="I71">
        <v>311.79494619299697</v>
      </c>
      <c r="J71">
        <v>161.53557137377601</v>
      </c>
      <c r="K71">
        <v>59.326143845966797</v>
      </c>
      <c r="L71">
        <v>0.72910570438853939</v>
      </c>
      <c r="M71">
        <v>-0.72869342193155529</v>
      </c>
      <c r="N71">
        <v>43.234970824535303</v>
      </c>
      <c r="O71">
        <v>43.234968152069797</v>
      </c>
      <c r="P71">
        <v>43.2349487815776</v>
      </c>
      <c r="Q71" t="s">
        <v>51</v>
      </c>
    </row>
    <row r="72" spans="1:17" x14ac:dyDescent="0.2">
      <c r="A72">
        <v>71</v>
      </c>
      <c r="B72">
        <v>752</v>
      </c>
      <c r="C72">
        <v>200</v>
      </c>
      <c r="D72">
        <v>0.37937911525142798</v>
      </c>
      <c r="E72">
        <v>109.589304216757</v>
      </c>
      <c r="F72">
        <v>1.8450298741469799</v>
      </c>
      <c r="G72">
        <v>-1814.1350016534477</v>
      </c>
      <c r="H72">
        <v>-1495.1028778880757</v>
      </c>
      <c r="I72">
        <v>311.20872632797898</v>
      </c>
      <c r="J72">
        <v>161.52496411280401</v>
      </c>
      <c r="K72">
        <v>59.397035111653302</v>
      </c>
      <c r="L72">
        <v>0.7091769105961061</v>
      </c>
      <c r="M72">
        <v>-0.70875491213774844</v>
      </c>
      <c r="N72">
        <v>42.102437790134402</v>
      </c>
      <c r="O72">
        <v>42.1024348909163</v>
      </c>
      <c r="P72">
        <v>42.102415041698499</v>
      </c>
      <c r="Q72" t="s">
        <v>51</v>
      </c>
    </row>
    <row r="73" spans="1:17" x14ac:dyDescent="0.2">
      <c r="A73">
        <v>72</v>
      </c>
      <c r="B73">
        <v>751</v>
      </c>
      <c r="C73">
        <v>200</v>
      </c>
      <c r="D73">
        <v>0.378704779573308</v>
      </c>
      <c r="E73">
        <v>109.59932179224499</v>
      </c>
      <c r="F73">
        <v>1.7998816690686801</v>
      </c>
      <c r="G73">
        <v>-1813.9905212098502</v>
      </c>
      <c r="H73">
        <v>-1503.6463068351768</v>
      </c>
      <c r="I73">
        <v>303.03101134641997</v>
      </c>
      <c r="J73">
        <v>160.743556489805</v>
      </c>
      <c r="K73">
        <v>60.892515144595798</v>
      </c>
      <c r="L73">
        <v>0.31382173112603101</v>
      </c>
      <c r="M73">
        <v>-0.31322927552168328</v>
      </c>
      <c r="N73">
        <v>19.079741076799799</v>
      </c>
      <c r="O73">
        <v>19.079736919380402</v>
      </c>
      <c r="P73">
        <v>19.07970861347</v>
      </c>
      <c r="Q73" t="s">
        <v>51</v>
      </c>
    </row>
    <row r="74" spans="1:17" x14ac:dyDescent="0.2">
      <c r="A74">
        <v>73</v>
      </c>
      <c r="B74">
        <v>750</v>
      </c>
      <c r="C74">
        <v>200</v>
      </c>
      <c r="D74">
        <v>0.37802912573913899</v>
      </c>
      <c r="E74">
        <v>109.60039215897901</v>
      </c>
      <c r="F74">
        <v>1.7856666837631401</v>
      </c>
      <c r="G74">
        <v>-1813.7066854878706</v>
      </c>
      <c r="H74">
        <v>-1506.6980803875028</v>
      </c>
      <c r="I74">
        <v>300.067553744919</v>
      </c>
      <c r="J74">
        <v>160.46887966329101</v>
      </c>
      <c r="K74">
        <v>61.377855764215802</v>
      </c>
      <c r="L74">
        <v>0.18069655823645214</v>
      </c>
      <c r="M74">
        <v>-0.18004719821136383</v>
      </c>
      <c r="N74">
        <v>11.0579821009838</v>
      </c>
      <c r="O74">
        <v>11.057977296886101</v>
      </c>
      <c r="P74">
        <v>11.0579460751082</v>
      </c>
      <c r="Q74" t="s">
        <v>51</v>
      </c>
    </row>
    <row r="75" spans="1:17" x14ac:dyDescent="0.2">
      <c r="A75">
        <v>74</v>
      </c>
      <c r="B75">
        <v>749</v>
      </c>
      <c r="C75">
        <v>200</v>
      </c>
      <c r="D75">
        <v>0.37735214988015597</v>
      </c>
      <c r="E75">
        <v>109.60054042325</v>
      </c>
      <c r="F75">
        <v>1.78148106834335</v>
      </c>
      <c r="G75">
        <v>-1813.4096612477417</v>
      </c>
      <c r="H75">
        <v>-1507.8681098733973</v>
      </c>
      <c r="I75">
        <v>298.92603228875601</v>
      </c>
      <c r="J75">
        <v>160.395257862721</v>
      </c>
      <c r="K75">
        <v>61.522147145336</v>
      </c>
      <c r="L75">
        <v>0.13465450375485619</v>
      </c>
      <c r="M75">
        <v>-0.133985678680447</v>
      </c>
      <c r="N75">
        <v>8.2503677447980905</v>
      </c>
      <c r="O75">
        <v>8.2503625216537095</v>
      </c>
      <c r="P75">
        <v>8.2503302921281794</v>
      </c>
      <c r="Q75" t="s">
        <v>51</v>
      </c>
    </row>
    <row r="76" spans="1:17" x14ac:dyDescent="0.2">
      <c r="A76">
        <v>75</v>
      </c>
      <c r="B76">
        <v>748</v>
      </c>
      <c r="C76">
        <v>200</v>
      </c>
      <c r="D76">
        <v>0.37667384811242399</v>
      </c>
      <c r="E76">
        <v>109.60053425653</v>
      </c>
      <c r="F76">
        <v>1.77982172525572</v>
      </c>
      <c r="G76">
        <v>-1813.110993323379</v>
      </c>
      <c r="H76">
        <v>-1508.5562813135525</v>
      </c>
      <c r="I76">
        <v>298.252458950429</v>
      </c>
      <c r="J76">
        <v>160.375570953351</v>
      </c>
      <c r="K76">
        <v>61.579501306954398</v>
      </c>
      <c r="L76">
        <v>0.11067735373514768</v>
      </c>
      <c r="M76">
        <v>-0.10999852596253848</v>
      </c>
      <c r="N76">
        <v>6.7810332290502</v>
      </c>
      <c r="O76">
        <v>6.7810276441724904</v>
      </c>
      <c r="P76">
        <v>6.78099489530074</v>
      </c>
      <c r="Q76" t="s">
        <v>51</v>
      </c>
    </row>
    <row r="77" spans="1:17" x14ac:dyDescent="0.2">
      <c r="A77">
        <v>76</v>
      </c>
      <c r="B77">
        <v>747</v>
      </c>
      <c r="C77">
        <v>200</v>
      </c>
      <c r="D77">
        <v>0.375994216536785</v>
      </c>
      <c r="E77">
        <v>109.60048476587799</v>
      </c>
      <c r="F77">
        <v>1.77918343135568</v>
      </c>
      <c r="G77">
        <v>-1812.8121875642858</v>
      </c>
      <c r="H77">
        <v>-1509.0484240285455</v>
      </c>
      <c r="I77">
        <v>297.769552407687</v>
      </c>
      <c r="J77">
        <v>160.378703985497</v>
      </c>
      <c r="K77">
        <v>61.601565546485297</v>
      </c>
      <c r="L77">
        <v>9.5643431943674986E-2</v>
      </c>
      <c r="M77">
        <v>-9.4958433345603249E-2</v>
      </c>
      <c r="N77">
        <v>5.8570190919395202</v>
      </c>
      <c r="O77">
        <v>5.8570131678683399</v>
      </c>
      <c r="P77">
        <v>5.85698009852754</v>
      </c>
      <c r="Q77" t="s">
        <v>51</v>
      </c>
    </row>
    <row r="78" spans="1:17" x14ac:dyDescent="0.2">
      <c r="A78">
        <v>77</v>
      </c>
      <c r="B78">
        <v>746</v>
      </c>
      <c r="C78">
        <v>200</v>
      </c>
      <c r="D78">
        <v>0.37531325123877901</v>
      </c>
      <c r="E78">
        <v>109.600420084384</v>
      </c>
      <c r="F78">
        <v>1.7790656730959</v>
      </c>
      <c r="G78">
        <v>-1812.5135644217505</v>
      </c>
      <c r="H78">
        <v>-1509.4403016785382</v>
      </c>
      <c r="I78">
        <v>297.38424088370999</v>
      </c>
      <c r="J78">
        <v>160.39404216215701</v>
      </c>
      <c r="K78">
        <v>61.605606662995797</v>
      </c>
      <c r="L78">
        <v>8.5175807307104417E-2</v>
      </c>
      <c r="M78">
        <v>-8.4486594509403948E-2</v>
      </c>
      <c r="N78">
        <v>5.2123075471962199</v>
      </c>
      <c r="O78">
        <v>5.2123012948969798</v>
      </c>
      <c r="P78">
        <v>5.2122680070122298</v>
      </c>
      <c r="Q78" t="s">
        <v>51</v>
      </c>
    </row>
    <row r="79" spans="1:17" x14ac:dyDescent="0.2">
      <c r="A79">
        <v>78</v>
      </c>
      <c r="B79">
        <v>745</v>
      </c>
      <c r="C79">
        <v>200</v>
      </c>
      <c r="D79">
        <v>0.37463094828856203</v>
      </c>
      <c r="E79">
        <v>109.60034959095999</v>
      </c>
      <c r="F79">
        <v>1.77925255671575</v>
      </c>
      <c r="G79">
        <v>-1812.2152014416122</v>
      </c>
      <c r="H79">
        <v>-1509.7734080432394</v>
      </c>
      <c r="I79">
        <v>297.05614129276597</v>
      </c>
      <c r="J79">
        <v>160.41693569502101</v>
      </c>
      <c r="K79">
        <v>61.599096304386798</v>
      </c>
      <c r="L79">
        <v>7.7382465360906913E-2</v>
      </c>
      <c r="M79">
        <v>-7.6690185264333258E-2</v>
      </c>
      <c r="N79">
        <v>4.7315207273033302</v>
      </c>
      <c r="O79">
        <v>4.73151415278193</v>
      </c>
      <c r="P79">
        <v>4.7314807062844304</v>
      </c>
      <c r="Q79" t="s">
        <v>51</v>
      </c>
    </row>
    <row r="80" spans="1:17" x14ac:dyDescent="0.2">
      <c r="A80">
        <v>79</v>
      </c>
      <c r="B80">
        <v>769</v>
      </c>
      <c r="C80">
        <v>175</v>
      </c>
      <c r="D80">
        <v>0.41703257688433099</v>
      </c>
      <c r="E80">
        <v>109.585960828674</v>
      </c>
      <c r="F80">
        <v>1.7858415186115899</v>
      </c>
      <c r="G80">
        <v>-1820.927673324017</v>
      </c>
      <c r="H80">
        <v>-1491.2154865681646</v>
      </c>
      <c r="I80">
        <v>316.38010415575502</v>
      </c>
      <c r="J80">
        <v>162.18944834369401</v>
      </c>
      <c r="K80">
        <v>61.363765869813598</v>
      </c>
      <c r="L80">
        <v>0.76689336259559437</v>
      </c>
      <c r="M80">
        <v>-0.76640719204260077</v>
      </c>
      <c r="N80">
        <v>47.035909193431699</v>
      </c>
      <c r="O80">
        <v>47.035917399872297</v>
      </c>
      <c r="P80">
        <v>47.035890523026403</v>
      </c>
      <c r="Q80" t="s">
        <v>51</v>
      </c>
    </row>
    <row r="81" spans="1:17" x14ac:dyDescent="0.2">
      <c r="A81">
        <v>80</v>
      </c>
      <c r="B81">
        <v>768</v>
      </c>
      <c r="C81">
        <v>175</v>
      </c>
      <c r="D81">
        <v>0.416405417086878</v>
      </c>
      <c r="E81">
        <v>109.585997802996</v>
      </c>
      <c r="F81">
        <v>1.7862902928688</v>
      </c>
      <c r="G81">
        <v>-1820.6119776488335</v>
      </c>
      <c r="H81">
        <v>-1491.415098948281</v>
      </c>
      <c r="I81">
        <v>316.18904606117297</v>
      </c>
      <c r="J81">
        <v>162.188299535955</v>
      </c>
      <c r="K81">
        <v>61.348369993658501</v>
      </c>
      <c r="L81">
        <v>0.76552549168444728</v>
      </c>
      <c r="M81">
        <v>-0.76503833082428707</v>
      </c>
      <c r="N81">
        <v>46.940129305110801</v>
      </c>
      <c r="O81">
        <v>46.940137344925802</v>
      </c>
      <c r="P81">
        <v>46.940110397836399</v>
      </c>
      <c r="Q81" t="s">
        <v>51</v>
      </c>
    </row>
    <row r="82" spans="1:17" x14ac:dyDescent="0.2">
      <c r="A82">
        <v>81</v>
      </c>
      <c r="B82">
        <v>767</v>
      </c>
      <c r="C82">
        <v>175</v>
      </c>
      <c r="D82">
        <v>0.41577705138682203</v>
      </c>
      <c r="E82">
        <v>109.586031733165</v>
      </c>
      <c r="F82">
        <v>1.7864496213757499</v>
      </c>
      <c r="G82">
        <v>-1820.2964434380019</v>
      </c>
      <c r="H82">
        <v>-1491.6409666194852</v>
      </c>
      <c r="I82">
        <v>315.97253919227597</v>
      </c>
      <c r="J82">
        <v>162.18058795444199</v>
      </c>
      <c r="K82">
        <v>61.3429174950777</v>
      </c>
      <c r="L82">
        <v>0.76299624745478345</v>
      </c>
      <c r="M82">
        <v>-0.76250736751257331</v>
      </c>
      <c r="N82">
        <v>46.780708362891303</v>
      </c>
      <c r="O82">
        <v>46.780716247357397</v>
      </c>
      <c r="P82">
        <v>46.780689186639698</v>
      </c>
      <c r="Q82" t="s">
        <v>51</v>
      </c>
    </row>
    <row r="83" spans="1:17" x14ac:dyDescent="0.2">
      <c r="A83">
        <v>82</v>
      </c>
      <c r="B83">
        <v>766</v>
      </c>
      <c r="C83">
        <v>175</v>
      </c>
      <c r="D83">
        <v>0.41514747630275201</v>
      </c>
      <c r="E83">
        <v>109.586065719559</v>
      </c>
      <c r="F83">
        <v>1.7866122895822101</v>
      </c>
      <c r="G83">
        <v>-1819.9811266738875</v>
      </c>
      <c r="H83">
        <v>-1491.8667846272544</v>
      </c>
      <c r="I83">
        <v>315.75587268862699</v>
      </c>
      <c r="J83">
        <v>162.17352515278</v>
      </c>
      <c r="K83">
        <v>61.337351342850603</v>
      </c>
      <c r="L83">
        <v>0.7604648248283904</v>
      </c>
      <c r="M83">
        <v>-0.75997422719512209</v>
      </c>
      <c r="N83">
        <v>46.621094983908698</v>
      </c>
      <c r="O83">
        <v>46.621102709915299</v>
      </c>
      <c r="P83">
        <v>46.621075535503998</v>
      </c>
      <c r="Q83" t="s">
        <v>51</v>
      </c>
    </row>
    <row r="84" spans="1:17" x14ac:dyDescent="0.2">
      <c r="A84">
        <v>83</v>
      </c>
      <c r="B84">
        <v>765</v>
      </c>
      <c r="C84">
        <v>175</v>
      </c>
      <c r="D84">
        <v>0.41451668833983701</v>
      </c>
      <c r="E84">
        <v>109.58609976354001</v>
      </c>
      <c r="F84">
        <v>1.7867784631975301</v>
      </c>
      <c r="G84">
        <v>-1819.666027532767</v>
      </c>
      <c r="H84">
        <v>-1492.0925414626383</v>
      </c>
      <c r="I84">
        <v>315.539057341724</v>
      </c>
      <c r="J84">
        <v>162.16711791607301</v>
      </c>
      <c r="K84">
        <v>61.331665911973403</v>
      </c>
      <c r="L84">
        <v>0.757931780693886</v>
      </c>
      <c r="M84">
        <v>-0.75743946724266953</v>
      </c>
      <c r="N84">
        <v>46.461319985676298</v>
      </c>
      <c r="O84">
        <v>46.461327550083098</v>
      </c>
      <c r="P84">
        <v>46.461300261944601</v>
      </c>
      <c r="Q84" t="s">
        <v>51</v>
      </c>
    </row>
    <row r="85" spans="1:17" x14ac:dyDescent="0.2">
      <c r="A85">
        <v>84</v>
      </c>
      <c r="B85">
        <v>764</v>
      </c>
      <c r="C85">
        <v>175</v>
      </c>
      <c r="D85">
        <v>0.41388468398978101</v>
      </c>
      <c r="E85">
        <v>109.58613386657601</v>
      </c>
      <c r="F85">
        <v>1.7869483060692499</v>
      </c>
      <c r="G85">
        <v>-1819.3511461817877</v>
      </c>
      <c r="H85">
        <v>-1492.3182256313678</v>
      </c>
      <c r="I85">
        <v>315.32210396172599</v>
      </c>
      <c r="J85">
        <v>162.161373121862</v>
      </c>
      <c r="K85">
        <v>61.325855646956299</v>
      </c>
      <c r="L85">
        <v>0.75539767062628871</v>
      </c>
      <c r="M85">
        <v>-0.75490364371229934</v>
      </c>
      <c r="N85">
        <v>46.301414203310898</v>
      </c>
      <c r="O85">
        <v>46.301421602949503</v>
      </c>
      <c r="P85">
        <v>46.3013942010815</v>
      </c>
      <c r="Q85" t="s">
        <v>51</v>
      </c>
    </row>
    <row r="86" spans="1:17" x14ac:dyDescent="0.2">
      <c r="A86">
        <v>85</v>
      </c>
      <c r="B86">
        <v>763</v>
      </c>
      <c r="C86">
        <v>175</v>
      </c>
      <c r="D86">
        <v>0.41325145973073701</v>
      </c>
      <c r="E86">
        <v>109.58617452844</v>
      </c>
      <c r="F86">
        <v>1.78659460516573</v>
      </c>
      <c r="G86">
        <v>-1819.0366042262526</v>
      </c>
      <c r="H86">
        <v>-1492.6241081615278</v>
      </c>
      <c r="I86">
        <v>315.02767332737699</v>
      </c>
      <c r="J86">
        <v>162.15759552424799</v>
      </c>
      <c r="K86">
        <v>61.338019387042003</v>
      </c>
      <c r="L86">
        <v>0.74896215328330618</v>
      </c>
      <c r="M86">
        <v>-0.748464370877022</v>
      </c>
      <c r="N86">
        <v>45.915658580813599</v>
      </c>
      <c r="O86">
        <v>45.915665845915001</v>
      </c>
      <c r="P86">
        <v>45.915638210983403</v>
      </c>
      <c r="Q86" t="s">
        <v>51</v>
      </c>
    </row>
    <row r="87" spans="1:17" x14ac:dyDescent="0.2">
      <c r="A87">
        <v>86</v>
      </c>
      <c r="B87">
        <v>762</v>
      </c>
      <c r="C87">
        <v>175</v>
      </c>
      <c r="D87">
        <v>0.41261701202724399</v>
      </c>
      <c r="E87">
        <v>109.586224651788</v>
      </c>
      <c r="F87">
        <v>1.78547461926414</v>
      </c>
      <c r="G87">
        <v>-1818.7225909593406</v>
      </c>
      <c r="H87">
        <v>-1493.0481392052238</v>
      </c>
      <c r="I87">
        <v>314.61906906570198</v>
      </c>
      <c r="J87">
        <v>162.15727575554499</v>
      </c>
      <c r="K87">
        <v>61.376523345346101</v>
      </c>
      <c r="L87">
        <v>0.73677888955209936</v>
      </c>
      <c r="M87">
        <v>-0.73627434543004933</v>
      </c>
      <c r="N87">
        <v>45.196370549350299</v>
      </c>
      <c r="O87">
        <v>45.196377723250599</v>
      </c>
      <c r="P87">
        <v>45.196349679072497</v>
      </c>
      <c r="Q87" t="s">
        <v>51</v>
      </c>
    </row>
    <row r="88" spans="1:17" x14ac:dyDescent="0.2">
      <c r="A88">
        <v>87</v>
      </c>
      <c r="B88">
        <v>761</v>
      </c>
      <c r="C88">
        <v>175</v>
      </c>
      <c r="D88">
        <v>0.411981337330175</v>
      </c>
      <c r="E88">
        <v>109.586274483132</v>
      </c>
      <c r="F88">
        <v>1.7843726911926301</v>
      </c>
      <c r="G88">
        <v>-1818.4089811575798</v>
      </c>
      <c r="H88">
        <v>-1493.4713221877039</v>
      </c>
      <c r="I88">
        <v>314.21088470862202</v>
      </c>
      <c r="J88">
        <v>162.158812850468</v>
      </c>
      <c r="K88">
        <v>61.414453955741202</v>
      </c>
      <c r="L88">
        <v>0.7246266784277785</v>
      </c>
      <c r="M88">
        <v>-0.72411539838977279</v>
      </c>
      <c r="N88">
        <v>44.4776366043791</v>
      </c>
      <c r="O88">
        <v>44.477643679685798</v>
      </c>
      <c r="P88">
        <v>44.477615226840499</v>
      </c>
      <c r="Q88" t="s">
        <v>51</v>
      </c>
    </row>
    <row r="89" spans="1:17" x14ac:dyDescent="0.2">
      <c r="A89">
        <v>88</v>
      </c>
      <c r="B89">
        <v>760</v>
      </c>
      <c r="C89">
        <v>175</v>
      </c>
      <c r="D89">
        <v>0.41134443207665999</v>
      </c>
      <c r="E89">
        <v>109.586323985888</v>
      </c>
      <c r="F89">
        <v>1.7832855907582299</v>
      </c>
      <c r="G89">
        <v>-1818.095774022649</v>
      </c>
      <c r="H89">
        <v>-1493.8941260417878</v>
      </c>
      <c r="I89">
        <v>313.80266689863498</v>
      </c>
      <c r="J89">
        <v>162.162146935718</v>
      </c>
      <c r="K89">
        <v>61.451920294658898</v>
      </c>
      <c r="L89">
        <v>0.71247957527200456</v>
      </c>
      <c r="M89">
        <v>-0.71196157326713083</v>
      </c>
      <c r="N89">
        <v>43.757963939213901</v>
      </c>
      <c r="O89">
        <v>43.757970908665399</v>
      </c>
      <c r="P89">
        <v>43.7579420470583</v>
      </c>
      <c r="Q89" t="s">
        <v>51</v>
      </c>
    </row>
    <row r="90" spans="1:17" x14ac:dyDescent="0.2">
      <c r="A90">
        <v>89</v>
      </c>
      <c r="B90">
        <v>759</v>
      </c>
      <c r="C90">
        <v>175</v>
      </c>
      <c r="D90">
        <v>0.41070629269001901</v>
      </c>
      <c r="E90">
        <v>109.58637311189401</v>
      </c>
      <c r="F90">
        <v>1.78220926067796</v>
      </c>
      <c r="G90">
        <v>-1817.7829690779881</v>
      </c>
      <c r="H90">
        <v>-1494.3171430736109</v>
      </c>
      <c r="I90">
        <v>313.39384132548099</v>
      </c>
      <c r="J90">
        <v>162.16720984223701</v>
      </c>
      <c r="K90">
        <v>61.489060532772001</v>
      </c>
      <c r="L90">
        <v>0.70030497671732161</v>
      </c>
      <c r="M90">
        <v>-0.69978025168091562</v>
      </c>
      <c r="N90">
        <v>43.0354612773504</v>
      </c>
      <c r="O90">
        <v>43.035468133847402</v>
      </c>
      <c r="P90">
        <v>43.035438862519598</v>
      </c>
      <c r="Q90" t="s">
        <v>51</v>
      </c>
    </row>
    <row r="91" spans="1:17" x14ac:dyDescent="0.2">
      <c r="A91">
        <v>90</v>
      </c>
      <c r="B91">
        <v>758</v>
      </c>
      <c r="C91">
        <v>175</v>
      </c>
      <c r="D91">
        <v>0.41006691557969399</v>
      </c>
      <c r="E91">
        <v>109.586421796409</v>
      </c>
      <c r="F91">
        <v>1.78113842668436</v>
      </c>
      <c r="G91">
        <v>-1817.4705662345064</v>
      </c>
      <c r="H91">
        <v>-1494.7411464314973</v>
      </c>
      <c r="I91">
        <v>312.98365648116697</v>
      </c>
      <c r="J91">
        <v>162.17392074731001</v>
      </c>
      <c r="K91">
        <v>61.526055557853198</v>
      </c>
      <c r="L91">
        <v>0.68806053420572888</v>
      </c>
      <c r="M91">
        <v>-0.6875290654231736</v>
      </c>
      <c r="N91">
        <v>42.307655357763601</v>
      </c>
      <c r="O91">
        <v>42.307662094414397</v>
      </c>
      <c r="P91">
        <v>42.307632411263803</v>
      </c>
      <c r="Q91" t="s">
        <v>51</v>
      </c>
    </row>
    <row r="92" spans="1:17" x14ac:dyDescent="0.2">
      <c r="A92">
        <v>91</v>
      </c>
      <c r="B92">
        <v>757</v>
      </c>
      <c r="C92">
        <v>175</v>
      </c>
      <c r="D92">
        <v>0.40942629714119499</v>
      </c>
      <c r="E92">
        <v>109.591397442063</v>
      </c>
      <c r="F92">
        <v>1.7746046027247999</v>
      </c>
      <c r="G92">
        <v>-1817.2391516607258</v>
      </c>
      <c r="H92">
        <v>-1496.0887873148802</v>
      </c>
      <c r="I92">
        <v>311.754828032435</v>
      </c>
      <c r="J92">
        <v>162.05808663460499</v>
      </c>
      <c r="K92">
        <v>61.755388932155498</v>
      </c>
      <c r="L92">
        <v>0.63644277707532215</v>
      </c>
      <c r="M92">
        <v>-0.63588498581234942</v>
      </c>
      <c r="N92">
        <v>39.276365065468902</v>
      </c>
      <c r="O92">
        <v>39.276371949648201</v>
      </c>
      <c r="P92">
        <v>39.276340692941197</v>
      </c>
      <c r="Q92" t="s">
        <v>51</v>
      </c>
    </row>
    <row r="93" spans="1:17" x14ac:dyDescent="0.2">
      <c r="A93">
        <v>92</v>
      </c>
      <c r="B93">
        <v>756</v>
      </c>
      <c r="C93">
        <v>175</v>
      </c>
      <c r="D93">
        <v>0.40878443375601398</v>
      </c>
      <c r="E93">
        <v>109.600387619023</v>
      </c>
      <c r="F93">
        <v>1.73047154122142</v>
      </c>
      <c r="G93">
        <v>-1817.0776534762676</v>
      </c>
      <c r="H93">
        <v>-1503.7674156054466</v>
      </c>
      <c r="I93">
        <v>304.44091809911703</v>
      </c>
      <c r="J93">
        <v>161.04819656940799</v>
      </c>
      <c r="K93">
        <v>63.335562017774798</v>
      </c>
      <c r="L93">
        <v>0.28941620533686602</v>
      </c>
      <c r="M93">
        <v>-0.28869083729325717</v>
      </c>
      <c r="N93">
        <v>18.293726577584401</v>
      </c>
      <c r="O93">
        <v>18.2937355474131</v>
      </c>
      <c r="P93">
        <v>18.293694101080199</v>
      </c>
      <c r="Q93" t="s">
        <v>51</v>
      </c>
    </row>
    <row r="94" spans="1:17" x14ac:dyDescent="0.2">
      <c r="A94">
        <v>93</v>
      </c>
      <c r="B94">
        <v>755</v>
      </c>
      <c r="C94">
        <v>175</v>
      </c>
      <c r="D94">
        <v>0.40814132179156798</v>
      </c>
      <c r="E94">
        <v>109.601232226492</v>
      </c>
      <c r="F94">
        <v>1.71703873829901</v>
      </c>
      <c r="G94">
        <v>-1816.7884921130328</v>
      </c>
      <c r="H94">
        <v>-1506.4572049102549</v>
      </c>
      <c r="I94">
        <v>301.84004799858798</v>
      </c>
      <c r="J94">
        <v>160.70549037020999</v>
      </c>
      <c r="K94">
        <v>63.831543099061797</v>
      </c>
      <c r="L94">
        <v>0.17554047465845127</v>
      </c>
      <c r="M94">
        <v>-0.17476045890121705</v>
      </c>
      <c r="N94">
        <v>11.1653087447859</v>
      </c>
      <c r="O94">
        <v>11.165318156741099</v>
      </c>
      <c r="P94">
        <v>11.1652732690987</v>
      </c>
      <c r="Q94" t="s">
        <v>51</v>
      </c>
    </row>
    <row r="95" spans="1:17" x14ac:dyDescent="0.2">
      <c r="A95">
        <v>94</v>
      </c>
      <c r="B95">
        <v>754</v>
      </c>
      <c r="C95">
        <v>175</v>
      </c>
      <c r="D95">
        <v>0.40749695760112897</v>
      </c>
      <c r="E95">
        <v>109.601347108108</v>
      </c>
      <c r="F95">
        <v>1.7126873158065701</v>
      </c>
      <c r="G95">
        <v>-1816.4891279777632</v>
      </c>
      <c r="H95">
        <v>-1507.5910487924862</v>
      </c>
      <c r="I95">
        <v>300.73874362431502</v>
      </c>
      <c r="J95">
        <v>160.597065791609</v>
      </c>
      <c r="K95">
        <v>63.993786896525599</v>
      </c>
      <c r="L95">
        <v>0.1321582818235468</v>
      </c>
      <c r="M95">
        <v>-0.13135754248860068</v>
      </c>
      <c r="N95">
        <v>8.4164126164364994</v>
      </c>
      <c r="O95">
        <v>8.4164219672634992</v>
      </c>
      <c r="P95">
        <v>8.4163757533886994</v>
      </c>
      <c r="Q95" t="s">
        <v>51</v>
      </c>
    </row>
    <row r="96" spans="1:17" x14ac:dyDescent="0.2">
      <c r="A96">
        <v>95</v>
      </c>
      <c r="B96">
        <v>753</v>
      </c>
      <c r="C96">
        <v>175</v>
      </c>
      <c r="D96">
        <v>0.40685133752375702</v>
      </c>
      <c r="E96">
        <v>109.60132641910199</v>
      </c>
      <c r="F96">
        <v>1.7109227484588201</v>
      </c>
      <c r="G96">
        <v>-1816.1884058562673</v>
      </c>
      <c r="H96">
        <v>-1508.2737237393751</v>
      </c>
      <c r="I96">
        <v>300.07356702300598</v>
      </c>
      <c r="J96">
        <v>160.559115077374</v>
      </c>
      <c r="K96">
        <v>64.059775064554799</v>
      </c>
      <c r="L96">
        <v>0.10898585821230826</v>
      </c>
      <c r="M96">
        <v>-0.10817409290842338</v>
      </c>
      <c r="N96">
        <v>6.9400816416252002</v>
      </c>
      <c r="O96">
        <v>6.94009078358203</v>
      </c>
      <c r="P96">
        <v>6.9400438559291402</v>
      </c>
      <c r="Q96" t="s">
        <v>51</v>
      </c>
    </row>
    <row r="97" spans="1:17" x14ac:dyDescent="0.2">
      <c r="A97">
        <v>96</v>
      </c>
      <c r="B97">
        <v>752</v>
      </c>
      <c r="C97">
        <v>175</v>
      </c>
      <c r="D97">
        <v>0.406204457884214</v>
      </c>
      <c r="E97">
        <v>109.601268307071</v>
      </c>
      <c r="F97">
        <v>1.7102433624383999</v>
      </c>
      <c r="G97">
        <v>-1815.8876368405986</v>
      </c>
      <c r="H97">
        <v>-1508.7657554761679</v>
      </c>
      <c r="I97">
        <v>299.59298189113298</v>
      </c>
      <c r="J97">
        <v>160.551828748308</v>
      </c>
      <c r="K97">
        <v>64.085188525921694</v>
      </c>
      <c r="L97">
        <v>9.4315977649847449E-2</v>
      </c>
      <c r="M97">
        <v>-9.3497261961446115E-2</v>
      </c>
      <c r="N97">
        <v>6.0023318266055599</v>
      </c>
      <c r="O97">
        <v>6.0023406954105498</v>
      </c>
      <c r="P97">
        <v>6.0022933128110303</v>
      </c>
      <c r="Q97" t="s">
        <v>51</v>
      </c>
    </row>
    <row r="98" spans="1:17" x14ac:dyDescent="0.2">
      <c r="A98">
        <v>97</v>
      </c>
      <c r="B98">
        <v>751</v>
      </c>
      <c r="C98">
        <v>175</v>
      </c>
      <c r="D98">
        <v>0.40555631499292399</v>
      </c>
      <c r="E98">
        <v>109.60119806967499</v>
      </c>
      <c r="F98">
        <v>1.7101262119569101</v>
      </c>
      <c r="G98">
        <v>-1815.587098787121</v>
      </c>
      <c r="H98">
        <v>-1509.1586785482639</v>
      </c>
      <c r="I98">
        <v>299.20843915253897</v>
      </c>
      <c r="J98">
        <v>160.56099459721599</v>
      </c>
      <c r="K98">
        <v>64.089537546037505</v>
      </c>
      <c r="L98">
        <v>8.4056741652669062E-2</v>
      </c>
      <c r="M98">
        <v>-8.3233189789722023E-2</v>
      </c>
      <c r="N98">
        <v>5.3449567120411201</v>
      </c>
      <c r="O98">
        <v>5.3449652727421801</v>
      </c>
      <c r="P98">
        <v>5.3449175699011402</v>
      </c>
      <c r="Q98" t="s">
        <v>51</v>
      </c>
    </row>
    <row r="99" spans="1:17" x14ac:dyDescent="0.2">
      <c r="A99">
        <v>98</v>
      </c>
      <c r="B99">
        <v>750</v>
      </c>
      <c r="C99">
        <v>175</v>
      </c>
      <c r="D99">
        <v>0.40490690514587502</v>
      </c>
      <c r="E99">
        <v>109.601123970598</v>
      </c>
      <c r="F99">
        <v>1.7103409747204901</v>
      </c>
      <c r="G99">
        <v>-1815.286852063593</v>
      </c>
      <c r="H99">
        <v>-1509.4930219497919</v>
      </c>
      <c r="I99">
        <v>298.88067409166098</v>
      </c>
      <c r="J99">
        <v>160.580256287721</v>
      </c>
      <c r="K99">
        <v>64.081446676742004</v>
      </c>
      <c r="L99">
        <v>7.6401550356034173E-2</v>
      </c>
      <c r="M99">
        <v>-7.5574411710632936E-2</v>
      </c>
      <c r="N99">
        <v>4.8535174429583297</v>
      </c>
      <c r="O99">
        <v>4.8535256736206502</v>
      </c>
      <c r="P99">
        <v>4.8534777303194003</v>
      </c>
      <c r="Q99" t="s">
        <v>51</v>
      </c>
    </row>
    <row r="100" spans="1:17" x14ac:dyDescent="0.2">
      <c r="A100">
        <v>99</v>
      </c>
      <c r="B100">
        <v>780</v>
      </c>
      <c r="C100">
        <v>150</v>
      </c>
      <c r="D100">
        <v>0.44996486730285301</v>
      </c>
      <c r="E100">
        <v>109.585844616545</v>
      </c>
      <c r="F100">
        <v>1.6974111113200301</v>
      </c>
      <c r="G100">
        <v>-1825.9912411921405</v>
      </c>
      <c r="H100">
        <v>-1490.1354881068191</v>
      </c>
      <c r="I100">
        <v>318.90929855514798</v>
      </c>
      <c r="J100">
        <v>162.58174900013901</v>
      </c>
      <c r="K100">
        <v>64.560579276121004</v>
      </c>
      <c r="L100">
        <v>0.72602587474398883</v>
      </c>
      <c r="M100">
        <v>-0.7253935233445874</v>
      </c>
      <c r="N100">
        <v>46.841980048636003</v>
      </c>
      <c r="O100">
        <v>46.8420082751392</v>
      </c>
      <c r="P100">
        <v>46.841966503254199</v>
      </c>
      <c r="Q100" t="s">
        <v>51</v>
      </c>
    </row>
    <row r="101" spans="1:17" x14ac:dyDescent="0.2">
      <c r="A101">
        <v>100</v>
      </c>
      <c r="B101">
        <v>779</v>
      </c>
      <c r="C101">
        <v>150</v>
      </c>
      <c r="D101">
        <v>0.44937556432067799</v>
      </c>
      <c r="E101">
        <v>109.585881892323</v>
      </c>
      <c r="F101">
        <v>1.6981325158263001</v>
      </c>
      <c r="G101">
        <v>-1825.6730149329783</v>
      </c>
      <c r="H101">
        <v>-1490.3197509070956</v>
      </c>
      <c r="I101">
        <v>318.73482172610801</v>
      </c>
      <c r="J101">
        <v>162.58793129714999</v>
      </c>
      <c r="K101">
        <v>64.533174455469194</v>
      </c>
      <c r="L101">
        <v>0.72545053010179961</v>
      </c>
      <c r="M101">
        <v>-0.72481740012770457</v>
      </c>
      <c r="N101">
        <v>46.784908145805602</v>
      </c>
      <c r="O101">
        <v>46.784936239655998</v>
      </c>
      <c r="P101">
        <v>46.784894395620498</v>
      </c>
      <c r="Q101" t="s">
        <v>51</v>
      </c>
    </row>
    <row r="102" spans="1:17" x14ac:dyDescent="0.2">
      <c r="A102">
        <v>101</v>
      </c>
      <c r="B102">
        <v>778</v>
      </c>
      <c r="C102">
        <v>150</v>
      </c>
      <c r="D102">
        <v>0.44878514008467002</v>
      </c>
      <c r="E102">
        <v>109.585914466441</v>
      </c>
      <c r="F102">
        <v>1.6983978603279899</v>
      </c>
      <c r="G102">
        <v>-1825.3549115207297</v>
      </c>
      <c r="H102">
        <v>-1490.5430490475169</v>
      </c>
      <c r="I102">
        <v>318.52300088652697</v>
      </c>
      <c r="J102">
        <v>162.580378679989</v>
      </c>
      <c r="K102">
        <v>64.523111472407805</v>
      </c>
      <c r="L102">
        <v>0.72321823339180147</v>
      </c>
      <c r="M102">
        <v>-0.72258317133155348</v>
      </c>
      <c r="N102">
        <v>46.633461996067297</v>
      </c>
      <c r="O102">
        <v>46.6334900124697</v>
      </c>
      <c r="P102">
        <v>46.6334480108222</v>
      </c>
      <c r="Q102" t="s">
        <v>51</v>
      </c>
    </row>
    <row r="103" spans="1:17" x14ac:dyDescent="0.2">
      <c r="A103">
        <v>102</v>
      </c>
      <c r="B103">
        <v>777</v>
      </c>
      <c r="C103">
        <v>150</v>
      </c>
      <c r="D103">
        <v>0.44819359139171</v>
      </c>
      <c r="E103">
        <v>109.585947100176</v>
      </c>
      <c r="F103">
        <v>1.69866693779295</v>
      </c>
      <c r="G103">
        <v>-1825.0370209102384</v>
      </c>
      <c r="H103">
        <v>-1490.7662687037621</v>
      </c>
      <c r="I103">
        <v>318.31105402516403</v>
      </c>
      <c r="J103">
        <v>162.57344119486399</v>
      </c>
      <c r="K103">
        <v>64.512909895426205</v>
      </c>
      <c r="L103">
        <v>0.72098472340436148</v>
      </c>
      <c r="M103">
        <v>-0.72034772898055521</v>
      </c>
      <c r="N103">
        <v>46.481882516971197</v>
      </c>
      <c r="O103">
        <v>46.481910452446002</v>
      </c>
      <c r="P103">
        <v>46.481868292748402</v>
      </c>
      <c r="Q103" t="s">
        <v>51</v>
      </c>
    </row>
    <row r="104" spans="1:17" x14ac:dyDescent="0.2">
      <c r="A104">
        <v>103</v>
      </c>
      <c r="B104">
        <v>776</v>
      </c>
      <c r="C104">
        <v>150</v>
      </c>
      <c r="D104">
        <v>0.447600915026452</v>
      </c>
      <c r="E104">
        <v>109.585979794929</v>
      </c>
      <c r="F104">
        <v>1.69893990142797</v>
      </c>
      <c r="G104">
        <v>-1824.7193432457084</v>
      </c>
      <c r="H104">
        <v>-1490.9894002361268</v>
      </c>
      <c r="I104">
        <v>318.09899010492899</v>
      </c>
      <c r="J104">
        <v>162.56712465318401</v>
      </c>
      <c r="K104">
        <v>64.502564041742005</v>
      </c>
      <c r="L104">
        <v>0.71875045841377572</v>
      </c>
      <c r="M104">
        <v>-0.7181115317890453</v>
      </c>
      <c r="N104">
        <v>46.330196174712498</v>
      </c>
      <c r="O104">
        <v>46.3302240257091</v>
      </c>
      <c r="P104">
        <v>46.3301817075535</v>
      </c>
      <c r="Q104" t="s">
        <v>51</v>
      </c>
    </row>
    <row r="105" spans="1:17" x14ac:dyDescent="0.2">
      <c r="A105">
        <v>104</v>
      </c>
      <c r="B105">
        <v>775</v>
      </c>
      <c r="C105">
        <v>150</v>
      </c>
      <c r="D105">
        <v>0.44700710776129698</v>
      </c>
      <c r="E105">
        <v>109.58601255216099</v>
      </c>
      <c r="F105">
        <v>1.6992169028416699</v>
      </c>
      <c r="G105">
        <v>-1824.4018786633735</v>
      </c>
      <c r="H105">
        <v>-1491.2124340336879</v>
      </c>
      <c r="I105">
        <v>317.88681808787697</v>
      </c>
      <c r="J105">
        <v>162.561434880387</v>
      </c>
      <c r="K105">
        <v>64.492068298576797</v>
      </c>
      <c r="L105">
        <v>0.7165158953966887</v>
      </c>
      <c r="M105">
        <v>-0.71587503717462275</v>
      </c>
      <c r="N105">
        <v>46.178429434653303</v>
      </c>
      <c r="O105">
        <v>46.178457197550699</v>
      </c>
      <c r="P105">
        <v>46.178414720559502</v>
      </c>
      <c r="Q105" t="s">
        <v>51</v>
      </c>
    </row>
    <row r="106" spans="1:17" x14ac:dyDescent="0.2">
      <c r="A106">
        <v>105</v>
      </c>
      <c r="B106">
        <v>774</v>
      </c>
      <c r="C106">
        <v>150</v>
      </c>
      <c r="D106">
        <v>0.44641216635630598</v>
      </c>
      <c r="E106">
        <v>109.586045373339</v>
      </c>
      <c r="F106">
        <v>1.6994980917335401</v>
      </c>
      <c r="G106">
        <v>-1824.084627290559</v>
      </c>
      <c r="H106">
        <v>-1491.4353605377362</v>
      </c>
      <c r="I106">
        <v>317.67454691192398</v>
      </c>
      <c r="J106">
        <v>162.55637772218901</v>
      </c>
      <c r="K106">
        <v>64.481417135077606</v>
      </c>
      <c r="L106">
        <v>0.71428148890128962</v>
      </c>
      <c r="M106">
        <v>-0.71363870012650843</v>
      </c>
      <c r="N106">
        <v>46.026608695517297</v>
      </c>
      <c r="O106">
        <v>46.026636366623897</v>
      </c>
      <c r="P106">
        <v>46.026593730449797</v>
      </c>
      <c r="Q106" t="s">
        <v>51</v>
      </c>
    </row>
    <row r="107" spans="1:17" x14ac:dyDescent="0.2">
      <c r="A107">
        <v>106</v>
      </c>
      <c r="B107">
        <v>773</v>
      </c>
      <c r="C107">
        <v>150</v>
      </c>
      <c r="D107">
        <v>0.44581608755914398</v>
      </c>
      <c r="E107">
        <v>109.586078260017</v>
      </c>
      <c r="F107">
        <v>1.69978361560633</v>
      </c>
      <c r="G107">
        <v>-1823.76758924717</v>
      </c>
      <c r="H107">
        <v>-1491.658170266277</v>
      </c>
      <c r="I107">
        <v>317.46218546875201</v>
      </c>
      <c r="J107">
        <v>162.551959052011</v>
      </c>
      <c r="K107">
        <v>64.470605113420206</v>
      </c>
      <c r="L107">
        <v>0.71204768996368484</v>
      </c>
      <c r="M107">
        <v>-0.71140297212111914</v>
      </c>
      <c r="N107">
        <v>45.8747602259103</v>
      </c>
      <c r="O107">
        <v>45.874787801464002</v>
      </c>
      <c r="P107">
        <v>45.874745005790601</v>
      </c>
      <c r="Q107" t="s">
        <v>51</v>
      </c>
    </row>
    <row r="108" spans="1:17" x14ac:dyDescent="0.2">
      <c r="A108">
        <v>107</v>
      </c>
      <c r="B108">
        <v>772</v>
      </c>
      <c r="C108">
        <v>150</v>
      </c>
      <c r="D108">
        <v>0.44521886810505501</v>
      </c>
      <c r="E108">
        <v>109.58611121375</v>
      </c>
      <c r="F108">
        <v>1.70007361946822</v>
      </c>
      <c r="G108">
        <v>-1823.4507646441718</v>
      </c>
      <c r="H108">
        <v>-1491.8808538369133</v>
      </c>
      <c r="I108">
        <v>317.249742580234</v>
      </c>
      <c r="J108">
        <v>162.548184778738</v>
      </c>
      <c r="K108">
        <v>64.459626900174101</v>
      </c>
      <c r="L108">
        <v>0.70981494497246689</v>
      </c>
      <c r="M108">
        <v>-0.709168299985804</v>
      </c>
      <c r="N108">
        <v>45.722910097563798</v>
      </c>
      <c r="O108">
        <v>45.722937573732899</v>
      </c>
      <c r="P108">
        <v>45.722894618274204</v>
      </c>
      <c r="Q108" t="s">
        <v>51</v>
      </c>
    </row>
    <row r="109" spans="1:17" x14ac:dyDescent="0.2">
      <c r="A109">
        <v>108</v>
      </c>
      <c r="B109">
        <v>771</v>
      </c>
      <c r="C109">
        <v>150</v>
      </c>
      <c r="D109">
        <v>0.44462050471675502</v>
      </c>
      <c r="E109">
        <v>109.58614423613901</v>
      </c>
      <c r="F109">
        <v>1.7003682455639699</v>
      </c>
      <c r="G109">
        <v>-1823.1341535846066</v>
      </c>
      <c r="H109">
        <v>-1492.1034019900478</v>
      </c>
      <c r="I109">
        <v>317.03722697686402</v>
      </c>
      <c r="J109">
        <v>162.54506085601801</v>
      </c>
      <c r="K109">
        <v>64.448477276633696</v>
      </c>
      <c r="L109">
        <v>0.70758369461250936</v>
      </c>
      <c r="M109">
        <v>-0.70693512484186283</v>
      </c>
      <c r="N109">
        <v>45.571084122841199</v>
      </c>
      <c r="O109">
        <v>45.571111495724303</v>
      </c>
      <c r="P109">
        <v>45.5710683802251</v>
      </c>
      <c r="Q109" t="s">
        <v>51</v>
      </c>
    </row>
    <row r="110" spans="1:17" x14ac:dyDescent="0.2">
      <c r="A110">
        <v>109</v>
      </c>
      <c r="B110">
        <v>770</v>
      </c>
      <c r="C110">
        <v>150</v>
      </c>
      <c r="D110">
        <v>0.44402099410439499</v>
      </c>
      <c r="E110">
        <v>109.586177861998</v>
      </c>
      <c r="F110">
        <v>1.7006173470885699</v>
      </c>
      <c r="G110">
        <v>-1822.8177649659847</v>
      </c>
      <c r="H110">
        <v>-1492.3324146701846</v>
      </c>
      <c r="I110">
        <v>316.81832113769298</v>
      </c>
      <c r="J110">
        <v>162.54230939851399</v>
      </c>
      <c r="K110">
        <v>64.439056822281501</v>
      </c>
      <c r="L110">
        <v>0.70503973140989751</v>
      </c>
      <c r="M110">
        <v>-0.70438905316036704</v>
      </c>
      <c r="N110">
        <v>45.400366710997297</v>
      </c>
      <c r="O110">
        <v>45.400393985245898</v>
      </c>
      <c r="P110">
        <v>45.400350696012097</v>
      </c>
      <c r="Q110" t="s">
        <v>51</v>
      </c>
    </row>
    <row r="111" spans="1:17" x14ac:dyDescent="0.2">
      <c r="A111">
        <v>110</v>
      </c>
      <c r="B111">
        <v>769</v>
      </c>
      <c r="C111">
        <v>150</v>
      </c>
      <c r="D111">
        <v>0.44342033296550898</v>
      </c>
      <c r="E111">
        <v>109.586226321456</v>
      </c>
      <c r="F111">
        <v>1.6994715202963999</v>
      </c>
      <c r="G111">
        <v>-1822.5019285819587</v>
      </c>
      <c r="H111">
        <v>-1492.7459159076743</v>
      </c>
      <c r="I111">
        <v>316.422528951191</v>
      </c>
      <c r="J111">
        <v>162.53285012530301</v>
      </c>
      <c r="K111">
        <v>64.482531782788001</v>
      </c>
      <c r="L111">
        <v>0.69370565086969771</v>
      </c>
      <c r="M111">
        <v>-0.69304765729453621</v>
      </c>
      <c r="N111">
        <v>44.699765667180003</v>
      </c>
      <c r="O111">
        <v>44.699793078168597</v>
      </c>
      <c r="P111">
        <v>44.699749238094398</v>
      </c>
      <c r="Q111" t="s">
        <v>51</v>
      </c>
    </row>
    <row r="112" spans="1:17" x14ac:dyDescent="0.2">
      <c r="A112">
        <v>111</v>
      </c>
      <c r="B112">
        <v>768</v>
      </c>
      <c r="C112">
        <v>150</v>
      </c>
      <c r="D112">
        <v>0.442818517984921</v>
      </c>
      <c r="E112">
        <v>109.586274495599</v>
      </c>
      <c r="F112">
        <v>1.6983461934053099</v>
      </c>
      <c r="G112">
        <v>-1822.1864829159051</v>
      </c>
      <c r="H112">
        <v>-1493.1584875418448</v>
      </c>
      <c r="I112">
        <v>316.027244524548</v>
      </c>
      <c r="J112">
        <v>162.52513013257101</v>
      </c>
      <c r="K112">
        <v>64.525286376313204</v>
      </c>
      <c r="L112">
        <v>0.68240500885246702</v>
      </c>
      <c r="M112">
        <v>-0.68173972515914971</v>
      </c>
      <c r="N112">
        <v>43.999845753102903</v>
      </c>
      <c r="O112">
        <v>43.999873292859299</v>
      </c>
      <c r="P112">
        <v>43.999828902171799</v>
      </c>
      <c r="Q112" t="s">
        <v>51</v>
      </c>
    </row>
    <row r="113" spans="1:17" x14ac:dyDescent="0.2">
      <c r="A113">
        <v>112</v>
      </c>
      <c r="B113">
        <v>767</v>
      </c>
      <c r="C113">
        <v>150</v>
      </c>
      <c r="D113">
        <v>0.44221554583473799</v>
      </c>
      <c r="E113">
        <v>109.58632234820701</v>
      </c>
      <c r="F113">
        <v>1.6972378519481699</v>
      </c>
      <c r="G113">
        <v>-1821.8714270746284</v>
      </c>
      <c r="H113">
        <v>-1493.5705744102215</v>
      </c>
      <c r="I113">
        <v>315.63204086981801</v>
      </c>
      <c r="J113">
        <v>162.51906075804899</v>
      </c>
      <c r="K113">
        <v>64.567451298837696</v>
      </c>
      <c r="L113">
        <v>0.67111365521132404</v>
      </c>
      <c r="M113">
        <v>-0.67044109411581909</v>
      </c>
      <c r="N113">
        <v>43.299163415832197</v>
      </c>
      <c r="O113">
        <v>43.299191076834603</v>
      </c>
      <c r="P113">
        <v>43.2991461348699</v>
      </c>
      <c r="Q113" t="s">
        <v>51</v>
      </c>
    </row>
    <row r="114" spans="1:17" x14ac:dyDescent="0.2">
      <c r="A114">
        <v>113</v>
      </c>
      <c r="B114">
        <v>766</v>
      </c>
      <c r="C114">
        <v>150</v>
      </c>
      <c r="D114">
        <v>0.44161141317423203</v>
      </c>
      <c r="E114">
        <v>109.586369831914</v>
      </c>
      <c r="F114">
        <v>1.69614211226923</v>
      </c>
      <c r="G114">
        <v>-1821.556760462963</v>
      </c>
      <c r="H114">
        <v>-1493.9827359018909</v>
      </c>
      <c r="I114">
        <v>315.23637942620502</v>
      </c>
      <c r="J114">
        <v>162.51453772137299</v>
      </c>
      <c r="K114">
        <v>64.609191080870204</v>
      </c>
      <c r="L114">
        <v>0.65980141104684198</v>
      </c>
      <c r="M114">
        <v>-0.6591215695263668</v>
      </c>
      <c r="N114">
        <v>42.5958976836123</v>
      </c>
      <c r="O114">
        <v>42.595925458924199</v>
      </c>
      <c r="P114">
        <v>42.595879963883299</v>
      </c>
      <c r="Q114" t="s">
        <v>51</v>
      </c>
    </row>
    <row r="115" spans="1:17" x14ac:dyDescent="0.2">
      <c r="A115">
        <v>114</v>
      </c>
      <c r="B115">
        <v>765</v>
      </c>
      <c r="C115">
        <v>150</v>
      </c>
      <c r="D115">
        <v>0.44100611664981298</v>
      </c>
      <c r="E115">
        <v>109.58641688311999</v>
      </c>
      <c r="F115">
        <v>1.6950533314903899</v>
      </c>
      <c r="G115">
        <v>-1821.2424828355656</v>
      </c>
      <c r="H115">
        <v>-1494.3956969329317</v>
      </c>
      <c r="I115">
        <v>314.83956047914</v>
      </c>
      <c r="J115">
        <v>162.51143373137799</v>
      </c>
      <c r="K115">
        <v>64.650719152750895</v>
      </c>
      <c r="L115">
        <v>0.64842939321900073</v>
      </c>
      <c r="M115">
        <v>-0.64774224782167555</v>
      </c>
      <c r="N115">
        <v>41.887683833596597</v>
      </c>
      <c r="O115">
        <v>41.887711717061201</v>
      </c>
      <c r="P115">
        <v>41.8876656656577</v>
      </c>
      <c r="Q115" t="s">
        <v>51</v>
      </c>
    </row>
    <row r="116" spans="1:17" x14ac:dyDescent="0.2">
      <c r="A116">
        <v>115</v>
      </c>
      <c r="B116">
        <v>764</v>
      </c>
      <c r="C116">
        <v>150</v>
      </c>
      <c r="D116">
        <v>0.44039965289495597</v>
      </c>
      <c r="E116">
        <v>109.58990684409299</v>
      </c>
      <c r="F116">
        <v>1.6924885731013799</v>
      </c>
      <c r="G116">
        <v>-1820.9849949900215</v>
      </c>
      <c r="H116">
        <v>-1495.0634058334986</v>
      </c>
      <c r="I116">
        <v>314.25113851558802</v>
      </c>
      <c r="J116">
        <v>162.461902497306</v>
      </c>
      <c r="K116">
        <v>64.750751399920304</v>
      </c>
      <c r="L116">
        <v>0.62917794521955506</v>
      </c>
      <c r="M116">
        <v>-0.62847864736088066</v>
      </c>
      <c r="N116">
        <v>40.705325263278603</v>
      </c>
      <c r="O116">
        <v>40.705353468322002</v>
      </c>
      <c r="P116">
        <v>40.705306497951</v>
      </c>
      <c r="Q116" t="s">
        <v>51</v>
      </c>
    </row>
    <row r="117" spans="1:17" x14ac:dyDescent="0.2">
      <c r="A117">
        <v>116</v>
      </c>
      <c r="B117">
        <v>763</v>
      </c>
      <c r="C117">
        <v>150</v>
      </c>
      <c r="D117">
        <v>0.43979201853014099</v>
      </c>
      <c r="E117">
        <v>109.596910209184</v>
      </c>
      <c r="F117">
        <v>1.6699153257402399</v>
      </c>
      <c r="G117">
        <v>-1820.7857646979494</v>
      </c>
      <c r="H117">
        <v>-1498.6220215181777</v>
      </c>
      <c r="I117">
        <v>310.92820007309001</v>
      </c>
      <c r="J117">
        <v>161.87242045917299</v>
      </c>
      <c r="K117">
        <v>65.630219999689203</v>
      </c>
      <c r="L117">
        <v>0.47564213176899939</v>
      </c>
      <c r="M117">
        <v>-0.47485808822145442</v>
      </c>
      <c r="N117">
        <v>31.177332810908101</v>
      </c>
      <c r="O117">
        <v>31.177364585752901</v>
      </c>
      <c r="P117">
        <v>31.177311299509402</v>
      </c>
      <c r="Q117" t="s">
        <v>51</v>
      </c>
    </row>
    <row r="118" spans="1:17" x14ac:dyDescent="0.2">
      <c r="A118">
        <v>117</v>
      </c>
      <c r="B118">
        <v>762</v>
      </c>
      <c r="C118">
        <v>150</v>
      </c>
      <c r="D118">
        <v>0.439183210162781</v>
      </c>
      <c r="E118">
        <v>109.601495527601</v>
      </c>
      <c r="F118">
        <v>1.63690525565184</v>
      </c>
      <c r="G118">
        <v>-1820.5522400331986</v>
      </c>
      <c r="H118">
        <v>-1503.9180465664936</v>
      </c>
      <c r="I118">
        <v>305.88756376127901</v>
      </c>
      <c r="J118">
        <v>160.88322593862</v>
      </c>
      <c r="K118">
        <v>66.956529798638798</v>
      </c>
      <c r="L118">
        <v>0.24767889407815569</v>
      </c>
      <c r="M118">
        <v>-0.24677042110418007</v>
      </c>
      <c r="N118">
        <v>16.537358542698801</v>
      </c>
      <c r="O118">
        <v>16.537395764512201</v>
      </c>
      <c r="P118">
        <v>16.537332908003599</v>
      </c>
      <c r="Q118" t="s">
        <v>51</v>
      </c>
    </row>
    <row r="119" spans="1:17" x14ac:dyDescent="0.2">
      <c r="A119">
        <v>118</v>
      </c>
      <c r="B119">
        <v>761</v>
      </c>
      <c r="C119">
        <v>150</v>
      </c>
      <c r="D119">
        <v>0.43857322438717999</v>
      </c>
      <c r="E119">
        <v>109.602051817156</v>
      </c>
      <c r="F119">
        <v>1.6255584133722101</v>
      </c>
      <c r="G119">
        <v>-1820.2565815598239</v>
      </c>
      <c r="H119">
        <v>-1506.0396416413482</v>
      </c>
      <c r="I119">
        <v>303.84621758711199</v>
      </c>
      <c r="J119">
        <v>160.51518527682299</v>
      </c>
      <c r="K119">
        <v>67.424246902199599</v>
      </c>
      <c r="L119">
        <v>0.16254266730645373</v>
      </c>
      <c r="M119">
        <v>-0.16158774890921193</v>
      </c>
      <c r="N119">
        <v>10.910201584812301</v>
      </c>
      <c r="O119">
        <v>10.91024065379</v>
      </c>
      <c r="P119">
        <v>10.910174116063599</v>
      </c>
      <c r="Q119" t="s">
        <v>51</v>
      </c>
    </row>
    <row r="120" spans="1:17" x14ac:dyDescent="0.2">
      <c r="A120">
        <v>119</v>
      </c>
      <c r="B120">
        <v>760</v>
      </c>
      <c r="C120">
        <v>150</v>
      </c>
      <c r="D120">
        <v>0.43796205778444602</v>
      </c>
      <c r="E120">
        <v>109.602124207293</v>
      </c>
      <c r="F120">
        <v>1.62134564219703</v>
      </c>
      <c r="G120">
        <v>-1819.954454955727</v>
      </c>
      <c r="H120">
        <v>-1507.0671141363525</v>
      </c>
      <c r="I120">
        <v>302.85350873531002</v>
      </c>
      <c r="J120">
        <v>160.377031033338</v>
      </c>
      <c r="K120">
        <v>67.599481168478505</v>
      </c>
      <c r="L120">
        <v>0.12526785137451299</v>
      </c>
      <c r="M120">
        <v>-0.12429246252356388</v>
      </c>
      <c r="N120">
        <v>8.4177040494032802</v>
      </c>
      <c r="O120">
        <v>8.4177437281348304</v>
      </c>
      <c r="P120">
        <v>8.4176755411825894</v>
      </c>
      <c r="Q120" t="s">
        <v>51</v>
      </c>
    </row>
    <row r="121" spans="1:17" x14ac:dyDescent="0.2">
      <c r="A121">
        <v>120</v>
      </c>
      <c r="B121">
        <v>759</v>
      </c>
      <c r="C121">
        <v>150</v>
      </c>
      <c r="D121">
        <v>0.43734970692244701</v>
      </c>
      <c r="E121">
        <v>109.602089908103</v>
      </c>
      <c r="F121">
        <v>1.61955212434628</v>
      </c>
      <c r="G121">
        <v>-1819.65137583364</v>
      </c>
      <c r="H121">
        <v>-1507.7170639496387</v>
      </c>
      <c r="I121">
        <v>302.22365943754698</v>
      </c>
      <c r="J121">
        <v>160.320378006282</v>
      </c>
      <c r="K121">
        <v>67.674320733791305</v>
      </c>
      <c r="L121">
        <v>0.10432045334915462</v>
      </c>
      <c r="M121">
        <v>-0.10333342886671852</v>
      </c>
      <c r="N121">
        <v>7.0087834985131501</v>
      </c>
      <c r="O121">
        <v>7.0088233578087404</v>
      </c>
      <c r="P121">
        <v>7.0087542212187097</v>
      </c>
      <c r="Q121" t="s">
        <v>51</v>
      </c>
    </row>
    <row r="122" spans="1:17" x14ac:dyDescent="0.2">
      <c r="A122">
        <v>121</v>
      </c>
      <c r="B122">
        <v>758</v>
      </c>
      <c r="C122">
        <v>150</v>
      </c>
      <c r="D122">
        <v>0.43673616835572199</v>
      </c>
      <c r="E122">
        <v>109.60202528396201</v>
      </c>
      <c r="F122">
        <v>1.6188475054359099</v>
      </c>
      <c r="G122">
        <v>-1819.3483413103988</v>
      </c>
      <c r="H122">
        <v>-1508.1958097108081</v>
      </c>
      <c r="I122">
        <v>301.75863786108602</v>
      </c>
      <c r="J122">
        <v>160.30152526771201</v>
      </c>
      <c r="K122">
        <v>67.703736711413697</v>
      </c>
      <c r="L122">
        <v>9.0740791844894836E-2</v>
      </c>
      <c r="M122">
        <v>-8.9746113049813253E-2</v>
      </c>
      <c r="N122">
        <v>6.0920030214547296</v>
      </c>
      <c r="O122">
        <v>6.0920428639359496</v>
      </c>
      <c r="P122">
        <v>6.0919730946222099</v>
      </c>
      <c r="Q122" t="s">
        <v>51</v>
      </c>
    </row>
    <row r="123" spans="1:17" x14ac:dyDescent="0.2">
      <c r="A123">
        <v>122</v>
      </c>
      <c r="B123">
        <v>757</v>
      </c>
      <c r="C123">
        <v>150</v>
      </c>
      <c r="D123">
        <v>0.436121438625445</v>
      </c>
      <c r="E123">
        <v>109.60195141789799</v>
      </c>
      <c r="F123">
        <v>1.6187275572141699</v>
      </c>
      <c r="G123">
        <v>-1819.045573104803</v>
      </c>
      <c r="H123">
        <v>-1508.5823284222861</v>
      </c>
      <c r="I123">
        <v>301.382485738556</v>
      </c>
      <c r="J123">
        <v>160.3035276153</v>
      </c>
      <c r="K123">
        <v>67.708707947446797</v>
      </c>
      <c r="L123">
        <v>8.1119761163152823E-2</v>
      </c>
      <c r="M123">
        <v>-8.0119566408576856E-2</v>
      </c>
      <c r="N123">
        <v>5.44070020360647</v>
      </c>
      <c r="O123">
        <v>5.4407399204849396</v>
      </c>
      <c r="P123">
        <v>5.4406696890600497</v>
      </c>
      <c r="Q123" t="s">
        <v>51</v>
      </c>
    </row>
    <row r="124" spans="1:17" x14ac:dyDescent="0.2">
      <c r="A124">
        <v>123</v>
      </c>
      <c r="B124">
        <v>756</v>
      </c>
      <c r="C124">
        <v>150</v>
      </c>
      <c r="D124">
        <v>0.43550551425934297</v>
      </c>
      <c r="E124">
        <v>109.601875288309</v>
      </c>
      <c r="F124">
        <v>1.61896015942755</v>
      </c>
      <c r="G124">
        <v>-1818.7431155767713</v>
      </c>
      <c r="H124">
        <v>-1508.9131980099562</v>
      </c>
      <c r="I124">
        <v>301.05996892254802</v>
      </c>
      <c r="J124">
        <v>160.318470585955</v>
      </c>
      <c r="K124">
        <v>67.698932954016101</v>
      </c>
      <c r="L124">
        <v>7.3883885898984328E-2</v>
      </c>
      <c r="M124">
        <v>-7.287946418435283E-2</v>
      </c>
      <c r="N124">
        <v>4.94979781395421</v>
      </c>
      <c r="O124">
        <v>4.9498373374331299</v>
      </c>
      <c r="P124">
        <v>4.9497667468084403</v>
      </c>
      <c r="Q124" t="s">
        <v>51</v>
      </c>
    </row>
    <row r="125" spans="1:17" x14ac:dyDescent="0.2">
      <c r="A125">
        <v>124</v>
      </c>
      <c r="B125">
        <v>755</v>
      </c>
      <c r="C125">
        <v>150</v>
      </c>
      <c r="D125">
        <v>0.43488839177162902</v>
      </c>
      <c r="E125">
        <v>109.601799414417</v>
      </c>
      <c r="F125">
        <v>1.61942335260656</v>
      </c>
      <c r="G125">
        <v>-1818.440966290578</v>
      </c>
      <c r="H125">
        <v>-1509.2077177525989</v>
      </c>
      <c r="I125">
        <v>300.77247360733202</v>
      </c>
      <c r="J125">
        <v>160.34215500800099</v>
      </c>
      <c r="K125">
        <v>67.679522614026098</v>
      </c>
      <c r="L125">
        <v>6.8204832684324937E-2</v>
      </c>
      <c r="M125">
        <v>-6.7197026429507895E-2</v>
      </c>
      <c r="N125">
        <v>4.5638107158523296</v>
      </c>
      <c r="O125">
        <v>4.5638499997463002</v>
      </c>
      <c r="P125">
        <v>4.5637791171381501</v>
      </c>
      <c r="Q125" t="s">
        <v>51</v>
      </c>
    </row>
    <row r="126" spans="1:17" x14ac:dyDescent="0.2">
      <c r="A126">
        <v>125</v>
      </c>
      <c r="B126">
        <v>793</v>
      </c>
      <c r="C126">
        <v>125</v>
      </c>
      <c r="D126">
        <v>0.48331895136707098</v>
      </c>
      <c r="E126">
        <v>109.585671578842</v>
      </c>
      <c r="F126">
        <v>1.57612695849775</v>
      </c>
      <c r="G126">
        <v>-1831.8251424607145</v>
      </c>
      <c r="H126">
        <v>-1488.5887663366163</v>
      </c>
      <c r="I126">
        <v>321.94363658871498</v>
      </c>
      <c r="J126">
        <v>162.46157966028301</v>
      </c>
      <c r="K126">
        <v>69.528454537247796</v>
      </c>
      <c r="L126">
        <v>0.67072228167989278</v>
      </c>
      <c r="M126">
        <v>-0.66989233922596503</v>
      </c>
      <c r="N126">
        <v>46.594043190653601</v>
      </c>
      <c r="O126">
        <v>46.594107283556603</v>
      </c>
      <c r="P126">
        <v>46.594039288979502</v>
      </c>
      <c r="Q126" t="s">
        <v>51</v>
      </c>
    </row>
    <row r="127" spans="1:17" x14ac:dyDescent="0.2">
      <c r="A127">
        <v>126</v>
      </c>
      <c r="B127">
        <v>792</v>
      </c>
      <c r="C127">
        <v>125</v>
      </c>
      <c r="D127">
        <v>0.48276815471999501</v>
      </c>
      <c r="E127">
        <v>109.58570725393</v>
      </c>
      <c r="F127">
        <v>1.57695342294385</v>
      </c>
      <c r="G127">
        <v>-1831.5038554611242</v>
      </c>
      <c r="H127">
        <v>-1488.771087200093</v>
      </c>
      <c r="I127">
        <v>321.77308670748602</v>
      </c>
      <c r="J127">
        <v>162.46935420490999</v>
      </c>
      <c r="K127">
        <v>69.492038039624703</v>
      </c>
      <c r="L127">
        <v>0.67032930761132026</v>
      </c>
      <c r="M127">
        <v>-0.6694983155901586</v>
      </c>
      <c r="N127">
        <v>46.5422458261203</v>
      </c>
      <c r="O127">
        <v>46.542309919487899</v>
      </c>
      <c r="P127">
        <v>46.542241832186903</v>
      </c>
      <c r="Q127" t="s">
        <v>51</v>
      </c>
    </row>
    <row r="128" spans="1:17" x14ac:dyDescent="0.2">
      <c r="A128">
        <v>127</v>
      </c>
      <c r="B128">
        <v>791</v>
      </c>
      <c r="C128">
        <v>125</v>
      </c>
      <c r="D128">
        <v>0.48221632288681698</v>
      </c>
      <c r="E128">
        <v>109.585738169553</v>
      </c>
      <c r="F128">
        <v>1.57731302619493</v>
      </c>
      <c r="G128">
        <v>-1831.1826851673386</v>
      </c>
      <c r="H128">
        <v>-1488.9915403718205</v>
      </c>
      <c r="I128">
        <v>321.56649835191701</v>
      </c>
      <c r="J128">
        <v>162.45954200063099</v>
      </c>
      <c r="K128">
        <v>69.476214517745404</v>
      </c>
      <c r="L128">
        <v>0.66841466208433475</v>
      </c>
      <c r="M128">
        <v>-0.66758145535814539</v>
      </c>
      <c r="N128">
        <v>46.3984839552216</v>
      </c>
      <c r="O128">
        <v>46.398548154013902</v>
      </c>
      <c r="P128">
        <v>46.398479860467901</v>
      </c>
      <c r="Q128" t="s">
        <v>51</v>
      </c>
    </row>
    <row r="129" spans="1:17" x14ac:dyDescent="0.2">
      <c r="A129">
        <v>128</v>
      </c>
      <c r="B129">
        <v>790</v>
      </c>
      <c r="C129">
        <v>125</v>
      </c>
      <c r="D129">
        <v>0.48166345294643498</v>
      </c>
      <c r="E129">
        <v>109.585769147151</v>
      </c>
      <c r="F129">
        <v>1.57767673739171</v>
      </c>
      <c r="G129">
        <v>-1830.8617224641011</v>
      </c>
      <c r="H129">
        <v>-1489.2118787212353</v>
      </c>
      <c r="I129">
        <v>321.35982463122502</v>
      </c>
      <c r="J129">
        <v>162.450316019084</v>
      </c>
      <c r="K129">
        <v>69.460217387957201</v>
      </c>
      <c r="L129">
        <v>0.66649992216109355</v>
      </c>
      <c r="M129">
        <v>-0.6656644974052367</v>
      </c>
      <c r="N129">
        <v>46.254660183634599</v>
      </c>
      <c r="O129">
        <v>46.254724485786802</v>
      </c>
      <c r="P129">
        <v>46.254655985169499</v>
      </c>
      <c r="Q129" t="s">
        <v>51</v>
      </c>
    </row>
    <row r="130" spans="1:17" x14ac:dyDescent="0.2">
      <c r="A130">
        <v>129</v>
      </c>
      <c r="B130">
        <v>789</v>
      </c>
      <c r="C130">
        <v>125</v>
      </c>
      <c r="D130">
        <v>0.48110954196676597</v>
      </c>
      <c r="E130">
        <v>109.585800188147</v>
      </c>
      <c r="F130">
        <v>1.57804469794395</v>
      </c>
      <c r="G130">
        <v>-1830.540967456114</v>
      </c>
      <c r="H130">
        <v>-1489.4320942720531</v>
      </c>
      <c r="I130">
        <v>321.15307291074299</v>
      </c>
      <c r="J130">
        <v>162.44168209248701</v>
      </c>
      <c r="K130">
        <v>69.444040673199694</v>
      </c>
      <c r="L130">
        <v>0.66458545537010139</v>
      </c>
      <c r="M130">
        <v>-0.66374780961498281</v>
      </c>
      <c r="N130">
        <v>46.110797084983602</v>
      </c>
      <c r="O130">
        <v>46.110861488346899</v>
      </c>
      <c r="P130">
        <v>46.110792779857398</v>
      </c>
      <c r="Q130" t="s">
        <v>51</v>
      </c>
    </row>
    <row r="131" spans="1:17" x14ac:dyDescent="0.2">
      <c r="A131">
        <v>130</v>
      </c>
      <c r="B131">
        <v>788</v>
      </c>
      <c r="C131">
        <v>125</v>
      </c>
      <c r="D131">
        <v>0.48055458700466802</v>
      </c>
      <c r="E131">
        <v>109.585831293993</v>
      </c>
      <c r="F131">
        <v>1.5784170478783499</v>
      </c>
      <c r="G131">
        <v>-1830.2204202412488</v>
      </c>
      <c r="H131">
        <v>-1489.6521791003206</v>
      </c>
      <c r="I131">
        <v>320.94625052781601</v>
      </c>
      <c r="J131">
        <v>162.43364604347701</v>
      </c>
      <c r="K131">
        <v>69.427678471475005</v>
      </c>
      <c r="L131">
        <v>0.66267162749478847</v>
      </c>
      <c r="M131">
        <v>-0.66183175812656192</v>
      </c>
      <c r="N131">
        <v>45.966917183391203</v>
      </c>
      <c r="O131">
        <v>45.966981685732399</v>
      </c>
      <c r="P131">
        <v>45.966912768594597</v>
      </c>
      <c r="Q131" t="s">
        <v>51</v>
      </c>
    </row>
    <row r="132" spans="1:17" x14ac:dyDescent="0.2">
      <c r="A132">
        <v>131</v>
      </c>
      <c r="B132">
        <v>787</v>
      </c>
      <c r="C132">
        <v>125</v>
      </c>
      <c r="D132">
        <v>0.479998585105882</v>
      </c>
      <c r="E132">
        <v>109.58586246618501</v>
      </c>
      <c r="F132">
        <v>1.57879392560398</v>
      </c>
      <c r="G132">
        <v>-1829.9000809107547</v>
      </c>
      <c r="H132">
        <v>-1489.8721253520907</v>
      </c>
      <c r="I132">
        <v>320.73936477519999</v>
      </c>
      <c r="J132">
        <v>162.42621368655901</v>
      </c>
      <c r="K132">
        <v>69.411124966332693</v>
      </c>
      <c r="L132">
        <v>0.66075880180042246</v>
      </c>
      <c r="M132">
        <v>-0.6599167065610887</v>
      </c>
      <c r="N132">
        <v>45.823042905437703</v>
      </c>
      <c r="O132">
        <v>45.823107504438298</v>
      </c>
      <c r="P132">
        <v>45.823038377901099</v>
      </c>
      <c r="Q132" t="s">
        <v>51</v>
      </c>
    </row>
    <row r="133" spans="1:17" x14ac:dyDescent="0.2">
      <c r="A133">
        <v>132</v>
      </c>
      <c r="B133">
        <v>786</v>
      </c>
      <c r="C133">
        <v>125</v>
      </c>
      <c r="D133">
        <v>0.47944153330501299</v>
      </c>
      <c r="E133">
        <v>109.585893706238</v>
      </c>
      <c r="F133">
        <v>1.5791754676705401</v>
      </c>
      <c r="G133">
        <v>-1829.5799495489377</v>
      </c>
      <c r="H133">
        <v>-1490.0919252610956</v>
      </c>
      <c r="I133">
        <v>320.53242288386298</v>
      </c>
      <c r="J133">
        <v>162.419390829836</v>
      </c>
      <c r="K133">
        <v>69.394374437623199</v>
      </c>
      <c r="L133">
        <v>0.65884733823577679</v>
      </c>
      <c r="M133">
        <v>-0.65800301522265314</v>
      </c>
      <c r="N133">
        <v>45.6791965304635</v>
      </c>
      <c r="O133">
        <v>45.679261223718797</v>
      </c>
      <c r="P133">
        <v>45.679191887056</v>
      </c>
      <c r="Q133" t="s">
        <v>51</v>
      </c>
    </row>
    <row r="134" spans="1:17" x14ac:dyDescent="0.2">
      <c r="A134">
        <v>133</v>
      </c>
      <c r="B134">
        <v>785</v>
      </c>
      <c r="C134">
        <v>125</v>
      </c>
      <c r="D134">
        <v>0.47888342862543298</v>
      </c>
      <c r="E134">
        <v>109.585925015695</v>
      </c>
      <c r="F134">
        <v>1.57956180854779</v>
      </c>
      <c r="G134">
        <v>-1829.2600262333397</v>
      </c>
      <c r="H134">
        <v>-1490.3115711658095</v>
      </c>
      <c r="I134">
        <v>320.32543200674002</v>
      </c>
      <c r="J134">
        <v>162.41318327752199</v>
      </c>
      <c r="K134">
        <v>69.377421271311903</v>
      </c>
      <c r="L134">
        <v>0.6569375926773432</v>
      </c>
      <c r="M134">
        <v>-0.65609104034194521</v>
      </c>
      <c r="N134">
        <v>45.535400143132598</v>
      </c>
      <c r="O134">
        <v>45.535464928151299</v>
      </c>
      <c r="P134">
        <v>45.535395380661399</v>
      </c>
      <c r="Q134" t="s">
        <v>51</v>
      </c>
    </row>
    <row r="135" spans="1:17" x14ac:dyDescent="0.2">
      <c r="A135">
        <v>134</v>
      </c>
      <c r="B135">
        <v>784</v>
      </c>
      <c r="C135">
        <v>125</v>
      </c>
      <c r="D135">
        <v>0.47832426807926898</v>
      </c>
      <c r="E135">
        <v>109.58595639614499</v>
      </c>
      <c r="F135">
        <v>1.5799530804023401</v>
      </c>
      <c r="G135">
        <v>-1828.9403110351607</v>
      </c>
      <c r="H135">
        <v>-1490.5310555269086</v>
      </c>
      <c r="I135">
        <v>320.11839920225498</v>
      </c>
      <c r="J135">
        <v>162.407596832873</v>
      </c>
      <c r="K135">
        <v>69.3602599693901</v>
      </c>
      <c r="L135">
        <v>0.65502991615991879</v>
      </c>
      <c r="M135">
        <v>-0.65418113330623873</v>
      </c>
      <c r="N135">
        <v>45.391675585051402</v>
      </c>
      <c r="O135">
        <v>45.391740459254699</v>
      </c>
      <c r="P135">
        <v>45.391670700260697</v>
      </c>
      <c r="Q135" t="s">
        <v>51</v>
      </c>
    </row>
    <row r="136" spans="1:17" x14ac:dyDescent="0.2">
      <c r="A136">
        <v>135</v>
      </c>
      <c r="B136">
        <v>783</v>
      </c>
      <c r="C136">
        <v>125</v>
      </c>
      <c r="D136">
        <v>0.47776404866733202</v>
      </c>
      <c r="E136">
        <v>109.58598784919501</v>
      </c>
      <c r="F136">
        <v>1.58034941288964</v>
      </c>
      <c r="G136">
        <v>-1828.6208040189213</v>
      </c>
      <c r="H136">
        <v>-1490.7503709431978</v>
      </c>
      <c r="I136">
        <v>319.91133141846899</v>
      </c>
      <c r="J136">
        <v>162.402637301769</v>
      </c>
      <c r="K136">
        <v>69.342885159060302</v>
      </c>
      <c r="L136">
        <v>0.65312465414080201</v>
      </c>
      <c r="M136">
        <v>-0.65227363992301413</v>
      </c>
      <c r="N136">
        <v>45.248044408187297</v>
      </c>
      <c r="O136">
        <v>45.248109368908203</v>
      </c>
      <c r="P136">
        <v>45.248039397757502</v>
      </c>
      <c r="Q136" t="s">
        <v>51</v>
      </c>
    </row>
    <row r="137" spans="1:17" x14ac:dyDescent="0.2">
      <c r="A137">
        <v>136</v>
      </c>
      <c r="B137">
        <v>782</v>
      </c>
      <c r="C137">
        <v>125</v>
      </c>
      <c r="D137">
        <v>0.47720276737904699</v>
      </c>
      <c r="E137">
        <v>109.58601937645599</v>
      </c>
      <c r="F137">
        <v>1.5807509329553</v>
      </c>
      <c r="G137">
        <v>-1828.301505242292</v>
      </c>
      <c r="H137">
        <v>-1490.9695101671114</v>
      </c>
      <c r="I137">
        <v>319.70423547771799</v>
      </c>
      <c r="J137">
        <v>162.398310496954</v>
      </c>
      <c r="K137">
        <v>69.325291601491799</v>
      </c>
      <c r="L137">
        <v>0.65122214578325777</v>
      </c>
      <c r="M137">
        <v>-0.65036889970286615</v>
      </c>
      <c r="N137">
        <v>45.104527829297403</v>
      </c>
      <c r="O137">
        <v>45.104592873780703</v>
      </c>
      <c r="P137">
        <v>45.104522689844401</v>
      </c>
      <c r="Q137" t="s">
        <v>51</v>
      </c>
    </row>
    <row r="138" spans="1:17" x14ac:dyDescent="0.2">
      <c r="A138">
        <v>137</v>
      </c>
      <c r="B138">
        <v>781</v>
      </c>
      <c r="C138">
        <v>125</v>
      </c>
      <c r="D138">
        <v>0.476640421192431</v>
      </c>
      <c r="E138">
        <v>109.58605097956701</v>
      </c>
      <c r="F138">
        <v>1.58115776464742</v>
      </c>
      <c r="G138">
        <v>-1827.9824147566226</v>
      </c>
      <c r="H138">
        <v>-1491.188466120263</v>
      </c>
      <c r="I138">
        <v>319.49711806176202</v>
      </c>
      <c r="J138">
        <v>162.39462224284799</v>
      </c>
      <c r="K138">
        <v>69.307474200086503</v>
      </c>
      <c r="L138">
        <v>0.64932272326067197</v>
      </c>
      <c r="M138">
        <v>-0.64846724516311749</v>
      </c>
      <c r="N138">
        <v>44.9611466854385</v>
      </c>
      <c r="O138">
        <v>44.9612118108397</v>
      </c>
      <c r="P138">
        <v>44.9611414135125</v>
      </c>
      <c r="Q138" t="s">
        <v>51</v>
      </c>
    </row>
    <row r="139" spans="1:17" x14ac:dyDescent="0.2">
      <c r="A139">
        <v>138</v>
      </c>
      <c r="B139">
        <v>780</v>
      </c>
      <c r="C139">
        <v>125</v>
      </c>
      <c r="D139">
        <v>0.47607700707401701</v>
      </c>
      <c r="E139">
        <v>109.58608266019</v>
      </c>
      <c r="F139">
        <v>1.5815700289383201</v>
      </c>
      <c r="G139">
        <v>-1827.6635326070768</v>
      </c>
      <c r="H139">
        <v>-1491.4072319081656</v>
      </c>
      <c r="I139">
        <v>319.28998569727497</v>
      </c>
      <c r="J139">
        <v>162.39157838088701</v>
      </c>
      <c r="K139">
        <v>69.289428008289804</v>
      </c>
      <c r="L139">
        <v>0.64742671107794314</v>
      </c>
      <c r="M139">
        <v>-0.64656900114868943</v>
      </c>
      <c r="N139">
        <v>44.817921390348403</v>
      </c>
      <c r="O139">
        <v>44.8179865937336</v>
      </c>
      <c r="P139">
        <v>44.817915982433497</v>
      </c>
      <c r="Q139" t="s">
        <v>51</v>
      </c>
    </row>
    <row r="140" spans="1:17" x14ac:dyDescent="0.2">
      <c r="A140">
        <v>139</v>
      </c>
      <c r="B140">
        <v>779</v>
      </c>
      <c r="C140">
        <v>125</v>
      </c>
      <c r="D140">
        <v>0.475512521978807</v>
      </c>
      <c r="E140">
        <v>109.58611441997</v>
      </c>
      <c r="F140">
        <v>1.5819878435617001</v>
      </c>
      <c r="G140">
        <v>-1827.3448588320757</v>
      </c>
      <c r="H140">
        <v>-1491.6258008331831</v>
      </c>
      <c r="I140">
        <v>319.08284474227099</v>
      </c>
      <c r="J140">
        <v>162.38918477565201</v>
      </c>
      <c r="K140">
        <v>69.271148236668296</v>
      </c>
      <c r="L140">
        <v>0.64553442543697237</v>
      </c>
      <c r="M140">
        <v>-0.64467448419710005</v>
      </c>
      <c r="N140">
        <v>44.674871893395199</v>
      </c>
      <c r="O140">
        <v>44.674937171740602</v>
      </c>
      <c r="P140">
        <v>44.6748663459082</v>
      </c>
      <c r="Q140" t="s">
        <v>51</v>
      </c>
    </row>
    <row r="141" spans="1:17" x14ac:dyDescent="0.2">
      <c r="A141">
        <v>140</v>
      </c>
      <c r="B141">
        <v>778</v>
      </c>
      <c r="C141">
        <v>125</v>
      </c>
      <c r="D141">
        <v>0.47494696285021398</v>
      </c>
      <c r="E141">
        <v>109.586157671146</v>
      </c>
      <c r="F141">
        <v>1.5811468200779399</v>
      </c>
      <c r="G141">
        <v>-1827.0266333326715</v>
      </c>
      <c r="H141">
        <v>-1491.9877909462343</v>
      </c>
      <c r="I141">
        <v>318.739315915514</v>
      </c>
      <c r="J141">
        <v>162.36954012172299</v>
      </c>
      <c r="K141">
        <v>69.308021418114507</v>
      </c>
      <c r="L141">
        <v>0.63706431196062996</v>
      </c>
      <c r="M141">
        <v>-0.63619774550043795</v>
      </c>
      <c r="N141">
        <v>44.111244376874197</v>
      </c>
      <c r="O141">
        <v>44.111310109878602</v>
      </c>
      <c r="P141">
        <v>44.111238655328499</v>
      </c>
      <c r="Q141" t="s">
        <v>51</v>
      </c>
    </row>
    <row r="142" spans="1:17" x14ac:dyDescent="0.2">
      <c r="A142">
        <v>141</v>
      </c>
      <c r="B142">
        <v>777</v>
      </c>
      <c r="C142">
        <v>125</v>
      </c>
      <c r="D142">
        <v>0.47438032662001101</v>
      </c>
      <c r="E142">
        <v>109.586203785699</v>
      </c>
      <c r="F142">
        <v>1.57998145825053</v>
      </c>
      <c r="G142">
        <v>-1826.7088308810066</v>
      </c>
      <c r="H142">
        <v>-1492.3880001786349</v>
      </c>
      <c r="I142">
        <v>318.35914764440997</v>
      </c>
      <c r="J142">
        <v>162.346503162712</v>
      </c>
      <c r="K142">
        <v>69.359170775991799</v>
      </c>
      <c r="L142">
        <v>0.62683170072340333</v>
      </c>
      <c r="M142">
        <v>-0.62595733056798875</v>
      </c>
      <c r="N142">
        <v>43.433652932195798</v>
      </c>
      <c r="O142">
        <v>43.433719218977302</v>
      </c>
      <c r="P142">
        <v>43.433647022954702</v>
      </c>
      <c r="Q142" t="s">
        <v>51</v>
      </c>
    </row>
    <row r="143" spans="1:17" x14ac:dyDescent="0.2">
      <c r="A143">
        <v>142</v>
      </c>
      <c r="B143">
        <v>776</v>
      </c>
      <c r="C143">
        <v>125</v>
      </c>
      <c r="D143">
        <v>0.47381261020826598</v>
      </c>
      <c r="E143">
        <v>109.586249585652</v>
      </c>
      <c r="F143">
        <v>1.5788339444537101</v>
      </c>
      <c r="G143">
        <v>-1826.3914032138393</v>
      </c>
      <c r="H143">
        <v>-1492.7876619004276</v>
      </c>
      <c r="I143">
        <v>317.97913373318499</v>
      </c>
      <c r="J143">
        <v>162.32493057865</v>
      </c>
      <c r="K143">
        <v>69.409610789416902</v>
      </c>
      <c r="L143">
        <v>0.61660993197772129</v>
      </c>
      <c r="M143">
        <v>-0.6157277653926031</v>
      </c>
      <c r="N143">
        <v>42.755329367086297</v>
      </c>
      <c r="O143">
        <v>42.755396203292698</v>
      </c>
      <c r="P143">
        <v>42.755323264506004</v>
      </c>
      <c r="Q143" t="s">
        <v>51</v>
      </c>
    </row>
    <row r="144" spans="1:17" x14ac:dyDescent="0.2">
      <c r="A144">
        <v>143</v>
      </c>
      <c r="B144">
        <v>775</v>
      </c>
      <c r="C144">
        <v>125</v>
      </c>
      <c r="D144">
        <v>0.473243810523307</v>
      </c>
      <c r="E144">
        <v>109.586295023799</v>
      </c>
      <c r="F144">
        <v>1.5776994977607799</v>
      </c>
      <c r="G144">
        <v>-1826.0743496494335</v>
      </c>
      <c r="H144">
        <v>-1493.1873070832787</v>
      </c>
      <c r="I144">
        <v>317.598767474444</v>
      </c>
      <c r="J144">
        <v>162.304674720664</v>
      </c>
      <c r="K144">
        <v>69.459548652537507</v>
      </c>
      <c r="L144">
        <v>0.60637149817932134</v>
      </c>
      <c r="M144">
        <v>-0.60548152613622019</v>
      </c>
      <c r="N144">
        <v>42.074511129331398</v>
      </c>
      <c r="O144">
        <v>42.074578511891701</v>
      </c>
      <c r="P144">
        <v>42.074504827505699</v>
      </c>
      <c r="Q144" t="s">
        <v>51</v>
      </c>
    </row>
    <row r="145" spans="1:17" x14ac:dyDescent="0.2">
      <c r="A145">
        <v>144</v>
      </c>
      <c r="B145">
        <v>774</v>
      </c>
      <c r="C145">
        <v>125</v>
      </c>
      <c r="D145">
        <v>0.47267392446163797</v>
      </c>
      <c r="E145">
        <v>109.586340037339</v>
      </c>
      <c r="F145">
        <v>1.5765720254867399</v>
      </c>
      <c r="G145">
        <v>-1825.7576698272399</v>
      </c>
      <c r="H145">
        <v>-1493.5876179743736</v>
      </c>
      <c r="I145">
        <v>317.21739609184198</v>
      </c>
      <c r="J145">
        <v>162.285552321475</v>
      </c>
      <c r="K145">
        <v>69.509250618287396</v>
      </c>
      <c r="L145">
        <v>0.59608128072881639</v>
      </c>
      <c r="M145">
        <v>-0.59518347326811383</v>
      </c>
      <c r="N145">
        <v>41.388927592526301</v>
      </c>
      <c r="O145">
        <v>41.388995520054401</v>
      </c>
      <c r="P145">
        <v>41.388921085236397</v>
      </c>
      <c r="Q145" t="s">
        <v>51</v>
      </c>
    </row>
    <row r="146" spans="1:17" x14ac:dyDescent="0.2">
      <c r="A146">
        <v>145</v>
      </c>
      <c r="B146">
        <v>773</v>
      </c>
      <c r="C146">
        <v>125</v>
      </c>
      <c r="D146">
        <v>0.472102948907902</v>
      </c>
      <c r="E146">
        <v>109.589185142876</v>
      </c>
      <c r="F146">
        <v>1.5741481549979299</v>
      </c>
      <c r="G146">
        <v>-1825.4872339760084</v>
      </c>
      <c r="H146">
        <v>-1494.1918018655479</v>
      </c>
      <c r="I146">
        <v>316.684641603942</v>
      </c>
      <c r="J146">
        <v>162.21722091956599</v>
      </c>
      <c r="K146">
        <v>69.618088230723401</v>
      </c>
      <c r="L146">
        <v>0.57979790779391149</v>
      </c>
      <c r="M146">
        <v>-0.57888813566241293</v>
      </c>
      <c r="N146">
        <v>40.319485792339201</v>
      </c>
      <c r="O146">
        <v>40.319554628169399</v>
      </c>
      <c r="P146">
        <v>40.319479039915102</v>
      </c>
      <c r="Q146" t="s">
        <v>51</v>
      </c>
    </row>
    <row r="147" spans="1:17" x14ac:dyDescent="0.2">
      <c r="A147">
        <v>146</v>
      </c>
      <c r="B147">
        <v>772</v>
      </c>
      <c r="C147">
        <v>125</v>
      </c>
      <c r="D147">
        <v>0.47153088073482102</v>
      </c>
      <c r="E147">
        <v>109.590354633155</v>
      </c>
      <c r="F147">
        <v>1.5724344800305099</v>
      </c>
      <c r="G147">
        <v>-1825.1898442545298</v>
      </c>
      <c r="H147">
        <v>-1494.6842964605366</v>
      </c>
      <c r="I147">
        <v>316.23193150201899</v>
      </c>
      <c r="J147">
        <v>162.178383335673</v>
      </c>
      <c r="K147">
        <v>69.694703356434403</v>
      </c>
      <c r="L147">
        <v>0.56656900072425231</v>
      </c>
      <c r="M147">
        <v>-0.56564940863076596</v>
      </c>
      <c r="N147">
        <v>39.441346551343102</v>
      </c>
      <c r="O147">
        <v>39.441416100269599</v>
      </c>
      <c r="P147">
        <v>39.441339563731603</v>
      </c>
      <c r="Q147" t="s">
        <v>51</v>
      </c>
    </row>
    <row r="148" spans="1:17" x14ac:dyDescent="0.2">
      <c r="A148">
        <v>147</v>
      </c>
      <c r="B148">
        <v>771</v>
      </c>
      <c r="C148">
        <v>125</v>
      </c>
      <c r="D148">
        <v>0.47095771680314102</v>
      </c>
      <c r="E148">
        <v>109.598503133572</v>
      </c>
      <c r="F148">
        <v>1.5436354582842</v>
      </c>
      <c r="G148">
        <v>-1825.007983362739</v>
      </c>
      <c r="H148">
        <v>-1498.6837712852973</v>
      </c>
      <c r="I148">
        <v>312.53078679159302</v>
      </c>
      <c r="J148">
        <v>161.205310905201</v>
      </c>
      <c r="K148">
        <v>71.000249796926894</v>
      </c>
      <c r="L148">
        <v>0.40151429920117221</v>
      </c>
      <c r="M148">
        <v>-0.40049200542439217</v>
      </c>
      <c r="N148">
        <v>28.455995642144799</v>
      </c>
      <c r="O148">
        <v>28.4560741600515</v>
      </c>
      <c r="P148">
        <v>28.455987605325799</v>
      </c>
      <c r="Q148" t="s">
        <v>51</v>
      </c>
    </row>
    <row r="149" spans="1:17" x14ac:dyDescent="0.2">
      <c r="A149">
        <v>148</v>
      </c>
      <c r="B149">
        <v>770</v>
      </c>
      <c r="C149">
        <v>125</v>
      </c>
      <c r="D149">
        <v>0.47038345396155901</v>
      </c>
      <c r="E149">
        <v>109.602182815649</v>
      </c>
      <c r="F149">
        <v>1.5153498306618201</v>
      </c>
      <c r="G149">
        <v>-1824.7574623067551</v>
      </c>
      <c r="H149">
        <v>-1502.7948162552714</v>
      </c>
      <c r="I149">
        <v>308.64978882184698</v>
      </c>
      <c r="J149">
        <v>160.13798256042199</v>
      </c>
      <c r="K149">
        <v>72.327973777369394</v>
      </c>
      <c r="L149">
        <v>0.23563711426176231</v>
      </c>
      <c r="M149">
        <v>-0.23451221650693027</v>
      </c>
      <c r="N149">
        <v>16.985212176861001</v>
      </c>
      <c r="O149">
        <v>16.9852999358015</v>
      </c>
      <c r="P149">
        <v>16.985203011395701</v>
      </c>
      <c r="Q149" t="s">
        <v>51</v>
      </c>
    </row>
    <row r="150" spans="1:17" x14ac:dyDescent="0.2">
      <c r="A150">
        <v>149</v>
      </c>
      <c r="B150">
        <v>769</v>
      </c>
      <c r="C150">
        <v>125</v>
      </c>
      <c r="D150">
        <v>0.46980808904668597</v>
      </c>
      <c r="E150">
        <v>109.602763657889</v>
      </c>
      <c r="F150">
        <v>1.50307813713881</v>
      </c>
      <c r="G150">
        <v>-1824.4593785830309</v>
      </c>
      <c r="H150">
        <v>-1504.8342712235067</v>
      </c>
      <c r="I150">
        <v>306.70321984875898</v>
      </c>
      <c r="J150">
        <v>159.63692810221201</v>
      </c>
      <c r="K150">
        <v>72.918872911373299</v>
      </c>
      <c r="L150">
        <v>0.15844414793926639</v>
      </c>
      <c r="M150">
        <v>-0.15727121029136806</v>
      </c>
      <c r="N150">
        <v>11.492593519644499</v>
      </c>
      <c r="O150">
        <v>11.492685580122</v>
      </c>
      <c r="P150">
        <v>11.4925836804419</v>
      </c>
      <c r="Q150" t="s">
        <v>51</v>
      </c>
    </row>
    <row r="151" spans="1:17" x14ac:dyDescent="0.2">
      <c r="A151">
        <v>150</v>
      </c>
      <c r="B151">
        <v>768</v>
      </c>
      <c r="C151">
        <v>125</v>
      </c>
      <c r="D151">
        <v>0.46923161888296799</v>
      </c>
      <c r="E151">
        <v>109.602861148524</v>
      </c>
      <c r="F151">
        <v>1.49806662616669</v>
      </c>
      <c r="G151">
        <v>-1824.1548125944303</v>
      </c>
      <c r="H151">
        <v>-1505.8875193182839</v>
      </c>
      <c r="I151">
        <v>305.693776525082</v>
      </c>
      <c r="J151">
        <v>159.42231503189601</v>
      </c>
      <c r="K151">
        <v>73.162874890939193</v>
      </c>
      <c r="L151">
        <v>0.12217931264964067</v>
      </c>
      <c r="M151">
        <v>-0.12098336597618324</v>
      </c>
      <c r="N151">
        <v>8.8765522902297302</v>
      </c>
      <c r="O151">
        <v>8.8766462993686996</v>
      </c>
      <c r="P151">
        <v>8.8765419976198601</v>
      </c>
      <c r="Q151" t="s">
        <v>51</v>
      </c>
    </row>
    <row r="152" spans="1:17" x14ac:dyDescent="0.2">
      <c r="A152">
        <v>151</v>
      </c>
      <c r="B152">
        <v>767</v>
      </c>
      <c r="C152">
        <v>125</v>
      </c>
      <c r="D152">
        <v>0.46865404028265401</v>
      </c>
      <c r="E152">
        <v>109.602836747187</v>
      </c>
      <c r="F152">
        <v>1.4957988486776601</v>
      </c>
      <c r="G152">
        <v>-1823.8490628112945</v>
      </c>
      <c r="H152">
        <v>-1506.5601024183336</v>
      </c>
      <c r="I152">
        <v>305.04717244511602</v>
      </c>
      <c r="J152">
        <v>159.32064517652</v>
      </c>
      <c r="K152">
        <v>73.273780658462101</v>
      </c>
      <c r="L152">
        <v>0.10148178704983744</v>
      </c>
      <c r="M152">
        <v>-0.10027231739071735</v>
      </c>
      <c r="N152">
        <v>7.3726587465031201</v>
      </c>
      <c r="O152">
        <v>7.3727537961888503</v>
      </c>
      <c r="P152">
        <v>7.3726480822453597</v>
      </c>
      <c r="Q152" t="s">
        <v>51</v>
      </c>
    </row>
    <row r="153" spans="1:17" x14ac:dyDescent="0.2">
      <c r="A153">
        <v>152</v>
      </c>
      <c r="B153">
        <v>766</v>
      </c>
      <c r="C153">
        <v>125</v>
      </c>
      <c r="D153">
        <v>0.46807535004571499</v>
      </c>
      <c r="E153">
        <v>109.60277599369699</v>
      </c>
      <c r="F153">
        <v>1.4948065923796501</v>
      </c>
      <c r="G153">
        <v>-1823.5432726577124</v>
      </c>
      <c r="H153">
        <v>-1507.054017975832</v>
      </c>
      <c r="I153">
        <v>304.57119642613998</v>
      </c>
      <c r="J153">
        <v>159.27291553708301</v>
      </c>
      <c r="K153">
        <v>73.322379331506198</v>
      </c>
      <c r="L153">
        <v>8.8041287496427784E-2</v>
      </c>
      <c r="M153">
        <v>-8.6822707012701311E-2</v>
      </c>
      <c r="N153">
        <v>6.3915265394633103</v>
      </c>
      <c r="O153">
        <v>6.3916222014758697</v>
      </c>
      <c r="P153">
        <v>6.3915155388247404</v>
      </c>
      <c r="Q153" t="s">
        <v>51</v>
      </c>
    </row>
    <row r="154" spans="1:17" x14ac:dyDescent="0.2">
      <c r="A154">
        <v>153</v>
      </c>
      <c r="B154">
        <v>765</v>
      </c>
      <c r="C154">
        <v>125</v>
      </c>
      <c r="D154">
        <v>0.46749554495978501</v>
      </c>
      <c r="E154">
        <v>109.60270383292099</v>
      </c>
      <c r="F154">
        <v>1.49450597239065</v>
      </c>
      <c r="G154">
        <v>-1823.2377221139143</v>
      </c>
      <c r="H154">
        <v>-1507.4506380918747</v>
      </c>
      <c r="I154">
        <v>304.18824073311703</v>
      </c>
      <c r="J154">
        <v>159.25509083003601</v>
      </c>
      <c r="K154">
        <v>73.337079849602304</v>
      </c>
      <c r="L154">
        <v>7.853800389736626E-2</v>
      </c>
      <c r="M154">
        <v>-7.7312702612263473E-2</v>
      </c>
      <c r="N154">
        <v>5.6954572515109101</v>
      </c>
      <c r="O154">
        <v>5.69555329051623</v>
      </c>
      <c r="P154">
        <v>5.6954459309505303</v>
      </c>
      <c r="Q154" t="s">
        <v>51</v>
      </c>
    </row>
    <row r="155" spans="1:17" x14ac:dyDescent="0.2">
      <c r="A155">
        <v>154</v>
      </c>
      <c r="B155">
        <v>764</v>
      </c>
      <c r="C155">
        <v>125</v>
      </c>
      <c r="D155">
        <v>0.46691462180012799</v>
      </c>
      <c r="E155">
        <v>109.602628722063</v>
      </c>
      <c r="F155">
        <v>1.49462340527094</v>
      </c>
      <c r="G155">
        <v>-1822.9324763958882</v>
      </c>
      <c r="H155">
        <v>-1507.7883892357174</v>
      </c>
      <c r="I155">
        <v>303.861592603654</v>
      </c>
      <c r="J155">
        <v>159.25573686374</v>
      </c>
      <c r="K155">
        <v>73.331267485534497</v>
      </c>
      <c r="L155">
        <v>7.1411739084184758E-2</v>
      </c>
      <c r="M155">
        <v>-7.018115829982717E-2</v>
      </c>
      <c r="N155">
        <v>5.1720955700036804</v>
      </c>
      <c r="O155">
        <v>5.1721918416052501</v>
      </c>
      <c r="P155">
        <v>5.1720839370521201</v>
      </c>
      <c r="Q155" t="s">
        <v>51</v>
      </c>
    </row>
    <row r="156" spans="1:17" x14ac:dyDescent="0.2">
      <c r="A156">
        <v>155</v>
      </c>
      <c r="B156">
        <v>763</v>
      </c>
      <c r="C156">
        <v>125</v>
      </c>
      <c r="D156">
        <v>0.46633257732954098</v>
      </c>
      <c r="E156">
        <v>109.602553763907</v>
      </c>
      <c r="F156">
        <v>1.4950142273945499</v>
      </c>
      <c r="G156">
        <v>-1822.6275404492899</v>
      </c>
      <c r="H156">
        <v>-1508.0876993330201</v>
      </c>
      <c r="I156">
        <v>303.57170746546399</v>
      </c>
      <c r="J156">
        <v>159.26874411531799</v>
      </c>
      <c r="K156">
        <v>73.312047307347996</v>
      </c>
      <c r="L156">
        <v>6.5835671098043086E-2</v>
      </c>
      <c r="M156">
        <v>-6.4600750034214616E-2</v>
      </c>
      <c r="N156">
        <v>4.7616638732984304</v>
      </c>
      <c r="O156">
        <v>4.7617602813665298</v>
      </c>
      <c r="P156">
        <v>4.76165193070175</v>
      </c>
      <c r="Q156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EB0C6-6059-4C8E-9F63-F3A2CB4D39D8}">
  <sheetPr codeName="Sheet4"/>
  <dimension ref="A1:AI156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757</v>
      </c>
      <c r="C2">
        <v>275</v>
      </c>
      <c r="D2">
        <v>0.30264573120419402</v>
      </c>
      <c r="E2">
        <v>105.308131293483</v>
      </c>
      <c r="F2">
        <v>2.2040379746668601</v>
      </c>
      <c r="G2">
        <v>-1718.6648547723644</v>
      </c>
      <c r="H2">
        <v>-1435.0889009111256</v>
      </c>
      <c r="I2">
        <v>275.27637126752199</v>
      </c>
      <c r="J2">
        <v>142.53309876734201</v>
      </c>
      <c r="K2">
        <v>47.779635606959502</v>
      </c>
      <c r="L2">
        <v>1.5737047500320489E-4</v>
      </c>
      <c r="M2">
        <v>1.7615829752256545E-5</v>
      </c>
      <c r="N2" s="1">
        <v>3.7224764589728498E-6</v>
      </c>
      <c r="O2" s="1">
        <v>1.02412901353289E-7</v>
      </c>
      <c r="P2" s="1">
        <v>-5.1666291733319895E-7</v>
      </c>
      <c r="Q2">
        <v>71.922271404614307</v>
      </c>
      <c r="R2">
        <v>8.5463485957393795E-2</v>
      </c>
      <c r="S2">
        <v>12.164302834602999</v>
      </c>
      <c r="T2">
        <v>0.24805406872945099</v>
      </c>
      <c r="V2">
        <v>0.61415425942818502</v>
      </c>
      <c r="W2">
        <v>9.4959428841547792E-3</v>
      </c>
      <c r="X2">
        <v>0.104455371725705</v>
      </c>
      <c r="AA2">
        <v>0.90211457399470896</v>
      </c>
      <c r="AB2">
        <v>3.2191246377284801</v>
      </c>
      <c r="AC2">
        <v>4.4630931555527198</v>
      </c>
      <c r="AD2">
        <v>1.8991885768309201E-2</v>
      </c>
      <c r="AE2">
        <v>6.2484783790135099</v>
      </c>
    </row>
    <row r="3" spans="1:35" x14ac:dyDescent="0.2">
      <c r="A3">
        <v>2</v>
      </c>
      <c r="B3">
        <v>756</v>
      </c>
      <c r="C3">
        <v>275</v>
      </c>
      <c r="D3">
        <v>0.30190011174270298</v>
      </c>
      <c r="E3">
        <v>105.29261523906401</v>
      </c>
      <c r="F3">
        <v>2.2044229373680202</v>
      </c>
      <c r="G3">
        <v>-1718.126393175367</v>
      </c>
      <c r="H3">
        <v>-1435.0152768412599</v>
      </c>
      <c r="I3">
        <v>275.09217930729898</v>
      </c>
      <c r="J3">
        <v>142.49854684055799</v>
      </c>
      <c r="K3">
        <v>47.764253154060903</v>
      </c>
      <c r="L3">
        <v>1.5730607198328873E-4</v>
      </c>
      <c r="M3">
        <v>1.7606482250819492E-5</v>
      </c>
      <c r="N3" s="1">
        <v>3.7257532997796198E-6</v>
      </c>
      <c r="O3" s="1">
        <v>1.0230045881709E-7</v>
      </c>
      <c r="P3" s="1">
        <v>-5.16400632888729E-7</v>
      </c>
      <c r="Q3">
        <v>71.919913720629495</v>
      </c>
      <c r="R3">
        <v>8.5476079965966401E-2</v>
      </c>
      <c r="S3">
        <v>12.166095381823601</v>
      </c>
      <c r="T3">
        <v>0.248489753081134</v>
      </c>
      <c r="V3">
        <v>0.61388561970800504</v>
      </c>
      <c r="W3">
        <v>9.4973422184405701E-3</v>
      </c>
      <c r="X3">
        <v>0.10447076440285</v>
      </c>
      <c r="AA3">
        <v>0.90224751075186405</v>
      </c>
      <c r="AB3">
        <v>3.2195990120513698</v>
      </c>
      <c r="AC3">
        <v>4.4637508426670296</v>
      </c>
      <c r="AD3">
        <v>1.8994684436880498E-2</v>
      </c>
      <c r="AE3">
        <v>6.2475792882632604</v>
      </c>
    </row>
    <row r="4" spans="1:35" x14ac:dyDescent="0.2">
      <c r="A4">
        <v>3</v>
      </c>
      <c r="B4">
        <v>755</v>
      </c>
      <c r="C4">
        <v>275</v>
      </c>
      <c r="D4">
        <v>0.30115304187132302</v>
      </c>
      <c r="E4">
        <v>105.069524886553</v>
      </c>
      <c r="F4">
        <v>2.2049179883729901</v>
      </c>
      <c r="G4">
        <v>-1714.147866456394</v>
      </c>
      <c r="H4">
        <v>-1432.0266499047023</v>
      </c>
      <c r="I4">
        <v>274.39694261702198</v>
      </c>
      <c r="J4">
        <v>142.205352744066</v>
      </c>
      <c r="K4">
        <v>47.652350536667498</v>
      </c>
      <c r="L4">
        <v>1.5733912657371003E-4</v>
      </c>
      <c r="M4">
        <v>1.7598247090256445E-5</v>
      </c>
      <c r="N4" s="1">
        <v>3.7230576341977299E-6</v>
      </c>
      <c r="O4" s="1">
        <v>1.0202229309916699E-7</v>
      </c>
      <c r="P4" s="1">
        <v>-5.1560521893686795E-7</v>
      </c>
      <c r="Q4">
        <v>71.872088557614106</v>
      </c>
      <c r="R4">
        <v>8.5657568259850797E-2</v>
      </c>
      <c r="S4">
        <v>12.1919272156536</v>
      </c>
      <c r="T4">
        <v>0.249494521864737</v>
      </c>
      <c r="V4">
        <v>0.614759707731382</v>
      </c>
      <c r="W4">
        <v>9.5175075844276605E-3</v>
      </c>
      <c r="X4">
        <v>0.10469258342871</v>
      </c>
      <c r="AA4">
        <v>0.90416322052064102</v>
      </c>
      <c r="AB4">
        <v>3.2264350711209899</v>
      </c>
      <c r="AC4">
        <v>4.4732285646809498</v>
      </c>
      <c r="AD4">
        <v>1.9035015168854301E-2</v>
      </c>
      <c r="AE4">
        <v>6.2490004663716299</v>
      </c>
    </row>
    <row r="5" spans="1:35" x14ac:dyDescent="0.2">
      <c r="A5">
        <v>4</v>
      </c>
      <c r="B5">
        <v>754</v>
      </c>
      <c r="C5">
        <v>275</v>
      </c>
      <c r="D5">
        <v>0.30040451735384299</v>
      </c>
      <c r="E5">
        <v>104.84754706500701</v>
      </c>
      <c r="F5">
        <v>2.2054130714153302</v>
      </c>
      <c r="G5">
        <v>-1710.1890695364841</v>
      </c>
      <c r="H5">
        <v>-1429.0530418496335</v>
      </c>
      <c r="I5">
        <v>273.70493860375802</v>
      </c>
      <c r="J5">
        <v>141.91361805437401</v>
      </c>
      <c r="K5">
        <v>47.541001921114301</v>
      </c>
      <c r="L5">
        <v>1.5737216116544999E-4</v>
      </c>
      <c r="M5">
        <v>1.7590005860025833E-5</v>
      </c>
      <c r="N5" s="1">
        <v>3.72038561046201E-6</v>
      </c>
      <c r="O5" s="1">
        <v>1.0174553889089001E-7</v>
      </c>
      <c r="P5" s="1">
        <v>-5.1481442041533004E-7</v>
      </c>
      <c r="Q5">
        <v>71.8242912164351</v>
      </c>
      <c r="R5">
        <v>8.5838918047552906E-2</v>
      </c>
      <c r="S5">
        <v>12.2177393354375</v>
      </c>
      <c r="T5">
        <v>0.25050279426143102</v>
      </c>
      <c r="V5">
        <v>0.61562928610608603</v>
      </c>
      <c r="W5">
        <v>9.5376575608388907E-3</v>
      </c>
      <c r="X5">
        <v>0.104914233169237</v>
      </c>
      <c r="AA5">
        <v>0.90607746827971603</v>
      </c>
      <c r="AB5">
        <v>3.2332659131244101</v>
      </c>
      <c r="AC5">
        <v>4.4826990535941897</v>
      </c>
      <c r="AD5">
        <v>1.9075315121676199E-2</v>
      </c>
      <c r="AE5">
        <v>6.2504288088620896</v>
      </c>
    </row>
    <row r="6" spans="1:35" x14ac:dyDescent="0.2">
      <c r="A6">
        <v>5</v>
      </c>
      <c r="B6">
        <v>753</v>
      </c>
      <c r="C6">
        <v>275</v>
      </c>
      <c r="D6">
        <v>0.29965453393753799</v>
      </c>
      <c r="E6">
        <v>104.626672724663</v>
      </c>
      <c r="F6">
        <v>2.2059081877579998</v>
      </c>
      <c r="G6">
        <v>-1706.2498430218345</v>
      </c>
      <c r="H6">
        <v>-1426.0943301602167</v>
      </c>
      <c r="I6">
        <v>273.01614078021498</v>
      </c>
      <c r="J6">
        <v>141.62333095068999</v>
      </c>
      <c r="K6">
        <v>47.430202809574602</v>
      </c>
      <c r="L6">
        <v>1.5740517557844729E-4</v>
      </c>
      <c r="M6">
        <v>1.7581758515663887E-5</v>
      </c>
      <c r="N6" s="1">
        <v>3.7177370433000299E-6</v>
      </c>
      <c r="O6" s="1">
        <v>1.01470184619677E-7</v>
      </c>
      <c r="P6" s="1">
        <v>-5.1402819968527304E-7</v>
      </c>
      <c r="Q6">
        <v>71.776521504832004</v>
      </c>
      <c r="R6">
        <v>8.6020130102814493E-2</v>
      </c>
      <c r="S6">
        <v>12.243531851303601</v>
      </c>
      <c r="T6">
        <v>0.25151459118458303</v>
      </c>
      <c r="V6">
        <v>0.61649434359518795</v>
      </c>
      <c r="W6">
        <v>9.5577922336456504E-3</v>
      </c>
      <c r="X6">
        <v>0.105135714570113</v>
      </c>
      <c r="AA6">
        <v>0.90799026219636403</v>
      </c>
      <c r="AB6">
        <v>3.2400915672059201</v>
      </c>
      <c r="AC6">
        <v>4.49216234981336</v>
      </c>
      <c r="AD6">
        <v>1.91155844672894E-2</v>
      </c>
      <c r="AE6">
        <v>6.2518643084949899</v>
      </c>
    </row>
    <row r="7" spans="1:35" x14ac:dyDescent="0.2">
      <c r="A7">
        <v>6</v>
      </c>
      <c r="B7">
        <v>752</v>
      </c>
      <c r="C7">
        <v>275</v>
      </c>
      <c r="D7">
        <v>0.29890308735307097</v>
      </c>
      <c r="E7">
        <v>104.406892913566</v>
      </c>
      <c r="F7">
        <v>2.20640333866191</v>
      </c>
      <c r="G7">
        <v>-1702.3300292408153</v>
      </c>
      <c r="H7">
        <v>-1423.1503936448671</v>
      </c>
      <c r="I7">
        <v>272.33052294390802</v>
      </c>
      <c r="J7">
        <v>141.334479740245</v>
      </c>
      <c r="K7">
        <v>47.319948752835401</v>
      </c>
      <c r="L7">
        <v>1.5743816963194017E-4</v>
      </c>
      <c r="M7">
        <v>1.7573505012702835E-5</v>
      </c>
      <c r="N7" s="1">
        <v>3.7151117494271799E-6</v>
      </c>
      <c r="O7" s="1">
        <v>1.01196218837487E-7</v>
      </c>
      <c r="P7" s="1">
        <v>-5.1324651951102799E-7</v>
      </c>
      <c r="Q7">
        <v>71.728779231167906</v>
      </c>
      <c r="R7">
        <v>8.6201205196775502E-2</v>
      </c>
      <c r="S7">
        <v>12.2693048730111</v>
      </c>
      <c r="T7">
        <v>0.25252993365471599</v>
      </c>
      <c r="V7">
        <v>0.61735486883961699</v>
      </c>
      <c r="W7">
        <v>9.5779116885301493E-3</v>
      </c>
      <c r="X7">
        <v>0.105357028573845</v>
      </c>
      <c r="AA7">
        <v>0.90990161041039497</v>
      </c>
      <c r="AB7">
        <v>3.24691206241177</v>
      </c>
      <c r="AC7">
        <v>4.5016184936090697</v>
      </c>
      <c r="AD7">
        <v>1.91558233770582E-2</v>
      </c>
      <c r="AE7">
        <v>6.2533069580590697</v>
      </c>
    </row>
    <row r="8" spans="1:35" x14ac:dyDescent="0.2">
      <c r="A8">
        <v>7</v>
      </c>
      <c r="B8">
        <v>751</v>
      </c>
      <c r="C8">
        <v>275</v>
      </c>
      <c r="D8">
        <v>0.29815017331445698</v>
      </c>
      <c r="E8">
        <v>104.188198776197</v>
      </c>
      <c r="F8">
        <v>2.2068985253867299</v>
      </c>
      <c r="G8">
        <v>-1698.4294722197158</v>
      </c>
      <c r="H8">
        <v>-1420.2211124176736</v>
      </c>
      <c r="I8">
        <v>271.648059173013</v>
      </c>
      <c r="J8">
        <v>141.04705285646199</v>
      </c>
      <c r="K8">
        <v>47.210235349602002</v>
      </c>
      <c r="L8">
        <v>1.5747114314405193E-4</v>
      </c>
      <c r="M8">
        <v>1.7565245306637815E-5</v>
      </c>
      <c r="N8" s="1">
        <v>3.71250954750326E-6</v>
      </c>
      <c r="O8" s="1">
        <v>1.0092363021871799E-7</v>
      </c>
      <c r="P8" s="1">
        <v>-5.1246934305208504E-7</v>
      </c>
      <c r="Q8">
        <v>71.681064204440005</v>
      </c>
      <c r="R8">
        <v>8.6382144098034602E-2</v>
      </c>
      <c r="S8">
        <v>12.295058509957601</v>
      </c>
      <c r="T8">
        <v>0.25354884280026102</v>
      </c>
      <c r="V8">
        <v>0.61821085035831203</v>
      </c>
      <c r="W8">
        <v>9.5980160108921908E-3</v>
      </c>
      <c r="X8">
        <v>0.105578176119829</v>
      </c>
      <c r="AA8">
        <v>0.91181152103479401</v>
      </c>
      <c r="AB8">
        <v>3.2537274276925099</v>
      </c>
      <c r="AC8">
        <v>4.5110675251192101</v>
      </c>
      <c r="AD8">
        <v>1.91960320217818E-2</v>
      </c>
      <c r="AE8">
        <v>6.2547567503466199</v>
      </c>
    </row>
    <row r="9" spans="1:35" x14ac:dyDescent="0.2">
      <c r="A9">
        <v>8</v>
      </c>
      <c r="B9">
        <v>750</v>
      </c>
      <c r="C9">
        <v>275</v>
      </c>
      <c r="D9">
        <v>0.29739578751893703</v>
      </c>
      <c r="E9">
        <v>103.97058155277099</v>
      </c>
      <c r="F9">
        <v>2.2073937491893001</v>
      </c>
      <c r="G9">
        <v>-1694.5480176700737</v>
      </c>
      <c r="H9">
        <v>-1417.3063678891847</v>
      </c>
      <c r="I9">
        <v>270.96872382435498</v>
      </c>
      <c r="J9">
        <v>140.761038858072</v>
      </c>
      <c r="K9">
        <v>47.101058246158402</v>
      </c>
      <c r="L9">
        <v>1.5750409593226603E-4</v>
      </c>
      <c r="M9">
        <v>1.7556979352981039E-5</v>
      </c>
      <c r="N9" s="1">
        <v>3.7099302581492401E-6</v>
      </c>
      <c r="O9" s="1">
        <v>1.00652407559698E-7</v>
      </c>
      <c r="P9" s="1">
        <v>-5.1169663386353704E-7</v>
      </c>
      <c r="Q9">
        <v>71.633376234366594</v>
      </c>
      <c r="R9">
        <v>8.6562947572166205E-2</v>
      </c>
      <c r="S9">
        <v>12.3207928711095</v>
      </c>
      <c r="T9">
        <v>0.25457133985637898</v>
      </c>
      <c r="V9">
        <v>0.61906227654467505</v>
      </c>
      <c r="W9">
        <v>9.6181052857956303E-3</v>
      </c>
      <c r="X9">
        <v>0.105799158143769</v>
      </c>
      <c r="AA9">
        <v>0.91372000215062599</v>
      </c>
      <c r="AB9">
        <v>3.2605376918847799</v>
      </c>
      <c r="AC9">
        <v>4.5205094843238101</v>
      </c>
      <c r="AD9">
        <v>1.9236210571588402E-2</v>
      </c>
      <c r="AE9">
        <v>6.2562136781901803</v>
      </c>
    </row>
    <row r="10" spans="1:35" x14ac:dyDescent="0.2">
      <c r="A10">
        <v>9</v>
      </c>
      <c r="B10">
        <v>749</v>
      </c>
      <c r="C10">
        <v>275</v>
      </c>
      <c r="D10">
        <v>0.29663992564692099</v>
      </c>
      <c r="E10">
        <v>103.75403257787301</v>
      </c>
      <c r="F10">
        <v>2.2078890113254501</v>
      </c>
      <c r="G10">
        <v>-1690.685512964355</v>
      </c>
      <c r="H10">
        <v>-1414.4060427479469</v>
      </c>
      <c r="I10">
        <v>270.29249152903901</v>
      </c>
      <c r="J10">
        <v>140.47642642723599</v>
      </c>
      <c r="K10">
        <v>46.992413135652797</v>
      </c>
      <c r="L10">
        <v>1.5753702781238431E-4</v>
      </c>
      <c r="M10">
        <v>1.7548707107180784E-5</v>
      </c>
      <c r="N10" s="1">
        <v>3.7073737038818099E-6</v>
      </c>
      <c r="O10" s="1">
        <v>1.0038253977605101E-7</v>
      </c>
      <c r="P10" s="1">
        <v>-5.1092835588455301E-7</v>
      </c>
      <c r="Q10">
        <v>71.585715131426397</v>
      </c>
      <c r="R10">
        <v>8.6743616381803307E-2</v>
      </c>
      <c r="S10">
        <v>12.3465080650149</v>
      </c>
      <c r="T10">
        <v>0.255597446165654</v>
      </c>
      <c r="V10">
        <v>0.61990913566654104</v>
      </c>
      <c r="W10">
        <v>9.6381795979774698E-3</v>
      </c>
      <c r="X10">
        <v>0.106019975577771</v>
      </c>
      <c r="AA10">
        <v>0.91562706180790499</v>
      </c>
      <c r="AB10">
        <v>3.2673428837144298</v>
      </c>
      <c r="AC10">
        <v>4.5299444110492697</v>
      </c>
      <c r="AD10">
        <v>1.92763591959518E-2</v>
      </c>
      <c r="AE10">
        <v>6.2576777344012298</v>
      </c>
    </row>
    <row r="11" spans="1:35" x14ac:dyDescent="0.2">
      <c r="A11">
        <v>10</v>
      </c>
      <c r="B11">
        <v>748</v>
      </c>
      <c r="C11">
        <v>275</v>
      </c>
      <c r="D11">
        <v>0.29588258336189799</v>
      </c>
      <c r="E11">
        <v>103.538543278286</v>
      </c>
      <c r="F11">
        <v>2.2083843130476501</v>
      </c>
      <c r="G11">
        <v>-1686.8418070992213</v>
      </c>
      <c r="H11">
        <v>-1411.5200209304789</v>
      </c>
      <c r="I11">
        <v>269.619337187231</v>
      </c>
      <c r="J11">
        <v>140.19320436691001</v>
      </c>
      <c r="K11">
        <v>46.884295757109001</v>
      </c>
      <c r="L11">
        <v>1.5756993860071926E-4</v>
      </c>
      <c r="M11">
        <v>1.7540428524757903E-5</v>
      </c>
      <c r="N11" s="1">
        <v>3.7048397091209199E-6</v>
      </c>
      <c r="O11" s="1">
        <v>1.00114015901886E-7</v>
      </c>
      <c r="P11" s="1">
        <v>-5.1016447344060503E-7</v>
      </c>
      <c r="Q11">
        <v>71.538080706549394</v>
      </c>
      <c r="R11">
        <v>8.6924151287414195E-2</v>
      </c>
      <c r="S11">
        <v>12.3722041999143</v>
      </c>
      <c r="T11">
        <v>0.256627183181112</v>
      </c>
      <c r="V11">
        <v>0.62075141587109195</v>
      </c>
      <c r="W11">
        <v>9.6582390319341297E-3</v>
      </c>
      <c r="X11">
        <v>0.10624062935129799</v>
      </c>
      <c r="AA11">
        <v>0.91753270803379405</v>
      </c>
      <c r="AB11">
        <v>3.2741430318257501</v>
      </c>
      <c r="AC11">
        <v>4.5393723450088697</v>
      </c>
      <c r="AD11">
        <v>1.9316478063864599E-2</v>
      </c>
      <c r="AE11">
        <v>6.25914891188103</v>
      </c>
    </row>
    <row r="12" spans="1:35" x14ac:dyDescent="0.2">
      <c r="A12">
        <v>11</v>
      </c>
      <c r="B12">
        <v>747</v>
      </c>
      <c r="C12">
        <v>275</v>
      </c>
      <c r="D12">
        <v>0.29512375631034898</v>
      </c>
      <c r="E12">
        <v>103.32410517363699</v>
      </c>
      <c r="F12">
        <v>2.2088796556072201</v>
      </c>
      <c r="G12">
        <v>-1683.0167507043611</v>
      </c>
      <c r="H12">
        <v>-1408.6481876311957</v>
      </c>
      <c r="I12">
        <v>268.94923596840101</v>
      </c>
      <c r="J12">
        <v>139.91136160140499</v>
      </c>
      <c r="K12">
        <v>46.776701895619098</v>
      </c>
      <c r="L12">
        <v>1.5760282811120286E-4</v>
      </c>
      <c r="M12">
        <v>1.7532143561147E-5</v>
      </c>
      <c r="N12" s="1">
        <v>3.7023281001518001E-6</v>
      </c>
      <c r="O12" s="1">
        <v>9.9846825088010701E-8</v>
      </c>
      <c r="P12" s="1">
        <v>-5.0940495123220001E-7</v>
      </c>
      <c r="Q12">
        <v>71.490472771652705</v>
      </c>
      <c r="R12">
        <v>8.7104553045735902E-2</v>
      </c>
      <c r="S12">
        <v>12.397881383516699</v>
      </c>
      <c r="T12">
        <v>0.25766057246146701</v>
      </c>
      <c r="V12">
        <v>0.62158910517393695</v>
      </c>
      <c r="W12">
        <v>9.6782836717474799E-3</v>
      </c>
      <c r="X12">
        <v>0.106461120389249</v>
      </c>
      <c r="AA12">
        <v>0.91943694881607496</v>
      </c>
      <c r="AB12">
        <v>3.2809381647225</v>
      </c>
      <c r="AC12">
        <v>4.5487933257211202</v>
      </c>
      <c r="AD12">
        <v>1.9356567343490599E-2</v>
      </c>
      <c r="AE12">
        <v>6.2606272034851802</v>
      </c>
    </row>
    <row r="13" spans="1:35" x14ac:dyDescent="0.2">
      <c r="A13">
        <v>12</v>
      </c>
      <c r="B13">
        <v>746</v>
      </c>
      <c r="C13">
        <v>275</v>
      </c>
      <c r="D13">
        <v>0.29436344012167098</v>
      </c>
      <c r="E13">
        <v>103.11070987216701</v>
      </c>
      <c r="F13">
        <v>2.2093750402544701</v>
      </c>
      <c r="G13">
        <v>-1679.2101959714223</v>
      </c>
      <c r="H13">
        <v>-1405.790429243466</v>
      </c>
      <c r="I13">
        <v>268.28216330074702</v>
      </c>
      <c r="J13">
        <v>139.63088717113101</v>
      </c>
      <c r="K13">
        <v>46.669627380370599</v>
      </c>
      <c r="L13">
        <v>1.5763569615778221E-4</v>
      </c>
      <c r="M13">
        <v>1.7523852171782343E-5</v>
      </c>
      <c r="N13" s="1">
        <v>3.6998387050446101E-6</v>
      </c>
      <c r="O13" s="1">
        <v>9.9580956598804499E-8</v>
      </c>
      <c r="P13" s="1">
        <v>-5.0864975432736198E-7</v>
      </c>
      <c r="Q13">
        <v>71.442891138903207</v>
      </c>
      <c r="R13">
        <v>8.7284822412318899E-2</v>
      </c>
      <c r="S13">
        <v>12.423539723360699</v>
      </c>
      <c r="T13">
        <v>0.25869763568023701</v>
      </c>
      <c r="V13">
        <v>0.62242219147595701</v>
      </c>
      <c r="W13">
        <v>9.69831360136773E-3</v>
      </c>
      <c r="X13">
        <v>0.106681449615074</v>
      </c>
      <c r="AA13">
        <v>0.92133979213000505</v>
      </c>
      <c r="AB13">
        <v>3.28772831086378</v>
      </c>
      <c r="AC13">
        <v>4.5582073926426299</v>
      </c>
      <c r="AD13">
        <v>1.9396627202730901E-2</v>
      </c>
      <c r="AE13">
        <v>6.2621126021117703</v>
      </c>
    </row>
    <row r="14" spans="1:35" x14ac:dyDescent="0.2">
      <c r="A14">
        <v>13</v>
      </c>
      <c r="B14">
        <v>745</v>
      </c>
      <c r="C14">
        <v>275</v>
      </c>
      <c r="D14">
        <v>0.29360163040809401</v>
      </c>
      <c r="E14">
        <v>102.898349072779</v>
      </c>
      <c r="F14">
        <v>2.2098704682361601</v>
      </c>
      <c r="G14">
        <v>-1675.4219966868031</v>
      </c>
      <c r="H14">
        <v>-1402.9466333889661</v>
      </c>
      <c r="I14">
        <v>267.61809487583997</v>
      </c>
      <c r="J14">
        <v>139.35177023508999</v>
      </c>
      <c r="K14">
        <v>46.563068085573804</v>
      </c>
      <c r="L14">
        <v>1.5766854255330745E-4</v>
      </c>
      <c r="M14">
        <v>1.7515554312115764E-5</v>
      </c>
      <c r="N14" s="1">
        <v>3.6973713537396602E-6</v>
      </c>
      <c r="O14" s="1">
        <v>9.9316399813661906E-8</v>
      </c>
      <c r="P14" s="1">
        <v>-5.0789884816752702E-7</v>
      </c>
      <c r="Q14">
        <v>71.395335621419406</v>
      </c>
      <c r="R14">
        <v>8.7464960138813302E-2</v>
      </c>
      <c r="S14">
        <v>12.4491793264324</v>
      </c>
      <c r="T14">
        <v>0.25973839461672799</v>
      </c>
      <c r="V14">
        <v>0.62325066254426298</v>
      </c>
      <c r="W14">
        <v>9.7183289043114799E-3</v>
      </c>
      <c r="X14">
        <v>0.10690161794745701</v>
      </c>
      <c r="AA14">
        <v>0.92324124590966605</v>
      </c>
      <c r="AB14">
        <v>3.2945134985617202</v>
      </c>
      <c r="AC14">
        <v>4.5676145850261696</v>
      </c>
      <c r="AD14">
        <v>1.9436657808617998E-2</v>
      </c>
      <c r="AE14">
        <v>6.2636051006903504</v>
      </c>
    </row>
    <row r="15" spans="1:35" x14ac:dyDescent="0.2">
      <c r="A15">
        <v>14</v>
      </c>
      <c r="B15">
        <v>744</v>
      </c>
      <c r="C15">
        <v>275</v>
      </c>
      <c r="D15">
        <v>0.29283832276459099</v>
      </c>
      <c r="E15">
        <v>102.68701456237901</v>
      </c>
      <c r="F15">
        <v>2.21036594079732</v>
      </c>
      <c r="G15">
        <v>-1671.6520081862709</v>
      </c>
      <c r="H15">
        <v>-1400.1166888810403</v>
      </c>
      <c r="I15">
        <v>266.95700664133102</v>
      </c>
      <c r="J15">
        <v>139.074000067459</v>
      </c>
      <c r="K15">
        <v>46.457019929169697</v>
      </c>
      <c r="L15">
        <v>1.5770136710961872E-4</v>
      </c>
      <c r="M15">
        <v>1.7507249937577223E-5</v>
      </c>
      <c r="N15" s="1">
        <v>3.6949258779595699E-6</v>
      </c>
      <c r="O15" s="1">
        <v>9.9053144223786899E-8</v>
      </c>
      <c r="P15" s="1">
        <v>-5.0715219855547395E-7</v>
      </c>
      <c r="Q15">
        <v>71.347806032974503</v>
      </c>
      <c r="R15">
        <v>8.7644966974213895E-2</v>
      </c>
      <c r="S15">
        <v>12.474800299338</v>
      </c>
      <c r="T15">
        <v>0.26078287116093202</v>
      </c>
      <c r="V15">
        <v>0.624074506020588</v>
      </c>
      <c r="W15">
        <v>9.7383296638003693E-3</v>
      </c>
      <c r="X15">
        <v>0.107121626301837</v>
      </c>
      <c r="AA15">
        <v>0.92514131806111499</v>
      </c>
      <c r="AB15">
        <v>3.3012937560284601</v>
      </c>
      <c r="AC15">
        <v>4.5770149419859498</v>
      </c>
      <c r="AD15">
        <v>1.94766593275956E-2</v>
      </c>
      <c r="AE15">
        <v>6.2651046921628604</v>
      </c>
    </row>
    <row r="16" spans="1:35" x14ac:dyDescent="0.2">
      <c r="A16">
        <v>15</v>
      </c>
      <c r="B16">
        <v>743</v>
      </c>
      <c r="C16">
        <v>275</v>
      </c>
      <c r="D16">
        <v>0.29207351276878402</v>
      </c>
      <c r="E16">
        <v>102.476698214094</v>
      </c>
      <c r="F16">
        <v>2.2108614591826101</v>
      </c>
      <c r="G16">
        <v>-1667.9000873239877</v>
      </c>
      <c r="H16">
        <v>-1397.3004857002359</v>
      </c>
      <c r="I16">
        <v>266.29887479579901</v>
      </c>
      <c r="J16">
        <v>138.79756605524</v>
      </c>
      <c r="K16">
        <v>46.351478871942298</v>
      </c>
      <c r="L16">
        <v>1.5773416963725862E-4</v>
      </c>
      <c r="M16">
        <v>1.7498939003533164E-5</v>
      </c>
      <c r="N16" s="1">
        <v>3.692502111147E-6</v>
      </c>
      <c r="O16" s="1">
        <v>9.8791179429715102E-8</v>
      </c>
      <c r="P16" s="1">
        <v>-5.0640977164566104E-7</v>
      </c>
      <c r="Q16">
        <v>71.300302187881698</v>
      </c>
      <c r="R16">
        <v>8.7824843665411004E-2</v>
      </c>
      <c r="S16">
        <v>12.5004027483856</v>
      </c>
      <c r="T16">
        <v>0.26183108731577498</v>
      </c>
      <c r="V16">
        <v>0.62489370942428302</v>
      </c>
      <c r="W16">
        <v>9.7583159628222005E-3</v>
      </c>
      <c r="X16">
        <v>0.107341475591079</v>
      </c>
      <c r="AA16">
        <v>0.92704001646819401</v>
      </c>
      <c r="AB16">
        <v>3.3080691113968701</v>
      </c>
      <c r="AC16">
        <v>4.5864085025261998</v>
      </c>
      <c r="AD16">
        <v>1.9516631925638999E-2</v>
      </c>
      <c r="AE16">
        <v>6.2666113694563297</v>
      </c>
    </row>
    <row r="17" spans="1:31" x14ac:dyDescent="0.2">
      <c r="A17">
        <v>16</v>
      </c>
      <c r="B17">
        <v>742</v>
      </c>
      <c r="C17">
        <v>275</v>
      </c>
      <c r="D17">
        <v>0.291307195980888</v>
      </c>
      <c r="E17">
        <v>102.267391987412</v>
      </c>
      <c r="F17">
        <v>2.2113570246318601</v>
      </c>
      <c r="G17">
        <v>-1664.166092474346</v>
      </c>
      <c r="H17">
        <v>-1394.4979149966716</v>
      </c>
      <c r="I17">
        <v>265.64367578946297</v>
      </c>
      <c r="J17">
        <v>138.522457698545</v>
      </c>
      <c r="K17">
        <v>46.246440917625101</v>
      </c>
      <c r="L17">
        <v>1.5776694994715462E-4</v>
      </c>
      <c r="M17">
        <v>1.749062146545346E-5</v>
      </c>
      <c r="N17" s="1">
        <v>3.6900998885571999E-6</v>
      </c>
      <c r="O17" s="1">
        <v>9.8530495142847996E-8</v>
      </c>
      <c r="P17" s="1">
        <v>-5.0567153395551802E-7</v>
      </c>
      <c r="Q17">
        <v>71.252823901153107</v>
      </c>
      <c r="R17">
        <v>8.8004590956109699E-2</v>
      </c>
      <c r="S17">
        <v>12.525986779428999</v>
      </c>
      <c r="T17">
        <v>0.262883065193808</v>
      </c>
      <c r="V17">
        <v>0.62570826014493997</v>
      </c>
      <c r="W17">
        <v>9.7782878840108594E-3</v>
      </c>
      <c r="X17">
        <v>0.107561166724156</v>
      </c>
      <c r="AA17">
        <v>0.92893734898112301</v>
      </c>
      <c r="AB17">
        <v>3.31483959267984</v>
      </c>
      <c r="AC17">
        <v>4.5957953054848604</v>
      </c>
      <c r="AD17">
        <v>1.9556575768015901E-2</v>
      </c>
      <c r="AE17">
        <v>6.26812512560093</v>
      </c>
    </row>
    <row r="18" spans="1:31" x14ac:dyDescent="0.2">
      <c r="A18">
        <v>17</v>
      </c>
      <c r="B18">
        <v>741</v>
      </c>
      <c r="C18">
        <v>275</v>
      </c>
      <c r="D18">
        <v>0.29053936794360102</v>
      </c>
      <c r="E18">
        <v>100.802636312709</v>
      </c>
      <c r="F18">
        <v>2.2123086645333001</v>
      </c>
      <c r="G18">
        <v>-1639.5552027175308</v>
      </c>
      <c r="H18">
        <v>-1374.2826109737243</v>
      </c>
      <c r="I18">
        <v>261.57135704166598</v>
      </c>
      <c r="J18">
        <v>136.49654475346799</v>
      </c>
      <c r="K18">
        <v>45.564453970067397</v>
      </c>
      <c r="L18">
        <v>1.574978934682596E-4</v>
      </c>
      <c r="M18">
        <v>1.7455905965719831E-5</v>
      </c>
      <c r="N18" s="1">
        <v>3.6314965597368401E-6</v>
      </c>
      <c r="O18" s="1">
        <v>9.6795741788387895E-8</v>
      </c>
      <c r="P18" s="1">
        <v>-4.9741900120492797E-7</v>
      </c>
      <c r="Q18">
        <v>71.222535350952796</v>
      </c>
      <c r="R18">
        <v>8.9283379177511904E-2</v>
      </c>
      <c r="S18">
        <v>12.534486108526</v>
      </c>
      <c r="T18">
        <v>0.26723959554252502</v>
      </c>
      <c r="V18">
        <v>0.634317545818464</v>
      </c>
      <c r="W18">
        <v>9.9203754641664608E-3</v>
      </c>
      <c r="X18">
        <v>0.109124130105873</v>
      </c>
      <c r="AA18">
        <v>0.91184269914529603</v>
      </c>
      <c r="AB18">
        <v>3.2981285128839599</v>
      </c>
      <c r="AC18">
        <v>4.6522654154555303</v>
      </c>
      <c r="AD18">
        <v>1.9840750928326399E-2</v>
      </c>
      <c r="AE18">
        <v>6.2510161359993903</v>
      </c>
    </row>
    <row r="19" spans="1:31" x14ac:dyDescent="0.2">
      <c r="A19">
        <v>18</v>
      </c>
      <c r="B19">
        <v>740</v>
      </c>
      <c r="C19">
        <v>275</v>
      </c>
      <c r="D19">
        <v>0.28977002418201098</v>
      </c>
      <c r="E19">
        <v>99.163847707848504</v>
      </c>
      <c r="F19">
        <v>2.2133515326231601</v>
      </c>
      <c r="G19">
        <v>-1612.0659630535713</v>
      </c>
      <c r="H19">
        <v>-1351.6574907055915</v>
      </c>
      <c r="I19">
        <v>257.028546955514</v>
      </c>
      <c r="J19">
        <v>134.228800761142</v>
      </c>
      <c r="K19">
        <v>44.802574849158297</v>
      </c>
      <c r="L19">
        <v>1.5717800613303901E-4</v>
      </c>
      <c r="M19">
        <v>1.7416820025297666E-5</v>
      </c>
      <c r="N19" s="1">
        <v>3.56498246820014E-6</v>
      </c>
      <c r="O19" s="1">
        <v>9.4860130667302296E-8</v>
      </c>
      <c r="P19" s="1">
        <v>-4.8811181318571897E-7</v>
      </c>
      <c r="Q19">
        <v>71.194250815167905</v>
      </c>
      <c r="R19">
        <v>9.0758882476160305E-2</v>
      </c>
      <c r="S19">
        <v>12.5408561673046</v>
      </c>
      <c r="T19">
        <v>0.27219977989924998</v>
      </c>
      <c r="V19">
        <v>0.64431103632383502</v>
      </c>
      <c r="W19">
        <v>1.00843202751273E-2</v>
      </c>
      <c r="X19">
        <v>0.110927523026446</v>
      </c>
      <c r="AA19">
        <v>0.89304518131889399</v>
      </c>
      <c r="AB19">
        <v>3.2767466843373501</v>
      </c>
      <c r="AC19">
        <v>4.7158822015080002</v>
      </c>
      <c r="AD19">
        <v>2.0168640550247498E-2</v>
      </c>
      <c r="AE19">
        <v>6.2307687678120303</v>
      </c>
    </row>
    <row r="20" spans="1:31" x14ac:dyDescent="0.2">
      <c r="A20">
        <v>19</v>
      </c>
      <c r="B20">
        <v>739</v>
      </c>
      <c r="C20">
        <v>275</v>
      </c>
      <c r="D20">
        <v>0.28899916020352701</v>
      </c>
      <c r="E20">
        <v>43.452965995299301</v>
      </c>
      <c r="F20">
        <v>2.2157071309219099</v>
      </c>
      <c r="G20">
        <v>-706.56585285103722</v>
      </c>
      <c r="H20">
        <v>-592.80899705544425</v>
      </c>
      <c r="I20">
        <v>112.391301482579</v>
      </c>
      <c r="J20">
        <v>58.838199279390302</v>
      </c>
      <c r="K20">
        <v>19.611331023346601</v>
      </c>
      <c r="L20">
        <v>1.5650410059449215E-4</v>
      </c>
      <c r="M20">
        <v>1.7374518780826715E-5</v>
      </c>
      <c r="N20" s="1">
        <v>1.55343666771325E-6</v>
      </c>
      <c r="O20" s="1">
        <v>4.1269608080691898E-8</v>
      </c>
      <c r="P20" s="1">
        <v>-2.1174215468257199E-7</v>
      </c>
      <c r="Q20">
        <v>70.998484169480903</v>
      </c>
      <c r="R20">
        <v>0.118967514651363</v>
      </c>
      <c r="S20">
        <v>12.8520987504095</v>
      </c>
      <c r="T20">
        <v>0.25082507602757997</v>
      </c>
      <c r="V20">
        <v>0.59685157924104104</v>
      </c>
      <c r="W20">
        <v>2.3013388777828599E-2</v>
      </c>
      <c r="X20">
        <v>0.13374950135722599</v>
      </c>
      <c r="AA20">
        <v>0.85286459692591599</v>
      </c>
      <c r="AB20">
        <v>3.1606273114208698</v>
      </c>
      <c r="AC20">
        <v>4.7775974315799603</v>
      </c>
      <c r="AD20">
        <v>4.6026777555613498E-2</v>
      </c>
      <c r="AE20">
        <v>6.1888939025721497</v>
      </c>
    </row>
    <row r="21" spans="1:31" x14ac:dyDescent="0.2">
      <c r="A21">
        <v>20</v>
      </c>
      <c r="B21">
        <v>738</v>
      </c>
      <c r="C21">
        <v>275</v>
      </c>
      <c r="D21">
        <v>0.28822677149780002</v>
      </c>
      <c r="E21">
        <v>23.3771225970446</v>
      </c>
      <c r="F21">
        <v>2.2193347155372898</v>
      </c>
      <c r="G21">
        <v>-380.21375841865819</v>
      </c>
      <c r="H21">
        <v>-319.24293557875814</v>
      </c>
      <c r="I21">
        <v>60.298494624833197</v>
      </c>
      <c r="J21">
        <v>31.672353240827</v>
      </c>
      <c r="K21">
        <v>10.533392026621399</v>
      </c>
      <c r="L21">
        <v>1.5570772436387595E-4</v>
      </c>
      <c r="M21">
        <v>1.7337641541685695E-5</v>
      </c>
      <c r="N21" s="1">
        <v>8.2992967384899896E-7</v>
      </c>
      <c r="O21" s="1">
        <v>2.20139999424991E-8</v>
      </c>
      <c r="P21" s="1">
        <v>-1.1234002487687201E-7</v>
      </c>
      <c r="Q21">
        <v>70.673995425540099</v>
      </c>
      <c r="R21">
        <v>0.14233303449983301</v>
      </c>
      <c r="S21">
        <v>13.3380861630827</v>
      </c>
      <c r="T21">
        <v>0.23575722970103</v>
      </c>
      <c r="V21">
        <v>0.56727160324317005</v>
      </c>
      <c r="W21">
        <v>4.27768642547115E-2</v>
      </c>
      <c r="X21">
        <v>0.137935350392006</v>
      </c>
      <c r="AA21">
        <v>0.83564886060312005</v>
      </c>
      <c r="AB21">
        <v>2.9685636079349802</v>
      </c>
      <c r="AC21">
        <v>4.8331715145621104</v>
      </c>
      <c r="AD21">
        <v>8.5553728509316598E-2</v>
      </c>
      <c r="AE21">
        <v>6.1389066176767697</v>
      </c>
    </row>
    <row r="22" spans="1:31" x14ac:dyDescent="0.2">
      <c r="A22">
        <v>21</v>
      </c>
      <c r="B22">
        <v>737</v>
      </c>
      <c r="C22">
        <v>275</v>
      </c>
      <c r="D22">
        <v>0.28745285353660599</v>
      </c>
      <c r="E22">
        <v>17.243330250152798</v>
      </c>
      <c r="F22">
        <v>2.2221660163682002</v>
      </c>
      <c r="G22">
        <v>-280.48737744942673</v>
      </c>
      <c r="H22">
        <v>-235.65486651927881</v>
      </c>
      <c r="I22">
        <v>44.382033292231803</v>
      </c>
      <c r="J22">
        <v>23.373604649175</v>
      </c>
      <c r="K22">
        <v>7.7596948756935902</v>
      </c>
      <c r="L22">
        <v>1.5516494103380671E-4</v>
      </c>
      <c r="M22">
        <v>1.7313423044446979E-5</v>
      </c>
      <c r="N22" s="1">
        <v>6.0950617064290699E-7</v>
      </c>
      <c r="O22" s="1">
        <v>1.6139595847061899E-8</v>
      </c>
      <c r="P22" s="1">
        <v>-8.2039845998421696E-8</v>
      </c>
      <c r="Q22">
        <v>70.411764720109304</v>
      </c>
      <c r="R22">
        <v>0.15335178642514199</v>
      </c>
      <c r="S22">
        <v>13.7165569924823</v>
      </c>
      <c r="T22">
        <v>0.226920695922844</v>
      </c>
      <c r="V22">
        <v>0.55047424308458204</v>
      </c>
      <c r="W22">
        <v>5.7993437780997602E-2</v>
      </c>
      <c r="X22">
        <v>0.13930257605674601</v>
      </c>
      <c r="AA22">
        <v>0.82852457179891803</v>
      </c>
      <c r="AB22">
        <v>2.8232917753689701</v>
      </c>
      <c r="AC22">
        <v>4.8706280794138097</v>
      </c>
      <c r="AD22">
        <v>0.11598687556182399</v>
      </c>
      <c r="AE22">
        <v>6.1052042459944103</v>
      </c>
    </row>
    <row r="23" spans="1:31" x14ac:dyDescent="0.2">
      <c r="A23">
        <v>22</v>
      </c>
      <c r="B23">
        <v>736</v>
      </c>
      <c r="C23">
        <v>275</v>
      </c>
      <c r="D23">
        <v>0.28667740177377199</v>
      </c>
      <c r="E23">
        <v>14.033794778771499</v>
      </c>
      <c r="F23">
        <v>2.2245069985874499</v>
      </c>
      <c r="G23">
        <v>-228.29676724029034</v>
      </c>
      <c r="H23">
        <v>-191.90853877370466</v>
      </c>
      <c r="I23">
        <v>36.058295066725101</v>
      </c>
      <c r="J23">
        <v>19.032481201249301</v>
      </c>
      <c r="K23">
        <v>6.3087213426089201</v>
      </c>
      <c r="L23">
        <v>1.5480060432042369E-4</v>
      </c>
      <c r="M23">
        <v>1.7300423053697987E-5</v>
      </c>
      <c r="N23" s="1">
        <v>4.9482810762812195E-7</v>
      </c>
      <c r="O23" s="1">
        <v>1.3079050824591801E-8</v>
      </c>
      <c r="P23" s="1">
        <v>-6.6274433131150794E-8</v>
      </c>
      <c r="Q23">
        <v>70.176076709275804</v>
      </c>
      <c r="R23">
        <v>0.15158842266636799</v>
      </c>
      <c r="S23">
        <v>14.0465015002305</v>
      </c>
      <c r="T23">
        <v>0.22282277969137201</v>
      </c>
      <c r="V23">
        <v>0.54424621837450504</v>
      </c>
      <c r="W23">
        <v>7.0937216648574705E-2</v>
      </c>
      <c r="X23">
        <v>0.137949805830863</v>
      </c>
      <c r="AA23">
        <v>0.82475997325127504</v>
      </c>
      <c r="AB23">
        <v>2.7046342450638399</v>
      </c>
      <c r="AC23">
        <v>4.8948624653810899</v>
      </c>
      <c r="AD23">
        <v>0.14251312859589699</v>
      </c>
      <c r="AE23">
        <v>6.0831075349897796</v>
      </c>
    </row>
    <row r="24" spans="1:31" x14ac:dyDescent="0.2">
      <c r="A24">
        <v>23</v>
      </c>
      <c r="B24">
        <v>735</v>
      </c>
      <c r="C24">
        <v>275</v>
      </c>
      <c r="D24">
        <v>0.285900411645091</v>
      </c>
      <c r="E24">
        <v>12.087787025139299</v>
      </c>
      <c r="F24">
        <v>2.22655211382963</v>
      </c>
      <c r="G24">
        <v>-196.65221492332751</v>
      </c>
      <c r="H24">
        <v>-165.38867928743144</v>
      </c>
      <c r="I24">
        <v>31.0107976351694</v>
      </c>
      <c r="J24">
        <v>16.4007993091817</v>
      </c>
      <c r="K24">
        <v>5.4289261634880699</v>
      </c>
      <c r="L24">
        <v>1.5450864152339282E-4</v>
      </c>
      <c r="M24">
        <v>1.7289997514128393E-5</v>
      </c>
      <c r="N24" s="1">
        <v>4.2546226367186198E-7</v>
      </c>
      <c r="O24" s="1">
        <v>1.12246833236294E-8</v>
      </c>
      <c r="P24" s="1">
        <v>-5.67302384462786E-8</v>
      </c>
      <c r="Q24">
        <v>69.968094991132503</v>
      </c>
      <c r="R24">
        <v>0.151648466956362</v>
      </c>
      <c r="S24">
        <v>14.333007246474899</v>
      </c>
      <c r="T24">
        <v>0.21876186185461999</v>
      </c>
      <c r="V24">
        <v>0.53728083379580305</v>
      </c>
      <c r="W24">
        <v>8.2090276589608199E-2</v>
      </c>
      <c r="X24">
        <v>0.137042932411404</v>
      </c>
      <c r="AA24">
        <v>0.82302219902873297</v>
      </c>
      <c r="AB24">
        <v>2.6050002653883002</v>
      </c>
      <c r="AC24">
        <v>4.9131298659686298</v>
      </c>
      <c r="AD24">
        <v>0.16545625728149899</v>
      </c>
      <c r="AE24">
        <v>6.0654648031175098</v>
      </c>
    </row>
    <row r="25" spans="1:31" x14ac:dyDescent="0.2">
      <c r="A25">
        <v>24</v>
      </c>
      <c r="B25">
        <v>734</v>
      </c>
      <c r="C25">
        <v>275</v>
      </c>
      <c r="D25">
        <v>0.28512187856823701</v>
      </c>
      <c r="E25">
        <v>10.744630753918001</v>
      </c>
      <c r="F25">
        <v>2.2283909542178799</v>
      </c>
      <c r="G25">
        <v>-174.81009715687097</v>
      </c>
      <c r="H25">
        <v>-147.08621375922624</v>
      </c>
      <c r="I25">
        <v>27.527064883725998</v>
      </c>
      <c r="J25">
        <v>14.5847308312946</v>
      </c>
      <c r="K25">
        <v>4.8216991428639204</v>
      </c>
      <c r="L25">
        <v>1.542727381486705E-4</v>
      </c>
      <c r="M25">
        <v>1.7282074431630759E-5</v>
      </c>
      <c r="N25" s="1">
        <v>3.77735762878322E-7</v>
      </c>
      <c r="O25" s="1">
        <v>9.9466955192743292E-9</v>
      </c>
      <c r="P25" s="1">
        <v>-5.0158906286848802E-8</v>
      </c>
      <c r="Q25">
        <v>69.777451602279498</v>
      </c>
      <c r="R25">
        <v>0.15153671624651199</v>
      </c>
      <c r="S25">
        <v>14.5917334678581</v>
      </c>
      <c r="T25">
        <v>0.21514093873142501</v>
      </c>
      <c r="V25">
        <v>0.53086234904566099</v>
      </c>
      <c r="W25">
        <v>9.2071794874566903E-2</v>
      </c>
      <c r="X25">
        <v>0.13613532373006301</v>
      </c>
      <c r="AA25">
        <v>0.82256157205606695</v>
      </c>
      <c r="AB25">
        <v>2.5182001407463801</v>
      </c>
      <c r="AC25">
        <v>4.9268398940898104</v>
      </c>
      <c r="AD25">
        <v>0.18613948173749201</v>
      </c>
      <c r="AE25">
        <v>6.0513267186042201</v>
      </c>
    </row>
    <row r="26" spans="1:31" x14ac:dyDescent="0.2">
      <c r="A26">
        <v>25</v>
      </c>
      <c r="B26">
        <v>757</v>
      </c>
      <c r="C26">
        <v>250</v>
      </c>
      <c r="D26">
        <v>0.32934087268844398</v>
      </c>
      <c r="E26">
        <v>104.913356647466</v>
      </c>
      <c r="F26">
        <v>2.2048621774181298</v>
      </c>
      <c r="G26">
        <v>-1711.2915440737829</v>
      </c>
      <c r="H26">
        <v>-1431.0938501322273</v>
      </c>
      <c r="I26">
        <v>271.99698484837597</v>
      </c>
      <c r="J26">
        <v>141.641219355338</v>
      </c>
      <c r="K26">
        <v>47.582727719660902</v>
      </c>
      <c r="L26">
        <v>1.5321000789940057E-4</v>
      </c>
      <c r="M26">
        <v>1.7582519449373356E-5</v>
      </c>
      <c r="N26" s="1">
        <v>3.5260913415192302E-6</v>
      </c>
      <c r="O26" s="1">
        <v>9.8664902166022301E-8</v>
      </c>
      <c r="P26" s="1">
        <v>-5.0027609047462198E-7</v>
      </c>
      <c r="Q26">
        <v>72.1929050983737</v>
      </c>
      <c r="R26">
        <v>8.5785073393868899E-2</v>
      </c>
      <c r="S26">
        <v>12.2100754463945</v>
      </c>
      <c r="T26">
        <v>0.25200893934176599</v>
      </c>
      <c r="V26">
        <v>0.61374647983393205</v>
      </c>
      <c r="W26">
        <v>9.5316748215409104E-3</v>
      </c>
      <c r="X26">
        <v>0.10484842303695199</v>
      </c>
      <c r="AA26">
        <v>0.90550910804639195</v>
      </c>
      <c r="AB26">
        <v>3.2312377645023802</v>
      </c>
      <c r="AC26">
        <v>4.4798871661242101</v>
      </c>
      <c r="AD26">
        <v>1.9063349643081502E-2</v>
      </c>
      <c r="AE26">
        <v>5.8954014764874998</v>
      </c>
    </row>
    <row r="27" spans="1:31" x14ac:dyDescent="0.2">
      <c r="A27">
        <v>26</v>
      </c>
      <c r="B27">
        <v>756</v>
      </c>
      <c r="C27">
        <v>250</v>
      </c>
      <c r="D27">
        <v>0.32862119224602798</v>
      </c>
      <c r="E27">
        <v>104.896705816535</v>
      </c>
      <c r="F27">
        <v>2.2052418089788701</v>
      </c>
      <c r="G27">
        <v>-1710.7372502557898</v>
      </c>
      <c r="H27">
        <v>-1431.0032699648309</v>
      </c>
      <c r="I27">
        <v>271.81069843167501</v>
      </c>
      <c r="J27">
        <v>141.605372069955</v>
      </c>
      <c r="K27">
        <v>47.566985801483</v>
      </c>
      <c r="L27">
        <v>1.5314703913356414E-4</v>
      </c>
      <c r="M27">
        <v>1.7573233804655913E-5</v>
      </c>
      <c r="N27" s="1">
        <v>3.5290580892288401E-6</v>
      </c>
      <c r="O27" s="1">
        <v>9.8555737937320503E-8</v>
      </c>
      <c r="P27" s="1">
        <v>-5.0001036299335702E-7</v>
      </c>
      <c r="Q27">
        <v>72.190343612694704</v>
      </c>
      <c r="R27">
        <v>8.5798690530292598E-2</v>
      </c>
      <c r="S27">
        <v>12.2120136188126</v>
      </c>
      <c r="T27">
        <v>0.25245507688030699</v>
      </c>
      <c r="V27">
        <v>0.613478458645911</v>
      </c>
      <c r="W27">
        <v>9.5331878366990402E-3</v>
      </c>
      <c r="X27">
        <v>0.104865066203693</v>
      </c>
      <c r="AA27">
        <v>0.90565284448641903</v>
      </c>
      <c r="AB27">
        <v>3.2317506766409898</v>
      </c>
      <c r="AC27">
        <v>4.4805982832485203</v>
      </c>
      <c r="AD27">
        <v>1.9066375673397501E-2</v>
      </c>
      <c r="AE27">
        <v>5.8944441083463399</v>
      </c>
    </row>
    <row r="28" spans="1:31" x14ac:dyDescent="0.2">
      <c r="A28">
        <v>27</v>
      </c>
      <c r="B28">
        <v>755</v>
      </c>
      <c r="C28">
        <v>250</v>
      </c>
      <c r="D28">
        <v>0.32790011185138401</v>
      </c>
      <c r="E28">
        <v>104.68037437502799</v>
      </c>
      <c r="F28">
        <v>2.2057361811556002</v>
      </c>
      <c r="G28">
        <v>-1706.8736688599554</v>
      </c>
      <c r="H28">
        <v>-1428.1056134830881</v>
      </c>
      <c r="I28">
        <v>271.13558855893302</v>
      </c>
      <c r="J28">
        <v>141.321129482277</v>
      </c>
      <c r="K28">
        <v>47.458247849108403</v>
      </c>
      <c r="L28">
        <v>1.531758344136109E-4</v>
      </c>
      <c r="M28">
        <v>1.7564819823286331E-5</v>
      </c>
      <c r="N28" s="1">
        <v>3.5264762789565701E-6</v>
      </c>
      <c r="O28" s="1">
        <v>9.8290108539539099E-8</v>
      </c>
      <c r="P28" s="1">
        <v>-4.9924037112677302E-7</v>
      </c>
      <c r="Q28">
        <v>72.143992603186206</v>
      </c>
      <c r="R28">
        <v>8.5976001267979496E-2</v>
      </c>
      <c r="S28">
        <v>12.237250847143599</v>
      </c>
      <c r="T28">
        <v>0.25346033653253103</v>
      </c>
      <c r="V28">
        <v>0.61431117402739499</v>
      </c>
      <c r="W28">
        <v>9.5528890297753299E-3</v>
      </c>
      <c r="X28">
        <v>0.105081779327533</v>
      </c>
      <c r="AA28">
        <v>0.90752445782866797</v>
      </c>
      <c r="AB28">
        <v>3.2384293810938498</v>
      </c>
      <c r="AC28">
        <v>4.4898578439943702</v>
      </c>
      <c r="AD28">
        <v>1.91057780595499E-2</v>
      </c>
      <c r="AE28">
        <v>5.8954569085083603</v>
      </c>
    </row>
    <row r="29" spans="1:31" x14ac:dyDescent="0.2">
      <c r="A29">
        <v>28</v>
      </c>
      <c r="B29">
        <v>754</v>
      </c>
      <c r="C29">
        <v>250</v>
      </c>
      <c r="D29">
        <v>0.32717762741566497</v>
      </c>
      <c r="E29">
        <v>104.46509652735701</v>
      </c>
      <c r="F29">
        <v>2.20623065383645</v>
      </c>
      <c r="G29">
        <v>-1703.028783768226</v>
      </c>
      <c r="H29">
        <v>-1425.2221861774726</v>
      </c>
      <c r="I29">
        <v>270.46351320717901</v>
      </c>
      <c r="J29">
        <v>141.03826290825</v>
      </c>
      <c r="K29">
        <v>47.350034025545298</v>
      </c>
      <c r="L29">
        <v>1.5320456611988287E-4</v>
      </c>
      <c r="M29">
        <v>1.7556397091548593E-5</v>
      </c>
      <c r="N29" s="1">
        <v>3.52391432187702E-6</v>
      </c>
      <c r="O29" s="1">
        <v>9.8025758720389004E-8</v>
      </c>
      <c r="P29" s="1">
        <v>-4.9847446101354699E-7</v>
      </c>
      <c r="Q29">
        <v>72.097671685642894</v>
      </c>
      <c r="R29">
        <v>8.6153177464811104E-2</v>
      </c>
      <c r="S29">
        <v>12.2624689258262</v>
      </c>
      <c r="T29">
        <v>0.25446910289424102</v>
      </c>
      <c r="V29">
        <v>0.61513941582568799</v>
      </c>
      <c r="W29">
        <v>9.5725752738676992E-3</v>
      </c>
      <c r="X29">
        <v>0.10529832801255</v>
      </c>
      <c r="AA29">
        <v>0.90939465101744499</v>
      </c>
      <c r="AB29">
        <v>3.2451030178411702</v>
      </c>
      <c r="AC29">
        <v>4.49911037871777</v>
      </c>
      <c r="AD29">
        <v>1.9145150547734399E-2</v>
      </c>
      <c r="AE29">
        <v>5.89647359093542</v>
      </c>
    </row>
    <row r="30" spans="1:31" x14ac:dyDescent="0.2">
      <c r="A30">
        <v>29</v>
      </c>
      <c r="B30">
        <v>753</v>
      </c>
      <c r="C30">
        <v>250</v>
      </c>
      <c r="D30">
        <v>0.32645373483409301</v>
      </c>
      <c r="E30">
        <v>104.250863937419</v>
      </c>
      <c r="F30">
        <v>2.2067252287519001</v>
      </c>
      <c r="G30">
        <v>-1699.2024479490613</v>
      </c>
      <c r="H30">
        <v>-1422.3528751855476</v>
      </c>
      <c r="I30">
        <v>269.79444794963001</v>
      </c>
      <c r="J30">
        <v>140.75676145942299</v>
      </c>
      <c r="K30">
        <v>47.242340178610498</v>
      </c>
      <c r="L30">
        <v>1.5323323364030235E-4</v>
      </c>
      <c r="M30">
        <v>1.7547965540103572E-5</v>
      </c>
      <c r="N30" s="1">
        <v>3.5213720425629498E-6</v>
      </c>
      <c r="O30" s="1">
        <v>9.7762677881235694E-8</v>
      </c>
      <c r="P30" s="1">
        <v>-4.9771259718243298E-7</v>
      </c>
      <c r="Q30">
        <v>72.051380714786205</v>
      </c>
      <c r="R30">
        <v>8.6330219818635506E-2</v>
      </c>
      <c r="S30">
        <v>12.2876679541877</v>
      </c>
      <c r="T30">
        <v>0.25548139661632702</v>
      </c>
      <c r="V30">
        <v>0.61596317229625697</v>
      </c>
      <c r="W30">
        <v>9.5922466465148196E-3</v>
      </c>
      <c r="X30">
        <v>0.10551471311167</v>
      </c>
      <c r="AA30">
        <v>0.91126343141892296</v>
      </c>
      <c r="AB30">
        <v>3.2517716131685401</v>
      </c>
      <c r="AC30">
        <v>4.5083559238618998</v>
      </c>
      <c r="AD30">
        <v>1.9184493293028401E-2</v>
      </c>
      <c r="AE30">
        <v>5.8974941207941898</v>
      </c>
    </row>
    <row r="31" spans="1:31" x14ac:dyDescent="0.2">
      <c r="A31">
        <v>30</v>
      </c>
      <c r="B31">
        <v>752</v>
      </c>
      <c r="C31">
        <v>250</v>
      </c>
      <c r="D31">
        <v>0.32572842998585799</v>
      </c>
      <c r="E31">
        <v>104.037668355779</v>
      </c>
      <c r="F31">
        <v>2.2072199076380001</v>
      </c>
      <c r="G31">
        <v>-1695.3945158987672</v>
      </c>
      <c r="H31">
        <v>-1419.4975688182403</v>
      </c>
      <c r="I31">
        <v>269.12836860998499</v>
      </c>
      <c r="J31">
        <v>140.47661436028901</v>
      </c>
      <c r="K31">
        <v>47.135162199181401</v>
      </c>
      <c r="L31">
        <v>1.5326183635722013E-4</v>
      </c>
      <c r="M31">
        <v>1.7539525099286721E-5</v>
      </c>
      <c r="N31" s="1">
        <v>3.5188492670610899E-6</v>
      </c>
      <c r="O31" s="1">
        <v>9.7500855529063195E-8</v>
      </c>
      <c r="P31" s="1">
        <v>-4.9695474449101898E-7</v>
      </c>
      <c r="Q31">
        <v>72.005119546022399</v>
      </c>
      <c r="R31">
        <v>8.6507129025831603E-2</v>
      </c>
      <c r="S31">
        <v>12.3128480313458</v>
      </c>
      <c r="T31">
        <v>0.25649723845808597</v>
      </c>
      <c r="V31">
        <v>0.616782431582653</v>
      </c>
      <c r="W31">
        <v>9.6119032250920906E-3</v>
      </c>
      <c r="X31">
        <v>0.105730935476022</v>
      </c>
      <c r="AA31">
        <v>0.91313080638376898</v>
      </c>
      <c r="AB31">
        <v>3.2584351933062399</v>
      </c>
      <c r="AC31">
        <v>4.5175945157932</v>
      </c>
      <c r="AD31">
        <v>1.9223806450182599E-2</v>
      </c>
      <c r="AE31">
        <v>5.89851846293063</v>
      </c>
    </row>
    <row r="32" spans="1:31" x14ac:dyDescent="0.2">
      <c r="A32">
        <v>31</v>
      </c>
      <c r="B32">
        <v>751</v>
      </c>
      <c r="C32">
        <v>250</v>
      </c>
      <c r="D32">
        <v>0.32500170873407402</v>
      </c>
      <c r="E32">
        <v>103.825501623083</v>
      </c>
      <c r="F32">
        <v>2.2077146922309998</v>
      </c>
      <c r="G32">
        <v>-1691.6048436973667</v>
      </c>
      <c r="H32">
        <v>-1416.6561566082758</v>
      </c>
      <c r="I32">
        <v>268.46525127089802</v>
      </c>
      <c r="J32">
        <v>140.197810952586</v>
      </c>
      <c r="K32">
        <v>47.028496022809499</v>
      </c>
      <c r="L32">
        <v>1.5329037364697067E-4</v>
      </c>
      <c r="M32">
        <v>1.7531075699219935E-5</v>
      </c>
      <c r="N32" s="1">
        <v>3.5163458230530001E-6</v>
      </c>
      <c r="O32" s="1">
        <v>9.7240281280093099E-8</v>
      </c>
      <c r="P32" s="1">
        <v>-4.9620086814214302E-7</v>
      </c>
      <c r="Q32">
        <v>71.958888036360904</v>
      </c>
      <c r="R32">
        <v>8.6683905777529394E-2</v>
      </c>
      <c r="S32">
        <v>12.338009255671301</v>
      </c>
      <c r="T32">
        <v>0.25751664927463902</v>
      </c>
      <c r="V32">
        <v>0.61759718169082001</v>
      </c>
      <c r="W32">
        <v>9.6315450863917792E-3</v>
      </c>
      <c r="X32">
        <v>0.105946995950321</v>
      </c>
      <c r="AA32">
        <v>0.91499678320724398</v>
      </c>
      <c r="AB32">
        <v>3.2650937842868499</v>
      </c>
      <c r="AC32">
        <v>4.5268261906040399</v>
      </c>
      <c r="AD32">
        <v>1.9263090172781699E-2</v>
      </c>
      <c r="AE32">
        <v>5.89954658191715</v>
      </c>
    </row>
    <row r="33" spans="1:31" x14ac:dyDescent="0.2">
      <c r="A33">
        <v>32</v>
      </c>
      <c r="B33">
        <v>750</v>
      </c>
      <c r="C33">
        <v>250</v>
      </c>
      <c r="D33">
        <v>0.324273566925672</v>
      </c>
      <c r="E33">
        <v>103.614355664599</v>
      </c>
      <c r="F33">
        <v>2.2082095842723999</v>
      </c>
      <c r="G33">
        <v>-1687.8332889164544</v>
      </c>
      <c r="H33">
        <v>-1413.8285292341589</v>
      </c>
      <c r="I33">
        <v>267.80507225948799</v>
      </c>
      <c r="J33">
        <v>139.920340688316</v>
      </c>
      <c r="K33">
        <v>46.922337627086897</v>
      </c>
      <c r="L33">
        <v>1.5331884488026042E-4</v>
      </c>
      <c r="M33">
        <v>1.7522617269706397E-5</v>
      </c>
      <c r="N33" s="1">
        <v>3.5138615396591499E-6</v>
      </c>
      <c r="O33" s="1">
        <v>9.6980944853623905E-8</v>
      </c>
      <c r="P33" s="1">
        <v>-4.9545093365948E-7</v>
      </c>
      <c r="Q33">
        <v>71.912686043547396</v>
      </c>
      <c r="R33">
        <v>8.6860550763190103E-2</v>
      </c>
      <c r="S33">
        <v>12.3631517252973</v>
      </c>
      <c r="T33">
        <v>0.25853965002963297</v>
      </c>
      <c r="V33">
        <v>0.61840741051266701</v>
      </c>
      <c r="W33">
        <v>9.6511723070207001E-3</v>
      </c>
      <c r="X33">
        <v>0.10616289537724</v>
      </c>
      <c r="AA33">
        <v>0.91686136916699401</v>
      </c>
      <c r="AB33">
        <v>3.2717474120800598</v>
      </c>
      <c r="AC33">
        <v>4.5360509842996199</v>
      </c>
      <c r="AD33">
        <v>1.9302344614039402E-2</v>
      </c>
      <c r="AE33">
        <v>5.9005784420046998</v>
      </c>
    </row>
    <row r="34" spans="1:31" x14ac:dyDescent="0.2">
      <c r="A34">
        <v>33</v>
      </c>
      <c r="B34">
        <v>749</v>
      </c>
      <c r="C34">
        <v>250</v>
      </c>
      <c r="D34">
        <v>0.32354400039133302</v>
      </c>
      <c r="E34">
        <v>103.404222491467</v>
      </c>
      <c r="F34">
        <v>2.2087045855070899</v>
      </c>
      <c r="G34">
        <v>-1684.0797106388968</v>
      </c>
      <c r="H34">
        <v>-1411.0145785383593</v>
      </c>
      <c r="I34">
        <v>267.14780815001399</v>
      </c>
      <c r="J34">
        <v>139.64419313125799</v>
      </c>
      <c r="K34">
        <v>46.816683032207003</v>
      </c>
      <c r="L34">
        <v>1.5334724942135899E-4</v>
      </c>
      <c r="M34">
        <v>1.7514149740245172E-5</v>
      </c>
      <c r="N34" s="1">
        <v>3.5113962474934501E-6</v>
      </c>
      <c r="O34" s="1">
        <v>9.6722836072786507E-8</v>
      </c>
      <c r="P34" s="1">
        <v>-4.9470490689084701E-7</v>
      </c>
      <c r="Q34">
        <v>71.866513426574798</v>
      </c>
      <c r="R34">
        <v>8.7037064668638198E-2</v>
      </c>
      <c r="S34">
        <v>12.3882755378397</v>
      </c>
      <c r="T34">
        <v>0.25956626178889702</v>
      </c>
      <c r="V34">
        <v>0.61921310581250399</v>
      </c>
      <c r="W34">
        <v>9.6707849631815605E-3</v>
      </c>
      <c r="X34">
        <v>0.10637863459501</v>
      </c>
      <c r="AA34">
        <v>0.91872457150227904</v>
      </c>
      <c r="AB34">
        <v>3.2783961025185899</v>
      </c>
      <c r="AC34">
        <v>4.5452689326952198</v>
      </c>
      <c r="AD34">
        <v>1.9341569926361001E-2</v>
      </c>
      <c r="AE34">
        <v>5.9016140071147003</v>
      </c>
    </row>
    <row r="35" spans="1:31" x14ac:dyDescent="0.2">
      <c r="A35">
        <v>34</v>
      </c>
      <c r="B35">
        <v>748</v>
      </c>
      <c r="C35">
        <v>250</v>
      </c>
      <c r="D35">
        <v>0.32281300494540499</v>
      </c>
      <c r="E35">
        <v>103.195094199514</v>
      </c>
      <c r="F35">
        <v>2.2091996976814698</v>
      </c>
      <c r="G35">
        <v>-1680.3439694382507</v>
      </c>
      <c r="H35">
        <v>-1408.2141975110098</v>
      </c>
      <c r="I35">
        <v>266.493435760897</v>
      </c>
      <c r="J35">
        <v>139.36935795550701</v>
      </c>
      <c r="K35">
        <v>46.711528300414201</v>
      </c>
      <c r="L35">
        <v>1.5337558662927689E-4</v>
      </c>
      <c r="M35">
        <v>1.750567304012142E-5</v>
      </c>
      <c r="N35" s="1">
        <v>3.50894977867757E-6</v>
      </c>
      <c r="O35" s="1">
        <v>9.6465944864108397E-8</v>
      </c>
      <c r="P35" s="1">
        <v>-4.9396275401001198E-7</v>
      </c>
      <c r="Q35">
        <v>71.820370045601905</v>
      </c>
      <c r="R35">
        <v>8.7213448176129194E-2</v>
      </c>
      <c r="S35">
        <v>12.413380790406199</v>
      </c>
      <c r="T35">
        <v>0.26059650572101301</v>
      </c>
      <c r="V35">
        <v>0.620014255227198</v>
      </c>
      <c r="W35">
        <v>9.6903831306804997E-3</v>
      </c>
      <c r="X35">
        <v>0.1065942144375</v>
      </c>
      <c r="AA35">
        <v>0.92058639741468296</v>
      </c>
      <c r="AB35">
        <v>3.2850398813007402</v>
      </c>
      <c r="AC35">
        <v>4.5544800714197198</v>
      </c>
      <c r="AD35">
        <v>1.9380766261358599E-2</v>
      </c>
      <c r="AE35">
        <v>5.9026532409027199</v>
      </c>
    </row>
    <row r="36" spans="1:31" x14ac:dyDescent="0.2">
      <c r="A36">
        <v>35</v>
      </c>
      <c r="B36">
        <v>747</v>
      </c>
      <c r="C36">
        <v>250</v>
      </c>
      <c r="D36">
        <v>0.32208057638582899</v>
      </c>
      <c r="E36">
        <v>102.85154798222599</v>
      </c>
      <c r="F36">
        <v>2.2097393964404</v>
      </c>
      <c r="G36">
        <v>-1674.3734430838547</v>
      </c>
      <c r="H36">
        <v>-1403.5475159261521</v>
      </c>
      <c r="I36">
        <v>265.47657418781699</v>
      </c>
      <c r="J36">
        <v>138.90775233336299</v>
      </c>
      <c r="K36">
        <v>46.544650535672403</v>
      </c>
      <c r="L36">
        <v>1.5337465009289197E-4</v>
      </c>
      <c r="M36">
        <v>1.7494508737081398E-5</v>
      </c>
      <c r="N36" s="1">
        <v>3.5008583141540702E-6</v>
      </c>
      <c r="O36" s="1">
        <v>9.6057253066044604E-8</v>
      </c>
      <c r="P36" s="1">
        <v>-4.9244855889422899E-7</v>
      </c>
      <c r="Q36">
        <v>71.775860626513406</v>
      </c>
      <c r="R36">
        <v>8.7504759787917996E-2</v>
      </c>
      <c r="S36">
        <v>12.436672391061</v>
      </c>
      <c r="T36">
        <v>0.261976085650034</v>
      </c>
      <c r="V36">
        <v>0.62162711339911403</v>
      </c>
      <c r="W36">
        <v>9.7227510875455992E-3</v>
      </c>
      <c r="X36">
        <v>0.106950261963025</v>
      </c>
      <c r="AA36">
        <v>0.92041202014700496</v>
      </c>
      <c r="AB36">
        <v>3.2892178021091301</v>
      </c>
      <c r="AC36">
        <v>4.5686898034989101</v>
      </c>
      <c r="AD36">
        <v>1.9445502175087601E-2</v>
      </c>
      <c r="AE36">
        <v>5.9019208826077802</v>
      </c>
    </row>
    <row r="37" spans="1:31" x14ac:dyDescent="0.2">
      <c r="A37">
        <v>36</v>
      </c>
      <c r="B37">
        <v>746</v>
      </c>
      <c r="C37">
        <v>250</v>
      </c>
      <c r="D37">
        <v>0.32134671049404001</v>
      </c>
      <c r="E37">
        <v>101.233107684525</v>
      </c>
      <c r="F37">
        <v>2.21071314782855</v>
      </c>
      <c r="G37">
        <v>-1647.205184263938</v>
      </c>
      <c r="H37">
        <v>-1381.1849811345303</v>
      </c>
      <c r="I37">
        <v>261.021638747395</v>
      </c>
      <c r="J37">
        <v>136.67584647954601</v>
      </c>
      <c r="K37">
        <v>45.792059356031899</v>
      </c>
      <c r="L37">
        <v>1.5309354803903105E-4</v>
      </c>
      <c r="M37">
        <v>1.7457694708792116E-5</v>
      </c>
      <c r="N37" s="1">
        <v>3.4393529725920601E-6</v>
      </c>
      <c r="O37" s="1">
        <v>9.4209562060458096E-8</v>
      </c>
      <c r="P37" s="1">
        <v>-4.8361955853612E-7</v>
      </c>
      <c r="Q37">
        <v>71.746293515677095</v>
      </c>
      <c r="R37">
        <v>8.8903721379838693E-2</v>
      </c>
      <c r="S37">
        <v>12.443142878394299</v>
      </c>
      <c r="T37">
        <v>0.26669262013231798</v>
      </c>
      <c r="V37">
        <v>0.63108990070940996</v>
      </c>
      <c r="W37">
        <v>9.8781912644255905E-3</v>
      </c>
      <c r="X37">
        <v>0.10866010390870701</v>
      </c>
      <c r="AA37">
        <v>0.901532236938132</v>
      </c>
      <c r="AB37">
        <v>3.26941039713829</v>
      </c>
      <c r="AC37">
        <v>4.6304736491144798</v>
      </c>
      <c r="AD37">
        <v>1.9756382528847101E-2</v>
      </c>
      <c r="AE37">
        <v>5.8841664028140697</v>
      </c>
    </row>
    <row r="38" spans="1:31" x14ac:dyDescent="0.2">
      <c r="A38">
        <v>37</v>
      </c>
      <c r="B38">
        <v>745</v>
      </c>
      <c r="C38">
        <v>250</v>
      </c>
      <c r="D38">
        <v>0.32061140303491598</v>
      </c>
      <c r="E38">
        <v>99.610962091567401</v>
      </c>
      <c r="F38">
        <v>2.2117159328034002</v>
      </c>
      <c r="G38">
        <v>-1619.9911881492274</v>
      </c>
      <c r="H38">
        <v>-1358.7746284485609</v>
      </c>
      <c r="I38">
        <v>256.55999577730699</v>
      </c>
      <c r="J38">
        <v>134.43961690913</v>
      </c>
      <c r="K38">
        <v>45.037864318003997</v>
      </c>
      <c r="L38">
        <v>1.5280277123765347E-4</v>
      </c>
      <c r="M38">
        <v>1.7420073732507471E-5</v>
      </c>
      <c r="N38" s="1">
        <v>3.3775675620716801E-6</v>
      </c>
      <c r="O38" s="1">
        <v>9.2361033968837995E-8</v>
      </c>
      <c r="P38" s="1">
        <v>-4.74755588223356E-7</v>
      </c>
      <c r="Q38">
        <v>71.716365877821104</v>
      </c>
      <c r="R38">
        <v>9.0351501592035199E-2</v>
      </c>
      <c r="S38">
        <v>12.449773732937301</v>
      </c>
      <c r="T38">
        <v>0.27156929669041702</v>
      </c>
      <c r="V38">
        <v>0.640886906578638</v>
      </c>
      <c r="W38">
        <v>1.00390557324469E-2</v>
      </c>
      <c r="X38">
        <v>0.11042961305695601</v>
      </c>
      <c r="AA38">
        <v>0.88348671032802695</v>
      </c>
      <c r="AB38">
        <v>3.2480764227711401</v>
      </c>
      <c r="AC38">
        <v>4.6931146362439602</v>
      </c>
      <c r="AD38">
        <v>2.0078111464888099E-2</v>
      </c>
      <c r="AE38">
        <v>5.8658281347830101</v>
      </c>
    </row>
    <row r="39" spans="1:31" x14ac:dyDescent="0.2">
      <c r="A39">
        <v>38</v>
      </c>
      <c r="B39">
        <v>744</v>
      </c>
      <c r="C39">
        <v>250</v>
      </c>
      <c r="D39">
        <v>0.31987464975667701</v>
      </c>
      <c r="E39">
        <v>97.980695910827606</v>
      </c>
      <c r="F39">
        <v>2.2127495065437901</v>
      </c>
      <c r="G39">
        <v>-1592.6594319049916</v>
      </c>
      <c r="H39">
        <v>-1336.2558553540848</v>
      </c>
      <c r="I39">
        <v>252.08039772983901</v>
      </c>
      <c r="J39">
        <v>132.193130368277</v>
      </c>
      <c r="K39">
        <v>44.280066777133101</v>
      </c>
      <c r="L39">
        <v>1.525020434481394E-4</v>
      </c>
      <c r="M39">
        <v>1.7381618443237002E-5</v>
      </c>
      <c r="N39" s="1">
        <v>3.3153578214293498E-6</v>
      </c>
      <c r="O39" s="1">
        <v>9.0507740455604704E-8</v>
      </c>
      <c r="P39" s="1">
        <v>-4.6583651211423102E-7</v>
      </c>
      <c r="Q39">
        <v>71.686015676051895</v>
      </c>
      <c r="R39">
        <v>9.1854828304050298E-2</v>
      </c>
      <c r="S39">
        <v>12.4565711851234</v>
      </c>
      <c r="T39">
        <v>0.27662661115097797</v>
      </c>
      <c r="V39">
        <v>0.65106560720488904</v>
      </c>
      <c r="W39">
        <v>1.0206092033781901E-2</v>
      </c>
      <c r="X39">
        <v>0.11226701237164199</v>
      </c>
      <c r="AA39">
        <v>0.86630023074849904</v>
      </c>
      <c r="AB39">
        <v>3.22515454271577</v>
      </c>
      <c r="AC39">
        <v>4.7566411781092102</v>
      </c>
      <c r="AD39">
        <v>2.0412184067557699E-2</v>
      </c>
      <c r="AE39">
        <v>5.8468848521182002</v>
      </c>
    </row>
    <row r="40" spans="1:31" x14ac:dyDescent="0.2">
      <c r="A40">
        <v>39</v>
      </c>
      <c r="B40">
        <v>743</v>
      </c>
      <c r="C40">
        <v>250</v>
      </c>
      <c r="D40">
        <v>0.31913644639078897</v>
      </c>
      <c r="E40">
        <v>70.379324809933195</v>
      </c>
      <c r="F40">
        <v>2.2140667927578601</v>
      </c>
      <c r="G40">
        <v>-1144.0001230104278</v>
      </c>
      <c r="H40">
        <v>-960.29878032713214</v>
      </c>
      <c r="I40">
        <v>180.78171793858701</v>
      </c>
      <c r="J40">
        <v>94.958549644959504</v>
      </c>
      <c r="K40">
        <v>31.7873539498183</v>
      </c>
      <c r="L40">
        <v>1.5194997513304185E-4</v>
      </c>
      <c r="M40">
        <v>1.7330695152733301E-5</v>
      </c>
      <c r="N40" s="1">
        <v>2.3714278276968702E-6</v>
      </c>
      <c r="O40" s="1">
        <v>6.46362158019059E-8</v>
      </c>
      <c r="P40" s="1">
        <v>-3.3261652252653602E-7</v>
      </c>
      <c r="Q40">
        <v>71.628494914613796</v>
      </c>
      <c r="R40">
        <v>9.7533687275641601E-2</v>
      </c>
      <c r="S40">
        <v>12.553619070310299</v>
      </c>
      <c r="T40">
        <v>0.26037955569441201</v>
      </c>
      <c r="V40">
        <v>0.612410871254086</v>
      </c>
      <c r="W40">
        <v>1.42087182947595E-2</v>
      </c>
      <c r="X40">
        <v>0.152109258130252</v>
      </c>
      <c r="AA40">
        <v>0.84944948333489201</v>
      </c>
      <c r="AB40">
        <v>3.1599797581093498</v>
      </c>
      <c r="AC40">
        <v>4.8276936109548698</v>
      </c>
      <c r="AD40">
        <v>2.8417436589496699E-2</v>
      </c>
      <c r="AE40">
        <v>5.8157036354380098</v>
      </c>
    </row>
    <row r="41" spans="1:31" x14ac:dyDescent="0.2">
      <c r="A41">
        <v>40</v>
      </c>
      <c r="B41">
        <v>742</v>
      </c>
      <c r="C41">
        <v>250</v>
      </c>
      <c r="D41">
        <v>0.318396788651924</v>
      </c>
      <c r="E41">
        <v>26.7440905323413</v>
      </c>
      <c r="F41">
        <v>2.21838891569648</v>
      </c>
      <c r="G41">
        <v>-434.85066324615917</v>
      </c>
      <c r="H41">
        <v>-365.35176445079935</v>
      </c>
      <c r="I41">
        <v>68.461703980061799</v>
      </c>
      <c r="J41">
        <v>36.102103371386299</v>
      </c>
      <c r="K41">
        <v>12.0556365671998</v>
      </c>
      <c r="L41">
        <v>1.5086180703509925E-4</v>
      </c>
      <c r="M41">
        <v>1.7275363852180464E-5</v>
      </c>
      <c r="N41" s="1">
        <v>8.9205009887395804E-7</v>
      </c>
      <c r="O41" s="1">
        <v>2.4282051449471001E-8</v>
      </c>
      <c r="P41" s="1">
        <v>-1.24090848940239E-7</v>
      </c>
      <c r="Q41">
        <v>71.253908763586907</v>
      </c>
      <c r="R41">
        <v>0.13976538231845301</v>
      </c>
      <c r="S41">
        <v>13.1297689737967</v>
      </c>
      <c r="T41">
        <v>0.23741793456705099</v>
      </c>
      <c r="V41">
        <v>0.56593747902730596</v>
      </c>
      <c r="W41">
        <v>3.7391437887572897E-2</v>
      </c>
      <c r="X41">
        <v>0.14512151556296099</v>
      </c>
      <c r="AA41">
        <v>0.83631859204790704</v>
      </c>
      <c r="AB41">
        <v>2.9132921237143199</v>
      </c>
      <c r="AC41">
        <v>4.9158396411064196</v>
      </c>
      <c r="AD41">
        <v>7.4782875775053798E-2</v>
      </c>
      <c r="AE41">
        <v>5.7504552806092102</v>
      </c>
    </row>
    <row r="42" spans="1:31" x14ac:dyDescent="0.2">
      <c r="A42">
        <v>41</v>
      </c>
      <c r="B42">
        <v>741</v>
      </c>
      <c r="C42">
        <v>250</v>
      </c>
      <c r="D42">
        <v>0.31765567223783697</v>
      </c>
      <c r="E42">
        <v>18.819971983646099</v>
      </c>
      <c r="F42">
        <v>2.22132919895154</v>
      </c>
      <c r="G42">
        <v>-306.04862475248677</v>
      </c>
      <c r="H42">
        <v>-257.2990179727459</v>
      </c>
      <c r="I42">
        <v>48.069424424139299</v>
      </c>
      <c r="J42">
        <v>25.418265996295499</v>
      </c>
      <c r="K42">
        <v>8.4723921121322494</v>
      </c>
      <c r="L42">
        <v>1.5027937142304671E-4</v>
      </c>
      <c r="M42">
        <v>1.724782594075452E-5</v>
      </c>
      <c r="N42" s="1">
        <v>6.24657484135395E-7</v>
      </c>
      <c r="O42" s="1">
        <v>1.6975682802861E-8</v>
      </c>
      <c r="P42" s="1">
        <v>-8.6381068028317006E-8</v>
      </c>
      <c r="Q42">
        <v>70.979715394950702</v>
      </c>
      <c r="R42">
        <v>0.15380015025567101</v>
      </c>
      <c r="S42">
        <v>13.5227266309473</v>
      </c>
      <c r="T42">
        <v>0.22746004032086101</v>
      </c>
      <c r="V42">
        <v>0.54691207148409104</v>
      </c>
      <c r="W42">
        <v>5.31350419048775E-2</v>
      </c>
      <c r="X42">
        <v>0.14707638316843499</v>
      </c>
      <c r="AA42">
        <v>0.82984433701181104</v>
      </c>
      <c r="AB42">
        <v>2.7573237920714901</v>
      </c>
      <c r="AC42">
        <v>4.9600584193071802</v>
      </c>
      <c r="AD42">
        <v>0.106270083809617</v>
      </c>
      <c r="AE42">
        <v>5.7156776547678598</v>
      </c>
    </row>
    <row r="43" spans="1:31" x14ac:dyDescent="0.2">
      <c r="A43">
        <v>42</v>
      </c>
      <c r="B43">
        <v>740</v>
      </c>
      <c r="C43">
        <v>250</v>
      </c>
      <c r="D43">
        <v>0.31691309282929903</v>
      </c>
      <c r="E43">
        <v>15.121888549526201</v>
      </c>
      <c r="F43">
        <v>2.2237306814404998</v>
      </c>
      <c r="G43">
        <v>-245.93403651374953</v>
      </c>
      <c r="H43">
        <v>-206.87321840682844</v>
      </c>
      <c r="I43">
        <v>38.553835174378001</v>
      </c>
      <c r="J43">
        <v>20.433284461956099</v>
      </c>
      <c r="K43">
        <v>6.8002338033715901</v>
      </c>
      <c r="L43">
        <v>1.4986334083922186E-4</v>
      </c>
      <c r="M43">
        <v>1.7229318125869235E-5</v>
      </c>
      <c r="N43" s="1">
        <v>5.0031877825150402E-7</v>
      </c>
      <c r="O43" s="1">
        <v>1.35730124963998E-8</v>
      </c>
      <c r="P43" s="1">
        <v>-6.8835696152730606E-8</v>
      </c>
      <c r="Q43">
        <v>70.746176756564495</v>
      </c>
      <c r="R43">
        <v>0.162337716546295</v>
      </c>
      <c r="S43">
        <v>13.84920437761</v>
      </c>
      <c r="T43">
        <v>0.220393487483417</v>
      </c>
      <c r="V43">
        <v>0.53349240560408995</v>
      </c>
      <c r="W43">
        <v>6.6129306318087902E-2</v>
      </c>
      <c r="X43">
        <v>0.14788034334046599</v>
      </c>
      <c r="AA43">
        <v>0.82587937610308904</v>
      </c>
      <c r="AB43">
        <v>2.6350514019787199</v>
      </c>
      <c r="AC43">
        <v>4.9901773698031899</v>
      </c>
      <c r="AD43">
        <v>0.13225861263598601</v>
      </c>
      <c r="AE43">
        <v>5.6910188460120397</v>
      </c>
    </row>
    <row r="44" spans="1:31" x14ac:dyDescent="0.2">
      <c r="A44">
        <v>43</v>
      </c>
      <c r="B44">
        <v>739</v>
      </c>
      <c r="C44">
        <v>250</v>
      </c>
      <c r="D44">
        <v>0.31616904609000601</v>
      </c>
      <c r="E44">
        <v>12.912936213762</v>
      </c>
      <c r="F44">
        <v>2.2258100219122001</v>
      </c>
      <c r="G44">
        <v>-210.0241928356522</v>
      </c>
      <c r="H44">
        <v>-176.7544257922489</v>
      </c>
      <c r="I44">
        <v>32.870391783236997</v>
      </c>
      <c r="J44">
        <v>17.456230184942498</v>
      </c>
      <c r="K44">
        <v>5.8014547902289202</v>
      </c>
      <c r="L44">
        <v>1.4954252033682895E-4</v>
      </c>
      <c r="M44">
        <v>1.7215784412795013E-5</v>
      </c>
      <c r="N44" s="1">
        <v>4.2630207654134602E-7</v>
      </c>
      <c r="O44" s="1">
        <v>1.1544242740328299E-8</v>
      </c>
      <c r="P44" s="1">
        <v>-5.8384379184594797E-8</v>
      </c>
      <c r="Q44">
        <v>70.5380945122089</v>
      </c>
      <c r="R44">
        <v>0.168425531121284</v>
      </c>
      <c r="S44">
        <v>14.1347722979467</v>
      </c>
      <c r="T44">
        <v>0.214736547101325</v>
      </c>
      <c r="V44">
        <v>0.522669770052826</v>
      </c>
      <c r="W44">
        <v>7.7441720724512997E-2</v>
      </c>
      <c r="X44">
        <v>0.14819814496703099</v>
      </c>
      <c r="AA44">
        <v>0.82350596597372405</v>
      </c>
      <c r="AB44">
        <v>2.5330471885080299</v>
      </c>
      <c r="AC44">
        <v>5.0120872406649699</v>
      </c>
      <c r="AD44">
        <v>0.15488344144880001</v>
      </c>
      <c r="AE44">
        <v>5.6721376392817904</v>
      </c>
    </row>
    <row r="45" spans="1:31" x14ac:dyDescent="0.2">
      <c r="A45">
        <v>44</v>
      </c>
      <c r="B45">
        <v>738</v>
      </c>
      <c r="C45">
        <v>250</v>
      </c>
      <c r="D45">
        <v>0.31542352766652099</v>
      </c>
      <c r="E45">
        <v>11.344801315662099</v>
      </c>
      <c r="F45">
        <v>2.2276235001432898</v>
      </c>
      <c r="G45">
        <v>-184.52804593579174</v>
      </c>
      <c r="H45">
        <v>-155.36702020959211</v>
      </c>
      <c r="I45">
        <v>28.839465683824901</v>
      </c>
      <c r="J45">
        <v>15.343487253495899</v>
      </c>
      <c r="K45">
        <v>5.0927822026174496</v>
      </c>
      <c r="L45">
        <v>1.4932222431738408E-4</v>
      </c>
      <c r="M45">
        <v>1.7209981193648538E-5</v>
      </c>
      <c r="N45" s="1">
        <v>3.7415035484499997E-7</v>
      </c>
      <c r="O45" s="1">
        <v>1.011297552958E-8</v>
      </c>
      <c r="P45" s="1">
        <v>-5.1022974445641799E-8</v>
      </c>
      <c r="Q45">
        <v>70.339838802091407</v>
      </c>
      <c r="R45">
        <v>0.163102107189005</v>
      </c>
      <c r="S45">
        <v>14.403014602771799</v>
      </c>
      <c r="T45">
        <v>0.21241044601921</v>
      </c>
      <c r="V45">
        <v>0.51964246002202996</v>
      </c>
      <c r="W45">
        <v>8.7626609481579201E-2</v>
      </c>
      <c r="X45">
        <v>0.14621661388288801</v>
      </c>
      <c r="AA45">
        <v>0.82233012732892696</v>
      </c>
      <c r="AB45">
        <v>2.4439463001365</v>
      </c>
      <c r="AC45">
        <v>5.0256737874741999</v>
      </c>
      <c r="AD45">
        <v>0.17629220154209099</v>
      </c>
      <c r="AE45">
        <v>5.65990594206027</v>
      </c>
    </row>
    <row r="46" spans="1:31" x14ac:dyDescent="0.2">
      <c r="A46">
        <v>45</v>
      </c>
      <c r="B46">
        <v>737</v>
      </c>
      <c r="C46">
        <v>250</v>
      </c>
      <c r="D46">
        <v>0.31467653318814098</v>
      </c>
      <c r="E46">
        <v>10.2387463610899</v>
      </c>
      <c r="F46">
        <v>2.2292958686439199</v>
      </c>
      <c r="G46">
        <v>-166.54542491523253</v>
      </c>
      <c r="H46">
        <v>-140.28661672369694</v>
      </c>
      <c r="I46">
        <v>25.994959354091499</v>
      </c>
      <c r="J46">
        <v>13.8534712560397</v>
      </c>
      <c r="K46">
        <v>4.5928162811866304</v>
      </c>
      <c r="L46">
        <v>1.4912578810204354E-4</v>
      </c>
      <c r="M46">
        <v>1.7203825848029971E-5</v>
      </c>
      <c r="N46" s="1">
        <v>3.37394897469853E-7</v>
      </c>
      <c r="O46" s="1">
        <v>9.1023501315998398E-9</v>
      </c>
      <c r="P46" s="1">
        <v>-4.5828014259518901E-8</v>
      </c>
      <c r="Q46">
        <v>70.160197629389799</v>
      </c>
      <c r="R46">
        <v>0.16285060579025201</v>
      </c>
      <c r="S46">
        <v>14.643082626407701</v>
      </c>
      <c r="T46">
        <v>0.20910877694378799</v>
      </c>
      <c r="V46">
        <v>0.51370602659783704</v>
      </c>
      <c r="W46">
        <v>9.6811813348219602E-2</v>
      </c>
      <c r="X46">
        <v>0.14530273464215099</v>
      </c>
      <c r="AA46">
        <v>0.82207064049927503</v>
      </c>
      <c r="AB46">
        <v>2.36588176465325</v>
      </c>
      <c r="AC46">
        <v>5.0368293132861801</v>
      </c>
      <c r="AD46">
        <v>0.19533641419189601</v>
      </c>
      <c r="AE46">
        <v>5.6488216542494998</v>
      </c>
    </row>
    <row r="47" spans="1:31" x14ac:dyDescent="0.2">
      <c r="A47">
        <v>46</v>
      </c>
      <c r="B47">
        <v>757</v>
      </c>
      <c r="C47">
        <v>225</v>
      </c>
      <c r="D47">
        <v>0.35603601417269398</v>
      </c>
      <c r="E47">
        <v>104.525556362667</v>
      </c>
      <c r="F47">
        <v>2.2059293506040101</v>
      </c>
      <c r="G47">
        <v>-1704.0460679411187</v>
      </c>
      <c r="H47">
        <v>-1427.1973993283862</v>
      </c>
      <c r="I47">
        <v>268.74597739429402</v>
      </c>
      <c r="J47">
        <v>140.75601450443901</v>
      </c>
      <c r="K47">
        <v>47.383909341451599</v>
      </c>
      <c r="L47">
        <v>1.4886912382025661E-4</v>
      </c>
      <c r="M47">
        <v>1.7510033859921347E-5</v>
      </c>
      <c r="N47" s="1">
        <v>3.3302456044032399E-6</v>
      </c>
      <c r="O47" s="1">
        <v>9.4763011973662507E-8</v>
      </c>
      <c r="P47" s="1">
        <v>-4.8206005653547904E-7</v>
      </c>
      <c r="Q47">
        <v>72.460748008105995</v>
      </c>
      <c r="R47">
        <v>8.6103344609552795E-2</v>
      </c>
      <c r="S47">
        <v>12.2553760494269</v>
      </c>
      <c r="T47">
        <v>0.25601081604988901</v>
      </c>
      <c r="V47">
        <v>0.61326391189528795</v>
      </c>
      <c r="W47">
        <v>9.5670382899502304E-3</v>
      </c>
      <c r="X47">
        <v>0.10523742118945401</v>
      </c>
      <c r="AA47">
        <v>0.90886863754527702</v>
      </c>
      <c r="AB47">
        <v>3.24322598029313</v>
      </c>
      <c r="AC47">
        <v>4.4965079962765904</v>
      </c>
      <c r="AD47">
        <v>1.91340765799001E-2</v>
      </c>
      <c r="AE47">
        <v>5.54595671973801</v>
      </c>
    </row>
    <row r="48" spans="1:31" x14ac:dyDescent="0.2">
      <c r="A48">
        <v>47</v>
      </c>
      <c r="B48">
        <v>756</v>
      </c>
      <c r="C48">
        <v>225</v>
      </c>
      <c r="D48">
        <v>0.35534227274935698</v>
      </c>
      <c r="E48">
        <v>104.456667336553</v>
      </c>
      <c r="F48">
        <v>2.2063318276122699</v>
      </c>
      <c r="G48">
        <v>-1702.6294086670541</v>
      </c>
      <c r="H48">
        <v>-1426.3705889529706</v>
      </c>
      <c r="I48">
        <v>268.43396950306902</v>
      </c>
      <c r="J48">
        <v>140.65555886448101</v>
      </c>
      <c r="K48">
        <v>47.3440422828861</v>
      </c>
      <c r="L48">
        <v>1.4883244670893362E-4</v>
      </c>
      <c r="M48">
        <v>1.7501155738170546E-5</v>
      </c>
      <c r="N48" s="1">
        <v>3.33160891555634E-6</v>
      </c>
      <c r="O48" s="1">
        <v>9.4619561032496001E-8</v>
      </c>
      <c r="P48" s="1">
        <v>-4.8167605563133499E-7</v>
      </c>
      <c r="Q48">
        <v>72.446669852922994</v>
      </c>
      <c r="R48">
        <v>8.6160129644980696E-2</v>
      </c>
      <c r="S48">
        <v>12.263458452803199</v>
      </c>
      <c r="T48">
        <v>0.256612617607413</v>
      </c>
      <c r="V48">
        <v>0.61327877390906904</v>
      </c>
      <c r="W48">
        <v>9.5733477383310606E-3</v>
      </c>
      <c r="X48">
        <v>0.10530682512164501</v>
      </c>
      <c r="AA48">
        <v>0.90946803514145902</v>
      </c>
      <c r="AB48">
        <v>3.2453648832942399</v>
      </c>
      <c r="AC48">
        <v>4.4994734370155696</v>
      </c>
      <c r="AD48">
        <v>1.91466954766615E-2</v>
      </c>
      <c r="AE48">
        <v>5.5454869493243599</v>
      </c>
    </row>
    <row r="49" spans="1:31" x14ac:dyDescent="0.2">
      <c r="A49">
        <v>48</v>
      </c>
      <c r="B49">
        <v>755</v>
      </c>
      <c r="C49">
        <v>225</v>
      </c>
      <c r="D49">
        <v>0.354647181831445</v>
      </c>
      <c r="E49">
        <v>104.247750355718</v>
      </c>
      <c r="F49">
        <v>2.2068210483552102</v>
      </c>
      <c r="G49">
        <v>-1698.8924394507449</v>
      </c>
      <c r="H49">
        <v>-1423.5730557092998</v>
      </c>
      <c r="I49">
        <v>267.78133904726297</v>
      </c>
      <c r="J49">
        <v>140.381242180642</v>
      </c>
      <c r="K49">
        <v>47.238878038351203</v>
      </c>
      <c r="L49">
        <v>1.4885897851092661E-4</v>
      </c>
      <c r="M49">
        <v>1.7492743937238277E-5</v>
      </c>
      <c r="N49" s="1">
        <v>3.3292265236920598E-6</v>
      </c>
      <c r="O49" s="1">
        <v>9.4368949007389201E-8</v>
      </c>
      <c r="P49" s="1">
        <v>-4.8094788806710903E-7</v>
      </c>
      <c r="Q49">
        <v>72.401768837114901</v>
      </c>
      <c r="R49">
        <v>8.6332798255021201E-2</v>
      </c>
      <c r="S49">
        <v>12.288034951632699</v>
      </c>
      <c r="T49">
        <v>0.25761672980019301</v>
      </c>
      <c r="V49">
        <v>0.614067039045745</v>
      </c>
      <c r="W49">
        <v>9.59253313944659E-3</v>
      </c>
      <c r="X49">
        <v>0.105517864533918</v>
      </c>
      <c r="AA49">
        <v>0.91129064824743999</v>
      </c>
      <c r="AB49">
        <v>3.2518687342724202</v>
      </c>
      <c r="AC49">
        <v>4.5084905755398603</v>
      </c>
      <c r="AD49">
        <v>1.9185066278892299E-2</v>
      </c>
      <c r="AE49">
        <v>5.5462342221392804</v>
      </c>
    </row>
    <row r="50" spans="1:31" x14ac:dyDescent="0.2">
      <c r="A50">
        <v>49</v>
      </c>
      <c r="B50">
        <v>754</v>
      </c>
      <c r="C50">
        <v>225</v>
      </c>
      <c r="D50">
        <v>0.35395073747748601</v>
      </c>
      <c r="E50">
        <v>104.03982160675901</v>
      </c>
      <c r="F50">
        <v>2.2073104201425502</v>
      </c>
      <c r="G50">
        <v>-1695.1730250030932</v>
      </c>
      <c r="H50">
        <v>-1420.7888714670373</v>
      </c>
      <c r="I50">
        <v>267.13153243056598</v>
      </c>
      <c r="J50">
        <v>140.10821081035101</v>
      </c>
      <c r="K50">
        <v>47.134204893591999</v>
      </c>
      <c r="L50">
        <v>1.4888541865930467E-4</v>
      </c>
      <c r="M50">
        <v>1.7484321490514139E-5</v>
      </c>
      <c r="N50" s="1">
        <v>3.3268606127245102E-6</v>
      </c>
      <c r="O50" s="1">
        <v>9.4119483463797101E-8</v>
      </c>
      <c r="P50" s="1">
        <v>-4.8022327656223296E-7</v>
      </c>
      <c r="Q50">
        <v>72.356898503562803</v>
      </c>
      <c r="R50">
        <v>8.6505338638674698E-2</v>
      </c>
      <c r="S50">
        <v>12.312593199573</v>
      </c>
      <c r="T50">
        <v>0.25862435127821998</v>
      </c>
      <c r="V50">
        <v>0.61485089014961103</v>
      </c>
      <c r="W50">
        <v>9.6117042931858406E-3</v>
      </c>
      <c r="X50">
        <v>0.10572874722505</v>
      </c>
      <c r="AA50">
        <v>0.91311190785267105</v>
      </c>
      <c r="AB50">
        <v>3.2583677553900201</v>
      </c>
      <c r="AC50">
        <v>4.5175010177972998</v>
      </c>
      <c r="AD50">
        <v>1.9223408586370599E-2</v>
      </c>
      <c r="AE50">
        <v>5.5469831756529899</v>
      </c>
    </row>
    <row r="51" spans="1:31" x14ac:dyDescent="0.2">
      <c r="A51">
        <v>50</v>
      </c>
      <c r="B51">
        <v>753</v>
      </c>
      <c r="C51">
        <v>225</v>
      </c>
      <c r="D51">
        <v>0.35325293573064698</v>
      </c>
      <c r="E51">
        <v>103.832873498488</v>
      </c>
      <c r="F51">
        <v>2.20779994500294</v>
      </c>
      <c r="G51">
        <v>-1691.471031244356</v>
      </c>
      <c r="H51">
        <v>-1418.0179334451695</v>
      </c>
      <c r="I51">
        <v>266.48452740748002</v>
      </c>
      <c r="J51">
        <v>139.83645484561401</v>
      </c>
      <c r="K51">
        <v>47.030019061962598</v>
      </c>
      <c r="L51">
        <v>1.4891176626372581E-4</v>
      </c>
      <c r="M51">
        <v>1.7475888311417071E-5</v>
      </c>
      <c r="N51" s="1">
        <v>3.32451102188966E-6</v>
      </c>
      <c r="O51" s="1">
        <v>9.38711548780886E-8</v>
      </c>
      <c r="P51" s="1">
        <v>-4.7950218861120004E-7</v>
      </c>
      <c r="Q51">
        <v>72.312058738220799</v>
      </c>
      <c r="R51">
        <v>8.6677751436119901E-2</v>
      </c>
      <c r="S51">
        <v>12.337133287743001</v>
      </c>
      <c r="T51">
        <v>0.25963550247154499</v>
      </c>
      <c r="V51">
        <v>0.61563031510978405</v>
      </c>
      <c r="W51">
        <v>9.6308612706796897E-3</v>
      </c>
      <c r="X51">
        <v>0.105939473977484</v>
      </c>
      <c r="AA51">
        <v>0.914931820714592</v>
      </c>
      <c r="AB51">
        <v>3.26486197076045</v>
      </c>
      <c r="AC51">
        <v>4.5265047972194097</v>
      </c>
      <c r="AD51">
        <v>1.9261722541358099E-2</v>
      </c>
      <c r="AE51">
        <v>5.5477337585346396</v>
      </c>
    </row>
    <row r="52" spans="1:31" x14ac:dyDescent="0.2">
      <c r="A52">
        <v>51</v>
      </c>
      <c r="B52">
        <v>752</v>
      </c>
      <c r="C52">
        <v>225</v>
      </c>
      <c r="D52">
        <v>0.35255377261864101</v>
      </c>
      <c r="E52">
        <v>102.81261787886901</v>
      </c>
      <c r="F52">
        <v>2.20854095653756</v>
      </c>
      <c r="G52">
        <v>-1674.242534407621</v>
      </c>
      <c r="H52">
        <v>-1403.9486809206928</v>
      </c>
      <c r="I52">
        <v>263.66273568446297</v>
      </c>
      <c r="J52">
        <v>138.43975152391201</v>
      </c>
      <c r="K52">
        <v>46.552280397848698</v>
      </c>
      <c r="L52">
        <v>1.4877776494811822E-4</v>
      </c>
      <c r="M52">
        <v>1.7452055628629539E-5</v>
      </c>
      <c r="N52" s="1">
        <v>3.29036319486378E-6</v>
      </c>
      <c r="O52" s="1">
        <v>9.2741211726005605E-8</v>
      </c>
      <c r="P52" s="1">
        <v>-4.74328214734296E-7</v>
      </c>
      <c r="Q52">
        <v>72.275434919115199</v>
      </c>
      <c r="R52">
        <v>8.75378935550849E-2</v>
      </c>
      <c r="S52">
        <v>12.351192764916201</v>
      </c>
      <c r="T52">
        <v>0.26272047632937501</v>
      </c>
      <c r="V52">
        <v>0.62128194122984204</v>
      </c>
      <c r="W52">
        <v>9.7264326172312402E-3</v>
      </c>
      <c r="X52">
        <v>0.106990758789555</v>
      </c>
      <c r="AA52">
        <v>0.90491000613977901</v>
      </c>
      <c r="AB52">
        <v>3.2564305547782202</v>
      </c>
      <c r="AC52">
        <v>4.5654463779347498</v>
      </c>
      <c r="AD52">
        <v>1.9452865234460701E-2</v>
      </c>
      <c r="AE52">
        <v>5.5388750093601304</v>
      </c>
    </row>
    <row r="53" spans="1:31" x14ac:dyDescent="0.2">
      <c r="A53">
        <v>52</v>
      </c>
      <c r="B53">
        <v>751</v>
      </c>
      <c r="C53">
        <v>225</v>
      </c>
      <c r="D53">
        <v>0.35185324415369101</v>
      </c>
      <c r="E53">
        <v>101.210638292144</v>
      </c>
      <c r="F53">
        <v>2.2094819520411599</v>
      </c>
      <c r="G53">
        <v>-1647.3501046162628</v>
      </c>
      <c r="H53">
        <v>-1381.8006736926131</v>
      </c>
      <c r="I53">
        <v>259.28763454928401</v>
      </c>
      <c r="J53">
        <v>136.23898986234801</v>
      </c>
      <c r="K53">
        <v>45.807406663197099</v>
      </c>
      <c r="L53">
        <v>1.4852260452385488E-4</v>
      </c>
      <c r="M53">
        <v>1.741665177179974E-5</v>
      </c>
      <c r="N53" s="1">
        <v>3.2333757790476801E-6</v>
      </c>
      <c r="O53" s="1">
        <v>9.0982715365204595E-8</v>
      </c>
      <c r="P53" s="1">
        <v>-4.65957939147663E-7</v>
      </c>
      <c r="Q53">
        <v>72.244374751014803</v>
      </c>
      <c r="R53">
        <v>8.8923458559975702E-2</v>
      </c>
      <c r="S53">
        <v>12.3578907450238</v>
      </c>
      <c r="T53">
        <v>0.267397950341355</v>
      </c>
      <c r="V53">
        <v>0.63064861820322704</v>
      </c>
      <c r="W53">
        <v>9.8803842844411502E-3</v>
      </c>
      <c r="X53">
        <v>0.10868422712886899</v>
      </c>
      <c r="AA53">
        <v>0.88703564938554302</v>
      </c>
      <c r="AB53">
        <v>3.23621686147363</v>
      </c>
      <c r="AC53">
        <v>4.6264265962240501</v>
      </c>
      <c r="AD53">
        <v>1.976076856888E-2</v>
      </c>
      <c r="AE53">
        <v>5.52275998979131</v>
      </c>
    </row>
    <row r="54" spans="1:31" x14ac:dyDescent="0.2">
      <c r="A54">
        <v>53</v>
      </c>
      <c r="B54">
        <v>750</v>
      </c>
      <c r="C54">
        <v>225</v>
      </c>
      <c r="D54">
        <v>0.35115134633240402</v>
      </c>
      <c r="E54">
        <v>99.607558420371006</v>
      </c>
      <c r="F54">
        <v>2.2104491539416902</v>
      </c>
      <c r="G54">
        <v>-1620.4547876720817</v>
      </c>
      <c r="H54">
        <v>-1359.6406405468949</v>
      </c>
      <c r="I54">
        <v>254.91291318495499</v>
      </c>
      <c r="J54">
        <v>134.037489441112</v>
      </c>
      <c r="K54">
        <v>45.062135106229299</v>
      </c>
      <c r="L54">
        <v>1.4825927088558862E-4</v>
      </c>
      <c r="M54">
        <v>1.7380541785824394E-5</v>
      </c>
      <c r="N54" s="1">
        <v>3.17623482544065E-6</v>
      </c>
      <c r="O54" s="1">
        <v>8.9226265421268398E-8</v>
      </c>
      <c r="P54" s="1">
        <v>-4.57569341021753E-7</v>
      </c>
      <c r="Q54">
        <v>72.212888921262703</v>
      </c>
      <c r="R54">
        <v>9.0354588976247902E-2</v>
      </c>
      <c r="S54">
        <v>12.364763916386</v>
      </c>
      <c r="T54">
        <v>0.27222581525606598</v>
      </c>
      <c r="V54">
        <v>0.64032641358647002</v>
      </c>
      <c r="W54">
        <v>1.0039398775137799E-2</v>
      </c>
      <c r="X54">
        <v>0.110433386526538</v>
      </c>
      <c r="AA54">
        <v>0.86996695485091902</v>
      </c>
      <c r="AB54">
        <v>3.2145865635567801</v>
      </c>
      <c r="AC54">
        <v>4.6881725343528204</v>
      </c>
      <c r="AD54">
        <v>2.0078797550272798E-2</v>
      </c>
      <c r="AE54">
        <v>5.5061627089199501</v>
      </c>
    </row>
    <row r="55" spans="1:31" x14ac:dyDescent="0.2">
      <c r="A55">
        <v>54</v>
      </c>
      <c r="B55">
        <v>749</v>
      </c>
      <c r="C55">
        <v>225</v>
      </c>
      <c r="D55">
        <v>0.350448075135744</v>
      </c>
      <c r="E55">
        <v>97.999598986830506</v>
      </c>
      <c r="F55">
        <v>2.2114439733789202</v>
      </c>
      <c r="G55">
        <v>-1593.4949203485853</v>
      </c>
      <c r="H55">
        <v>-1337.4166797858229</v>
      </c>
      <c r="I55">
        <v>250.52902270974101</v>
      </c>
      <c r="J55">
        <v>131.83018890917401</v>
      </c>
      <c r="K55">
        <v>44.314755502077702</v>
      </c>
      <c r="L55">
        <v>1.4798759342447292E-4</v>
      </c>
      <c r="M55">
        <v>1.7343707019146852E-5</v>
      </c>
      <c r="N55" s="1">
        <v>3.11882578642707E-6</v>
      </c>
      <c r="O55" s="1">
        <v>8.7468640240718894E-8</v>
      </c>
      <c r="P55" s="1">
        <v>-4.49146030132562E-7</v>
      </c>
      <c r="Q55">
        <v>72.180920061036801</v>
      </c>
      <c r="R55">
        <v>9.1837110488683704E-2</v>
      </c>
      <c r="S55">
        <v>12.3718185362008</v>
      </c>
      <c r="T55">
        <v>0.27722189141522702</v>
      </c>
      <c r="V55">
        <v>0.65035637146382697</v>
      </c>
      <c r="W55">
        <v>1.02041233876305E-2</v>
      </c>
      <c r="X55">
        <v>0.112245357263961</v>
      </c>
      <c r="AA55">
        <v>0.85372388719598402</v>
      </c>
      <c r="AB55">
        <v>3.19149300708921</v>
      </c>
      <c r="AC55">
        <v>4.7507022995670898</v>
      </c>
      <c r="AD55">
        <v>2.04082467752578E-2</v>
      </c>
      <c r="AE55">
        <v>5.4890691081153999</v>
      </c>
    </row>
    <row r="56" spans="1:31" x14ac:dyDescent="0.2">
      <c r="A56">
        <v>55</v>
      </c>
      <c r="B56">
        <v>748</v>
      </c>
      <c r="C56">
        <v>225</v>
      </c>
      <c r="D56">
        <v>0.34974342652891699</v>
      </c>
      <c r="E56">
        <v>96.381906051389095</v>
      </c>
      <c r="F56">
        <v>2.21246823093878</v>
      </c>
      <c r="G56">
        <v>-1566.3913535595407</v>
      </c>
      <c r="H56">
        <v>-1315.0621538859466</v>
      </c>
      <c r="I56">
        <v>246.12368376202599</v>
      </c>
      <c r="J56">
        <v>129.610588074411</v>
      </c>
      <c r="K56">
        <v>43.563068930708603</v>
      </c>
      <c r="L56">
        <v>1.4770736068024705E-4</v>
      </c>
      <c r="M56">
        <v>1.7306124501561225E-5</v>
      </c>
      <c r="N56" s="1">
        <v>3.06099964237529E-6</v>
      </c>
      <c r="O56" s="1">
        <v>8.5705675956386395E-8</v>
      </c>
      <c r="P56" s="1">
        <v>-4.4066661610819802E-7</v>
      </c>
      <c r="Q56">
        <v>72.148394458880404</v>
      </c>
      <c r="R56">
        <v>9.3378522678329606E-2</v>
      </c>
      <c r="S56">
        <v>12.379063010389601</v>
      </c>
      <c r="T56">
        <v>0.282409022545555</v>
      </c>
      <c r="V56">
        <v>0.66079141636022598</v>
      </c>
      <c r="W56">
        <v>1.0375391408702301E-2</v>
      </c>
      <c r="X56">
        <v>0.114129305495752</v>
      </c>
      <c r="AA56">
        <v>0.83833495365119204</v>
      </c>
      <c r="AB56">
        <v>3.1668752344256301</v>
      </c>
      <c r="AC56">
        <v>4.8140361780676697</v>
      </c>
      <c r="AD56">
        <v>2.0750782817400899E-2</v>
      </c>
      <c r="AE56">
        <v>5.4714617232794103</v>
      </c>
    </row>
    <row r="57" spans="1:31" x14ac:dyDescent="0.2">
      <c r="A57">
        <v>56</v>
      </c>
      <c r="B57">
        <v>747</v>
      </c>
      <c r="C57">
        <v>225</v>
      </c>
      <c r="D57">
        <v>0.34903739646130499</v>
      </c>
      <c r="E57">
        <v>69.327422362366406</v>
      </c>
      <c r="F57">
        <v>2.21375728611262</v>
      </c>
      <c r="G57">
        <v>-1126.7978763263768</v>
      </c>
      <c r="H57">
        <v>-946.52049051239783</v>
      </c>
      <c r="I57">
        <v>176.71654738418701</v>
      </c>
      <c r="J57">
        <v>93.228267959616701</v>
      </c>
      <c r="K57">
        <v>31.316632043301301</v>
      </c>
      <c r="L57">
        <v>1.4703884047617482E-4</v>
      </c>
      <c r="M57">
        <v>1.7245451681598734E-5</v>
      </c>
      <c r="N57" s="1">
        <v>2.18996286159031E-6</v>
      </c>
      <c r="O57" s="1">
        <v>6.1227749724841205E-8</v>
      </c>
      <c r="P57" s="1">
        <v>-3.1469328603219099E-7</v>
      </c>
      <c r="Q57">
        <v>72.100587408533997</v>
      </c>
      <c r="R57">
        <v>9.8737494019192101E-2</v>
      </c>
      <c r="S57">
        <v>12.4840726089725</v>
      </c>
      <c r="T57">
        <v>0.25932829753467601</v>
      </c>
      <c r="V57">
        <v>0.60624862077975294</v>
      </c>
      <c r="W57">
        <v>1.4424306658524001E-2</v>
      </c>
      <c r="X57">
        <v>0.154150844900139</v>
      </c>
      <c r="AA57">
        <v>0.83137025772276296</v>
      </c>
      <c r="AB57">
        <v>3.08248050500042</v>
      </c>
      <c r="AC57">
        <v>4.9038495660262997</v>
      </c>
      <c r="AD57">
        <v>2.8848613317029301E-2</v>
      </c>
      <c r="AE57">
        <v>5.4359014765346201</v>
      </c>
    </row>
    <row r="58" spans="1:31" x14ac:dyDescent="0.2">
      <c r="A58">
        <v>57</v>
      </c>
      <c r="B58">
        <v>746</v>
      </c>
      <c r="C58">
        <v>225</v>
      </c>
      <c r="D58">
        <v>0.34832998086640898</v>
      </c>
      <c r="E58">
        <v>27.933899422533202</v>
      </c>
      <c r="F58">
        <v>2.2180720280925801</v>
      </c>
      <c r="G58">
        <v>-454.1190903010604</v>
      </c>
      <c r="H58">
        <v>-381.80124576405245</v>
      </c>
      <c r="I58">
        <v>70.958980068692398</v>
      </c>
      <c r="J58">
        <v>37.581263517441002</v>
      </c>
      <c r="K58">
        <v>12.593774714590699</v>
      </c>
      <c r="L58">
        <v>1.4593395221054303E-4</v>
      </c>
      <c r="M58">
        <v>1.7182735494351176E-5</v>
      </c>
      <c r="N58" s="1">
        <v>8.7306200877516198E-7</v>
      </c>
      <c r="O58" s="1">
        <v>2.4379628083277399E-8</v>
      </c>
      <c r="P58" s="1">
        <v>-1.24459462783781E-7</v>
      </c>
      <c r="Q58">
        <v>71.741921448628403</v>
      </c>
      <c r="R58">
        <v>0.14033194039348801</v>
      </c>
      <c r="S58">
        <v>13.0203444875745</v>
      </c>
      <c r="T58">
        <v>0.23716466512895901</v>
      </c>
      <c r="V58">
        <v>0.56145484621640696</v>
      </c>
      <c r="W58">
        <v>3.5798797184502497E-2</v>
      </c>
      <c r="X58">
        <v>0.15316460376862601</v>
      </c>
      <c r="AA58">
        <v>0.834702459158707</v>
      </c>
      <c r="AB58">
        <v>2.8280461790798501</v>
      </c>
      <c r="AC58">
        <v>5.0031977613268896</v>
      </c>
      <c r="AD58">
        <v>7.1597594368932996E-2</v>
      </c>
      <c r="AE58">
        <v>5.37227521717067</v>
      </c>
    </row>
    <row r="59" spans="1:31" x14ac:dyDescent="0.2">
      <c r="A59">
        <v>58</v>
      </c>
      <c r="B59">
        <v>745</v>
      </c>
      <c r="C59">
        <v>225</v>
      </c>
      <c r="D59">
        <v>0.347621175661739</v>
      </c>
      <c r="E59">
        <v>19.523129527547301</v>
      </c>
      <c r="F59">
        <v>2.2209684472503302</v>
      </c>
      <c r="G59">
        <v>-317.42675116737877</v>
      </c>
      <c r="H59">
        <v>-267.04450267541085</v>
      </c>
      <c r="I59">
        <v>49.4841118616785</v>
      </c>
      <c r="J59">
        <v>26.279182643656899</v>
      </c>
      <c r="K59">
        <v>8.7903678018109002</v>
      </c>
      <c r="L59">
        <v>1.4535959760988526E-4</v>
      </c>
      <c r="M59">
        <v>1.71542758149904E-5</v>
      </c>
      <c r="N59" s="1">
        <v>6.07135209469383E-7</v>
      </c>
      <c r="O59" s="1">
        <v>1.6926905574168499E-8</v>
      </c>
      <c r="P59" s="1">
        <v>-8.6034408727476602E-8</v>
      </c>
      <c r="Q59">
        <v>71.467870613863496</v>
      </c>
      <c r="R59">
        <v>0.15589553472928799</v>
      </c>
      <c r="S59">
        <v>13.4074487571541</v>
      </c>
      <c r="T59">
        <v>0.22691812721728599</v>
      </c>
      <c r="V59">
        <v>0.541822347623372</v>
      </c>
      <c r="W59">
        <v>5.1221296185556701E-2</v>
      </c>
      <c r="X59">
        <v>0.15536934274949701</v>
      </c>
      <c r="AA59">
        <v>0.83039581970430099</v>
      </c>
      <c r="AB59">
        <v>2.6702836373475001</v>
      </c>
      <c r="AC59">
        <v>5.05100979757235</v>
      </c>
      <c r="AD59">
        <v>0.102442592370988</v>
      </c>
      <c r="AE59">
        <v>5.3393221334822298</v>
      </c>
    </row>
    <row r="60" spans="1:31" x14ac:dyDescent="0.2">
      <c r="A60">
        <v>59</v>
      </c>
      <c r="B60">
        <v>744</v>
      </c>
      <c r="C60">
        <v>225</v>
      </c>
      <c r="D60">
        <v>0.34691097674876298</v>
      </c>
      <c r="E60">
        <v>15.628712184377401</v>
      </c>
      <c r="F60">
        <v>2.2233132964763902</v>
      </c>
      <c r="G60">
        <v>-254.13100952928528</v>
      </c>
      <c r="H60">
        <v>-213.91007320674814</v>
      </c>
      <c r="I60">
        <v>39.542777685235301</v>
      </c>
      <c r="J60">
        <v>21.047147162858199</v>
      </c>
      <c r="K60">
        <v>7.0294691302150598</v>
      </c>
      <c r="L60">
        <v>1.4495688123653214E-4</v>
      </c>
      <c r="M60">
        <v>1.7135891166415582E-5</v>
      </c>
      <c r="N60" s="1">
        <v>4.8449214011750502E-7</v>
      </c>
      <c r="O60" s="1">
        <v>1.34846100591105E-8</v>
      </c>
      <c r="P60" s="1">
        <v>-6.8303536532281895E-8</v>
      </c>
      <c r="Q60">
        <v>71.234664320018496</v>
      </c>
      <c r="R60">
        <v>0.16532159777039099</v>
      </c>
      <c r="S60">
        <v>13.7296261302925</v>
      </c>
      <c r="T60">
        <v>0.219720842557068</v>
      </c>
      <c r="V60">
        <v>0.52814705806384998</v>
      </c>
      <c r="W60">
        <v>6.3984798504320498E-2</v>
      </c>
      <c r="X60">
        <v>0.156317478389362</v>
      </c>
      <c r="AA60">
        <v>0.826823930192225</v>
      </c>
      <c r="AB60">
        <v>2.54835838756857</v>
      </c>
      <c r="AC60">
        <v>5.08264128622515</v>
      </c>
      <c r="AD60">
        <v>0.12796959700845201</v>
      </c>
      <c r="AE60">
        <v>5.3164245734094902</v>
      </c>
    </row>
    <row r="61" spans="1:31" x14ac:dyDescent="0.2">
      <c r="A61">
        <v>60</v>
      </c>
      <c r="B61">
        <v>743</v>
      </c>
      <c r="C61">
        <v>225</v>
      </c>
      <c r="D61">
        <v>0.34619938001279399</v>
      </c>
      <c r="E61">
        <v>13.315800521035699</v>
      </c>
      <c r="F61">
        <v>2.2253361813921502</v>
      </c>
      <c r="G61">
        <v>-216.5376017615244</v>
      </c>
      <c r="H61">
        <v>-182.35515132193584</v>
      </c>
      <c r="I61">
        <v>33.639177719419898</v>
      </c>
      <c r="J61">
        <v>17.940429396875899</v>
      </c>
      <c r="K61">
        <v>5.9837253500751899</v>
      </c>
      <c r="L61">
        <v>1.4464860606471099E-4</v>
      </c>
      <c r="M61">
        <v>1.7122722022310321E-5</v>
      </c>
      <c r="N61" s="1">
        <v>4.11910890254738E-7</v>
      </c>
      <c r="O61" s="1">
        <v>1.1444237059392901E-8</v>
      </c>
      <c r="P61" s="1">
        <v>-5.7803426106602003E-8</v>
      </c>
      <c r="Q61">
        <v>71.027295464706796</v>
      </c>
      <c r="R61">
        <v>0.17199837487411301</v>
      </c>
      <c r="S61">
        <v>14.011431824894499</v>
      </c>
      <c r="T61">
        <v>0.21399829756140401</v>
      </c>
      <c r="V61">
        <v>0.51721184679631405</v>
      </c>
      <c r="W61">
        <v>7.5098751924045304E-2</v>
      </c>
      <c r="X61">
        <v>0.15672970715048501</v>
      </c>
      <c r="AA61">
        <v>0.82430868582140004</v>
      </c>
      <c r="AB61">
        <v>2.44736567801819</v>
      </c>
      <c r="AC61">
        <v>5.1053062241622102</v>
      </c>
      <c r="AD61">
        <v>0.15019750384783701</v>
      </c>
      <c r="AE61">
        <v>5.29905764024259</v>
      </c>
    </row>
    <row r="62" spans="1:31" x14ac:dyDescent="0.2">
      <c r="A62">
        <v>61</v>
      </c>
      <c r="B62">
        <v>742</v>
      </c>
      <c r="C62">
        <v>225</v>
      </c>
      <c r="D62">
        <v>0.345486381322956</v>
      </c>
      <c r="E62">
        <v>11.7539584781918</v>
      </c>
      <c r="F62">
        <v>2.2271439434311402</v>
      </c>
      <c r="G62">
        <v>-191.15073106271188</v>
      </c>
      <c r="H62">
        <v>-161.04863345560088</v>
      </c>
      <c r="I62">
        <v>29.6528568261941</v>
      </c>
      <c r="J62">
        <v>15.8429448999601</v>
      </c>
      <c r="K62">
        <v>5.2775926373594304</v>
      </c>
      <c r="L62">
        <v>1.4440146254244174E-4</v>
      </c>
      <c r="M62">
        <v>1.7112814347750418E-5</v>
      </c>
      <c r="N62" s="1">
        <v>3.63062574395662E-7</v>
      </c>
      <c r="O62" s="1">
        <v>1.0068834936749999E-8</v>
      </c>
      <c r="P62" s="1">
        <v>-5.0731726510422801E-8</v>
      </c>
      <c r="Q62">
        <v>70.837903674233402</v>
      </c>
      <c r="R62">
        <v>0.17714105832938701</v>
      </c>
      <c r="S62">
        <v>14.2653666515348</v>
      </c>
      <c r="T62">
        <v>0.20915657777998001</v>
      </c>
      <c r="V62">
        <v>0.50785703009501204</v>
      </c>
      <c r="W62">
        <v>8.5077720995410999E-2</v>
      </c>
      <c r="X62">
        <v>0.15685437825894799</v>
      </c>
      <c r="AA62">
        <v>0.82270623991934999</v>
      </c>
      <c r="AB62">
        <v>2.3603867319476302</v>
      </c>
      <c r="AC62">
        <v>5.1221257352165104</v>
      </c>
      <c r="AD62">
        <v>0.17015544199049501</v>
      </c>
      <c r="AE62">
        <v>5.2852687596989698</v>
      </c>
    </row>
    <row r="63" spans="1:31" x14ac:dyDescent="0.2">
      <c r="A63">
        <v>62</v>
      </c>
      <c r="B63">
        <v>741</v>
      </c>
      <c r="C63">
        <v>225</v>
      </c>
      <c r="D63">
        <v>0.34477197653207198</v>
      </c>
      <c r="E63">
        <v>10.613465529436301</v>
      </c>
      <c r="F63">
        <v>2.22879580058517</v>
      </c>
      <c r="G63">
        <v>-172.61185133496795</v>
      </c>
      <c r="H63">
        <v>-145.49142559794075</v>
      </c>
      <c r="I63">
        <v>26.742026068162701</v>
      </c>
      <c r="J63">
        <v>14.3115894666764</v>
      </c>
      <c r="K63">
        <v>4.7619730469026003</v>
      </c>
      <c r="L63">
        <v>1.4419774034030421E-4</v>
      </c>
      <c r="M63">
        <v>1.7105173271416207E-5</v>
      </c>
      <c r="N63" s="1">
        <v>3.27507792537448E-7</v>
      </c>
      <c r="O63" s="1">
        <v>9.0661102581702096E-9</v>
      </c>
      <c r="P63" s="1">
        <v>-4.5580755436321998E-8</v>
      </c>
      <c r="Q63">
        <v>70.661875090918599</v>
      </c>
      <c r="R63">
        <v>0.18131100688892099</v>
      </c>
      <c r="S63">
        <v>14.4986751659715</v>
      </c>
      <c r="T63">
        <v>0.20490744746400999</v>
      </c>
      <c r="V63">
        <v>0.49953906137778897</v>
      </c>
      <c r="W63">
        <v>9.4219931955846797E-2</v>
      </c>
      <c r="X63">
        <v>0.15680277414899499</v>
      </c>
      <c r="AA63">
        <v>0.82185749771235805</v>
      </c>
      <c r="AB63">
        <v>2.2835844425415899</v>
      </c>
      <c r="AC63">
        <v>5.1347670844317701</v>
      </c>
      <c r="AD63">
        <v>0.18843986391130799</v>
      </c>
      <c r="AE63">
        <v>5.2740206326772103</v>
      </c>
    </row>
    <row r="64" spans="1:31" x14ac:dyDescent="0.2">
      <c r="A64">
        <v>63</v>
      </c>
      <c r="B64">
        <v>760</v>
      </c>
      <c r="C64">
        <v>200</v>
      </c>
      <c r="D64">
        <v>0.38472680636887402</v>
      </c>
      <c r="E64">
        <v>104.141185055294</v>
      </c>
      <c r="F64">
        <v>2.2064151479442402</v>
      </c>
      <c r="G64">
        <v>-1697.6483915491106</v>
      </c>
      <c r="H64">
        <v>-1422.9347872154253</v>
      </c>
      <c r="I64">
        <v>265.89905079967502</v>
      </c>
      <c r="J64">
        <v>139.90845869785201</v>
      </c>
      <c r="K64">
        <v>47.199270342357998</v>
      </c>
      <c r="L64">
        <v>1.4441520448222207E-4</v>
      </c>
      <c r="M64">
        <v>1.7414611375432857E-5</v>
      </c>
      <c r="N64" s="1">
        <v>3.12228843210992E-6</v>
      </c>
      <c r="O64" s="1">
        <v>9.0866924080694094E-8</v>
      </c>
      <c r="P64" s="1">
        <v>-4.6202727876234298E-7</v>
      </c>
      <c r="Q64">
        <v>72.728191022410599</v>
      </c>
      <c r="R64">
        <v>8.6421140639233104E-2</v>
      </c>
      <c r="S64">
        <v>12.300609017651199</v>
      </c>
      <c r="T64">
        <v>0.25884767728653302</v>
      </c>
      <c r="V64">
        <v>0.61382498191840995</v>
      </c>
      <c r="W64">
        <v>9.6023489599147294E-3</v>
      </c>
      <c r="X64">
        <v>0.105625838559063</v>
      </c>
      <c r="AA64">
        <v>0.912223151191903</v>
      </c>
      <c r="AB64">
        <v>3.2551962974110999</v>
      </c>
      <c r="AC64">
        <v>4.5131040111599097</v>
      </c>
      <c r="AD64">
        <v>1.9204697919829199E-2</v>
      </c>
      <c r="AE64">
        <v>5.1971498148922102</v>
      </c>
    </row>
    <row r="65" spans="1:31" x14ac:dyDescent="0.2">
      <c r="A65">
        <v>64</v>
      </c>
      <c r="B65">
        <v>759</v>
      </c>
      <c r="C65">
        <v>200</v>
      </c>
      <c r="D65">
        <v>0.38406287845759102</v>
      </c>
      <c r="E65">
        <v>104.04152591444701</v>
      </c>
      <c r="F65">
        <v>2.2067681566191499</v>
      </c>
      <c r="G65">
        <v>-1695.7164002136492</v>
      </c>
      <c r="H65">
        <v>-1421.7006794541496</v>
      </c>
      <c r="I65">
        <v>265.48052197790901</v>
      </c>
      <c r="J65">
        <v>139.74930991943199</v>
      </c>
      <c r="K65">
        <v>47.146559371167498</v>
      </c>
      <c r="L65">
        <v>1.443028356017854E-4</v>
      </c>
      <c r="M65">
        <v>1.740316321253716E-5</v>
      </c>
      <c r="N65" s="1">
        <v>3.1211599850534201E-6</v>
      </c>
      <c r="O65" s="1">
        <v>9.0665185495522302E-8</v>
      </c>
      <c r="P65" s="1">
        <v>-4.61169007378356E-7</v>
      </c>
      <c r="Q65">
        <v>72.742140424847605</v>
      </c>
      <c r="R65">
        <v>8.6503921591852606E-2</v>
      </c>
      <c r="S65">
        <v>12.292318879381201</v>
      </c>
      <c r="T65">
        <v>0.25948305830320301</v>
      </c>
      <c r="V65">
        <v>0.61406433214023004</v>
      </c>
      <c r="W65">
        <v>9.6115468435390497E-3</v>
      </c>
      <c r="X65">
        <v>0.105727015278933</v>
      </c>
      <c r="AA65">
        <v>0.90953724665522895</v>
      </c>
      <c r="AB65">
        <v>3.25074430901986</v>
      </c>
      <c r="AC65">
        <v>4.5163672607730803</v>
      </c>
      <c r="AD65">
        <v>1.92230936870776E-2</v>
      </c>
      <c r="AE65">
        <v>5.1942789114780803</v>
      </c>
    </row>
    <row r="66" spans="1:31" x14ac:dyDescent="0.2">
      <c r="A66">
        <v>65</v>
      </c>
      <c r="B66">
        <v>758</v>
      </c>
      <c r="C66">
        <v>200</v>
      </c>
      <c r="D66">
        <v>0.383397662803666</v>
      </c>
      <c r="E66">
        <v>103.54565023573601</v>
      </c>
      <c r="F66">
        <v>2.2072010098008201</v>
      </c>
      <c r="G66">
        <v>-1687.1889100920687</v>
      </c>
      <c r="H66">
        <v>-1414.9758233412756</v>
      </c>
      <c r="I66">
        <v>263.98980434543199</v>
      </c>
      <c r="J66">
        <v>139.03151293710599</v>
      </c>
      <c r="K66">
        <v>46.912650807948097</v>
      </c>
      <c r="L66">
        <v>1.4406169728926213E-4</v>
      </c>
      <c r="M66">
        <v>1.7382704823169942E-5</v>
      </c>
      <c r="N66" s="1">
        <v>3.1046067286704699E-6</v>
      </c>
      <c r="O66" s="1">
        <v>9.00255641408922E-8</v>
      </c>
      <c r="P66" s="1">
        <v>-4.5798754236041201E-7</v>
      </c>
      <c r="Q66">
        <v>72.780745242447097</v>
      </c>
      <c r="R66">
        <v>8.6918185162875E-2</v>
      </c>
      <c r="S66">
        <v>12.266891932851999</v>
      </c>
      <c r="T66">
        <v>0.26108246777994598</v>
      </c>
      <c r="V66">
        <v>0.61668404670315302</v>
      </c>
      <c r="W66">
        <v>9.6575761292080793E-3</v>
      </c>
      <c r="X66">
        <v>0.106233337421295</v>
      </c>
      <c r="AA66">
        <v>0.89914781328107096</v>
      </c>
      <c r="AB66">
        <v>3.2343731443199499</v>
      </c>
      <c r="AC66">
        <v>4.5334292060320101</v>
      </c>
      <c r="AD66">
        <v>1.9315152258415201E-2</v>
      </c>
      <c r="AE66">
        <v>5.1855218956128502</v>
      </c>
    </row>
    <row r="67" spans="1:31" x14ac:dyDescent="0.2">
      <c r="A67">
        <v>66</v>
      </c>
      <c r="B67">
        <v>757</v>
      </c>
      <c r="C67">
        <v>200</v>
      </c>
      <c r="D67">
        <v>0.38273115565694399</v>
      </c>
      <c r="E67">
        <v>101.964235600764</v>
      </c>
      <c r="F67">
        <v>2.2080921654735799</v>
      </c>
      <c r="G67">
        <v>-1660.632025115558</v>
      </c>
      <c r="H67">
        <v>-1393.0991008271108</v>
      </c>
      <c r="I67">
        <v>259.70288238455203</v>
      </c>
      <c r="J67">
        <v>136.866990661676</v>
      </c>
      <c r="K67">
        <v>46.177527005035898</v>
      </c>
      <c r="L67">
        <v>1.4383782717575564E-4</v>
      </c>
      <c r="M67">
        <v>1.7349364404024391E-5</v>
      </c>
      <c r="N67" s="1">
        <v>3.05229913778442E-6</v>
      </c>
      <c r="O67" s="1">
        <v>8.8362621244545E-8</v>
      </c>
      <c r="P67" s="1">
        <v>-4.5013995961486602E-7</v>
      </c>
      <c r="Q67">
        <v>72.748573047199898</v>
      </c>
      <c r="R67">
        <v>8.8266243030930405E-2</v>
      </c>
      <c r="S67">
        <v>12.273663688034301</v>
      </c>
      <c r="T67">
        <v>0.26563795239296201</v>
      </c>
      <c r="V67">
        <v>0.62579300282207795</v>
      </c>
      <c r="W67">
        <v>9.8073603367695005E-3</v>
      </c>
      <c r="X67">
        <v>0.107880963704479</v>
      </c>
      <c r="AA67">
        <v>0.881903473649572</v>
      </c>
      <c r="AB67">
        <v>3.2144971193842</v>
      </c>
      <c r="AC67">
        <v>4.5930672992765498</v>
      </c>
      <c r="AD67">
        <v>1.9614720673536899E-2</v>
      </c>
      <c r="AE67">
        <v>5.1712951294946103</v>
      </c>
    </row>
    <row r="68" spans="1:31" x14ac:dyDescent="0.2">
      <c r="A68">
        <v>67</v>
      </c>
      <c r="B68">
        <v>756</v>
      </c>
      <c r="C68">
        <v>200</v>
      </c>
      <c r="D68">
        <v>0.38206335325268598</v>
      </c>
      <c r="E68">
        <v>100.385400804348</v>
      </c>
      <c r="F68">
        <v>2.2090063940741098</v>
      </c>
      <c r="G68">
        <v>-1634.1324974280424</v>
      </c>
      <c r="H68">
        <v>-1371.2609280352629</v>
      </c>
      <c r="I68">
        <v>255.42590428293201</v>
      </c>
      <c r="J68">
        <v>134.70669992160001</v>
      </c>
      <c r="K68">
        <v>45.443689558184197</v>
      </c>
      <c r="L68">
        <v>1.4360716077893774E-4</v>
      </c>
      <c r="M68">
        <v>1.7315417543195568E-5</v>
      </c>
      <c r="N68" s="1">
        <v>2.9999742039096899E-6</v>
      </c>
      <c r="O68" s="1">
        <v>8.6705080802127701E-8</v>
      </c>
      <c r="P68" s="1">
        <v>-4.4229282828865201E-7</v>
      </c>
      <c r="Q68">
        <v>72.715952451749999</v>
      </c>
      <c r="R68">
        <v>8.9654470947835199E-2</v>
      </c>
      <c r="S68">
        <v>12.2806180191041</v>
      </c>
      <c r="T68">
        <v>0.27032729884870399</v>
      </c>
      <c r="V68">
        <v>0.63517508757822005</v>
      </c>
      <c r="W68">
        <v>9.9616078830919996E-3</v>
      </c>
      <c r="X68">
        <v>0.10957768671403401</v>
      </c>
      <c r="AA68">
        <v>0.86542377500500001</v>
      </c>
      <c r="AB68">
        <v>3.19333118218215</v>
      </c>
      <c r="AC68">
        <v>4.6533774776686396</v>
      </c>
      <c r="AD68">
        <v>1.9923215766180901E-2</v>
      </c>
      <c r="AE68">
        <v>5.1566777265518704</v>
      </c>
    </row>
    <row r="69" spans="1:31" x14ac:dyDescent="0.2">
      <c r="A69">
        <v>68</v>
      </c>
      <c r="B69">
        <v>755</v>
      </c>
      <c r="C69">
        <v>200</v>
      </c>
      <c r="D69">
        <v>0.38139425181150599</v>
      </c>
      <c r="E69">
        <v>98.806227142077503</v>
      </c>
      <c r="F69">
        <v>2.20994470547851</v>
      </c>
      <c r="G69">
        <v>-1607.6426607909625</v>
      </c>
      <c r="H69">
        <v>-1349.4211914442722</v>
      </c>
      <c r="I69">
        <v>251.151553126187</v>
      </c>
      <c r="J69">
        <v>132.54674344529701</v>
      </c>
      <c r="K69">
        <v>44.709818710456403</v>
      </c>
      <c r="L69">
        <v>1.4336961142068059E-4</v>
      </c>
      <c r="M69">
        <v>1.7280853227996852E-5</v>
      </c>
      <c r="N69" s="1">
        <v>2.9475506335074099E-6</v>
      </c>
      <c r="O69" s="1">
        <v>8.5050568259735897E-8</v>
      </c>
      <c r="P69" s="1">
        <v>-4.3443426400939398E-7</v>
      </c>
      <c r="Q69">
        <v>72.682837015325802</v>
      </c>
      <c r="R69">
        <v>9.1087376376175103E-2</v>
      </c>
      <c r="S69">
        <v>12.2877601125215</v>
      </c>
      <c r="T69">
        <v>0.275164373751069</v>
      </c>
      <c r="V69">
        <v>0.64486198696594099</v>
      </c>
      <c r="W69">
        <v>1.01208195973518E-2</v>
      </c>
      <c r="X69">
        <v>0.111329015570896</v>
      </c>
      <c r="AA69">
        <v>0.84972175545781004</v>
      </c>
      <c r="AB69">
        <v>3.1708449414135398</v>
      </c>
      <c r="AC69">
        <v>4.7143694441978496</v>
      </c>
      <c r="AD69">
        <v>2.0241639194700199E-2</v>
      </c>
      <c r="AE69">
        <v>5.1416615196272</v>
      </c>
    </row>
    <row r="70" spans="1:31" x14ac:dyDescent="0.2">
      <c r="A70">
        <v>69</v>
      </c>
      <c r="B70">
        <v>754</v>
      </c>
      <c r="C70">
        <v>200</v>
      </c>
      <c r="D70">
        <v>0.38072384753930699</v>
      </c>
      <c r="E70">
        <v>97.223095420048196</v>
      </c>
      <c r="F70">
        <v>2.2109083742432798</v>
      </c>
      <c r="G70">
        <v>-1581.1034571844859</v>
      </c>
      <c r="H70">
        <v>-1327.5301694619559</v>
      </c>
      <c r="I70">
        <v>246.87074694302601</v>
      </c>
      <c r="J70">
        <v>130.38228965918</v>
      </c>
      <c r="K70">
        <v>43.974276162993</v>
      </c>
      <c r="L70">
        <v>1.4312507243160867E-4</v>
      </c>
      <c r="M70">
        <v>1.7245658129057967E-5</v>
      </c>
      <c r="N70" s="1">
        <v>2.8949261958289402E-6</v>
      </c>
      <c r="O70" s="1">
        <v>8.3396122185832802E-8</v>
      </c>
      <c r="P70" s="1">
        <v>-4.2654926850509798E-7</v>
      </c>
      <c r="Q70">
        <v>72.649168840049896</v>
      </c>
      <c r="R70">
        <v>9.2570597152005801E-2</v>
      </c>
      <c r="S70">
        <v>12.2950967217417</v>
      </c>
      <c r="T70">
        <v>0.28016644719217199</v>
      </c>
      <c r="V70">
        <v>0.65489339968136695</v>
      </c>
      <c r="W70">
        <v>1.02856219057773E-2</v>
      </c>
      <c r="X70">
        <v>0.11314184096358</v>
      </c>
      <c r="AA70">
        <v>0.83481615509738105</v>
      </c>
      <c r="AB70">
        <v>3.1469990200356999</v>
      </c>
      <c r="AC70">
        <v>4.7760535689734098</v>
      </c>
      <c r="AD70">
        <v>2.05712438115506E-2</v>
      </c>
      <c r="AE70">
        <v>5.12623654339537</v>
      </c>
    </row>
    <row r="71" spans="1:31" x14ac:dyDescent="0.2">
      <c r="A71">
        <v>70</v>
      </c>
      <c r="B71">
        <v>753</v>
      </c>
      <c r="C71">
        <v>200</v>
      </c>
      <c r="D71">
        <v>0.380052136627202</v>
      </c>
      <c r="E71">
        <v>95.631373284243494</v>
      </c>
      <c r="F71">
        <v>2.21189905675759</v>
      </c>
      <c r="G71">
        <v>-1554.4393424169987</v>
      </c>
      <c r="H71">
        <v>-1305.5242409633274</v>
      </c>
      <c r="I71">
        <v>242.57184763793799</v>
      </c>
      <c r="J71">
        <v>128.207154928547</v>
      </c>
      <c r="K71">
        <v>43.234962731268901</v>
      </c>
      <c r="L71">
        <v>1.4287340578714085E-4</v>
      </c>
      <c r="M71">
        <v>1.7209815397206905E-5</v>
      </c>
      <c r="N71" s="1">
        <v>2.8419682828339598E-6</v>
      </c>
      <c r="O71" s="1">
        <v>8.1737928114591505E-8</v>
      </c>
      <c r="P71" s="1">
        <v>-4.1861832805386901E-7</v>
      </c>
      <c r="Q71">
        <v>72.614873832301697</v>
      </c>
      <c r="R71">
        <v>9.4111374655781593E-2</v>
      </c>
      <c r="S71">
        <v>12.3026368536629</v>
      </c>
      <c r="T71">
        <v>0.28535560801050502</v>
      </c>
      <c r="V71">
        <v>0.66532039970274404</v>
      </c>
      <c r="W71">
        <v>1.04568194061966E-2</v>
      </c>
      <c r="X71">
        <v>0.115025013468198</v>
      </c>
      <c r="AA71">
        <v>0.82073409914567397</v>
      </c>
      <c r="AB71">
        <v>3.1217408259303698</v>
      </c>
      <c r="AC71">
        <v>4.8384414101179702</v>
      </c>
      <c r="AD71">
        <v>2.0913638812388499E-2</v>
      </c>
      <c r="AE71">
        <v>5.1103901247854502</v>
      </c>
    </row>
    <row r="72" spans="1:31" x14ac:dyDescent="0.2">
      <c r="A72">
        <v>71</v>
      </c>
      <c r="B72">
        <v>752</v>
      </c>
      <c r="C72">
        <v>200</v>
      </c>
      <c r="D72">
        <v>0.37937911525142798</v>
      </c>
      <c r="E72">
        <v>93.136114041667895</v>
      </c>
      <c r="F72">
        <v>2.2121315913911901</v>
      </c>
      <c r="G72">
        <v>-1513.7594976855387</v>
      </c>
      <c r="H72">
        <v>-1271.8979521515405</v>
      </c>
      <c r="I72">
        <v>235.927957405255</v>
      </c>
      <c r="J72">
        <v>124.808351581884</v>
      </c>
      <c r="K72">
        <v>42.102429351002201</v>
      </c>
      <c r="L72">
        <v>1.4238799499563932E-4</v>
      </c>
      <c r="M72">
        <v>1.7158357386729352E-5</v>
      </c>
      <c r="N72" s="1">
        <v>2.7581305055170602E-6</v>
      </c>
      <c r="O72" s="1">
        <v>7.9209420715892904E-8</v>
      </c>
      <c r="P72" s="1">
        <v>-4.0620607257100998E-7</v>
      </c>
      <c r="Q72">
        <v>72.635135722608595</v>
      </c>
      <c r="R72">
        <v>9.0922910433089907E-2</v>
      </c>
      <c r="S72">
        <v>12.327415598202901</v>
      </c>
      <c r="T72">
        <v>0.26613357726888198</v>
      </c>
      <c r="V72">
        <v>0.61787622699840095</v>
      </c>
      <c r="W72">
        <v>1.07369736249947E-2</v>
      </c>
      <c r="X72">
        <v>0.117308267373377</v>
      </c>
      <c r="AA72">
        <v>0.80231301242810504</v>
      </c>
      <c r="AB72">
        <v>3.0855383819072899</v>
      </c>
      <c r="AC72">
        <v>4.9384337990744003</v>
      </c>
      <c r="AD72">
        <v>2.1473947249982601E-2</v>
      </c>
      <c r="AE72">
        <v>5.0867115828298601</v>
      </c>
    </row>
    <row r="73" spans="1:31" x14ac:dyDescent="0.2">
      <c r="A73">
        <v>72</v>
      </c>
      <c r="B73">
        <v>751</v>
      </c>
      <c r="C73">
        <v>200</v>
      </c>
      <c r="D73">
        <v>0.378704779573308</v>
      </c>
      <c r="E73">
        <v>42.276579862030999</v>
      </c>
      <c r="F73">
        <v>2.2157851284585699</v>
      </c>
      <c r="G73">
        <v>-687.1543999681852</v>
      </c>
      <c r="H73">
        <v>-577.79863473072896</v>
      </c>
      <c r="I73">
        <v>106.777098313192</v>
      </c>
      <c r="J73">
        <v>56.673974417218901</v>
      </c>
      <c r="K73">
        <v>19.079729040081101</v>
      </c>
      <c r="L73">
        <v>1.4140364951762338E-4</v>
      </c>
      <c r="M73">
        <v>1.7083890274114153E-5</v>
      </c>
      <c r="N73" s="1">
        <v>1.2397744453164499E-6</v>
      </c>
      <c r="O73" s="1">
        <v>3.5561903680097699E-8</v>
      </c>
      <c r="P73" s="1">
        <v>-1.8159430644261699E-7</v>
      </c>
      <c r="Q73">
        <v>72.397749082872394</v>
      </c>
      <c r="R73">
        <v>0.123086723035225</v>
      </c>
      <c r="S73">
        <v>12.649559336368499</v>
      </c>
      <c r="T73">
        <v>0.24723539778186801</v>
      </c>
      <c r="V73">
        <v>0.57813964408910601</v>
      </c>
      <c r="W73">
        <v>2.36537582572489E-2</v>
      </c>
      <c r="X73">
        <v>0.15860193726128</v>
      </c>
      <c r="AA73">
        <v>0.829761734770744</v>
      </c>
      <c r="AB73">
        <v>2.8745631321937801</v>
      </c>
      <c r="AC73">
        <v>5.0389398518287098</v>
      </c>
      <c r="AD73">
        <v>4.7307516514454501E-2</v>
      </c>
      <c r="AE73">
        <v>5.0314018850265496</v>
      </c>
    </row>
    <row r="74" spans="1:31" x14ac:dyDescent="0.2">
      <c r="A74">
        <v>73</v>
      </c>
      <c r="B74">
        <v>750</v>
      </c>
      <c r="C74">
        <v>200</v>
      </c>
      <c r="D74">
        <v>0.37802912573913899</v>
      </c>
      <c r="E74">
        <v>24.539768486525599</v>
      </c>
      <c r="F74">
        <v>2.2191931727571799</v>
      </c>
      <c r="G74">
        <v>-398.92007979964609</v>
      </c>
      <c r="H74">
        <v>-335.67346370361616</v>
      </c>
      <c r="I74">
        <v>61.815585296417801</v>
      </c>
      <c r="J74">
        <v>32.913400681808398</v>
      </c>
      <c r="K74">
        <v>11.0579686292188</v>
      </c>
      <c r="L74">
        <v>1.4064314519639498E-4</v>
      </c>
      <c r="M74">
        <v>1.7040760096768959E-5</v>
      </c>
      <c r="N74" s="1">
        <v>7.1441268759631401E-7</v>
      </c>
      <c r="O74" s="1">
        <v>2.0463888487258401E-8</v>
      </c>
      <c r="P74" s="1">
        <v>-1.03939759956965E-7</v>
      </c>
      <c r="Q74">
        <v>72.092411765737793</v>
      </c>
      <c r="R74">
        <v>0.14903027786836301</v>
      </c>
      <c r="S74">
        <v>13.080868517636899</v>
      </c>
      <c r="T74">
        <v>0.23269284184792899</v>
      </c>
      <c r="V74">
        <v>0.54956445036780799</v>
      </c>
      <c r="W74">
        <v>4.0750180693383903E-2</v>
      </c>
      <c r="X74">
        <v>0.16289513266650499</v>
      </c>
      <c r="AA74">
        <v>0.83307687745320602</v>
      </c>
      <c r="AB74">
        <v>2.6763045786238502</v>
      </c>
      <c r="AC74">
        <v>5.11170182523077</v>
      </c>
      <c r="AD74">
        <v>8.1500361386675199E-2</v>
      </c>
      <c r="AE74">
        <v>4.9892031904867302</v>
      </c>
    </row>
    <row r="75" spans="1:31" x14ac:dyDescent="0.2">
      <c r="A75">
        <v>74</v>
      </c>
      <c r="B75">
        <v>749</v>
      </c>
      <c r="C75">
        <v>200</v>
      </c>
      <c r="D75">
        <v>0.37735214988015597</v>
      </c>
      <c r="E75">
        <v>18.3302767629289</v>
      </c>
      <c r="F75">
        <v>2.2217565034626698</v>
      </c>
      <c r="G75">
        <v>-298.00946386084422</v>
      </c>
      <c r="H75">
        <v>-250.90508449985117</v>
      </c>
      <c r="I75">
        <v>46.083627022445697</v>
      </c>
      <c r="J75">
        <v>24.597319278287198</v>
      </c>
      <c r="K75">
        <v>8.2503535983176608</v>
      </c>
      <c r="L75">
        <v>1.4016974947824451E-4</v>
      </c>
      <c r="M75">
        <v>1.7017331962883899E-5</v>
      </c>
      <c r="N75" s="1">
        <v>5.3146180651755403E-7</v>
      </c>
      <c r="O75" s="1">
        <v>1.51989451349974E-8</v>
      </c>
      <c r="P75" s="1">
        <v>-7.6889459151102094E-8</v>
      </c>
      <c r="Q75">
        <v>71.839189816258397</v>
      </c>
      <c r="R75">
        <v>0.162600149022983</v>
      </c>
      <c r="S75">
        <v>13.4300256359044</v>
      </c>
      <c r="T75">
        <v>0.22382400947539899</v>
      </c>
      <c r="V75">
        <v>0.53262285997027803</v>
      </c>
      <c r="W75">
        <v>5.4554549990322297E-2</v>
      </c>
      <c r="X75">
        <v>0.16461902365717601</v>
      </c>
      <c r="AA75">
        <v>0.83033988364774602</v>
      </c>
      <c r="AB75">
        <v>2.5358876522644702</v>
      </c>
      <c r="AC75">
        <v>5.1540200601783601</v>
      </c>
      <c r="AD75">
        <v>0.10910909998049401</v>
      </c>
      <c r="AE75">
        <v>4.9632072596498098</v>
      </c>
    </row>
    <row r="76" spans="1:31" x14ac:dyDescent="0.2">
      <c r="A76">
        <v>75</v>
      </c>
      <c r="B76">
        <v>748</v>
      </c>
      <c r="C76">
        <v>200</v>
      </c>
      <c r="D76">
        <v>0.37667384811242399</v>
      </c>
      <c r="E76">
        <v>15.080233052211501</v>
      </c>
      <c r="F76">
        <v>2.22388905536967</v>
      </c>
      <c r="G76">
        <v>-245.19099521510728</v>
      </c>
      <c r="H76">
        <v>-206.53916370726216</v>
      </c>
      <c r="I76">
        <v>37.851276999309697</v>
      </c>
      <c r="J76">
        <v>20.245593814614502</v>
      </c>
      <c r="K76">
        <v>6.7810186015348402</v>
      </c>
      <c r="L76">
        <v>1.3982636543500416E-4</v>
      </c>
      <c r="M76">
        <v>1.700184210078191E-5</v>
      </c>
      <c r="N76" s="1">
        <v>4.3608361415648098E-7</v>
      </c>
      <c r="O76" s="1">
        <v>1.24500641378894E-8</v>
      </c>
      <c r="P76" s="1">
        <v>-6.2779307143449593E-8</v>
      </c>
      <c r="Q76">
        <v>71.619019960139894</v>
      </c>
      <c r="R76">
        <v>0.171477356541962</v>
      </c>
      <c r="S76">
        <v>13.728675089643399</v>
      </c>
      <c r="T76">
        <v>0.21722618649529801</v>
      </c>
      <c r="V76">
        <v>0.52005765923445502</v>
      </c>
      <c r="W76">
        <v>6.6311972536323496E-2</v>
      </c>
      <c r="X76">
        <v>0.16542362078476799</v>
      </c>
      <c r="AA76">
        <v>0.82741966868648198</v>
      </c>
      <c r="AB76">
        <v>2.4245037285388702</v>
      </c>
      <c r="AC76">
        <v>5.1826908176672903</v>
      </c>
      <c r="AD76">
        <v>0.13262394507244901</v>
      </c>
      <c r="AE76">
        <v>4.9445699946587496</v>
      </c>
    </row>
    <row r="77" spans="1:31" x14ac:dyDescent="0.2">
      <c r="A77">
        <v>76</v>
      </c>
      <c r="B77">
        <v>747</v>
      </c>
      <c r="C77">
        <v>200</v>
      </c>
      <c r="D77">
        <v>0.375994216536785</v>
      </c>
      <c r="E77">
        <v>13.0362589050583</v>
      </c>
      <c r="F77">
        <v>2.2257554832216901</v>
      </c>
      <c r="G77">
        <v>-211.97181207857182</v>
      </c>
      <c r="H77">
        <v>-178.63903053524319</v>
      </c>
      <c r="I77">
        <v>32.674392533773101</v>
      </c>
      <c r="J77">
        <v>17.509275092184598</v>
      </c>
      <c r="K77">
        <v>5.8570040614653802</v>
      </c>
      <c r="L77">
        <v>1.3955899493755749E-4</v>
      </c>
      <c r="M77">
        <v>1.6990704005186831E-5</v>
      </c>
      <c r="N77" s="1">
        <v>3.7630989197040201E-7</v>
      </c>
      <c r="O77" s="1">
        <v>1.0724662594588001E-8</v>
      </c>
      <c r="P77" s="1">
        <v>-5.3930535169735499E-8</v>
      </c>
      <c r="Q77">
        <v>71.421014439128896</v>
      </c>
      <c r="R77">
        <v>0.17799183671186899</v>
      </c>
      <c r="S77">
        <v>13.993781736866801</v>
      </c>
      <c r="T77">
        <v>0.21184644523225499</v>
      </c>
      <c r="V77">
        <v>0.50974133130974997</v>
      </c>
      <c r="W77">
        <v>7.6709123935204501E-2</v>
      </c>
      <c r="X77">
        <v>0.16578382317534701</v>
      </c>
      <c r="AA77">
        <v>0.82509148386313502</v>
      </c>
      <c r="AB77">
        <v>2.3310061934853699</v>
      </c>
      <c r="AC77">
        <v>5.2033820550623</v>
      </c>
      <c r="AD77">
        <v>0.15341824787014399</v>
      </c>
      <c r="AE77">
        <v>4.9302332833587199</v>
      </c>
    </row>
    <row r="78" spans="1:31" x14ac:dyDescent="0.2">
      <c r="A78">
        <v>77</v>
      </c>
      <c r="B78">
        <v>746</v>
      </c>
      <c r="C78">
        <v>200</v>
      </c>
      <c r="D78">
        <v>0.37531325123877901</v>
      </c>
      <c r="E78">
        <v>11.610060015119601</v>
      </c>
      <c r="F78">
        <v>2.2274384616014702</v>
      </c>
      <c r="G78">
        <v>-188.79193654807366</v>
      </c>
      <c r="H78">
        <v>-159.1730707616282</v>
      </c>
      <c r="I78">
        <v>29.062322314129901</v>
      </c>
      <c r="J78">
        <v>15.600322221970201</v>
      </c>
      <c r="K78">
        <v>5.2122921531902904</v>
      </c>
      <c r="L78">
        <v>1.3934236094327525E-4</v>
      </c>
      <c r="M78">
        <v>1.6982355834155755E-5</v>
      </c>
      <c r="N78" s="1">
        <v>3.3473967777415702E-7</v>
      </c>
      <c r="O78" s="1">
        <v>9.5228145380920898E-9</v>
      </c>
      <c r="P78" s="1">
        <v>-4.7772135170082997E-8</v>
      </c>
      <c r="Q78">
        <v>71.238982911534606</v>
      </c>
      <c r="R78">
        <v>0.183105040149321</v>
      </c>
      <c r="S78">
        <v>14.234826495708599</v>
      </c>
      <c r="T78">
        <v>0.20723276817585401</v>
      </c>
      <c r="V78">
        <v>0.500796218999216</v>
      </c>
      <c r="W78">
        <v>8.6132199032319195E-2</v>
      </c>
      <c r="X78">
        <v>0.16588911923387001</v>
      </c>
      <c r="AA78">
        <v>0.82343358814733103</v>
      </c>
      <c r="AB78">
        <v>2.2498382973282101</v>
      </c>
      <c r="AC78">
        <v>5.2187337246932497</v>
      </c>
      <c r="AD78">
        <v>0.17226439806430099</v>
      </c>
      <c r="AE78">
        <v>4.91876523893308</v>
      </c>
    </row>
    <row r="79" spans="1:31" x14ac:dyDescent="0.2">
      <c r="A79">
        <v>78</v>
      </c>
      <c r="B79">
        <v>745</v>
      </c>
      <c r="C79">
        <v>200</v>
      </c>
      <c r="D79">
        <v>0.37463094828856203</v>
      </c>
      <c r="E79">
        <v>10.5464578326521</v>
      </c>
      <c r="F79">
        <v>2.2289858827933098</v>
      </c>
      <c r="G79">
        <v>-171.50460316076817</v>
      </c>
      <c r="H79">
        <v>-144.65741085776415</v>
      </c>
      <c r="I79">
        <v>26.368602173553899</v>
      </c>
      <c r="J79">
        <v>14.176940618687899</v>
      </c>
      <c r="K79">
        <v>4.7315049925015797</v>
      </c>
      <c r="L79">
        <v>1.3916242568843339E-4</v>
      </c>
      <c r="M79">
        <v>1.6975971464956702E-5</v>
      </c>
      <c r="N79" s="1">
        <v>3.0383655539039102E-7</v>
      </c>
      <c r="O79" s="1">
        <v>8.6279327636644203E-9</v>
      </c>
      <c r="P79" s="1">
        <v>-4.3190570991959598E-8</v>
      </c>
      <c r="Q79">
        <v>71.069098528881199</v>
      </c>
      <c r="R79">
        <v>0.18729675295794401</v>
      </c>
      <c r="S79">
        <v>14.457622054972701</v>
      </c>
      <c r="T79">
        <v>0.203150163609536</v>
      </c>
      <c r="V79">
        <v>0.49278021652683601</v>
      </c>
      <c r="W79">
        <v>9.4818565234609603E-2</v>
      </c>
      <c r="X79">
        <v>0.16583160976313499</v>
      </c>
      <c r="AA79">
        <v>0.82239391607122903</v>
      </c>
      <c r="AB79">
        <v>2.1777886020627801</v>
      </c>
      <c r="AC79">
        <v>5.2302111597805796</v>
      </c>
      <c r="AD79">
        <v>0.18963713046880701</v>
      </c>
      <c r="AE79">
        <v>4.9093712996705099</v>
      </c>
    </row>
    <row r="80" spans="1:31" x14ac:dyDescent="0.2">
      <c r="A80">
        <v>79</v>
      </c>
      <c r="B80">
        <v>769</v>
      </c>
      <c r="C80">
        <v>175</v>
      </c>
      <c r="D80">
        <v>0.41703257688433099</v>
      </c>
      <c r="E80">
        <v>103.75158159735101</v>
      </c>
      <c r="F80">
        <v>2.2057952119670499</v>
      </c>
      <c r="G80">
        <v>-1692.6729071179288</v>
      </c>
      <c r="H80">
        <v>-1417.7875179477576</v>
      </c>
      <c r="I80">
        <v>263.76758544371802</v>
      </c>
      <c r="J80">
        <v>139.11281537559799</v>
      </c>
      <c r="K80">
        <v>47.035908426344399</v>
      </c>
      <c r="L80">
        <v>1.3977992775369055E-4</v>
      </c>
      <c r="M80">
        <v>1.7299514284183597E-5</v>
      </c>
      <c r="N80" s="1">
        <v>2.88962159769701E-6</v>
      </c>
      <c r="O80" s="1">
        <v>8.6990696827631906E-8</v>
      </c>
      <c r="P80" s="1">
        <v>-4.39532938339772E-7</v>
      </c>
      <c r="Q80">
        <v>73.001296784042097</v>
      </c>
      <c r="R80">
        <v>8.6745665573832204E-2</v>
      </c>
      <c r="S80">
        <v>12.3467997333426</v>
      </c>
      <c r="T80">
        <v>0.25934579571501698</v>
      </c>
      <c r="V80">
        <v>0.61655640708732995</v>
      </c>
      <c r="W80">
        <v>9.6384072859812906E-3</v>
      </c>
      <c r="X80">
        <v>0.106022480145796</v>
      </c>
      <c r="AA80">
        <v>0.91564869216822697</v>
      </c>
      <c r="AB80">
        <v>3.2674200699476601</v>
      </c>
      <c r="AC80">
        <v>4.53005142441119</v>
      </c>
      <c r="AD80">
        <v>1.92768145719623E-2</v>
      </c>
      <c r="AE80">
        <v>4.8411977257082297</v>
      </c>
    </row>
    <row r="81" spans="1:31" x14ac:dyDescent="0.2">
      <c r="A81">
        <v>80</v>
      </c>
      <c r="B81">
        <v>768</v>
      </c>
      <c r="C81">
        <v>175</v>
      </c>
      <c r="D81">
        <v>0.416405417086878</v>
      </c>
      <c r="E81">
        <v>103.55570053561</v>
      </c>
      <c r="F81">
        <v>2.2061230791027699</v>
      </c>
      <c r="G81">
        <v>-1689.1405418419847</v>
      </c>
      <c r="H81">
        <v>-1415.2237953843746</v>
      </c>
      <c r="I81">
        <v>263.09056952178702</v>
      </c>
      <c r="J81">
        <v>138.815560602559</v>
      </c>
      <c r="K81">
        <v>46.940128371136304</v>
      </c>
      <c r="L81">
        <v>1.396332576326119E-4</v>
      </c>
      <c r="M81">
        <v>1.7286499974458299E-5</v>
      </c>
      <c r="N81" s="1">
        <v>2.88508482206248E-6</v>
      </c>
      <c r="O81" s="1">
        <v>8.66967918146615E-8</v>
      </c>
      <c r="P81" s="1">
        <v>-4.3814339156061198E-7</v>
      </c>
      <c r="Q81">
        <v>73.027907937626594</v>
      </c>
      <c r="R81">
        <v>8.6909749569074796E-2</v>
      </c>
      <c r="S81">
        <v>12.3300054839764</v>
      </c>
      <c r="T81">
        <v>0.260192735749735</v>
      </c>
      <c r="V81">
        <v>0.61740198693282</v>
      </c>
      <c r="W81">
        <v>9.6566388410081194E-3</v>
      </c>
      <c r="X81">
        <v>0.106223027251094</v>
      </c>
      <c r="AA81">
        <v>0.91026854420901904</v>
      </c>
      <c r="AB81">
        <v>3.2584431884121798</v>
      </c>
      <c r="AC81">
        <v>4.53651140315218</v>
      </c>
      <c r="AD81">
        <v>1.9313277682015399E-2</v>
      </c>
      <c r="AE81">
        <v>4.8371660265977301</v>
      </c>
    </row>
    <row r="82" spans="1:31" x14ac:dyDescent="0.2">
      <c r="A82">
        <v>81</v>
      </c>
      <c r="B82">
        <v>767</v>
      </c>
      <c r="C82">
        <v>175</v>
      </c>
      <c r="D82">
        <v>0.41577705138682203</v>
      </c>
      <c r="E82">
        <v>103.219569796339</v>
      </c>
      <c r="F82">
        <v>2.2064559482776298</v>
      </c>
      <c r="G82">
        <v>-1683.2718555780086</v>
      </c>
      <c r="H82">
        <v>-1410.7240866647564</v>
      </c>
      <c r="I82">
        <v>262.02737000745202</v>
      </c>
      <c r="J82">
        <v>138.31522286025901</v>
      </c>
      <c r="K82">
        <v>46.780707259037897</v>
      </c>
      <c r="L82">
        <v>1.3941703008427337E-4</v>
      </c>
      <c r="M82">
        <v>1.7269628248340036E-5</v>
      </c>
      <c r="N82" s="1">
        <v>2.87508844471622E-6</v>
      </c>
      <c r="O82" s="1">
        <v>8.6244072883336195E-8</v>
      </c>
      <c r="P82" s="1">
        <v>-4.3585883023651302E-7</v>
      </c>
      <c r="Q82">
        <v>73.073362086534203</v>
      </c>
      <c r="R82">
        <v>8.7192767977601796E-2</v>
      </c>
      <c r="S82">
        <v>12.301159072460999</v>
      </c>
      <c r="T82">
        <v>0.26136814188559199</v>
      </c>
      <c r="V82">
        <v>0.61911730760112704</v>
      </c>
      <c r="W82">
        <v>9.6880853308443596E-3</v>
      </c>
      <c r="X82">
        <v>0.10656893863929599</v>
      </c>
      <c r="AA82">
        <v>0.90119246934591302</v>
      </c>
      <c r="AB82">
        <v>3.2428659692732702</v>
      </c>
      <c r="AC82">
        <v>4.5475653958081796</v>
      </c>
      <c r="AD82">
        <v>1.9376170661687599E-2</v>
      </c>
      <c r="AE82">
        <v>4.8305435944811999</v>
      </c>
    </row>
    <row r="83" spans="1:31" x14ac:dyDescent="0.2">
      <c r="A83">
        <v>82</v>
      </c>
      <c r="B83">
        <v>766</v>
      </c>
      <c r="C83">
        <v>175</v>
      </c>
      <c r="D83">
        <v>0.41514747630275201</v>
      </c>
      <c r="E83">
        <v>102.883029546261</v>
      </c>
      <c r="F83">
        <v>2.2067914191861702</v>
      </c>
      <c r="G83">
        <v>-1677.3989020011088</v>
      </c>
      <c r="H83">
        <v>-1406.2184372656004</v>
      </c>
      <c r="I83">
        <v>260.96373452870898</v>
      </c>
      <c r="J83">
        <v>137.81455609285001</v>
      </c>
      <c r="K83">
        <v>46.621093707262403</v>
      </c>
      <c r="L83">
        <v>1.3919948438937787E-4</v>
      </c>
      <c r="M83">
        <v>1.7252695785503455E-5</v>
      </c>
      <c r="N83" s="1">
        <v>2.8650421449547498E-6</v>
      </c>
      <c r="O83" s="1">
        <v>8.5791351393698604E-8</v>
      </c>
      <c r="P83" s="1">
        <v>-4.33570711560937E-7</v>
      </c>
      <c r="Q83">
        <v>73.118856689942405</v>
      </c>
      <c r="R83">
        <v>8.7477983878315693E-2</v>
      </c>
      <c r="S83">
        <v>12.272327130144999</v>
      </c>
      <c r="T83">
        <v>0.26255281879873499</v>
      </c>
      <c r="V83">
        <v>0.62084581695970298</v>
      </c>
      <c r="W83">
        <v>9.7197759864791206E-3</v>
      </c>
      <c r="X83">
        <v>0.106917535851281</v>
      </c>
      <c r="AA83">
        <v>0.89231555586255495</v>
      </c>
      <c r="AB83">
        <v>3.2270867101821299</v>
      </c>
      <c r="AC83">
        <v>4.5585958388491701</v>
      </c>
      <c r="AD83">
        <v>1.94395519729566E-2</v>
      </c>
      <c r="AE83">
        <v>4.8238645915711604</v>
      </c>
    </row>
    <row r="84" spans="1:31" x14ac:dyDescent="0.2">
      <c r="A84">
        <v>83</v>
      </c>
      <c r="B84">
        <v>765</v>
      </c>
      <c r="C84">
        <v>175</v>
      </c>
      <c r="D84">
        <v>0.41451668833983701</v>
      </c>
      <c r="E84">
        <v>102.546143142491</v>
      </c>
      <c r="F84">
        <v>2.2071294224890599</v>
      </c>
      <c r="G84">
        <v>-1671.5227562544301</v>
      </c>
      <c r="H84">
        <v>-1401.7077239207733</v>
      </c>
      <c r="I84">
        <v>259.89985294384797</v>
      </c>
      <c r="J84">
        <v>137.31365120147399</v>
      </c>
      <c r="K84">
        <v>46.461318533303803</v>
      </c>
      <c r="L84">
        <v>1.38980655275766E-4</v>
      </c>
      <c r="M84">
        <v>1.7235705861089007E-5</v>
      </c>
      <c r="N84" s="1">
        <v>2.8549490167119099E-6</v>
      </c>
      <c r="O84" s="1">
        <v>8.5338719963208499E-8</v>
      </c>
      <c r="P84" s="1">
        <v>-4.3127954942094E-7</v>
      </c>
      <c r="Q84">
        <v>73.164390136812401</v>
      </c>
      <c r="R84">
        <v>8.7765368098674704E-2</v>
      </c>
      <c r="S84">
        <v>12.243510655431299</v>
      </c>
      <c r="T84">
        <v>0.263746722515037</v>
      </c>
      <c r="V84">
        <v>0.62258726874966497</v>
      </c>
      <c r="W84">
        <v>9.7517075665189499E-3</v>
      </c>
      <c r="X84">
        <v>0.107268783231721</v>
      </c>
      <c r="AA84">
        <v>0.88363639257606896</v>
      </c>
      <c r="AB84">
        <v>3.2111106987429201</v>
      </c>
      <c r="AC84">
        <v>4.56959811390879</v>
      </c>
      <c r="AD84">
        <v>1.9503415133036099E-2</v>
      </c>
      <c r="AE84">
        <v>4.8171307372337298</v>
      </c>
    </row>
    <row r="85" spans="1:31" x14ac:dyDescent="0.2">
      <c r="A85">
        <v>84</v>
      </c>
      <c r="B85">
        <v>764</v>
      </c>
      <c r="C85">
        <v>175</v>
      </c>
      <c r="D85">
        <v>0.41388468398978101</v>
      </c>
      <c r="E85">
        <v>102.208973983777</v>
      </c>
      <c r="F85">
        <v>2.2074698871068601</v>
      </c>
      <c r="G85">
        <v>-1665.6444933466762</v>
      </c>
      <c r="H85">
        <v>-1397.192824150495</v>
      </c>
      <c r="I85">
        <v>258.83591495558102</v>
      </c>
      <c r="J85">
        <v>136.81259904589299</v>
      </c>
      <c r="K85">
        <v>46.301412572260901</v>
      </c>
      <c r="L85">
        <v>1.3876057833006898E-4</v>
      </c>
      <c r="M85">
        <v>1.7218661812445101E-5</v>
      </c>
      <c r="N85" s="1">
        <v>2.8448121721128099E-6</v>
      </c>
      <c r="O85" s="1">
        <v>8.4886271044816103E-8</v>
      </c>
      <c r="P85" s="1">
        <v>-4.2898585811438099E-7</v>
      </c>
      <c r="Q85">
        <v>73.209960794225793</v>
      </c>
      <c r="R85">
        <v>8.8054890380062506E-2</v>
      </c>
      <c r="S85">
        <v>12.214710651588399</v>
      </c>
      <c r="T85">
        <v>0.26494980614272901</v>
      </c>
      <c r="V85">
        <v>0.62434140869610999</v>
      </c>
      <c r="W85">
        <v>9.7838767088952901E-3</v>
      </c>
      <c r="X85">
        <v>0.107622643797863</v>
      </c>
      <c r="AA85">
        <v>0.87515348023509099</v>
      </c>
      <c r="AB85">
        <v>3.1949433778936398</v>
      </c>
      <c r="AC85">
        <v>4.5805675236280203</v>
      </c>
      <c r="AD85">
        <v>1.9567753417788401E-2</v>
      </c>
      <c r="AE85">
        <v>4.81034379328546</v>
      </c>
    </row>
    <row r="86" spans="1:31" x14ac:dyDescent="0.2">
      <c r="A86">
        <v>85</v>
      </c>
      <c r="B86">
        <v>763</v>
      </c>
      <c r="C86">
        <v>175</v>
      </c>
      <c r="D86">
        <v>0.41325145973073701</v>
      </c>
      <c r="E86">
        <v>101.38272742932899</v>
      </c>
      <c r="F86">
        <v>2.2080208490572399</v>
      </c>
      <c r="G86">
        <v>-1651.642652677132</v>
      </c>
      <c r="H86">
        <v>-1385.8486623017707</v>
      </c>
      <c r="I86">
        <v>256.52076473035902</v>
      </c>
      <c r="J86">
        <v>135.66170410612401</v>
      </c>
      <c r="K86">
        <v>45.915656762306398</v>
      </c>
      <c r="L86">
        <v>1.3854887645607677E-4</v>
      </c>
      <c r="M86">
        <v>1.7195750246697847E-5</v>
      </c>
      <c r="N86" s="1">
        <v>2.8196473323818901E-6</v>
      </c>
      <c r="O86" s="1">
        <v>8.3992044306334497E-8</v>
      </c>
      <c r="P86" s="1">
        <v>-4.2469737047165301E-7</v>
      </c>
      <c r="Q86">
        <v>73.223654675427497</v>
      </c>
      <c r="R86">
        <v>8.8772518043311099E-2</v>
      </c>
      <c r="S86">
        <v>12.2003309511904</v>
      </c>
      <c r="T86">
        <v>0.26750940375384502</v>
      </c>
      <c r="V86">
        <v>0.62906944284688504</v>
      </c>
      <c r="W86">
        <v>9.8636131159227803E-3</v>
      </c>
      <c r="X86">
        <v>0.10849974427516899</v>
      </c>
      <c r="AA86">
        <v>0.86383799166812403</v>
      </c>
      <c r="AB86">
        <v>3.1767894580295701</v>
      </c>
      <c r="AC86">
        <v>4.6107971288268201</v>
      </c>
      <c r="AD86">
        <v>1.9727226231842799E-2</v>
      </c>
      <c r="AE86">
        <v>4.8011478465905197</v>
      </c>
    </row>
    <row r="87" spans="1:31" x14ac:dyDescent="0.2">
      <c r="A87">
        <v>86</v>
      </c>
      <c r="B87">
        <v>762</v>
      </c>
      <c r="C87">
        <v>175</v>
      </c>
      <c r="D87">
        <v>0.41261701202724399</v>
      </c>
      <c r="E87">
        <v>99.8340646014246</v>
      </c>
      <c r="F87">
        <v>2.20889571109065</v>
      </c>
      <c r="G87">
        <v>-1625.6484518413895</v>
      </c>
      <c r="H87">
        <v>-1364.4189622144738</v>
      </c>
      <c r="I87">
        <v>252.359068373583</v>
      </c>
      <c r="J87">
        <v>133.55122535766</v>
      </c>
      <c r="K87">
        <v>45.196368529382099</v>
      </c>
      <c r="L87">
        <v>1.3834707771652878E-4</v>
      </c>
      <c r="M87">
        <v>1.7163836545456406E-5</v>
      </c>
      <c r="N87" s="1">
        <v>2.7722683486560102E-6</v>
      </c>
      <c r="O87" s="1">
        <v>8.2446840983312699E-8</v>
      </c>
      <c r="P87" s="1">
        <v>-4.1745795934077903E-7</v>
      </c>
      <c r="Q87">
        <v>73.189709919760503</v>
      </c>
      <c r="R87">
        <v>9.0149590081618297E-2</v>
      </c>
      <c r="S87">
        <v>12.207437469785599</v>
      </c>
      <c r="T87">
        <v>0.27216022747854601</v>
      </c>
      <c r="V87">
        <v>0.63837688746554599</v>
      </c>
      <c r="W87">
        <v>1.00166211201789E-2</v>
      </c>
      <c r="X87">
        <v>0.110182832321991</v>
      </c>
      <c r="AA87">
        <v>0.84860541088449604</v>
      </c>
      <c r="AB87">
        <v>3.15507760732799</v>
      </c>
      <c r="AC87">
        <v>4.6700306919295498</v>
      </c>
      <c r="AD87">
        <v>2.0033242240354798E-2</v>
      </c>
      <c r="AE87">
        <v>4.7882194996034997</v>
      </c>
    </row>
    <row r="88" spans="1:31" x14ac:dyDescent="0.2">
      <c r="A88">
        <v>87</v>
      </c>
      <c r="B88">
        <v>761</v>
      </c>
      <c r="C88">
        <v>175</v>
      </c>
      <c r="D88">
        <v>0.411981337330175</v>
      </c>
      <c r="E88">
        <v>98.286334691810495</v>
      </c>
      <c r="F88">
        <v>2.2097923162881798</v>
      </c>
      <c r="G88">
        <v>-1599.6846790855413</v>
      </c>
      <c r="H88">
        <v>-1343.0051531706458</v>
      </c>
      <c r="I88">
        <v>248.20338047178299</v>
      </c>
      <c r="J88">
        <v>131.44280175155501</v>
      </c>
      <c r="K88">
        <v>44.4776343764754</v>
      </c>
      <c r="L88">
        <v>1.3813961379627285E-4</v>
      </c>
      <c r="M88">
        <v>1.7131395170285931E-5</v>
      </c>
      <c r="N88" s="1">
        <v>2.7248482505243998E-6</v>
      </c>
      <c r="O88" s="1">
        <v>8.0905789273935298E-8</v>
      </c>
      <c r="P88" s="1">
        <v>-4.1021459396855698E-7</v>
      </c>
      <c r="Q88">
        <v>73.155229953619099</v>
      </c>
      <c r="R88">
        <v>9.1569189432294001E-2</v>
      </c>
      <c r="S88">
        <v>12.2147387329699</v>
      </c>
      <c r="T88">
        <v>0.27695202132449098</v>
      </c>
      <c r="V88">
        <v>0.64797416066306701</v>
      </c>
      <c r="W88">
        <v>1.0174354381365E-2</v>
      </c>
      <c r="X88">
        <v>0.111917898195041</v>
      </c>
      <c r="AA88">
        <v>0.83411190769957999</v>
      </c>
      <c r="AB88">
        <v>3.1321571331836902</v>
      </c>
      <c r="AC88">
        <v>4.7298568369806002</v>
      </c>
      <c r="AD88">
        <v>2.0348708762726798E-2</v>
      </c>
      <c r="AE88">
        <v>4.7749691027880399</v>
      </c>
    </row>
    <row r="89" spans="1:31" x14ac:dyDescent="0.2">
      <c r="A89">
        <v>88</v>
      </c>
      <c r="B89">
        <v>760</v>
      </c>
      <c r="C89">
        <v>175</v>
      </c>
      <c r="D89">
        <v>0.41134443207665999</v>
      </c>
      <c r="E89">
        <v>96.736240158252002</v>
      </c>
      <c r="F89">
        <v>2.2107117619111198</v>
      </c>
      <c r="G89">
        <v>-1573.6975005552219</v>
      </c>
      <c r="H89">
        <v>-1321.5619136674507</v>
      </c>
      <c r="I89">
        <v>244.045479250613</v>
      </c>
      <c r="J89">
        <v>129.33204418460201</v>
      </c>
      <c r="K89">
        <v>43.757961496809898</v>
      </c>
      <c r="L89">
        <v>1.3792642948159885E-4</v>
      </c>
      <c r="M89">
        <v>1.7098417522617179E-5</v>
      </c>
      <c r="N89" s="1">
        <v>2.6773008293540798E-6</v>
      </c>
      <c r="O89" s="1">
        <v>7.9366310170970103E-8</v>
      </c>
      <c r="P89" s="1">
        <v>-4.0295433562623501E-7</v>
      </c>
      <c r="Q89">
        <v>73.120160325222699</v>
      </c>
      <c r="R89">
        <v>9.3036487517781305E-2</v>
      </c>
      <c r="S89">
        <v>12.222241320977</v>
      </c>
      <c r="T89">
        <v>0.28190064386200298</v>
      </c>
      <c r="V89">
        <v>0.65789766140075301</v>
      </c>
      <c r="W89">
        <v>1.03373875019745E-2</v>
      </c>
      <c r="X89">
        <v>0.113711262521751</v>
      </c>
      <c r="AA89">
        <v>0.82037370751442296</v>
      </c>
      <c r="AB89">
        <v>3.1079970277708902</v>
      </c>
      <c r="AC89">
        <v>4.7902792830144003</v>
      </c>
      <c r="AD89">
        <v>2.0674775003944899E-2</v>
      </c>
      <c r="AE89">
        <v>4.7613901176921702</v>
      </c>
    </row>
    <row r="90" spans="1:31" x14ac:dyDescent="0.2">
      <c r="A90">
        <v>89</v>
      </c>
      <c r="B90">
        <v>759</v>
      </c>
      <c r="C90">
        <v>175</v>
      </c>
      <c r="D90">
        <v>0.41070629269001901</v>
      </c>
      <c r="E90">
        <v>95.179607604409796</v>
      </c>
      <c r="F90">
        <v>2.2116554736556302</v>
      </c>
      <c r="G90">
        <v>-1547.6188295793329</v>
      </c>
      <c r="H90">
        <v>-1300.0319011399567</v>
      </c>
      <c r="I90">
        <v>239.87494883435201</v>
      </c>
      <c r="J90">
        <v>127.213398626581</v>
      </c>
      <c r="K90">
        <v>43.035458613763097</v>
      </c>
      <c r="L90">
        <v>1.3770744783330144E-4</v>
      </c>
      <c r="M90">
        <v>1.7064892394668532E-5</v>
      </c>
      <c r="N90" s="1">
        <v>2.6295154886095502E-6</v>
      </c>
      <c r="O90" s="1">
        <v>7.7825120441681104E-8</v>
      </c>
      <c r="P90" s="1">
        <v>-3.9566053561043602E-7</v>
      </c>
      <c r="Q90">
        <v>73.084431911680795</v>
      </c>
      <c r="R90">
        <v>9.4558070016495396E-2</v>
      </c>
      <c r="S90">
        <v>12.229953940790899</v>
      </c>
      <c r="T90">
        <v>0.28702620631317799</v>
      </c>
      <c r="V90">
        <v>0.66819381868607197</v>
      </c>
      <c r="W90">
        <v>1.05064522240537E-2</v>
      </c>
      <c r="X90">
        <v>0.115570974464626</v>
      </c>
      <c r="AA90">
        <v>0.80741455355672997</v>
      </c>
      <c r="AB90">
        <v>3.0825550504794901</v>
      </c>
      <c r="AC90">
        <v>4.8513020778494704</v>
      </c>
      <c r="AD90">
        <v>2.10129044481027E-2</v>
      </c>
      <c r="AE90">
        <v>4.7474740394899397</v>
      </c>
    </row>
    <row r="91" spans="1:31" x14ac:dyDescent="0.2">
      <c r="A91">
        <v>90</v>
      </c>
      <c r="B91">
        <v>758</v>
      </c>
      <c r="C91">
        <v>175</v>
      </c>
      <c r="D91">
        <v>0.41006691557969399</v>
      </c>
      <c r="E91">
        <v>93.610984582269694</v>
      </c>
      <c r="F91">
        <v>2.2126253555942101</v>
      </c>
      <c r="G91">
        <v>-1521.3597583898927</v>
      </c>
      <c r="H91">
        <v>-1278.3402162541663</v>
      </c>
      <c r="I91">
        <v>235.67816722661701</v>
      </c>
      <c r="J91">
        <v>125.07960942806901</v>
      </c>
      <c r="K91">
        <v>42.3076524661492</v>
      </c>
      <c r="L91">
        <v>1.3748255889251495E-4</v>
      </c>
      <c r="M91">
        <v>1.703080469292542E-5</v>
      </c>
      <c r="N91" s="1">
        <v>2.58134598756567E-6</v>
      </c>
      <c r="O91" s="1">
        <v>7.6277906215949494E-8</v>
      </c>
      <c r="P91" s="1">
        <v>-3.88311125394336E-7</v>
      </c>
      <c r="Q91">
        <v>73.047954384351698</v>
      </c>
      <c r="R91">
        <v>9.6142563184887397E-2</v>
      </c>
      <c r="S91">
        <v>12.237888448631701</v>
      </c>
      <c r="T91">
        <v>0.29235494592387401</v>
      </c>
      <c r="V91">
        <v>0.67892354248336395</v>
      </c>
      <c r="W91">
        <v>1.06825070205415E-2</v>
      </c>
      <c r="X91">
        <v>0.117507577225997</v>
      </c>
      <c r="AA91">
        <v>0.79526933124588906</v>
      </c>
      <c r="AB91">
        <v>3.0557724326404299</v>
      </c>
      <c r="AC91">
        <v>4.9129298100604499</v>
      </c>
      <c r="AD91">
        <v>2.1365014041078E-2</v>
      </c>
      <c r="AE91">
        <v>4.7332094431899803</v>
      </c>
    </row>
    <row r="92" spans="1:31" x14ac:dyDescent="0.2">
      <c r="A92">
        <v>91</v>
      </c>
      <c r="B92">
        <v>757</v>
      </c>
      <c r="C92">
        <v>175</v>
      </c>
      <c r="D92">
        <v>0.40942629714119499</v>
      </c>
      <c r="E92">
        <v>86.910481533140995</v>
      </c>
      <c r="F92">
        <v>2.2127935853995901</v>
      </c>
      <c r="G92">
        <v>-1412.5578197900832</v>
      </c>
      <c r="H92">
        <v>-1187.4828871946502</v>
      </c>
      <c r="I92">
        <v>218.48753346156599</v>
      </c>
      <c r="J92">
        <v>116.08258751576901</v>
      </c>
      <c r="K92">
        <v>39.276361838081897</v>
      </c>
      <c r="L92">
        <v>1.3693652876660807E-4</v>
      </c>
      <c r="M92">
        <v>1.6974701432115282E-5</v>
      </c>
      <c r="N92" s="1">
        <v>2.3863792060532101E-6</v>
      </c>
      <c r="O92" s="1">
        <v>7.0419250815071705E-8</v>
      </c>
      <c r="P92" s="1">
        <v>-3.5887405419759502E-7</v>
      </c>
      <c r="Q92">
        <v>73.069008769362696</v>
      </c>
      <c r="R92">
        <v>9.3503113448774003E-2</v>
      </c>
      <c r="S92">
        <v>12.280388218486401</v>
      </c>
      <c r="T92">
        <v>0.26538639391646801</v>
      </c>
      <c r="V92">
        <v>0.61375323556884098</v>
      </c>
      <c r="W92">
        <v>1.15060920427471E-2</v>
      </c>
      <c r="X92">
        <v>0.12505392293926401</v>
      </c>
      <c r="AA92">
        <v>0.78310164642489</v>
      </c>
      <c r="AB92">
        <v>3.00296961689941</v>
      </c>
      <c r="AC92">
        <v>5.0246066052191001</v>
      </c>
      <c r="AD92">
        <v>2.3012184085482099E-2</v>
      </c>
      <c r="AE92">
        <v>4.7077102016058898</v>
      </c>
    </row>
    <row r="93" spans="1:31" x14ac:dyDescent="0.2">
      <c r="A93">
        <v>92</v>
      </c>
      <c r="B93">
        <v>756</v>
      </c>
      <c r="C93">
        <v>175</v>
      </c>
      <c r="D93">
        <v>0.40878443375601398</v>
      </c>
      <c r="E93">
        <v>40.550150761263701</v>
      </c>
      <c r="F93">
        <v>2.2166156440337401</v>
      </c>
      <c r="G93">
        <v>-659.08524263556183</v>
      </c>
      <c r="H93">
        <v>-554.48863547499343</v>
      </c>
      <c r="I93">
        <v>101.633976738637</v>
      </c>
      <c r="J93">
        <v>54.184993006566998</v>
      </c>
      <c r="K93">
        <v>18.293722175248899</v>
      </c>
      <c r="L93">
        <v>1.3596259881279324E-4</v>
      </c>
      <c r="M93">
        <v>1.6899693750779119E-5</v>
      </c>
      <c r="N93" s="1">
        <v>1.1021646163539299E-6</v>
      </c>
      <c r="O93" s="1">
        <v>3.2487033807219797E-8</v>
      </c>
      <c r="P93" s="1">
        <v>-1.6477779177081701E-7</v>
      </c>
      <c r="Q93">
        <v>72.812913745505</v>
      </c>
      <c r="R93">
        <v>0.12679957385912</v>
      </c>
      <c r="S93">
        <v>12.6136753930362</v>
      </c>
      <c r="T93">
        <v>0.24652778588594501</v>
      </c>
      <c r="V93">
        <v>0.57461954688079298</v>
      </c>
      <c r="W93">
        <v>2.46608207670314E-2</v>
      </c>
      <c r="X93">
        <v>0.16832141520333599</v>
      </c>
      <c r="AA93">
        <v>0.82647366145763901</v>
      </c>
      <c r="AB93">
        <v>2.77226534128582</v>
      </c>
      <c r="AC93">
        <v>5.1295990908778801</v>
      </c>
      <c r="AD93">
        <v>4.93216415340142E-2</v>
      </c>
      <c r="AE93">
        <v>4.6548219837071203</v>
      </c>
    </row>
    <row r="94" spans="1:31" x14ac:dyDescent="0.2">
      <c r="A94">
        <v>93</v>
      </c>
      <c r="B94">
        <v>755</v>
      </c>
      <c r="C94">
        <v>175</v>
      </c>
      <c r="D94">
        <v>0.40814132179156798</v>
      </c>
      <c r="E94">
        <v>24.784553462666199</v>
      </c>
      <c r="F94">
        <v>2.21978318719948</v>
      </c>
      <c r="G94">
        <v>-402.88168927504955</v>
      </c>
      <c r="H94">
        <v>-339.17143833660202</v>
      </c>
      <c r="I94">
        <v>61.965910556288101</v>
      </c>
      <c r="J94">
        <v>33.134253832157903</v>
      </c>
      <c r="K94">
        <v>11.165303713258</v>
      </c>
      <c r="L94">
        <v>1.3527669611585136E-4</v>
      </c>
      <c r="M94">
        <v>1.6859135001430908E-5</v>
      </c>
      <c r="N94" s="1">
        <v>6.6910810411481695E-7</v>
      </c>
      <c r="O94" s="1">
        <v>1.9695407989639701E-8</v>
      </c>
      <c r="P94" s="1">
        <v>-9.93878244050612E-8</v>
      </c>
      <c r="Q94">
        <v>72.5230064469757</v>
      </c>
      <c r="R94">
        <v>0.15199378398270499</v>
      </c>
      <c r="S94">
        <v>13.0131887953938</v>
      </c>
      <c r="T94">
        <v>0.232863777257976</v>
      </c>
      <c r="V94">
        <v>0.54773241312420395</v>
      </c>
      <c r="W94">
        <v>4.0347710984821102E-2</v>
      </c>
      <c r="X94">
        <v>0.17230051611685701</v>
      </c>
      <c r="AA94">
        <v>0.83410341475149197</v>
      </c>
      <c r="AB94">
        <v>2.5830020269688099</v>
      </c>
      <c r="AC94">
        <v>5.2025788306039198</v>
      </c>
      <c r="AD94">
        <v>8.0695421969540299E-2</v>
      </c>
      <c r="AE94">
        <v>4.6181868618700701</v>
      </c>
    </row>
    <row r="95" spans="1:31" x14ac:dyDescent="0.2">
      <c r="A95">
        <v>94</v>
      </c>
      <c r="B95">
        <v>754</v>
      </c>
      <c r="C95">
        <v>175</v>
      </c>
      <c r="D95">
        <v>0.40749695760112897</v>
      </c>
      <c r="E95">
        <v>18.703042997809401</v>
      </c>
      <c r="F95">
        <v>2.2222122448247998</v>
      </c>
      <c r="G95">
        <v>-304.0532717926551</v>
      </c>
      <c r="H95">
        <v>-256.11212963131612</v>
      </c>
      <c r="I95">
        <v>46.673944566362202</v>
      </c>
      <c r="J95">
        <v>25.016238080990899</v>
      </c>
      <c r="K95">
        <v>8.4164071372417197</v>
      </c>
      <c r="L95">
        <v>1.3484075691853485E-4</v>
      </c>
      <c r="M95">
        <v>1.6837052596854547E-5</v>
      </c>
      <c r="N95" s="1">
        <v>5.0298381125246E-7</v>
      </c>
      <c r="O95" s="1">
        <v>1.4782106013655401E-8</v>
      </c>
      <c r="P95" s="1">
        <v>-7.4297686678770905E-8</v>
      </c>
      <c r="Q95">
        <v>72.276899011321603</v>
      </c>
      <c r="R95">
        <v>0.166133552679226</v>
      </c>
      <c r="S95">
        <v>13.346961481584</v>
      </c>
      <c r="T95">
        <v>0.22412024887531701</v>
      </c>
      <c r="V95">
        <v>0.53096313431292896</v>
      </c>
      <c r="W95">
        <v>5.3467235257736598E-2</v>
      </c>
      <c r="X95">
        <v>0.17406354021136</v>
      </c>
      <c r="AA95">
        <v>0.83279091138231198</v>
      </c>
      <c r="AB95">
        <v>2.44685270770055</v>
      </c>
      <c r="AC95">
        <v>5.2455987860291096</v>
      </c>
      <c r="AD95">
        <v>0.10693447051531101</v>
      </c>
      <c r="AE95">
        <v>4.5952149201304398</v>
      </c>
    </row>
    <row r="96" spans="1:31" x14ac:dyDescent="0.2">
      <c r="A96">
        <v>95</v>
      </c>
      <c r="B96">
        <v>753</v>
      </c>
      <c r="C96">
        <v>175</v>
      </c>
      <c r="D96">
        <v>0.40685133752375702</v>
      </c>
      <c r="E96">
        <v>15.4364187403828</v>
      </c>
      <c r="F96">
        <v>2.2242435475140998</v>
      </c>
      <c r="G96">
        <v>-250.9674296737881</v>
      </c>
      <c r="H96">
        <v>-211.4995336741537</v>
      </c>
      <c r="I96">
        <v>38.462111776674298</v>
      </c>
      <c r="J96">
        <v>20.6566113313947</v>
      </c>
      <c r="K96">
        <v>6.9400757653698202</v>
      </c>
      <c r="L96">
        <v>1.3452363527919007E-4</v>
      </c>
      <c r="M96">
        <v>1.682271038555295E-5</v>
      </c>
      <c r="N96" s="1">
        <v>4.14115468217304E-7</v>
      </c>
      <c r="O96" s="1">
        <v>1.2149956337252999E-8</v>
      </c>
      <c r="P96" s="1">
        <v>-6.0868502554789303E-8</v>
      </c>
      <c r="Q96">
        <v>72.061337262127694</v>
      </c>
      <c r="R96">
        <v>0.17556637472915501</v>
      </c>
      <c r="S96">
        <v>13.635664137139701</v>
      </c>
      <c r="T96">
        <v>0.21754599223062601</v>
      </c>
      <c r="V96">
        <v>0.518402281275539</v>
      </c>
      <c r="W96">
        <v>6.4781865328864305E-2</v>
      </c>
      <c r="X96">
        <v>0.17493141652925601</v>
      </c>
      <c r="AA96">
        <v>0.83020363348835602</v>
      </c>
      <c r="AB96">
        <v>2.3385853885379899</v>
      </c>
      <c r="AC96">
        <v>5.27466366197869</v>
      </c>
      <c r="AD96">
        <v>0.12956373065752699</v>
      </c>
      <c r="AE96">
        <v>4.5787542559765004</v>
      </c>
    </row>
    <row r="97" spans="1:31" x14ac:dyDescent="0.2">
      <c r="A97">
        <v>96</v>
      </c>
      <c r="B97">
        <v>752</v>
      </c>
      <c r="C97">
        <v>175</v>
      </c>
      <c r="D97">
        <v>0.406204457884214</v>
      </c>
      <c r="E97">
        <v>13.361327060395899</v>
      </c>
      <c r="F97">
        <v>2.22602504614995</v>
      </c>
      <c r="G97">
        <v>-217.24411930405978</v>
      </c>
      <c r="H97">
        <v>-183.16177085593401</v>
      </c>
      <c r="I97">
        <v>33.246206358216497</v>
      </c>
      <c r="J97">
        <v>17.887694909232799</v>
      </c>
      <c r="K97">
        <v>6.0023255728883598</v>
      </c>
      <c r="L97">
        <v>1.3427665351142256E-4</v>
      </c>
      <c r="M97">
        <v>1.6812597909695436E-5</v>
      </c>
      <c r="N97" s="1">
        <v>3.5786303648194301E-7</v>
      </c>
      <c r="O97" s="1">
        <v>1.04813264526712E-8</v>
      </c>
      <c r="P97" s="1">
        <v>-5.2362411397742999E-8</v>
      </c>
      <c r="Q97">
        <v>71.866986194269401</v>
      </c>
      <c r="R97">
        <v>0.18253091121902301</v>
      </c>
      <c r="S97">
        <v>13.8932194255827</v>
      </c>
      <c r="T97">
        <v>0.21217045866947801</v>
      </c>
      <c r="V97">
        <v>0.50807253988303303</v>
      </c>
      <c r="W97">
        <v>7.4842865194390901E-2</v>
      </c>
      <c r="X97">
        <v>0.17534696328237401</v>
      </c>
      <c r="AA97">
        <v>0.82776598792311895</v>
      </c>
      <c r="AB97">
        <v>2.2476994784786202</v>
      </c>
      <c r="AC97">
        <v>5.2955462292345903</v>
      </c>
      <c r="AD97">
        <v>0.14968573038852101</v>
      </c>
      <c r="AE97">
        <v>4.5661332158747001</v>
      </c>
    </row>
    <row r="98" spans="1:31" x14ac:dyDescent="0.2">
      <c r="A98">
        <v>97</v>
      </c>
      <c r="B98">
        <v>751</v>
      </c>
      <c r="C98">
        <v>175</v>
      </c>
      <c r="D98">
        <v>0.40555631499292399</v>
      </c>
      <c r="E98">
        <v>11.9065886783848</v>
      </c>
      <c r="F98">
        <v>2.2276332760420301</v>
      </c>
      <c r="G98">
        <v>-193.60163212490488</v>
      </c>
      <c r="H98">
        <v>-163.2972840356193</v>
      </c>
      <c r="I98">
        <v>29.589755494102899</v>
      </c>
      <c r="J98">
        <v>15.9468743537801</v>
      </c>
      <c r="K98">
        <v>5.3449500896035804</v>
      </c>
      <c r="L98">
        <v>1.3407655263049435E-4</v>
      </c>
      <c r="M98">
        <v>1.6805171763879428E-5</v>
      </c>
      <c r="N98" s="1">
        <v>3.1855722063482201E-7</v>
      </c>
      <c r="O98" s="1">
        <v>9.3135788040785907E-9</v>
      </c>
      <c r="P98" s="1">
        <v>-4.6414568533338203E-8</v>
      </c>
      <c r="Q98">
        <v>71.688170594495801</v>
      </c>
      <c r="R98">
        <v>0.18800490724803101</v>
      </c>
      <c r="S98">
        <v>14.1280075761352</v>
      </c>
      <c r="T98">
        <v>0.20755747400328201</v>
      </c>
      <c r="V98">
        <v>0.49911932860096597</v>
      </c>
      <c r="W98">
        <v>8.3987112262868605E-2</v>
      </c>
      <c r="X98">
        <v>0.17549750137068101</v>
      </c>
      <c r="AA98">
        <v>0.825795539345336</v>
      </c>
      <c r="AB98">
        <v>2.1688397374549999</v>
      </c>
      <c r="AC98">
        <v>5.3109708040194699</v>
      </c>
      <c r="AD98">
        <v>0.16797422452541</v>
      </c>
      <c r="AE98">
        <v>4.5560752005378697</v>
      </c>
    </row>
    <row r="99" spans="1:31" x14ac:dyDescent="0.2">
      <c r="A99">
        <v>98</v>
      </c>
      <c r="B99">
        <v>750</v>
      </c>
      <c r="C99">
        <v>175</v>
      </c>
      <c r="D99">
        <v>0.40490690514587502</v>
      </c>
      <c r="E99">
        <v>10.819023960681401</v>
      </c>
      <c r="F99">
        <v>2.2291131458912798</v>
      </c>
      <c r="G99">
        <v>-175.92579976540489</v>
      </c>
      <c r="H99">
        <v>-148.44789428544473</v>
      </c>
      <c r="I99">
        <v>26.856184801798499</v>
      </c>
      <c r="J99">
        <v>14.4961428254121</v>
      </c>
      <c r="K99">
        <v>4.8535104557716799</v>
      </c>
      <c r="L99">
        <v>1.3391033176451587E-4</v>
      </c>
      <c r="M99">
        <v>1.6799618517039092E-5</v>
      </c>
      <c r="N99" s="1">
        <v>2.8926447883568099E-7</v>
      </c>
      <c r="O99" s="1">
        <v>8.4419394842447001E-9</v>
      </c>
      <c r="P99" s="1">
        <v>-4.19785571103974E-8</v>
      </c>
      <c r="Q99">
        <v>71.521272079479303</v>
      </c>
      <c r="R99">
        <v>0.192489850332379</v>
      </c>
      <c r="S99">
        <v>14.345348291790099</v>
      </c>
      <c r="T99">
        <v>0.203475634554522</v>
      </c>
      <c r="V99">
        <v>0.49110312881380003</v>
      </c>
      <c r="W99">
        <v>9.2429779583946894E-2</v>
      </c>
      <c r="X99">
        <v>0.175476779623324</v>
      </c>
      <c r="AA99">
        <v>0.82434273331444696</v>
      </c>
      <c r="AB99">
        <v>2.0988831545610398</v>
      </c>
      <c r="AC99">
        <v>5.3224514452281504</v>
      </c>
      <c r="AD99">
        <v>0.18485955916749</v>
      </c>
      <c r="AE99">
        <v>4.5478675635513799</v>
      </c>
    </row>
    <row r="100" spans="1:31" x14ac:dyDescent="0.2">
      <c r="A100">
        <v>99</v>
      </c>
      <c r="B100">
        <v>780</v>
      </c>
      <c r="C100">
        <v>150</v>
      </c>
      <c r="D100">
        <v>0.44996486730285301</v>
      </c>
      <c r="E100">
        <v>103.33924474325801</v>
      </c>
      <c r="F100">
        <v>2.2061240667195499</v>
      </c>
      <c r="G100">
        <v>-1687.6387185039744</v>
      </c>
      <c r="H100">
        <v>-1412.1072239720702</v>
      </c>
      <c r="I100">
        <v>261.62606896634298</v>
      </c>
      <c r="J100">
        <v>138.26708751196099</v>
      </c>
      <c r="K100">
        <v>46.8419914827913</v>
      </c>
      <c r="L100">
        <v>1.3438541539980369E-4</v>
      </c>
      <c r="M100">
        <v>1.7098329150606095E-5</v>
      </c>
      <c r="N100" s="1">
        <v>2.6390694387813999E-6</v>
      </c>
      <c r="O100" s="1">
        <v>8.2510141110269103E-8</v>
      </c>
      <c r="P100" s="1">
        <v>-4.1217263854170299E-7</v>
      </c>
      <c r="Q100">
        <v>73.292581330741797</v>
      </c>
      <c r="R100">
        <v>8.7091791916615202E-2</v>
      </c>
      <c r="S100">
        <v>12.3960650494655</v>
      </c>
      <c r="T100">
        <v>0.259258170800511</v>
      </c>
      <c r="V100">
        <v>0.62002653732326496</v>
      </c>
      <c r="W100">
        <v>9.6768657685127202E-3</v>
      </c>
      <c r="X100">
        <v>0.106445523453642</v>
      </c>
      <c r="AA100">
        <v>0.91930224800871396</v>
      </c>
      <c r="AB100">
        <v>3.2804574955258201</v>
      </c>
      <c r="AC100">
        <v>4.5481269112009599</v>
      </c>
      <c r="AD100">
        <v>1.9353731537025E-2</v>
      </c>
      <c r="AE100">
        <v>4.4616143442574998</v>
      </c>
    </row>
    <row r="101" spans="1:31" x14ac:dyDescent="0.2">
      <c r="A101">
        <v>100</v>
      </c>
      <c r="B101">
        <v>779</v>
      </c>
      <c r="C101">
        <v>150</v>
      </c>
      <c r="D101">
        <v>0.44937556432067799</v>
      </c>
      <c r="E101">
        <v>103.22711161005201</v>
      </c>
      <c r="F101">
        <v>2.2064184957051198</v>
      </c>
      <c r="G101">
        <v>-1685.5063788510797</v>
      </c>
      <c r="H101">
        <v>-1410.6979477852412</v>
      </c>
      <c r="I101">
        <v>261.18750279507498</v>
      </c>
      <c r="J101">
        <v>138.09277268952999</v>
      </c>
      <c r="K101">
        <v>46.784919457023904</v>
      </c>
      <c r="L101">
        <v>1.3429433922020225E-4</v>
      </c>
      <c r="M101">
        <v>1.7088896208385949E-5</v>
      </c>
      <c r="N101" s="1">
        <v>2.6381551958734102E-6</v>
      </c>
      <c r="O101" s="1">
        <v>8.2330878220472504E-8</v>
      </c>
      <c r="P101" s="1">
        <v>-4.1141597374395001E-7</v>
      </c>
      <c r="Q101">
        <v>73.307629145850498</v>
      </c>
      <c r="R101">
        <v>8.7186397639393204E-2</v>
      </c>
      <c r="S101">
        <v>12.3862684463964</v>
      </c>
      <c r="T101">
        <v>0.259900219904381</v>
      </c>
      <c r="V101">
        <v>0.62037574452262401</v>
      </c>
      <c r="W101">
        <v>9.6873775154879705E-3</v>
      </c>
      <c r="X101">
        <v>0.106561152670372</v>
      </c>
      <c r="AA101">
        <v>0.91617544787287897</v>
      </c>
      <c r="AB101">
        <v>3.27523767888519</v>
      </c>
      <c r="AC101">
        <v>4.5518551456548799</v>
      </c>
      <c r="AD101">
        <v>1.9374755030975299E-2</v>
      </c>
      <c r="AE101">
        <v>4.4597484880567304</v>
      </c>
    </row>
    <row r="102" spans="1:31" x14ac:dyDescent="0.2">
      <c r="A102">
        <v>101</v>
      </c>
      <c r="B102">
        <v>778</v>
      </c>
      <c r="C102">
        <v>150</v>
      </c>
      <c r="D102">
        <v>0.44878514008467002</v>
      </c>
      <c r="E102">
        <v>102.906388359484</v>
      </c>
      <c r="F102">
        <v>2.20670649826581</v>
      </c>
      <c r="G102">
        <v>-1679.8965721298562</v>
      </c>
      <c r="H102">
        <v>-1406.4093251881984</v>
      </c>
      <c r="I102">
        <v>260.17908665904702</v>
      </c>
      <c r="J102">
        <v>137.61736164684999</v>
      </c>
      <c r="K102">
        <v>46.633473205591798</v>
      </c>
      <c r="L102">
        <v>1.3410714148060898E-4</v>
      </c>
      <c r="M102">
        <v>1.7074203944711955E-5</v>
      </c>
      <c r="N102" s="1">
        <v>2.6299230036575399E-6</v>
      </c>
      <c r="O102" s="1">
        <v>8.1929898532507902E-8</v>
      </c>
      <c r="P102" s="1">
        <v>-4.09421255197401E-7</v>
      </c>
      <c r="Q102">
        <v>73.350604160478397</v>
      </c>
      <c r="R102">
        <v>8.7458127172438005E-2</v>
      </c>
      <c r="S102">
        <v>12.3582622637393</v>
      </c>
      <c r="T102">
        <v>0.26102618206164802</v>
      </c>
      <c r="V102">
        <v>0.62202494903229</v>
      </c>
      <c r="W102">
        <v>9.7175696858262106E-3</v>
      </c>
      <c r="X102">
        <v>0.10689326654409401</v>
      </c>
      <c r="AA102">
        <v>0.90736074931577904</v>
      </c>
      <c r="AB102">
        <v>3.26018537374518</v>
      </c>
      <c r="AC102">
        <v>4.56249707715273</v>
      </c>
      <c r="AD102">
        <v>1.9435139371651498E-2</v>
      </c>
      <c r="AE102">
        <v>4.4545351417005401</v>
      </c>
    </row>
    <row r="103" spans="1:31" x14ac:dyDescent="0.2">
      <c r="A103">
        <v>102</v>
      </c>
      <c r="B103">
        <v>777</v>
      </c>
      <c r="C103">
        <v>150</v>
      </c>
      <c r="D103">
        <v>0.44819359139171</v>
      </c>
      <c r="E103">
        <v>102.58539119343899</v>
      </c>
      <c r="F103">
        <v>2.2069968153339201</v>
      </c>
      <c r="G103">
        <v>-1674.2845750357135</v>
      </c>
      <c r="H103">
        <v>-1402.1166135391377</v>
      </c>
      <c r="I103">
        <v>259.17055801226002</v>
      </c>
      <c r="J103">
        <v>137.141791035263</v>
      </c>
      <c r="K103">
        <v>46.4818936215447</v>
      </c>
      <c r="L103">
        <v>1.3391884287401528E-4</v>
      </c>
      <c r="M103">
        <v>1.7059460887097774E-5</v>
      </c>
      <c r="N103" s="1">
        <v>2.6216507118093E-6</v>
      </c>
      <c r="O103" s="1">
        <v>8.1528972589582106E-8</v>
      </c>
      <c r="P103" s="1">
        <v>-4.0742374185614998E-7</v>
      </c>
      <c r="Q103">
        <v>73.393598831524898</v>
      </c>
      <c r="R103">
        <v>8.7731790026801093E-2</v>
      </c>
      <c r="S103">
        <v>12.3302766065749</v>
      </c>
      <c r="T103">
        <v>0.262160464665118</v>
      </c>
      <c r="V103">
        <v>0.62368560905141801</v>
      </c>
      <c r="W103">
        <v>9.7479766696442708E-3</v>
      </c>
      <c r="X103">
        <v>0.107227743366095</v>
      </c>
      <c r="AA103">
        <v>0.89873141972753201</v>
      </c>
      <c r="AB103">
        <v>3.2449503817935601</v>
      </c>
      <c r="AC103">
        <v>4.57311594377187</v>
      </c>
      <c r="AD103">
        <v>1.9495953339287501E-2</v>
      </c>
      <c r="AE103">
        <v>4.4492772794887703</v>
      </c>
    </row>
    <row r="104" spans="1:31" x14ac:dyDescent="0.2">
      <c r="A104">
        <v>103</v>
      </c>
      <c r="B104">
        <v>776</v>
      </c>
      <c r="C104">
        <v>150</v>
      </c>
      <c r="D104">
        <v>0.447600915026452</v>
      </c>
      <c r="E104">
        <v>102.26417474377099</v>
      </c>
      <c r="F104">
        <v>2.2072893904030901</v>
      </c>
      <c r="G104">
        <v>-1668.6713127199596</v>
      </c>
      <c r="H104">
        <v>-1397.8205686594902</v>
      </c>
      <c r="I104">
        <v>258.16207793019902</v>
      </c>
      <c r="J104">
        <v>136.666138522382</v>
      </c>
      <c r="K104">
        <v>46.330207171020703</v>
      </c>
      <c r="L104">
        <v>1.337294702122833E-4</v>
      </c>
      <c r="M104">
        <v>1.7044669626961588E-5</v>
      </c>
      <c r="N104" s="1">
        <v>2.6133406877341598E-6</v>
      </c>
      <c r="O104" s="1">
        <v>8.1128173861025206E-8</v>
      </c>
      <c r="P104" s="1">
        <v>-4.0542383831210198E-7</v>
      </c>
      <c r="Q104">
        <v>73.436611975626903</v>
      </c>
      <c r="R104">
        <v>8.8007359591470602E-2</v>
      </c>
      <c r="S104">
        <v>12.3023123183942</v>
      </c>
      <c r="T104">
        <v>0.263303028194045</v>
      </c>
      <c r="V104">
        <v>0.62535749941124696</v>
      </c>
      <c r="W104">
        <v>9.77859551016305E-3</v>
      </c>
      <c r="X104">
        <v>0.10756455061180301</v>
      </c>
      <c r="AA104">
        <v>0.89028604957713997</v>
      </c>
      <c r="AB104">
        <v>3.2295374194719799</v>
      </c>
      <c r="AC104">
        <v>4.5837078383569798</v>
      </c>
      <c r="AD104">
        <v>1.9557191020324799E-2</v>
      </c>
      <c r="AE104">
        <v>4.4439761742336401</v>
      </c>
    </row>
    <row r="105" spans="1:31" x14ac:dyDescent="0.2">
      <c r="A105">
        <v>104</v>
      </c>
      <c r="B105">
        <v>775</v>
      </c>
      <c r="C105">
        <v>150</v>
      </c>
      <c r="D105">
        <v>0.44700710776129698</v>
      </c>
      <c r="E105">
        <v>101.942793644586</v>
      </c>
      <c r="F105">
        <v>2.2075841656766402</v>
      </c>
      <c r="G105">
        <v>-1663.0577096329146</v>
      </c>
      <c r="H105">
        <v>-1393.5219465679893</v>
      </c>
      <c r="I105">
        <v>257.15380724602898</v>
      </c>
      <c r="J105">
        <v>136.19048169484199</v>
      </c>
      <c r="K105">
        <v>46.178440319325297</v>
      </c>
      <c r="L105">
        <v>1.3353905092519609E-4</v>
      </c>
      <c r="M105">
        <v>1.702983279976475E-5</v>
      </c>
      <c r="N105" s="1">
        <v>2.6049953112815801E-6</v>
      </c>
      <c r="O105" s="1">
        <v>8.0727575647632299E-8</v>
      </c>
      <c r="P105" s="1">
        <v>-4.0342194929288898E-7</v>
      </c>
      <c r="Q105">
        <v>73.479642392767204</v>
      </c>
      <c r="R105">
        <v>8.8284808354161304E-2</v>
      </c>
      <c r="S105">
        <v>12.2743702477232</v>
      </c>
      <c r="T105">
        <v>0.26445383075391798</v>
      </c>
      <c r="V105">
        <v>0.62704038824838504</v>
      </c>
      <c r="W105">
        <v>9.8094231504618993E-3</v>
      </c>
      <c r="X105">
        <v>0.107903654655093</v>
      </c>
      <c r="AA105">
        <v>0.88202315671701204</v>
      </c>
      <c r="AB105">
        <v>3.2139513259688401</v>
      </c>
      <c r="AC105">
        <v>4.5942687976960697</v>
      </c>
      <c r="AD105">
        <v>1.9618846300922099E-2</v>
      </c>
      <c r="AE105">
        <v>4.4386331276647004</v>
      </c>
    </row>
    <row r="106" spans="1:31" x14ac:dyDescent="0.2">
      <c r="A106">
        <v>105</v>
      </c>
      <c r="B106">
        <v>774</v>
      </c>
      <c r="C106">
        <v>150</v>
      </c>
      <c r="D106">
        <v>0.44641216635630598</v>
      </c>
      <c r="E106">
        <v>101.621302392733</v>
      </c>
      <c r="F106">
        <v>2.20788108215794</v>
      </c>
      <c r="G106">
        <v>-1657.4446872011292</v>
      </c>
      <c r="H106">
        <v>-1389.2215015645913</v>
      </c>
      <c r="I106">
        <v>256.14590616104402</v>
      </c>
      <c r="J106">
        <v>135.71489786271701</v>
      </c>
      <c r="K106">
        <v>46.0266194651254</v>
      </c>
      <c r="L106">
        <v>1.3334761300387831E-4</v>
      </c>
      <c r="M106">
        <v>1.7014953081085031E-5</v>
      </c>
      <c r="N106" s="1">
        <v>2.5966169694327499E-6</v>
      </c>
      <c r="O106" s="1">
        <v>8.0327250921052307E-8</v>
      </c>
      <c r="P106" s="1">
        <v>-4.0141847874924801E-7</v>
      </c>
      <c r="Q106">
        <v>73.522688873557996</v>
      </c>
      <c r="R106">
        <v>8.8564107997928299E-2</v>
      </c>
      <c r="S106">
        <v>12.246451243873899</v>
      </c>
      <c r="T106">
        <v>0.26561282832372002</v>
      </c>
      <c r="V106">
        <v>0.62873403772914405</v>
      </c>
      <c r="W106">
        <v>9.8404564442137396E-3</v>
      </c>
      <c r="X106">
        <v>0.10824502088636501</v>
      </c>
      <c r="AA106">
        <v>0.87394118981371804</v>
      </c>
      <c r="AB106">
        <v>3.1981970541725402</v>
      </c>
      <c r="AC106">
        <v>4.6047948061685</v>
      </c>
      <c r="AD106">
        <v>1.9680912888425502E-2</v>
      </c>
      <c r="AE106">
        <v>4.4332494681433801</v>
      </c>
    </row>
    <row r="107" spans="1:31" x14ac:dyDescent="0.2">
      <c r="A107">
        <v>106</v>
      </c>
      <c r="B107">
        <v>773</v>
      </c>
      <c r="C107">
        <v>150</v>
      </c>
      <c r="D107">
        <v>0.44581608755914398</v>
      </c>
      <c r="E107">
        <v>101.29975521311199</v>
      </c>
      <c r="F107">
        <v>2.2081800797389</v>
      </c>
      <c r="G107">
        <v>-1651.8331615893985</v>
      </c>
      <c r="H107">
        <v>-1384.9199843807228</v>
      </c>
      <c r="I107">
        <v>255.138533870549</v>
      </c>
      <c r="J107">
        <v>135.239463871395</v>
      </c>
      <c r="K107">
        <v>45.874770876970302</v>
      </c>
      <c r="L107">
        <v>1.3315518494704673E-4</v>
      </c>
      <c r="M107">
        <v>1.7000033182964582E-5</v>
      </c>
      <c r="N107" s="1">
        <v>2.58820805121495E-6</v>
      </c>
      <c r="O107" s="1">
        <v>7.9927272171621996E-8</v>
      </c>
      <c r="P107" s="1">
        <v>-3.9941382898700601E-7</v>
      </c>
      <c r="Q107">
        <v>73.565750206121095</v>
      </c>
      <c r="R107">
        <v>8.8845229497999695E-2</v>
      </c>
      <c r="S107">
        <v>12.218556152928899</v>
      </c>
      <c r="T107">
        <v>0.26677997500378398</v>
      </c>
      <c r="V107">
        <v>0.63043820477489898</v>
      </c>
      <c r="W107">
        <v>9.8716921664437993E-3</v>
      </c>
      <c r="X107">
        <v>0.108588613830898</v>
      </c>
      <c r="AA107">
        <v>0.86603853211435</v>
      </c>
      <c r="AB107">
        <v>3.1822796615319899</v>
      </c>
      <c r="AC107">
        <v>4.6152817991806998</v>
      </c>
      <c r="AD107">
        <v>1.9743384332885201E-2</v>
      </c>
      <c r="AE107">
        <v>4.4278265485158697</v>
      </c>
    </row>
    <row r="108" spans="1:31" x14ac:dyDescent="0.2">
      <c r="A108">
        <v>107</v>
      </c>
      <c r="B108">
        <v>772</v>
      </c>
      <c r="C108">
        <v>150</v>
      </c>
      <c r="D108">
        <v>0.44521886810505501</v>
      </c>
      <c r="E108">
        <v>100.97820591668599</v>
      </c>
      <c r="F108">
        <v>2.2084810972920201</v>
      </c>
      <c r="G108">
        <v>-1646.2240413457071</v>
      </c>
      <c r="H108">
        <v>-1380.6181402293341</v>
      </c>
      <c r="I108">
        <v>254.13184817143201</v>
      </c>
      <c r="J108">
        <v>134.76425590340901</v>
      </c>
      <c r="K108">
        <v>45.722920626535199</v>
      </c>
      <c r="L108">
        <v>1.329617957019801E-4</v>
      </c>
      <c r="M108">
        <v>1.6985075850003738E-5</v>
      </c>
      <c r="N108" s="1">
        <v>2.5797709423443902E-6</v>
      </c>
      <c r="O108" s="1">
        <v>7.9527711249681298E-8</v>
      </c>
      <c r="P108" s="1">
        <v>-3.9740839975710899E-7</v>
      </c>
      <c r="Q108">
        <v>73.608825184138794</v>
      </c>
      <c r="R108">
        <v>8.9128143229497803E-2</v>
      </c>
      <c r="S108">
        <v>12.190685813044199</v>
      </c>
      <c r="T108">
        <v>0.267955223294019</v>
      </c>
      <c r="V108">
        <v>0.63215264186753894</v>
      </c>
      <c r="W108">
        <v>9.9031270254990693E-3</v>
      </c>
      <c r="X108">
        <v>0.10893439728050799</v>
      </c>
      <c r="AA108">
        <v>0.85831350531433903</v>
      </c>
      <c r="AB108">
        <v>3.16620430034523</v>
      </c>
      <c r="AC108">
        <v>4.6257256666288002</v>
      </c>
      <c r="AD108">
        <v>1.9806254050995498E-2</v>
      </c>
      <c r="AE108">
        <v>4.4223657437803796</v>
      </c>
    </row>
    <row r="109" spans="1:31" x14ac:dyDescent="0.2">
      <c r="A109">
        <v>108</v>
      </c>
      <c r="B109">
        <v>771</v>
      </c>
      <c r="C109">
        <v>150</v>
      </c>
      <c r="D109">
        <v>0.44462050471675502</v>
      </c>
      <c r="E109">
        <v>100.656707767659</v>
      </c>
      <c r="F109">
        <v>2.20878407276239</v>
      </c>
      <c r="G109">
        <v>-1640.6182252032495</v>
      </c>
      <c r="H109">
        <v>-1376.3167069816093</v>
      </c>
      <c r="I109">
        <v>253.126005096624</v>
      </c>
      <c r="J109">
        <v>134.28934929385599</v>
      </c>
      <c r="K109">
        <v>45.571094526127503</v>
      </c>
      <c r="L109">
        <v>1.3276747460874876E-4</v>
      </c>
      <c r="M109">
        <v>1.6970083855716697E-5</v>
      </c>
      <c r="N109" s="1">
        <v>2.57130802020846E-6</v>
      </c>
      <c r="O109" s="1">
        <v>7.9128639218740906E-8</v>
      </c>
      <c r="P109" s="1">
        <v>-3.9540258740786502E-7</v>
      </c>
      <c r="Q109">
        <v>73.651912614091998</v>
      </c>
      <c r="R109">
        <v>8.9412819071873498E-2</v>
      </c>
      <c r="S109">
        <v>12.1628410503093</v>
      </c>
      <c r="T109">
        <v>0.269138524363431</v>
      </c>
      <c r="V109">
        <v>0.63387709782993096</v>
      </c>
      <c r="W109">
        <v>9.9347576746518507E-3</v>
      </c>
      <c r="X109">
        <v>0.10928233442119099</v>
      </c>
      <c r="AA109">
        <v>0.85076437381207104</v>
      </c>
      <c r="AB109">
        <v>3.1499762082390701</v>
      </c>
      <c r="AC109">
        <v>4.6361222559466597</v>
      </c>
      <c r="AD109">
        <v>1.9869515349300901E-2</v>
      </c>
      <c r="AE109">
        <v>4.4168684488904102</v>
      </c>
    </row>
    <row r="110" spans="1:31" x14ac:dyDescent="0.2">
      <c r="A110">
        <v>109</v>
      </c>
      <c r="B110">
        <v>770</v>
      </c>
      <c r="C110">
        <v>150</v>
      </c>
      <c r="D110">
        <v>0.44402099410439499</v>
      </c>
      <c r="E110">
        <v>100.294279697829</v>
      </c>
      <c r="F110">
        <v>2.2091067597020602</v>
      </c>
      <c r="G110">
        <v>-1634.3346991389776</v>
      </c>
      <c r="H110">
        <v>-1371.4433139122423</v>
      </c>
      <c r="I110">
        <v>252.01685781214101</v>
      </c>
      <c r="J110">
        <v>133.76044617902801</v>
      </c>
      <c r="K110">
        <v>45.400376988279099</v>
      </c>
      <c r="L110">
        <v>1.325731683324682E-4</v>
      </c>
      <c r="M110">
        <v>1.6954568528297957E-5</v>
      </c>
      <c r="N110" s="1">
        <v>2.56166262299317E-6</v>
      </c>
      <c r="O110" s="1">
        <v>7.8694896503635504E-8</v>
      </c>
      <c r="P110" s="1">
        <v>-3.93240534769957E-7</v>
      </c>
      <c r="Q110">
        <v>73.692321541190495</v>
      </c>
      <c r="R110">
        <v>8.9735925389921201E-2</v>
      </c>
      <c r="S110">
        <v>12.136226391700299</v>
      </c>
      <c r="T110">
        <v>0.270445734298004</v>
      </c>
      <c r="V110">
        <v>0.63586659419922897</v>
      </c>
      <c r="W110">
        <v>9.9706583766567894E-3</v>
      </c>
      <c r="X110">
        <v>0.109677242143255</v>
      </c>
      <c r="AA110">
        <v>0.843153812475399</v>
      </c>
      <c r="AB110">
        <v>3.1334129158691399</v>
      </c>
      <c r="AC110">
        <v>4.6481027953273397</v>
      </c>
      <c r="AD110">
        <v>1.99413167533092E-2</v>
      </c>
      <c r="AE110">
        <v>4.4111450722768497</v>
      </c>
    </row>
    <row r="111" spans="1:31" x14ac:dyDescent="0.2">
      <c r="A111">
        <v>110</v>
      </c>
      <c r="B111">
        <v>769</v>
      </c>
      <c r="C111">
        <v>150</v>
      </c>
      <c r="D111">
        <v>0.44342033296550898</v>
      </c>
      <c r="E111">
        <v>98.783796621978993</v>
      </c>
      <c r="F111">
        <v>2.2099394150990199</v>
      </c>
      <c r="G111">
        <v>-1608.981209111322</v>
      </c>
      <c r="H111">
        <v>-1350.5365941300922</v>
      </c>
      <c r="I111">
        <v>247.99176220431701</v>
      </c>
      <c r="J111">
        <v>131.710840748024</v>
      </c>
      <c r="K111">
        <v>44.699775906550101</v>
      </c>
      <c r="L111">
        <v>1.3240178526872977E-4</v>
      </c>
      <c r="M111">
        <v>1.6925041883746256E-5</v>
      </c>
      <c r="N111" s="1">
        <v>2.5195454044014201E-6</v>
      </c>
      <c r="O111" s="1">
        <v>7.7277270238782596E-8</v>
      </c>
      <c r="P111" s="1">
        <v>-3.86703331173394E-7</v>
      </c>
      <c r="Q111">
        <v>73.657091766979505</v>
      </c>
      <c r="R111">
        <v>9.1108059294796401E-2</v>
      </c>
      <c r="S111">
        <v>12.1434520962924</v>
      </c>
      <c r="T111">
        <v>0.275070700224889</v>
      </c>
      <c r="V111">
        <v>0.64514892299550697</v>
      </c>
      <c r="W111">
        <v>1.0123117699420399E-2</v>
      </c>
      <c r="X111">
        <v>0.111354294693662</v>
      </c>
      <c r="AA111">
        <v>0.82938431721360795</v>
      </c>
      <c r="AB111">
        <v>3.1109584467322602</v>
      </c>
      <c r="AC111">
        <v>4.7061387093564298</v>
      </c>
      <c r="AD111">
        <v>2.0246235398835698E-2</v>
      </c>
      <c r="AE111">
        <v>4.3999233331185899</v>
      </c>
    </row>
    <row r="112" spans="1:31" x14ac:dyDescent="0.2">
      <c r="A112">
        <v>111</v>
      </c>
      <c r="B112">
        <v>768</v>
      </c>
      <c r="C112">
        <v>150</v>
      </c>
      <c r="D112">
        <v>0.442818517984921</v>
      </c>
      <c r="E112">
        <v>97.274518644528499</v>
      </c>
      <c r="F112">
        <v>2.21079175258817</v>
      </c>
      <c r="G112">
        <v>-1583.6623980677746</v>
      </c>
      <c r="H112">
        <v>-1329.6494534243459</v>
      </c>
      <c r="I112">
        <v>243.97343768278199</v>
      </c>
      <c r="J112">
        <v>129.663651913629</v>
      </c>
      <c r="K112">
        <v>43.999855947829097</v>
      </c>
      <c r="L112">
        <v>1.322258621680824E-4</v>
      </c>
      <c r="M112">
        <v>1.6895074181100976E-5</v>
      </c>
      <c r="N112" s="1">
        <v>2.4774090591448902E-6</v>
      </c>
      <c r="O112" s="1">
        <v>7.58638946338183E-8</v>
      </c>
      <c r="P112" s="1">
        <v>-3.80164395586888E-7</v>
      </c>
      <c r="Q112">
        <v>73.621289123533202</v>
      </c>
      <c r="R112">
        <v>9.2521660609694203E-2</v>
      </c>
      <c r="S112">
        <v>12.150877054533</v>
      </c>
      <c r="T112">
        <v>0.27983290693947099</v>
      </c>
      <c r="V112">
        <v>0.65471405133121696</v>
      </c>
      <c r="W112">
        <v>1.02801845121866E-2</v>
      </c>
      <c r="X112">
        <v>0.113082029634097</v>
      </c>
      <c r="AA112">
        <v>0.81631268269757595</v>
      </c>
      <c r="AB112">
        <v>3.0874067962749501</v>
      </c>
      <c r="AC112">
        <v>4.7646757815207197</v>
      </c>
      <c r="AD112">
        <v>2.0560369024367201E-2</v>
      </c>
      <c r="AE112">
        <v>4.38844735938945</v>
      </c>
    </row>
    <row r="113" spans="1:31" x14ac:dyDescent="0.2">
      <c r="A113">
        <v>112</v>
      </c>
      <c r="B113">
        <v>767</v>
      </c>
      <c r="C113">
        <v>150</v>
      </c>
      <c r="D113">
        <v>0.44221554583473799</v>
      </c>
      <c r="E113">
        <v>95.763257586695701</v>
      </c>
      <c r="F113">
        <v>2.2116647897579398</v>
      </c>
      <c r="G113">
        <v>-1558.3261941763506</v>
      </c>
      <c r="H113">
        <v>-1308.7380616100456</v>
      </c>
      <c r="I113">
        <v>239.95398025890901</v>
      </c>
      <c r="J113">
        <v>127.614648699356</v>
      </c>
      <c r="K113">
        <v>43.2991735592881</v>
      </c>
      <c r="L113">
        <v>1.3204537606354748E-4</v>
      </c>
      <c r="M113">
        <v>1.6864659934477694E-5</v>
      </c>
      <c r="N113" s="1">
        <v>2.4351767832284098E-6</v>
      </c>
      <c r="O113" s="1">
        <v>7.4452397138255399E-8</v>
      </c>
      <c r="P113" s="1">
        <v>-3.7361194728423698E-7</v>
      </c>
      <c r="Q113">
        <v>73.584859990562407</v>
      </c>
      <c r="R113">
        <v>9.3981765311739199E-2</v>
      </c>
      <c r="S113">
        <v>12.1585079614285</v>
      </c>
      <c r="T113">
        <v>0.28474776577460598</v>
      </c>
      <c r="V113">
        <v>0.664597453528052</v>
      </c>
      <c r="W113">
        <v>1.04424183679692E-2</v>
      </c>
      <c r="X113">
        <v>0.114866602047709</v>
      </c>
      <c r="AA113">
        <v>0.80395454838848601</v>
      </c>
      <c r="AB113">
        <v>3.0627316137988698</v>
      </c>
      <c r="AC113">
        <v>4.82371232502501</v>
      </c>
      <c r="AD113">
        <v>2.08848367359321E-2</v>
      </c>
      <c r="AE113">
        <v>4.3767127190306399</v>
      </c>
    </row>
    <row r="114" spans="1:31" x14ac:dyDescent="0.2">
      <c r="A114">
        <v>113</v>
      </c>
      <c r="B114">
        <v>766</v>
      </c>
      <c r="C114">
        <v>150</v>
      </c>
      <c r="D114">
        <v>0.44161141317423203</v>
      </c>
      <c r="E114">
        <v>94.245995524037298</v>
      </c>
      <c r="F114">
        <v>2.21255985514922</v>
      </c>
      <c r="G114">
        <v>-1532.9070194334258</v>
      </c>
      <c r="H114">
        <v>-1287.7471958658859</v>
      </c>
      <c r="I114">
        <v>235.923421611451</v>
      </c>
      <c r="J114">
        <v>125.558500210061</v>
      </c>
      <c r="K114">
        <v>42.595907769320398</v>
      </c>
      <c r="L114">
        <v>1.318602874654453E-4</v>
      </c>
      <c r="M114">
        <v>1.6833791536898481E-5</v>
      </c>
      <c r="N114" s="1">
        <v>2.3927505302092998E-6</v>
      </c>
      <c r="O114" s="1">
        <v>7.3039772662371894E-8</v>
      </c>
      <c r="P114" s="1">
        <v>-3.6703090410612197E-7</v>
      </c>
      <c r="Q114">
        <v>73.547736279852302</v>
      </c>
      <c r="R114">
        <v>9.5494773544039901E-2</v>
      </c>
      <c r="S114">
        <v>12.166353695556699</v>
      </c>
      <c r="T114">
        <v>0.28983478350455499</v>
      </c>
      <c r="V114">
        <v>0.67484428463979595</v>
      </c>
      <c r="W114">
        <v>1.0610530393780101E-2</v>
      </c>
      <c r="X114">
        <v>0.116715834331638</v>
      </c>
      <c r="AA114">
        <v>0.79233297628626398</v>
      </c>
      <c r="AB114">
        <v>3.0368960020889202</v>
      </c>
      <c r="AC114">
        <v>4.88324636670131</v>
      </c>
      <c r="AD114">
        <v>2.12210607875527E-2</v>
      </c>
      <c r="AE114">
        <v>4.36471341231299</v>
      </c>
    </row>
    <row r="115" spans="1:31" x14ac:dyDescent="0.2">
      <c r="A115">
        <v>114</v>
      </c>
      <c r="B115">
        <v>765</v>
      </c>
      <c r="C115">
        <v>150</v>
      </c>
      <c r="D115">
        <v>0.44100611664981298</v>
      </c>
      <c r="E115">
        <v>92.717519153595404</v>
      </c>
      <c r="F115">
        <v>2.21347872417866</v>
      </c>
      <c r="G115">
        <v>-1507.3198330965718</v>
      </c>
      <c r="H115">
        <v>-1266.6052193140513</v>
      </c>
      <c r="I115">
        <v>231.86881836200899</v>
      </c>
      <c r="J115">
        <v>123.488290712108</v>
      </c>
      <c r="K115">
        <v>41.8876938552906</v>
      </c>
      <c r="L115">
        <v>1.3167053248748273E-4</v>
      </c>
      <c r="M115">
        <v>1.6802458301217177E-5</v>
      </c>
      <c r="N115" s="1">
        <v>2.3500016578940301E-6</v>
      </c>
      <c r="O115" s="1">
        <v>7.1622103910625197E-8</v>
      </c>
      <c r="P115" s="1">
        <v>-3.6040143124393398E-7</v>
      </c>
      <c r="Q115">
        <v>73.509829171015099</v>
      </c>
      <c r="R115">
        <v>9.7069033793832402E-2</v>
      </c>
      <c r="S115">
        <v>12.174426338817399</v>
      </c>
      <c r="T115">
        <v>0.295119307653253</v>
      </c>
      <c r="V115">
        <v>0.68551353367909995</v>
      </c>
      <c r="W115">
        <v>1.07854481993122E-2</v>
      </c>
      <c r="X115">
        <v>0.118639930192503</v>
      </c>
      <c r="AA115">
        <v>0.78148185484872601</v>
      </c>
      <c r="AB115">
        <v>3.0098478150109398</v>
      </c>
      <c r="AC115">
        <v>4.9432755068471801</v>
      </c>
      <c r="AD115">
        <v>2.15708963986148E-2</v>
      </c>
      <c r="AE115">
        <v>4.35244116354394</v>
      </c>
    </row>
    <row r="116" spans="1:31" x14ac:dyDescent="0.2">
      <c r="A116">
        <v>115</v>
      </c>
      <c r="B116">
        <v>764</v>
      </c>
      <c r="C116">
        <v>150</v>
      </c>
      <c r="D116">
        <v>0.44039965289495597</v>
      </c>
      <c r="E116">
        <v>90.099925075431202</v>
      </c>
      <c r="F116">
        <v>2.2134672131278901</v>
      </c>
      <c r="G116">
        <v>-1464.8015554292324</v>
      </c>
      <c r="H116">
        <v>-1231.405423060075</v>
      </c>
      <c r="I116">
        <v>225.03604335839199</v>
      </c>
      <c r="J116">
        <v>119.95569379320099</v>
      </c>
      <c r="K116">
        <v>40.705335295257903</v>
      </c>
      <c r="L116">
        <v>1.3123945079780082E-4</v>
      </c>
      <c r="M116">
        <v>1.6754357422747302E-5</v>
      </c>
      <c r="N116" s="1">
        <v>2.2759170160116098E-6</v>
      </c>
      <c r="O116" s="1">
        <v>6.9267316822431698E-8</v>
      </c>
      <c r="P116" s="1">
        <v>-3.49051255550804E-7</v>
      </c>
      <c r="Q116">
        <v>73.532961645897899</v>
      </c>
      <c r="R116">
        <v>9.3589476717715697E-2</v>
      </c>
      <c r="S116">
        <v>12.2040502116847</v>
      </c>
      <c r="T116">
        <v>0.27122287928927202</v>
      </c>
      <c r="V116">
        <v>0.62724360450985805</v>
      </c>
      <c r="W116">
        <v>1.10987883637265E-2</v>
      </c>
      <c r="X116">
        <v>0.121096744550724</v>
      </c>
      <c r="AA116">
        <v>0.766721323261359</v>
      </c>
      <c r="AB116">
        <v>2.9685028874543899</v>
      </c>
      <c r="AC116">
        <v>5.0485569530646197</v>
      </c>
      <c r="AD116">
        <v>2.2197576727442301E-2</v>
      </c>
      <c r="AE116">
        <v>4.3327579084780901</v>
      </c>
    </row>
    <row r="117" spans="1:31" x14ac:dyDescent="0.2">
      <c r="A117">
        <v>116</v>
      </c>
      <c r="B117">
        <v>763</v>
      </c>
      <c r="C117">
        <v>150</v>
      </c>
      <c r="D117">
        <v>0.43979201853014099</v>
      </c>
      <c r="E117">
        <v>69.0659948228856</v>
      </c>
      <c r="F117">
        <v>2.2152623000206599</v>
      </c>
      <c r="G117">
        <v>-1122.607787752002</v>
      </c>
      <c r="H117">
        <v>-944.17769368771474</v>
      </c>
      <c r="I117">
        <v>172.20488738530801</v>
      </c>
      <c r="J117">
        <v>91.954970840026206</v>
      </c>
      <c r="K117">
        <v>31.177344020273001</v>
      </c>
      <c r="L117">
        <v>1.3073821016381922E-4</v>
      </c>
      <c r="M117">
        <v>1.6701052600027024E-5</v>
      </c>
      <c r="N117" s="1">
        <v>1.7357323552165699E-6</v>
      </c>
      <c r="O117" s="1">
        <v>5.2755004544478701E-8</v>
      </c>
      <c r="P117" s="1">
        <v>-2.6570630547979398E-7</v>
      </c>
      <c r="Q117">
        <v>73.444937877154899</v>
      </c>
      <c r="R117">
        <v>0.10283392147790001</v>
      </c>
      <c r="S117">
        <v>12.2951125576938</v>
      </c>
      <c r="T117">
        <v>0.26235668728448602</v>
      </c>
      <c r="V117">
        <v>0.60686023113977605</v>
      </c>
      <c r="W117">
        <v>1.4478905321847301E-2</v>
      </c>
      <c r="X117">
        <v>0.15463338895275999</v>
      </c>
      <c r="AA117">
        <v>0.78821329257778705</v>
      </c>
      <c r="AB117">
        <v>2.8642089859823399</v>
      </c>
      <c r="AC117">
        <v>5.1315715058446001</v>
      </c>
      <c r="AD117">
        <v>2.8957810643672598E-2</v>
      </c>
      <c r="AE117">
        <v>4.3058348359259604</v>
      </c>
    </row>
    <row r="118" spans="1:31" x14ac:dyDescent="0.2">
      <c r="A118">
        <v>117</v>
      </c>
      <c r="B118">
        <v>762</v>
      </c>
      <c r="C118">
        <v>150</v>
      </c>
      <c r="D118">
        <v>0.439183210162781</v>
      </c>
      <c r="E118">
        <v>36.691453574865598</v>
      </c>
      <c r="F118">
        <v>2.2186992309164002</v>
      </c>
      <c r="G118">
        <v>-596.39516061039251</v>
      </c>
      <c r="H118">
        <v>-501.95546175561282</v>
      </c>
      <c r="I118">
        <v>91.232863695869597</v>
      </c>
      <c r="J118">
        <v>48.870197952584697</v>
      </c>
      <c r="K118">
        <v>16.537371566001099</v>
      </c>
      <c r="L118">
        <v>1.2990837436765372E-4</v>
      </c>
      <c r="M118">
        <v>1.6637768947476416E-5</v>
      </c>
      <c r="N118" s="1">
        <v>9.1386111734228997E-7</v>
      </c>
      <c r="O118" s="1">
        <v>2.7743975600865399E-8</v>
      </c>
      <c r="P118" s="1">
        <v>-1.3907740807901999E-7</v>
      </c>
      <c r="Q118">
        <v>73.188169240617498</v>
      </c>
      <c r="R118">
        <v>0.13455743723161001</v>
      </c>
      <c r="S118">
        <v>12.6267973834661</v>
      </c>
      <c r="T118">
        <v>0.24539746578555999</v>
      </c>
      <c r="V118">
        <v>0.57191965630859998</v>
      </c>
      <c r="W118">
        <v>2.7254303184231901E-2</v>
      </c>
      <c r="X118">
        <v>0.179469479846045</v>
      </c>
      <c r="AA118">
        <v>0.82861850669064996</v>
      </c>
      <c r="AB118">
        <v>2.6462011158320999</v>
      </c>
      <c r="AC118">
        <v>5.2346384139738698</v>
      </c>
      <c r="AD118">
        <v>5.4508606368406903E-2</v>
      </c>
      <c r="AE118">
        <v>4.2624683906952496</v>
      </c>
    </row>
    <row r="119" spans="1:31" x14ac:dyDescent="0.2">
      <c r="A119">
        <v>118</v>
      </c>
      <c r="B119">
        <v>761</v>
      </c>
      <c r="C119">
        <v>150</v>
      </c>
      <c r="D119">
        <v>0.43857322438717999</v>
      </c>
      <c r="E119">
        <v>24.237080111524499</v>
      </c>
      <c r="F119">
        <v>2.22150341527828</v>
      </c>
      <c r="G119">
        <v>-393.99028314617999</v>
      </c>
      <c r="H119">
        <v>-331.80384081501217</v>
      </c>
      <c r="I119">
        <v>60.132903670809597</v>
      </c>
      <c r="J119">
        <v>32.2970399889128</v>
      </c>
      <c r="K119">
        <v>10.910215102455</v>
      </c>
      <c r="L119">
        <v>1.2934033558479211E-4</v>
      </c>
      <c r="M119">
        <v>1.6603645844626243E-5</v>
      </c>
      <c r="N119" s="1">
        <v>6.0021369144213002E-7</v>
      </c>
      <c r="O119" s="1">
        <v>1.8196629963814E-8</v>
      </c>
      <c r="P119" s="1">
        <v>-9.0786471391796497E-8</v>
      </c>
      <c r="Q119">
        <v>72.920099948825495</v>
      </c>
      <c r="R119">
        <v>0.157384426325823</v>
      </c>
      <c r="S119">
        <v>12.9865665419442</v>
      </c>
      <c r="T119">
        <v>0.23326592815807501</v>
      </c>
      <c r="V119">
        <v>0.54802496981271498</v>
      </c>
      <c r="W119">
        <v>4.1259095377746698E-2</v>
      </c>
      <c r="X119">
        <v>0.182809669624029</v>
      </c>
      <c r="AA119">
        <v>0.837382437282855</v>
      </c>
      <c r="AB119">
        <v>2.4752983509147</v>
      </c>
      <c r="AC119">
        <v>5.3020903398254902</v>
      </c>
      <c r="AD119">
        <v>8.2518190755385606E-2</v>
      </c>
      <c r="AE119">
        <v>4.2333001011533904</v>
      </c>
    </row>
    <row r="120" spans="1:31" x14ac:dyDescent="0.2">
      <c r="A120">
        <v>119</v>
      </c>
      <c r="B120">
        <v>760</v>
      </c>
      <c r="C120">
        <v>150</v>
      </c>
      <c r="D120">
        <v>0.43796205778444602</v>
      </c>
      <c r="E120">
        <v>18.718759122297801</v>
      </c>
      <c r="F120">
        <v>2.2237333194553899</v>
      </c>
      <c r="G120">
        <v>-304.31099919764449</v>
      </c>
      <c r="H120">
        <v>-256.41226728735023</v>
      </c>
      <c r="I120">
        <v>46.361837013303202</v>
      </c>
      <c r="J120">
        <v>24.955583324461202</v>
      </c>
      <c r="K120">
        <v>8.4177176096287099</v>
      </c>
      <c r="L120">
        <v>1.2896150156974762E-4</v>
      </c>
      <c r="M120">
        <v>1.6584394094144765E-5</v>
      </c>
      <c r="N120" s="1">
        <v>4.6198694515525299E-7</v>
      </c>
      <c r="O120" s="1">
        <v>1.39840402117275E-8</v>
      </c>
      <c r="P120" s="1">
        <v>-6.9499397953516003E-8</v>
      </c>
      <c r="Q120">
        <v>72.686320511124805</v>
      </c>
      <c r="R120">
        <v>0.17140682060978099</v>
      </c>
      <c r="S120">
        <v>13.2978890222607</v>
      </c>
      <c r="T120">
        <v>0.22494035949448199</v>
      </c>
      <c r="V120">
        <v>0.53196342537909502</v>
      </c>
      <c r="W120">
        <v>5.3422344583098497E-2</v>
      </c>
      <c r="X120">
        <v>0.184463578984915</v>
      </c>
      <c r="AA120">
        <v>0.837060103133626</v>
      </c>
      <c r="AB120">
        <v>2.3477901586764598</v>
      </c>
      <c r="AC120">
        <v>5.3437078320263396</v>
      </c>
      <c r="AD120">
        <v>0.106844689166029</v>
      </c>
      <c r="AE120">
        <v>4.2141911545605897</v>
      </c>
    </row>
    <row r="121" spans="1:31" x14ac:dyDescent="0.2">
      <c r="A121">
        <v>120</v>
      </c>
      <c r="B121">
        <v>759</v>
      </c>
      <c r="C121">
        <v>150</v>
      </c>
      <c r="D121">
        <v>0.43734970692244701</v>
      </c>
      <c r="E121">
        <v>15.5989479732955</v>
      </c>
      <c r="F121">
        <v>2.22562418352631</v>
      </c>
      <c r="G121">
        <v>-253.60997661081237</v>
      </c>
      <c r="H121">
        <v>-213.79125128454135</v>
      </c>
      <c r="I121">
        <v>38.578428839094101</v>
      </c>
      <c r="J121">
        <v>20.8058444544419</v>
      </c>
      <c r="K121">
        <v>7.0087969427885799</v>
      </c>
      <c r="L121">
        <v>1.2868162127448971E-4</v>
      </c>
      <c r="M121">
        <v>1.6571986190012168E-5</v>
      </c>
      <c r="N121" s="1">
        <v>3.8415811786756499E-7</v>
      </c>
      <c r="O121" s="1">
        <v>1.16088869270534E-8</v>
      </c>
      <c r="P121" s="1">
        <v>-5.7507449856263099E-8</v>
      </c>
      <c r="Q121">
        <v>72.478944592090102</v>
      </c>
      <c r="R121">
        <v>0.18110593148569701</v>
      </c>
      <c r="S121">
        <v>13.571775577333799</v>
      </c>
      <c r="T121">
        <v>0.21852412915105099</v>
      </c>
      <c r="V121">
        <v>0.51962705075100601</v>
      </c>
      <c r="W121">
        <v>6.4106887317739003E-2</v>
      </c>
      <c r="X121">
        <v>0.18532636958347801</v>
      </c>
      <c r="AA121">
        <v>0.83477707620888697</v>
      </c>
      <c r="AB121">
        <v>2.2450893974251498</v>
      </c>
      <c r="AC121">
        <v>5.3721641341293402</v>
      </c>
      <c r="AD121">
        <v>0.128213774635246</v>
      </c>
      <c r="AE121">
        <v>4.2003450798884101</v>
      </c>
    </row>
    <row r="122" spans="1:31" x14ac:dyDescent="0.2">
      <c r="A122">
        <v>121</v>
      </c>
      <c r="B122">
        <v>758</v>
      </c>
      <c r="C122">
        <v>150</v>
      </c>
      <c r="D122">
        <v>0.43673616835572199</v>
      </c>
      <c r="E122">
        <v>13.568709235757</v>
      </c>
      <c r="F122">
        <v>2.2272936615474599</v>
      </c>
      <c r="G122">
        <v>-220.61519103855881</v>
      </c>
      <c r="H122">
        <v>-186.05729968610748</v>
      </c>
      <c r="I122">
        <v>33.513932359454301</v>
      </c>
      <c r="J122">
        <v>18.105824540647198</v>
      </c>
      <c r="K122">
        <v>6.0920162751820897</v>
      </c>
      <c r="L122">
        <v>1.2846229930159819E-4</v>
      </c>
      <c r="M122">
        <v>1.6563421661882796E-5</v>
      </c>
      <c r="N122" s="1">
        <v>3.33689999873683E-7</v>
      </c>
      <c r="O122" s="1">
        <v>1.0066468245298501E-8</v>
      </c>
      <c r="P122" s="1">
        <v>-4.9726197413084401E-8</v>
      </c>
      <c r="Q122">
        <v>72.290836854286297</v>
      </c>
      <c r="R122">
        <v>0.188384916581884</v>
      </c>
      <c r="S122">
        <v>13.818277797702899</v>
      </c>
      <c r="T122">
        <v>0.213222578792058</v>
      </c>
      <c r="V122">
        <v>0.50938206989243695</v>
      </c>
      <c r="W122">
        <v>7.36989777453574E-2</v>
      </c>
      <c r="X122">
        <v>0.18576066712516301</v>
      </c>
      <c r="AA122">
        <v>0.83226487997004595</v>
      </c>
      <c r="AB122">
        <v>2.15839440437039</v>
      </c>
      <c r="AC122">
        <v>5.3926670061966204</v>
      </c>
      <c r="AD122">
        <v>0.147397955490428</v>
      </c>
      <c r="AE122">
        <v>4.1897118918463301</v>
      </c>
    </row>
    <row r="123" spans="1:31" x14ac:dyDescent="0.2">
      <c r="A123">
        <v>122</v>
      </c>
      <c r="B123">
        <v>757</v>
      </c>
      <c r="C123">
        <v>150</v>
      </c>
      <c r="D123">
        <v>0.436121438625445</v>
      </c>
      <c r="E123">
        <v>12.1262973790966</v>
      </c>
      <c r="F123">
        <v>2.22880656989429</v>
      </c>
      <c r="G123">
        <v>-197.17287424344948</v>
      </c>
      <c r="H123">
        <v>-166.35497398104184</v>
      </c>
      <c r="I123">
        <v>29.915934827362602</v>
      </c>
      <c r="J123">
        <v>16.187853824263399</v>
      </c>
      <c r="K123">
        <v>5.4407132242398797</v>
      </c>
      <c r="L123">
        <v>1.2828412265938321E-4</v>
      </c>
      <c r="M123">
        <v>1.6557315433151259E-5</v>
      </c>
      <c r="N123" s="1">
        <v>2.9795158801033902E-7</v>
      </c>
      <c r="O123" s="1">
        <v>8.9725682871551507E-9</v>
      </c>
      <c r="P123" s="1">
        <v>-4.4212001842736799E-8</v>
      </c>
      <c r="Q123">
        <v>72.117223591637099</v>
      </c>
      <c r="R123">
        <v>0.19415171920621799</v>
      </c>
      <c r="S123">
        <v>14.044145056503</v>
      </c>
      <c r="T123">
        <v>0.20864949518495499</v>
      </c>
      <c r="V123">
        <v>0.50046420362364896</v>
      </c>
      <c r="W123">
        <v>8.2465402978078695E-2</v>
      </c>
      <c r="X123">
        <v>0.18593439372011</v>
      </c>
      <c r="AA123">
        <v>0.83001819120860798</v>
      </c>
      <c r="AB123">
        <v>2.0829593567437401</v>
      </c>
      <c r="AC123">
        <v>5.4078015222823499</v>
      </c>
      <c r="AD123">
        <v>0.164930805955808</v>
      </c>
      <c r="AE123">
        <v>4.18125626095628</v>
      </c>
    </row>
    <row r="124" spans="1:31" x14ac:dyDescent="0.2">
      <c r="A124">
        <v>123</v>
      </c>
      <c r="B124">
        <v>756</v>
      </c>
      <c r="C124">
        <v>150</v>
      </c>
      <c r="D124">
        <v>0.43550551425934297</v>
      </c>
      <c r="E124">
        <v>11.039078492040501</v>
      </c>
      <c r="F124">
        <v>2.2302022122896101</v>
      </c>
      <c r="G124">
        <v>-179.50260355113792</v>
      </c>
      <c r="H124">
        <v>-151.50568654803735</v>
      </c>
      <c r="I124">
        <v>27.203922657630599</v>
      </c>
      <c r="J124">
        <v>14.742394015685001</v>
      </c>
      <c r="K124">
        <v>4.9498105737718499</v>
      </c>
      <c r="L124">
        <v>1.2813593374991184E-4</v>
      </c>
      <c r="M124">
        <v>1.6552923266495645E-5</v>
      </c>
      <c r="N124" s="1">
        <v>2.7109757561893997E-7</v>
      </c>
      <c r="O124" s="1">
        <v>8.1493344082766598E-9</v>
      </c>
      <c r="P124" s="1">
        <v>-4.0065428504161699E-8</v>
      </c>
      <c r="Q124">
        <v>71.954907351361598</v>
      </c>
      <c r="R124">
        <v>0.19889504175835901</v>
      </c>
      <c r="S124">
        <v>14.253907507319701</v>
      </c>
      <c r="T124">
        <v>0.20459138039216199</v>
      </c>
      <c r="V124">
        <v>0.49246360563803199</v>
      </c>
      <c r="W124">
        <v>9.0587271457507307E-2</v>
      </c>
      <c r="X124">
        <v>0.185935910753945</v>
      </c>
      <c r="AA124">
        <v>0.82817850010773097</v>
      </c>
      <c r="AB124">
        <v>2.0159365542091301</v>
      </c>
      <c r="AC124">
        <v>5.4190378049785304</v>
      </c>
      <c r="AD124">
        <v>0.18117454291461901</v>
      </c>
      <c r="AE124">
        <v>4.1743845291086297</v>
      </c>
    </row>
    <row r="125" spans="1:31" x14ac:dyDescent="0.2">
      <c r="A125">
        <v>124</v>
      </c>
      <c r="B125">
        <v>755</v>
      </c>
      <c r="C125">
        <v>150</v>
      </c>
      <c r="D125">
        <v>0.43488839177162902</v>
      </c>
      <c r="E125">
        <v>10.1842000577827</v>
      </c>
      <c r="F125">
        <v>2.2315062662958001</v>
      </c>
      <c r="G125">
        <v>-165.60797918904404</v>
      </c>
      <c r="H125">
        <v>-139.83082843450896</v>
      </c>
      <c r="I125">
        <v>25.071391095205001</v>
      </c>
      <c r="J125">
        <v>13.6059911073283</v>
      </c>
      <c r="K125">
        <v>4.5638231949435504</v>
      </c>
      <c r="L125">
        <v>1.280107083677693E-4</v>
      </c>
      <c r="M125">
        <v>1.6549800356817581E-5</v>
      </c>
      <c r="N125" s="1">
        <v>2.5004577323159798E-7</v>
      </c>
      <c r="O125" s="1">
        <v>7.5029595261836807E-9</v>
      </c>
      <c r="P125" s="1">
        <v>-3.6812201164587799E-8</v>
      </c>
      <c r="Q125">
        <v>71.801666883916198</v>
      </c>
      <c r="R125">
        <v>0.20290377111045799</v>
      </c>
      <c r="S125">
        <v>14.4507162336383</v>
      </c>
      <c r="T125">
        <v>0.20091836837298899</v>
      </c>
      <c r="V125">
        <v>0.48513717751411001</v>
      </c>
      <c r="W125">
        <v>9.8191315402819501E-2</v>
      </c>
      <c r="X125">
        <v>0.18581647309690799</v>
      </c>
      <c r="AA125">
        <v>0.82677125703176801</v>
      </c>
      <c r="AB125">
        <v>1.9554764359600301</v>
      </c>
      <c r="AC125">
        <v>5.4272955621318397</v>
      </c>
      <c r="AD125">
        <v>0.19638263080518101</v>
      </c>
      <c r="AE125">
        <v>4.1687238910192104</v>
      </c>
    </row>
    <row r="126" spans="1:31" x14ac:dyDescent="0.2">
      <c r="A126">
        <v>125</v>
      </c>
      <c r="B126">
        <v>793</v>
      </c>
      <c r="C126">
        <v>125</v>
      </c>
      <c r="D126">
        <v>0.48331895136707098</v>
      </c>
      <c r="E126">
        <v>102.889387479536</v>
      </c>
      <c r="F126">
        <v>2.20820759181376</v>
      </c>
      <c r="G126">
        <v>-1682.186245914477</v>
      </c>
      <c r="H126">
        <v>-1405.7206167083541</v>
      </c>
      <c r="I126">
        <v>259.312131694529</v>
      </c>
      <c r="J126">
        <v>137.328679469132</v>
      </c>
      <c r="K126">
        <v>46.594073791325997</v>
      </c>
      <c r="L126">
        <v>1.2783743530901564E-4</v>
      </c>
      <c r="M126">
        <v>1.6770351069205842E-5</v>
      </c>
      <c r="N126" s="1">
        <v>2.36406210346785E-6</v>
      </c>
      <c r="O126" s="1">
        <v>7.7109110669570103E-8</v>
      </c>
      <c r="P126" s="1">
        <v>-3.7803371090822998E-7</v>
      </c>
      <c r="Q126">
        <v>73.613034206351202</v>
      </c>
      <c r="R126">
        <v>8.74725782752859E-2</v>
      </c>
      <c r="S126">
        <v>12.450263641182699</v>
      </c>
      <c r="T126">
        <v>0.25871309886786698</v>
      </c>
      <c r="V126">
        <v>0.62424787609722199</v>
      </c>
      <c r="W126">
        <v>9.7191753639206003E-3</v>
      </c>
      <c r="X126">
        <v>0.106910929003128</v>
      </c>
      <c r="AA126">
        <v>0.92332165957246004</v>
      </c>
      <c r="AB126">
        <v>3.2948004483690898</v>
      </c>
      <c r="AC126">
        <v>4.5680124210426696</v>
      </c>
      <c r="AD126">
        <v>1.9438350727840899E-2</v>
      </c>
      <c r="AE126">
        <v>4.0440656151464598</v>
      </c>
    </row>
    <row r="127" spans="1:31" x14ac:dyDescent="0.2">
      <c r="A127">
        <v>126</v>
      </c>
      <c r="B127">
        <v>792</v>
      </c>
      <c r="C127">
        <v>125</v>
      </c>
      <c r="D127">
        <v>0.48276815471999501</v>
      </c>
      <c r="E127">
        <v>102.78714073297201</v>
      </c>
      <c r="F127">
        <v>2.2084682700140399</v>
      </c>
      <c r="G127">
        <v>-1680.2225627688674</v>
      </c>
      <c r="H127">
        <v>-1404.4465248516331</v>
      </c>
      <c r="I127">
        <v>258.90817060248202</v>
      </c>
      <c r="J127">
        <v>137.17026542857201</v>
      </c>
      <c r="K127">
        <v>46.5422764404573</v>
      </c>
      <c r="L127">
        <v>1.2776576634147412E-4</v>
      </c>
      <c r="M127">
        <v>1.6762633244956153E-5</v>
      </c>
      <c r="N127" s="1">
        <v>2.3638181268817402E-6</v>
      </c>
      <c r="O127" s="1">
        <v>7.6960768013283702E-8</v>
      </c>
      <c r="P127" s="1">
        <v>-3.7743882173363798E-7</v>
      </c>
      <c r="Q127">
        <v>73.626462775707907</v>
      </c>
      <c r="R127">
        <v>8.7559590974330706E-2</v>
      </c>
      <c r="S127">
        <v>12.4411351104358</v>
      </c>
      <c r="T127">
        <v>0.25931687419213001</v>
      </c>
      <c r="V127">
        <v>0.624557127368224</v>
      </c>
      <c r="W127">
        <v>9.7288434415921596E-3</v>
      </c>
      <c r="X127">
        <v>0.107017277857517</v>
      </c>
      <c r="AA127">
        <v>0.920444320316958</v>
      </c>
      <c r="AB127">
        <v>3.2899366635985898</v>
      </c>
      <c r="AC127">
        <v>4.5714303505360601</v>
      </c>
      <c r="AD127">
        <v>1.9457686883183702E-2</v>
      </c>
      <c r="AE127">
        <v>4.0429533786876002</v>
      </c>
    </row>
    <row r="128" spans="1:31" x14ac:dyDescent="0.2">
      <c r="A128">
        <v>127</v>
      </c>
      <c r="B128">
        <v>791</v>
      </c>
      <c r="C128">
        <v>125</v>
      </c>
      <c r="D128">
        <v>0.48221632288681698</v>
      </c>
      <c r="E128">
        <v>102.480848763735</v>
      </c>
      <c r="F128">
        <v>2.2087096876827998</v>
      </c>
      <c r="G128">
        <v>-1674.8555777053018</v>
      </c>
      <c r="H128">
        <v>-1400.3562226769664</v>
      </c>
      <c r="I128">
        <v>257.95175024981</v>
      </c>
      <c r="J128">
        <v>136.71853489257501</v>
      </c>
      <c r="K128">
        <v>46.3985146328802</v>
      </c>
      <c r="L128">
        <v>1.2760729039711755E-4</v>
      </c>
      <c r="M128">
        <v>1.6750301165519695E-5</v>
      </c>
      <c r="N128" s="1">
        <v>2.3572382679514002E-6</v>
      </c>
      <c r="O128" s="1">
        <v>7.6612259473055604E-8</v>
      </c>
      <c r="P128" s="1">
        <v>-3.7574064100489701E-7</v>
      </c>
      <c r="Q128">
        <v>73.667076548652204</v>
      </c>
      <c r="R128">
        <v>8.7821286694737793E-2</v>
      </c>
      <c r="S128">
        <v>12.413960433918</v>
      </c>
      <c r="T128">
        <v>0.26039301631288397</v>
      </c>
      <c r="V128">
        <v>0.62615285098286999</v>
      </c>
      <c r="W128">
        <v>9.7579207438595293E-3</v>
      </c>
      <c r="X128">
        <v>0.10733712818246099</v>
      </c>
      <c r="AA128">
        <v>0.91196861443613897</v>
      </c>
      <c r="AB128">
        <v>3.27531588206871</v>
      </c>
      <c r="AC128">
        <v>4.5816583305433598</v>
      </c>
      <c r="AD128">
        <v>1.9515841487718101E-2</v>
      </c>
      <c r="AE128">
        <v>4.0390421459769499</v>
      </c>
    </row>
    <row r="129" spans="1:31" x14ac:dyDescent="0.2">
      <c r="A129">
        <v>128</v>
      </c>
      <c r="B129">
        <v>790</v>
      </c>
      <c r="C129">
        <v>125</v>
      </c>
      <c r="D129">
        <v>0.48166345294643498</v>
      </c>
      <c r="E129">
        <v>102.174443443822</v>
      </c>
      <c r="F129">
        <v>2.2089531116839698</v>
      </c>
      <c r="G129">
        <v>-1669.4889228259908</v>
      </c>
      <c r="H129">
        <v>-1396.2640312992451</v>
      </c>
      <c r="I129">
        <v>256.99561823519298</v>
      </c>
      <c r="J129">
        <v>136.26685151061301</v>
      </c>
      <c r="K129">
        <v>46.254690922765</v>
      </c>
      <c r="L129">
        <v>1.2744794541005768E-4</v>
      </c>
      <c r="M129">
        <v>1.6737930417502892E-5</v>
      </c>
      <c r="N129" s="1">
        <v>2.3506287852875102E-6</v>
      </c>
      <c r="O129" s="1">
        <v>7.6263900500438495E-8</v>
      </c>
      <c r="P129" s="1">
        <v>-3.7404063258420503E-7</v>
      </c>
      <c r="Q129">
        <v>73.707689104891799</v>
      </c>
      <c r="R129">
        <v>8.8084649122150305E-2</v>
      </c>
      <c r="S129">
        <v>12.3868129807455</v>
      </c>
      <c r="T129">
        <v>0.26147650597412297</v>
      </c>
      <c r="V129">
        <v>0.62775829329864297</v>
      </c>
      <c r="W129">
        <v>9.7871832357941894E-3</v>
      </c>
      <c r="X129">
        <v>0.107659015593744</v>
      </c>
      <c r="AA129">
        <v>0.90366481324124903</v>
      </c>
      <c r="AB129">
        <v>3.2605334132087198</v>
      </c>
      <c r="AC129">
        <v>4.5918612801463903</v>
      </c>
      <c r="AD129">
        <v>1.9574366471587199E-2</v>
      </c>
      <c r="AE129">
        <v>4.0350983940701797</v>
      </c>
    </row>
    <row r="130" spans="1:31" x14ac:dyDescent="0.2">
      <c r="A130">
        <v>129</v>
      </c>
      <c r="B130">
        <v>789</v>
      </c>
      <c r="C130">
        <v>125</v>
      </c>
      <c r="D130">
        <v>0.48110954196676597</v>
      </c>
      <c r="E130">
        <v>101.86797159257701</v>
      </c>
      <c r="F130">
        <v>2.2091984956239301</v>
      </c>
      <c r="G130">
        <v>-1664.1233888879788</v>
      </c>
      <c r="H130">
        <v>-1392.1705983095019</v>
      </c>
      <c r="I130">
        <v>256.03991016191299</v>
      </c>
      <c r="J130">
        <v>135.815281136782</v>
      </c>
      <c r="K130">
        <v>46.110827883669899</v>
      </c>
      <c r="L130">
        <v>1.272877520085219E-4</v>
      </c>
      <c r="M130">
        <v>1.6725523028705514E-5</v>
      </c>
      <c r="N130" s="1">
        <v>2.34399145041755E-6</v>
      </c>
      <c r="O130" s="1">
        <v>7.5915747986717599E-8</v>
      </c>
      <c r="P130" s="1">
        <v>-3.7233910644271299E-7</v>
      </c>
      <c r="Q130">
        <v>73.748299606231299</v>
      </c>
      <c r="R130">
        <v>8.83496535691876E-2</v>
      </c>
      <c r="S130">
        <v>12.3596934495033</v>
      </c>
      <c r="T130">
        <v>0.26256730627444802</v>
      </c>
      <c r="V130">
        <v>0.62937324563723596</v>
      </c>
      <c r="W130">
        <v>9.8166281743538395E-3</v>
      </c>
      <c r="X130">
        <v>0.10798290991790099</v>
      </c>
      <c r="AA130">
        <v>0.89553147926807197</v>
      </c>
      <c r="AB130">
        <v>3.2455935174859598</v>
      </c>
      <c r="AC130">
        <v>4.6020358900083904</v>
      </c>
      <c r="AD130">
        <v>1.9633256348706302E-2</v>
      </c>
      <c r="AE130">
        <v>4.0311230575809498</v>
      </c>
    </row>
    <row r="131" spans="1:31" x14ac:dyDescent="0.2">
      <c r="A131">
        <v>130</v>
      </c>
      <c r="B131">
        <v>788</v>
      </c>
      <c r="C131">
        <v>125</v>
      </c>
      <c r="D131">
        <v>0.48055458700466802</v>
      </c>
      <c r="E131">
        <v>101.561479927351</v>
      </c>
      <c r="F131">
        <v>2.2094457922188702</v>
      </c>
      <c r="G131">
        <v>-1658.7597642964215</v>
      </c>
      <c r="H131">
        <v>-1388.0765700251823</v>
      </c>
      <c r="I131">
        <v>255.08476112824599</v>
      </c>
      <c r="J131">
        <v>135.36388941285</v>
      </c>
      <c r="K131">
        <v>45.966948039651101</v>
      </c>
      <c r="L131">
        <v>1.2712673122430141E-4</v>
      </c>
      <c r="M131">
        <v>1.6713081054697846E-5</v>
      </c>
      <c r="N131" s="1">
        <v>2.3373280405035798E-6</v>
      </c>
      <c r="O131" s="1">
        <v>7.5567858582346897E-8</v>
      </c>
      <c r="P131" s="1">
        <v>-3.70636372067805E-7</v>
      </c>
      <c r="Q131">
        <v>73.788907205510398</v>
      </c>
      <c r="R131">
        <v>8.8616274658837105E-2</v>
      </c>
      <c r="S131">
        <v>12.332602541358799</v>
      </c>
      <c r="T131">
        <v>0.26366537853736599</v>
      </c>
      <c r="V131">
        <v>0.63099749416072404</v>
      </c>
      <c r="W131">
        <v>9.8462527398704008E-3</v>
      </c>
      <c r="X131">
        <v>0.108308780138585</v>
      </c>
      <c r="AA131">
        <v>0.88756711755485396</v>
      </c>
      <c r="AB131">
        <v>3.23050054608927</v>
      </c>
      <c r="AC131">
        <v>4.6121788148392602</v>
      </c>
      <c r="AD131">
        <v>1.9692505479739199E-2</v>
      </c>
      <c r="AE131">
        <v>4.0271170889321404</v>
      </c>
    </row>
    <row r="132" spans="1:31" x14ac:dyDescent="0.2">
      <c r="A132">
        <v>131</v>
      </c>
      <c r="B132">
        <v>787</v>
      </c>
      <c r="C132">
        <v>125</v>
      </c>
      <c r="D132">
        <v>0.479998585105882</v>
      </c>
      <c r="E132">
        <v>101.255014961363</v>
      </c>
      <c r="F132">
        <v>2.20969495336014</v>
      </c>
      <c r="G132">
        <v>-1653.3988334053709</v>
      </c>
      <c r="H132">
        <v>-1383.9825900869839</v>
      </c>
      <c r="I132">
        <v>254.13030544582</v>
      </c>
      <c r="J132">
        <v>134.912741626235</v>
      </c>
      <c r="K132">
        <v>45.8230738172212</v>
      </c>
      <c r="L132">
        <v>1.2696490445487509E-4</v>
      </c>
      <c r="M132">
        <v>1.6700606576178615E-5</v>
      </c>
      <c r="N132" s="1">
        <v>2.3306403349100799E-6</v>
      </c>
      <c r="O132" s="1">
        <v>7.5220288589704093E-8</v>
      </c>
      <c r="P132" s="1">
        <v>-3.6893273786010201E-7</v>
      </c>
      <c r="Q132">
        <v>73.8295110513277</v>
      </c>
      <c r="R132">
        <v>8.8884486397383403E-2</v>
      </c>
      <c r="S132">
        <v>12.305540957143201</v>
      </c>
      <c r="T132">
        <v>0.26477068249551999</v>
      </c>
      <c r="V132">
        <v>0.63263082042028795</v>
      </c>
      <c r="W132">
        <v>9.8760540441532197E-3</v>
      </c>
      <c r="X132">
        <v>0.108636594485699</v>
      </c>
      <c r="AA132">
        <v>0.87977017866225005</v>
      </c>
      <c r="AB132">
        <v>3.2152589336584101</v>
      </c>
      <c r="AC132">
        <v>4.62228667636343</v>
      </c>
      <c r="AD132">
        <v>1.97521080883045E-2</v>
      </c>
      <c r="AE132">
        <v>4.0230814569135402</v>
      </c>
    </row>
    <row r="133" spans="1:31" x14ac:dyDescent="0.2">
      <c r="A133">
        <v>132</v>
      </c>
      <c r="B133">
        <v>786</v>
      </c>
      <c r="C133">
        <v>125</v>
      </c>
      <c r="D133">
        <v>0.47944153330501299</v>
      </c>
      <c r="E133">
        <v>100.948622897934</v>
      </c>
      <c r="F133">
        <v>2.2099459301833302</v>
      </c>
      <c r="G133">
        <v>-1648.0413747605012</v>
      </c>
      <c r="H133">
        <v>-1379.8892980056635</v>
      </c>
      <c r="I133">
        <v>253.17667634880499</v>
      </c>
      <c r="J133">
        <v>134.461902562966</v>
      </c>
      <c r="K133">
        <v>45.679227495652</v>
      </c>
      <c r="L133">
        <v>1.2680229342145174E-4</v>
      </c>
      <c r="M133">
        <v>1.6688101696094017E-5</v>
      </c>
      <c r="N133" s="1">
        <v>2.3239301116118699E-6</v>
      </c>
      <c r="O133" s="1">
        <v>7.4873093852043694E-8</v>
      </c>
      <c r="P133" s="1">
        <v>-3.6722851050499901E-7</v>
      </c>
      <c r="Q133">
        <v>73.870110293490995</v>
      </c>
      <c r="R133">
        <v>8.91542622537774E-2</v>
      </c>
      <c r="S133">
        <v>12.278509394032101</v>
      </c>
      <c r="T133">
        <v>0.26588317649273402</v>
      </c>
      <c r="V133">
        <v>0.63427300195213898</v>
      </c>
      <c r="W133">
        <v>9.9060291393080306E-3</v>
      </c>
      <c r="X133">
        <v>0.108966320532404</v>
      </c>
      <c r="AA133">
        <v>0.872139061761387</v>
      </c>
      <c r="AB133">
        <v>3.1998731906495599</v>
      </c>
      <c r="AC133">
        <v>4.6323560663279997</v>
      </c>
      <c r="AD133">
        <v>1.9812058278613799E-2</v>
      </c>
      <c r="AE133">
        <v>4.0190171450888403</v>
      </c>
    </row>
    <row r="134" spans="1:31" x14ac:dyDescent="0.2">
      <c r="A134">
        <v>133</v>
      </c>
      <c r="B134">
        <v>785</v>
      </c>
      <c r="C134">
        <v>125</v>
      </c>
      <c r="D134">
        <v>0.47888342862543298</v>
      </c>
      <c r="E134">
        <v>100.64234952943001</v>
      </c>
      <c r="F134">
        <v>2.2101986731347401</v>
      </c>
      <c r="G134">
        <v>-1642.6881594241606</v>
      </c>
      <c r="H134">
        <v>-1375.7973277738804</v>
      </c>
      <c r="I134">
        <v>252.22400571778999</v>
      </c>
      <c r="J134">
        <v>134.01143636779599</v>
      </c>
      <c r="K134">
        <v>45.535431159538298</v>
      </c>
      <c r="L134">
        <v>1.2663892013009157E-4</v>
      </c>
      <c r="M134">
        <v>1.6675568537041622E-5</v>
      </c>
      <c r="N134" s="1">
        <v>2.3171991438045898E-6</v>
      </c>
      <c r="O134" s="1">
        <v>7.4526329649872004E-8</v>
      </c>
      <c r="P134" s="1">
        <v>-3.65523994383765E-7</v>
      </c>
      <c r="Q134">
        <v>73.910704088043303</v>
      </c>
      <c r="R134">
        <v>8.9425575238268301E-2</v>
      </c>
      <c r="S134">
        <v>12.251508542474999</v>
      </c>
      <c r="T134">
        <v>0.26700281768420803</v>
      </c>
      <c r="V134">
        <v>0.63592381286776201</v>
      </c>
      <c r="W134">
        <v>9.9361750264736395E-3</v>
      </c>
      <c r="X134">
        <v>0.109297925291227</v>
      </c>
      <c r="AA134">
        <v>0.86467211796743904</v>
      </c>
      <c r="AB134">
        <v>3.1843478957452298</v>
      </c>
      <c r="AC134">
        <v>4.6423835492646104</v>
      </c>
      <c r="AD134">
        <v>1.9872350052944798E-2</v>
      </c>
      <c r="AE134">
        <v>4.0149251503433696</v>
      </c>
    </row>
    <row r="135" spans="1:31" x14ac:dyDescent="0.2">
      <c r="A135">
        <v>134</v>
      </c>
      <c r="B135">
        <v>784</v>
      </c>
      <c r="C135">
        <v>125</v>
      </c>
      <c r="D135">
        <v>0.47832426807926898</v>
      </c>
      <c r="E135">
        <v>100.33624013406801</v>
      </c>
      <c r="F135">
        <v>2.21045313204031</v>
      </c>
      <c r="G135">
        <v>-1637.3399492676231</v>
      </c>
      <c r="H135">
        <v>-1371.7073064487822</v>
      </c>
      <c r="I135">
        <v>251.27242379874201</v>
      </c>
      <c r="J135">
        <v>133.56140640143599</v>
      </c>
      <c r="K135">
        <v>45.391706650416602</v>
      </c>
      <c r="L135">
        <v>1.2647480682970299E-4</v>
      </c>
      <c r="M135">
        <v>1.6663009238511919E-5</v>
      </c>
      <c r="N135" s="1">
        <v>2.3104491964154998E-6</v>
      </c>
      <c r="O135" s="1">
        <v>7.4180050595365803E-8</v>
      </c>
      <c r="P135" s="1">
        <v>-3.6381949096959601E-7</v>
      </c>
      <c r="Q135">
        <v>73.951291602908</v>
      </c>
      <c r="R135">
        <v>8.9698397986355094E-2</v>
      </c>
      <c r="S135">
        <v>12.2245390827868</v>
      </c>
      <c r="T135">
        <v>0.26812956225148898</v>
      </c>
      <c r="V135">
        <v>0.63758302448292603</v>
      </c>
      <c r="W135">
        <v>9.9664886651499099E-3</v>
      </c>
      <c r="X135">
        <v>0.109631375316667</v>
      </c>
      <c r="AA135">
        <v>0.85736765372829504</v>
      </c>
      <c r="AB135">
        <v>3.1686876880041299</v>
      </c>
      <c r="AC135">
        <v>4.6523656652177499</v>
      </c>
      <c r="AD135">
        <v>1.99329773302971E-2</v>
      </c>
      <c r="AE135">
        <v>4.0108064813220397</v>
      </c>
    </row>
    <row r="136" spans="1:31" x14ac:dyDescent="0.2">
      <c r="A136">
        <v>135</v>
      </c>
      <c r="B136">
        <v>783</v>
      </c>
      <c r="C136">
        <v>125</v>
      </c>
      <c r="D136">
        <v>0.47776404866733202</v>
      </c>
      <c r="E136">
        <v>100.03033937650299</v>
      </c>
      <c r="F136">
        <v>2.2107092561734301</v>
      </c>
      <c r="G136">
        <v>-1631.9974953294316</v>
      </c>
      <c r="H136">
        <v>-1367.6198527866034</v>
      </c>
      <c r="I136">
        <v>250.32205893369999</v>
      </c>
      <c r="J136">
        <v>133.11187510346099</v>
      </c>
      <c r="K136">
        <v>45.2480755201831</v>
      </c>
      <c r="L136">
        <v>1.2630997597143584E-4</v>
      </c>
      <c r="M136">
        <v>1.6650425954282003E-5</v>
      </c>
      <c r="N136" s="1">
        <v>2.3036820227541201E-6</v>
      </c>
      <c r="O136" s="1">
        <v>7.3834310532244902E-8</v>
      </c>
      <c r="P136" s="1">
        <v>-3.6211529825151098E-7</v>
      </c>
      <c r="Q136">
        <v>73.9918720233362</v>
      </c>
      <c r="R136">
        <v>8.9972702842936306E-2</v>
      </c>
      <c r="S136">
        <v>12.197601681876799</v>
      </c>
      <c r="T136">
        <v>0.26926336561849701</v>
      </c>
      <c r="V136">
        <v>0.63925040594788196</v>
      </c>
      <c r="W136">
        <v>9.9969669825477493E-3</v>
      </c>
      <c r="X136">
        <v>0.109966636808045</v>
      </c>
      <c r="AA136">
        <v>0.85022393438129895</v>
      </c>
      <c r="AB136">
        <v>3.1528972590582902</v>
      </c>
      <c r="AC136">
        <v>4.6622989322469497</v>
      </c>
      <c r="AD136">
        <v>1.9993933965092501E-2</v>
      </c>
      <c r="AE136">
        <v>4.0066621569352803</v>
      </c>
    </row>
    <row r="137" spans="1:31" x14ac:dyDescent="0.2">
      <c r="A137">
        <v>136</v>
      </c>
      <c r="B137">
        <v>782</v>
      </c>
      <c r="C137">
        <v>125</v>
      </c>
      <c r="D137">
        <v>0.47720276737904699</v>
      </c>
      <c r="E137">
        <v>99.724691210482504</v>
      </c>
      <c r="F137">
        <v>2.2109669943228898</v>
      </c>
      <c r="G137">
        <v>-1626.6615362113603</v>
      </c>
      <c r="H137">
        <v>-1363.5355759060396</v>
      </c>
      <c r="I137">
        <v>249.373037298318</v>
      </c>
      <c r="J137">
        <v>132.66290385841</v>
      </c>
      <c r="K137">
        <v>45.104558985523397</v>
      </c>
      <c r="L137">
        <v>1.2614445016782079E-4</v>
      </c>
      <c r="M137">
        <v>1.6637820849847234E-5</v>
      </c>
      <c r="N137" s="1">
        <v>2.2968993612265801E-6</v>
      </c>
      <c r="O137" s="1">
        <v>7.3489162438707198E-8</v>
      </c>
      <c r="P137" s="1">
        <v>-3.6041171017198098E-7</v>
      </c>
      <c r="Q137">
        <v>74.032444557463606</v>
      </c>
      <c r="R137">
        <v>9.0248461948149894E-2</v>
      </c>
      <c r="S137">
        <v>12.1706969899461</v>
      </c>
      <c r="T137">
        <v>0.27040418267258298</v>
      </c>
      <c r="V137">
        <v>0.64092572488955701</v>
      </c>
      <c r="W137">
        <v>1.0027606883126899E-2</v>
      </c>
      <c r="X137">
        <v>0.110303675714419</v>
      </c>
      <c r="AA137">
        <v>0.84323918781068097</v>
      </c>
      <c r="AB137">
        <v>3.1369813452999602</v>
      </c>
      <c r="AC137">
        <v>4.6721798487374402</v>
      </c>
      <c r="AD137">
        <v>2.0055213766250701E-2</v>
      </c>
      <c r="AE137">
        <v>4.0024932048679798</v>
      </c>
    </row>
    <row r="138" spans="1:31" x14ac:dyDescent="0.2">
      <c r="A138">
        <v>137</v>
      </c>
      <c r="B138">
        <v>781</v>
      </c>
      <c r="C138">
        <v>125</v>
      </c>
      <c r="D138">
        <v>0.476640421192431</v>
      </c>
      <c r="E138">
        <v>99.419338783665495</v>
      </c>
      <c r="F138">
        <v>2.2112262948592298</v>
      </c>
      <c r="G138">
        <v>-1621.332796513499</v>
      </c>
      <c r="H138">
        <v>-1359.4550739814815</v>
      </c>
      <c r="I138">
        <v>248.42548264669799</v>
      </c>
      <c r="J138">
        <v>132.21455286516499</v>
      </c>
      <c r="K138">
        <v>44.961177883421698</v>
      </c>
      <c r="L138">
        <v>1.2597825215234873E-4</v>
      </c>
      <c r="M138">
        <v>1.6625196099957183E-5</v>
      </c>
      <c r="N138" s="1">
        <v>2.2901029321362299E-6</v>
      </c>
      <c r="O138" s="1">
        <v>7.3144658334057302E-8</v>
      </c>
      <c r="P138" s="1">
        <v>-3.58709016082402E-7</v>
      </c>
      <c r="Q138">
        <v>74.073008441989103</v>
      </c>
      <c r="R138">
        <v>9.0525647324853603E-2</v>
      </c>
      <c r="S138">
        <v>12.1438256371219</v>
      </c>
      <c r="T138">
        <v>0.27155196799044301</v>
      </c>
      <c r="V138">
        <v>0.64260874806526902</v>
      </c>
      <c r="W138">
        <v>1.0058405258316199E-2</v>
      </c>
      <c r="X138">
        <v>0.11064245784150201</v>
      </c>
      <c r="AA138">
        <v>0.83641160818124605</v>
      </c>
      <c r="AB138">
        <v>3.1209447200730902</v>
      </c>
      <c r="AC138">
        <v>4.6820048955111302</v>
      </c>
      <c r="AD138">
        <v>2.0116810516628999E-2</v>
      </c>
      <c r="AE138">
        <v>3.99830066012639</v>
      </c>
    </row>
    <row r="139" spans="1:31" x14ac:dyDescent="0.2">
      <c r="A139">
        <v>138</v>
      </c>
      <c r="B139">
        <v>780</v>
      </c>
      <c r="C139">
        <v>125</v>
      </c>
      <c r="D139">
        <v>0.47607700707401701</v>
      </c>
      <c r="E139">
        <v>99.114324344144705</v>
      </c>
      <c r="F139">
        <v>2.21148710579951</v>
      </c>
      <c r="G139">
        <v>-1616.0119853008134</v>
      </c>
      <c r="H139">
        <v>-1355.3789329598205</v>
      </c>
      <c r="I139">
        <v>247.47951606228199</v>
      </c>
      <c r="J139">
        <v>131.76688100899</v>
      </c>
      <c r="K139">
        <v>44.817952627542901</v>
      </c>
      <c r="L139">
        <v>1.2581140473923253E-4</v>
      </c>
      <c r="M139">
        <v>1.6612553886240221E-5</v>
      </c>
      <c r="N139" s="1">
        <v>2.2832944345546602E-6</v>
      </c>
      <c r="O139" s="1">
        <v>7.2800849188504601E-8</v>
      </c>
      <c r="P139" s="1">
        <v>-3.5700750021356202E-7</v>
      </c>
      <c r="Q139">
        <v>74.113562948046805</v>
      </c>
      <c r="R139">
        <v>9.0804230968174401E-2</v>
      </c>
      <c r="S139">
        <v>12.116988229988101</v>
      </c>
      <c r="T139">
        <v>0.27270667607021598</v>
      </c>
      <c r="V139">
        <v>0.64429924203127598</v>
      </c>
      <c r="W139">
        <v>1.00893589964629E-2</v>
      </c>
      <c r="X139">
        <v>0.110982948961118</v>
      </c>
      <c r="AA139">
        <v>0.82973935972010704</v>
      </c>
      <c r="AB139">
        <v>3.1047921858739</v>
      </c>
      <c r="AC139">
        <v>4.6917705377372503</v>
      </c>
      <c r="AD139">
        <v>2.0178717992922E-2</v>
      </c>
      <c r="AE139">
        <v>3.9940855636135701</v>
      </c>
    </row>
    <row r="140" spans="1:31" x14ac:dyDescent="0.2">
      <c r="A140">
        <v>139</v>
      </c>
      <c r="B140">
        <v>779</v>
      </c>
      <c r="C140">
        <v>125</v>
      </c>
      <c r="D140">
        <v>0.475512521978807</v>
      </c>
      <c r="E140">
        <v>98.809689152474107</v>
      </c>
      <c r="F140">
        <v>2.21174937487186</v>
      </c>
      <c r="G140">
        <v>-1610.6997946640545</v>
      </c>
      <c r="H140">
        <v>-1351.3077253532942</v>
      </c>
      <c r="I140">
        <v>246.535255724716</v>
      </c>
      <c r="J140">
        <v>131.31994574155499</v>
      </c>
      <c r="K140">
        <v>44.674903167181199</v>
      </c>
      <c r="L140">
        <v>1.2564393078417409E-4</v>
      </c>
      <c r="M140">
        <v>1.6599896394928277E-5</v>
      </c>
      <c r="N140" s="1">
        <v>2.2764755433590302E-6</v>
      </c>
      <c r="O140" s="1">
        <v>7.2457784839105893E-8</v>
      </c>
      <c r="P140" s="1">
        <v>-3.5530744117716002E-7</v>
      </c>
      <c r="Q140">
        <v>74.154107386827206</v>
      </c>
      <c r="R140">
        <v>9.1084184933648601E-2</v>
      </c>
      <c r="S140">
        <v>12.090185348325001</v>
      </c>
      <c r="T140">
        <v>0.27386826156056499</v>
      </c>
      <c r="V140">
        <v>0.64599697380037702</v>
      </c>
      <c r="W140">
        <v>1.01204649926266E-2</v>
      </c>
      <c r="X140">
        <v>0.111325114918921</v>
      </c>
      <c r="AA140">
        <v>0.82322058059530101</v>
      </c>
      <c r="AB140">
        <v>3.0885285667811102</v>
      </c>
      <c r="AC140">
        <v>4.7014732265326602</v>
      </c>
      <c r="AD140">
        <v>2.0240929985249199E-2</v>
      </c>
      <c r="AE140">
        <v>3.9898489607471999</v>
      </c>
    </row>
    <row r="141" spans="1:31" x14ac:dyDescent="0.2">
      <c r="A141">
        <v>140</v>
      </c>
      <c r="B141">
        <v>778</v>
      </c>
      <c r="C141">
        <v>125</v>
      </c>
      <c r="D141">
        <v>0.47494696285021398</v>
      </c>
      <c r="E141">
        <v>97.592728734654003</v>
      </c>
      <c r="F141">
        <v>2.2124213551237402</v>
      </c>
      <c r="G141">
        <v>-1590.2292586414856</v>
      </c>
      <c r="H141">
        <v>-1334.4938962172102</v>
      </c>
      <c r="I141">
        <v>243.291026422751</v>
      </c>
      <c r="J141">
        <v>129.668682247085</v>
      </c>
      <c r="K141">
        <v>44.111275869146198</v>
      </c>
      <c r="L141">
        <v>1.2549929543414956E-4</v>
      </c>
      <c r="M141">
        <v>1.6576237558072235E-5</v>
      </c>
      <c r="N141" s="1">
        <v>2.2463163836021399E-6</v>
      </c>
      <c r="O141" s="1">
        <v>7.1382664882746196E-8</v>
      </c>
      <c r="P141" s="1">
        <v>-3.5043865582092898E-7</v>
      </c>
      <c r="Q141">
        <v>74.134184402585603</v>
      </c>
      <c r="R141">
        <v>9.2219985204743393E-2</v>
      </c>
      <c r="S141">
        <v>12.090167549827299</v>
      </c>
      <c r="T141">
        <v>0.27772568403237002</v>
      </c>
      <c r="V141">
        <v>0.65365439172045603</v>
      </c>
      <c r="W141">
        <v>1.0246665022748101E-2</v>
      </c>
      <c r="X141">
        <v>0.112713315250261</v>
      </c>
      <c r="AA141">
        <v>0.81224337521703305</v>
      </c>
      <c r="AB141">
        <v>3.06680181906271</v>
      </c>
      <c r="AC141">
        <v>4.7480362463958903</v>
      </c>
      <c r="AD141">
        <v>2.0493330045491701E-2</v>
      </c>
      <c r="AE141">
        <v>3.9815132356352501</v>
      </c>
    </row>
    <row r="142" spans="1:31" x14ac:dyDescent="0.2">
      <c r="A142">
        <v>141</v>
      </c>
      <c r="B142">
        <v>777</v>
      </c>
      <c r="C142">
        <v>125</v>
      </c>
      <c r="D142">
        <v>0.47438032662001101</v>
      </c>
      <c r="E142">
        <v>96.128318359157404</v>
      </c>
      <c r="F142">
        <v>2.2132204312428598</v>
      </c>
      <c r="G142">
        <v>-1565.6597738859193</v>
      </c>
      <c r="H142">
        <v>-1314.2263630621408</v>
      </c>
      <c r="I142">
        <v>239.426187519667</v>
      </c>
      <c r="J142">
        <v>127.691448510302</v>
      </c>
      <c r="K142">
        <v>43.433684689588297</v>
      </c>
      <c r="L142">
        <v>1.2535786267552462E-4</v>
      </c>
      <c r="M142">
        <v>1.6549269447101069E-5</v>
      </c>
      <c r="N142" s="1">
        <v>2.2097946153134399E-6</v>
      </c>
      <c r="O142" s="1">
        <v>7.0111615064735002E-8</v>
      </c>
      <c r="P142" s="1">
        <v>-3.4470530824099199E-7</v>
      </c>
      <c r="Q142">
        <v>74.0972706391196</v>
      </c>
      <c r="R142">
        <v>9.3624856375561699E-2</v>
      </c>
      <c r="S142">
        <v>12.097612587439199</v>
      </c>
      <c r="T142">
        <v>0.282435345968434</v>
      </c>
      <c r="V142">
        <v>0.66318126402679101</v>
      </c>
      <c r="W142">
        <v>1.04027618195055E-2</v>
      </c>
      <c r="X142">
        <v>0.114430380014599</v>
      </c>
      <c r="AA142">
        <v>0.80061122446412403</v>
      </c>
      <c r="AB142">
        <v>3.0427290583690998</v>
      </c>
      <c r="AC142">
        <v>4.8050033778428203</v>
      </c>
      <c r="AD142">
        <v>2.0805523639005299E-2</v>
      </c>
      <c r="AE142">
        <v>3.9718929809211398</v>
      </c>
    </row>
    <row r="143" spans="1:31" x14ac:dyDescent="0.2">
      <c r="A143">
        <v>142</v>
      </c>
      <c r="B143">
        <v>776</v>
      </c>
      <c r="C143">
        <v>125</v>
      </c>
      <c r="D143">
        <v>0.47381261020826598</v>
      </c>
      <c r="E143">
        <v>94.662000844205295</v>
      </c>
      <c r="F143">
        <v>2.21403814106344</v>
      </c>
      <c r="G143">
        <v>-1541.0737657557024</v>
      </c>
      <c r="H143">
        <v>-1293.9355324225476</v>
      </c>
      <c r="I143">
        <v>235.56043781456901</v>
      </c>
      <c r="J143">
        <v>125.71249380840899</v>
      </c>
      <c r="K143">
        <v>42.7553613862936</v>
      </c>
      <c r="L143">
        <v>1.2521294169791751E-4</v>
      </c>
      <c r="M143">
        <v>1.6521942625665267E-5</v>
      </c>
      <c r="N143" s="1">
        <v>2.17319532738211E-6</v>
      </c>
      <c r="O143" s="1">
        <v>6.8842355802706501E-8</v>
      </c>
      <c r="P143" s="1">
        <v>-3.3895980660365401E-7</v>
      </c>
      <c r="Q143">
        <v>74.059706134814405</v>
      </c>
      <c r="R143">
        <v>9.50751084884911E-2</v>
      </c>
      <c r="S143">
        <v>12.105264773571999</v>
      </c>
      <c r="T143">
        <v>0.28729319170392398</v>
      </c>
      <c r="V143">
        <v>0.67301943332176095</v>
      </c>
      <c r="W143">
        <v>1.0563900943163999E-2</v>
      </c>
      <c r="X143">
        <v>0.11620291037485</v>
      </c>
      <c r="AA143">
        <v>0.78964714398847902</v>
      </c>
      <c r="AB143">
        <v>3.01765251370897</v>
      </c>
      <c r="AC143">
        <v>4.8623702211278399</v>
      </c>
      <c r="AD143">
        <v>2.11278018863214E-2</v>
      </c>
      <c r="AE143">
        <v>3.9620768660697498</v>
      </c>
    </row>
    <row r="144" spans="1:31" x14ac:dyDescent="0.2">
      <c r="A144">
        <v>143</v>
      </c>
      <c r="B144">
        <v>775</v>
      </c>
      <c r="C144">
        <v>125</v>
      </c>
      <c r="D144">
        <v>0.473243810523307</v>
      </c>
      <c r="E144">
        <v>93.189885636851997</v>
      </c>
      <c r="F144">
        <v>2.2148757440824101</v>
      </c>
      <c r="G144">
        <v>-1516.4076971318607</v>
      </c>
      <c r="H144">
        <v>-1273.5679231133292</v>
      </c>
      <c r="I144">
        <v>231.684180717007</v>
      </c>
      <c r="J144">
        <v>123.726672527606</v>
      </c>
      <c r="K144">
        <v>42.074543407607202</v>
      </c>
      <c r="L144">
        <v>1.2506451887262182E-4</v>
      </c>
      <c r="M144">
        <v>1.6494252200899265E-5</v>
      </c>
      <c r="N144" s="1">
        <v>2.1364324319717501E-6</v>
      </c>
      <c r="O144" s="1">
        <v>6.7572152343038298E-8</v>
      </c>
      <c r="P144" s="1">
        <v>-3.3318865076704499E-7</v>
      </c>
      <c r="Q144">
        <v>74.021423855189298</v>
      </c>
      <c r="R144">
        <v>9.6577004451665699E-2</v>
      </c>
      <c r="S144">
        <v>12.1131331079996</v>
      </c>
      <c r="T144">
        <v>0.29231821228896698</v>
      </c>
      <c r="V144">
        <v>0.68321317411000304</v>
      </c>
      <c r="W144">
        <v>1.07307782724056E-2</v>
      </c>
      <c r="X144">
        <v>0.118038560996509</v>
      </c>
      <c r="AA144">
        <v>0.77937399603953395</v>
      </c>
      <c r="AB144">
        <v>2.9915392990431098</v>
      </c>
      <c r="AC144">
        <v>4.9201297439521801</v>
      </c>
      <c r="AD144">
        <v>2.1461556544804E-2</v>
      </c>
      <c r="AE144">
        <v>3.9520607111118098</v>
      </c>
    </row>
    <row r="145" spans="1:31" x14ac:dyDescent="0.2">
      <c r="A145">
        <v>144</v>
      </c>
      <c r="B145">
        <v>774</v>
      </c>
      <c r="C145">
        <v>125</v>
      </c>
      <c r="D145">
        <v>0.47267392446163797</v>
      </c>
      <c r="E145">
        <v>91.706964228931596</v>
      </c>
      <c r="F145">
        <v>2.21573491930189</v>
      </c>
      <c r="G145">
        <v>-1491.579823025118</v>
      </c>
      <c r="H145">
        <v>-1253.0547000480017</v>
      </c>
      <c r="I145">
        <v>227.78505751527101</v>
      </c>
      <c r="J145">
        <v>121.727362254982</v>
      </c>
      <c r="K145">
        <v>41.388960127877297</v>
      </c>
      <c r="L145">
        <v>1.2491256349691325E-4</v>
      </c>
      <c r="M145">
        <v>1.6466190919826712E-5</v>
      </c>
      <c r="N145" s="1">
        <v>2.0993940135012198E-6</v>
      </c>
      <c r="O145" s="1">
        <v>6.6297472358686299E-8</v>
      </c>
      <c r="P145" s="1">
        <v>-3.27374249601406E-7</v>
      </c>
      <c r="Q145">
        <v>73.982336487224799</v>
      </c>
      <c r="R145">
        <v>9.8138675461260205E-2</v>
      </c>
      <c r="S145">
        <v>12.121229838349</v>
      </c>
      <c r="T145">
        <v>0.29753497558640801</v>
      </c>
      <c r="V145">
        <v>0.693820047972312</v>
      </c>
      <c r="W145">
        <v>1.09042972734714E-2</v>
      </c>
      <c r="X145">
        <v>0.119947270008239</v>
      </c>
      <c r="AA145">
        <v>0.76982517339876999</v>
      </c>
      <c r="AB145">
        <v>2.9643424648541599</v>
      </c>
      <c r="AC145">
        <v>4.9782735681397696</v>
      </c>
      <c r="AD145">
        <v>2.1808594546934901E-2</v>
      </c>
      <c r="AE145">
        <v>3.9418386071847502</v>
      </c>
    </row>
    <row r="146" spans="1:31" x14ac:dyDescent="0.2">
      <c r="A146">
        <v>145</v>
      </c>
      <c r="B146">
        <v>773</v>
      </c>
      <c r="C146">
        <v>125</v>
      </c>
      <c r="D146">
        <v>0.472102948907902</v>
      </c>
      <c r="E146">
        <v>89.341141482364307</v>
      </c>
      <c r="F146">
        <v>2.21582856723438</v>
      </c>
      <c r="G146">
        <v>-1453.0187979446084</v>
      </c>
      <c r="H146">
        <v>-1221.135355273354</v>
      </c>
      <c r="I146">
        <v>221.65410569349899</v>
      </c>
      <c r="J146">
        <v>118.548038474835</v>
      </c>
      <c r="K146">
        <v>40.319518758561998</v>
      </c>
      <c r="L146">
        <v>1.2458294269009293E-4</v>
      </c>
      <c r="M146">
        <v>1.6425627759949681E-5</v>
      </c>
      <c r="N146" s="1">
        <v>2.03957180411945E-6</v>
      </c>
      <c r="O146" s="1">
        <v>6.4317567183304797E-8</v>
      </c>
      <c r="P146" s="1">
        <v>-3.1807814468289701E-7</v>
      </c>
      <c r="Q146">
        <v>73.990911115789004</v>
      </c>
      <c r="R146">
        <v>9.5861780611371294E-2</v>
      </c>
      <c r="S146">
        <v>12.147107321872999</v>
      </c>
      <c r="T146">
        <v>0.27927756147101002</v>
      </c>
      <c r="V146">
        <v>0.64870473288531505</v>
      </c>
      <c r="W146">
        <v>1.1193051525956401E-2</v>
      </c>
      <c r="X146">
        <v>0.12231183694048101</v>
      </c>
      <c r="AA146">
        <v>0.75766760958828305</v>
      </c>
      <c r="AB146">
        <v>2.9251304937250602</v>
      </c>
      <c r="AC146">
        <v>5.07300584415073</v>
      </c>
      <c r="AD146">
        <v>2.2386103051903899E-2</v>
      </c>
      <c r="AE146">
        <v>3.9264425483877998</v>
      </c>
    </row>
    <row r="147" spans="1:31" x14ac:dyDescent="0.2">
      <c r="A147">
        <v>146</v>
      </c>
      <c r="B147">
        <v>772</v>
      </c>
      <c r="C147">
        <v>125</v>
      </c>
      <c r="D147">
        <v>0.47153088073482102</v>
      </c>
      <c r="E147">
        <v>87.418622252348896</v>
      </c>
      <c r="F147">
        <v>2.2164189634957001</v>
      </c>
      <c r="G147">
        <v>-1421.3154262815135</v>
      </c>
      <c r="H147">
        <v>-1194.8787297547658</v>
      </c>
      <c r="I147">
        <v>216.654735231064</v>
      </c>
      <c r="J147">
        <v>115.963760783309</v>
      </c>
      <c r="K147">
        <v>39.441379852874697</v>
      </c>
      <c r="L147">
        <v>1.2434521812116822E-4</v>
      </c>
      <c r="M147">
        <v>1.6391170756610267E-5</v>
      </c>
      <c r="N147" s="1">
        <v>1.99133245917665E-6</v>
      </c>
      <c r="O147" s="1">
        <v>6.2703704982084597E-8</v>
      </c>
      <c r="P147" s="1">
        <v>-3.1054455196409302E-7</v>
      </c>
      <c r="Q147">
        <v>73.969791204421796</v>
      </c>
      <c r="R147">
        <v>9.5962109481791097E-2</v>
      </c>
      <c r="S147">
        <v>12.163639617080999</v>
      </c>
      <c r="T147">
        <v>0.27486463690350399</v>
      </c>
      <c r="V147">
        <v>0.63660061818478497</v>
      </c>
      <c r="W147">
        <v>1.14392102533163E-2</v>
      </c>
      <c r="X147">
        <v>0.124651868352755</v>
      </c>
      <c r="AA147">
        <v>0.74891262958717597</v>
      </c>
      <c r="AB147">
        <v>2.8897416067326902</v>
      </c>
      <c r="AC147">
        <v>5.14809620649915</v>
      </c>
      <c r="AD147">
        <v>2.2878420506622098E-2</v>
      </c>
      <c r="AE147">
        <v>3.9134218719953</v>
      </c>
    </row>
    <row r="148" spans="1:31" x14ac:dyDescent="0.2">
      <c r="A148">
        <v>147</v>
      </c>
      <c r="B148">
        <v>771</v>
      </c>
      <c r="C148">
        <v>125</v>
      </c>
      <c r="D148">
        <v>0.47095771680314102</v>
      </c>
      <c r="E148">
        <v>63.131193691259</v>
      </c>
      <c r="F148">
        <v>2.2185521480341301</v>
      </c>
      <c r="G148">
        <v>-1026.2745764656327</v>
      </c>
      <c r="H148">
        <v>-863.20541701899742</v>
      </c>
      <c r="I148">
        <v>156.17407407617199</v>
      </c>
      <c r="J148">
        <v>83.763095897312098</v>
      </c>
      <c r="K148">
        <v>28.456033249973299</v>
      </c>
      <c r="L148">
        <v>1.2383501403668467E-4</v>
      </c>
      <c r="M148">
        <v>1.6337750560876308E-5</v>
      </c>
      <c r="N148" s="1">
        <v>1.42992555007838E-6</v>
      </c>
      <c r="O148" s="1">
        <v>4.4967902259621903E-8</v>
      </c>
      <c r="P148" s="1">
        <v>-2.22417091426016E-7</v>
      </c>
      <c r="Q148">
        <v>73.851214931442797</v>
      </c>
      <c r="R148">
        <v>0.10874537470371499</v>
      </c>
      <c r="S148">
        <v>12.2821076438868</v>
      </c>
      <c r="T148">
        <v>0.26459012969969398</v>
      </c>
      <c r="V148">
        <v>0.61372025244379802</v>
      </c>
      <c r="W148">
        <v>1.58400299682308E-2</v>
      </c>
      <c r="X148">
        <v>0.168068877448391</v>
      </c>
      <c r="AA148">
        <v>0.78829459366619303</v>
      </c>
      <c r="AB148">
        <v>2.75775375929816</v>
      </c>
      <c r="AC148">
        <v>5.2311865415433703</v>
      </c>
      <c r="AD148">
        <v>3.1680059936443503E-2</v>
      </c>
      <c r="AE148">
        <v>3.8867978059623498</v>
      </c>
    </row>
    <row r="149" spans="1:31" x14ac:dyDescent="0.2">
      <c r="A149">
        <v>148</v>
      </c>
      <c r="B149">
        <v>770</v>
      </c>
      <c r="C149">
        <v>125</v>
      </c>
      <c r="D149">
        <v>0.47038345396155901</v>
      </c>
      <c r="E149">
        <v>37.732903945285102</v>
      </c>
      <c r="F149">
        <v>2.2215095202020598</v>
      </c>
      <c r="G149">
        <v>-613.38097973182619</v>
      </c>
      <c r="H149">
        <v>-516.2416210178601</v>
      </c>
      <c r="I149">
        <v>93.121179805364605</v>
      </c>
      <c r="J149">
        <v>50.082565650060502</v>
      </c>
      <c r="K149">
        <v>16.985254216625201</v>
      </c>
      <c r="L149">
        <v>1.2316933895841839E-4</v>
      </c>
      <c r="M149">
        <v>1.6284073316794363E-5</v>
      </c>
      <c r="N149" s="1">
        <v>8.48201181969506E-7</v>
      </c>
      <c r="O149" s="1">
        <v>2.66429077809007E-8</v>
      </c>
      <c r="P149" s="1">
        <v>-1.3123874878092699E-7</v>
      </c>
      <c r="Q149">
        <v>73.622660449300199</v>
      </c>
      <c r="R149">
        <v>0.13643704953579699</v>
      </c>
      <c r="S149">
        <v>12.564061004927</v>
      </c>
      <c r="T149">
        <v>0.249823245507515</v>
      </c>
      <c r="V149">
        <v>0.58302015402172203</v>
      </c>
      <c r="W149">
        <v>2.6502068365838301E-2</v>
      </c>
      <c r="X149">
        <v>0.19084359506200699</v>
      </c>
      <c r="AA149">
        <v>0.82979634938928204</v>
      </c>
      <c r="AB149">
        <v>2.5639585244114298</v>
      </c>
      <c r="AC149">
        <v>5.3268189768022403</v>
      </c>
      <c r="AD149">
        <v>5.3004136731622402E-2</v>
      </c>
      <c r="AE149">
        <v>3.8530744459452402</v>
      </c>
    </row>
    <row r="150" spans="1:31" x14ac:dyDescent="0.2">
      <c r="A150">
        <v>149</v>
      </c>
      <c r="B150">
        <v>769</v>
      </c>
      <c r="C150">
        <v>125</v>
      </c>
      <c r="D150">
        <v>0.46980808904668597</v>
      </c>
      <c r="E150">
        <v>25.560685157180501</v>
      </c>
      <c r="F150">
        <v>2.2240921554569302</v>
      </c>
      <c r="G150">
        <v>-415.53367371822981</v>
      </c>
      <c r="H150">
        <v>-349.92832406176552</v>
      </c>
      <c r="I150">
        <v>62.951925976552502</v>
      </c>
      <c r="J150">
        <v>33.941196598858198</v>
      </c>
      <c r="K150">
        <v>11.4926376114703</v>
      </c>
      <c r="L150">
        <v>1.2266505475357238E-4</v>
      </c>
      <c r="M150">
        <v>1.6252002818356083E-5</v>
      </c>
      <c r="N150" s="1">
        <v>5.7150374487707295E-7</v>
      </c>
      <c r="O150" s="1">
        <v>1.7927245398660799E-8</v>
      </c>
      <c r="P150" s="1">
        <v>-8.7904539487132394E-8</v>
      </c>
      <c r="Q150">
        <v>73.371578106644193</v>
      </c>
      <c r="R150">
        <v>0.15965458386546399</v>
      </c>
      <c r="S150">
        <v>12.892238094254701</v>
      </c>
      <c r="T150">
        <v>0.23795065399842</v>
      </c>
      <c r="V150">
        <v>0.55930764057044602</v>
      </c>
      <c r="W150">
        <v>3.9122581959375097E-2</v>
      </c>
      <c r="X150">
        <v>0.194075982642756</v>
      </c>
      <c r="AA150">
        <v>0.84323647887439801</v>
      </c>
      <c r="AB150">
        <v>2.4000768750953099</v>
      </c>
      <c r="AC150">
        <v>5.3964238320501901</v>
      </c>
      <c r="AD150">
        <v>7.8245163918658905E-2</v>
      </c>
      <c r="AE150">
        <v>3.82809000612595</v>
      </c>
    </row>
    <row r="151" spans="1:31" x14ac:dyDescent="0.2">
      <c r="A151">
        <v>150</v>
      </c>
      <c r="B151">
        <v>768</v>
      </c>
      <c r="C151">
        <v>125</v>
      </c>
      <c r="D151">
        <v>0.46923161888296799</v>
      </c>
      <c r="E151">
        <v>19.761081568326698</v>
      </c>
      <c r="F151">
        <v>2.2262000742297201</v>
      </c>
      <c r="G151">
        <v>-321.27320312731803</v>
      </c>
      <c r="H151">
        <v>-270.68553761967297</v>
      </c>
      <c r="I151">
        <v>48.588258663636303</v>
      </c>
      <c r="J151">
        <v>26.252275225390299</v>
      </c>
      <c r="K151">
        <v>8.8765973000715892</v>
      </c>
      <c r="L151">
        <v>1.2231897600308342E-4</v>
      </c>
      <c r="M151">
        <v>1.6233813864422929E-5</v>
      </c>
      <c r="N151" s="1">
        <v>4.4039526521755599E-7</v>
      </c>
      <c r="O151" s="1">
        <v>1.3793393468688001E-8</v>
      </c>
      <c r="P151" s="1">
        <v>-6.73689297203551E-8</v>
      </c>
      <c r="Q151">
        <v>73.145451293002594</v>
      </c>
      <c r="R151">
        <v>0.174922669129775</v>
      </c>
      <c r="S151">
        <v>13.188077641984201</v>
      </c>
      <c r="T151">
        <v>0.22943934521158399</v>
      </c>
      <c r="V151">
        <v>0.54267204048883899</v>
      </c>
      <c r="W151">
        <v>5.06045175989926E-2</v>
      </c>
      <c r="X151">
        <v>0.19584547832072899</v>
      </c>
      <c r="AA151">
        <v>0.844947816549251</v>
      </c>
      <c r="AB151">
        <v>2.2749100915737999</v>
      </c>
      <c r="AC151">
        <v>5.4406051553691501</v>
      </c>
      <c r="AD151">
        <v>0.10120903519784</v>
      </c>
      <c r="AE151">
        <v>3.8113149155732202</v>
      </c>
    </row>
    <row r="152" spans="1:31" x14ac:dyDescent="0.2">
      <c r="A152">
        <v>151</v>
      </c>
      <c r="B152">
        <v>767</v>
      </c>
      <c r="C152">
        <v>125</v>
      </c>
      <c r="D152">
        <v>0.46865404028265401</v>
      </c>
      <c r="E152">
        <v>16.4263776164794</v>
      </c>
      <c r="F152">
        <v>2.22799899359137</v>
      </c>
      <c r="G152">
        <v>-267.07523677278812</v>
      </c>
      <c r="H152">
        <v>-225.12370518849855</v>
      </c>
      <c r="I152">
        <v>40.332193995375199</v>
      </c>
      <c r="J152">
        <v>21.832039089243999</v>
      </c>
      <c r="K152">
        <v>7.3727042353826704</v>
      </c>
      <c r="L152">
        <v>1.2206240255339981E-4</v>
      </c>
      <c r="M152">
        <v>1.622244786875665E-5</v>
      </c>
      <c r="N152" s="1">
        <v>3.6532622656741803E-7</v>
      </c>
      <c r="O152" s="1">
        <v>1.1423531413141E-8</v>
      </c>
      <c r="P152" s="1">
        <v>-5.5605552315624101E-8</v>
      </c>
      <c r="Q152">
        <v>72.942619289100307</v>
      </c>
      <c r="R152">
        <v>0.18570706956858499</v>
      </c>
      <c r="S152">
        <v>13.4525150541991</v>
      </c>
      <c r="T152">
        <v>0.22281746141299899</v>
      </c>
      <c r="V152">
        <v>0.52980565825180703</v>
      </c>
      <c r="W152">
        <v>6.08776946048201E-2</v>
      </c>
      <c r="X152">
        <v>0.196824724641703</v>
      </c>
      <c r="AA152">
        <v>0.84327627847094</v>
      </c>
      <c r="AB152">
        <v>2.1737072236975101</v>
      </c>
      <c r="AC152">
        <v>5.4709142079664703</v>
      </c>
      <c r="AD152">
        <v>0.121755389209453</v>
      </c>
      <c r="AE152">
        <v>3.7991799488761999</v>
      </c>
    </row>
    <row r="153" spans="1:31" x14ac:dyDescent="0.2">
      <c r="A153">
        <v>152</v>
      </c>
      <c r="B153">
        <v>766</v>
      </c>
      <c r="C153">
        <v>125</v>
      </c>
      <c r="D153">
        <v>0.46807535004571499</v>
      </c>
      <c r="E153">
        <v>14.2505802672997</v>
      </c>
      <c r="F153">
        <v>2.2295891527561</v>
      </c>
      <c r="G153">
        <v>-231.71228102025233</v>
      </c>
      <c r="H153">
        <v>-195.3979163675485</v>
      </c>
      <c r="I153">
        <v>34.946220134440502</v>
      </c>
      <c r="J153">
        <v>18.948417091014399</v>
      </c>
      <c r="K153">
        <v>6.3915722991762296</v>
      </c>
      <c r="L153">
        <v>1.2186180674523808E-4</v>
      </c>
      <c r="M153">
        <v>1.621493286859821E-5</v>
      </c>
      <c r="N153" s="1">
        <v>3.1652276705156902E-7</v>
      </c>
      <c r="O153" s="1">
        <v>9.8807344424408098E-9</v>
      </c>
      <c r="P153" s="1">
        <v>-4.7953329879533199E-8</v>
      </c>
      <c r="Q153">
        <v>72.757979445395307</v>
      </c>
      <c r="R153">
        <v>0.19384671731922601</v>
      </c>
      <c r="S153">
        <v>13.692084068224</v>
      </c>
      <c r="T153">
        <v>0.21734224650997699</v>
      </c>
      <c r="V153">
        <v>0.51913748846351904</v>
      </c>
      <c r="W153">
        <v>7.0172581132999901E-2</v>
      </c>
      <c r="X153">
        <v>0.197352049784635</v>
      </c>
      <c r="AA153">
        <v>0.84072502160875495</v>
      </c>
      <c r="AB153">
        <v>2.0883535197953802</v>
      </c>
      <c r="AC153">
        <v>5.4927273305400499</v>
      </c>
      <c r="AD153">
        <v>0.14034516226575</v>
      </c>
      <c r="AE153">
        <v>3.7899343689602301</v>
      </c>
    </row>
    <row r="154" spans="1:31" x14ac:dyDescent="0.2">
      <c r="A154">
        <v>153</v>
      </c>
      <c r="B154">
        <v>765</v>
      </c>
      <c r="C154">
        <v>125</v>
      </c>
      <c r="D154">
        <v>0.46749554495978501</v>
      </c>
      <c r="E154">
        <v>12.7068373062866</v>
      </c>
      <c r="F154">
        <v>2.231029802753</v>
      </c>
      <c r="G154">
        <v>-206.62147398087311</v>
      </c>
      <c r="H154">
        <v>-174.3089826863845</v>
      </c>
      <c r="I154">
        <v>31.1250698786192</v>
      </c>
      <c r="J154">
        <v>16.902762805570699</v>
      </c>
      <c r="K154">
        <v>5.6955031665676996</v>
      </c>
      <c r="L154">
        <v>1.2169942530071212E-4</v>
      </c>
      <c r="M154">
        <v>1.6209855038633521E-5</v>
      </c>
      <c r="N154" s="1">
        <v>2.82010730476808E-7</v>
      </c>
      <c r="O154" s="1">
        <v>8.7881409640052697E-9</v>
      </c>
      <c r="P154" s="1">
        <v>-4.2538144458060998E-8</v>
      </c>
      <c r="Q154">
        <v>72.587431638491097</v>
      </c>
      <c r="R154">
        <v>0.20029749669103999</v>
      </c>
      <c r="S154">
        <v>13.9122448086002</v>
      </c>
      <c r="T154">
        <v>0.212626602908187</v>
      </c>
      <c r="V154">
        <v>0.50988192661209497</v>
      </c>
      <c r="W154">
        <v>7.8697788906497201E-2</v>
      </c>
      <c r="X154">
        <v>0.197597987193843</v>
      </c>
      <c r="AA154">
        <v>0.83812666188649299</v>
      </c>
      <c r="AB154">
        <v>2.0142317026293499</v>
      </c>
      <c r="AC154">
        <v>5.5088150762112704</v>
      </c>
      <c r="AD154">
        <v>0.15739557781268201</v>
      </c>
      <c r="AE154">
        <v>3.7826527320571199</v>
      </c>
    </row>
    <row r="155" spans="1:31" x14ac:dyDescent="0.2">
      <c r="A155">
        <v>154</v>
      </c>
      <c r="B155">
        <v>764</v>
      </c>
      <c r="C155">
        <v>125</v>
      </c>
      <c r="D155">
        <v>0.46691462180012799</v>
      </c>
      <c r="E155">
        <v>11.546071410455101</v>
      </c>
      <c r="F155">
        <v>2.2323579618457798</v>
      </c>
      <c r="G155">
        <v>-187.75473576473783</v>
      </c>
      <c r="H155">
        <v>-158.45328955102994</v>
      </c>
      <c r="I155">
        <v>28.251888553929401</v>
      </c>
      <c r="J155">
        <v>15.364810588841801</v>
      </c>
      <c r="K155">
        <v>5.1721415685988399</v>
      </c>
      <c r="L155">
        <v>1.2156487735764249E-4</v>
      </c>
      <c r="M155">
        <v>1.6206453104195223E-5</v>
      </c>
      <c r="N155" s="1">
        <v>2.5614148015031101E-7</v>
      </c>
      <c r="O155" s="1">
        <v>7.9679344925946701E-9</v>
      </c>
      <c r="P155" s="1">
        <v>-3.8475987380718101E-8</v>
      </c>
      <c r="Q155">
        <v>72.428026443629605</v>
      </c>
      <c r="R155">
        <v>0.20559424094329301</v>
      </c>
      <c r="S155">
        <v>14.1169846650156</v>
      </c>
      <c r="T155">
        <v>0.20845015706759901</v>
      </c>
      <c r="V155">
        <v>0.50160580989014003</v>
      </c>
      <c r="W155">
        <v>8.6609545745039596E-2</v>
      </c>
      <c r="X155">
        <v>0.197655847653436</v>
      </c>
      <c r="AA155">
        <v>0.835777522138485</v>
      </c>
      <c r="AB155">
        <v>1.94851198646255</v>
      </c>
      <c r="AC155">
        <v>5.5207683833939898</v>
      </c>
      <c r="AD155">
        <v>0.17321909148971501</v>
      </c>
      <c r="AE155">
        <v>3.77679630657045</v>
      </c>
    </row>
    <row r="156" spans="1:31" x14ac:dyDescent="0.2">
      <c r="A156">
        <v>155</v>
      </c>
      <c r="B156">
        <v>763</v>
      </c>
      <c r="C156">
        <v>125</v>
      </c>
      <c r="D156">
        <v>0.46633257732954098</v>
      </c>
      <c r="E156">
        <v>10.635746438326301</v>
      </c>
      <c r="F156">
        <v>2.2335981499331998</v>
      </c>
      <c r="G156">
        <v>-172.9580942552698</v>
      </c>
      <c r="H156">
        <v>-146.01972103216735</v>
      </c>
      <c r="I156">
        <v>25.9985264904718</v>
      </c>
      <c r="J156">
        <v>14.158835859601</v>
      </c>
      <c r="K156">
        <v>4.7617099067907098</v>
      </c>
      <c r="L156">
        <v>1.2145159234678257E-4</v>
      </c>
      <c r="M156">
        <v>1.6204275367532141E-5</v>
      </c>
      <c r="N156" s="1">
        <v>2.3591446613275799E-7</v>
      </c>
      <c r="O156" s="1">
        <v>7.3256361378073697E-9</v>
      </c>
      <c r="P156" s="1">
        <v>-3.5297281026102302E-8</v>
      </c>
      <c r="Q156">
        <v>72.277641959987704</v>
      </c>
      <c r="R156">
        <v>0.21005933383350001</v>
      </c>
      <c r="S156">
        <v>14.309195844574401</v>
      </c>
      <c r="T156">
        <v>0.204677077754192</v>
      </c>
      <c r="V156">
        <v>0.49404905741511801</v>
      </c>
      <c r="W156">
        <v>9.4022549879126394E-2</v>
      </c>
      <c r="X156">
        <v>0.19758086894736099</v>
      </c>
      <c r="AA156">
        <v>0.83377946728601404</v>
      </c>
      <c r="AB156">
        <v>1.8893407450392301</v>
      </c>
      <c r="AC156">
        <v>5.5295825279358599</v>
      </c>
      <c r="AD156">
        <v>0.18804509975783501</v>
      </c>
      <c r="AE156">
        <v>3.7720254675895801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5D358-CFDB-45FF-B36B-C2E25EEFB406}">
  <sheetPr codeName="Sheet5"/>
  <dimension ref="A1:P156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757</v>
      </c>
      <c r="C2">
        <v>275</v>
      </c>
      <c r="D2">
        <v>0.30264573120419402</v>
      </c>
      <c r="E2">
        <v>4.2770426247834701</v>
      </c>
      <c r="F2">
        <v>0.553927036865275</v>
      </c>
      <c r="G2">
        <v>-92.681095726211012</v>
      </c>
      <c r="H2">
        <v>-54.44654592516963</v>
      </c>
      <c r="I2">
        <v>37.117892916052703</v>
      </c>
      <c r="J2">
        <v>16.512718054317801</v>
      </c>
      <c r="K2">
        <v>7.7213104617309396</v>
      </c>
      <c r="L2">
        <v>1.1994105535029585E-3</v>
      </c>
      <c r="M2">
        <v>1.9425669200678954E-4</v>
      </c>
      <c r="N2" s="1">
        <v>6.01657991943369E-6</v>
      </c>
      <c r="O2" s="1">
        <v>1.2203206804037701E-6</v>
      </c>
      <c r="P2" s="1">
        <v>-4.52869864708366E-6</v>
      </c>
    </row>
    <row r="3" spans="1:16" x14ac:dyDescent="0.2">
      <c r="A3">
        <v>2</v>
      </c>
      <c r="B3">
        <v>756</v>
      </c>
      <c r="C3">
        <v>275</v>
      </c>
      <c r="D3">
        <v>0.30190011174270298</v>
      </c>
      <c r="E3">
        <v>4.2926007841707996</v>
      </c>
      <c r="F3">
        <v>0.55597369222330195</v>
      </c>
      <c r="G3">
        <v>-92.907917557624742</v>
      </c>
      <c r="H3">
        <v>-54.682260498171104</v>
      </c>
      <c r="I3">
        <v>37.145319673951903</v>
      </c>
      <c r="J3">
        <v>16.542946117819</v>
      </c>
      <c r="K3">
        <v>7.7208703293225396</v>
      </c>
      <c r="L3">
        <v>1.1992337039708903E-3</v>
      </c>
      <c r="M3">
        <v>1.9376898420927531E-4</v>
      </c>
      <c r="N3" s="1">
        <v>6.0656115650349201E-6</v>
      </c>
      <c r="O3" s="1">
        <v>1.21663486233264E-6</v>
      </c>
      <c r="P3" s="1">
        <v>-4.5285798789201702E-6</v>
      </c>
    </row>
    <row r="4" spans="1:16" x14ac:dyDescent="0.2">
      <c r="A4">
        <v>3</v>
      </c>
      <c r="B4">
        <v>755</v>
      </c>
      <c r="C4">
        <v>275</v>
      </c>
      <c r="D4">
        <v>0.30115304187132302</v>
      </c>
      <c r="E4">
        <v>4.5157413663639101</v>
      </c>
      <c r="F4">
        <v>0.57769307548230098</v>
      </c>
      <c r="G4">
        <v>-96.575110617264457</v>
      </c>
      <c r="H4">
        <v>-57.866160257544458</v>
      </c>
      <c r="I4">
        <v>37.651515989139099</v>
      </c>
      <c r="J4">
        <v>16.8421519171408</v>
      </c>
      <c r="K4">
        <v>7.81685216253255</v>
      </c>
      <c r="L4">
        <v>1.1871722270247517E-3</v>
      </c>
      <c r="M4">
        <v>1.9137858540716615E-4</v>
      </c>
      <c r="N4" s="1">
        <v>6.1297765553517803E-6</v>
      </c>
      <c r="O4" s="1">
        <v>1.2159266156424101E-6</v>
      </c>
      <c r="P4" s="1">
        <v>-4.5395447966086802E-6</v>
      </c>
    </row>
    <row r="5" spans="1:16" x14ac:dyDescent="0.2">
      <c r="A5">
        <v>4</v>
      </c>
      <c r="B5">
        <v>754</v>
      </c>
      <c r="C5">
        <v>275</v>
      </c>
      <c r="D5">
        <v>0.30040451735384299</v>
      </c>
      <c r="E5">
        <v>4.7377696157115103</v>
      </c>
      <c r="F5">
        <v>0.59878919752391002</v>
      </c>
      <c r="G5">
        <v>-100.22276604821137</v>
      </c>
      <c r="H5">
        <v>-61.034874374250947</v>
      </c>
      <c r="I5">
        <v>38.154460944876</v>
      </c>
      <c r="J5">
        <v>17.1398449884489</v>
      </c>
      <c r="K5">
        <v>7.9122496452891102</v>
      </c>
      <c r="L5">
        <v>1.1754604784346057E-3</v>
      </c>
      <c r="M5">
        <v>1.8905392378507123E-4</v>
      </c>
      <c r="N5" s="1">
        <v>6.1941612037877702E-6</v>
      </c>
      <c r="O5" s="1">
        <v>1.2151719956769199E-6</v>
      </c>
      <c r="P5" s="1">
        <v>-4.5503702207826801E-6</v>
      </c>
    </row>
    <row r="6" spans="1:16" x14ac:dyDescent="0.2">
      <c r="A6">
        <v>5</v>
      </c>
      <c r="B6">
        <v>753</v>
      </c>
      <c r="C6">
        <v>275</v>
      </c>
      <c r="D6">
        <v>0.29965453393753799</v>
      </c>
      <c r="E6">
        <v>4.9586945828804403</v>
      </c>
      <c r="F6">
        <v>0.61928970373380499</v>
      </c>
      <c r="G6">
        <v>-103.85104327783074</v>
      </c>
      <c r="H6">
        <v>-64.188526751891814</v>
      </c>
      <c r="I6">
        <v>38.654179654463697</v>
      </c>
      <c r="J6">
        <v>17.436036971836</v>
      </c>
      <c r="K6">
        <v>8.0070676986612295</v>
      </c>
      <c r="L6">
        <v>1.1640828144611089E-3</v>
      </c>
      <c r="M6">
        <v>1.8679208824317866E-4</v>
      </c>
      <c r="N6" s="1">
        <v>6.2587624377430098E-6</v>
      </c>
      <c r="O6" s="1">
        <v>1.2143714360027E-6</v>
      </c>
      <c r="P6" s="1">
        <v>-4.5610562559606197E-6</v>
      </c>
    </row>
    <row r="7" spans="1:16" x14ac:dyDescent="0.2">
      <c r="A7">
        <v>6</v>
      </c>
      <c r="B7">
        <v>752</v>
      </c>
      <c r="C7">
        <v>275</v>
      </c>
      <c r="D7">
        <v>0.29890308735307097</v>
      </c>
      <c r="E7">
        <v>5.1785252207927304</v>
      </c>
      <c r="F7">
        <v>0.63922062716375205</v>
      </c>
      <c r="G7">
        <v>-107.46010001370382</v>
      </c>
      <c r="H7">
        <v>-67.32723995511266</v>
      </c>
      <c r="I7">
        <v>39.150696957702998</v>
      </c>
      <c r="J7">
        <v>17.7307393757604</v>
      </c>
      <c r="K7">
        <v>8.1013111916773592</v>
      </c>
      <c r="L7">
        <v>1.1530245035239943E-3</v>
      </c>
      <c r="M7">
        <v>1.8459033760547441E-4</v>
      </c>
      <c r="N7" s="1">
        <v>6.3235771598821397E-6</v>
      </c>
      <c r="O7" s="1">
        <v>1.21352536787031E-6</v>
      </c>
      <c r="P7" s="1">
        <v>-4.57160300580938E-6</v>
      </c>
    </row>
    <row r="8" spans="1:16" x14ac:dyDescent="0.2">
      <c r="A8">
        <v>7</v>
      </c>
      <c r="B8">
        <v>751</v>
      </c>
      <c r="C8">
        <v>275</v>
      </c>
      <c r="D8">
        <v>0.29815017331445698</v>
      </c>
      <c r="E8">
        <v>5.3972703859363698</v>
      </c>
      <c r="F8">
        <v>0.65860650435527301</v>
      </c>
      <c r="G8">
        <v>-111.05009226685445</v>
      </c>
      <c r="H8">
        <v>-70.451135227502732</v>
      </c>
      <c r="I8">
        <v>39.644037424760903</v>
      </c>
      <c r="J8">
        <v>18.023963578889699</v>
      </c>
      <c r="K8">
        <v>8.1949849420632308</v>
      </c>
      <c r="L8">
        <v>1.1422716606851377E-3</v>
      </c>
      <c r="M8">
        <v>1.8244608841336331E-4</v>
      </c>
      <c r="N8" s="1">
        <v>6.3886022484176904E-6</v>
      </c>
      <c r="O8" s="1">
        <v>1.2126342202639099E-6</v>
      </c>
      <c r="P8" s="1">
        <v>-4.5820105733309396E-6</v>
      </c>
    </row>
    <row r="9" spans="1:16" x14ac:dyDescent="0.2">
      <c r="A9">
        <v>8</v>
      </c>
      <c r="B9">
        <v>750</v>
      </c>
      <c r="C9">
        <v>275</v>
      </c>
      <c r="D9">
        <v>0.29739578751893703</v>
      </c>
      <c r="E9">
        <v>5.6149388390367001</v>
      </c>
      <c r="F9">
        <v>0.67747048127668796</v>
      </c>
      <c r="G9">
        <v>-114.62117436397229</v>
      </c>
      <c r="H9">
        <v>-73.560332500536958</v>
      </c>
      <c r="I9">
        <v>40.134225358060199</v>
      </c>
      <c r="J9">
        <v>18.315720830919702</v>
      </c>
      <c r="K9">
        <v>8.2880937165784498</v>
      </c>
      <c r="L9">
        <v>1.1318111877260666E-3</v>
      </c>
      <c r="M9">
        <v>1.8035690376080275E-4</v>
      </c>
      <c r="N9" s="1">
        <v>6.45383455724078E-6</v>
      </c>
      <c r="O9" s="1">
        <v>1.2116984199201701E-6</v>
      </c>
      <c r="P9" s="1">
        <v>-4.5922790609353199E-6</v>
      </c>
    </row>
    <row r="10" spans="1:16" x14ac:dyDescent="0.2">
      <c r="A10">
        <v>9</v>
      </c>
      <c r="B10">
        <v>749</v>
      </c>
      <c r="C10">
        <v>275</v>
      </c>
      <c r="D10">
        <v>0.29663992564692099</v>
      </c>
      <c r="E10">
        <v>5.8315392464742697</v>
      </c>
      <c r="F10">
        <v>0.69583441043621297</v>
      </c>
      <c r="G10">
        <v>-118.17349897254914</v>
      </c>
      <c r="H10">
        <v>-76.654950412963956</v>
      </c>
      <c r="I10">
        <v>40.621284796593599</v>
      </c>
      <c r="J10">
        <v>18.606022254646</v>
      </c>
      <c r="K10">
        <v>8.3806422318472595</v>
      </c>
      <c r="L10">
        <v>1.1216307182145416E-3</v>
      </c>
      <c r="M10">
        <v>1.7832048305984973E-4</v>
      </c>
      <c r="N10" s="1">
        <v>6.5192709162841799E-6</v>
      </c>
      <c r="O10" s="1">
        <v>1.21071839138732E-6</v>
      </c>
      <c r="P10" s="1">
        <v>-4.6024085706675803E-6</v>
      </c>
    </row>
    <row r="11" spans="1:16" x14ac:dyDescent="0.2">
      <c r="A11">
        <v>10</v>
      </c>
      <c r="B11">
        <v>748</v>
      </c>
      <c r="C11">
        <v>275</v>
      </c>
      <c r="D11">
        <v>0.29588258336189799</v>
      </c>
      <c r="E11">
        <v>6.0470801824539597</v>
      </c>
      <c r="F11">
        <v>0.71371894004773895</v>
      </c>
      <c r="G11">
        <v>-121.70721713754814</v>
      </c>
      <c r="H11">
        <v>-79.735106341141432</v>
      </c>
      <c r="I11">
        <v>41.105239520836001</v>
      </c>
      <c r="J11">
        <v>18.894878848561</v>
      </c>
      <c r="K11">
        <v>8.4726351553028394</v>
      </c>
      <c r="L11">
        <v>1.1117185670636181E-3</v>
      </c>
      <c r="M11">
        <v>1.7633465264452124E-4</v>
      </c>
      <c r="N11" s="1">
        <v>6.5849081316919397E-6</v>
      </c>
      <c r="O11" s="1">
        <v>1.20969455704728E-6</v>
      </c>
      <c r="P11" s="1">
        <v>-4.6123992042966904E-6</v>
      </c>
    </row>
    <row r="12" spans="1:16" x14ac:dyDescent="0.2">
      <c r="A12">
        <v>11</v>
      </c>
      <c r="B12">
        <v>747</v>
      </c>
      <c r="C12">
        <v>275</v>
      </c>
      <c r="D12">
        <v>0.29512375631034898</v>
      </c>
      <c r="E12">
        <v>6.2615701283182599</v>
      </c>
      <c r="F12">
        <v>0.73114359567999998</v>
      </c>
      <c r="G12">
        <v>-125.22247827195001</v>
      </c>
      <c r="H12">
        <v>-82.800916388452919</v>
      </c>
      <c r="I12">
        <v>41.586113052585098</v>
      </c>
      <c r="J12">
        <v>19.182301486350301</v>
      </c>
      <c r="K12">
        <v>8.5640771051200808</v>
      </c>
      <c r="L12">
        <v>1.1020636843527077E-3</v>
      </c>
      <c r="M12">
        <v>1.7439735716431832E-4</v>
      </c>
      <c r="N12" s="1">
        <v>6.6507429861179099E-6</v>
      </c>
      <c r="O12" s="1">
        <v>1.2086273371591599E-6</v>
      </c>
      <c r="P12" s="1">
        <v>-4.6222510634876502E-6</v>
      </c>
    </row>
    <row r="13" spans="1:16" x14ac:dyDescent="0.2">
      <c r="A13">
        <v>12</v>
      </c>
      <c r="B13">
        <v>746</v>
      </c>
      <c r="C13">
        <v>275</v>
      </c>
      <c r="D13">
        <v>0.29436344012167098</v>
      </c>
      <c r="E13">
        <v>6.47501747675076</v>
      </c>
      <c r="F13">
        <v>0.74812685573622895</v>
      </c>
      <c r="G13">
        <v>-128.71943022732805</v>
      </c>
      <c r="H13">
        <v>-85.852495444498302</v>
      </c>
      <c r="I13">
        <v>42.0639286648629</v>
      </c>
      <c r="J13">
        <v>19.468300922261701</v>
      </c>
      <c r="K13">
        <v>8.6549726521696808</v>
      </c>
      <c r="L13">
        <v>1.0926556126219411E-3</v>
      </c>
      <c r="M13">
        <v>1.7250665163194727E-4</v>
      </c>
      <c r="N13" s="1">
        <v>6.7167722391559502E-6</v>
      </c>
      <c r="O13" s="1">
        <v>1.20751714992261E-6</v>
      </c>
      <c r="P13" s="1">
        <v>-4.6319642500523801E-6</v>
      </c>
    </row>
    <row r="14" spans="1:16" x14ac:dyDescent="0.2">
      <c r="A14">
        <v>13</v>
      </c>
      <c r="B14">
        <v>745</v>
      </c>
      <c r="C14">
        <v>275</v>
      </c>
      <c r="D14">
        <v>0.29360163040809401</v>
      </c>
      <c r="E14">
        <v>6.6874305298695296</v>
      </c>
      <c r="F14">
        <v>0.76468622048013202</v>
      </c>
      <c r="G14">
        <v>-132.19821926334171</v>
      </c>
      <c r="H14">
        <v>-88.889957157429762</v>
      </c>
      <c r="I14">
        <v>42.5387093779023</v>
      </c>
      <c r="J14">
        <v>19.752887788603001</v>
      </c>
      <c r="K14">
        <v>8.7453263191673702</v>
      </c>
      <c r="L14">
        <v>1.0834844478368245E-3</v>
      </c>
      <c r="M14">
        <v>1.7066069414641423E-4</v>
      </c>
      <c r="N14" s="1">
        <v>6.7829926273230496E-6</v>
      </c>
      <c r="O14" s="1">
        <v>1.2063644114599899E-6</v>
      </c>
      <c r="P14" s="1">
        <v>-4.6415388658917802E-6</v>
      </c>
    </row>
    <row r="15" spans="1:16" x14ac:dyDescent="0.2">
      <c r="A15">
        <v>14</v>
      </c>
      <c r="B15">
        <v>744</v>
      </c>
      <c r="C15">
        <v>275</v>
      </c>
      <c r="D15">
        <v>0.29283832276459099</v>
      </c>
      <c r="E15">
        <v>6.8988175017336202</v>
      </c>
      <c r="F15">
        <v>0.78083827597831301</v>
      </c>
      <c r="G15">
        <v>-135.65899009070131</v>
      </c>
      <c r="H15">
        <v>-91.913413968890765</v>
      </c>
      <c r="I15">
        <v>43.0104779657946</v>
      </c>
      <c r="J15">
        <v>20.0360725991771</v>
      </c>
      <c r="K15">
        <v>8.8351425819771396</v>
      </c>
      <c r="L15">
        <v>1.0745408032147208E-3</v>
      </c>
      <c r="M15">
        <v>1.6885773915522245E-4</v>
      </c>
      <c r="N15" s="1">
        <v>6.8494008645193597E-6</v>
      </c>
      <c r="O15" s="1">
        <v>1.2051695358821099E-6</v>
      </c>
      <c r="P15" s="1">
        <v>-4.6509750132586499E-6</v>
      </c>
    </row>
    <row r="16" spans="1:16" x14ac:dyDescent="0.2">
      <c r="A16">
        <v>15</v>
      </c>
      <c r="B16">
        <v>743</v>
      </c>
      <c r="C16">
        <v>275</v>
      </c>
      <c r="D16">
        <v>0.29207351276878402</v>
      </c>
      <c r="E16">
        <v>7.1091865202202396</v>
      </c>
      <c r="F16">
        <v>0.79659875305135996</v>
      </c>
      <c r="G16">
        <v>-139.1018859036071</v>
      </c>
      <c r="H16">
        <v>-94.922977140051543</v>
      </c>
      <c r="I16">
        <v>43.479256961580703</v>
      </c>
      <c r="J16">
        <v>20.317865751859099</v>
      </c>
      <c r="K16">
        <v>8.9244258706012207</v>
      </c>
      <c r="L16">
        <v>1.0658157758763821E-3</v>
      </c>
      <c r="M16">
        <v>1.670961312420412E-4</v>
      </c>
      <c r="N16" s="1">
        <v>6.91599364242729E-6</v>
      </c>
      <c r="O16" s="1">
        <v>1.2039329353393999E-6</v>
      </c>
      <c r="P16" s="1">
        <v>-4.6602727949688696E-6</v>
      </c>
    </row>
    <row r="17" spans="1:16" x14ac:dyDescent="0.2">
      <c r="A17">
        <v>16</v>
      </c>
      <c r="B17">
        <v>742</v>
      </c>
      <c r="C17">
        <v>275</v>
      </c>
      <c r="D17">
        <v>0.291307195980888</v>
      </c>
      <c r="E17">
        <v>7.3185456268308604</v>
      </c>
      <c r="F17">
        <v>0.81198258160021997</v>
      </c>
      <c r="G17">
        <v>-142.52704837702856</v>
      </c>
      <c r="H17">
        <v>-97.91875674845852</v>
      </c>
      <c r="I17">
        <v>43.945068656487102</v>
      </c>
      <c r="J17">
        <v>20.598277528045301</v>
      </c>
      <c r="K17">
        <v>9.0131805689819</v>
      </c>
      <c r="L17">
        <v>1.0573009161197124E-3</v>
      </c>
      <c r="M17">
        <v>1.6537429940048464E-4</v>
      </c>
      <c r="N17" s="1">
        <v>6.98276763049865E-6</v>
      </c>
      <c r="O17" s="1">
        <v>1.20265501999996E-6</v>
      </c>
      <c r="P17" s="1">
        <v>-4.6694323143310398E-6</v>
      </c>
    </row>
    <row r="18" spans="1:16" x14ac:dyDescent="0.2">
      <c r="A18">
        <v>17</v>
      </c>
      <c r="B18">
        <v>741</v>
      </c>
      <c r="C18">
        <v>275</v>
      </c>
      <c r="D18">
        <v>0.29053936794360102</v>
      </c>
      <c r="E18">
        <v>8.7833554940907206</v>
      </c>
      <c r="F18">
        <v>0.90326400780552596</v>
      </c>
      <c r="G18">
        <v>-166.8294134532145</v>
      </c>
      <c r="H18">
        <v>-118.55039667186703</v>
      </c>
      <c r="I18">
        <v>47.607971216964799</v>
      </c>
      <c r="J18">
        <v>22.650239924796701</v>
      </c>
      <c r="K18">
        <v>9.7240180259477196</v>
      </c>
      <c r="L18">
        <v>1.0042578751617028E-3</v>
      </c>
      <c r="M18">
        <v>1.5663244521859973E-4</v>
      </c>
      <c r="N18" s="1">
        <v>7.1864029267965703E-6</v>
      </c>
      <c r="O18" s="1">
        <v>1.2276250266336201E-6</v>
      </c>
      <c r="P18" s="1">
        <v>-4.7807645356139301E-6</v>
      </c>
    </row>
    <row r="19" spans="1:16" x14ac:dyDescent="0.2">
      <c r="A19">
        <v>18</v>
      </c>
      <c r="B19">
        <v>740</v>
      </c>
      <c r="C19">
        <v>275</v>
      </c>
      <c r="D19">
        <v>0.28977002418201098</v>
      </c>
      <c r="E19">
        <v>10.4221981226517</v>
      </c>
      <c r="F19">
        <v>0.99063063743194502</v>
      </c>
      <c r="G19">
        <v>-194.01056288271138</v>
      </c>
      <c r="H19">
        <v>-141.62212663737148</v>
      </c>
      <c r="I19">
        <v>51.711112457758503</v>
      </c>
      <c r="J19">
        <v>24.949570623857198</v>
      </c>
      <c r="K19">
        <v>10.520771041030599</v>
      </c>
      <c r="L19">
        <v>9.5345199638167586E-4</v>
      </c>
      <c r="M19">
        <v>1.4827820694656484E-4</v>
      </c>
      <c r="N19" s="1">
        <v>7.4099896588009202E-6</v>
      </c>
      <c r="O19" s="1">
        <v>1.2559914218604E-6</v>
      </c>
      <c r="P19" s="1">
        <v>-4.9059912866207702E-6</v>
      </c>
    </row>
    <row r="20" spans="1:16" x14ac:dyDescent="0.2">
      <c r="A20">
        <v>19</v>
      </c>
      <c r="B20">
        <v>739</v>
      </c>
      <c r="C20">
        <v>275</v>
      </c>
      <c r="D20">
        <v>0.28899916020352701</v>
      </c>
      <c r="E20">
        <v>66.143117720327396</v>
      </c>
      <c r="F20">
        <v>1.78517970063645</v>
      </c>
      <c r="G20">
        <v>-1099.3682557848606</v>
      </c>
      <c r="H20">
        <v>-910.11661478542078</v>
      </c>
      <c r="I20">
        <v>186.98445407948401</v>
      </c>
      <c r="J20">
        <v>100.318933433311</v>
      </c>
      <c r="K20">
        <v>37.051237865154903</v>
      </c>
      <c r="L20">
        <v>4.8264721644357926E-4</v>
      </c>
      <c r="M20">
        <v>7.408537690165994E-5</v>
      </c>
      <c r="N20" s="1">
        <v>1.2549231286499099E-5</v>
      </c>
      <c r="O20" s="1">
        <v>2.1847613803849099E-6</v>
      </c>
      <c r="P20" s="1">
        <v>-8.5575969002967997E-6</v>
      </c>
    </row>
    <row r="21" spans="1:16" x14ac:dyDescent="0.2">
      <c r="A21">
        <v>20</v>
      </c>
      <c r="B21">
        <v>738</v>
      </c>
      <c r="C21">
        <v>275</v>
      </c>
      <c r="D21">
        <v>0.28822677149780002</v>
      </c>
      <c r="E21">
        <v>86.220582719366007</v>
      </c>
      <c r="F21">
        <v>1.8505557363742</v>
      </c>
      <c r="G21">
        <v>-1425.4494701387027</v>
      </c>
      <c r="H21">
        <v>-1187.2274916255556</v>
      </c>
      <c r="I21">
        <v>235.600425670389</v>
      </c>
      <c r="J21">
        <v>127.506304903996</v>
      </c>
      <c r="K21">
        <v>46.591724326173598</v>
      </c>
      <c r="L21">
        <v>4.4415840408935556E-4</v>
      </c>
      <c r="M21">
        <v>6.7883154191510404E-5</v>
      </c>
      <c r="N21" s="1">
        <v>1.4454867439013799E-5</v>
      </c>
      <c r="O21" s="1">
        <v>2.51088345569358E-6</v>
      </c>
      <c r="P21" s="1">
        <v>-9.8643521484537001E-6</v>
      </c>
    </row>
    <row r="22" spans="1:16" x14ac:dyDescent="0.2">
      <c r="A22">
        <v>21</v>
      </c>
      <c r="B22">
        <v>737</v>
      </c>
      <c r="C22">
        <v>275</v>
      </c>
      <c r="D22">
        <v>0.28745285353660599</v>
      </c>
      <c r="E22">
        <v>92.354640861347605</v>
      </c>
      <c r="F22">
        <v>1.8661484688018199</v>
      </c>
      <c r="G22">
        <v>-1524.8849226505033</v>
      </c>
      <c r="H22">
        <v>-1272.0065368891117</v>
      </c>
      <c r="I22">
        <v>250.343014873306</v>
      </c>
      <c r="J22">
        <v>135.837848337259</v>
      </c>
      <c r="K22">
        <v>49.489439026598099</v>
      </c>
      <c r="L22">
        <v>4.352455805819302E-4</v>
      </c>
      <c r="M22">
        <v>6.6328004301789155E-5</v>
      </c>
      <c r="N22" s="1">
        <v>1.5093780520716199E-5</v>
      </c>
      <c r="O22" s="1">
        <v>2.6030373985992401E-6</v>
      </c>
      <c r="P22" s="1">
        <v>-1.02572663845565E-5</v>
      </c>
    </row>
    <row r="23" spans="1:16" x14ac:dyDescent="0.2">
      <c r="A23">
        <v>22</v>
      </c>
      <c r="B23">
        <v>736</v>
      </c>
      <c r="C23">
        <v>275</v>
      </c>
      <c r="D23">
        <v>0.28667740177377199</v>
      </c>
      <c r="E23">
        <v>95.564175070373295</v>
      </c>
      <c r="F23">
        <v>1.8740738448163099</v>
      </c>
      <c r="G23">
        <v>-1576.781161577617</v>
      </c>
      <c r="H23">
        <v>-1316.4525530648361</v>
      </c>
      <c r="I23">
        <v>257.97387220346002</v>
      </c>
      <c r="J23">
        <v>140.21380473262599</v>
      </c>
      <c r="K23">
        <v>50.9927478763463</v>
      </c>
      <c r="L23">
        <v>4.3089912015641682E-4</v>
      </c>
      <c r="M23">
        <v>6.5490740840834518E-5</v>
      </c>
      <c r="N23" s="1">
        <v>1.54660695382935E-5</v>
      </c>
      <c r="O23" s="1">
        <v>2.6459416442752999E-6</v>
      </c>
      <c r="P23" s="1">
        <v>-1.0457884255529399E-5</v>
      </c>
    </row>
    <row r="24" spans="1:16" x14ac:dyDescent="0.2">
      <c r="A24">
        <v>23</v>
      </c>
      <c r="B24">
        <v>735</v>
      </c>
      <c r="C24">
        <v>275</v>
      </c>
      <c r="D24">
        <v>0.285900411645091</v>
      </c>
      <c r="E24">
        <v>97.510162418694094</v>
      </c>
      <c r="F24">
        <v>1.8789998225117299</v>
      </c>
      <c r="G24">
        <v>-1608.1316022809101</v>
      </c>
      <c r="H24">
        <v>-1343.4595238806189</v>
      </c>
      <c r="I24">
        <v>262.53818577102697</v>
      </c>
      <c r="J24">
        <v>142.88325351744101</v>
      </c>
      <c r="K24">
        <v>51.894716141243698</v>
      </c>
      <c r="L24">
        <v>4.2833162220185054E-4</v>
      </c>
      <c r="M24">
        <v>6.4933423674191836E-5</v>
      </c>
      <c r="N24" s="1">
        <v>1.57233616179727E-5</v>
      </c>
      <c r="O24" s="1">
        <v>2.6677525476476101E-6</v>
      </c>
      <c r="P24" s="1">
        <v>-1.0576039490931801E-5</v>
      </c>
    </row>
    <row r="25" spans="1:16" x14ac:dyDescent="0.2">
      <c r="A25">
        <v>24</v>
      </c>
      <c r="B25">
        <v>734</v>
      </c>
      <c r="C25">
        <v>275</v>
      </c>
      <c r="D25">
        <v>0.28512187856823701</v>
      </c>
      <c r="E25">
        <v>98.853280315981493</v>
      </c>
      <c r="F25">
        <v>1.8825735187207999</v>
      </c>
      <c r="G25">
        <v>-1629.6797451703153</v>
      </c>
      <c r="H25">
        <v>-1362.1478198409561</v>
      </c>
      <c r="I25">
        <v>265.63845147676</v>
      </c>
      <c r="J25">
        <v>144.73901041819099</v>
      </c>
      <c r="K25">
        <v>52.509651991254799</v>
      </c>
      <c r="L25">
        <v>4.2656609018146464E-4</v>
      </c>
      <c r="M25">
        <v>6.4502519106341015E-5</v>
      </c>
      <c r="N25" s="1">
        <v>1.59252075651678E-5</v>
      </c>
      <c r="O25" s="1">
        <v>2.6794727011039499E-6</v>
      </c>
      <c r="P25" s="1">
        <v>-1.06547157657856E-5</v>
      </c>
    </row>
    <row r="26" spans="1:16" x14ac:dyDescent="0.2">
      <c r="A26">
        <v>25</v>
      </c>
      <c r="B26">
        <v>757</v>
      </c>
      <c r="C26">
        <v>250</v>
      </c>
      <c r="D26">
        <v>0.32934087268844398</v>
      </c>
      <c r="E26">
        <v>4.6721348631726496</v>
      </c>
      <c r="F26">
        <v>0.52549226320365605</v>
      </c>
      <c r="G26">
        <v>-101.45888401170961</v>
      </c>
      <c r="H26">
        <v>-59.414604159934186</v>
      </c>
      <c r="I26">
        <v>40.816340857395602</v>
      </c>
      <c r="J26">
        <v>18.213985687123699</v>
      </c>
      <c r="K26">
        <v>8.89096793678568</v>
      </c>
      <c r="L26">
        <v>1.2950816462789501E-3</v>
      </c>
      <c r="M26">
        <v>2.2896420068120723E-4</v>
      </c>
      <c r="N26" s="1">
        <v>7.0445488049612203E-6</v>
      </c>
      <c r="O26" s="1">
        <v>1.8868459268785699E-6</v>
      </c>
      <c r="P26" s="1">
        <v>-6.3112471463321499E-6</v>
      </c>
    </row>
    <row r="27" spans="1:16" x14ac:dyDescent="0.2">
      <c r="A27">
        <v>26</v>
      </c>
      <c r="B27">
        <v>756</v>
      </c>
      <c r="C27">
        <v>250</v>
      </c>
      <c r="D27">
        <v>0.32862119224602798</v>
      </c>
      <c r="E27">
        <v>4.6888283768374004</v>
      </c>
      <c r="F27">
        <v>0.52748573380326003</v>
      </c>
      <c r="G27">
        <v>-101.70112928864042</v>
      </c>
      <c r="H27">
        <v>-59.668243890078521</v>
      </c>
      <c r="I27">
        <v>40.844930493587498</v>
      </c>
      <c r="J27">
        <v>18.247777042351899</v>
      </c>
      <c r="K27">
        <v>8.8890145768117002</v>
      </c>
      <c r="L27">
        <v>1.2951201977979053E-3</v>
      </c>
      <c r="M27">
        <v>2.2840242847967641E-4</v>
      </c>
      <c r="N27" s="1">
        <v>7.1150831821426201E-6</v>
      </c>
      <c r="O27" s="1">
        <v>1.8812383740021601E-6</v>
      </c>
      <c r="P27" s="1">
        <v>-6.3126327887727798E-6</v>
      </c>
    </row>
    <row r="28" spans="1:16" x14ac:dyDescent="0.2">
      <c r="A28">
        <v>27</v>
      </c>
      <c r="B28">
        <v>755</v>
      </c>
      <c r="C28">
        <v>250</v>
      </c>
      <c r="D28">
        <v>0.32790011185138401</v>
      </c>
      <c r="E28">
        <v>4.9052105310002601</v>
      </c>
      <c r="F28">
        <v>0.54622590498023105</v>
      </c>
      <c r="G28">
        <v>-105.25296682540034</v>
      </c>
      <c r="H28">
        <v>-62.760357014726054</v>
      </c>
      <c r="I28">
        <v>41.331801118598001</v>
      </c>
      <c r="J28">
        <v>18.539544599229199</v>
      </c>
      <c r="K28">
        <v>8.98018656068278</v>
      </c>
      <c r="L28">
        <v>1.2843799133366366E-3</v>
      </c>
      <c r="M28">
        <v>2.2595552065398839E-4</v>
      </c>
      <c r="N28" s="1">
        <v>7.2007232681702702E-6</v>
      </c>
      <c r="O28" s="1">
        <v>1.87951146444523E-6</v>
      </c>
      <c r="P28" s="1">
        <v>-6.3270414247510498E-6</v>
      </c>
    </row>
    <row r="29" spans="1:16" x14ac:dyDescent="0.2">
      <c r="A29">
        <v>28</v>
      </c>
      <c r="B29">
        <v>754</v>
      </c>
      <c r="C29">
        <v>250</v>
      </c>
      <c r="D29">
        <v>0.32717762741566497</v>
      </c>
      <c r="E29">
        <v>5.12053929119873</v>
      </c>
      <c r="F29">
        <v>0.56450794388480396</v>
      </c>
      <c r="G29">
        <v>-108.78629946412667</v>
      </c>
      <c r="H29">
        <v>-65.838086719591971</v>
      </c>
      <c r="I29">
        <v>41.815607174298499</v>
      </c>
      <c r="J29">
        <v>18.8298937054603</v>
      </c>
      <c r="K29">
        <v>9.0708011227626706</v>
      </c>
      <c r="L29">
        <v>1.2739055943433916E-3</v>
      </c>
      <c r="M29">
        <v>2.2356521838922557E-4</v>
      </c>
      <c r="N29" s="1">
        <v>7.2867371286574103E-6</v>
      </c>
      <c r="O29" s="1">
        <v>1.87772089441276E-6</v>
      </c>
      <c r="P29" s="1">
        <v>-6.3412781777981097E-6</v>
      </c>
    </row>
    <row r="30" spans="1:16" x14ac:dyDescent="0.2">
      <c r="A30">
        <v>29</v>
      </c>
      <c r="B30">
        <v>753</v>
      </c>
      <c r="C30">
        <v>250</v>
      </c>
      <c r="D30">
        <v>0.32645373483409301</v>
      </c>
      <c r="E30">
        <v>5.3348229944903203</v>
      </c>
      <c r="F30">
        <v>0.58234939789652695</v>
      </c>
      <c r="G30">
        <v>-112.30127428209836</v>
      </c>
      <c r="H30">
        <v>-68.901547143990371</v>
      </c>
      <c r="I30">
        <v>42.296371800147099</v>
      </c>
      <c r="J30">
        <v>19.118834930058</v>
      </c>
      <c r="K30">
        <v>9.1608629007945108</v>
      </c>
      <c r="L30">
        <v>1.2636868983253804E-3</v>
      </c>
      <c r="M30">
        <v>2.2122935592070868E-4</v>
      </c>
      <c r="N30" s="1">
        <v>7.37312042659722E-6</v>
      </c>
      <c r="O30" s="1">
        <v>1.87586719063659E-6</v>
      </c>
      <c r="P30" s="1">
        <v>-6.3553427499244296E-6</v>
      </c>
    </row>
    <row r="31" spans="1:16" x14ac:dyDescent="0.2">
      <c r="A31">
        <v>30</v>
      </c>
      <c r="B31">
        <v>752</v>
      </c>
      <c r="C31">
        <v>250</v>
      </c>
      <c r="D31">
        <v>0.32572842998585799</v>
      </c>
      <c r="E31">
        <v>5.54806989126239</v>
      </c>
      <c r="F31">
        <v>0.59976692836287304</v>
      </c>
      <c r="G31">
        <v>-115.79803682997952</v>
      </c>
      <c r="H31">
        <v>-71.950851239963768</v>
      </c>
      <c r="I31">
        <v>42.774117894868198</v>
      </c>
      <c r="J31">
        <v>19.406378725804299</v>
      </c>
      <c r="K31">
        <v>9.2503764860900599</v>
      </c>
      <c r="L31">
        <v>1.2537140046514109E-3</v>
      </c>
      <c r="M31">
        <v>2.1894587702979011E-4</v>
      </c>
      <c r="N31" s="1">
        <v>7.45986877057205E-6</v>
      </c>
      <c r="O31" s="1">
        <v>1.87395087828544E-6</v>
      </c>
      <c r="P31" s="1">
        <v>-6.3692348433636798E-6</v>
      </c>
    </row>
    <row r="32" spans="1:16" x14ac:dyDescent="0.2">
      <c r="A32">
        <v>31</v>
      </c>
      <c r="B32">
        <v>751</v>
      </c>
      <c r="C32">
        <v>250</v>
      </c>
      <c r="D32">
        <v>0.32500170873407402</v>
      </c>
      <c r="E32">
        <v>5.7602881418160097</v>
      </c>
      <c r="F32">
        <v>0.61677636545613101</v>
      </c>
      <c r="G32">
        <v>-119.27673107589011</v>
      </c>
      <c r="H32">
        <v>-74.986110723267231</v>
      </c>
      <c r="I32">
        <v>43.248868108526402</v>
      </c>
      <c r="J32">
        <v>19.692535424636301</v>
      </c>
      <c r="K32">
        <v>9.3393464218688695</v>
      </c>
      <c r="L32">
        <v>1.2439775822740051E-3</v>
      </c>
      <c r="M32">
        <v>2.167128282584644E-4</v>
      </c>
      <c r="N32" s="1">
        <v>7.5469777145777503E-6</v>
      </c>
      <c r="O32" s="1">
        <v>1.8719724808918001E-6</v>
      </c>
      <c r="P32" s="1">
        <v>-6.38295416039888E-6</v>
      </c>
    </row>
    <row r="33" spans="1:16" x14ac:dyDescent="0.2">
      <c r="A33">
        <v>32</v>
      </c>
      <c r="B33">
        <v>750</v>
      </c>
      <c r="C33">
        <v>250</v>
      </c>
      <c r="D33">
        <v>0.324273566925672</v>
      </c>
      <c r="E33">
        <v>5.9714858218420099</v>
      </c>
      <c r="F33">
        <v>0.63339275964483199</v>
      </c>
      <c r="G33">
        <v>-122.7374994978211</v>
      </c>
      <c r="H33">
        <v>-78.007436150484665</v>
      </c>
      <c r="I33">
        <v>43.720644856264599</v>
      </c>
      <c r="J33">
        <v>19.977315245047699</v>
      </c>
      <c r="K33">
        <v>9.4277772060268799</v>
      </c>
      <c r="L33">
        <v>1.2344687594064796E-3</v>
      </c>
      <c r="M33">
        <v>2.1452835255035671E-4</v>
      </c>
      <c r="N33" s="1">
        <v>7.6344427588406993E-6</v>
      </c>
      <c r="O33" s="1">
        <v>1.8699325205259999E-6</v>
      </c>
      <c r="P33" s="1">
        <v>-6.3965004040295596E-6</v>
      </c>
    </row>
    <row r="34" spans="1:16" x14ac:dyDescent="0.2">
      <c r="A34">
        <v>33</v>
      </c>
      <c r="B34">
        <v>749</v>
      </c>
      <c r="C34">
        <v>250</v>
      </c>
      <c r="D34">
        <v>0.32354400039133302</v>
      </c>
      <c r="E34">
        <v>6.1816709211664502</v>
      </c>
      <c r="F34">
        <v>0.64963042891274603</v>
      </c>
      <c r="G34">
        <v>-126.18048306391593</v>
      </c>
      <c r="H34">
        <v>-81.014936900634865</v>
      </c>
      <c r="I34">
        <v>44.189470315858401</v>
      </c>
      <c r="J34">
        <v>20.2607282904874</v>
      </c>
      <c r="K34">
        <v>9.5156732906006205</v>
      </c>
      <c r="L34">
        <v>1.2251790957326049E-3</v>
      </c>
      <c r="M34">
        <v>2.1239068341135175E-4</v>
      </c>
      <c r="N34" s="1">
        <v>7.7222593499783895E-6</v>
      </c>
      <c r="O34" s="1">
        <v>1.8678315177942399E-6</v>
      </c>
      <c r="P34" s="1">
        <v>-6.4098732780472798E-6</v>
      </c>
    </row>
    <row r="35" spans="1:16" x14ac:dyDescent="0.2">
      <c r="A35">
        <v>34</v>
      </c>
      <c r="B35">
        <v>748</v>
      </c>
      <c r="C35">
        <v>250</v>
      </c>
      <c r="D35">
        <v>0.32281300494540499</v>
      </c>
      <c r="E35">
        <v>6.39085134494084</v>
      </c>
      <c r="F35">
        <v>0.66550300276521501</v>
      </c>
      <c r="G35">
        <v>-129.60582125299123</v>
      </c>
      <c r="H35">
        <v>-84.008721191620097</v>
      </c>
      <c r="I35">
        <v>44.655366430542301</v>
      </c>
      <c r="J35">
        <v>20.542784550790699</v>
      </c>
      <c r="K35">
        <v>9.6030390822977107</v>
      </c>
      <c r="L35">
        <v>1.2161005564971237E-3</v>
      </c>
      <c r="M35">
        <v>2.102981394697259E-4</v>
      </c>
      <c r="N35" s="1">
        <v>7.8104228812675007E-6</v>
      </c>
      <c r="O35" s="1">
        <v>1.8656699918648E-6</v>
      </c>
      <c r="P35" s="1">
        <v>-6.4230724872074801E-6</v>
      </c>
    </row>
    <row r="36" spans="1:16" x14ac:dyDescent="0.2">
      <c r="A36">
        <v>35</v>
      </c>
      <c r="B36">
        <v>747</v>
      </c>
      <c r="C36">
        <v>250</v>
      </c>
      <c r="D36">
        <v>0.32208057638582899</v>
      </c>
      <c r="E36">
        <v>6.7344500262744997</v>
      </c>
      <c r="F36">
        <v>0.69021003183035801</v>
      </c>
      <c r="G36">
        <v>-135.26613952153815</v>
      </c>
      <c r="H36">
        <v>-88.892677770424555</v>
      </c>
      <c r="I36">
        <v>45.460178557912499</v>
      </c>
      <c r="J36">
        <v>21.0126359157995</v>
      </c>
      <c r="K36">
        <v>9.7571024988082407</v>
      </c>
      <c r="L36">
        <v>1.2014724019197502E-3</v>
      </c>
      <c r="M36">
        <v>2.0724720602601212E-4</v>
      </c>
      <c r="N36" s="1">
        <v>7.9136519196738197E-6</v>
      </c>
      <c r="O36" s="1">
        <v>1.86727941226629E-6</v>
      </c>
      <c r="P36" s="1">
        <v>-6.4493232382031499E-6</v>
      </c>
    </row>
    <row r="37" spans="1:16" x14ac:dyDescent="0.2">
      <c r="A37">
        <v>36</v>
      </c>
      <c r="B37">
        <v>746</v>
      </c>
      <c r="C37">
        <v>250</v>
      </c>
      <c r="D37">
        <v>0.32134671049404001</v>
      </c>
      <c r="E37">
        <v>8.3529439018493292</v>
      </c>
      <c r="F37">
        <v>0.792209037066822</v>
      </c>
      <c r="G37">
        <v>-162.12454171064726</v>
      </c>
      <c r="H37">
        <v>-111.6982993034315</v>
      </c>
      <c r="I37">
        <v>49.481476484640602</v>
      </c>
      <c r="J37">
        <v>23.264205277247601</v>
      </c>
      <c r="K37">
        <v>10.5438634388422</v>
      </c>
      <c r="L37">
        <v>1.1383766551946925E-3</v>
      </c>
      <c r="M37">
        <v>1.9578698389957982E-4</v>
      </c>
      <c r="N37" s="1">
        <v>8.1569071314379892E-6</v>
      </c>
      <c r="O37" s="1">
        <v>1.90476591565659E-6</v>
      </c>
      <c r="P37" s="1">
        <v>-6.5999460118156701E-6</v>
      </c>
    </row>
    <row r="38" spans="1:16" x14ac:dyDescent="0.2">
      <c r="A38">
        <v>37</v>
      </c>
      <c r="B38">
        <v>745</v>
      </c>
      <c r="C38">
        <v>250</v>
      </c>
      <c r="D38">
        <v>0.32061140303491598</v>
      </c>
      <c r="E38">
        <v>9.9751427515783693</v>
      </c>
      <c r="F38">
        <v>0.88025674610152504</v>
      </c>
      <c r="G38">
        <v>-189.02910963988771</v>
      </c>
      <c r="H38">
        <v>-134.55174391585572</v>
      </c>
      <c r="I38">
        <v>53.509045967490103</v>
      </c>
      <c r="J38">
        <v>25.522621650543499</v>
      </c>
      <c r="K38">
        <v>11.3320832765624</v>
      </c>
      <c r="L38">
        <v>1.083928555133724E-3</v>
      </c>
      <c r="M38">
        <v>1.8587638414900673E-4</v>
      </c>
      <c r="N38" s="1">
        <v>8.40267444332951E-6</v>
      </c>
      <c r="O38" s="1">
        <v>1.9420187549668401E-6</v>
      </c>
      <c r="P38" s="1">
        <v>-6.7506724987980198E-6</v>
      </c>
    </row>
    <row r="39" spans="1:16" x14ac:dyDescent="0.2">
      <c r="A39">
        <v>38</v>
      </c>
      <c r="B39">
        <v>744</v>
      </c>
      <c r="C39">
        <v>250</v>
      </c>
      <c r="D39">
        <v>0.31987464975667701</v>
      </c>
      <c r="E39">
        <v>11.605461821049399</v>
      </c>
      <c r="F39">
        <v>0.95724112337916001</v>
      </c>
      <c r="G39">
        <v>-216.05186612705145</v>
      </c>
      <c r="H39">
        <v>-157.51427364192878</v>
      </c>
      <c r="I39">
        <v>57.553484991458198</v>
      </c>
      <c r="J39">
        <v>27.793856436791302</v>
      </c>
      <c r="K39">
        <v>12.1238646539557</v>
      </c>
      <c r="L39">
        <v>1.0363332946662482E-3</v>
      </c>
      <c r="M39">
        <v>1.7719468791454993E-4</v>
      </c>
      <c r="N39" s="1">
        <v>8.6512847356785292E-6</v>
      </c>
      <c r="O39" s="1">
        <v>1.9791326332859201E-6</v>
      </c>
      <c r="P39" s="1">
        <v>-6.9018298812978896E-6</v>
      </c>
    </row>
    <row r="40" spans="1:16" x14ac:dyDescent="0.2">
      <c r="A40">
        <v>39</v>
      </c>
      <c r="B40">
        <v>743</v>
      </c>
      <c r="C40">
        <v>250</v>
      </c>
      <c r="D40">
        <v>0.31913644639078897</v>
      </c>
      <c r="E40">
        <v>39.216443956090103</v>
      </c>
      <c r="F40">
        <v>1.5495984105565901</v>
      </c>
      <c r="G40">
        <v>-664.55885124172914</v>
      </c>
      <c r="H40">
        <v>-538.37013100900447</v>
      </c>
      <c r="I40">
        <v>124.186971502375</v>
      </c>
      <c r="J40">
        <v>64.910861563731402</v>
      </c>
      <c r="K40">
        <v>25.307488500845899</v>
      </c>
      <c r="L40">
        <v>6.6163144930469694E-4</v>
      </c>
      <c r="M40">
        <v>1.1219208856412537E-4</v>
      </c>
      <c r="N40" s="1">
        <v>1.1311665911345401E-5</v>
      </c>
      <c r="O40" s="1">
        <v>2.6010724696262698E-6</v>
      </c>
      <c r="P40" s="1">
        <v>-9.0991096986777306E-6</v>
      </c>
    </row>
    <row r="41" spans="1:16" x14ac:dyDescent="0.2">
      <c r="A41">
        <v>40</v>
      </c>
      <c r="B41">
        <v>742</v>
      </c>
      <c r="C41">
        <v>250</v>
      </c>
      <c r="D41">
        <v>0.318396788651924</v>
      </c>
      <c r="E41">
        <v>82.854377104851807</v>
      </c>
      <c r="F41">
        <v>1.7973318221074801</v>
      </c>
      <c r="G41">
        <v>-1373.4526298764702</v>
      </c>
      <c r="H41">
        <v>-1140.7632918341162</v>
      </c>
      <c r="I41">
        <v>229.22195844279599</v>
      </c>
      <c r="J41">
        <v>123.520755893464</v>
      </c>
      <c r="K41">
        <v>46.098542342448297</v>
      </c>
      <c r="L41">
        <v>5.0497574517449281E-4</v>
      </c>
      <c r="M41">
        <v>8.4976205879309729E-5</v>
      </c>
      <c r="N41" s="1">
        <v>1.5473974621126001E-5</v>
      </c>
      <c r="O41" s="1">
        <v>3.5707469987379499E-6</v>
      </c>
      <c r="P41" s="1">
        <v>-1.25304929699789E-5</v>
      </c>
    </row>
    <row r="42" spans="1:16" x14ac:dyDescent="0.2">
      <c r="A42">
        <v>41</v>
      </c>
      <c r="B42">
        <v>741</v>
      </c>
      <c r="C42">
        <v>250</v>
      </c>
      <c r="D42">
        <v>0.31765567223783697</v>
      </c>
      <c r="E42">
        <v>90.778849869254799</v>
      </c>
      <c r="F42">
        <v>1.8210092302187699</v>
      </c>
      <c r="G42">
        <v>-1501.963564832213</v>
      </c>
      <c r="H42">
        <v>-1250.2970155287753</v>
      </c>
      <c r="I42">
        <v>248.16067335584501</v>
      </c>
      <c r="J42">
        <v>134.18807021144201</v>
      </c>
      <c r="K42">
        <v>49.850845543681501</v>
      </c>
      <c r="L42">
        <v>4.9039143506422224E-4</v>
      </c>
      <c r="M42">
        <v>8.2261327701888443E-5</v>
      </c>
      <c r="N42" s="1">
        <v>1.6331811221334E-5</v>
      </c>
      <c r="O42" s="1">
        <v>3.7342538526912198E-6</v>
      </c>
      <c r="P42" s="1">
        <v>-1.31464613665435E-5</v>
      </c>
    </row>
    <row r="43" spans="1:16" x14ac:dyDescent="0.2">
      <c r="A43">
        <v>42</v>
      </c>
      <c r="B43">
        <v>740</v>
      </c>
      <c r="C43">
        <v>250</v>
      </c>
      <c r="D43">
        <v>0.31691309282929903</v>
      </c>
      <c r="E43">
        <v>94.476994707402696</v>
      </c>
      <c r="F43">
        <v>1.83141569670489</v>
      </c>
      <c r="G43">
        <v>-1561.7833312549819</v>
      </c>
      <c r="H43">
        <v>-1301.4982515833435</v>
      </c>
      <c r="I43">
        <v>256.91240225546102</v>
      </c>
      <c r="J43">
        <v>139.18502008794201</v>
      </c>
      <c r="K43">
        <v>51.5868652198333</v>
      </c>
      <c r="L43">
        <v>4.8423886822806112E-4</v>
      </c>
      <c r="M43">
        <v>8.1001269557069542E-5</v>
      </c>
      <c r="N43" s="1">
        <v>1.67995545484572E-5</v>
      </c>
      <c r="O43" s="1">
        <v>3.8024611036671198E-6</v>
      </c>
      <c r="P43" s="1">
        <v>-1.34297900700023E-5</v>
      </c>
    </row>
    <row r="44" spans="1:16" x14ac:dyDescent="0.2">
      <c r="A44">
        <v>43</v>
      </c>
      <c r="B44">
        <v>739</v>
      </c>
      <c r="C44">
        <v>250</v>
      </c>
      <c r="D44">
        <v>0.31616904609000601</v>
      </c>
      <c r="E44">
        <v>96.685930706209106</v>
      </c>
      <c r="F44">
        <v>1.8376972510348499</v>
      </c>
      <c r="G44">
        <v>-1597.3977159502274</v>
      </c>
      <c r="H44">
        <v>-1332.1443315760412</v>
      </c>
      <c r="I44">
        <v>262.07496752751399</v>
      </c>
      <c r="J44">
        <v>142.18503972896801</v>
      </c>
      <c r="K44">
        <v>52.6125457562514</v>
      </c>
      <c r="L44">
        <v>4.8070605815178587E-4</v>
      </c>
      <c r="M44">
        <v>8.0193607629656778E-5</v>
      </c>
      <c r="N44" s="1">
        <v>1.71296805208739E-5</v>
      </c>
      <c r="O44" s="1">
        <v>3.8371047337126099E-6</v>
      </c>
      <c r="P44" s="1">
        <v>-1.3595938269481E-5</v>
      </c>
    </row>
    <row r="45" spans="1:16" x14ac:dyDescent="0.2">
      <c r="A45">
        <v>44</v>
      </c>
      <c r="B45">
        <v>738</v>
      </c>
      <c r="C45">
        <v>250</v>
      </c>
      <c r="D45">
        <v>0.31542352766652099</v>
      </c>
      <c r="E45">
        <v>98.254003286688899</v>
      </c>
      <c r="F45">
        <v>1.8423237997153901</v>
      </c>
      <c r="G45">
        <v>-1622.5981301600043</v>
      </c>
      <c r="H45">
        <v>-1353.954120298411</v>
      </c>
      <c r="I45">
        <v>265.68744060257097</v>
      </c>
      <c r="J45">
        <v>144.325186048245</v>
      </c>
      <c r="K45">
        <v>53.331560555135603</v>
      </c>
      <c r="L45">
        <v>4.7823384133584469E-4</v>
      </c>
      <c r="M45">
        <v>7.9569359537719566E-5</v>
      </c>
      <c r="N45" s="1">
        <v>1.7399883959294001E-5</v>
      </c>
      <c r="O45" s="1">
        <v>3.8571013396836799E-6</v>
      </c>
      <c r="P45" s="1">
        <v>-1.37109907917451E-5</v>
      </c>
    </row>
    <row r="46" spans="1:16" x14ac:dyDescent="0.2">
      <c r="A46">
        <v>45</v>
      </c>
      <c r="B46">
        <v>737</v>
      </c>
      <c r="C46">
        <v>250</v>
      </c>
      <c r="D46">
        <v>0.31467653318814098</v>
      </c>
      <c r="E46">
        <v>99.360005203024599</v>
      </c>
      <c r="F46">
        <v>1.8457792378615701</v>
      </c>
      <c r="G46">
        <v>-1640.2855375303118</v>
      </c>
      <c r="H46">
        <v>-1369.3791924421043</v>
      </c>
      <c r="I46">
        <v>268.19009777347799</v>
      </c>
      <c r="J46">
        <v>145.847595597452</v>
      </c>
      <c r="K46">
        <v>53.830925803531102</v>
      </c>
      <c r="L46">
        <v>4.7649765560264692E-4</v>
      </c>
      <c r="M46">
        <v>7.9072539628082065E-5</v>
      </c>
      <c r="N46" s="1">
        <v>1.76272431149285E-5</v>
      </c>
      <c r="O46" s="1">
        <v>3.8668293153575103E-6</v>
      </c>
      <c r="P46" s="1">
        <v>-1.37900579986178E-5</v>
      </c>
    </row>
    <row r="47" spans="1:16" x14ac:dyDescent="0.2">
      <c r="A47">
        <v>46</v>
      </c>
      <c r="B47">
        <v>757</v>
      </c>
      <c r="C47">
        <v>225</v>
      </c>
      <c r="D47">
        <v>0.35603601417269398</v>
      </c>
      <c r="E47">
        <v>5.06025632306104</v>
      </c>
      <c r="F47">
        <v>0.49351610243928701</v>
      </c>
      <c r="G47">
        <v>-110.13544526838517</v>
      </c>
      <c r="H47">
        <v>-64.253272999388358</v>
      </c>
      <c r="I47">
        <v>44.5421230484882</v>
      </c>
      <c r="J47">
        <v>19.9252679297668</v>
      </c>
      <c r="K47">
        <v>10.253477643484899</v>
      </c>
      <c r="L47">
        <v>1.4066547857104822E-3</v>
      </c>
      <c r="M47">
        <v>2.7568331144484353E-4</v>
      </c>
      <c r="N47" s="1">
        <v>7.6329545479073908E-6</v>
      </c>
      <c r="O47" s="1">
        <v>3.01193588676741E-6</v>
      </c>
      <c r="P47" s="1">
        <v>-8.8966127273408899E-6</v>
      </c>
    </row>
    <row r="48" spans="1:16" x14ac:dyDescent="0.2">
      <c r="A48">
        <v>47</v>
      </c>
      <c r="B48">
        <v>756</v>
      </c>
      <c r="C48">
        <v>225</v>
      </c>
      <c r="D48">
        <v>0.35534227274935698</v>
      </c>
      <c r="E48">
        <v>5.1291906605139301</v>
      </c>
      <c r="F48">
        <v>0.49927870604857699</v>
      </c>
      <c r="G48">
        <v>-111.23962645732968</v>
      </c>
      <c r="H48">
        <v>-65.252007611613237</v>
      </c>
      <c r="I48">
        <v>44.687865813816003</v>
      </c>
      <c r="J48">
        <v>20.028889061849799</v>
      </c>
      <c r="K48">
        <v>10.2732013169712</v>
      </c>
      <c r="L48">
        <v>1.404401833810567E-3</v>
      </c>
      <c r="M48">
        <v>2.7452468785778706E-4</v>
      </c>
      <c r="N48" s="1">
        <v>7.7383901996834802E-6</v>
      </c>
      <c r="O48" s="1">
        <v>3.0047652319038699E-6</v>
      </c>
      <c r="P48" s="1">
        <v>-8.9059437611711095E-6</v>
      </c>
    </row>
    <row r="49" spans="1:16" x14ac:dyDescent="0.2">
      <c r="A49">
        <v>48</v>
      </c>
      <c r="B49">
        <v>755</v>
      </c>
      <c r="C49">
        <v>225</v>
      </c>
      <c r="D49">
        <v>0.354647181831445</v>
      </c>
      <c r="E49">
        <v>5.3381588035812602</v>
      </c>
      <c r="F49">
        <v>0.51533794956243395</v>
      </c>
      <c r="G49">
        <v>-114.66439295902317</v>
      </c>
      <c r="H49">
        <v>-68.243082325853891</v>
      </c>
      <c r="I49">
        <v>45.153153794538902</v>
      </c>
      <c r="J49">
        <v>20.3128208616004</v>
      </c>
      <c r="K49">
        <v>10.358559481431101</v>
      </c>
      <c r="L49">
        <v>1.3950475530223852E-3</v>
      </c>
      <c r="M49">
        <v>2.7199107452782544E-4</v>
      </c>
      <c r="N49" s="1">
        <v>7.8543868723735004E-6</v>
      </c>
      <c r="O49" s="1">
        <v>3.0014001032983498E-6</v>
      </c>
      <c r="P49" s="1">
        <v>-8.9265818433512202E-6</v>
      </c>
    </row>
    <row r="50" spans="1:16" x14ac:dyDescent="0.2">
      <c r="A50">
        <v>49</v>
      </c>
      <c r="B50">
        <v>754</v>
      </c>
      <c r="C50">
        <v>225</v>
      </c>
      <c r="D50">
        <v>0.35395073747748601</v>
      </c>
      <c r="E50">
        <v>5.5461389162731098</v>
      </c>
      <c r="F50">
        <v>0.53106699138829405</v>
      </c>
      <c r="G50">
        <v>-118.0717952371255</v>
      </c>
      <c r="H50">
        <v>-71.22066811379527</v>
      </c>
      <c r="I50">
        <v>45.615574860094597</v>
      </c>
      <c r="J50">
        <v>20.595438197390202</v>
      </c>
      <c r="K50">
        <v>10.4433885106935</v>
      </c>
      <c r="L50">
        <v>1.385889086597088E-3</v>
      </c>
      <c r="M50">
        <v>2.6950586444157422E-4</v>
      </c>
      <c r="N50" s="1">
        <v>7.97106042471916E-6</v>
      </c>
      <c r="O50" s="1">
        <v>2.99794290439968E-6</v>
      </c>
      <c r="P50" s="1">
        <v>-8.9470116305032393E-6</v>
      </c>
    </row>
    <row r="51" spans="1:16" x14ac:dyDescent="0.2">
      <c r="A51">
        <v>50</v>
      </c>
      <c r="B51">
        <v>753</v>
      </c>
      <c r="C51">
        <v>225</v>
      </c>
      <c r="D51">
        <v>0.35325293573064698</v>
      </c>
      <c r="E51">
        <v>5.7531385907420498</v>
      </c>
      <c r="F51">
        <v>0.54647668092807999</v>
      </c>
      <c r="G51">
        <v>-121.46196743026249</v>
      </c>
      <c r="H51">
        <v>-74.184868920601943</v>
      </c>
      <c r="I51">
        <v>46.075150053196701</v>
      </c>
      <c r="J51">
        <v>20.876750459232799</v>
      </c>
      <c r="K51">
        <v>10.5276927479714</v>
      </c>
      <c r="L51">
        <v>1.3769198088194744E-3</v>
      </c>
      <c r="M51">
        <v>2.6706746463838344E-4</v>
      </c>
      <c r="N51" s="1">
        <v>8.0884053335913706E-6</v>
      </c>
      <c r="O51" s="1">
        <v>2.9943942285500398E-6</v>
      </c>
      <c r="P51" s="1">
        <v>-8.9672319705464794E-6</v>
      </c>
    </row>
    <row r="52" spans="1:16" x14ac:dyDescent="0.2">
      <c r="A52">
        <v>51</v>
      </c>
      <c r="B52">
        <v>752</v>
      </c>
      <c r="C52">
        <v>225</v>
      </c>
      <c r="D52">
        <v>0.35255377261864101</v>
      </c>
      <c r="E52">
        <v>6.7734465888585804</v>
      </c>
      <c r="F52">
        <v>0.61479805057924197</v>
      </c>
      <c r="G52">
        <v>-138.37888404282975</v>
      </c>
      <c r="H52">
        <v>-88.590778094553542</v>
      </c>
      <c r="I52">
        <v>48.569536427269497</v>
      </c>
      <c r="J52">
        <v>22.283634267991999</v>
      </c>
      <c r="K52">
        <v>11.017352092246901</v>
      </c>
      <c r="L52">
        <v>1.3324624971269468E-3</v>
      </c>
      <c r="M52">
        <v>2.5771393743378957E-4</v>
      </c>
      <c r="N52" s="1">
        <v>8.2872911353061897E-6</v>
      </c>
      <c r="O52" s="1">
        <v>3.0229984625236E-6</v>
      </c>
      <c r="P52" s="1">
        <v>-9.0841030726755894E-6</v>
      </c>
    </row>
    <row r="53" spans="1:16" x14ac:dyDescent="0.2">
      <c r="A53">
        <v>52</v>
      </c>
      <c r="B53">
        <v>751</v>
      </c>
      <c r="C53">
        <v>225</v>
      </c>
      <c r="D53">
        <v>0.35185324415369101</v>
      </c>
      <c r="E53">
        <v>8.3754788122104706</v>
      </c>
      <c r="F53">
        <v>0.70998776565657395</v>
      </c>
      <c r="G53">
        <v>-164.96014424465622</v>
      </c>
      <c r="H53">
        <v>-111.17754048115115</v>
      </c>
      <c r="I53">
        <v>52.517324801045</v>
      </c>
      <c r="J53">
        <v>24.496801978231499</v>
      </c>
      <c r="K53">
        <v>11.796652304938</v>
      </c>
      <c r="L53">
        <v>1.2698772352709457E-3</v>
      </c>
      <c r="M53">
        <v>2.4487505154858482E-4</v>
      </c>
      <c r="N53" s="1">
        <v>8.5468683550490304E-6</v>
      </c>
      <c r="O53" s="1">
        <v>3.0742858489769101E-6</v>
      </c>
      <c r="P53" s="1">
        <v>-9.2700776667278305E-6</v>
      </c>
    </row>
    <row r="54" spans="1:16" x14ac:dyDescent="0.2">
      <c r="A54">
        <v>53</v>
      </c>
      <c r="B54">
        <v>750</v>
      </c>
      <c r="C54">
        <v>225</v>
      </c>
      <c r="D54">
        <v>0.35115134633240402</v>
      </c>
      <c r="E54">
        <v>9.9786110143153905</v>
      </c>
      <c r="F54">
        <v>0.79346134465983398</v>
      </c>
      <c r="G54">
        <v>-191.54471374035955</v>
      </c>
      <c r="H54">
        <v>-133.77588064499915</v>
      </c>
      <c r="I54">
        <v>56.4647487194365</v>
      </c>
      <c r="J54">
        <v>26.712931818670398</v>
      </c>
      <c r="K54">
        <v>12.5760518536581</v>
      </c>
      <c r="L54">
        <v>1.2150209702853295E-3</v>
      </c>
      <c r="M54">
        <v>2.3359741682346121E-4</v>
      </c>
      <c r="N54" s="1">
        <v>8.8099483542771E-6</v>
      </c>
      <c r="O54" s="1">
        <v>3.1251603965002802E-6</v>
      </c>
      <c r="P54" s="1">
        <v>-9.4560070589606198E-6</v>
      </c>
    </row>
    <row r="55" spans="1:16" x14ac:dyDescent="0.2">
      <c r="A55">
        <v>54</v>
      </c>
      <c r="B55">
        <v>749</v>
      </c>
      <c r="C55">
        <v>225</v>
      </c>
      <c r="D55">
        <v>0.350448075135744</v>
      </c>
      <c r="E55">
        <v>11.5866224313346</v>
      </c>
      <c r="F55">
        <v>0.86743384225934295</v>
      </c>
      <c r="G55">
        <v>-218.1942553420206</v>
      </c>
      <c r="H55">
        <v>-156.43825663107563</v>
      </c>
      <c r="I55">
        <v>60.420812523048802</v>
      </c>
      <c r="J55">
        <v>28.937082778634899</v>
      </c>
      <c r="K55">
        <v>13.357355762320401</v>
      </c>
      <c r="L55">
        <v>1.1664275772910052E-3</v>
      </c>
      <c r="M55">
        <v>2.2358594591214727E-4</v>
      </c>
      <c r="N55" s="1">
        <v>9.0767993566289193E-6</v>
      </c>
      <c r="O55" s="1">
        <v>3.1757354760529098E-6</v>
      </c>
      <c r="P55" s="1">
        <v>-9.6422296413090307E-6</v>
      </c>
    </row>
    <row r="56" spans="1:16" x14ac:dyDescent="0.2">
      <c r="A56">
        <v>55</v>
      </c>
      <c r="B56">
        <v>748</v>
      </c>
      <c r="C56">
        <v>225</v>
      </c>
      <c r="D56">
        <v>0.34974342652891699</v>
      </c>
      <c r="E56">
        <v>13.204366949787101</v>
      </c>
      <c r="F56">
        <v>0.93364024088686903</v>
      </c>
      <c r="G56">
        <v>-244.98791812627272</v>
      </c>
      <c r="H56">
        <v>-179.23201886171506</v>
      </c>
      <c r="I56">
        <v>64.397096019389494</v>
      </c>
      <c r="J56">
        <v>31.175757277012</v>
      </c>
      <c r="K56">
        <v>14.1428854193818</v>
      </c>
      <c r="L56">
        <v>1.122947475053325E-3</v>
      </c>
      <c r="M56">
        <v>2.1460952584119976E-4</v>
      </c>
      <c r="N56" s="1">
        <v>9.3477899552480695E-6</v>
      </c>
      <c r="O56" s="1">
        <v>3.2261567274671899E-6</v>
      </c>
      <c r="P56" s="1">
        <v>-9.8291867489500801E-6</v>
      </c>
    </row>
    <row r="57" spans="1:16" x14ac:dyDescent="0.2">
      <c r="A57">
        <v>56</v>
      </c>
      <c r="B57">
        <v>747</v>
      </c>
      <c r="C57">
        <v>225</v>
      </c>
      <c r="D57">
        <v>0.34903739646130499</v>
      </c>
      <c r="E57">
        <v>40.269006923521403</v>
      </c>
      <c r="F57">
        <v>1.4851277136093901</v>
      </c>
      <c r="G57">
        <v>-684.43722803984451</v>
      </c>
      <c r="H57">
        <v>-552.54799431701042</v>
      </c>
      <c r="I57">
        <v>129.28813436367599</v>
      </c>
      <c r="J57">
        <v>67.313543340393693</v>
      </c>
      <c r="K57">
        <v>27.1148444369495</v>
      </c>
      <c r="L57">
        <v>7.4964404626371361E-4</v>
      </c>
      <c r="M57">
        <v>1.4218639703604842E-4</v>
      </c>
      <c r="N57" s="1">
        <v>1.18477894440864E-5</v>
      </c>
      <c r="O57" s="1">
        <v>4.0818758661631404E-6</v>
      </c>
      <c r="P57" s="1">
        <v>-1.24786584817507E-5</v>
      </c>
    </row>
    <row r="58" spans="1:16" x14ac:dyDescent="0.2">
      <c r="A58">
        <v>57</v>
      </c>
      <c r="B58">
        <v>746</v>
      </c>
      <c r="C58">
        <v>225</v>
      </c>
      <c r="D58">
        <v>0.34832998086640898</v>
      </c>
      <c r="E58">
        <v>81.665441091977897</v>
      </c>
      <c r="F58">
        <v>1.7409762534083599</v>
      </c>
      <c r="G58">
        <v>-1356.8621325272602</v>
      </c>
      <c r="H58">
        <v>-1124.2695957383016</v>
      </c>
      <c r="I58">
        <v>228.227337644073</v>
      </c>
      <c r="J58">
        <v>122.514336478863</v>
      </c>
      <c r="K58">
        <v>46.907843189761401</v>
      </c>
      <c r="L58">
        <v>5.7623205589103603E-4</v>
      </c>
      <c r="M58">
        <v>1.0851191474087543E-4</v>
      </c>
      <c r="N58" s="1">
        <v>1.56286826454547E-5</v>
      </c>
      <c r="O58" s="1">
        <v>5.36954733599033E-6</v>
      </c>
      <c r="P58" s="1">
        <v>-1.6471196361899599E-5</v>
      </c>
    </row>
    <row r="59" spans="1:16" x14ac:dyDescent="0.2">
      <c r="A59">
        <v>58</v>
      </c>
      <c r="B59">
        <v>745</v>
      </c>
      <c r="C59">
        <v>225</v>
      </c>
      <c r="D59">
        <v>0.347621175661739</v>
      </c>
      <c r="E59">
        <v>90.076549102777406</v>
      </c>
      <c r="F59">
        <v>1.76962306405715</v>
      </c>
      <c r="G59">
        <v>-1493.2616418362913</v>
      </c>
      <c r="H59">
        <v>-1240.5733927855865</v>
      </c>
      <c r="I59">
        <v>248.189231134392</v>
      </c>
      <c r="J59">
        <v>133.75012974438999</v>
      </c>
      <c r="K59">
        <v>50.901545607267401</v>
      </c>
      <c r="L59">
        <v>5.5735520928712414E-4</v>
      </c>
      <c r="M59">
        <v>1.0461033469989263E-4</v>
      </c>
      <c r="N59" s="1">
        <v>1.6544557492198899E-5</v>
      </c>
      <c r="O59" s="1">
        <v>5.6133004090708096E-6</v>
      </c>
      <c r="P59" s="1">
        <v>-1.7278520283739E-5</v>
      </c>
    </row>
    <row r="60" spans="1:16" x14ac:dyDescent="0.2">
      <c r="A60">
        <v>59</v>
      </c>
      <c r="B60">
        <v>744</v>
      </c>
      <c r="C60">
        <v>225</v>
      </c>
      <c r="D60">
        <v>0.34691097674876298</v>
      </c>
      <c r="E60">
        <v>93.971012289992203</v>
      </c>
      <c r="F60">
        <v>1.78201364679515</v>
      </c>
      <c r="G60">
        <v>-1556.260878815511</v>
      </c>
      <c r="H60">
        <v>-1294.5090936309784</v>
      </c>
      <c r="I60">
        <v>257.34407201951899</v>
      </c>
      <c r="J60">
        <v>138.971071213214</v>
      </c>
      <c r="K60">
        <v>52.7330486267563</v>
      </c>
      <c r="L60">
        <v>5.4954477049231904E-4</v>
      </c>
      <c r="M60">
        <v>1.0284136023397293E-4</v>
      </c>
      <c r="N60" s="1">
        <v>1.7070039177461E-5</v>
      </c>
      <c r="O60" s="1">
        <v>5.7145662193827596E-6</v>
      </c>
      <c r="P60" s="1">
        <v>-1.7651251703933701E-5</v>
      </c>
    </row>
    <row r="61" spans="1:16" x14ac:dyDescent="0.2">
      <c r="A61">
        <v>60</v>
      </c>
      <c r="B61">
        <v>743</v>
      </c>
      <c r="C61">
        <v>225</v>
      </c>
      <c r="D61">
        <v>0.34619938001279399</v>
      </c>
      <c r="E61">
        <v>96.283896507251498</v>
      </c>
      <c r="F61">
        <v>1.78940911191629</v>
      </c>
      <c r="G61">
        <v>-1593.5572325143912</v>
      </c>
      <c r="H61">
        <v>-1326.6046382819154</v>
      </c>
      <c r="I61">
        <v>262.71554750149801</v>
      </c>
      <c r="J61">
        <v>142.08706872355799</v>
      </c>
      <c r="K61">
        <v>53.807648494725903</v>
      </c>
      <c r="L61">
        <v>5.4513280630708733E-4</v>
      </c>
      <c r="M61">
        <v>1.0172775860040611E-4</v>
      </c>
      <c r="N61" s="1">
        <v>1.74591277231231E-5</v>
      </c>
      <c r="O61" s="1">
        <v>5.7659819425826404E-6</v>
      </c>
      <c r="P61" s="1">
        <v>-1.7871925522679701E-5</v>
      </c>
    </row>
    <row r="62" spans="1:16" x14ac:dyDescent="0.2">
      <c r="A62">
        <v>61</v>
      </c>
      <c r="B62">
        <v>742</v>
      </c>
      <c r="C62">
        <v>225</v>
      </c>
      <c r="D62">
        <v>0.345486381322956</v>
      </c>
      <c r="E62">
        <v>97.845685356600399</v>
      </c>
      <c r="F62">
        <v>1.79458062087828</v>
      </c>
      <c r="G62">
        <v>-1618.6470963030149</v>
      </c>
      <c r="H62">
        <v>-1348.3281787703759</v>
      </c>
      <c r="I62">
        <v>266.29047449472102</v>
      </c>
      <c r="J62">
        <v>144.20413429549299</v>
      </c>
      <c r="K62">
        <v>54.522869699057601</v>
      </c>
      <c r="L62">
        <v>5.4223211856877678E-4</v>
      </c>
      <c r="M62">
        <v>1.0090592771402948E-4</v>
      </c>
      <c r="N62" s="1">
        <v>1.7783492850584998E-5</v>
      </c>
      <c r="O62" s="1">
        <v>5.7937226592325099E-6</v>
      </c>
      <c r="P62" s="1">
        <v>-1.8020344810207398E-5</v>
      </c>
    </row>
    <row r="63" spans="1:16" x14ac:dyDescent="0.2">
      <c r="A63">
        <v>62</v>
      </c>
      <c r="B63">
        <v>741</v>
      </c>
      <c r="C63">
        <v>225</v>
      </c>
      <c r="D63">
        <v>0.34477197653207198</v>
      </c>
      <c r="E63">
        <v>98.986114404302697</v>
      </c>
      <c r="F63">
        <v>1.7985533603838799</v>
      </c>
      <c r="G63">
        <v>-1636.8891700238273</v>
      </c>
      <c r="H63">
        <v>-1364.2331612404398</v>
      </c>
      <c r="I63">
        <v>268.857567038485</v>
      </c>
      <c r="J63">
        <v>145.76132221731299</v>
      </c>
      <c r="K63">
        <v>55.036518006435301</v>
      </c>
      <c r="L63">
        <v>5.4014451020253929E-4</v>
      </c>
      <c r="M63">
        <v>1.0024132485741505E-4</v>
      </c>
      <c r="N63" s="1">
        <v>1.8071501246933198E-5</v>
      </c>
      <c r="O63" s="1">
        <v>5.8081724862353804E-6</v>
      </c>
      <c r="P63" s="1">
        <v>-1.8128153859491601E-5</v>
      </c>
    </row>
    <row r="64" spans="1:16" x14ac:dyDescent="0.2">
      <c r="A64">
        <v>63</v>
      </c>
      <c r="B64">
        <v>760</v>
      </c>
      <c r="C64">
        <v>200</v>
      </c>
      <c r="D64">
        <v>0.38472680636887402</v>
      </c>
      <c r="E64">
        <v>5.4448250336721697</v>
      </c>
      <c r="F64">
        <v>0.45505687206717499</v>
      </c>
      <c r="G64">
        <v>-118.93690671908482</v>
      </c>
      <c r="H64">
        <v>-68.924248985525452</v>
      </c>
      <c r="I64">
        <v>48.410950584904597</v>
      </c>
      <c r="J64">
        <v>21.591044743402001</v>
      </c>
      <c r="K64">
        <v>11.9651528586704</v>
      </c>
      <c r="L64">
        <v>1.5294024524042343E-3</v>
      </c>
      <c r="M64">
        <v>3.4182390521239175E-4</v>
      </c>
      <c r="N64" s="1">
        <v>6.4528012069628298E-6</v>
      </c>
      <c r="O64" s="1">
        <v>5.0466482791772302E-6</v>
      </c>
      <c r="P64" s="1">
        <v>-1.2654864658520699E-5</v>
      </c>
    </row>
    <row r="65" spans="1:16" x14ac:dyDescent="0.2">
      <c r="A65">
        <v>64</v>
      </c>
      <c r="B65">
        <v>759</v>
      </c>
      <c r="C65">
        <v>200</v>
      </c>
      <c r="D65">
        <v>0.38406287845759102</v>
      </c>
      <c r="E65">
        <v>5.5445245601939703</v>
      </c>
      <c r="F65">
        <v>0.46203862026950498</v>
      </c>
      <c r="G65">
        <v>-120.55531963921436</v>
      </c>
      <c r="H65">
        <v>-70.339210148885158</v>
      </c>
      <c r="I65">
        <v>48.654972655970901</v>
      </c>
      <c r="J65">
        <v>21.750487517730999</v>
      </c>
      <c r="K65">
        <v>12.000132276734499</v>
      </c>
      <c r="L65">
        <v>1.5267765732741505E-3</v>
      </c>
      <c r="M65">
        <v>3.4028735269207849E-4</v>
      </c>
      <c r="N65" s="1">
        <v>6.6007559300223697E-6</v>
      </c>
      <c r="O65" s="1">
        <v>5.0396463146498997E-6</v>
      </c>
      <c r="P65" s="1">
        <v>-1.26839798222733E-5</v>
      </c>
    </row>
    <row r="66" spans="1:16" x14ac:dyDescent="0.2">
      <c r="A66">
        <v>65</v>
      </c>
      <c r="B66">
        <v>758</v>
      </c>
      <c r="C66">
        <v>200</v>
      </c>
      <c r="D66">
        <v>0.383397662803666</v>
      </c>
      <c r="E66">
        <v>6.0404372493085603</v>
      </c>
      <c r="F66">
        <v>0.493628416542644</v>
      </c>
      <c r="G66">
        <v>-128.76938174078114</v>
      </c>
      <c r="H66">
        <v>-77.316373154210879</v>
      </c>
      <c r="I66">
        <v>49.9017107616922</v>
      </c>
      <c r="J66">
        <v>22.461280034976401</v>
      </c>
      <c r="K66">
        <v>12.2368102136736</v>
      </c>
      <c r="L66">
        <v>1.5066273715002847E-3</v>
      </c>
      <c r="M66">
        <v>3.3481779190836891E-4</v>
      </c>
      <c r="N66" s="1">
        <v>6.77916813307174E-6</v>
      </c>
      <c r="O66" s="1">
        <v>5.0571234280703403E-6</v>
      </c>
      <c r="P66" s="1">
        <v>-1.27750261763351E-5</v>
      </c>
    </row>
    <row r="67" spans="1:16" x14ac:dyDescent="0.2">
      <c r="A67">
        <v>66</v>
      </c>
      <c r="B67">
        <v>757</v>
      </c>
      <c r="C67">
        <v>200</v>
      </c>
      <c r="D67">
        <v>0.38273115565694399</v>
      </c>
      <c r="E67">
        <v>7.6219035987888004</v>
      </c>
      <c r="F67">
        <v>0.58593580358893904</v>
      </c>
      <c r="G67">
        <v>-155.01342014352269</v>
      </c>
      <c r="H67">
        <v>-99.626426452582066</v>
      </c>
      <c r="I67">
        <v>53.769052454209898</v>
      </c>
      <c r="J67">
        <v>24.630353607685301</v>
      </c>
      <c r="K67">
        <v>13.008086469718201</v>
      </c>
      <c r="L67">
        <v>1.442427024695943E-3</v>
      </c>
      <c r="M67">
        <v>3.195728970302023E-4</v>
      </c>
      <c r="N67" s="1">
        <v>7.0319689489806899E-6</v>
      </c>
      <c r="O67" s="1">
        <v>5.1310497972606801E-6</v>
      </c>
      <c r="P67" s="1">
        <v>-1.3009741195276E-5</v>
      </c>
    </row>
    <row r="68" spans="1:16" x14ac:dyDescent="0.2">
      <c r="A68">
        <v>67</v>
      </c>
      <c r="B68">
        <v>756</v>
      </c>
      <c r="C68">
        <v>200</v>
      </c>
      <c r="D68">
        <v>0.38206335325268598</v>
      </c>
      <c r="E68">
        <v>9.2007898357958595</v>
      </c>
      <c r="F68">
        <v>0.66780905573720295</v>
      </c>
      <c r="G68">
        <v>-181.20051590948839</v>
      </c>
      <c r="H68">
        <v>-121.89688970725084</v>
      </c>
      <c r="I68">
        <v>57.627048551900899</v>
      </c>
      <c r="J68">
        <v>26.7972302195898</v>
      </c>
      <c r="K68">
        <v>13.777575725802301</v>
      </c>
      <c r="L68">
        <v>1.3855268275569576E-3</v>
      </c>
      <c r="M68">
        <v>3.0603079394747547E-4</v>
      </c>
      <c r="N68" s="1">
        <v>7.2895917679590598E-6</v>
      </c>
      <c r="O68" s="1">
        <v>5.2042361792808102E-6</v>
      </c>
      <c r="P68" s="1">
        <v>-1.32442030267885E-5</v>
      </c>
    </row>
    <row r="69" spans="1:16" x14ac:dyDescent="0.2">
      <c r="A69">
        <v>68</v>
      </c>
      <c r="B69">
        <v>755</v>
      </c>
      <c r="C69">
        <v>200</v>
      </c>
      <c r="D69">
        <v>0.38139425181150599</v>
      </c>
      <c r="E69">
        <v>10.7800146339255</v>
      </c>
      <c r="F69">
        <v>0.74106359035485603</v>
      </c>
      <c r="G69">
        <v>-207.37833437506646</v>
      </c>
      <c r="H69">
        <v>-144.16830025053068</v>
      </c>
      <c r="I69">
        <v>61.482604708460201</v>
      </c>
      <c r="J69">
        <v>28.965775480923998</v>
      </c>
      <c r="K69">
        <v>14.546679629427601</v>
      </c>
      <c r="L69">
        <v>1.3346518576323489E-3</v>
      </c>
      <c r="M69">
        <v>2.9389526143281227E-4</v>
      </c>
      <c r="N69" s="1">
        <v>7.5521946363669202E-6</v>
      </c>
      <c r="O69" s="1">
        <v>5.2768103561857602E-6</v>
      </c>
      <c r="P69" s="1">
        <v>-1.3478728363271901E-5</v>
      </c>
    </row>
    <row r="70" spans="1:16" x14ac:dyDescent="0.2">
      <c r="A70">
        <v>69</v>
      </c>
      <c r="B70">
        <v>754</v>
      </c>
      <c r="C70">
        <v>200</v>
      </c>
      <c r="D70">
        <v>0.38072384753930699</v>
      </c>
      <c r="E70">
        <v>12.3631971474135</v>
      </c>
      <c r="F70">
        <v>0.80714798158553003</v>
      </c>
      <c r="G70">
        <v>-233.60593297157649</v>
      </c>
      <c r="H70">
        <v>-166.49090343265473</v>
      </c>
      <c r="I70">
        <v>65.344293052670594</v>
      </c>
      <c r="J70">
        <v>31.1407880679585</v>
      </c>
      <c r="K70">
        <v>15.3171381574017</v>
      </c>
      <c r="L70">
        <v>1.2887837854957092E-3</v>
      </c>
      <c r="M70">
        <v>2.8292995373502446E-4</v>
      </c>
      <c r="N70" s="1">
        <v>7.8199895407302308E-6</v>
      </c>
      <c r="O70" s="1">
        <v>5.3489308426099099E-6</v>
      </c>
      <c r="P70" s="1">
        <v>-1.37137173464124E-5</v>
      </c>
    </row>
    <row r="71" spans="1:16" x14ac:dyDescent="0.2">
      <c r="A71">
        <v>70</v>
      </c>
      <c r="B71">
        <v>753</v>
      </c>
      <c r="C71">
        <v>200</v>
      </c>
      <c r="D71">
        <v>0.380052136627202</v>
      </c>
      <c r="E71">
        <v>13.954969677755701</v>
      </c>
      <c r="F71">
        <v>0.86724334144800597</v>
      </c>
      <c r="G71">
        <v>-259.95885567008082</v>
      </c>
      <c r="H71">
        <v>-188.92898952399301</v>
      </c>
      <c r="I71">
        <v>69.223098555058201</v>
      </c>
      <c r="J71">
        <v>33.328416445229003</v>
      </c>
      <c r="K71">
        <v>16.0911811146979</v>
      </c>
      <c r="L71">
        <v>1.2470909411517652E-3</v>
      </c>
      <c r="M71">
        <v>2.7294218592933045E-4</v>
      </c>
      <c r="N71" s="1">
        <v>8.0932664206785605E-6</v>
      </c>
      <c r="O71" s="1">
        <v>5.4208009508343199E-6</v>
      </c>
      <c r="P71" s="1">
        <v>-1.39496912782396E-5</v>
      </c>
    </row>
    <row r="72" spans="1:16" x14ac:dyDescent="0.2">
      <c r="A72">
        <v>71</v>
      </c>
      <c r="B72">
        <v>752</v>
      </c>
      <c r="C72">
        <v>200</v>
      </c>
      <c r="D72">
        <v>0.37937911525142798</v>
      </c>
      <c r="E72">
        <v>16.45319017509</v>
      </c>
      <c r="F72">
        <v>0.95134809100560902</v>
      </c>
      <c r="G72">
        <v>-300.37550396790903</v>
      </c>
      <c r="H72">
        <v>-223.2049257365353</v>
      </c>
      <c r="I72">
        <v>75.280768922723496</v>
      </c>
      <c r="J72">
        <v>36.716612530919001</v>
      </c>
      <c r="K72">
        <v>17.294605760650999</v>
      </c>
      <c r="L72">
        <v>1.1897645042186101E-3</v>
      </c>
      <c r="M72">
        <v>2.5955776395104955E-4</v>
      </c>
      <c r="N72" s="1">
        <v>8.4391321545717894E-6</v>
      </c>
      <c r="O72" s="1">
        <v>5.5399141392073399E-6</v>
      </c>
      <c r="P72" s="1">
        <v>-1.4309303700095E-5</v>
      </c>
    </row>
    <row r="73" spans="1:16" x14ac:dyDescent="0.2">
      <c r="A73">
        <v>72</v>
      </c>
      <c r="B73">
        <v>751</v>
      </c>
      <c r="C73">
        <v>200</v>
      </c>
      <c r="D73">
        <v>0.378704779573308</v>
      </c>
      <c r="E73">
        <v>67.322741930214505</v>
      </c>
      <c r="F73">
        <v>1.6100994026548601</v>
      </c>
      <c r="G73">
        <v>-1126.8361212416651</v>
      </c>
      <c r="H73">
        <v>-925.84767210444784</v>
      </c>
      <c r="I73">
        <v>196.253913033228</v>
      </c>
      <c r="J73">
        <v>104.069582072586</v>
      </c>
      <c r="K73">
        <v>41.8127861045147</v>
      </c>
      <c r="L73">
        <v>7.0948334176602738E-4</v>
      </c>
      <c r="M73">
        <v>1.5331761510080027E-4</v>
      </c>
      <c r="N73" s="1">
        <v>1.2036718730819101E-5</v>
      </c>
      <c r="O73" s="1">
        <v>7.8792992913970401E-6</v>
      </c>
      <c r="P73" s="1">
        <v>-2.0426611125944701E-5</v>
      </c>
    </row>
    <row r="74" spans="1:16" x14ac:dyDescent="0.2">
      <c r="A74">
        <v>73</v>
      </c>
      <c r="B74">
        <v>750</v>
      </c>
      <c r="C74">
        <v>200</v>
      </c>
      <c r="D74">
        <v>0.37802912573913899</v>
      </c>
      <c r="E74">
        <v>85.060623672454</v>
      </c>
      <c r="F74">
        <v>1.6903977436248101</v>
      </c>
      <c r="G74">
        <v>-1414.7866056882247</v>
      </c>
      <c r="H74">
        <v>-1171.024616683887</v>
      </c>
      <c r="I74">
        <v>238.251968448502</v>
      </c>
      <c r="J74">
        <v>127.55547898148301</v>
      </c>
      <c r="K74">
        <v>50.319887134996897</v>
      </c>
      <c r="L74">
        <v>6.5180311752894909E-4</v>
      </c>
      <c r="M74">
        <v>1.402560111410625E-4</v>
      </c>
      <c r="N74" s="1">
        <v>1.34717649914597E-5</v>
      </c>
      <c r="O74" s="1">
        <v>8.6676672858416507E-6</v>
      </c>
      <c r="P74" s="1">
        <v>-2.2554110649468901E-5</v>
      </c>
    </row>
    <row r="75" spans="1:16" x14ac:dyDescent="0.2">
      <c r="A75">
        <v>74</v>
      </c>
      <c r="B75">
        <v>749</v>
      </c>
      <c r="C75">
        <v>200</v>
      </c>
      <c r="D75">
        <v>0.37735214988015597</v>
      </c>
      <c r="E75">
        <v>91.270263660321206</v>
      </c>
      <c r="F75">
        <v>1.71329436430115</v>
      </c>
      <c r="G75">
        <v>-1515.4001973868974</v>
      </c>
      <c r="H75">
        <v>-1256.9630253735461</v>
      </c>
      <c r="I75">
        <v>252.84240526631001</v>
      </c>
      <c r="J75">
        <v>135.79793858443401</v>
      </c>
      <c r="K75">
        <v>53.271793547018298</v>
      </c>
      <c r="L75">
        <v>6.3599502128451591E-4</v>
      </c>
      <c r="M75">
        <v>1.364128873392871E-4</v>
      </c>
      <c r="N75" s="1">
        <v>1.41464804249402E-5</v>
      </c>
      <c r="O75" s="1">
        <v>8.9233360504221196E-6</v>
      </c>
      <c r="P75" s="1">
        <v>-2.33061894769241E-5</v>
      </c>
    </row>
    <row r="76" spans="1:16" x14ac:dyDescent="0.2">
      <c r="A76">
        <v>75</v>
      </c>
      <c r="B76">
        <v>748</v>
      </c>
      <c r="C76">
        <v>200</v>
      </c>
      <c r="D76">
        <v>0.37667384811242399</v>
      </c>
      <c r="E76">
        <v>94.520301204319395</v>
      </c>
      <c r="F76">
        <v>1.72487077265318</v>
      </c>
      <c r="G76">
        <v>-1567.9199981082718</v>
      </c>
      <c r="H76">
        <v>-1302.0171176062904</v>
      </c>
      <c r="I76">
        <v>260.40118195111899</v>
      </c>
      <c r="J76">
        <v>140.12997713873699</v>
      </c>
      <c r="K76">
        <v>54.798482705419602</v>
      </c>
      <c r="L76">
        <v>6.2844162372285362E-4</v>
      </c>
      <c r="M76">
        <v>1.3438744830272984E-4</v>
      </c>
      <c r="N76" s="1">
        <v>1.4627515362719801E-5</v>
      </c>
      <c r="O76" s="1">
        <v>9.04263765188277E-6</v>
      </c>
      <c r="P76" s="1">
        <v>-2.3706234101809399E-5</v>
      </c>
    </row>
    <row r="77" spans="1:16" x14ac:dyDescent="0.2">
      <c r="A77">
        <v>76</v>
      </c>
      <c r="B77">
        <v>747</v>
      </c>
      <c r="C77">
        <v>200</v>
      </c>
      <c r="D77">
        <v>0.375994216536785</v>
      </c>
      <c r="E77">
        <v>96.564225860819704</v>
      </c>
      <c r="F77">
        <v>1.73226272282667</v>
      </c>
      <c r="G77">
        <v>-1600.8403754857138</v>
      </c>
      <c r="H77">
        <v>-1330.4093934933021</v>
      </c>
      <c r="I77">
        <v>265.09515987391399</v>
      </c>
      <c r="J77">
        <v>142.869428893313</v>
      </c>
      <c r="K77">
        <v>55.744561485019901</v>
      </c>
      <c r="L77">
        <v>6.2393674965152994E-4</v>
      </c>
      <c r="M77">
        <v>1.3303370476143141E-4</v>
      </c>
      <c r="N77" s="1">
        <v>1.5030474133333901E-5</v>
      </c>
      <c r="O77" s="1">
        <v>9.1064029587943201E-6</v>
      </c>
      <c r="P77" s="1">
        <v>-2.39629378406766E-5</v>
      </c>
    </row>
    <row r="78" spans="1:16" x14ac:dyDescent="0.2">
      <c r="A78">
        <v>77</v>
      </c>
      <c r="B78">
        <v>746</v>
      </c>
      <c r="C78">
        <v>200</v>
      </c>
      <c r="D78">
        <v>0.37531325123877901</v>
      </c>
      <c r="E78">
        <v>97.990360069264696</v>
      </c>
      <c r="F78">
        <v>1.7376237045301901</v>
      </c>
      <c r="G78">
        <v>-1623.7216278736771</v>
      </c>
      <c r="H78">
        <v>-1350.26723091691</v>
      </c>
      <c r="I78">
        <v>268.32191856958002</v>
      </c>
      <c r="J78">
        <v>144.79371994018601</v>
      </c>
      <c r="K78">
        <v>56.393314509805499</v>
      </c>
      <c r="L78">
        <v>6.2090922086559849E-4</v>
      </c>
      <c r="M78">
        <v>1.320057814057367E-4</v>
      </c>
      <c r="N78" s="1">
        <v>1.5394005929187902E-5</v>
      </c>
      <c r="O78" s="1">
        <v>9.1417066936024807E-6</v>
      </c>
      <c r="P78" s="1">
        <v>-2.4146178056022501E-5</v>
      </c>
    </row>
    <row r="79" spans="1:16" x14ac:dyDescent="0.2">
      <c r="A79">
        <v>78</v>
      </c>
      <c r="B79">
        <v>745</v>
      </c>
      <c r="C79">
        <v>200</v>
      </c>
      <c r="D79">
        <v>0.37463094828856203</v>
      </c>
      <c r="E79">
        <v>99.053891758308396</v>
      </c>
      <c r="F79">
        <v>1.7418337839395399</v>
      </c>
      <c r="G79">
        <v>-1640.7105982808441</v>
      </c>
      <c r="H79">
        <v>-1365.1159971854754</v>
      </c>
      <c r="I79">
        <v>270.68753911921198</v>
      </c>
      <c r="J79">
        <v>146.239995076333</v>
      </c>
      <c r="K79">
        <v>56.867591311885199</v>
      </c>
      <c r="L79">
        <v>6.1871696557064704E-4</v>
      </c>
      <c r="M79">
        <v>1.311623128495501E-4</v>
      </c>
      <c r="N79" s="1">
        <v>1.5734801752763401E-5</v>
      </c>
      <c r="O79" s="1">
        <v>9.1602803557201307E-6</v>
      </c>
      <c r="P79" s="1">
        <v>-2.42862171462858E-5</v>
      </c>
    </row>
    <row r="80" spans="1:16" x14ac:dyDescent="0.2">
      <c r="A80">
        <v>79</v>
      </c>
      <c r="B80">
        <v>769</v>
      </c>
      <c r="C80">
        <v>175</v>
      </c>
      <c r="D80">
        <v>0.41703257688433099</v>
      </c>
      <c r="E80">
        <v>5.8343792313226599</v>
      </c>
      <c r="F80">
        <v>0.407205282041807</v>
      </c>
      <c r="G80">
        <v>-128.25476620608791</v>
      </c>
      <c r="H80">
        <v>-73.427968620406872</v>
      </c>
      <c r="I80">
        <v>52.612518712036703</v>
      </c>
      <c r="J80">
        <v>23.076632968095399</v>
      </c>
      <c r="K80">
        <v>14.3278574434691</v>
      </c>
      <c r="L80">
        <v>1.6440925085012053E-3</v>
      </c>
      <c r="M80">
        <v>4.3809291974000768E-4</v>
      </c>
      <c r="N80" s="1">
        <v>7.6708728554075702E-7</v>
      </c>
      <c r="O80" s="1">
        <v>8.9735279134141403E-6</v>
      </c>
      <c r="P80" s="1">
        <v>-1.79033179893064E-5</v>
      </c>
    </row>
    <row r="81" spans="1:16" x14ac:dyDescent="0.2">
      <c r="A81">
        <v>80</v>
      </c>
      <c r="B81">
        <v>768</v>
      </c>
      <c r="C81">
        <v>175</v>
      </c>
      <c r="D81">
        <v>0.416405417086878</v>
      </c>
      <c r="E81">
        <v>6.0302972673850901</v>
      </c>
      <c r="F81">
        <v>0.41853110361217399</v>
      </c>
      <c r="G81">
        <v>-131.47143580684877</v>
      </c>
      <c r="H81">
        <v>-76.191303563906388</v>
      </c>
      <c r="I81">
        <v>53.098476539385999</v>
      </c>
      <c r="J81">
        <v>23.372738933396001</v>
      </c>
      <c r="K81">
        <v>14.408241622522199</v>
      </c>
      <c r="L81">
        <v>1.6388351137614724E-3</v>
      </c>
      <c r="M81">
        <v>4.3543081531744143E-4</v>
      </c>
      <c r="N81" s="1">
        <v>9.3397447739421605E-7</v>
      </c>
      <c r="O81" s="1">
        <v>8.9737894749652704E-6</v>
      </c>
      <c r="P81" s="1">
        <v>-1.7973299849165E-5</v>
      </c>
    </row>
    <row r="82" spans="1:16" x14ac:dyDescent="0.2">
      <c r="A82">
        <v>81</v>
      </c>
      <c r="B82">
        <v>767</v>
      </c>
      <c r="C82">
        <v>175</v>
      </c>
      <c r="D82">
        <v>0.41577705138682203</v>
      </c>
      <c r="E82">
        <v>6.3664619368264201</v>
      </c>
      <c r="F82">
        <v>0.43719063477535702</v>
      </c>
      <c r="G82">
        <v>-137.02458785999337</v>
      </c>
      <c r="H82">
        <v>-80.916879954728827</v>
      </c>
      <c r="I82">
        <v>53.945169184823399</v>
      </c>
      <c r="J82">
        <v>23.865365094183598</v>
      </c>
      <c r="K82">
        <v>14.5622102360397</v>
      </c>
      <c r="L82">
        <v>1.6280906023482902E-3</v>
      </c>
      <c r="M82">
        <v>4.3130295631451092E-4</v>
      </c>
      <c r="N82" s="1">
        <v>1.10385334634206E-6</v>
      </c>
      <c r="O82" s="1">
        <v>8.9883194952220193E-6</v>
      </c>
      <c r="P82" s="1">
        <v>-1.8072398244690899E-5</v>
      </c>
    </row>
    <row r="83" spans="1:16" x14ac:dyDescent="0.2">
      <c r="A83">
        <v>82</v>
      </c>
      <c r="B83">
        <v>766</v>
      </c>
      <c r="C83">
        <v>175</v>
      </c>
      <c r="D83">
        <v>0.41514747630275201</v>
      </c>
      <c r="E83">
        <v>6.70303617329788</v>
      </c>
      <c r="F83">
        <v>0.45548510628734701</v>
      </c>
      <c r="G83">
        <v>-142.58222467277872</v>
      </c>
      <c r="H83">
        <v>-85.648347361654032</v>
      </c>
      <c r="I83">
        <v>54.792138159917798</v>
      </c>
      <c r="J83">
        <v>24.358969059929301</v>
      </c>
      <c r="K83">
        <v>14.7162576355882</v>
      </c>
      <c r="L83">
        <v>1.6175605038568155E-3</v>
      </c>
      <c r="M83">
        <v>4.2725008215652388E-4</v>
      </c>
      <c r="N83" s="1">
        <v>1.27664630289738E-6</v>
      </c>
      <c r="O83" s="1">
        <v>9.0026528476200696E-6</v>
      </c>
      <c r="P83" s="1">
        <v>-1.81717584137374E-5</v>
      </c>
    </row>
    <row r="84" spans="1:16" x14ac:dyDescent="0.2">
      <c r="A84">
        <v>83</v>
      </c>
      <c r="B84">
        <v>765</v>
      </c>
      <c r="C84">
        <v>175</v>
      </c>
      <c r="D84">
        <v>0.41451668833983701</v>
      </c>
      <c r="E84">
        <v>7.0399566210491802</v>
      </c>
      <c r="F84">
        <v>0.47342247237260199</v>
      </c>
      <c r="G84">
        <v>-148.14327127833684</v>
      </c>
      <c r="H84">
        <v>-90.38481754186526</v>
      </c>
      <c r="I84">
        <v>55.639204397875801</v>
      </c>
      <c r="J84">
        <v>24.853466714598898</v>
      </c>
      <c r="K84">
        <v>14.8703473786695</v>
      </c>
      <c r="L84">
        <v>1.6072404814782382E-3</v>
      </c>
      <c r="M84">
        <v>4.2327053114888736E-4</v>
      </c>
      <c r="N84" s="1">
        <v>1.4523725082430001E-6</v>
      </c>
      <c r="O84" s="1">
        <v>9.0167792885199902E-6</v>
      </c>
      <c r="P84" s="1">
        <v>-1.8271359244109E-5</v>
      </c>
    </row>
    <row r="85" spans="1:16" x14ac:dyDescent="0.2">
      <c r="A85">
        <v>84</v>
      </c>
      <c r="B85">
        <v>764</v>
      </c>
      <c r="C85">
        <v>175</v>
      </c>
      <c r="D85">
        <v>0.41388468398978101</v>
      </c>
      <c r="E85">
        <v>7.3771598827990603</v>
      </c>
      <c r="F85">
        <v>0.49101053836890002</v>
      </c>
      <c r="G85">
        <v>-153.70665283511147</v>
      </c>
      <c r="H85">
        <v>-95.125401480872924</v>
      </c>
      <c r="I85">
        <v>56.486189006144599</v>
      </c>
      <c r="J85">
        <v>25.348774075969299</v>
      </c>
      <c r="K85">
        <v>15.0244430746953</v>
      </c>
      <c r="L85">
        <v>1.5971262624886807E-3</v>
      </c>
      <c r="M85">
        <v>4.1936267240228972E-4</v>
      </c>
      <c r="N85" s="1">
        <v>1.63104998594787E-6</v>
      </c>
      <c r="O85" s="1">
        <v>9.0306886346040707E-6</v>
      </c>
      <c r="P85" s="1">
        <v>-1.8371179372416999E-5</v>
      </c>
    </row>
    <row r="86" spans="1:16" x14ac:dyDescent="0.2">
      <c r="A86">
        <v>85</v>
      </c>
      <c r="B86">
        <v>763</v>
      </c>
      <c r="C86">
        <v>175</v>
      </c>
      <c r="D86">
        <v>0.41325145973073701</v>
      </c>
      <c r="E86">
        <v>8.2034470991112993</v>
      </c>
      <c r="F86">
        <v>0.53191896071448697</v>
      </c>
      <c r="G86">
        <v>-167.39395154912054</v>
      </c>
      <c r="H86">
        <v>-106.77544585975728</v>
      </c>
      <c r="I86">
        <v>58.506908597017897</v>
      </c>
      <c r="J86">
        <v>26.495891418123801</v>
      </c>
      <c r="K86">
        <v>15.4223626247355</v>
      </c>
      <c r="L86">
        <v>1.5690407841225497E-3</v>
      </c>
      <c r="M86">
        <v>4.1074581732981452E-4</v>
      </c>
      <c r="N86" s="1">
        <v>1.8185072192958401E-6</v>
      </c>
      <c r="O86" s="1">
        <v>9.0836086472435307E-6</v>
      </c>
      <c r="P86" s="1">
        <v>-1.8551322954586599E-5</v>
      </c>
    </row>
    <row r="87" spans="1:16" x14ac:dyDescent="0.2">
      <c r="A87">
        <v>86</v>
      </c>
      <c r="B87">
        <v>762</v>
      </c>
      <c r="C87">
        <v>175</v>
      </c>
      <c r="D87">
        <v>0.41261701202724399</v>
      </c>
      <c r="E87">
        <v>9.7521600503639796</v>
      </c>
      <c r="F87">
        <v>0.60272353146720703</v>
      </c>
      <c r="G87">
        <v>-193.07413911795095</v>
      </c>
      <c r="H87">
        <v>-128.62917699074998</v>
      </c>
      <c r="I87">
        <v>62.260000692118503</v>
      </c>
      <c r="J87">
        <v>28.606050397885699</v>
      </c>
      <c r="K87">
        <v>16.180154815963999</v>
      </c>
      <c r="L87">
        <v>1.5177966990951041E-3</v>
      </c>
      <c r="M87">
        <v>3.9610118618416292E-4</v>
      </c>
      <c r="N87" s="1">
        <v>2.0199681685436099E-6</v>
      </c>
      <c r="O87" s="1">
        <v>9.1938684920943102E-6</v>
      </c>
      <c r="P87" s="1">
        <v>-1.8850309544278499E-5</v>
      </c>
    </row>
    <row r="88" spans="1:16" x14ac:dyDescent="0.2">
      <c r="A88">
        <v>87</v>
      </c>
      <c r="B88">
        <v>761</v>
      </c>
      <c r="C88">
        <v>175</v>
      </c>
      <c r="D88">
        <v>0.411981337330175</v>
      </c>
      <c r="E88">
        <v>11.2999397913217</v>
      </c>
      <c r="F88">
        <v>0.66718191915766301</v>
      </c>
      <c r="G88">
        <v>-218.72430207203848</v>
      </c>
      <c r="H88">
        <v>-150.46616901705778</v>
      </c>
      <c r="I88">
        <v>66.007504236838898</v>
      </c>
      <c r="J88">
        <v>30.716011098912499</v>
      </c>
      <c r="K88">
        <v>16.936819579265801</v>
      </c>
      <c r="L88">
        <v>1.4711971638202638E-3</v>
      </c>
      <c r="M88">
        <v>3.8275092871464214E-4</v>
      </c>
      <c r="N88" s="1">
        <v>2.2279037863914299E-6</v>
      </c>
      <c r="O88" s="1">
        <v>9.3032104512430705E-6</v>
      </c>
      <c r="P88" s="1">
        <v>-1.9149634850944901E-5</v>
      </c>
    </row>
    <row r="89" spans="1:16" x14ac:dyDescent="0.2">
      <c r="A89">
        <v>88</v>
      </c>
      <c r="B89">
        <v>760</v>
      </c>
      <c r="C89">
        <v>175</v>
      </c>
      <c r="D89">
        <v>0.41134443207665999</v>
      </c>
      <c r="E89">
        <v>12.850083827636601</v>
      </c>
      <c r="F89">
        <v>0.726241310633024</v>
      </c>
      <c r="G89">
        <v>-244.39827346742703</v>
      </c>
      <c r="H89">
        <v>-172.33221237433693</v>
      </c>
      <c r="I89">
        <v>69.757187648022096</v>
      </c>
      <c r="J89">
        <v>32.8301027511162</v>
      </c>
      <c r="K89">
        <v>17.693958797849</v>
      </c>
      <c r="L89">
        <v>1.428542626696857E-3</v>
      </c>
      <c r="M89">
        <v>3.70501797428504E-4</v>
      </c>
      <c r="N89" s="1">
        <v>2.4424039349927601E-6</v>
      </c>
      <c r="O89" s="1">
        <v>9.4118554961905307E-6</v>
      </c>
      <c r="P89" s="1">
        <v>-1.94497515902844E-5</v>
      </c>
    </row>
    <row r="90" spans="1:16" x14ac:dyDescent="0.2">
      <c r="A90">
        <v>89</v>
      </c>
      <c r="B90">
        <v>759</v>
      </c>
      <c r="C90">
        <v>175</v>
      </c>
      <c r="D90">
        <v>0.41070629269001901</v>
      </c>
      <c r="E90">
        <v>14.406765507484501</v>
      </c>
      <c r="F90">
        <v>0.78070208573450495</v>
      </c>
      <c r="G90">
        <v>-270.16413949865523</v>
      </c>
      <c r="H90">
        <v>-194.28524193365428</v>
      </c>
      <c r="I90">
        <v>73.518892491129293</v>
      </c>
      <c r="J90">
        <v>34.953811215656401</v>
      </c>
      <c r="K90">
        <v>18.4536019190089</v>
      </c>
      <c r="L90">
        <v>1.3892404920369545E-3</v>
      </c>
      <c r="M90">
        <v>3.5919050090609867E-4</v>
      </c>
      <c r="N90" s="1">
        <v>2.6635873265674602E-6</v>
      </c>
      <c r="O90" s="1">
        <v>9.5200843219160999E-6</v>
      </c>
      <c r="P90" s="1">
        <v>-1.9751243414634099E-5</v>
      </c>
    </row>
    <row r="91" spans="1:16" x14ac:dyDescent="0.2">
      <c r="A91">
        <v>90</v>
      </c>
      <c r="B91">
        <v>758</v>
      </c>
      <c r="C91">
        <v>175</v>
      </c>
      <c r="D91">
        <v>0.41006691557969399</v>
      </c>
      <c r="E91">
        <v>15.975437214139699</v>
      </c>
      <c r="F91">
        <v>0.83125726616879203</v>
      </c>
      <c r="G91">
        <v>-296.11080784461365</v>
      </c>
      <c r="H91">
        <v>-216.40093017733096</v>
      </c>
      <c r="I91">
        <v>77.305489254549499</v>
      </c>
      <c r="J91">
        <v>37.094311319241498</v>
      </c>
      <c r="K91">
        <v>19.218403091704001</v>
      </c>
      <c r="L91">
        <v>1.3527756928921207E-3</v>
      </c>
      <c r="M91">
        <v>3.4867565489850425E-4</v>
      </c>
      <c r="N91" s="1">
        <v>2.89161444660226E-6</v>
      </c>
      <c r="O91" s="1">
        <v>9.6282651614384504E-6</v>
      </c>
      <c r="P91" s="1">
        <v>-2.0054885402326398E-5</v>
      </c>
    </row>
    <row r="92" spans="1:16" x14ac:dyDescent="0.2">
      <c r="A92">
        <v>91</v>
      </c>
      <c r="B92">
        <v>757</v>
      </c>
      <c r="C92">
        <v>175</v>
      </c>
      <c r="D92">
        <v>0.40942629714119499</v>
      </c>
      <c r="E92">
        <v>22.680915908922401</v>
      </c>
      <c r="F92">
        <v>1.00898120786117</v>
      </c>
      <c r="G92">
        <v>-404.68133187064279</v>
      </c>
      <c r="H92">
        <v>-308.60590012022999</v>
      </c>
      <c r="I92">
        <v>93.267294570869296</v>
      </c>
      <c r="J92">
        <v>45.975499118836701</v>
      </c>
      <c r="K92">
        <v>22.479027094073501</v>
      </c>
      <c r="L92">
        <v>1.2193318309990432E-3</v>
      </c>
      <c r="M92">
        <v>3.130572819144197E-4</v>
      </c>
      <c r="N92" s="1">
        <v>3.2273869217145601E-6</v>
      </c>
      <c r="O92" s="1">
        <v>1.01115662146141E-5</v>
      </c>
      <c r="P92" s="1">
        <v>-2.1145140702170901E-5</v>
      </c>
    </row>
    <row r="93" spans="1:16" x14ac:dyDescent="0.2">
      <c r="A93">
        <v>92</v>
      </c>
      <c r="B93">
        <v>756</v>
      </c>
      <c r="C93">
        <v>175</v>
      </c>
      <c r="D93">
        <v>0.40878443375601398</v>
      </c>
      <c r="E93">
        <v>69.050236857760098</v>
      </c>
      <c r="F93">
        <v>1.5330243413495399</v>
      </c>
      <c r="G93">
        <v>-1157.9924108407058</v>
      </c>
      <c r="H93">
        <v>-949.27878013045313</v>
      </c>
      <c r="I93">
        <v>202.80694136048001</v>
      </c>
      <c r="J93">
        <v>106.86320356284099</v>
      </c>
      <c r="K93">
        <v>45.041839842525903</v>
      </c>
      <c r="L93">
        <v>8.1292964366563132E-4</v>
      </c>
      <c r="M93">
        <v>2.0704629142760466E-4</v>
      </c>
      <c r="N93" s="1">
        <v>4.4023354970350202E-6</v>
      </c>
      <c r="O93" s="1">
        <v>1.3372164248811101E-5</v>
      </c>
      <c r="P93" s="1">
        <v>-2.80741686657659E-5</v>
      </c>
    </row>
    <row r="94" spans="1:16" x14ac:dyDescent="0.2">
      <c r="A94">
        <v>93</v>
      </c>
      <c r="B94">
        <v>755</v>
      </c>
      <c r="C94">
        <v>175</v>
      </c>
      <c r="D94">
        <v>0.40814132179156798</v>
      </c>
      <c r="E94">
        <v>84.816678763825806</v>
      </c>
      <c r="F94">
        <v>1.61045633318349</v>
      </c>
      <c r="G94">
        <v>-1413.9068028379832</v>
      </c>
      <c r="H94">
        <v>-1167.2857665736528</v>
      </c>
      <c r="I94">
        <v>239.8741374423</v>
      </c>
      <c r="J94">
        <v>127.57123653805201</v>
      </c>
      <c r="K94">
        <v>52.666239385803799</v>
      </c>
      <c r="L94">
        <v>7.5410093820655949E-4</v>
      </c>
      <c r="M94">
        <v>1.912790624635398E-4</v>
      </c>
      <c r="N94" s="1">
        <v>5.0315279196952702E-6</v>
      </c>
      <c r="O94" s="1">
        <v>1.4443483043465501E-5</v>
      </c>
      <c r="P94" s="1">
        <v>-3.0444159365462001E-5</v>
      </c>
    </row>
    <row r="95" spans="1:16" x14ac:dyDescent="0.2">
      <c r="A95">
        <v>94</v>
      </c>
      <c r="B95">
        <v>754</v>
      </c>
      <c r="C95">
        <v>175</v>
      </c>
      <c r="D95">
        <v>0.40749695760112897</v>
      </c>
      <c r="E95">
        <v>90.898304110299193</v>
      </c>
      <c r="F95">
        <v>1.6355269806528601</v>
      </c>
      <c r="G95">
        <v>-1512.4358561851082</v>
      </c>
      <c r="H95">
        <v>-1251.4789191611701</v>
      </c>
      <c r="I95">
        <v>254.064799057953</v>
      </c>
      <c r="J95">
        <v>135.580827710618</v>
      </c>
      <c r="K95">
        <v>55.5773797592839</v>
      </c>
      <c r="L95">
        <v>7.3594305025641109E-4</v>
      </c>
      <c r="M95">
        <v>1.8605691775481185E-4</v>
      </c>
      <c r="N95" s="1">
        <v>5.4791947829088104E-6</v>
      </c>
      <c r="O95" s="1">
        <v>1.48300217820463E-5</v>
      </c>
      <c r="P95" s="1">
        <v>-3.1383853017240503E-5</v>
      </c>
    </row>
    <row r="96" spans="1:16" x14ac:dyDescent="0.2">
      <c r="A96">
        <v>95</v>
      </c>
      <c r="B96">
        <v>753</v>
      </c>
      <c r="C96">
        <v>175</v>
      </c>
      <c r="D96">
        <v>0.40685133752375702</v>
      </c>
      <c r="E96">
        <v>94.164907678719501</v>
      </c>
      <c r="F96">
        <v>1.64855398109673</v>
      </c>
      <c r="G96">
        <v>-1565.2209761824793</v>
      </c>
      <c r="H96">
        <v>-1296.7741900652213</v>
      </c>
      <c r="I96">
        <v>261.61145524633099</v>
      </c>
      <c r="J96">
        <v>139.902503745979</v>
      </c>
      <c r="K96">
        <v>57.119699299185001</v>
      </c>
      <c r="L96">
        <v>7.2713612707520699E-4</v>
      </c>
      <c r="M96">
        <v>1.8325912027543909E-4</v>
      </c>
      <c r="N96" s="1">
        <v>5.8762553847282297E-6</v>
      </c>
      <c r="O96" s="1">
        <v>1.5018212214028299E-5</v>
      </c>
      <c r="P96" s="1">
        <v>-3.1909440675120698E-5</v>
      </c>
    </row>
    <row r="97" spans="1:16" x14ac:dyDescent="0.2">
      <c r="A97">
        <v>96</v>
      </c>
      <c r="B97">
        <v>752</v>
      </c>
      <c r="C97">
        <v>175</v>
      </c>
      <c r="D97">
        <v>0.406204457884214</v>
      </c>
      <c r="E97">
        <v>96.239941246675698</v>
      </c>
      <c r="F97">
        <v>1.6569421057033</v>
      </c>
      <c r="G97">
        <v>-1598.6435175365389</v>
      </c>
      <c r="H97">
        <v>-1325.6039846202339</v>
      </c>
      <c r="I97">
        <v>266.34677553291601</v>
      </c>
      <c r="J97">
        <v>142.66413383907599</v>
      </c>
      <c r="K97">
        <v>58.082862953033398</v>
      </c>
      <c r="L97">
        <v>7.2192784027600137E-4</v>
      </c>
      <c r="M97">
        <v>1.8139452664580759E-4</v>
      </c>
      <c r="N97" s="1">
        <v>6.2537171929047401E-6</v>
      </c>
      <c r="O97" s="1">
        <v>1.51225221867043E-5</v>
      </c>
      <c r="P97" s="1">
        <v>-3.2260077339071202E-5</v>
      </c>
    </row>
    <row r="98" spans="1:16" x14ac:dyDescent="0.2">
      <c r="A98">
        <v>97</v>
      </c>
      <c r="B98">
        <v>751</v>
      </c>
      <c r="C98">
        <v>175</v>
      </c>
      <c r="D98">
        <v>0.40555631499292399</v>
      </c>
      <c r="E98">
        <v>97.694609391290598</v>
      </c>
      <c r="F98">
        <v>1.66304018159532</v>
      </c>
      <c r="G98">
        <v>-1621.9854666622161</v>
      </c>
      <c r="H98">
        <v>-1345.8613945126444</v>
      </c>
      <c r="I98">
        <v>269.61868365843702</v>
      </c>
      <c r="J98">
        <v>144.61412024343599</v>
      </c>
      <c r="K98">
        <v>58.744587456433997</v>
      </c>
      <c r="L98">
        <v>7.1849360716047604E-4</v>
      </c>
      <c r="M98">
        <v>1.7999015665175484E-4</v>
      </c>
      <c r="N98" s="1">
        <v>6.6224375388080998E-6</v>
      </c>
      <c r="O98" s="1">
        <v>1.5183138595908E-5</v>
      </c>
      <c r="P98" s="1">
        <v>-3.2519702442734898E-5</v>
      </c>
    </row>
    <row r="99" spans="1:16" x14ac:dyDescent="0.2">
      <c r="A99">
        <v>98</v>
      </c>
      <c r="B99">
        <v>750</v>
      </c>
      <c r="C99">
        <v>175</v>
      </c>
      <c r="D99">
        <v>0.40490690514587502</v>
      </c>
      <c r="E99">
        <v>98.782100009917002</v>
      </c>
      <c r="F99">
        <v>1.6678295127720799</v>
      </c>
      <c r="G99">
        <v>-1639.361052298188</v>
      </c>
      <c r="H99">
        <v>-1361.0451276643471</v>
      </c>
      <c r="I99">
        <v>272.024489289862</v>
      </c>
      <c r="J99">
        <v>146.08411346230901</v>
      </c>
      <c r="K99">
        <v>59.2279362209703</v>
      </c>
      <c r="L99">
        <v>7.1607120043350116E-4</v>
      </c>
      <c r="M99">
        <v>1.788483996991367E-4</v>
      </c>
      <c r="N99" s="1">
        <v>6.9871866567587701E-6</v>
      </c>
      <c r="O99" s="1">
        <v>1.5217848971279501E-5</v>
      </c>
      <c r="P99" s="1">
        <v>-3.2725452276997201E-5</v>
      </c>
    </row>
    <row r="100" spans="1:16" x14ac:dyDescent="0.2">
      <c r="A100">
        <v>99</v>
      </c>
      <c r="B100">
        <v>780</v>
      </c>
      <c r="C100">
        <v>150</v>
      </c>
      <c r="D100">
        <v>0.44996486730285301</v>
      </c>
      <c r="E100">
        <v>6.2465998732873897</v>
      </c>
      <c r="F100">
        <v>0.35254501917127701</v>
      </c>
      <c r="G100">
        <v>-138.35252268816603</v>
      </c>
      <c r="H100">
        <v>-78.028264134748866</v>
      </c>
      <c r="I100">
        <v>57.283229588804801</v>
      </c>
      <c r="J100">
        <v>24.314661488178601</v>
      </c>
      <c r="K100">
        <v>17.7185877933297</v>
      </c>
      <c r="L100">
        <v>1.7303613860593157E-3</v>
      </c>
      <c r="M100">
        <v>5.7371460056058565E-4</v>
      </c>
      <c r="N100" s="1">
        <v>-1.1434155359721699E-5</v>
      </c>
      <c r="O100" s="1">
        <v>1.6792347870999901E-5</v>
      </c>
      <c r="P100" s="1">
        <v>-2.4979537102421901E-5</v>
      </c>
    </row>
    <row r="101" spans="1:16" x14ac:dyDescent="0.2">
      <c r="A101">
        <v>100</v>
      </c>
      <c r="B101">
        <v>779</v>
      </c>
      <c r="C101">
        <v>150</v>
      </c>
      <c r="D101">
        <v>0.44937556432067799</v>
      </c>
      <c r="E101">
        <v>6.3587702822715002</v>
      </c>
      <c r="F101">
        <v>0.35827580135785297</v>
      </c>
      <c r="G101">
        <v>-140.16663608189853</v>
      </c>
      <c r="H101">
        <v>-79.621803121854299</v>
      </c>
      <c r="I101">
        <v>57.547318931032699</v>
      </c>
      <c r="J101">
        <v>24.4951586076197</v>
      </c>
      <c r="K101">
        <v>17.748254998445201</v>
      </c>
      <c r="L101">
        <v>1.7300946403350588E-3</v>
      </c>
      <c r="M101">
        <v>5.7198446968687424E-4</v>
      </c>
      <c r="N101" s="1">
        <v>-1.1311218359225801E-5</v>
      </c>
      <c r="O101" s="1">
        <v>1.6782632093634198E-5</v>
      </c>
      <c r="P101" s="1">
        <v>-2.50614034256484E-5</v>
      </c>
    </row>
    <row r="102" spans="1:16" x14ac:dyDescent="0.2">
      <c r="A102">
        <v>101</v>
      </c>
      <c r="B102">
        <v>778</v>
      </c>
      <c r="C102">
        <v>150</v>
      </c>
      <c r="D102">
        <v>0.44878514008467002</v>
      </c>
      <c r="E102">
        <v>6.6795261069576899</v>
      </c>
      <c r="F102">
        <v>0.373374017257116</v>
      </c>
      <c r="G102">
        <v>-145.45833939087362</v>
      </c>
      <c r="H102">
        <v>-84.133723859318565</v>
      </c>
      <c r="I102">
        <v>58.343914227479999</v>
      </c>
      <c r="J102">
        <v>24.963017033139099</v>
      </c>
      <c r="K102">
        <v>17.889638266815901</v>
      </c>
      <c r="L102">
        <v>1.7226444696944337E-3</v>
      </c>
      <c r="M102">
        <v>5.6785349869035539E-4</v>
      </c>
      <c r="N102" s="1">
        <v>-1.12095245160176E-5</v>
      </c>
      <c r="O102" s="1">
        <v>1.68068778944044E-5</v>
      </c>
      <c r="P102" s="1">
        <v>-2.5194769686928199E-5</v>
      </c>
    </row>
    <row r="103" spans="1:16" x14ac:dyDescent="0.2">
      <c r="A103">
        <v>102</v>
      </c>
      <c r="B103">
        <v>777</v>
      </c>
      <c r="C103">
        <v>150</v>
      </c>
      <c r="D103">
        <v>0.44819359139171</v>
      </c>
      <c r="E103">
        <v>7.0005559067371097</v>
      </c>
      <c r="F103">
        <v>0.388250767477684</v>
      </c>
      <c r="G103">
        <v>-150.75244587452499</v>
      </c>
      <c r="H103">
        <v>-88.649655164624392</v>
      </c>
      <c r="I103">
        <v>59.140496012903398</v>
      </c>
      <c r="J103">
        <v>25.431650159601201</v>
      </c>
      <c r="K103">
        <v>18.031016273881399</v>
      </c>
      <c r="L103">
        <v>1.7153151519495298E-3</v>
      </c>
      <c r="M103">
        <v>5.6377789764306915E-4</v>
      </c>
      <c r="N103" s="1">
        <v>-1.1104573443262101E-5</v>
      </c>
      <c r="O103" s="1">
        <v>1.6830901314435501E-5</v>
      </c>
      <c r="P103" s="1">
        <v>-2.5328796310729899E-5</v>
      </c>
    </row>
    <row r="104" spans="1:16" x14ac:dyDescent="0.2">
      <c r="A104">
        <v>103</v>
      </c>
      <c r="B104">
        <v>776</v>
      </c>
      <c r="C104">
        <v>150</v>
      </c>
      <c r="D104">
        <v>0.447600915026452</v>
      </c>
      <c r="E104">
        <v>7.3218050511574599</v>
      </c>
      <c r="F104">
        <v>0.40290894038924102</v>
      </c>
      <c r="G104">
        <v>-156.04803052574891</v>
      </c>
      <c r="H104">
        <v>-93.168831576636421</v>
      </c>
      <c r="I104">
        <v>59.936912174730402</v>
      </c>
      <c r="J104">
        <v>25.900986130801499</v>
      </c>
      <c r="K104">
        <v>18.172356870721199</v>
      </c>
      <c r="L104">
        <v>1.7081055069562167E-3</v>
      </c>
      <c r="M104">
        <v>5.5975692953603648E-4</v>
      </c>
      <c r="N104" s="1">
        <v>-1.09963082234215E-5</v>
      </c>
      <c r="O104" s="1">
        <v>1.6854688444838401E-5</v>
      </c>
      <c r="P104" s="1">
        <v>-2.54634671549561E-5</v>
      </c>
    </row>
    <row r="105" spans="1:16" x14ac:dyDescent="0.2">
      <c r="A105">
        <v>104</v>
      </c>
      <c r="B105">
        <v>775</v>
      </c>
      <c r="C105">
        <v>150</v>
      </c>
      <c r="D105">
        <v>0.44700710776129698</v>
      </c>
      <c r="E105">
        <v>7.6432189075750596</v>
      </c>
      <c r="F105">
        <v>0.41735143447461598</v>
      </c>
      <c r="G105">
        <v>-161.34416903045889</v>
      </c>
      <c r="H105">
        <v>-97.690487465698723</v>
      </c>
      <c r="I105">
        <v>60.733010841847999</v>
      </c>
      <c r="J105">
        <v>26.370953185545599</v>
      </c>
      <c r="K105">
        <v>18.3136279792514</v>
      </c>
      <c r="L105">
        <v>1.7010143292796214E-3</v>
      </c>
      <c r="M105">
        <v>5.5578985359423024E-4</v>
      </c>
      <c r="N105" s="1">
        <v>-1.08846720205602E-5</v>
      </c>
      <c r="O105" s="1">
        <v>1.6878225413436299E-5</v>
      </c>
      <c r="P105" s="1">
        <v>-2.55987658047565E-5</v>
      </c>
    </row>
    <row r="106" spans="1:16" x14ac:dyDescent="0.2">
      <c r="A106">
        <v>105</v>
      </c>
      <c r="B106">
        <v>774</v>
      </c>
      <c r="C106">
        <v>150</v>
      </c>
      <c r="D106">
        <v>0.44641216635630598</v>
      </c>
      <c r="E106">
        <v>7.9647429806059797</v>
      </c>
      <c r="F106">
        <v>0.43158115970970901</v>
      </c>
      <c r="G106">
        <v>-166.63994008942984</v>
      </c>
      <c r="H106">
        <v>-102.21385897314481</v>
      </c>
      <c r="I106">
        <v>61.5286407508802</v>
      </c>
      <c r="J106">
        <v>26.841479859471999</v>
      </c>
      <c r="K106">
        <v>18.4547976699521</v>
      </c>
      <c r="L106">
        <v>1.6940403867866478E-3</v>
      </c>
      <c r="M106">
        <v>5.5187592493181762E-4</v>
      </c>
      <c r="N106" s="1">
        <v>-1.07696081294945E-5</v>
      </c>
      <c r="O106" s="1">
        <v>1.6901498409822199E-5</v>
      </c>
      <c r="P106" s="1">
        <v>-2.5734675604619E-5</v>
      </c>
    </row>
    <row r="107" spans="1:16" x14ac:dyDescent="0.2">
      <c r="A107">
        <v>106</v>
      </c>
      <c r="B107">
        <v>773</v>
      </c>
      <c r="C107">
        <v>150</v>
      </c>
      <c r="D107">
        <v>0.44581608755914398</v>
      </c>
      <c r="E107">
        <v>8.2863230469054496</v>
      </c>
      <c r="F107">
        <v>0.445601038466097</v>
      </c>
      <c r="G107">
        <v>-171.93442765777127</v>
      </c>
      <c r="H107">
        <v>-106.73818588555407</v>
      </c>
      <c r="I107">
        <v>62.323651598202403</v>
      </c>
      <c r="J107">
        <v>27.3124951806154</v>
      </c>
      <c r="K107">
        <v>18.5958342364498</v>
      </c>
      <c r="L107">
        <v>1.6871824195941229E-3</v>
      </c>
      <c r="M107">
        <v>5.4801439433256583E-4</v>
      </c>
      <c r="N107" s="1">
        <v>-1.0651060024204299E-5</v>
      </c>
      <c r="O107" s="1">
        <v>1.692449370897E-5</v>
      </c>
      <c r="P107" s="1">
        <v>-2.5871179689051999E-5</v>
      </c>
    </row>
    <row r="108" spans="1:16" x14ac:dyDescent="0.2">
      <c r="A108">
        <v>107</v>
      </c>
      <c r="B108">
        <v>772</v>
      </c>
      <c r="C108">
        <v>150</v>
      </c>
      <c r="D108">
        <v>0.44521886810505501</v>
      </c>
      <c r="E108">
        <v>8.6079052970631391</v>
      </c>
      <c r="F108">
        <v>0.459414006461414</v>
      </c>
      <c r="G108">
        <v>-177.22672329846461</v>
      </c>
      <c r="H108">
        <v>-111.26271360757926</v>
      </c>
      <c r="I108">
        <v>63.117894408801902</v>
      </c>
      <c r="J108">
        <v>27.7839288753289</v>
      </c>
      <c r="K108">
        <v>18.736706273638799</v>
      </c>
      <c r="L108">
        <v>1.6804391389693516E-3</v>
      </c>
      <c r="M108">
        <v>5.4420450802043069E-4</v>
      </c>
      <c r="N108" s="1">
        <v>-1.0528971407115599E-5</v>
      </c>
      <c r="O108" s="1">
        <v>1.6947197695712E-5</v>
      </c>
      <c r="P108" s="1">
        <v>-2.6008261015365801E-5</v>
      </c>
    </row>
    <row r="109" spans="1:16" x14ac:dyDescent="0.2">
      <c r="A109">
        <v>108</v>
      </c>
      <c r="B109">
        <v>771</v>
      </c>
      <c r="C109">
        <v>150</v>
      </c>
      <c r="D109">
        <v>0.44462050471675502</v>
      </c>
      <c r="E109">
        <v>8.9294364684794498</v>
      </c>
      <c r="F109">
        <v>0.47302301312081901</v>
      </c>
      <c r="G109">
        <v>-182.51592838135696</v>
      </c>
      <c r="H109">
        <v>-115.78669500843861</v>
      </c>
      <c r="I109">
        <v>63.911221880240603</v>
      </c>
      <c r="J109">
        <v>28.255711562162901</v>
      </c>
      <c r="K109">
        <v>18.8773827505062</v>
      </c>
      <c r="L109">
        <v>1.6738092266805271E-3</v>
      </c>
      <c r="M109">
        <v>5.4044550758369087E-4</v>
      </c>
      <c r="N109" s="1">
        <v>-1.0403286257214999E-5</v>
      </c>
      <c r="O109" s="1">
        <v>1.6969596887259599E-5</v>
      </c>
      <c r="P109" s="1">
        <v>-2.6145902394271701E-5</v>
      </c>
    </row>
    <row r="110" spans="1:16" x14ac:dyDescent="0.2">
      <c r="A110">
        <v>109</v>
      </c>
      <c r="B110">
        <v>770</v>
      </c>
      <c r="C110">
        <v>150</v>
      </c>
      <c r="D110">
        <v>0.44402099410439499</v>
      </c>
      <c r="E110">
        <v>9.2918981641687406</v>
      </c>
      <c r="F110">
        <v>0.48805370147429</v>
      </c>
      <c r="G110">
        <v>-188.48306582700721</v>
      </c>
      <c r="H110">
        <v>-120.88910075794224</v>
      </c>
      <c r="I110">
        <v>64.801463325552305</v>
      </c>
      <c r="J110">
        <v>28.781863219486599</v>
      </c>
      <c r="K110">
        <v>19.038679834002298</v>
      </c>
      <c r="L110">
        <v>1.6659939809819727E-3</v>
      </c>
      <c r="M110">
        <v>5.3631694919249089E-4</v>
      </c>
      <c r="N110" s="1">
        <v>-1.0277281838736301E-5</v>
      </c>
      <c r="O110" s="1">
        <v>1.69969667560631E-5</v>
      </c>
      <c r="P110" s="1">
        <v>-2.6292267027610501E-5</v>
      </c>
    </row>
    <row r="111" spans="1:16" x14ac:dyDescent="0.2">
      <c r="A111">
        <v>110</v>
      </c>
      <c r="B111">
        <v>769</v>
      </c>
      <c r="C111">
        <v>150</v>
      </c>
      <c r="D111">
        <v>0.44342033296550898</v>
      </c>
      <c r="E111">
        <v>10.802429699477299</v>
      </c>
      <c r="F111">
        <v>0.546052823330477</v>
      </c>
      <c r="G111">
        <v>-213.52071947063666</v>
      </c>
      <c r="H111">
        <v>-142.20932177758198</v>
      </c>
      <c r="I111">
        <v>68.4307667468739</v>
      </c>
      <c r="J111">
        <v>30.822009377278199</v>
      </c>
      <c r="K111">
        <v>19.7827558762379</v>
      </c>
      <c r="L111">
        <v>1.6236753744414095E-3</v>
      </c>
      <c r="M111">
        <v>5.210759376942254E-4</v>
      </c>
      <c r="N111" s="1">
        <v>-1.02393701089088E-5</v>
      </c>
      <c r="O111" s="1">
        <v>1.7171618528946901E-5</v>
      </c>
      <c r="P111" s="1">
        <v>-2.6668455699557698E-5</v>
      </c>
    </row>
    <row r="112" spans="1:16" x14ac:dyDescent="0.2">
      <c r="A112">
        <v>111</v>
      </c>
      <c r="B112">
        <v>768</v>
      </c>
      <c r="C112">
        <v>150</v>
      </c>
      <c r="D112">
        <v>0.442818517984921</v>
      </c>
      <c r="E112">
        <v>12.311755851070499</v>
      </c>
      <c r="F112">
        <v>0.59982936260303599</v>
      </c>
      <c r="G112">
        <v>-238.5240848481306</v>
      </c>
      <c r="H112">
        <v>-163.50903411749897</v>
      </c>
      <c r="I112">
        <v>72.053806841765905</v>
      </c>
      <c r="J112">
        <v>32.861478218942104</v>
      </c>
      <c r="K112">
        <v>20.5254304284841</v>
      </c>
      <c r="L112">
        <v>1.5845062601829987E-3</v>
      </c>
      <c r="M112">
        <v>5.0692957997484672E-4</v>
      </c>
      <c r="N112" s="1">
        <v>-1.0194726147373599E-5</v>
      </c>
      <c r="O112" s="1">
        <v>1.7345030223552699E-5</v>
      </c>
      <c r="P112" s="1">
        <v>-2.70456573298404E-5</v>
      </c>
    </row>
    <row r="113" spans="1:16" x14ac:dyDescent="0.2">
      <c r="A113">
        <v>112</v>
      </c>
      <c r="B113">
        <v>767</v>
      </c>
      <c r="C113">
        <v>150</v>
      </c>
      <c r="D113">
        <v>0.44221554583473799</v>
      </c>
      <c r="E113">
        <v>13.823064761511899</v>
      </c>
      <c r="F113">
        <v>0.64993813466180095</v>
      </c>
      <c r="G113">
        <v>-263.54523289827807</v>
      </c>
      <c r="H113">
        <v>-184.83251280017592</v>
      </c>
      <c r="I113">
        <v>75.678060610908901</v>
      </c>
      <c r="J113">
        <v>34.904412058692202</v>
      </c>
      <c r="K113">
        <v>21.2682777395496</v>
      </c>
      <c r="L113">
        <v>1.5480656194732964E-3</v>
      </c>
      <c r="M113">
        <v>4.9373373594662493E-4</v>
      </c>
      <c r="N113" s="1">
        <v>-1.01434558831955E-5</v>
      </c>
      <c r="O113" s="1">
        <v>1.7517546547163801E-5</v>
      </c>
      <c r="P113" s="1">
        <v>-2.7424418186219699E-5</v>
      </c>
    </row>
    <row r="114" spans="1:16" x14ac:dyDescent="0.2">
      <c r="A114">
        <v>113</v>
      </c>
      <c r="B114">
        <v>766</v>
      </c>
      <c r="C114">
        <v>150</v>
      </c>
      <c r="D114">
        <v>0.44161141317423203</v>
      </c>
      <c r="E114">
        <v>15.340374307876701</v>
      </c>
      <c r="F114">
        <v>0.69686898091335803</v>
      </c>
      <c r="G114">
        <v>-288.64974102953727</v>
      </c>
      <c r="H114">
        <v>-206.23554003600495</v>
      </c>
      <c r="I114">
        <v>79.312957814753602</v>
      </c>
      <c r="J114">
        <v>36.956037511311997</v>
      </c>
      <c r="K114">
        <v>22.013283311549699</v>
      </c>
      <c r="L114">
        <v>1.5139800801664079E-3</v>
      </c>
      <c r="M114">
        <v>4.8136109994925479E-4</v>
      </c>
      <c r="N114" s="1">
        <v>-1.00857081195917E-5</v>
      </c>
      <c r="O114" s="1">
        <v>1.7689603815118402E-5</v>
      </c>
      <c r="P114" s="1">
        <v>-2.7805437138072199E-5</v>
      </c>
    </row>
    <row r="115" spans="1:16" x14ac:dyDescent="0.2">
      <c r="A115">
        <v>114</v>
      </c>
      <c r="B115">
        <v>765</v>
      </c>
      <c r="C115">
        <v>150</v>
      </c>
      <c r="D115">
        <v>0.44100611664981298</v>
      </c>
      <c r="E115">
        <v>16.868897729524999</v>
      </c>
      <c r="F115">
        <v>0.74106571991584502</v>
      </c>
      <c r="G115">
        <v>-313.92264973899387</v>
      </c>
      <c r="H115">
        <v>-227.79047761888037</v>
      </c>
      <c r="I115">
        <v>82.970742117130399</v>
      </c>
      <c r="J115">
        <v>39.023143019269298</v>
      </c>
      <c r="K115">
        <v>22.763025297460199</v>
      </c>
      <c r="L115">
        <v>1.4819091776628727E-3</v>
      </c>
      <c r="M115">
        <v>4.6969626665107895E-4</v>
      </c>
      <c r="N115" s="1">
        <v>-1.0021694008570601E-5</v>
      </c>
      <c r="O115" s="1">
        <v>1.7861770584465399E-5</v>
      </c>
      <c r="P115" s="1">
        <v>-2.8189632846692199E-5</v>
      </c>
    </row>
    <row r="116" spans="1:16" x14ac:dyDescent="0.2">
      <c r="A116">
        <v>115</v>
      </c>
      <c r="B116">
        <v>764</v>
      </c>
      <c r="C116">
        <v>150</v>
      </c>
      <c r="D116">
        <v>0.44039965289495597</v>
      </c>
      <c r="E116">
        <v>19.489981768662201</v>
      </c>
      <c r="F116">
        <v>0.81054874175719505</v>
      </c>
      <c r="G116">
        <v>-356.18343956078928</v>
      </c>
      <c r="H116">
        <v>-263.65798277342361</v>
      </c>
      <c r="I116">
        <v>89.215095157195805</v>
      </c>
      <c r="J116">
        <v>42.506208704104701</v>
      </c>
      <c r="K116">
        <v>24.045416104662301</v>
      </c>
      <c r="L116">
        <v>1.4310179460553512E-3</v>
      </c>
      <c r="M116">
        <v>4.5208782364423419E-4</v>
      </c>
      <c r="N116" s="1">
        <v>-1.0031979274140999E-5</v>
      </c>
      <c r="O116" s="1">
        <v>1.81730640776047E-5</v>
      </c>
      <c r="P116" s="1">
        <v>-2.8797306876440399E-5</v>
      </c>
    </row>
    <row r="117" spans="1:16" x14ac:dyDescent="0.2">
      <c r="A117">
        <v>116</v>
      </c>
      <c r="B117">
        <v>763</v>
      </c>
      <c r="C117">
        <v>150</v>
      </c>
      <c r="D117">
        <v>0.43979201853014099</v>
      </c>
      <c r="E117">
        <v>40.5309153862991</v>
      </c>
      <c r="F117">
        <v>1.1764160243259301</v>
      </c>
      <c r="G117">
        <v>-698.17797694594731</v>
      </c>
      <c r="H117">
        <v>-554.44432783046284</v>
      </c>
      <c r="I117">
        <v>138.723312687782</v>
      </c>
      <c r="J117">
        <v>69.917449619147405</v>
      </c>
      <c r="K117">
        <v>34.452875979416099</v>
      </c>
      <c r="L117">
        <v>1.1364429741925175E-3</v>
      </c>
      <c r="M117">
        <v>3.5710289249960318E-4</v>
      </c>
      <c r="N117" s="1">
        <v>-1.1209364901748001E-5</v>
      </c>
      <c r="O117" s="1">
        <v>2.0565479838567901E-5</v>
      </c>
      <c r="P117" s="1">
        <v>-3.27207636265847E-5</v>
      </c>
    </row>
    <row r="118" spans="1:16" x14ac:dyDescent="0.2">
      <c r="A118">
        <v>117</v>
      </c>
      <c r="B118">
        <v>762</v>
      </c>
      <c r="C118">
        <v>150</v>
      </c>
      <c r="D118">
        <v>0.439183210162781</v>
      </c>
      <c r="E118">
        <v>72.910041952735298</v>
      </c>
      <c r="F118">
        <v>1.44607812800688</v>
      </c>
      <c r="G118">
        <v>-1224.1570794228062</v>
      </c>
      <c r="H118">
        <v>-1001.9625848108807</v>
      </c>
      <c r="I118">
        <v>214.65470006541</v>
      </c>
      <c r="J118">
        <v>112.013027986035</v>
      </c>
      <c r="K118">
        <v>50.419158232637599</v>
      </c>
      <c r="L118">
        <v>9.1924751347307048E-4</v>
      </c>
      <c r="M118">
        <v>2.8720257188112337E-4</v>
      </c>
      <c r="N118" s="1">
        <v>-1.3023302349888301E-5</v>
      </c>
      <c r="O118" s="1">
        <v>2.4198511031722501E-5</v>
      </c>
      <c r="P118" s="1">
        <v>-3.8657997490049001E-5</v>
      </c>
    </row>
    <row r="119" spans="1:16" x14ac:dyDescent="0.2">
      <c r="A119">
        <v>118</v>
      </c>
      <c r="B119">
        <v>761</v>
      </c>
      <c r="C119">
        <v>150</v>
      </c>
      <c r="D119">
        <v>0.43857322438717999</v>
      </c>
      <c r="E119">
        <v>85.364971705631703</v>
      </c>
      <c r="F119">
        <v>1.51050931931594</v>
      </c>
      <c r="G119">
        <v>-1426.2662984136439</v>
      </c>
      <c r="H119">
        <v>-1174.2358008263361</v>
      </c>
      <c r="I119">
        <v>243.71331391630201</v>
      </c>
      <c r="J119">
        <v>128.21814528791</v>
      </c>
      <c r="K119">
        <v>56.514031799744501</v>
      </c>
      <c r="L119">
        <v>8.688431632585047E-4</v>
      </c>
      <c r="M119">
        <v>2.7042529338298644E-4</v>
      </c>
      <c r="N119" s="1">
        <v>-1.35176426645217E-5</v>
      </c>
      <c r="O119" s="1">
        <v>2.5551335039927002E-5</v>
      </c>
      <c r="P119" s="1">
        <v>-4.0986391356724199E-5</v>
      </c>
    </row>
    <row r="120" spans="1:16" x14ac:dyDescent="0.2">
      <c r="A120">
        <v>119</v>
      </c>
      <c r="B120">
        <v>760</v>
      </c>
      <c r="C120">
        <v>150</v>
      </c>
      <c r="D120">
        <v>0.43796205778444602</v>
      </c>
      <c r="E120">
        <v>90.883365084995603</v>
      </c>
      <c r="F120">
        <v>1.53566503631852</v>
      </c>
      <c r="G120">
        <v>-1515.6434557580826</v>
      </c>
      <c r="H120">
        <v>-1250.6548468490021</v>
      </c>
      <c r="I120">
        <v>256.49167172200703</v>
      </c>
      <c r="J120">
        <v>135.421447708876</v>
      </c>
      <c r="K120">
        <v>59.181763558849802</v>
      </c>
      <c r="L120">
        <v>8.5033205082508685E-4</v>
      </c>
      <c r="M120">
        <v>2.6379122460099089E-4</v>
      </c>
      <c r="N120" s="1">
        <v>-1.35602254281147E-5</v>
      </c>
      <c r="O120" s="1">
        <v>2.6118506117939601E-5</v>
      </c>
      <c r="P120" s="1">
        <v>-4.2068446115861101E-5</v>
      </c>
    </row>
    <row r="121" spans="1:16" x14ac:dyDescent="0.2">
      <c r="A121">
        <v>120</v>
      </c>
      <c r="B121">
        <v>759</v>
      </c>
      <c r="C121">
        <v>150</v>
      </c>
      <c r="D121">
        <v>0.43734970692244701</v>
      </c>
      <c r="E121">
        <v>94.003141934808198</v>
      </c>
      <c r="F121">
        <v>1.54953153060469</v>
      </c>
      <c r="G121">
        <v>-1566.0413992228277</v>
      </c>
      <c r="H121">
        <v>-1293.9258126650975</v>
      </c>
      <c r="I121">
        <v>263.645230598453</v>
      </c>
      <c r="J121">
        <v>139.51453355184</v>
      </c>
      <c r="K121">
        <v>60.665523791002698</v>
      </c>
      <c r="L121">
        <v>8.4098633075983841E-4</v>
      </c>
      <c r="M121">
        <v>2.6007086321746078E-4</v>
      </c>
      <c r="N121" s="1">
        <v>-1.34442754336274E-5</v>
      </c>
      <c r="O121" s="1">
        <v>2.6415020152266199E-5</v>
      </c>
      <c r="P121" s="1">
        <v>-4.27215698741505E-5</v>
      </c>
    </row>
    <row r="122" spans="1:16" x14ac:dyDescent="0.2">
      <c r="A122">
        <v>121</v>
      </c>
      <c r="B122">
        <v>758</v>
      </c>
      <c r="C122">
        <v>150</v>
      </c>
      <c r="D122">
        <v>0.43673616835572199</v>
      </c>
      <c r="E122">
        <v>96.033316048205293</v>
      </c>
      <c r="F122">
        <v>1.55868583717931</v>
      </c>
      <c r="G122">
        <v>-1598.7331502718403</v>
      </c>
      <c r="H122">
        <v>-1322.1385100247005</v>
      </c>
      <c r="I122">
        <v>268.24470550163198</v>
      </c>
      <c r="J122">
        <v>142.19570072706401</v>
      </c>
      <c r="K122">
        <v>61.6117204362316</v>
      </c>
      <c r="L122">
        <v>8.3546449450538842E-4</v>
      </c>
      <c r="M122">
        <v>2.5756570782974948E-4</v>
      </c>
      <c r="N122" s="1">
        <v>-1.32537273656028E-5</v>
      </c>
      <c r="O122" s="1">
        <v>2.65887538590679E-5</v>
      </c>
      <c r="P122" s="1">
        <v>-4.3180559884008503E-5</v>
      </c>
    </row>
    <row r="123" spans="1:16" x14ac:dyDescent="0.2">
      <c r="A123">
        <v>122</v>
      </c>
      <c r="B123">
        <v>757</v>
      </c>
      <c r="C123">
        <v>150</v>
      </c>
      <c r="D123">
        <v>0.436121438625445</v>
      </c>
      <c r="E123">
        <v>97.475654038802205</v>
      </c>
      <c r="F123">
        <v>1.56542144117696</v>
      </c>
      <c r="G123">
        <v>-1621.8726988613535</v>
      </c>
      <c r="H123">
        <v>-1342.2273544412442</v>
      </c>
      <c r="I123">
        <v>271.466550911193</v>
      </c>
      <c r="J123">
        <v>144.11567379103599</v>
      </c>
      <c r="K123">
        <v>62.267994723206897</v>
      </c>
      <c r="L123">
        <v>8.3190398780204626E-4</v>
      </c>
      <c r="M123">
        <v>2.5568354138029512E-4</v>
      </c>
      <c r="N123" s="1">
        <v>-1.3020633407929099E-5</v>
      </c>
      <c r="O123" s="1">
        <v>2.66962450561976E-5</v>
      </c>
      <c r="P123" s="1">
        <v>-4.3535179827197501E-5</v>
      </c>
    </row>
    <row r="124" spans="1:16" x14ac:dyDescent="0.2">
      <c r="A124">
        <v>123</v>
      </c>
      <c r="B124">
        <v>756</v>
      </c>
      <c r="C124">
        <v>150</v>
      </c>
      <c r="D124">
        <v>0.43550551425934297</v>
      </c>
      <c r="E124">
        <v>98.562796796268898</v>
      </c>
      <c r="F124">
        <v>1.5707438296746601</v>
      </c>
      <c r="G124">
        <v>-1639.2405120256333</v>
      </c>
      <c r="H124">
        <v>-1357.4075114619186</v>
      </c>
      <c r="I124">
        <v>273.85604626491698</v>
      </c>
      <c r="J124">
        <v>145.57607657027</v>
      </c>
      <c r="K124">
        <v>62.749122380244202</v>
      </c>
      <c r="L124">
        <v>8.2948831969717072E-4</v>
      </c>
      <c r="M124">
        <v>2.5416473770088944E-4</v>
      </c>
      <c r="N124" s="1">
        <v>-1.2759817644538501E-5</v>
      </c>
      <c r="O124" s="1">
        <v>2.67636612768786E-5</v>
      </c>
      <c r="P124" s="1">
        <v>-4.3826963413026497E-5</v>
      </c>
    </row>
    <row r="125" spans="1:16" x14ac:dyDescent="0.2">
      <c r="A125">
        <v>124</v>
      </c>
      <c r="B125">
        <v>755</v>
      </c>
      <c r="C125">
        <v>150</v>
      </c>
      <c r="D125">
        <v>0.43488839177162902</v>
      </c>
      <c r="E125">
        <v>99.417599356634994</v>
      </c>
      <c r="F125">
        <v>1.5751643453479101</v>
      </c>
      <c r="G125">
        <v>-1652.8329871015339</v>
      </c>
      <c r="H125">
        <v>-1369.37688931809</v>
      </c>
      <c r="I125">
        <v>275.70108251212599</v>
      </c>
      <c r="J125">
        <v>146.73616390067201</v>
      </c>
      <c r="K125">
        <v>63.115699419082603</v>
      </c>
      <c r="L125">
        <v>8.2780229930060284E-4</v>
      </c>
      <c r="M125">
        <v>2.5287725968761498E-4</v>
      </c>
      <c r="N125" s="1">
        <v>-1.2479091223660199E-5</v>
      </c>
      <c r="O125" s="1">
        <v>2.6804802744624499E-5</v>
      </c>
      <c r="P125" s="1">
        <v>-4.4077805400986401E-5</v>
      </c>
    </row>
    <row r="126" spans="1:16" x14ac:dyDescent="0.2">
      <c r="A126">
        <v>125</v>
      </c>
      <c r="B126">
        <v>793</v>
      </c>
      <c r="C126">
        <v>125</v>
      </c>
      <c r="D126">
        <v>0.48331895136707098</v>
      </c>
      <c r="E126">
        <v>6.6962840993052097</v>
      </c>
      <c r="F126">
        <v>0.29197579710086402</v>
      </c>
      <c r="G126">
        <v>-149.63889654623759</v>
      </c>
      <c r="H126">
        <v>-82.868149628262373</v>
      </c>
      <c r="I126">
        <v>62.631504894185397</v>
      </c>
      <c r="J126">
        <v>25.132900191151499</v>
      </c>
      <c r="K126">
        <v>22.9343807459217</v>
      </c>
      <c r="L126">
        <v>1.7532576100027096E-3</v>
      </c>
      <c r="M126">
        <v>7.6281713453579445E-4</v>
      </c>
      <c r="N126" s="1">
        <v>-3.06006724141912E-5</v>
      </c>
      <c r="O126" s="1">
        <v>3.3492230631196802E-5</v>
      </c>
      <c r="P126" s="1">
        <v>-3.4502346531294602E-5</v>
      </c>
    </row>
    <row r="127" spans="1:16" x14ac:dyDescent="0.2">
      <c r="A127">
        <v>126</v>
      </c>
      <c r="B127">
        <v>792</v>
      </c>
      <c r="C127">
        <v>125</v>
      </c>
      <c r="D127">
        <v>0.48276815471999501</v>
      </c>
      <c r="E127">
        <v>6.7985665209583503</v>
      </c>
      <c r="F127">
        <v>0.29623691259629498</v>
      </c>
      <c r="G127">
        <v>-151.28129269225664</v>
      </c>
      <c r="H127">
        <v>-84.324562348459978</v>
      </c>
      <c r="I127">
        <v>62.864916105004397</v>
      </c>
      <c r="J127">
        <v>25.299088776338301</v>
      </c>
      <c r="K127">
        <v>22.949761599167299</v>
      </c>
      <c r="L127">
        <v>1.7548462527489372E-3</v>
      </c>
      <c r="M127">
        <v>7.6140337780420341E-4</v>
      </c>
      <c r="N127" s="1">
        <v>-3.0614336991470497E-5</v>
      </c>
      <c r="O127" s="1">
        <v>3.3479030561402099E-5</v>
      </c>
      <c r="P127" s="1">
        <v>-3.4608270458097702E-5</v>
      </c>
    </row>
    <row r="128" spans="1:16" x14ac:dyDescent="0.2">
      <c r="A128">
        <v>127</v>
      </c>
      <c r="B128">
        <v>791</v>
      </c>
      <c r="C128">
        <v>125</v>
      </c>
      <c r="D128">
        <v>0.48221632288681698</v>
      </c>
      <c r="E128">
        <v>7.1048894058181604</v>
      </c>
      <c r="F128">
        <v>0.30786817755948498</v>
      </c>
      <c r="G128">
        <v>-156.32710746203691</v>
      </c>
      <c r="H128">
        <v>-88.635317694854123</v>
      </c>
      <c r="I128">
        <v>63.614748102107598</v>
      </c>
      <c r="J128">
        <v>25.7410071080559</v>
      </c>
      <c r="K128">
        <v>23.077699884865101</v>
      </c>
      <c r="L128">
        <v>1.7508597953369031E-3</v>
      </c>
      <c r="M128">
        <v>7.5753790179763935E-4</v>
      </c>
      <c r="N128" s="1">
        <v>-3.0677658672523802E-5</v>
      </c>
      <c r="O128" s="1">
        <v>3.3521133705329197E-5</v>
      </c>
      <c r="P128" s="1">
        <v>-3.47724123544103E-5</v>
      </c>
    </row>
    <row r="129" spans="1:16" x14ac:dyDescent="0.2">
      <c r="A129">
        <v>128</v>
      </c>
      <c r="B129">
        <v>790</v>
      </c>
      <c r="C129">
        <v>125</v>
      </c>
      <c r="D129">
        <v>0.48166345294643498</v>
      </c>
      <c r="E129">
        <v>7.4113257033295001</v>
      </c>
      <c r="F129">
        <v>0.31937761526101699</v>
      </c>
      <c r="G129">
        <v>-161.37279963811048</v>
      </c>
      <c r="H129">
        <v>-92.947847421990275</v>
      </c>
      <c r="I129">
        <v>64.364206396032401</v>
      </c>
      <c r="J129">
        <v>26.183464508471602</v>
      </c>
      <c r="K129">
        <v>23.205526465192101</v>
      </c>
      <c r="L129">
        <v>1.7469355699342691E-3</v>
      </c>
      <c r="M129">
        <v>7.537094914970247E-4</v>
      </c>
      <c r="N129" s="1">
        <v>-3.0739130387439498E-5</v>
      </c>
      <c r="O129" s="1">
        <v>3.3563021802245099E-5</v>
      </c>
      <c r="P129" s="1">
        <v>-3.4937595417773199E-5</v>
      </c>
    </row>
    <row r="130" spans="1:16" x14ac:dyDescent="0.2">
      <c r="A130">
        <v>129</v>
      </c>
      <c r="B130">
        <v>789</v>
      </c>
      <c r="C130">
        <v>125</v>
      </c>
      <c r="D130">
        <v>0.48110954196676597</v>
      </c>
      <c r="E130">
        <v>7.7178285955694204</v>
      </c>
      <c r="F130">
        <v>0.33076579145725699</v>
      </c>
      <c r="G130">
        <v>-166.41757856813524</v>
      </c>
      <c r="H130">
        <v>-97.261495962551365</v>
      </c>
      <c r="I130">
        <v>65.113162748829296</v>
      </c>
      <c r="J130">
        <v>26.626400955704899</v>
      </c>
      <c r="K130">
        <v>23.3332127895297</v>
      </c>
      <c r="L130">
        <v>1.743073713645711E-3</v>
      </c>
      <c r="M130">
        <v>7.4991798933548193E-4</v>
      </c>
      <c r="N130" s="1">
        <v>-3.07986863631296E-5</v>
      </c>
      <c r="O130" s="1">
        <v>3.36046769571733E-5</v>
      </c>
      <c r="P130" s="1">
        <v>-3.5103812525298203E-5</v>
      </c>
    </row>
    <row r="131" spans="1:16" x14ac:dyDescent="0.2">
      <c r="A131">
        <v>130</v>
      </c>
      <c r="B131">
        <v>788</v>
      </c>
      <c r="C131">
        <v>125</v>
      </c>
      <c r="D131">
        <v>0.48055458700466802</v>
      </c>
      <c r="E131">
        <v>8.0243513666419908</v>
      </c>
      <c r="F131">
        <v>0.342033313496376</v>
      </c>
      <c r="G131">
        <v>-171.46065594482724</v>
      </c>
      <c r="H131">
        <v>-101.57560907513839</v>
      </c>
      <c r="I131">
        <v>65.861489399569805</v>
      </c>
      <c r="J131">
        <v>27.0697566306266</v>
      </c>
      <c r="K131">
        <v>23.460730431823901</v>
      </c>
      <c r="L131">
        <v>1.7392743309806256E-3</v>
      </c>
      <c r="M131">
        <v>7.4616322283827614E-4</v>
      </c>
      <c r="N131" s="1">
        <v>-3.08562599071868E-5</v>
      </c>
      <c r="O131" s="1">
        <v>3.3646081334777498E-5</v>
      </c>
      <c r="P131" s="1">
        <v>-3.52710564817753E-5</v>
      </c>
    </row>
    <row r="132" spans="1:16" x14ac:dyDescent="0.2">
      <c r="A132">
        <v>131</v>
      </c>
      <c r="B132">
        <v>787</v>
      </c>
      <c r="C132">
        <v>125</v>
      </c>
      <c r="D132">
        <v>0.479998585105882</v>
      </c>
      <c r="E132">
        <v>8.3308475048217492</v>
      </c>
      <c r="F132">
        <v>0.35318083092827002</v>
      </c>
      <c r="G132">
        <v>-176.50124750538379</v>
      </c>
      <c r="H132">
        <v>-105.88953526510664</v>
      </c>
      <c r="I132">
        <v>66.609059329380102</v>
      </c>
      <c r="J132">
        <v>27.5134720603243</v>
      </c>
      <c r="K132">
        <v>23.5880511491115</v>
      </c>
      <c r="L132">
        <v>1.7355374928353887E-3</v>
      </c>
      <c r="M132">
        <v>7.4244500438135942E-4</v>
      </c>
      <c r="N132" s="1">
        <v>-3.0911783432942803E-5</v>
      </c>
      <c r="O132" s="1">
        <v>3.3687217188449298E-5</v>
      </c>
      <c r="P132" s="1">
        <v>-3.5439320047017497E-5</v>
      </c>
    </row>
    <row r="133" spans="1:16" x14ac:dyDescent="0.2">
      <c r="A133">
        <v>132</v>
      </c>
      <c r="B133">
        <v>786</v>
      </c>
      <c r="C133">
        <v>125</v>
      </c>
      <c r="D133">
        <v>0.47944153330501299</v>
      </c>
      <c r="E133">
        <v>8.63727080830372</v>
      </c>
      <c r="F133">
        <v>0.36420903608306898</v>
      </c>
      <c r="G133">
        <v>-181.53857478843676</v>
      </c>
      <c r="H133">
        <v>-110.20262725543211</v>
      </c>
      <c r="I133">
        <v>67.355746535057804</v>
      </c>
      <c r="J133">
        <v>27.957488266870001</v>
      </c>
      <c r="K133">
        <v>23.715146941971199</v>
      </c>
      <c r="L133">
        <v>1.7318632354852872E-3</v>
      </c>
      <c r="M133">
        <v>7.3876313096172955E-4</v>
      </c>
      <c r="N133" s="1">
        <v>-3.0965188486067302E-5</v>
      </c>
      <c r="O133" s="1">
        <v>3.3728066890353899E-5</v>
      </c>
      <c r="P133" s="1">
        <v>-3.5608595964773003E-5</v>
      </c>
    </row>
    <row r="134" spans="1:16" x14ac:dyDescent="0.2">
      <c r="A134">
        <v>133</v>
      </c>
      <c r="B134">
        <v>785</v>
      </c>
      <c r="C134">
        <v>125</v>
      </c>
      <c r="D134">
        <v>0.47888342862543298</v>
      </c>
      <c r="E134">
        <v>8.9435754862653098</v>
      </c>
      <c r="F134">
        <v>0.37511866435381203</v>
      </c>
      <c r="G134">
        <v>-186.57186680917911</v>
      </c>
      <c r="H134">
        <v>-114.51424339192887</v>
      </c>
      <c r="I134">
        <v>68.101426288950293</v>
      </c>
      <c r="J134">
        <v>28.4017469097255</v>
      </c>
      <c r="K134">
        <v>23.841990111773502</v>
      </c>
      <c r="L134">
        <v>1.7282515597905166E-3</v>
      </c>
      <c r="M134">
        <v>7.351173840677433E-4</v>
      </c>
      <c r="N134" s="1">
        <v>-3.1016405769812501E-5</v>
      </c>
      <c r="O134" s="1">
        <v>3.3768612959283E-5</v>
      </c>
      <c r="P134" s="1">
        <v>-3.5778876989899201E-5</v>
      </c>
    </row>
    <row r="135" spans="1:16" x14ac:dyDescent="0.2">
      <c r="A135">
        <v>134</v>
      </c>
      <c r="B135">
        <v>784</v>
      </c>
      <c r="C135">
        <v>125</v>
      </c>
      <c r="D135">
        <v>0.47832426807926898</v>
      </c>
      <c r="E135">
        <v>9.2497162620765199</v>
      </c>
      <c r="F135">
        <v>0.38591049442914999</v>
      </c>
      <c r="G135">
        <v>-191.60036176753769</v>
      </c>
      <c r="H135">
        <v>-118.82374907812638</v>
      </c>
      <c r="I135">
        <v>68.845975403512298</v>
      </c>
      <c r="J135">
        <v>28.8461904314367</v>
      </c>
      <c r="K135">
        <v>23.968553318973399</v>
      </c>
      <c r="L135">
        <v>1.7247024304307011E-3</v>
      </c>
      <c r="M135">
        <v>7.3150752956772686E-4</v>
      </c>
      <c r="N135" s="1">
        <v>-3.1065365171300603E-5</v>
      </c>
      <c r="O135" s="1">
        <v>3.3808838088951E-5</v>
      </c>
      <c r="P135" s="1">
        <v>-3.5950155916567898E-5</v>
      </c>
    </row>
    <row r="136" spans="1:16" x14ac:dyDescent="0.2">
      <c r="A136">
        <v>135</v>
      </c>
      <c r="B136">
        <v>783</v>
      </c>
      <c r="C136">
        <v>125</v>
      </c>
      <c r="D136">
        <v>0.47776404866733202</v>
      </c>
      <c r="E136">
        <v>9.5556484726918303</v>
      </c>
      <c r="F136">
        <v>0.39658534829317199</v>
      </c>
      <c r="G136">
        <v>-196.62330868948982</v>
      </c>
      <c r="H136">
        <v>-123.13051815659445</v>
      </c>
      <c r="I136">
        <v>69.589272484768998</v>
      </c>
      <c r="J136">
        <v>29.290762198307998</v>
      </c>
      <c r="K136">
        <v>24.094809638877202</v>
      </c>
      <c r="L136">
        <v>1.7212157753107851E-3</v>
      </c>
      <c r="M136">
        <v>7.2793331767789175E-4</v>
      </c>
      <c r="N136" s="1">
        <v>-3.1111995786948397E-5</v>
      </c>
      <c r="O136" s="1">
        <v>3.3848725174657301E-5</v>
      </c>
      <c r="P136" s="1">
        <v>-3.6122425605306502E-5</v>
      </c>
    </row>
    <row r="137" spans="1:16" x14ac:dyDescent="0.2">
      <c r="A137">
        <v>136</v>
      </c>
      <c r="B137">
        <v>782</v>
      </c>
      <c r="C137">
        <v>125</v>
      </c>
      <c r="D137">
        <v>0.47720276737904699</v>
      </c>
      <c r="E137">
        <v>9.86132816597447</v>
      </c>
      <c r="F137">
        <v>0.407144091069856</v>
      </c>
      <c r="G137">
        <v>-201.63996903093192</v>
      </c>
      <c r="H137">
        <v>-127.43393426107166</v>
      </c>
      <c r="I137">
        <v>70.331198179400801</v>
      </c>
      <c r="J137">
        <v>29.735406638543601</v>
      </c>
      <c r="K137">
        <v>24.220732615968402</v>
      </c>
      <c r="L137">
        <v>1.7177914850817456E-3</v>
      </c>
      <c r="M137">
        <v>7.2439448298392028E-4</v>
      </c>
      <c r="N137" s="1">
        <v>-3.1156225947627502E-5</v>
      </c>
      <c r="O137" s="1">
        <v>3.3888257338994703E-5</v>
      </c>
      <c r="P137" s="1">
        <v>-3.6295679009581801E-5</v>
      </c>
    </row>
    <row r="138" spans="1:16" x14ac:dyDescent="0.2">
      <c r="A138">
        <v>137</v>
      </c>
      <c r="B138">
        <v>781</v>
      </c>
      <c r="C138">
        <v>125</v>
      </c>
      <c r="D138">
        <v>0.476640421192431</v>
      </c>
      <c r="E138">
        <v>10.166712195902299</v>
      </c>
      <c r="F138">
        <v>0.41758763072900301</v>
      </c>
      <c r="G138">
        <v>-206.64961824312374</v>
      </c>
      <c r="H138">
        <v>-131.73339213878145</v>
      </c>
      <c r="I138">
        <v>71.071635415064193</v>
      </c>
      <c r="J138">
        <v>30.180069377682699</v>
      </c>
      <c r="K138">
        <v>24.346296316664699</v>
      </c>
      <c r="L138">
        <v>1.7144294127655476E-3</v>
      </c>
      <c r="M138">
        <v>7.2089074451069763E-4</v>
      </c>
      <c r="N138" s="1">
        <v>-3.1197983243393903E-5</v>
      </c>
      <c r="O138" s="1">
        <v>3.3927417956420398E-5</v>
      </c>
      <c r="P138" s="1">
        <v>-3.6469909201713997E-5</v>
      </c>
    </row>
    <row r="139" spans="1:16" x14ac:dyDescent="0.2">
      <c r="A139">
        <v>138</v>
      </c>
      <c r="B139">
        <v>780</v>
      </c>
      <c r="C139">
        <v>125</v>
      </c>
      <c r="D139">
        <v>0.47607700707401701</v>
      </c>
      <c r="E139">
        <v>10.471758316045999</v>
      </c>
      <c r="F139">
        <v>0.42791691768142198</v>
      </c>
      <c r="G139">
        <v>-211.65154730626361</v>
      </c>
      <c r="H139">
        <v>-136.02829894834508</v>
      </c>
      <c r="I139">
        <v>71.810469634993098</v>
      </c>
      <c r="J139">
        <v>30.624697371897199</v>
      </c>
      <c r="K139">
        <v>24.471475380746799</v>
      </c>
      <c r="L139">
        <v>1.7111293734648205E-3</v>
      </c>
      <c r="M139">
        <v>7.1742180583097279E-4</v>
      </c>
      <c r="N139" s="1">
        <v>-3.1237194547897797E-5</v>
      </c>
      <c r="O139" s="1">
        <v>3.3966190676835899E-5</v>
      </c>
      <c r="P139" s="1">
        <v>-3.6645109398271297E-5</v>
      </c>
    </row>
    <row r="140" spans="1:16" x14ac:dyDescent="0.2">
      <c r="A140">
        <v>139</v>
      </c>
      <c r="B140">
        <v>779</v>
      </c>
      <c r="C140">
        <v>125</v>
      </c>
      <c r="D140">
        <v>0.475512521978807</v>
      </c>
      <c r="E140">
        <v>10.7764252674963</v>
      </c>
      <c r="F140">
        <v>0.43813294415678899</v>
      </c>
      <c r="G140">
        <v>-216.64506416802135</v>
      </c>
      <c r="H140">
        <v>-140.31807547988885</v>
      </c>
      <c r="I140">
        <v>72.547589017555197</v>
      </c>
      <c r="J140">
        <v>31.069239034096899</v>
      </c>
      <c r="K140">
        <v>24.5962450694871</v>
      </c>
      <c r="L140">
        <v>1.7078911442433E-3</v>
      </c>
      <c r="M140">
        <v>7.1398735524874266E-4</v>
      </c>
      <c r="N140" s="1">
        <v>-3.1273786041747002E-5</v>
      </c>
      <c r="O140" s="1">
        <v>3.4004559447374299E-5</v>
      </c>
      <c r="P140" s="1">
        <v>-3.6821272984052598E-5</v>
      </c>
    </row>
    <row r="141" spans="1:16" x14ac:dyDescent="0.2">
      <c r="A141">
        <v>140</v>
      </c>
      <c r="B141">
        <v>778</v>
      </c>
      <c r="C141">
        <v>125</v>
      </c>
      <c r="D141">
        <v>0.47494696285021398</v>
      </c>
      <c r="E141">
        <v>11.9934289364921</v>
      </c>
      <c r="F141">
        <v>0.475991191528434</v>
      </c>
      <c r="G141">
        <v>-236.79737469118589</v>
      </c>
      <c r="H141">
        <v>-157.49389472902399</v>
      </c>
      <c r="I141">
        <v>75.448289492762498</v>
      </c>
      <c r="J141">
        <v>32.700857874637897</v>
      </c>
      <c r="K141">
        <v>25.196745548968298</v>
      </c>
      <c r="L141">
        <v>1.6824041364836249E-3</v>
      </c>
      <c r="M141">
        <v>7.012373011174301E-4</v>
      </c>
      <c r="N141" s="1">
        <v>-3.1492271960836598E-5</v>
      </c>
      <c r="O141" s="1">
        <v>3.4240732405558101E-5</v>
      </c>
      <c r="P141" s="1">
        <v>-3.7213817717867198E-5</v>
      </c>
    </row>
    <row r="142" spans="1:16" x14ac:dyDescent="0.2">
      <c r="A142">
        <v>141</v>
      </c>
      <c r="B142">
        <v>777</v>
      </c>
      <c r="C142">
        <v>125</v>
      </c>
      <c r="D142">
        <v>0.47438032662001101</v>
      </c>
      <c r="E142">
        <v>13.4578854265421</v>
      </c>
      <c r="F142">
        <v>0.51909867308524804</v>
      </c>
      <c r="G142">
        <v>-261.04905699508731</v>
      </c>
      <c r="H142">
        <v>-178.16163711649421</v>
      </c>
      <c r="I142">
        <v>78.932960124743303</v>
      </c>
      <c r="J142">
        <v>34.655054652410499</v>
      </c>
      <c r="K142">
        <v>25.925486086403499</v>
      </c>
      <c r="L142">
        <v>1.6525163134387198E-3</v>
      </c>
      <c r="M142">
        <v>6.8671037371793853E-4</v>
      </c>
      <c r="N142" s="1">
        <v>-3.1757392484753303E-5</v>
      </c>
      <c r="O142" s="1">
        <v>3.4529388957282101E-5</v>
      </c>
      <c r="P142" s="1">
        <v>-3.7666633597698201E-5</v>
      </c>
    </row>
    <row r="143" spans="1:16" x14ac:dyDescent="0.2">
      <c r="A143">
        <v>142</v>
      </c>
      <c r="B143">
        <v>776</v>
      </c>
      <c r="C143">
        <v>125</v>
      </c>
      <c r="D143">
        <v>0.47381261020826598</v>
      </c>
      <c r="E143">
        <v>14.9242487414471</v>
      </c>
      <c r="F143">
        <v>0.55992005311162096</v>
      </c>
      <c r="G143">
        <v>-285.31763745813669</v>
      </c>
      <c r="H143">
        <v>-198.85212947788014</v>
      </c>
      <c r="I143">
        <v>82.418695918616706</v>
      </c>
      <c r="J143">
        <v>36.612436770241203</v>
      </c>
      <c r="K143">
        <v>26.654249403123199</v>
      </c>
      <c r="L143">
        <v>1.624281386206833E-3</v>
      </c>
      <c r="M143">
        <v>6.7294478581584585E-4</v>
      </c>
      <c r="N143" s="1">
        <v>-3.2019207289849998E-5</v>
      </c>
      <c r="O143" s="1">
        <v>3.4816999059377097E-5</v>
      </c>
      <c r="P143" s="1">
        <v>-3.8121787636160601E-5</v>
      </c>
    </row>
    <row r="144" spans="1:16" x14ac:dyDescent="0.2">
      <c r="A144">
        <v>143</v>
      </c>
      <c r="B144">
        <v>775</v>
      </c>
      <c r="C144">
        <v>125</v>
      </c>
      <c r="D144">
        <v>0.473243810523307</v>
      </c>
      <c r="E144">
        <v>16.396409386947301</v>
      </c>
      <c r="F144">
        <v>0.59873676270274501</v>
      </c>
      <c r="G144">
        <v>-309.66665251757263</v>
      </c>
      <c r="H144">
        <v>-219.61938396994938</v>
      </c>
      <c r="I144">
        <v>85.914586757436695</v>
      </c>
      <c r="J144">
        <v>38.578002193058403</v>
      </c>
      <c r="K144">
        <v>27.385005244930301</v>
      </c>
      <c r="L144">
        <v>1.597486336050009E-3</v>
      </c>
      <c r="M144">
        <v>6.5984594759556554E-4</v>
      </c>
      <c r="N144" s="1">
        <v>-3.2278275781454298E-5</v>
      </c>
      <c r="O144" s="1">
        <v>3.5104284461388101E-5</v>
      </c>
      <c r="P144" s="1">
        <v>-3.8580101468707798E-5</v>
      </c>
    </row>
    <row r="145" spans="1:16" x14ac:dyDescent="0.2">
      <c r="A145">
        <v>144</v>
      </c>
      <c r="B145">
        <v>774</v>
      </c>
      <c r="C145">
        <v>125</v>
      </c>
      <c r="D145">
        <v>0.47267392446163797</v>
      </c>
      <c r="E145">
        <v>17.879375808407701</v>
      </c>
      <c r="F145">
        <v>0.63581760702312695</v>
      </c>
      <c r="G145">
        <v>-334.17784680212179</v>
      </c>
      <c r="H145">
        <v>-240.53291792637199</v>
      </c>
      <c r="I145">
        <v>89.432338576570999</v>
      </c>
      <c r="J145">
        <v>40.558190066492401</v>
      </c>
      <c r="K145">
        <v>28.12029049041</v>
      </c>
      <c r="L145">
        <v>1.571925552716719E-3</v>
      </c>
      <c r="M145">
        <v>6.4732334921822096E-4</v>
      </c>
      <c r="N145" s="1">
        <v>-3.2535350978479298E-5</v>
      </c>
      <c r="O145" s="1">
        <v>3.5392177164878399E-5</v>
      </c>
      <c r="P145" s="1">
        <v>-3.9042640903917201E-5</v>
      </c>
    </row>
    <row r="146" spans="1:16" x14ac:dyDescent="0.2">
      <c r="A146">
        <v>145</v>
      </c>
      <c r="B146">
        <v>773</v>
      </c>
      <c r="C146">
        <v>125</v>
      </c>
      <c r="D146">
        <v>0.472102948907902</v>
      </c>
      <c r="E146">
        <v>20.248043660512501</v>
      </c>
      <c r="F146">
        <v>0.69109325217231699</v>
      </c>
      <c r="G146">
        <v>-372.46843603139996</v>
      </c>
      <c r="H146">
        <v>-273.05644659219399</v>
      </c>
      <c r="I146">
        <v>95.030535910442694</v>
      </c>
      <c r="J146">
        <v>43.6691824447309</v>
      </c>
      <c r="K146">
        <v>29.298569472161301</v>
      </c>
      <c r="L146">
        <v>1.5326052784247087E-3</v>
      </c>
      <c r="M146">
        <v>6.2915885073179349E-4</v>
      </c>
      <c r="N146" s="1">
        <v>-3.2966222836818397E-5</v>
      </c>
      <c r="O146" s="1">
        <v>3.5869607412186099E-5</v>
      </c>
      <c r="P146" s="1">
        <v>-3.9718646934151399E-5</v>
      </c>
    </row>
    <row r="147" spans="1:16" x14ac:dyDescent="0.2">
      <c r="A147">
        <v>146</v>
      </c>
      <c r="B147">
        <v>772</v>
      </c>
      <c r="C147">
        <v>125</v>
      </c>
      <c r="D147">
        <v>0.47153088073482102</v>
      </c>
      <c r="E147">
        <v>22.171732380806901</v>
      </c>
      <c r="F147">
        <v>0.732869311968258</v>
      </c>
      <c r="G147">
        <v>-403.87441797301636</v>
      </c>
      <c r="H147">
        <v>-299.80556670577073</v>
      </c>
      <c r="I147">
        <v>99.577196270954303</v>
      </c>
      <c r="J147">
        <v>46.214622552364503</v>
      </c>
      <c r="K147">
        <v>30.253323503559599</v>
      </c>
      <c r="L147">
        <v>1.5032590898035371E-3</v>
      </c>
      <c r="M147">
        <v>6.1520892436082249E-4</v>
      </c>
      <c r="N147" s="1">
        <v>-3.3301531631244403E-5</v>
      </c>
      <c r="O147" s="1">
        <v>3.6247394834510498E-5</v>
      </c>
      <c r="P147" s="1">
        <v>-4.02891431561867E-5</v>
      </c>
    </row>
    <row r="148" spans="1:16" x14ac:dyDescent="0.2">
      <c r="A148">
        <v>147</v>
      </c>
      <c r="B148">
        <v>771</v>
      </c>
      <c r="C148">
        <v>125</v>
      </c>
      <c r="D148">
        <v>0.47095771680314102</v>
      </c>
      <c r="E148">
        <v>46.467309442313301</v>
      </c>
      <c r="F148">
        <v>1.0922121316073501</v>
      </c>
      <c r="G148">
        <v>-798.73340689710631</v>
      </c>
      <c r="H148">
        <v>-635.47835426630013</v>
      </c>
      <c r="I148">
        <v>156.356712715421</v>
      </c>
      <c r="J148">
        <v>77.4422150078898</v>
      </c>
      <c r="K148">
        <v>42.544216546953599</v>
      </c>
      <c r="L148">
        <v>1.2124395401917575E-3</v>
      </c>
      <c r="M148">
        <v>4.9362345516559933E-4</v>
      </c>
      <c r="N148" s="1">
        <v>-3.7607828459208801E-5</v>
      </c>
      <c r="O148" s="1">
        <v>4.0910078202048203E-5</v>
      </c>
      <c r="P148" s="1">
        <v>-4.5644647410820902E-5</v>
      </c>
    </row>
    <row r="149" spans="1:16" x14ac:dyDescent="0.2">
      <c r="A149">
        <v>148</v>
      </c>
      <c r="B149">
        <v>770</v>
      </c>
      <c r="C149">
        <v>125</v>
      </c>
      <c r="D149">
        <v>0.47038345396155901</v>
      </c>
      <c r="E149">
        <v>71.869278870364397</v>
      </c>
      <c r="F149">
        <v>1.2986221031563201</v>
      </c>
      <c r="G149">
        <v>-1211.3764825749288</v>
      </c>
      <c r="H149">
        <v>-986.55319523741116</v>
      </c>
      <c r="I149">
        <v>215.52860901648299</v>
      </c>
      <c r="J149">
        <v>110.055416910361</v>
      </c>
      <c r="K149">
        <v>55.342719560744101</v>
      </c>
      <c r="L149">
        <v>1.0462226130930083E-3</v>
      </c>
      <c r="M149">
        <v>4.2391792137082306E-4</v>
      </c>
      <c r="N149" s="1">
        <v>-4.2039764190459402E-5</v>
      </c>
      <c r="O149" s="1">
        <v>4.5719176322122302E-5</v>
      </c>
      <c r="P149" s="1">
        <v>-5.1205229529908401E-5</v>
      </c>
    </row>
    <row r="150" spans="1:16" x14ac:dyDescent="0.2">
      <c r="A150">
        <v>149</v>
      </c>
      <c r="B150">
        <v>769</v>
      </c>
      <c r="C150">
        <v>125</v>
      </c>
      <c r="D150">
        <v>0.46980808904668597</v>
      </c>
      <c r="E150">
        <v>84.042078500708499</v>
      </c>
      <c r="F150">
        <v>1.3681788911592501</v>
      </c>
      <c r="G150">
        <v>-1408.9257048648012</v>
      </c>
      <c r="H150">
        <v>-1154.9059471617411</v>
      </c>
      <c r="I150">
        <v>243.75129387220699</v>
      </c>
      <c r="J150">
        <v>125.695731503354</v>
      </c>
      <c r="K150">
        <v>61.426235299902899</v>
      </c>
      <c r="L150">
        <v>9.9193895517695569E-4</v>
      </c>
      <c r="M150">
        <v>4.0045129733456947E-4</v>
      </c>
      <c r="N150" s="1">
        <v>-4.4091825779972297E-5</v>
      </c>
      <c r="O150" s="1">
        <v>4.7968651691125E-5</v>
      </c>
      <c r="P150" s="1">
        <v>-5.3931028455988301E-5</v>
      </c>
    </row>
    <row r="151" spans="1:16" x14ac:dyDescent="0.2">
      <c r="A151">
        <v>150</v>
      </c>
      <c r="B151">
        <v>768</v>
      </c>
      <c r="C151">
        <v>125</v>
      </c>
      <c r="D151">
        <v>0.46923161888296799</v>
      </c>
      <c r="E151">
        <v>89.841779580198093</v>
      </c>
      <c r="F151">
        <v>1.39752654760898</v>
      </c>
      <c r="G151">
        <v>-1502.8816094671122</v>
      </c>
      <c r="H151">
        <v>-1235.201981698611</v>
      </c>
      <c r="I151">
        <v>257.10551786144498</v>
      </c>
      <c r="J151">
        <v>133.170039806506</v>
      </c>
      <c r="K151">
        <v>64.286277590867599</v>
      </c>
      <c r="L151">
        <v>9.7054096011124863E-4</v>
      </c>
      <c r="M151">
        <v>3.9054106431804611E-4</v>
      </c>
      <c r="N151" s="1">
        <v>-4.5009841859096E-5</v>
      </c>
      <c r="O151" s="1">
        <v>4.8999297111161997E-5</v>
      </c>
      <c r="P151" s="1">
        <v>-5.5302451723192198E-5</v>
      </c>
    </row>
    <row r="152" spans="1:16" x14ac:dyDescent="0.2">
      <c r="A152">
        <v>151</v>
      </c>
      <c r="B152">
        <v>767</v>
      </c>
      <c r="C152">
        <v>125</v>
      </c>
      <c r="D152">
        <v>0.46865404028265401</v>
      </c>
      <c r="E152">
        <v>93.176459130707698</v>
      </c>
      <c r="F152">
        <v>1.4138837206925401</v>
      </c>
      <c r="G152">
        <v>-1556.7738260385063</v>
      </c>
      <c r="H152">
        <v>-1281.4363972298349</v>
      </c>
      <c r="I152">
        <v>264.71497844974101</v>
      </c>
      <c r="J152">
        <v>137.488606087276</v>
      </c>
      <c r="K152">
        <v>65.901076423079502</v>
      </c>
      <c r="L152">
        <v>9.5977142057321449E-4</v>
      </c>
      <c r="M152">
        <v>3.8500804776934132E-4</v>
      </c>
      <c r="N152" s="1">
        <v>-4.54888795511063E-5</v>
      </c>
      <c r="O152" s="1">
        <v>4.9560806176367802E-5</v>
      </c>
      <c r="P152" s="1">
        <v>-5.6153137308488197E-5</v>
      </c>
    </row>
    <row r="153" spans="1:16" x14ac:dyDescent="0.2">
      <c r="A153">
        <v>152</v>
      </c>
      <c r="B153">
        <v>766</v>
      </c>
      <c r="C153">
        <v>125</v>
      </c>
      <c r="D153">
        <v>0.46807535004571499</v>
      </c>
      <c r="E153">
        <v>95.352195726397497</v>
      </c>
      <c r="F153">
        <v>1.42463836840244</v>
      </c>
      <c r="G153">
        <v>-1591.8309916374601</v>
      </c>
      <c r="H153">
        <v>-1311.6561016082835</v>
      </c>
      <c r="I153">
        <v>269.624976291699</v>
      </c>
      <c r="J153">
        <v>140.32449844606799</v>
      </c>
      <c r="K153">
        <v>66.930807032329895</v>
      </c>
      <c r="L153">
        <v>9.5358747788901286E-4</v>
      </c>
      <c r="M153">
        <v>3.8136162007427202E-4</v>
      </c>
      <c r="N153" s="1">
        <v>-4.5759712919883501E-5</v>
      </c>
      <c r="O153" s="1">
        <v>4.9902299642312499E-5</v>
      </c>
      <c r="P153" s="1">
        <v>-5.67603514922345E-5</v>
      </c>
    </row>
    <row r="154" spans="1:16" x14ac:dyDescent="0.2">
      <c r="A154">
        <v>153</v>
      </c>
      <c r="B154">
        <v>765</v>
      </c>
      <c r="C154">
        <v>125</v>
      </c>
      <c r="D154">
        <v>0.46749554495978501</v>
      </c>
      <c r="E154">
        <v>96.895866526634293</v>
      </c>
      <c r="F154">
        <v>1.4324897685440401</v>
      </c>
      <c r="G154">
        <v>-1616.6162481330412</v>
      </c>
      <c r="H154">
        <v>-1333.1416554054902</v>
      </c>
      <c r="I154">
        <v>273.06317085449803</v>
      </c>
      <c r="J154">
        <v>142.35232802446501</v>
      </c>
      <c r="K154">
        <v>67.6415766830346</v>
      </c>
      <c r="L154">
        <v>9.497811794493186E-4</v>
      </c>
      <c r="M154">
        <v>3.7869196668212585E-4</v>
      </c>
      <c r="N154" s="1">
        <v>-4.59150567899576E-5</v>
      </c>
      <c r="O154" s="1">
        <v>5.0123948528250499E-5</v>
      </c>
      <c r="P154" s="1">
        <v>-5.7235617170082398E-5</v>
      </c>
    </row>
    <row r="155" spans="1:16" x14ac:dyDescent="0.2">
      <c r="A155">
        <v>154</v>
      </c>
      <c r="B155">
        <v>764</v>
      </c>
      <c r="C155">
        <v>125</v>
      </c>
      <c r="D155">
        <v>0.46691462180012799</v>
      </c>
      <c r="E155">
        <v>98.0565573116086</v>
      </c>
      <c r="F155">
        <v>1.43864164911839</v>
      </c>
      <c r="G155">
        <v>-1635.1777406311503</v>
      </c>
      <c r="H155">
        <v>-1349.3350996846875</v>
      </c>
      <c r="I155">
        <v>275.60970404972397</v>
      </c>
      <c r="J155">
        <v>143.89092627489799</v>
      </c>
      <c r="K155">
        <v>68.159125916935594</v>
      </c>
      <c r="L155">
        <v>9.4736795582446316E-4</v>
      </c>
      <c r="M155">
        <v>3.7659339852535182E-4</v>
      </c>
      <c r="N155" s="1">
        <v>-4.5998595162982797E-5</v>
      </c>
      <c r="O155" s="1">
        <v>5.0273006411618298E-5</v>
      </c>
      <c r="P155" s="1">
        <v>-5.76315467138172E-5</v>
      </c>
    </row>
    <row r="156" spans="1:16" x14ac:dyDescent="0.2">
      <c r="A156">
        <v>155</v>
      </c>
      <c r="B156">
        <v>763</v>
      </c>
      <c r="C156">
        <v>125</v>
      </c>
      <c r="D156">
        <v>0.46633257732954098</v>
      </c>
      <c r="E156">
        <v>98.966807325581499</v>
      </c>
      <c r="F156">
        <v>1.4437099958719799</v>
      </c>
      <c r="G156">
        <v>-1649.6694461940201</v>
      </c>
      <c r="H156">
        <v>-1362.0679783008527</v>
      </c>
      <c r="I156">
        <v>277.573180974992</v>
      </c>
      <c r="J156">
        <v>145.10990825571699</v>
      </c>
      <c r="K156">
        <v>68.550337400557297</v>
      </c>
      <c r="L156">
        <v>9.4584402817977518E-4</v>
      </c>
      <c r="M156">
        <v>3.748583182319802E-4</v>
      </c>
      <c r="N156" s="1">
        <v>-4.60334922849513E-5</v>
      </c>
      <c r="O156" s="1">
        <v>5.0374575821491301E-5</v>
      </c>
      <c r="P156" s="1">
        <v>-5.79760889657497E-5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063D6-9BF4-449C-8BCA-C540C12E2895}">
  <sheetPr codeName="Sheet6"/>
  <dimension ref="A1:AN6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">
      <c r="A2">
        <v>22</v>
      </c>
      <c r="B2">
        <v>736</v>
      </c>
      <c r="C2">
        <v>275</v>
      </c>
      <c r="D2">
        <v>0.28667740177377199</v>
      </c>
      <c r="E2">
        <v>1.1629350147169801E-2</v>
      </c>
      <c r="F2">
        <v>4.6536176776183202</v>
      </c>
      <c r="G2">
        <v>-0.11031372040713391</v>
      </c>
      <c r="H2">
        <v>-8.9747491254363279E-2</v>
      </c>
      <c r="I2">
        <v>2.03797544000105E-2</v>
      </c>
      <c r="J2">
        <v>1.06799193098561E-2</v>
      </c>
      <c r="K2">
        <v>2.4989913123077199E-3</v>
      </c>
      <c r="L2">
        <v>3.1716640221675072E-5</v>
      </c>
      <c r="M2">
        <v>5.5234764330065489E-7</v>
      </c>
      <c r="N2" s="1">
        <v>1.13848627913367E-11</v>
      </c>
      <c r="O2" s="1">
        <v>5.4476794271451103E-15</v>
      </c>
      <c r="P2" s="1">
        <v>2.1178293048879701E-14</v>
      </c>
      <c r="R2">
        <v>47.2183844191253</v>
      </c>
      <c r="S2">
        <v>2.5387814187906299</v>
      </c>
      <c r="T2">
        <v>9.6427442871890197</v>
      </c>
      <c r="V2">
        <v>37.844943601340603</v>
      </c>
      <c r="W2">
        <v>0.38537487643770102</v>
      </c>
      <c r="X2">
        <v>2.3697713971166401</v>
      </c>
      <c r="AJ2">
        <v>8.6944113259864994E-2</v>
      </c>
      <c r="AK2">
        <v>8.92900642616824E-2</v>
      </c>
      <c r="AL2">
        <v>0.778913157419165</v>
      </c>
      <c r="AM2">
        <v>8.0333062068625692E-3</v>
      </c>
      <c r="AN2">
        <v>3.6819358852424502E-2</v>
      </c>
    </row>
    <row r="3" spans="1:40" x14ac:dyDescent="0.2">
      <c r="A3">
        <v>23</v>
      </c>
      <c r="B3">
        <v>735</v>
      </c>
      <c r="C3">
        <v>275</v>
      </c>
      <c r="D3">
        <v>0.285900411645091</v>
      </c>
      <c r="E3">
        <v>1.76346991337854E-2</v>
      </c>
      <c r="F3">
        <v>4.6535462138111701</v>
      </c>
      <c r="G3">
        <v>-0.16737987009510685</v>
      </c>
      <c r="H3">
        <v>-0.13622859630643319</v>
      </c>
      <c r="I3">
        <v>3.0899443325570201E-2</v>
      </c>
      <c r="J3">
        <v>1.6195872236229401E-2</v>
      </c>
      <c r="K3">
        <v>3.7895184282145302E-3</v>
      </c>
      <c r="L3">
        <v>3.1704467109276884E-5</v>
      </c>
      <c r="M3">
        <v>5.5223197928910976E-7</v>
      </c>
      <c r="N3" s="1">
        <v>1.7640860511723601E-11</v>
      </c>
      <c r="O3" s="1">
        <v>8.2593058443196695E-15</v>
      </c>
      <c r="P3" s="1">
        <v>3.1531941520511002E-14</v>
      </c>
      <c r="R3">
        <v>47.196757455643102</v>
      </c>
      <c r="S3">
        <v>2.6132203451441001</v>
      </c>
      <c r="T3">
        <v>9.6042873735926602</v>
      </c>
      <c r="V3">
        <v>37.786100580102797</v>
      </c>
      <c r="W3">
        <v>0.43721867273721399</v>
      </c>
      <c r="X3">
        <v>2.36241557278007</v>
      </c>
      <c r="AJ3">
        <v>8.6646232075548404E-2</v>
      </c>
      <c r="AK3">
        <v>8.8905225411242406E-2</v>
      </c>
      <c r="AL3">
        <v>0.77745079056756905</v>
      </c>
      <c r="AM3">
        <v>9.1110678325691599E-3</v>
      </c>
      <c r="AN3">
        <v>3.7886684113070203E-2</v>
      </c>
    </row>
    <row r="4" spans="1:40" x14ac:dyDescent="0.2">
      <c r="A4">
        <v>24</v>
      </c>
      <c r="B4">
        <v>734</v>
      </c>
      <c r="C4">
        <v>275</v>
      </c>
      <c r="D4">
        <v>0.28512187856823701</v>
      </c>
      <c r="E4">
        <v>2.2265259662907301E-2</v>
      </c>
      <c r="F4">
        <v>4.6534851767082897</v>
      </c>
      <c r="G4">
        <v>-0.211440025306843</v>
      </c>
      <c r="H4">
        <v>-0.17215549361433188</v>
      </c>
      <c r="I4">
        <v>3.9005641356809902E-2</v>
      </c>
      <c r="J4">
        <v>2.0449171734059898E-2</v>
      </c>
      <c r="K4">
        <v>4.7846417937140503E-3</v>
      </c>
      <c r="L4">
        <v>3.1692463146439075E-5</v>
      </c>
      <c r="M4">
        <v>5.5212744134637537E-7</v>
      </c>
      <c r="N4" s="1">
        <v>2.27113307278722E-11</v>
      </c>
      <c r="O4" s="1">
        <v>1.04263740149645E-14</v>
      </c>
      <c r="P4" s="1">
        <v>3.9123485569433601E-14</v>
      </c>
      <c r="R4">
        <v>47.177001003909098</v>
      </c>
      <c r="S4">
        <v>2.6816406776569699</v>
      </c>
      <c r="T4">
        <v>9.5679414941491903</v>
      </c>
      <c r="V4">
        <v>37.7371057042564</v>
      </c>
      <c r="W4">
        <v>0.48158258129225201</v>
      </c>
      <c r="X4">
        <v>2.35472853873596</v>
      </c>
      <c r="AJ4">
        <v>8.6339257198488201E-2</v>
      </c>
      <c r="AK4">
        <v>8.8543100995631605E-2</v>
      </c>
      <c r="AL4">
        <v>0.77621762082466905</v>
      </c>
      <c r="AM4">
        <v>1.00326445208607E-2</v>
      </c>
      <c r="AN4">
        <v>3.8867376460349601E-2</v>
      </c>
    </row>
    <row r="5" spans="1:40" x14ac:dyDescent="0.2">
      <c r="A5">
        <v>44</v>
      </c>
      <c r="B5">
        <v>738</v>
      </c>
      <c r="C5">
        <v>250</v>
      </c>
      <c r="D5">
        <v>0.31542352766652099</v>
      </c>
      <c r="E5">
        <v>1.20180199954365E-2</v>
      </c>
      <c r="F5">
        <v>4.6498770659540503</v>
      </c>
      <c r="G5">
        <v>-0.11438878435288335</v>
      </c>
      <c r="H5">
        <v>-9.3044935128355183E-2</v>
      </c>
      <c r="I5">
        <v>2.11084895658687E-2</v>
      </c>
      <c r="J5">
        <v>1.10496892045638E-2</v>
      </c>
      <c r="K5">
        <v>2.5845887590085601E-3</v>
      </c>
      <c r="L5">
        <v>3.1673472993324398E-5</v>
      </c>
      <c r="M5">
        <v>5.5246689103001278E-7</v>
      </c>
      <c r="N5" s="1">
        <v>1.17771943219637E-11</v>
      </c>
      <c r="O5" s="1">
        <v>5.6259003325278899E-15</v>
      </c>
      <c r="P5" s="1">
        <v>2.2496607038726599E-14</v>
      </c>
      <c r="R5">
        <v>47.196837291181403</v>
      </c>
      <c r="S5">
        <v>2.61939933365288</v>
      </c>
      <c r="T5">
        <v>9.6843962022521293</v>
      </c>
      <c r="V5">
        <v>37.5369791063222</v>
      </c>
      <c r="W5">
        <v>0.490390718948785</v>
      </c>
      <c r="X5">
        <v>2.4719973476425299</v>
      </c>
      <c r="AJ5">
        <v>9.0589932484543501E-2</v>
      </c>
      <c r="AK5">
        <v>8.9572199890809903E-2</v>
      </c>
      <c r="AL5">
        <v>0.77168259075004597</v>
      </c>
      <c r="AM5">
        <v>1.0210602547902001E-2</v>
      </c>
      <c r="AN5">
        <v>3.7944674326697403E-2</v>
      </c>
    </row>
    <row r="6" spans="1:40" x14ac:dyDescent="0.2">
      <c r="A6">
        <v>45</v>
      </c>
      <c r="B6">
        <v>737</v>
      </c>
      <c r="C6">
        <v>250</v>
      </c>
      <c r="D6">
        <v>0.31467653318814098</v>
      </c>
      <c r="E6">
        <v>1.6466588520620599E-2</v>
      </c>
      <c r="F6">
        <v>4.6498364183902003</v>
      </c>
      <c r="G6">
        <v>-0.1568043936303106</v>
      </c>
      <c r="H6">
        <v>-0.12759502359379457</v>
      </c>
      <c r="I6">
        <v>2.8915873916265902E-2</v>
      </c>
      <c r="J6">
        <v>1.51398937332977E-2</v>
      </c>
      <c r="K6">
        <v>3.5413264121496599E-3</v>
      </c>
      <c r="L6">
        <v>3.1661361644640674E-5</v>
      </c>
      <c r="M6">
        <v>5.523700108881699E-7</v>
      </c>
      <c r="N6" s="1">
        <v>1.6446460942111E-11</v>
      </c>
      <c r="O6" s="1">
        <v>7.7072476197880295E-15</v>
      </c>
      <c r="P6" s="1">
        <v>3.03359225471758E-14</v>
      </c>
      <c r="R6">
        <v>47.178563166482299</v>
      </c>
      <c r="S6">
        <v>2.6835062439568298</v>
      </c>
      <c r="T6">
        <v>9.6497265064081894</v>
      </c>
      <c r="V6">
        <v>37.491132959864203</v>
      </c>
      <c r="W6">
        <v>0.53249635520742</v>
      </c>
      <c r="X6">
        <v>2.46457476808096</v>
      </c>
      <c r="AJ6">
        <v>9.0293526379231506E-2</v>
      </c>
      <c r="AK6">
        <v>8.9227428640951706E-2</v>
      </c>
      <c r="AL6">
        <v>0.77053191174001101</v>
      </c>
      <c r="AM6">
        <v>1.10843045483073E-2</v>
      </c>
      <c r="AN6">
        <v>3.8862828691497701E-2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93DDE-882D-4B54-800D-3DEC49C07686}">
  <sheetPr codeName="Sheet7"/>
  <dimension ref="A1:AN58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">
      <c r="A2">
        <v>19</v>
      </c>
      <c r="B2">
        <v>739</v>
      </c>
      <c r="C2">
        <v>275</v>
      </c>
      <c r="D2">
        <v>0.28899916020352701</v>
      </c>
      <c r="E2">
        <v>0.496130904428494</v>
      </c>
      <c r="F2">
        <v>4.9501452861009501</v>
      </c>
      <c r="G2">
        <v>-3.2804171830919615</v>
      </c>
      <c r="H2">
        <v>-2.3992272835244579</v>
      </c>
      <c r="I2">
        <v>0.87061196420244302</v>
      </c>
      <c r="J2">
        <v>0.43942969449289998</v>
      </c>
      <c r="K2">
        <v>0.100225523849074</v>
      </c>
      <c r="L2">
        <v>3.7298178914789865E-5</v>
      </c>
      <c r="M2">
        <v>4.329387106386848E-7</v>
      </c>
      <c r="N2" s="1">
        <v>2.0436068394255902E-9</v>
      </c>
      <c r="O2" s="1">
        <v>2.5315358106910199E-13</v>
      </c>
      <c r="P2">
        <v>0</v>
      </c>
      <c r="R2">
        <v>7.7124309770793298</v>
      </c>
      <c r="S2">
        <v>1.9351625477896499</v>
      </c>
      <c r="T2">
        <v>52.2637059038871</v>
      </c>
      <c r="V2">
        <v>37.246712720956197</v>
      </c>
      <c r="X2">
        <v>0.84198785028756795</v>
      </c>
      <c r="AJ2">
        <v>0</v>
      </c>
      <c r="AK2">
        <v>-4.3166161174908501E-3</v>
      </c>
      <c r="AL2">
        <v>0.73913530484710599</v>
      </c>
      <c r="AM2">
        <v>4.7180312592452402E-2</v>
      </c>
      <c r="AN2">
        <v>0.21800099867793199</v>
      </c>
    </row>
    <row r="3" spans="1:40" x14ac:dyDescent="0.2">
      <c r="A3">
        <v>20</v>
      </c>
      <c r="B3">
        <v>738</v>
      </c>
      <c r="C3">
        <v>275</v>
      </c>
      <c r="D3">
        <v>0.28822677149780002</v>
      </c>
      <c r="E3">
        <v>0.65183091526826697</v>
      </c>
      <c r="F3">
        <v>4.9406241147667798</v>
      </c>
      <c r="G3">
        <v>-4.3485966491971872</v>
      </c>
      <c r="H3">
        <v>-3.1897098455374713</v>
      </c>
      <c r="I3">
        <v>1.14610770277378</v>
      </c>
      <c r="J3">
        <v>0.57771196395441404</v>
      </c>
      <c r="K3">
        <v>0.13193290971479499</v>
      </c>
      <c r="L3">
        <v>3.5983674652164549E-5</v>
      </c>
      <c r="M3">
        <v>4.1846632832169632E-7</v>
      </c>
      <c r="N3" s="1">
        <v>2.5940024753659301E-9</v>
      </c>
      <c r="O3" s="1">
        <v>3.2073434637082698E-13</v>
      </c>
      <c r="P3">
        <v>0</v>
      </c>
      <c r="R3">
        <v>8.6910089373815804</v>
      </c>
      <c r="S3">
        <v>1.9350444385576</v>
      </c>
      <c r="T3">
        <v>50.399116309396398</v>
      </c>
      <c r="V3">
        <v>38.088366323782999</v>
      </c>
      <c r="X3">
        <v>0.88646399088128602</v>
      </c>
      <c r="AJ3">
        <v>0</v>
      </c>
      <c r="AK3">
        <v>-6.8026641318194902E-3</v>
      </c>
      <c r="AL3">
        <v>0.71184846367141197</v>
      </c>
      <c r="AM3">
        <v>4.9608600211329699E-2</v>
      </c>
      <c r="AN3">
        <v>0.24534560024907701</v>
      </c>
    </row>
    <row r="4" spans="1:40" x14ac:dyDescent="0.2">
      <c r="A4">
        <v>21</v>
      </c>
      <c r="B4">
        <v>737</v>
      </c>
      <c r="C4">
        <v>275</v>
      </c>
      <c r="D4">
        <v>0.28745285353660599</v>
      </c>
      <c r="E4">
        <v>0.69905424755672996</v>
      </c>
      <c r="F4">
        <v>4.9362587172715102</v>
      </c>
      <c r="G4">
        <v>-4.6821999483815064</v>
      </c>
      <c r="H4">
        <v>-3.4398261568364465</v>
      </c>
      <c r="I4">
        <v>1.22989040394501</v>
      </c>
      <c r="J4">
        <v>0.61973863628820203</v>
      </c>
      <c r="K4">
        <v>0.141616209278254</v>
      </c>
      <c r="L4">
        <v>3.5422181316944546E-5</v>
      </c>
      <c r="M4">
        <v>4.1240525800260905E-7</v>
      </c>
      <c r="N4" s="1">
        <v>2.7411587853673798E-9</v>
      </c>
      <c r="O4" s="1">
        <v>3.38647582906909E-13</v>
      </c>
      <c r="P4">
        <v>0</v>
      </c>
      <c r="R4">
        <v>9.0785721900402407</v>
      </c>
      <c r="S4">
        <v>1.9709060456748499</v>
      </c>
      <c r="T4">
        <v>49.619171427451299</v>
      </c>
      <c r="V4">
        <v>38.425904008232401</v>
      </c>
      <c r="X4">
        <v>0.90544632860108099</v>
      </c>
      <c r="AJ4">
        <v>0</v>
      </c>
      <c r="AK4">
        <v>-7.0665763845765301E-3</v>
      </c>
      <c r="AL4">
        <v>0.70032948707363896</v>
      </c>
      <c r="AM4">
        <v>5.0634539011189403E-2</v>
      </c>
      <c r="AN4">
        <v>0.25610255029974699</v>
      </c>
    </row>
    <row r="5" spans="1:40" x14ac:dyDescent="0.2">
      <c r="A5">
        <v>22</v>
      </c>
      <c r="B5">
        <v>736</v>
      </c>
      <c r="C5">
        <v>275</v>
      </c>
      <c r="D5">
        <v>0.28667740177377199</v>
      </c>
      <c r="E5">
        <v>0.70875541384390195</v>
      </c>
      <c r="F5">
        <v>4.9368228271973198</v>
      </c>
      <c r="G5">
        <v>-4.7448633559595992</v>
      </c>
      <c r="H5">
        <v>-3.4872377253319118</v>
      </c>
      <c r="I5">
        <v>1.2462226929868501</v>
      </c>
      <c r="J5">
        <v>0.62838721120902796</v>
      </c>
      <c r="K5">
        <v>0.143565090069531</v>
      </c>
      <c r="L5">
        <v>3.5554415315043727E-5</v>
      </c>
      <c r="M5">
        <v>4.1408567606271062E-7</v>
      </c>
      <c r="N5" s="1">
        <v>2.7912373247896599E-9</v>
      </c>
      <c r="O5" s="1">
        <v>3.4493471941864201E-13</v>
      </c>
      <c r="P5">
        <v>0</v>
      </c>
      <c r="R5">
        <v>8.9078141547032192</v>
      </c>
      <c r="S5">
        <v>2.05273780658072</v>
      </c>
      <c r="T5">
        <v>49.848595656395503</v>
      </c>
      <c r="V5">
        <v>38.292712259978899</v>
      </c>
      <c r="X5">
        <v>0.89814012234153995</v>
      </c>
      <c r="AJ5">
        <v>0</v>
      </c>
      <c r="AK5">
        <v>-4.8479460220907404E-3</v>
      </c>
      <c r="AL5">
        <v>0.70340578928328501</v>
      </c>
      <c r="AM5">
        <v>5.0214408604846203E-2</v>
      </c>
      <c r="AN5">
        <v>0.25122774813395898</v>
      </c>
    </row>
    <row r="6" spans="1:40" x14ac:dyDescent="0.2">
      <c r="A6">
        <v>23</v>
      </c>
      <c r="B6">
        <v>735</v>
      </c>
      <c r="C6">
        <v>275</v>
      </c>
      <c r="D6">
        <v>0.285900411645091</v>
      </c>
      <c r="E6">
        <v>0.715639267187405</v>
      </c>
      <c r="F6">
        <v>4.9366660133695097</v>
      </c>
      <c r="G6">
        <v>-4.791662415522441</v>
      </c>
      <c r="H6">
        <v>-3.5236115052330352</v>
      </c>
      <c r="I6">
        <v>1.2577998415805201</v>
      </c>
      <c r="J6">
        <v>0.63454306308918795</v>
      </c>
      <c r="K6">
        <v>0.14496408411047099</v>
      </c>
      <c r="L6">
        <v>3.5570335820621311E-5</v>
      </c>
      <c r="M6">
        <v>4.1446656514331703E-7</v>
      </c>
      <c r="N6" s="1">
        <v>2.82141028701287E-9</v>
      </c>
      <c r="O6" s="1">
        <v>3.4870042078908701E-13</v>
      </c>
      <c r="P6">
        <v>0</v>
      </c>
      <c r="R6">
        <v>8.8367181961479808</v>
      </c>
      <c r="S6">
        <v>2.11743787499779</v>
      </c>
      <c r="T6">
        <v>49.9080631242322</v>
      </c>
      <c r="V6">
        <v>38.242764433547102</v>
      </c>
      <c r="X6">
        <v>0.89501637107486198</v>
      </c>
      <c r="AJ6">
        <v>0</v>
      </c>
      <c r="AK6">
        <v>-3.24254176803209E-3</v>
      </c>
      <c r="AL6">
        <v>0.70405911495661999</v>
      </c>
      <c r="AM6">
        <v>5.0026559106298003E-2</v>
      </c>
      <c r="AN6">
        <v>0.249156867705114</v>
      </c>
    </row>
    <row r="7" spans="1:40" x14ac:dyDescent="0.2">
      <c r="A7">
        <v>24</v>
      </c>
      <c r="B7">
        <v>734</v>
      </c>
      <c r="C7">
        <v>275</v>
      </c>
      <c r="D7">
        <v>0.28512187856823701</v>
      </c>
      <c r="E7">
        <v>0.71952191647087305</v>
      </c>
      <c r="F7">
        <v>4.9365561371580302</v>
      </c>
      <c r="G7">
        <v>-4.8181445258801663</v>
      </c>
      <c r="H7">
        <v>-3.5450289691118786</v>
      </c>
      <c r="I7">
        <v>1.26407740333444</v>
      </c>
      <c r="J7">
        <v>0.63803036830195203</v>
      </c>
      <c r="K7">
        <v>0.145753820371847</v>
      </c>
      <c r="L7">
        <v>3.5584711830973435E-5</v>
      </c>
      <c r="M7">
        <v>4.1482955888156447E-7</v>
      </c>
      <c r="N7" s="1">
        <v>2.8396522918765902E-9</v>
      </c>
      <c r="O7" s="1">
        <v>3.5099256141703702E-13</v>
      </c>
      <c r="P7">
        <v>0</v>
      </c>
      <c r="R7">
        <v>8.7699229084963708</v>
      </c>
      <c r="S7">
        <v>2.1771477318360999</v>
      </c>
      <c r="T7">
        <v>49.965046067306901</v>
      </c>
      <c r="V7">
        <v>38.196084861931197</v>
      </c>
      <c r="X7">
        <v>0.89179843042932205</v>
      </c>
      <c r="AJ7">
        <v>0</v>
      </c>
      <c r="AK7">
        <v>-1.74299087797031E-3</v>
      </c>
      <c r="AL7">
        <v>0.70469399650438502</v>
      </c>
      <c r="AM7">
        <v>4.9834743443761403E-2</v>
      </c>
      <c r="AN7">
        <v>0.24721425092982299</v>
      </c>
    </row>
    <row r="8" spans="1:40" x14ac:dyDescent="0.2">
      <c r="A8">
        <v>39</v>
      </c>
      <c r="B8">
        <v>743</v>
      </c>
      <c r="C8">
        <v>250</v>
      </c>
      <c r="D8">
        <v>0.31913644639078897</v>
      </c>
      <c r="E8">
        <v>0.33539180942259</v>
      </c>
      <c r="F8">
        <v>4.9567591871710901</v>
      </c>
      <c r="G8">
        <v>-2.2007181372031455</v>
      </c>
      <c r="H8">
        <v>-1.6030319144126408</v>
      </c>
      <c r="I8">
        <v>0.58818700269694901</v>
      </c>
      <c r="J8">
        <v>0.29700617336782398</v>
      </c>
      <c r="K8">
        <v>6.7663527066362E-2</v>
      </c>
      <c r="L8">
        <v>3.9223790391003305E-5</v>
      </c>
      <c r="M8">
        <v>4.5492993017906183E-7</v>
      </c>
      <c r="N8" s="1">
        <v>1.44780196015339E-9</v>
      </c>
      <c r="O8" s="1">
        <v>1.79364046529695E-13</v>
      </c>
      <c r="P8">
        <v>0</v>
      </c>
      <c r="R8">
        <v>6.3676120982055204</v>
      </c>
      <c r="S8">
        <v>2.02226563090503</v>
      </c>
      <c r="T8">
        <v>54.776634725525298</v>
      </c>
      <c r="V8">
        <v>35.954953522817704</v>
      </c>
      <c r="X8">
        <v>0.87853402254638102</v>
      </c>
      <c r="AJ8">
        <v>0</v>
      </c>
      <c r="AK8">
        <v>-4.4375508616837402E-3</v>
      </c>
      <c r="AL8">
        <v>0.77509637763054196</v>
      </c>
      <c r="AM8">
        <v>4.9254984698784497E-2</v>
      </c>
      <c r="AN8">
        <v>0.180086188532356</v>
      </c>
    </row>
    <row r="9" spans="1:40" x14ac:dyDescent="0.2">
      <c r="A9">
        <v>40</v>
      </c>
      <c r="B9">
        <v>742</v>
      </c>
      <c r="C9">
        <v>250</v>
      </c>
      <c r="D9">
        <v>0.318396788651924</v>
      </c>
      <c r="E9">
        <v>0.63933828376915403</v>
      </c>
      <c r="F9">
        <v>4.9423982642883999</v>
      </c>
      <c r="G9">
        <v>-4.2581419875357032</v>
      </c>
      <c r="H9">
        <v>-3.1156369087323759</v>
      </c>
      <c r="I9">
        <v>1.12545444397707</v>
      </c>
      <c r="J9">
        <v>0.56677015261346098</v>
      </c>
      <c r="K9">
        <v>0.12935790472182901</v>
      </c>
      <c r="L9">
        <v>3.673870458346003E-5</v>
      </c>
      <c r="M9">
        <v>4.2698490268805203E-7</v>
      </c>
      <c r="N9" s="1">
        <v>2.5908340043470701E-9</v>
      </c>
      <c r="O9" s="1">
        <v>3.2028895589940698E-13</v>
      </c>
      <c r="P9">
        <v>0</v>
      </c>
      <c r="R9">
        <v>8.2208869067615602</v>
      </c>
      <c r="S9">
        <v>1.94038301634106</v>
      </c>
      <c r="T9">
        <v>51.312557296562197</v>
      </c>
      <c r="V9">
        <v>37.616839298923402</v>
      </c>
      <c r="X9">
        <v>0.90933348141166503</v>
      </c>
      <c r="AJ9">
        <v>0</v>
      </c>
      <c r="AK9">
        <v>-7.9664026984347606E-3</v>
      </c>
      <c r="AL9">
        <v>0.72493258713299003</v>
      </c>
      <c r="AM9">
        <v>5.0901243112790102E-2</v>
      </c>
      <c r="AN9">
        <v>0.23213257245265401</v>
      </c>
    </row>
    <row r="10" spans="1:40" x14ac:dyDescent="0.2">
      <c r="A10">
        <v>41</v>
      </c>
      <c r="B10">
        <v>741</v>
      </c>
      <c r="C10">
        <v>250</v>
      </c>
      <c r="D10">
        <v>0.31765567223783697</v>
      </c>
      <c r="E10">
        <v>0.69924828162215502</v>
      </c>
      <c r="F10">
        <v>4.9370857792744696</v>
      </c>
      <c r="G10">
        <v>-4.6801149249952534</v>
      </c>
      <c r="H10">
        <v>-3.4306839120282806</v>
      </c>
      <c r="I10">
        <v>1.23199823790067</v>
      </c>
      <c r="J10">
        <v>0.62010626697170901</v>
      </c>
      <c r="K10">
        <v>0.141631787026579</v>
      </c>
      <c r="L10">
        <v>3.6034990105331368E-5</v>
      </c>
      <c r="M10">
        <v>4.1934659896512469E-7</v>
      </c>
      <c r="N10" s="1">
        <v>2.7822008065054E-9</v>
      </c>
      <c r="O10" s="1">
        <v>3.4358479093630499E-13</v>
      </c>
      <c r="P10">
        <v>0</v>
      </c>
      <c r="R10">
        <v>8.7199607770525205</v>
      </c>
      <c r="S10">
        <v>1.9692429359630701</v>
      </c>
      <c r="T10">
        <v>50.328609301900997</v>
      </c>
      <c r="V10">
        <v>38.048332413559997</v>
      </c>
      <c r="X10">
        <v>0.93385457152326001</v>
      </c>
      <c r="AJ10">
        <v>0</v>
      </c>
      <c r="AK10">
        <v>-8.6932081569839805E-3</v>
      </c>
      <c r="AL10">
        <v>0.71044199427433996</v>
      </c>
      <c r="AM10">
        <v>5.2230500504915303E-2</v>
      </c>
      <c r="AN10">
        <v>0.24602071337772799</v>
      </c>
    </row>
    <row r="11" spans="1:40" x14ac:dyDescent="0.2">
      <c r="A11">
        <v>42</v>
      </c>
      <c r="B11">
        <v>740</v>
      </c>
      <c r="C11">
        <v>250</v>
      </c>
      <c r="D11">
        <v>0.31691309282929903</v>
      </c>
      <c r="E11">
        <v>0.72698772621972796</v>
      </c>
      <c r="F11">
        <v>4.9338858115558502</v>
      </c>
      <c r="G11">
        <v>-4.8799363086576282</v>
      </c>
      <c r="H11">
        <v>-3.5817941421688557</v>
      </c>
      <c r="I11">
        <v>1.28129316141615</v>
      </c>
      <c r="J11">
        <v>0.64484312339707595</v>
      </c>
      <c r="K11">
        <v>0.14734587584435399</v>
      </c>
      <c r="L11">
        <v>3.5626308199761157E-5</v>
      </c>
      <c r="M11">
        <v>4.1499566130659923E-7</v>
      </c>
      <c r="N11" s="1">
        <v>2.8622015681919801E-9</v>
      </c>
      <c r="O11" s="1">
        <v>3.53248471733036E-13</v>
      </c>
      <c r="P11">
        <v>0</v>
      </c>
      <c r="R11">
        <v>8.9903066975680908</v>
      </c>
      <c r="S11">
        <v>2.0070699677753598</v>
      </c>
      <c r="T11">
        <v>49.769768367762197</v>
      </c>
      <c r="V11">
        <v>38.2852505335904</v>
      </c>
      <c r="X11">
        <v>0.94760443330376998</v>
      </c>
      <c r="AJ11">
        <v>0</v>
      </c>
      <c r="AK11">
        <v>-8.6209760122821794E-3</v>
      </c>
      <c r="AL11">
        <v>0.70214956888245605</v>
      </c>
      <c r="AM11">
        <v>5.29690692255484E-2</v>
      </c>
      <c r="AN11">
        <v>0.25350233790427701</v>
      </c>
    </row>
    <row r="12" spans="1:40" x14ac:dyDescent="0.2">
      <c r="A12">
        <v>43</v>
      </c>
      <c r="B12">
        <v>739</v>
      </c>
      <c r="C12">
        <v>250</v>
      </c>
      <c r="D12">
        <v>0.31616904609000601</v>
      </c>
      <c r="E12">
        <v>0.743357675113822</v>
      </c>
      <c r="F12">
        <v>4.9316101867080198</v>
      </c>
      <c r="G12">
        <v>-5.0000125090835228</v>
      </c>
      <c r="H12">
        <v>-3.6738227643276318</v>
      </c>
      <c r="I12">
        <v>1.31026996468496</v>
      </c>
      <c r="J12">
        <v>0.65946055939884296</v>
      </c>
      <c r="K12">
        <v>0.15073325890950601</v>
      </c>
      <c r="L12">
        <v>3.5339474827538862E-5</v>
      </c>
      <c r="M12">
        <v>4.1199980035974066E-7</v>
      </c>
      <c r="N12" s="1">
        <v>2.9053344471811899E-9</v>
      </c>
      <c r="O12" s="1">
        <v>3.5842259745791599E-13</v>
      </c>
      <c r="P12">
        <v>0</v>
      </c>
      <c r="R12">
        <v>9.1676887856504994</v>
      </c>
      <c r="S12">
        <v>2.04584035808886</v>
      </c>
      <c r="T12">
        <v>49.386694518468197</v>
      </c>
      <c r="V12">
        <v>38.443149254692003</v>
      </c>
      <c r="X12">
        <v>0.95662708310030697</v>
      </c>
      <c r="AJ12">
        <v>0</v>
      </c>
      <c r="AK12">
        <v>-8.2649027197896005E-3</v>
      </c>
      <c r="AL12">
        <v>0.69642901927728895</v>
      </c>
      <c r="AM12">
        <v>5.34491515307359E-2</v>
      </c>
      <c r="AN12">
        <v>0.25838673191176298</v>
      </c>
    </row>
    <row r="13" spans="1:40" x14ac:dyDescent="0.2">
      <c r="A13">
        <v>44</v>
      </c>
      <c r="B13">
        <v>738</v>
      </c>
      <c r="C13">
        <v>250</v>
      </c>
      <c r="D13">
        <v>0.31542352766652099</v>
      </c>
      <c r="E13">
        <v>0.73995413112127795</v>
      </c>
      <c r="F13">
        <v>4.9333500604104401</v>
      </c>
      <c r="G13">
        <v>-4.9694071578388668</v>
      </c>
      <c r="H13">
        <v>-3.6517430666356199</v>
      </c>
      <c r="I13">
        <v>1.30313414548113</v>
      </c>
      <c r="J13">
        <v>0.65645226322786998</v>
      </c>
      <c r="K13">
        <v>0.14999019369400099</v>
      </c>
      <c r="L13">
        <v>3.5621025895696655E-5</v>
      </c>
      <c r="M13">
        <v>4.1534366041258191E-7</v>
      </c>
      <c r="N13" s="1">
        <v>2.9165587034348999E-9</v>
      </c>
      <c r="O13" s="1">
        <v>3.6001060232279202E-13</v>
      </c>
      <c r="P13">
        <v>0</v>
      </c>
      <c r="R13">
        <v>8.8814099574330907</v>
      </c>
      <c r="S13">
        <v>2.1293494030005702</v>
      </c>
      <c r="T13">
        <v>49.8336730289858</v>
      </c>
      <c r="V13">
        <v>38.212616712004198</v>
      </c>
      <c r="X13">
        <v>0.94295089857624204</v>
      </c>
      <c r="AJ13">
        <v>0</v>
      </c>
      <c r="AK13">
        <v>-5.65596076229514E-3</v>
      </c>
      <c r="AL13">
        <v>0.70267671215397598</v>
      </c>
      <c r="AM13">
        <v>5.2680875586220297E-2</v>
      </c>
      <c r="AN13">
        <v>0.25029837302209801</v>
      </c>
    </row>
    <row r="14" spans="1:40" x14ac:dyDescent="0.2">
      <c r="A14">
        <v>45</v>
      </c>
      <c r="B14">
        <v>737</v>
      </c>
      <c r="C14">
        <v>250</v>
      </c>
      <c r="D14">
        <v>0.31467653318814098</v>
      </c>
      <c r="E14">
        <v>0.74230505660316604</v>
      </c>
      <c r="F14">
        <v>4.9332807128629499</v>
      </c>
      <c r="G14">
        <v>-4.9854893017034456</v>
      </c>
      <c r="H14">
        <v>-3.6655258336268162</v>
      </c>
      <c r="I14">
        <v>1.3067004584236199</v>
      </c>
      <c r="J14">
        <v>0.65857778803089895</v>
      </c>
      <c r="K14">
        <v>0.150468846150938</v>
      </c>
      <c r="L14">
        <v>3.5635798146247838E-5</v>
      </c>
      <c r="M14">
        <v>4.1571087407176148E-7</v>
      </c>
      <c r="N14" s="1">
        <v>2.9288577417134902E-9</v>
      </c>
      <c r="O14" s="1">
        <v>3.61568245454225E-13</v>
      </c>
      <c r="P14">
        <v>0</v>
      </c>
      <c r="R14">
        <v>8.8166950956410304</v>
      </c>
      <c r="S14">
        <v>2.1855299884395998</v>
      </c>
      <c r="T14">
        <v>49.890777192784697</v>
      </c>
      <c r="V14">
        <v>38.167288348289901</v>
      </c>
      <c r="X14">
        <v>0.939709374844659</v>
      </c>
      <c r="AJ14">
        <v>0</v>
      </c>
      <c r="AK14">
        <v>-4.2332212456234501E-3</v>
      </c>
      <c r="AL14">
        <v>0.70332570918973203</v>
      </c>
      <c r="AM14">
        <v>5.2488121084858799E-2</v>
      </c>
      <c r="AN14">
        <v>0.24841939097103199</v>
      </c>
    </row>
    <row r="15" spans="1:40" x14ac:dyDescent="0.2">
      <c r="A15">
        <v>56</v>
      </c>
      <c r="B15">
        <v>747</v>
      </c>
      <c r="C15">
        <v>225</v>
      </c>
      <c r="D15">
        <v>0.34903739646130499</v>
      </c>
      <c r="E15">
        <v>0.35095163961296799</v>
      </c>
      <c r="F15">
        <v>4.9565270325924704</v>
      </c>
      <c r="G15">
        <v>-2.3033737746931742</v>
      </c>
      <c r="H15">
        <v>-1.6744752998641272</v>
      </c>
      <c r="I15">
        <v>0.61647647388035698</v>
      </c>
      <c r="J15">
        <v>0.31086859365117298</v>
      </c>
      <c r="K15">
        <v>7.0805956934205605E-2</v>
      </c>
      <c r="L15">
        <v>3.963129490825501E-5</v>
      </c>
      <c r="M15">
        <v>4.5937332644672662E-7</v>
      </c>
      <c r="N15" s="1">
        <v>1.52731744351125E-9</v>
      </c>
      <c r="O15" s="1">
        <v>1.8918620064909101E-13</v>
      </c>
      <c r="P15">
        <v>0</v>
      </c>
      <c r="R15">
        <v>6.1398318341154896</v>
      </c>
      <c r="S15">
        <v>2.0298886080899599</v>
      </c>
      <c r="T15">
        <v>55.214683413253198</v>
      </c>
      <c r="V15">
        <v>35.7233955312483</v>
      </c>
      <c r="X15">
        <v>0.89220061329301903</v>
      </c>
      <c r="AJ15">
        <v>0</v>
      </c>
      <c r="AK15">
        <v>-5.0352031618681996E-3</v>
      </c>
      <c r="AL15">
        <v>0.78135311347237901</v>
      </c>
      <c r="AM15">
        <v>5.0024933705133702E-2</v>
      </c>
      <c r="AN15">
        <v>0.17365715598435499</v>
      </c>
    </row>
    <row r="16" spans="1:40" x14ac:dyDescent="0.2">
      <c r="A16">
        <v>57</v>
      </c>
      <c r="B16">
        <v>746</v>
      </c>
      <c r="C16">
        <v>225</v>
      </c>
      <c r="D16">
        <v>0.34832998086640898</v>
      </c>
      <c r="E16">
        <v>0.64330030476774502</v>
      </c>
      <c r="F16">
        <v>4.9425678072554398</v>
      </c>
      <c r="G16">
        <v>-4.2834666598034818</v>
      </c>
      <c r="H16">
        <v>-3.127590365532809</v>
      </c>
      <c r="I16">
        <v>1.13415718419337</v>
      </c>
      <c r="J16">
        <v>0.57047261502979796</v>
      </c>
      <c r="K16">
        <v>0.13015507927345199</v>
      </c>
      <c r="L16">
        <v>3.7309058463732185E-5</v>
      </c>
      <c r="M16">
        <v>4.3343887568209619E-7</v>
      </c>
      <c r="N16" s="1">
        <v>2.64082639097007E-9</v>
      </c>
      <c r="O16" s="1">
        <v>3.2631834932845599E-13</v>
      </c>
      <c r="P16">
        <v>0</v>
      </c>
      <c r="R16">
        <v>7.8884592348095</v>
      </c>
      <c r="S16">
        <v>1.9523475845587499</v>
      </c>
      <c r="T16">
        <v>51.956530785248397</v>
      </c>
      <c r="V16">
        <v>37.262893230943597</v>
      </c>
      <c r="X16">
        <v>0.93976916443958103</v>
      </c>
      <c r="AJ16">
        <v>0</v>
      </c>
      <c r="AK16">
        <v>-9.4055701824147797E-3</v>
      </c>
      <c r="AL16">
        <v>0.73404817884401496</v>
      </c>
      <c r="AM16">
        <v>5.26061907330111E-2</v>
      </c>
      <c r="AN16">
        <v>0.222751200605387</v>
      </c>
    </row>
    <row r="17" spans="1:40" x14ac:dyDescent="0.2">
      <c r="A17">
        <v>58</v>
      </c>
      <c r="B17">
        <v>745</v>
      </c>
      <c r="C17">
        <v>225</v>
      </c>
      <c r="D17">
        <v>0.347621175661739</v>
      </c>
      <c r="E17">
        <v>0.70568882989878001</v>
      </c>
      <c r="F17">
        <v>4.9369644457311601</v>
      </c>
      <c r="G17">
        <v>-4.7236531612184427</v>
      </c>
      <c r="H17">
        <v>-3.4556749834321887</v>
      </c>
      <c r="I17">
        <v>1.2453746282829099</v>
      </c>
      <c r="J17">
        <v>0.62605361113842695</v>
      </c>
      <c r="K17">
        <v>0.142939824188721</v>
      </c>
      <c r="L17">
        <v>3.6551721209166772E-5</v>
      </c>
      <c r="M17">
        <v>4.2521353058690111E-7</v>
      </c>
      <c r="N17" s="1">
        <v>2.84108567318952E-9</v>
      </c>
      <c r="O17" s="1">
        <v>3.5066292651752899E-13</v>
      </c>
      <c r="P17">
        <v>0</v>
      </c>
      <c r="R17">
        <v>8.4303645130232905</v>
      </c>
      <c r="S17">
        <v>1.97660032689479</v>
      </c>
      <c r="T17">
        <v>50.8966286929642</v>
      </c>
      <c r="V17">
        <v>37.729712604118497</v>
      </c>
      <c r="X17">
        <v>0.96669386299905602</v>
      </c>
      <c r="AJ17">
        <v>0</v>
      </c>
      <c r="AK17">
        <v>-1.03671411578745E-2</v>
      </c>
      <c r="AL17">
        <v>0.71845276933135005</v>
      </c>
      <c r="AM17">
        <v>5.4066643861065203E-2</v>
      </c>
      <c r="AN17">
        <v>0.237847727965459</v>
      </c>
    </row>
    <row r="18" spans="1:40" x14ac:dyDescent="0.2">
      <c r="A18">
        <v>59</v>
      </c>
      <c r="B18">
        <v>744</v>
      </c>
      <c r="C18">
        <v>225</v>
      </c>
      <c r="D18">
        <v>0.34691097674876298</v>
      </c>
      <c r="E18">
        <v>0.73444559386463804</v>
      </c>
      <c r="F18">
        <v>4.9335834651214903</v>
      </c>
      <c r="G18">
        <v>-4.9314192868985662</v>
      </c>
      <c r="H18">
        <v>-3.612554479206727</v>
      </c>
      <c r="I18">
        <v>1.29662764360403</v>
      </c>
      <c r="J18">
        <v>0.65171930082570995</v>
      </c>
      <c r="K18">
        <v>0.14886655897419801</v>
      </c>
      <c r="L18">
        <v>3.6112960710064923E-5</v>
      </c>
      <c r="M18">
        <v>4.2053557076205066E-7</v>
      </c>
      <c r="N18" s="1">
        <v>2.9238646958090101E-9</v>
      </c>
      <c r="O18" s="1">
        <v>3.6063845730268102E-13</v>
      </c>
      <c r="P18">
        <v>0</v>
      </c>
      <c r="R18">
        <v>8.7246723154730592</v>
      </c>
      <c r="S18">
        <v>2.0121922194789801</v>
      </c>
      <c r="T18">
        <v>50.295000112128101</v>
      </c>
      <c r="V18">
        <v>37.986148544820701</v>
      </c>
      <c r="X18">
        <v>0.98198680809907002</v>
      </c>
      <c r="AJ18">
        <v>0</v>
      </c>
      <c r="AK18">
        <v>-1.04293528711367E-2</v>
      </c>
      <c r="AL18">
        <v>0.70953613131920001</v>
      </c>
      <c r="AM18">
        <v>5.4889161883357997E-2</v>
      </c>
      <c r="AN18">
        <v>0.246004059668578</v>
      </c>
    </row>
    <row r="19" spans="1:40" x14ac:dyDescent="0.2">
      <c r="A19">
        <v>60</v>
      </c>
      <c r="B19">
        <v>743</v>
      </c>
      <c r="C19">
        <v>225</v>
      </c>
      <c r="D19">
        <v>0.34619938001279399</v>
      </c>
      <c r="E19">
        <v>0.75137897716369595</v>
      </c>
      <c r="F19">
        <v>4.9311858476192896</v>
      </c>
      <c r="G19">
        <v>-5.0560757442859563</v>
      </c>
      <c r="H19">
        <v>-3.7079472477064748</v>
      </c>
      <c r="I19">
        <v>1.32670225515867</v>
      </c>
      <c r="J19">
        <v>0.66685407828146803</v>
      </c>
      <c r="K19">
        <v>0.152372877515141</v>
      </c>
      <c r="L19">
        <v>3.5806879441023445E-5</v>
      </c>
      <c r="M19">
        <v>4.1733206016178467E-7</v>
      </c>
      <c r="N19" s="1">
        <v>2.96822183955217E-9</v>
      </c>
      <c r="O19" s="1">
        <v>3.6594199141130302E-13</v>
      </c>
      <c r="P19">
        <v>0</v>
      </c>
      <c r="R19">
        <v>8.9173739114220094</v>
      </c>
      <c r="S19">
        <v>2.0496467683988602</v>
      </c>
      <c r="T19">
        <v>49.884498892922103</v>
      </c>
      <c r="V19">
        <v>38.156371406777701</v>
      </c>
      <c r="X19">
        <v>0.99210902047923799</v>
      </c>
      <c r="AJ19">
        <v>0</v>
      </c>
      <c r="AK19">
        <v>-1.01628026230383E-2</v>
      </c>
      <c r="AL19">
        <v>0.70341444880002402</v>
      </c>
      <c r="AM19">
        <v>5.5428906762402599E-2</v>
      </c>
      <c r="AN19">
        <v>0.25131944706061099</v>
      </c>
    </row>
    <row r="20" spans="1:40" x14ac:dyDescent="0.2">
      <c r="A20">
        <v>61</v>
      </c>
      <c r="B20">
        <v>742</v>
      </c>
      <c r="C20">
        <v>225</v>
      </c>
      <c r="D20">
        <v>0.345486381322956</v>
      </c>
      <c r="E20">
        <v>0.762675681714721</v>
      </c>
      <c r="F20">
        <v>4.9293302349150503</v>
      </c>
      <c r="G20">
        <v>-5.1406216931693276</v>
      </c>
      <c r="H20">
        <v>-3.7735737161845564</v>
      </c>
      <c r="I20">
        <v>1.3466462857555701</v>
      </c>
      <c r="J20">
        <v>0.67696297943307304</v>
      </c>
      <c r="K20">
        <v>0.154721969388984</v>
      </c>
      <c r="L20">
        <v>3.5570773407739361E-5</v>
      </c>
      <c r="M20">
        <v>4.1490485012987398E-7</v>
      </c>
      <c r="N20" s="1">
        <v>2.9951677480951699E-9</v>
      </c>
      <c r="O20" s="1">
        <v>3.6913819540425702E-13</v>
      </c>
      <c r="P20">
        <v>0</v>
      </c>
      <c r="R20">
        <v>9.0572341033943395</v>
      </c>
      <c r="S20">
        <v>2.0867480361837898</v>
      </c>
      <c r="T20">
        <v>49.574859543720798</v>
      </c>
      <c r="V20">
        <v>38.281783318393401</v>
      </c>
      <c r="X20">
        <v>0.99937499830760801</v>
      </c>
      <c r="AJ20">
        <v>0</v>
      </c>
      <c r="AK20">
        <v>-9.7455274877000994E-3</v>
      </c>
      <c r="AL20">
        <v>0.69877232845953297</v>
      </c>
      <c r="AM20">
        <v>5.5812815353693701E-2</v>
      </c>
      <c r="AN20">
        <v>0.25516038367447202</v>
      </c>
    </row>
    <row r="21" spans="1:40" x14ac:dyDescent="0.2">
      <c r="A21">
        <v>62</v>
      </c>
      <c r="B21">
        <v>741</v>
      </c>
      <c r="C21">
        <v>225</v>
      </c>
      <c r="D21">
        <v>0.34477197653207198</v>
      </c>
      <c r="E21">
        <v>0.77079790876856502</v>
      </c>
      <c r="F21">
        <v>4.9278142822471702</v>
      </c>
      <c r="G21">
        <v>-5.2023533743287835</v>
      </c>
      <c r="H21">
        <v>-3.8222278074019895</v>
      </c>
      <c r="I21">
        <v>1.3608692668015501</v>
      </c>
      <c r="J21">
        <v>0.68423865949568496</v>
      </c>
      <c r="K21">
        <v>0.156417808103163</v>
      </c>
      <c r="L21">
        <v>3.5376960803588344E-5</v>
      </c>
      <c r="M21">
        <v>4.1294607394640839E-7</v>
      </c>
      <c r="N21" s="1">
        <v>3.01268752551568E-9</v>
      </c>
      <c r="O21" s="1">
        <v>3.7119808119983201E-13</v>
      </c>
      <c r="P21">
        <v>0</v>
      </c>
      <c r="R21">
        <v>9.1655887583305802</v>
      </c>
      <c r="S21">
        <v>2.12288596335272</v>
      </c>
      <c r="T21">
        <v>49.326193408418497</v>
      </c>
      <c r="V21">
        <v>38.380483587783999</v>
      </c>
      <c r="X21">
        <v>1.0048482821140501</v>
      </c>
      <c r="AJ21">
        <v>0</v>
      </c>
      <c r="AK21">
        <v>-9.2502185332973292E-3</v>
      </c>
      <c r="AL21">
        <v>0.69502729232163196</v>
      </c>
      <c r="AM21">
        <v>5.6099113107457799E-2</v>
      </c>
      <c r="AN21">
        <v>0.25812381310420601</v>
      </c>
    </row>
    <row r="22" spans="1:40" x14ac:dyDescent="0.2">
      <c r="A22">
        <v>71</v>
      </c>
      <c r="B22">
        <v>752</v>
      </c>
      <c r="C22">
        <v>200</v>
      </c>
      <c r="D22">
        <v>0.37937911525142798</v>
      </c>
      <c r="E22">
        <v>9.6821266282577395E-2</v>
      </c>
      <c r="F22">
        <v>4.9638992424076704</v>
      </c>
      <c r="G22">
        <v>-0.63193041981418507</v>
      </c>
      <c r="H22">
        <v>-0.4575151206895326</v>
      </c>
      <c r="I22">
        <v>0.17013636943340199</v>
      </c>
      <c r="J22">
        <v>8.5713387695409801E-2</v>
      </c>
      <c r="K22">
        <v>1.9505082910509501E-2</v>
      </c>
      <c r="L22">
        <v>4.0428989607242581E-5</v>
      </c>
      <c r="M22">
        <v>4.669579043318077E-7</v>
      </c>
      <c r="N22" s="1">
        <v>4.2880922652146298E-10</v>
      </c>
      <c r="O22" s="1">
        <v>5.3286691491828201E-14</v>
      </c>
      <c r="P22">
        <v>0</v>
      </c>
      <c r="R22">
        <v>5.4925272651547896</v>
      </c>
      <c r="S22">
        <v>2.0515086499028201</v>
      </c>
      <c r="T22">
        <v>56.371605571664396</v>
      </c>
      <c r="V22">
        <v>35.316305845293101</v>
      </c>
      <c r="X22">
        <v>0.76805266798473903</v>
      </c>
      <c r="AJ22">
        <v>0</v>
      </c>
      <c r="AK22">
        <v>2.4083554368792E-3</v>
      </c>
      <c r="AL22">
        <v>0.79888904913094005</v>
      </c>
      <c r="AM22">
        <v>4.3126906702880399E-2</v>
      </c>
      <c r="AN22">
        <v>0.155575688729299</v>
      </c>
    </row>
    <row r="23" spans="1:40" x14ac:dyDescent="0.2">
      <c r="A23">
        <v>72</v>
      </c>
      <c r="B23">
        <v>751</v>
      </c>
      <c r="C23">
        <v>200</v>
      </c>
      <c r="D23">
        <v>0.378704779573308</v>
      </c>
      <c r="E23">
        <v>0.55073907351668405</v>
      </c>
      <c r="F23">
        <v>4.9485089828859099</v>
      </c>
      <c r="G23">
        <v>-3.6451904951857141</v>
      </c>
      <c r="H23">
        <v>-2.650453689481616</v>
      </c>
      <c r="I23">
        <v>0.97128038442034603</v>
      </c>
      <c r="J23">
        <v>0.48832377173860902</v>
      </c>
      <c r="K23">
        <v>0.111293942361503</v>
      </c>
      <c r="L23">
        <v>3.8776141987924574E-5</v>
      </c>
      <c r="M23">
        <v>4.4966310401661085E-7</v>
      </c>
      <c r="N23" s="1">
        <v>2.34158912100542E-9</v>
      </c>
      <c r="O23" s="1">
        <v>2.8956875374020799E-13</v>
      </c>
      <c r="P23">
        <v>0</v>
      </c>
      <c r="R23">
        <v>6.8883149934295602</v>
      </c>
      <c r="S23">
        <v>1.9807511979462999</v>
      </c>
      <c r="T23">
        <v>53.854030742893499</v>
      </c>
      <c r="V23">
        <v>36.336143588588598</v>
      </c>
      <c r="X23">
        <v>0.94075947714194097</v>
      </c>
      <c r="AJ23">
        <v>0</v>
      </c>
      <c r="AK23">
        <v>-8.8396205016536104E-3</v>
      </c>
      <c r="AL23">
        <v>0.76146932260975897</v>
      </c>
      <c r="AM23">
        <v>5.2704056537110897E-2</v>
      </c>
      <c r="AN23">
        <v>0.194666241354783</v>
      </c>
    </row>
    <row r="24" spans="1:40" x14ac:dyDescent="0.2">
      <c r="A24">
        <v>73</v>
      </c>
      <c r="B24">
        <v>750</v>
      </c>
      <c r="C24">
        <v>200</v>
      </c>
      <c r="D24">
        <v>0.37802912573913899</v>
      </c>
      <c r="E24">
        <v>0.68006158373118897</v>
      </c>
      <c r="F24">
        <v>4.9396475272534399</v>
      </c>
      <c r="G24">
        <v>-4.5403114032734644</v>
      </c>
      <c r="H24">
        <v>-3.3107666464445269</v>
      </c>
      <c r="I24">
        <v>1.20172482708199</v>
      </c>
      <c r="J24">
        <v>0.60342508586786103</v>
      </c>
      <c r="K24">
        <v>0.13767411135695301</v>
      </c>
      <c r="L24">
        <v>3.7489178198272293E-5</v>
      </c>
      <c r="M24">
        <v>4.3554728579817101E-7</v>
      </c>
      <c r="N24" s="1">
        <v>2.7990808508842901E-9</v>
      </c>
      <c r="O24" s="1">
        <v>3.4549728065249801E-13</v>
      </c>
      <c r="P24">
        <v>0</v>
      </c>
      <c r="R24">
        <v>7.8483864654322701</v>
      </c>
      <c r="S24">
        <v>1.97130948986203</v>
      </c>
      <c r="T24">
        <v>52.036586213033303</v>
      </c>
      <c r="V24">
        <v>37.157621912217998</v>
      </c>
      <c r="X24">
        <v>0.98609591945428998</v>
      </c>
      <c r="AJ24">
        <v>0</v>
      </c>
      <c r="AK24">
        <v>-1.1574408704086801E-2</v>
      </c>
      <c r="AL24">
        <v>0.73487126106489697</v>
      </c>
      <c r="AM24">
        <v>5.5176337740125099E-2</v>
      </c>
      <c r="AN24">
        <v>0.22152680989906401</v>
      </c>
    </row>
    <row r="25" spans="1:40" x14ac:dyDescent="0.2">
      <c r="A25">
        <v>74</v>
      </c>
      <c r="B25">
        <v>749</v>
      </c>
      <c r="C25">
        <v>200</v>
      </c>
      <c r="D25">
        <v>0.37735214988015597</v>
      </c>
      <c r="E25">
        <v>0.72535494272689605</v>
      </c>
      <c r="F25">
        <v>4.9350065978643904</v>
      </c>
      <c r="G25">
        <v>-4.863882536131042</v>
      </c>
      <c r="H25">
        <v>-3.5527522925777379</v>
      </c>
      <c r="I25">
        <v>1.28271803898968</v>
      </c>
      <c r="J25">
        <v>0.64383895577711303</v>
      </c>
      <c r="K25">
        <v>0.14698155480496999</v>
      </c>
      <c r="L25">
        <v>3.6862773555694361E-5</v>
      </c>
      <c r="M25">
        <v>4.2879223931051724E-7</v>
      </c>
      <c r="N25" s="1">
        <v>2.9383927277275502E-9</v>
      </c>
      <c r="O25" s="1">
        <v>3.62342527299246E-13</v>
      </c>
      <c r="P25">
        <v>0</v>
      </c>
      <c r="R25">
        <v>8.2890893275395303</v>
      </c>
      <c r="S25">
        <v>1.9987901691116801</v>
      </c>
      <c r="T25">
        <v>51.165961648267498</v>
      </c>
      <c r="V25">
        <v>37.537318400788998</v>
      </c>
      <c r="X25">
        <v>1.00884045429221</v>
      </c>
      <c r="AJ25">
        <v>0</v>
      </c>
      <c r="AK25">
        <v>-1.2230043844428801E-2</v>
      </c>
      <c r="AL25">
        <v>0.72203324983155304</v>
      </c>
      <c r="AM25">
        <v>5.6406582653502402E-2</v>
      </c>
      <c r="AN25">
        <v>0.233790211359373</v>
      </c>
    </row>
    <row r="26" spans="1:40" x14ac:dyDescent="0.2">
      <c r="A26">
        <v>75</v>
      </c>
      <c r="B26">
        <v>748</v>
      </c>
      <c r="C26">
        <v>200</v>
      </c>
      <c r="D26">
        <v>0.37667384811242399</v>
      </c>
      <c r="E26">
        <v>0.74899379560220902</v>
      </c>
      <c r="F26">
        <v>4.9319609251593803</v>
      </c>
      <c r="G26">
        <v>-5.0365110252768748</v>
      </c>
      <c r="H26">
        <v>-3.6835505043798396</v>
      </c>
      <c r="I26">
        <v>1.3249380804945701</v>
      </c>
      <c r="J26">
        <v>0.664968035974973</v>
      </c>
      <c r="K26">
        <v>0.151865314216374</v>
      </c>
      <c r="L26">
        <v>3.6464750676870696E-5</v>
      </c>
      <c r="M26">
        <v>4.2457563420697573E-7</v>
      </c>
      <c r="N26" s="1">
        <v>3.0038421758626101E-9</v>
      </c>
      <c r="O26" s="1">
        <v>3.70184626536978E-13</v>
      </c>
      <c r="P26">
        <v>0</v>
      </c>
      <c r="R26">
        <v>8.5528770698484902</v>
      </c>
      <c r="S26">
        <v>2.03358932396474</v>
      </c>
      <c r="T26">
        <v>50.623546306638403</v>
      </c>
      <c r="V26">
        <v>37.767011765714003</v>
      </c>
      <c r="X26">
        <v>1.02297553383433</v>
      </c>
      <c r="AJ26">
        <v>0</v>
      </c>
      <c r="AK26">
        <v>-1.2244457040022E-2</v>
      </c>
      <c r="AL26">
        <v>0.71398279183866897</v>
      </c>
      <c r="AM26">
        <v>5.7165192463963302E-2</v>
      </c>
      <c r="AN26">
        <v>0.24109647273738899</v>
      </c>
    </row>
    <row r="27" spans="1:40" x14ac:dyDescent="0.2">
      <c r="A27">
        <v>76</v>
      </c>
      <c r="B27">
        <v>747</v>
      </c>
      <c r="C27">
        <v>200</v>
      </c>
      <c r="D27">
        <v>0.375994216536785</v>
      </c>
      <c r="E27">
        <v>0.763765302003937</v>
      </c>
      <c r="F27">
        <v>4.9297124761189997</v>
      </c>
      <c r="G27">
        <v>-5.1463471422788629</v>
      </c>
      <c r="H27">
        <v>-3.767907951858223</v>
      </c>
      <c r="I27">
        <v>1.35121226331484</v>
      </c>
      <c r="J27">
        <v>0.67818976342825699</v>
      </c>
      <c r="K27">
        <v>0.154931003725642</v>
      </c>
      <c r="L27">
        <v>3.6174791549888382E-5</v>
      </c>
      <c r="M27">
        <v>4.2155787949641356E-7</v>
      </c>
      <c r="N27" s="1">
        <v>3.0410146691566699E-9</v>
      </c>
      <c r="O27" s="1">
        <v>3.7460016212759599E-13</v>
      </c>
      <c r="P27">
        <v>0</v>
      </c>
      <c r="R27">
        <v>8.7340635852914197</v>
      </c>
      <c r="S27">
        <v>2.0697509777113199</v>
      </c>
      <c r="T27">
        <v>50.236623642669997</v>
      </c>
      <c r="V27">
        <v>37.926772577566702</v>
      </c>
      <c r="X27">
        <v>1.0327892167603601</v>
      </c>
      <c r="AJ27">
        <v>0</v>
      </c>
      <c r="AK27">
        <v>-1.1988684625921E-2</v>
      </c>
      <c r="AL27">
        <v>0.70820761469344995</v>
      </c>
      <c r="AM27">
        <v>5.7687681844504499E-2</v>
      </c>
      <c r="AN27">
        <v>0.24609338808796499</v>
      </c>
    </row>
    <row r="28" spans="1:40" x14ac:dyDescent="0.2">
      <c r="A28">
        <v>77</v>
      </c>
      <c r="B28">
        <v>746</v>
      </c>
      <c r="C28">
        <v>200</v>
      </c>
      <c r="D28">
        <v>0.37531325123877901</v>
      </c>
      <c r="E28">
        <v>0.77397328439466195</v>
      </c>
      <c r="F28">
        <v>4.9279330117651403</v>
      </c>
      <c r="G28">
        <v>-5.2234781943675435</v>
      </c>
      <c r="H28">
        <v>-3.8280041511462031</v>
      </c>
      <c r="I28">
        <v>1.3692528511223401</v>
      </c>
      <c r="J28">
        <v>0.68733756287706405</v>
      </c>
      <c r="K28">
        <v>0.157058402081937</v>
      </c>
      <c r="L28">
        <v>3.5945819740517771E-5</v>
      </c>
      <c r="M28">
        <v>4.1921557748941322E-7</v>
      </c>
      <c r="N28" s="1">
        <v>3.0643456360611199E-9</v>
      </c>
      <c r="O28" s="1">
        <v>3.7734660824708402E-13</v>
      </c>
      <c r="P28">
        <v>0</v>
      </c>
      <c r="R28">
        <v>8.8692226649698505</v>
      </c>
      <c r="S28">
        <v>2.1056160211856598</v>
      </c>
      <c r="T28">
        <v>49.937510400769902</v>
      </c>
      <c r="V28">
        <v>38.047597275679003</v>
      </c>
      <c r="X28">
        <v>1.0400536373954401</v>
      </c>
      <c r="AJ28">
        <v>0</v>
      </c>
      <c r="AK28">
        <v>-1.1598119465898501E-2</v>
      </c>
      <c r="AL28">
        <v>0.70372105653103501</v>
      </c>
      <c r="AM28">
        <v>5.8071178513165102E-2</v>
      </c>
      <c r="AN28">
        <v>0.24980588442169699</v>
      </c>
    </row>
    <row r="29" spans="1:40" x14ac:dyDescent="0.2">
      <c r="A29">
        <v>78</v>
      </c>
      <c r="B29">
        <v>745</v>
      </c>
      <c r="C29">
        <v>200</v>
      </c>
      <c r="D29">
        <v>0.37463094828856203</v>
      </c>
      <c r="E29">
        <v>0.78149005172387398</v>
      </c>
      <c r="F29">
        <v>4.9264594721957797</v>
      </c>
      <c r="G29">
        <v>-5.2811309523260244</v>
      </c>
      <c r="H29">
        <v>-3.8736154590976826</v>
      </c>
      <c r="I29">
        <v>1.38242448875739</v>
      </c>
      <c r="J29">
        <v>0.69408047699484599</v>
      </c>
      <c r="K29">
        <v>0.15863117440313601</v>
      </c>
      <c r="L29">
        <v>3.5755280070770983E-5</v>
      </c>
      <c r="M29">
        <v>4.1729823246275337E-7</v>
      </c>
      <c r="N29" s="1">
        <v>3.07983466537611E-9</v>
      </c>
      <c r="O29" s="1">
        <v>3.7915150994679801E-13</v>
      </c>
      <c r="P29">
        <v>0</v>
      </c>
      <c r="R29">
        <v>8.9757337701927096</v>
      </c>
      <c r="S29">
        <v>2.1406676199469201</v>
      </c>
      <c r="T29">
        <v>49.693746771415</v>
      </c>
      <c r="V29">
        <v>38.144200570428701</v>
      </c>
      <c r="X29">
        <v>1.04565126801646</v>
      </c>
      <c r="AJ29">
        <v>0</v>
      </c>
      <c r="AK29">
        <v>-1.1133270153842001E-2</v>
      </c>
      <c r="AL29">
        <v>0.70004901037951195</v>
      </c>
      <c r="AM29">
        <v>5.8363968653447298E-2</v>
      </c>
      <c r="AN29">
        <v>0.25272029112088201</v>
      </c>
    </row>
    <row r="30" spans="1:40" x14ac:dyDescent="0.2">
      <c r="A30">
        <v>91</v>
      </c>
      <c r="B30">
        <v>757</v>
      </c>
      <c r="C30">
        <v>175</v>
      </c>
      <c r="D30">
        <v>0.40942629714119499</v>
      </c>
      <c r="E30">
        <v>0.163556502690718</v>
      </c>
      <c r="F30">
        <v>4.96193935344676</v>
      </c>
      <c r="G30">
        <v>-1.069248823126562</v>
      </c>
      <c r="H30">
        <v>-0.77246692209704115</v>
      </c>
      <c r="I30">
        <v>0.28809581228900699</v>
      </c>
      <c r="J30">
        <v>0.14486209533296801</v>
      </c>
      <c r="K30">
        <v>3.2962213167137003E-2</v>
      </c>
      <c r="L30">
        <v>4.0784078257937695E-5</v>
      </c>
      <c r="M30">
        <v>4.7070855978672428E-7</v>
      </c>
      <c r="N30" s="1">
        <v>7.2874811796224903E-10</v>
      </c>
      <c r="O30" s="1">
        <v>9.0494482117117195E-14</v>
      </c>
      <c r="P30">
        <v>0</v>
      </c>
      <c r="R30">
        <v>5.3412696587915098</v>
      </c>
      <c r="S30">
        <v>2.0610366591411302</v>
      </c>
      <c r="T30">
        <v>56.671758662154197</v>
      </c>
      <c r="V30">
        <v>35.121911104123697</v>
      </c>
      <c r="X30">
        <v>0.80402391578938404</v>
      </c>
      <c r="AJ30">
        <v>0</v>
      </c>
      <c r="AK30">
        <v>5.9990987231539595E-4</v>
      </c>
      <c r="AL30">
        <v>0.80299755830993702</v>
      </c>
      <c r="AM30">
        <v>4.5138564698605499E-2</v>
      </c>
      <c r="AN30">
        <v>0.151263967119141</v>
      </c>
    </row>
    <row r="31" spans="1:40" x14ac:dyDescent="0.2">
      <c r="A31">
        <v>92</v>
      </c>
      <c r="B31">
        <v>756</v>
      </c>
      <c r="C31">
        <v>175</v>
      </c>
      <c r="D31">
        <v>0.40878443375601398</v>
      </c>
      <c r="E31">
        <v>0.57527158015939395</v>
      </c>
      <c r="F31">
        <v>4.9466802703822701</v>
      </c>
      <c r="G31">
        <v>-3.813430551328906</v>
      </c>
      <c r="H31">
        <v>-2.7668222285321926</v>
      </c>
      <c r="I31">
        <v>1.01696382723287</v>
      </c>
      <c r="J31">
        <v>0.51033971023512503</v>
      </c>
      <c r="K31">
        <v>0.116294474013971</v>
      </c>
      <c r="L31">
        <v>3.9175896761352652E-5</v>
      </c>
      <c r="M31">
        <v>4.539795761179318E-7</v>
      </c>
      <c r="N31" s="1">
        <v>2.4642404389700601E-9</v>
      </c>
      <c r="O31" s="1">
        <v>3.04493212606014E-13</v>
      </c>
      <c r="P31">
        <v>0</v>
      </c>
      <c r="R31">
        <v>6.7026551650835797</v>
      </c>
      <c r="S31">
        <v>1.99738387859188</v>
      </c>
      <c r="T31">
        <v>54.214705572102098</v>
      </c>
      <c r="V31">
        <v>36.103938178272799</v>
      </c>
      <c r="X31">
        <v>0.98131720594945204</v>
      </c>
      <c r="AJ31">
        <v>0</v>
      </c>
      <c r="AK31">
        <v>-1.07410678731387E-2</v>
      </c>
      <c r="AL31">
        <v>0.76639949181360301</v>
      </c>
      <c r="AM31">
        <v>5.4964054533424699E-2</v>
      </c>
      <c r="AN31">
        <v>0.18937752152611101</v>
      </c>
    </row>
    <row r="32" spans="1:40" x14ac:dyDescent="0.2">
      <c r="A32">
        <v>93</v>
      </c>
      <c r="B32">
        <v>755</v>
      </c>
      <c r="C32">
        <v>175</v>
      </c>
      <c r="D32">
        <v>0.40814132179156798</v>
      </c>
      <c r="E32">
        <v>0.68872113193378603</v>
      </c>
      <c r="F32">
        <v>4.9385749788921398</v>
      </c>
      <c r="G32">
        <v>-4.6022298008751319</v>
      </c>
      <c r="H32">
        <v>-3.3481650256512987</v>
      </c>
      <c r="I32">
        <v>1.21972939281606</v>
      </c>
      <c r="J32">
        <v>0.61140416927335495</v>
      </c>
      <c r="K32">
        <v>0.13945746189486499</v>
      </c>
      <c r="L32">
        <v>3.7981998573732764E-5</v>
      </c>
      <c r="M32">
        <v>4.4092506727429237E-7</v>
      </c>
      <c r="N32" s="1">
        <v>2.86375010485387E-9</v>
      </c>
      <c r="O32" s="1">
        <v>3.5323690975261401E-13</v>
      </c>
      <c r="P32">
        <v>0</v>
      </c>
      <c r="R32">
        <v>7.5909133269033102</v>
      </c>
      <c r="S32">
        <v>1.98892840050152</v>
      </c>
      <c r="T32">
        <v>52.533347401705001</v>
      </c>
      <c r="V32">
        <v>36.862676214788799</v>
      </c>
      <c r="X32">
        <v>1.0241346561012601</v>
      </c>
      <c r="AJ32">
        <v>0</v>
      </c>
      <c r="AK32">
        <v>-1.33113084532066E-2</v>
      </c>
      <c r="AL32">
        <v>0.74178449279584402</v>
      </c>
      <c r="AM32">
        <v>5.7296881023379799E-2</v>
      </c>
      <c r="AN32">
        <v>0.21422993463398199</v>
      </c>
    </row>
    <row r="33" spans="1:40" x14ac:dyDescent="0.2">
      <c r="A33">
        <v>94</v>
      </c>
      <c r="B33">
        <v>754</v>
      </c>
      <c r="C33">
        <v>175</v>
      </c>
      <c r="D33">
        <v>0.40749695760112897</v>
      </c>
      <c r="E33">
        <v>0.73258882493537603</v>
      </c>
      <c r="F33">
        <v>4.9339872652605603</v>
      </c>
      <c r="G33">
        <v>-4.9167697900215623</v>
      </c>
      <c r="H33">
        <v>-3.5831166373239016</v>
      </c>
      <c r="I33">
        <v>1.2984015505988999</v>
      </c>
      <c r="J33">
        <v>0.65058204248543905</v>
      </c>
      <c r="K33">
        <v>0.148478053458593</v>
      </c>
      <c r="L33">
        <v>3.7352353762835876E-5</v>
      </c>
      <c r="M33">
        <v>4.3414826089658882E-7</v>
      </c>
      <c r="N33" s="1">
        <v>2.9984252087511598E-9</v>
      </c>
      <c r="O33" s="1">
        <v>3.6948463867147501E-13</v>
      </c>
      <c r="P33">
        <v>0</v>
      </c>
      <c r="R33">
        <v>8.0351779648473993</v>
      </c>
      <c r="S33">
        <v>2.0137624221020798</v>
      </c>
      <c r="T33">
        <v>51.659298487249998</v>
      </c>
      <c r="V33">
        <v>37.2442547827117</v>
      </c>
      <c r="X33">
        <v>1.0475063430887399</v>
      </c>
      <c r="AJ33">
        <v>0</v>
      </c>
      <c r="AK33">
        <v>-1.4059186167208901E-2</v>
      </c>
      <c r="AL33">
        <v>0.72889937322535003</v>
      </c>
      <c r="AM33">
        <v>5.8560796846146103E-2</v>
      </c>
      <c r="AN33">
        <v>0.22659901609571201</v>
      </c>
    </row>
    <row r="34" spans="1:40" x14ac:dyDescent="0.2">
      <c r="A34">
        <v>95</v>
      </c>
      <c r="B34">
        <v>753</v>
      </c>
      <c r="C34">
        <v>175</v>
      </c>
      <c r="D34">
        <v>0.40685133752375702</v>
      </c>
      <c r="E34">
        <v>0.75615237872526897</v>
      </c>
      <c r="F34">
        <v>4.9309022989466298</v>
      </c>
      <c r="G34">
        <v>-5.0895103030384847</v>
      </c>
      <c r="H34">
        <v>-3.7138329842641364</v>
      </c>
      <c r="I34">
        <v>1.3406201030788301</v>
      </c>
      <c r="J34">
        <v>0.67166468343697405</v>
      </c>
      <c r="K34">
        <v>0.15334969806373999</v>
      </c>
      <c r="L34">
        <v>3.6942937619542723E-5</v>
      </c>
      <c r="M34">
        <v>4.2981550471584349E-7</v>
      </c>
      <c r="N34" s="1">
        <v>3.0634168349358598E-9</v>
      </c>
      <c r="O34" s="1">
        <v>3.7724874301054801E-13</v>
      </c>
      <c r="P34">
        <v>0</v>
      </c>
      <c r="R34">
        <v>8.3085651793256794</v>
      </c>
      <c r="S34">
        <v>2.04656283521782</v>
      </c>
      <c r="T34">
        <v>51.101174883775101</v>
      </c>
      <c r="V34">
        <v>37.481185674508197</v>
      </c>
      <c r="X34">
        <v>1.06251142717305</v>
      </c>
      <c r="AJ34">
        <v>0</v>
      </c>
      <c r="AK34">
        <v>-1.41652697250305E-2</v>
      </c>
      <c r="AL34">
        <v>0.72062111540034302</v>
      </c>
      <c r="AM34">
        <v>5.93664324682526E-2</v>
      </c>
      <c r="AN34">
        <v>0.23417772185643401</v>
      </c>
    </row>
    <row r="35" spans="1:40" x14ac:dyDescent="0.2">
      <c r="A35">
        <v>96</v>
      </c>
      <c r="B35">
        <v>752</v>
      </c>
      <c r="C35">
        <v>175</v>
      </c>
      <c r="D35">
        <v>0.406204457884214</v>
      </c>
      <c r="E35">
        <v>0.77107390263032505</v>
      </c>
      <c r="F35">
        <v>4.9286031978115901</v>
      </c>
      <c r="G35">
        <v>-5.200898089867362</v>
      </c>
      <c r="H35">
        <v>-3.799258643865504</v>
      </c>
      <c r="I35">
        <v>1.3672530322409899</v>
      </c>
      <c r="J35">
        <v>0.68503461022566603</v>
      </c>
      <c r="K35">
        <v>0.15644876888703399</v>
      </c>
      <c r="L35">
        <v>3.6642401159755905E-5</v>
      </c>
      <c r="M35">
        <v>4.2668876589948021E-7</v>
      </c>
      <c r="N35" s="1">
        <v>3.1007694978034298E-9</v>
      </c>
      <c r="O35" s="1">
        <v>3.8166904973151399E-13</v>
      </c>
      <c r="P35">
        <v>0</v>
      </c>
      <c r="R35">
        <v>8.4985145477560202</v>
      </c>
      <c r="S35">
        <v>2.08128459604497</v>
      </c>
      <c r="T35">
        <v>50.699461405684801</v>
      </c>
      <c r="V35">
        <v>37.647618925782801</v>
      </c>
      <c r="X35">
        <v>1.07312052473132</v>
      </c>
      <c r="AJ35">
        <v>0</v>
      </c>
      <c r="AK35">
        <v>-1.39847880680198E-2</v>
      </c>
      <c r="AL35">
        <v>0.71463054338668897</v>
      </c>
      <c r="AM35">
        <v>5.99318899477869E-2</v>
      </c>
      <c r="AN35">
        <v>0.23942235473354301</v>
      </c>
    </row>
    <row r="36" spans="1:40" x14ac:dyDescent="0.2">
      <c r="A36">
        <v>97</v>
      </c>
      <c r="B36">
        <v>751</v>
      </c>
      <c r="C36">
        <v>175</v>
      </c>
      <c r="D36">
        <v>0.40555631499292399</v>
      </c>
      <c r="E36">
        <v>0.78147126148415003</v>
      </c>
      <c r="F36">
        <v>4.9267766013641099</v>
      </c>
      <c r="G36">
        <v>-5.2797607701258658</v>
      </c>
      <c r="H36">
        <v>-3.8605977992538887</v>
      </c>
      <c r="I36">
        <v>1.3856983555846001</v>
      </c>
      <c r="J36">
        <v>0.69436216662438</v>
      </c>
      <c r="K36">
        <v>0.15861714965273199</v>
      </c>
      <c r="L36">
        <v>3.640461585364274E-5</v>
      </c>
      <c r="M36">
        <v>4.2425592327311973E-7</v>
      </c>
      <c r="N36" s="1">
        <v>3.1244068893305999E-9</v>
      </c>
      <c r="O36" s="1">
        <v>3.8443897834556601E-13</v>
      </c>
      <c r="P36">
        <v>0</v>
      </c>
      <c r="R36">
        <v>8.6409378420063607</v>
      </c>
      <c r="S36">
        <v>2.11607589434468</v>
      </c>
      <c r="T36">
        <v>50.387963895135897</v>
      </c>
      <c r="V36">
        <v>37.773944778411803</v>
      </c>
      <c r="X36">
        <v>1.08107759010112</v>
      </c>
      <c r="AJ36">
        <v>0</v>
      </c>
      <c r="AK36">
        <v>-1.3655789885614399E-2</v>
      </c>
      <c r="AL36">
        <v>0.70996313823435897</v>
      </c>
      <c r="AM36">
        <v>6.0352754970094902E-2</v>
      </c>
      <c r="AN36">
        <v>0.24333989668115999</v>
      </c>
    </row>
    <row r="37" spans="1:40" x14ac:dyDescent="0.2">
      <c r="A37">
        <v>98</v>
      </c>
      <c r="B37">
        <v>750</v>
      </c>
      <c r="C37">
        <v>175</v>
      </c>
      <c r="D37">
        <v>0.40490690514587502</v>
      </c>
      <c r="E37">
        <v>0.78917618065367201</v>
      </c>
      <c r="F37">
        <v>4.9252620172161201</v>
      </c>
      <c r="G37">
        <v>-5.3390652466356787</v>
      </c>
      <c r="H37">
        <v>-3.9074155796516612</v>
      </c>
      <c r="I37">
        <v>1.39925687043348</v>
      </c>
      <c r="J37">
        <v>0.70128148791852696</v>
      </c>
      <c r="K37">
        <v>0.16023029392043001</v>
      </c>
      <c r="L37">
        <v>3.6206844592297689E-5</v>
      </c>
      <c r="M37">
        <v>4.2226483789604566E-7</v>
      </c>
      <c r="N37" s="1">
        <v>3.1402270798286399E-9</v>
      </c>
      <c r="O37" s="1">
        <v>3.8627275871903902E-13</v>
      </c>
      <c r="P37">
        <v>0</v>
      </c>
      <c r="R37">
        <v>8.7533985940926602</v>
      </c>
      <c r="S37">
        <v>2.1502971438540501</v>
      </c>
      <c r="T37">
        <v>50.1340187603342</v>
      </c>
      <c r="V37">
        <v>37.875007121215504</v>
      </c>
      <c r="X37">
        <v>1.08727838050351</v>
      </c>
      <c r="AJ37">
        <v>0</v>
      </c>
      <c r="AK37">
        <v>-1.32422159563095E-2</v>
      </c>
      <c r="AL37">
        <v>0.70614204653159296</v>
      </c>
      <c r="AM37">
        <v>6.0678040703517601E-2</v>
      </c>
      <c r="AN37">
        <v>0.24642212872119801</v>
      </c>
    </row>
    <row r="38" spans="1:40" x14ac:dyDescent="0.2">
      <c r="A38">
        <v>115</v>
      </c>
      <c r="B38">
        <v>764</v>
      </c>
      <c r="C38">
        <v>150</v>
      </c>
      <c r="D38">
        <v>0.44039965289495597</v>
      </c>
      <c r="E38">
        <v>0.112099140210695</v>
      </c>
      <c r="F38">
        <v>4.9617641374991601</v>
      </c>
      <c r="G38">
        <v>-0.73321980473344017</v>
      </c>
      <c r="H38">
        <v>-0.52784268744000151</v>
      </c>
      <c r="I38">
        <v>0.19802065014071099</v>
      </c>
      <c r="J38">
        <v>9.9320942829258504E-2</v>
      </c>
      <c r="K38">
        <v>2.2592597532698499E-2</v>
      </c>
      <c r="L38">
        <v>4.1276760962798737E-5</v>
      </c>
      <c r="M38">
        <v>4.7516991461823314E-7</v>
      </c>
      <c r="N38" s="1">
        <v>5.0370998985584296E-10</v>
      </c>
      <c r="O38" s="1">
        <v>6.2571166680237002E-14</v>
      </c>
      <c r="P38">
        <v>0</v>
      </c>
      <c r="R38">
        <v>5.0633319650703301</v>
      </c>
      <c r="S38">
        <v>2.0878751049228801</v>
      </c>
      <c r="T38">
        <v>57.172130681079601</v>
      </c>
      <c r="V38">
        <v>34.881005931327202</v>
      </c>
      <c r="X38">
        <v>0.79565631759991295</v>
      </c>
      <c r="AJ38">
        <v>0</v>
      </c>
      <c r="AK38">
        <v>1.6655810635674501E-3</v>
      </c>
      <c r="AL38">
        <v>0.81023788542087105</v>
      </c>
      <c r="AM38">
        <v>4.4677095107562299E-2</v>
      </c>
      <c r="AN38">
        <v>0.14341943840799901</v>
      </c>
    </row>
    <row r="39" spans="1:40" x14ac:dyDescent="0.2">
      <c r="A39">
        <v>116</v>
      </c>
      <c r="B39">
        <v>763</v>
      </c>
      <c r="C39">
        <v>150</v>
      </c>
      <c r="D39">
        <v>0.43979201853014099</v>
      </c>
      <c r="E39">
        <v>0.34877637072504603</v>
      </c>
      <c r="F39">
        <v>4.9551478772248299</v>
      </c>
      <c r="G39">
        <v>-2.2929025700295718</v>
      </c>
      <c r="H39">
        <v>-1.6538441873984282</v>
      </c>
      <c r="I39">
        <v>0.61676242110808599</v>
      </c>
      <c r="J39">
        <v>0.309253699050204</v>
      </c>
      <c r="K39">
        <v>7.0386672480172399E-2</v>
      </c>
      <c r="L39">
        <v>4.0923491945782451E-5</v>
      </c>
      <c r="M39">
        <v>4.723396801426718E-7</v>
      </c>
      <c r="N39" s="1">
        <v>1.5541590429311E-9</v>
      </c>
      <c r="O39" s="1">
        <v>1.92492500092258E-13</v>
      </c>
      <c r="P39">
        <v>0</v>
      </c>
      <c r="R39">
        <v>5.4409446019708003</v>
      </c>
      <c r="S39">
        <v>2.0701728324525899</v>
      </c>
      <c r="T39">
        <v>56.530023439044797</v>
      </c>
      <c r="V39">
        <v>35.041104410276297</v>
      </c>
      <c r="X39">
        <v>0.91775471625537697</v>
      </c>
      <c r="AJ39">
        <v>0</v>
      </c>
      <c r="AK39">
        <v>-5.5766084101701204E-3</v>
      </c>
      <c r="AL39">
        <v>0.80017529949410005</v>
      </c>
      <c r="AM39">
        <v>5.1471146747875902E-2</v>
      </c>
      <c r="AN39">
        <v>0.153930162168193</v>
      </c>
    </row>
    <row r="40" spans="1:40" x14ac:dyDescent="0.2">
      <c r="A40">
        <v>117</v>
      </c>
      <c r="B40">
        <v>762</v>
      </c>
      <c r="C40">
        <v>150</v>
      </c>
      <c r="D40">
        <v>0.439183210162781</v>
      </c>
      <c r="E40">
        <v>0.61233067619564896</v>
      </c>
      <c r="F40">
        <v>4.9433957404294002</v>
      </c>
      <c r="G40">
        <v>-4.0713039579653145</v>
      </c>
      <c r="H40">
        <v>-2.9472107087668071</v>
      </c>
      <c r="I40">
        <v>1.08592305385548</v>
      </c>
      <c r="J40">
        <v>0.54360189118554403</v>
      </c>
      <c r="K40">
        <v>0.12386843140793299</v>
      </c>
      <c r="L40">
        <v>3.9446150002144422E-5</v>
      </c>
      <c r="M40">
        <v>4.5663644646781658E-7</v>
      </c>
      <c r="N40" s="1">
        <v>2.6327029611417199E-9</v>
      </c>
      <c r="O40" s="1">
        <v>3.2495617286186002E-13</v>
      </c>
      <c r="P40">
        <v>0</v>
      </c>
      <c r="R40">
        <v>6.6310823783124597</v>
      </c>
      <c r="S40">
        <v>2.0169709196315702</v>
      </c>
      <c r="T40">
        <v>54.356461943152098</v>
      </c>
      <c r="V40">
        <v>35.964805484603801</v>
      </c>
      <c r="X40">
        <v>1.03067927429998</v>
      </c>
      <c r="AJ40">
        <v>0</v>
      </c>
      <c r="AK40">
        <v>-1.30667679241639E-2</v>
      </c>
      <c r="AL40">
        <v>0.768084379874026</v>
      </c>
      <c r="AM40">
        <v>5.7704879579666503E-2</v>
      </c>
      <c r="AN40">
        <v>0.187277508470471</v>
      </c>
    </row>
    <row r="41" spans="1:40" x14ac:dyDescent="0.2">
      <c r="A41">
        <v>118</v>
      </c>
      <c r="B41">
        <v>761</v>
      </c>
      <c r="C41">
        <v>150</v>
      </c>
      <c r="D41">
        <v>0.43857322438717999</v>
      </c>
      <c r="E41">
        <v>0.70152068999279704</v>
      </c>
      <c r="F41">
        <v>4.9365023377262798</v>
      </c>
      <c r="G41">
        <v>-4.6964439246193361</v>
      </c>
      <c r="H41">
        <v>-3.4079318442041098</v>
      </c>
      <c r="I41">
        <v>1.24596246232676</v>
      </c>
      <c r="J41">
        <v>0.62315615339165398</v>
      </c>
      <c r="K41">
        <v>0.14210885400206399</v>
      </c>
      <c r="L41">
        <v>3.8424048767859878E-5</v>
      </c>
      <c r="M41">
        <v>4.4552265855948161E-7</v>
      </c>
      <c r="N41" s="1">
        <v>2.94119903536827E-9</v>
      </c>
      <c r="O41" s="1">
        <v>3.6247466087098101E-13</v>
      </c>
      <c r="P41">
        <v>0</v>
      </c>
      <c r="R41">
        <v>7.3853091973062801</v>
      </c>
      <c r="S41">
        <v>2.0147788561587601</v>
      </c>
      <c r="T41">
        <v>52.923623910383398</v>
      </c>
      <c r="V41">
        <v>36.607992467713999</v>
      </c>
      <c r="X41">
        <v>1.06829556843744</v>
      </c>
      <c r="AJ41">
        <v>0</v>
      </c>
      <c r="AK41">
        <v>-1.52060172853834E-2</v>
      </c>
      <c r="AL41">
        <v>0.74708614683480101</v>
      </c>
      <c r="AM41">
        <v>5.9750807557660497E-2</v>
      </c>
      <c r="AN41">
        <v>0.20836906289292101</v>
      </c>
    </row>
    <row r="42" spans="1:40" x14ac:dyDescent="0.2">
      <c r="A42">
        <v>119</v>
      </c>
      <c r="B42">
        <v>760</v>
      </c>
      <c r="C42">
        <v>150</v>
      </c>
      <c r="D42">
        <v>0.43796205778444602</v>
      </c>
      <c r="E42">
        <v>0.74119718693773096</v>
      </c>
      <c r="F42">
        <v>4.9322068976972897</v>
      </c>
      <c r="G42">
        <v>-4.9825686147536841</v>
      </c>
      <c r="H42">
        <v>-3.6215426235195407</v>
      </c>
      <c r="I42">
        <v>1.31735565139054</v>
      </c>
      <c r="J42">
        <v>0.65863204895461502</v>
      </c>
      <c r="K42">
        <v>0.15027698600473799</v>
      </c>
      <c r="L42">
        <v>3.78261801523194E-5</v>
      </c>
      <c r="M42">
        <v>4.3911676638774669E-7</v>
      </c>
      <c r="N42" s="1">
        <v>3.0618983167682301E-9</v>
      </c>
      <c r="O42" s="1">
        <v>3.76990756087647E-13</v>
      </c>
      <c r="P42">
        <v>0</v>
      </c>
      <c r="R42">
        <v>7.8058338163069498</v>
      </c>
      <c r="S42">
        <v>2.0382889440889702</v>
      </c>
      <c r="T42">
        <v>52.096595781085298</v>
      </c>
      <c r="V42">
        <v>36.968273600360199</v>
      </c>
      <c r="X42">
        <v>1.0910078581585001</v>
      </c>
      <c r="AJ42">
        <v>0</v>
      </c>
      <c r="AK42">
        <v>-1.5945233421293899E-2</v>
      </c>
      <c r="AL42">
        <v>0.73488987955497098</v>
      </c>
      <c r="AM42">
        <v>6.09778409812997E-2</v>
      </c>
      <c r="AN42">
        <v>0.220077512885022</v>
      </c>
    </row>
    <row r="43" spans="1:40" x14ac:dyDescent="0.2">
      <c r="A43">
        <v>120</v>
      </c>
      <c r="B43">
        <v>759</v>
      </c>
      <c r="C43">
        <v>150</v>
      </c>
      <c r="D43">
        <v>0.43734970692244701</v>
      </c>
      <c r="E43">
        <v>0.76368186590010101</v>
      </c>
      <c r="F43">
        <v>4.92919859411258</v>
      </c>
      <c r="G43">
        <v>-5.1482455603700368</v>
      </c>
      <c r="H43">
        <v>-3.7468186370208358</v>
      </c>
      <c r="I43">
        <v>1.3577744740097799</v>
      </c>
      <c r="J43">
        <v>0.67877285744033</v>
      </c>
      <c r="K43">
        <v>0.15493022878247101</v>
      </c>
      <c r="L43">
        <v>3.7420873105307052E-5</v>
      </c>
      <c r="M43">
        <v>4.3484272083717736E-7</v>
      </c>
      <c r="N43" s="1">
        <v>3.1234384221031701E-9</v>
      </c>
      <c r="O43" s="1">
        <v>3.8431616216312598E-13</v>
      </c>
      <c r="P43">
        <v>0</v>
      </c>
      <c r="R43">
        <v>8.0768719789656007</v>
      </c>
      <c r="S43">
        <v>2.0693184459164198</v>
      </c>
      <c r="T43">
        <v>51.545241327034503</v>
      </c>
      <c r="V43">
        <v>37.202271397730499</v>
      </c>
      <c r="X43">
        <v>1.10629685035292</v>
      </c>
      <c r="AJ43">
        <v>0</v>
      </c>
      <c r="AK43">
        <v>-1.61053578394049E-2</v>
      </c>
      <c r="AL43">
        <v>0.72671289457257504</v>
      </c>
      <c r="AM43">
        <v>6.1798396803009401E-2</v>
      </c>
      <c r="AN43">
        <v>0.22759406646381899</v>
      </c>
    </row>
    <row r="44" spans="1:40" x14ac:dyDescent="0.2">
      <c r="A44">
        <v>121</v>
      </c>
      <c r="B44">
        <v>758</v>
      </c>
      <c r="C44">
        <v>150</v>
      </c>
      <c r="D44">
        <v>0.43673616835572199</v>
      </c>
      <c r="E44">
        <v>0.77831012160865098</v>
      </c>
      <c r="F44">
        <v>4.9269120781349196</v>
      </c>
      <c r="G44">
        <v>-5.2579671868124453</v>
      </c>
      <c r="H44">
        <v>-3.8308819981920186</v>
      </c>
      <c r="I44">
        <v>1.3839743864815199</v>
      </c>
      <c r="J44">
        <v>0.69189548678507795</v>
      </c>
      <c r="K44">
        <v>0.157971181394266</v>
      </c>
      <c r="L44">
        <v>3.7117631073013613E-5</v>
      </c>
      <c r="M44">
        <v>4.3169650015559888E-7</v>
      </c>
      <c r="N44" s="1">
        <v>3.1597914783745999E-9</v>
      </c>
      <c r="O44" s="1">
        <v>3.8860005375028201E-13</v>
      </c>
      <c r="P44">
        <v>0</v>
      </c>
      <c r="R44">
        <v>8.2695882739596502</v>
      </c>
      <c r="S44">
        <v>2.1025411820394901</v>
      </c>
      <c r="T44">
        <v>51.140219131250703</v>
      </c>
      <c r="V44">
        <v>37.370246569421703</v>
      </c>
      <c r="X44">
        <v>1.1174048433283601</v>
      </c>
      <c r="AJ44">
        <v>0</v>
      </c>
      <c r="AK44">
        <v>-1.59850044924429E-2</v>
      </c>
      <c r="AL44">
        <v>0.72067560764231198</v>
      </c>
      <c r="AM44">
        <v>6.2390581221395999E-2</v>
      </c>
      <c r="AN44">
        <v>0.23291881562873401</v>
      </c>
    </row>
    <row r="45" spans="1:40" x14ac:dyDescent="0.2">
      <c r="A45">
        <v>122</v>
      </c>
      <c r="B45">
        <v>757</v>
      </c>
      <c r="C45">
        <v>150</v>
      </c>
      <c r="D45">
        <v>0.436121438625445</v>
      </c>
      <c r="E45">
        <v>0.78867377926689997</v>
      </c>
      <c r="F45">
        <v>4.9250762580390601</v>
      </c>
      <c r="G45">
        <v>-5.3369222922308603</v>
      </c>
      <c r="H45">
        <v>-3.8922105896222394</v>
      </c>
      <c r="I45">
        <v>1.4024284838214001</v>
      </c>
      <c r="J45">
        <v>0.70120388273560896</v>
      </c>
      <c r="K45">
        <v>0.160134328474522</v>
      </c>
      <c r="L45">
        <v>3.6875458564959559E-5</v>
      </c>
      <c r="M45">
        <v>4.2922396498501626E-7</v>
      </c>
      <c r="N45" s="1">
        <v>3.1832074582055099E-9</v>
      </c>
      <c r="O45" s="1">
        <v>3.9133064905017798E-13</v>
      </c>
      <c r="P45">
        <v>0</v>
      </c>
      <c r="R45">
        <v>8.4159483152501995</v>
      </c>
      <c r="S45">
        <v>2.1361224102488499</v>
      </c>
      <c r="T45">
        <v>50.822832699497901</v>
      </c>
      <c r="V45">
        <v>37.499203595793901</v>
      </c>
      <c r="X45">
        <v>1.12589297920903</v>
      </c>
      <c r="AJ45">
        <v>0</v>
      </c>
      <c r="AK45">
        <v>-1.5711623214652502E-2</v>
      </c>
      <c r="AL45">
        <v>0.715923128625647</v>
      </c>
      <c r="AM45">
        <v>6.28399571286061E-2</v>
      </c>
      <c r="AN45">
        <v>0.23694853746039901</v>
      </c>
    </row>
    <row r="46" spans="1:40" x14ac:dyDescent="0.2">
      <c r="A46">
        <v>123</v>
      </c>
      <c r="B46">
        <v>756</v>
      </c>
      <c r="C46">
        <v>150</v>
      </c>
      <c r="D46">
        <v>0.43550551425934297</v>
      </c>
      <c r="E46">
        <v>0.79644478369930805</v>
      </c>
      <c r="F46">
        <v>4.9235449603744099</v>
      </c>
      <c r="G46">
        <v>-5.3969722470604742</v>
      </c>
      <c r="H46">
        <v>-3.9395318048268373</v>
      </c>
      <c r="I46">
        <v>1.41615939584476</v>
      </c>
      <c r="J46">
        <v>0.70819089114005696</v>
      </c>
      <c r="K46">
        <v>0.16176246791879401</v>
      </c>
      <c r="L46">
        <v>3.6673125251737638E-5</v>
      </c>
      <c r="M46">
        <v>4.2719020918170304E-7</v>
      </c>
      <c r="N46" s="1">
        <v>3.19910646506403E-9</v>
      </c>
      <c r="O46" s="1">
        <v>3.9316339716045698E-13</v>
      </c>
      <c r="P46">
        <v>0</v>
      </c>
      <c r="R46">
        <v>8.5323827026016694</v>
      </c>
      <c r="S46">
        <v>2.1693620430994698</v>
      </c>
      <c r="T46">
        <v>50.562648370100298</v>
      </c>
      <c r="V46">
        <v>37.6030014695354</v>
      </c>
      <c r="X46">
        <v>1.13260541466303</v>
      </c>
      <c r="AJ46">
        <v>0</v>
      </c>
      <c r="AK46">
        <v>-1.5347599376982501E-2</v>
      </c>
      <c r="AL46">
        <v>0.71201136161253697</v>
      </c>
      <c r="AM46">
        <v>6.3192711057972598E-2</v>
      </c>
      <c r="AN46">
        <v>0.24014352670647199</v>
      </c>
    </row>
    <row r="47" spans="1:40" x14ac:dyDescent="0.2">
      <c r="A47">
        <v>124</v>
      </c>
      <c r="B47">
        <v>755</v>
      </c>
      <c r="C47">
        <v>150</v>
      </c>
      <c r="D47">
        <v>0.43488839177162902</v>
      </c>
      <c r="E47">
        <v>0.80250940333225096</v>
      </c>
      <c r="F47">
        <v>4.9222317566463101</v>
      </c>
      <c r="G47">
        <v>-5.4444644509989528</v>
      </c>
      <c r="H47">
        <v>-3.9775272516104927</v>
      </c>
      <c r="I47">
        <v>1.4267735246690201</v>
      </c>
      <c r="J47">
        <v>0.71364849702977795</v>
      </c>
      <c r="K47">
        <v>0.16303771195833</v>
      </c>
      <c r="L47">
        <v>3.649847139974712E-5</v>
      </c>
      <c r="M47">
        <v>4.2546082432746413E-7</v>
      </c>
      <c r="N47" s="1">
        <v>3.2102438854344602E-9</v>
      </c>
      <c r="O47" s="1">
        <v>3.9443013366002302E-13</v>
      </c>
      <c r="P47">
        <v>0</v>
      </c>
      <c r="R47">
        <v>8.6282368132114993</v>
      </c>
      <c r="S47">
        <v>2.2019867942234699</v>
      </c>
      <c r="T47">
        <v>50.342220022298903</v>
      </c>
      <c r="V47">
        <v>37.6895141552789</v>
      </c>
      <c r="X47">
        <v>1.13804221498719</v>
      </c>
      <c r="AJ47">
        <v>0</v>
      </c>
      <c r="AK47">
        <v>-1.4926727528599699E-2</v>
      </c>
      <c r="AL47">
        <v>0.70868529200460395</v>
      </c>
      <c r="AM47">
        <v>6.3476163782279701E-2</v>
      </c>
      <c r="AN47">
        <v>0.242765271741715</v>
      </c>
    </row>
    <row r="48" spans="1:40" x14ac:dyDescent="0.2">
      <c r="A48">
        <v>145</v>
      </c>
      <c r="B48">
        <v>773</v>
      </c>
      <c r="C48">
        <v>125</v>
      </c>
      <c r="D48">
        <v>0.472102948907902</v>
      </c>
      <c r="E48">
        <v>8.9907999865265195E-2</v>
      </c>
      <c r="F48">
        <v>4.95983895704574</v>
      </c>
      <c r="G48">
        <v>-0.58931529289815143</v>
      </c>
      <c r="H48">
        <v>-0.42248762596743855</v>
      </c>
      <c r="I48">
        <v>0.15946820908159701</v>
      </c>
      <c r="J48">
        <v>7.9709807718822107E-2</v>
      </c>
      <c r="K48">
        <v>1.8127201436156599E-2</v>
      </c>
      <c r="L48">
        <v>4.1748113588551177E-5</v>
      </c>
      <c r="M48">
        <v>4.7901001819908166E-7</v>
      </c>
      <c r="N48" s="1">
        <v>4.06762083317613E-10</v>
      </c>
      <c r="O48" s="1">
        <v>5.0521994338878E-14</v>
      </c>
      <c r="P48">
        <v>0</v>
      </c>
      <c r="R48">
        <v>4.8449425668626098</v>
      </c>
      <c r="S48">
        <v>2.1244743676282898</v>
      </c>
      <c r="T48">
        <v>57.556523785583799</v>
      </c>
      <c r="V48">
        <v>34.667447287162197</v>
      </c>
      <c r="X48">
        <v>0.80661199276306605</v>
      </c>
      <c r="AJ48">
        <v>0</v>
      </c>
      <c r="AK48">
        <v>1.86262907231506E-3</v>
      </c>
      <c r="AL48">
        <v>0.81562507941903595</v>
      </c>
      <c r="AM48">
        <v>4.5288916810061197E-2</v>
      </c>
      <c r="AN48">
        <v>0.137223374698586</v>
      </c>
    </row>
    <row r="49" spans="1:40" x14ac:dyDescent="0.2">
      <c r="A49">
        <v>146</v>
      </c>
      <c r="B49">
        <v>772</v>
      </c>
      <c r="C49">
        <v>125</v>
      </c>
      <c r="D49">
        <v>0.47153088073482102</v>
      </c>
      <c r="E49">
        <v>0.12617738433991399</v>
      </c>
      <c r="F49">
        <v>4.9598144519891303</v>
      </c>
      <c r="G49">
        <v>-0.82685365489965679</v>
      </c>
      <c r="H49">
        <v>-0.59305880306037717</v>
      </c>
      <c r="I49">
        <v>0.22369502161343299</v>
      </c>
      <c r="J49">
        <v>0.111860364985803</v>
      </c>
      <c r="K49">
        <v>2.5439940457714201E-2</v>
      </c>
      <c r="L49">
        <v>4.1754133796534473E-5</v>
      </c>
      <c r="M49">
        <v>4.7941375523795098E-7</v>
      </c>
      <c r="N49" s="1">
        <v>5.7117252795062498E-10</v>
      </c>
      <c r="O49" s="1">
        <v>7.09265975504623E-14</v>
      </c>
      <c r="P49">
        <v>0</v>
      </c>
      <c r="R49">
        <v>4.8433766785583199</v>
      </c>
      <c r="S49">
        <v>2.1154821433886601</v>
      </c>
      <c r="T49">
        <v>57.575804228848803</v>
      </c>
      <c r="V49">
        <v>34.648190453696998</v>
      </c>
      <c r="X49">
        <v>0.81714649550718899</v>
      </c>
      <c r="AJ49">
        <v>0</v>
      </c>
      <c r="AK49">
        <v>1.07153850673398E-3</v>
      </c>
      <c r="AL49">
        <v>0.815874401028855</v>
      </c>
      <c r="AM49">
        <v>4.58790545952718E-2</v>
      </c>
      <c r="AN49">
        <v>0.137175005869138</v>
      </c>
    </row>
    <row r="50" spans="1:40" x14ac:dyDescent="0.2">
      <c r="A50">
        <v>147</v>
      </c>
      <c r="B50">
        <v>771</v>
      </c>
      <c r="C50">
        <v>125</v>
      </c>
      <c r="D50">
        <v>0.47095771680314102</v>
      </c>
      <c r="E50">
        <v>0.40045896054139501</v>
      </c>
      <c r="F50">
        <v>4.9512713172521901</v>
      </c>
      <c r="G50">
        <v>-2.6418031673821134</v>
      </c>
      <c r="H50">
        <v>-1.8993667130331964</v>
      </c>
      <c r="I50">
        <v>0.71104386759461402</v>
      </c>
      <c r="J50">
        <v>0.35538137634429101</v>
      </c>
      <c r="K50">
        <v>8.08800275488918E-2</v>
      </c>
      <c r="L50">
        <v>4.129486158769728E-5</v>
      </c>
      <c r="M50">
        <v>4.7565021288576054E-7</v>
      </c>
      <c r="N50" s="1">
        <v>1.7931722821746199E-9</v>
      </c>
      <c r="O50" s="1">
        <v>2.2183992501490601E-13</v>
      </c>
      <c r="P50">
        <v>0</v>
      </c>
      <c r="R50">
        <v>5.3308201261529797</v>
      </c>
      <c r="S50">
        <v>2.09715326179581</v>
      </c>
      <c r="T50">
        <v>56.740623086927201</v>
      </c>
      <c r="V50">
        <v>34.858491984290197</v>
      </c>
      <c r="X50">
        <v>0.97291154083370301</v>
      </c>
      <c r="AJ50">
        <v>0</v>
      </c>
      <c r="AK50">
        <v>-8.0681301642064208E-3</v>
      </c>
      <c r="AL50">
        <v>0.80278413022427897</v>
      </c>
      <c r="AM50">
        <v>5.45392644820058E-2</v>
      </c>
      <c r="AN50">
        <v>0.150744735457921</v>
      </c>
    </row>
    <row r="51" spans="1:40" x14ac:dyDescent="0.2">
      <c r="A51">
        <v>148</v>
      </c>
      <c r="B51">
        <v>770</v>
      </c>
      <c r="C51">
        <v>125</v>
      </c>
      <c r="D51">
        <v>0.47038345396155901</v>
      </c>
      <c r="E51">
        <v>0.61073077494751304</v>
      </c>
      <c r="F51">
        <v>4.9415313002013797</v>
      </c>
      <c r="G51">
        <v>-4.0668619244625113</v>
      </c>
      <c r="H51">
        <v>-2.9330509912084239</v>
      </c>
      <c r="I51">
        <v>1.08691073503723</v>
      </c>
      <c r="J51">
        <v>0.54254786170647196</v>
      </c>
      <c r="K51">
        <v>0.12359140069043401</v>
      </c>
      <c r="L51">
        <v>4.0088986252420958E-5</v>
      </c>
      <c r="M51">
        <v>4.6297838774322001E-7</v>
      </c>
      <c r="N51" s="1">
        <v>2.6571281119783699E-9</v>
      </c>
      <c r="O51" s="1">
        <v>3.2773881944057701E-13</v>
      </c>
      <c r="P51">
        <v>0</v>
      </c>
      <c r="R51">
        <v>6.3037785447951498</v>
      </c>
      <c r="S51">
        <v>2.0557147060553</v>
      </c>
      <c r="T51">
        <v>54.9655384541255</v>
      </c>
      <c r="V51">
        <v>35.601854222111001</v>
      </c>
      <c r="X51">
        <v>1.07311407291297</v>
      </c>
      <c r="AJ51">
        <v>0</v>
      </c>
      <c r="AK51">
        <v>-1.4581915427416501E-2</v>
      </c>
      <c r="AL51">
        <v>0.77651997223410496</v>
      </c>
      <c r="AM51">
        <v>6.0067461338531497E-2</v>
      </c>
      <c r="AN51">
        <v>0.17799448185477901</v>
      </c>
    </row>
    <row r="52" spans="1:40" x14ac:dyDescent="0.2">
      <c r="A52">
        <v>149</v>
      </c>
      <c r="B52">
        <v>769</v>
      </c>
      <c r="C52">
        <v>125</v>
      </c>
      <c r="D52">
        <v>0.46980808904668597</v>
      </c>
      <c r="E52">
        <v>0.69854849778260097</v>
      </c>
      <c r="F52">
        <v>4.9350421795966399</v>
      </c>
      <c r="G52">
        <v>-4.6824051538934333</v>
      </c>
      <c r="H52">
        <v>-3.3849237084844437</v>
      </c>
      <c r="I52">
        <v>1.24500450550207</v>
      </c>
      <c r="J52">
        <v>0.62093144676789003</v>
      </c>
      <c r="K52">
        <v>0.14154863775443799</v>
      </c>
      <c r="L52">
        <v>3.9096871085659042E-5</v>
      </c>
      <c r="M52">
        <v>4.5223528784200754E-7</v>
      </c>
      <c r="N52" s="1">
        <v>2.9670188229594199E-9</v>
      </c>
      <c r="O52" s="1">
        <v>3.6541162093018302E-13</v>
      </c>
      <c r="P52">
        <v>0</v>
      </c>
      <c r="R52">
        <v>7.0364689164665801</v>
      </c>
      <c r="S52">
        <v>2.0488229722353601</v>
      </c>
      <c r="T52">
        <v>53.579443477405</v>
      </c>
      <c r="V52">
        <v>36.225181599243001</v>
      </c>
      <c r="X52">
        <v>1.11008303464994</v>
      </c>
      <c r="AJ52">
        <v>0</v>
      </c>
      <c r="AK52">
        <v>-1.6787724069622E-2</v>
      </c>
      <c r="AL52">
        <v>0.75621665988562803</v>
      </c>
      <c r="AM52">
        <v>6.2077576191282999E-2</v>
      </c>
      <c r="AN52">
        <v>0.19849348799270999</v>
      </c>
    </row>
    <row r="53" spans="1:40" x14ac:dyDescent="0.2">
      <c r="A53">
        <v>150</v>
      </c>
      <c r="B53">
        <v>768</v>
      </c>
      <c r="C53">
        <v>125</v>
      </c>
      <c r="D53">
        <v>0.46923161888296799</v>
      </c>
      <c r="E53">
        <v>0.74058651462522695</v>
      </c>
      <c r="F53">
        <v>4.9306858292783904</v>
      </c>
      <c r="G53">
        <v>-4.9853613825898471</v>
      </c>
      <c r="H53">
        <v>-3.6100796857996675</v>
      </c>
      <c r="I53">
        <v>1.3209256080201499</v>
      </c>
      <c r="J53">
        <v>0.65854567700260502</v>
      </c>
      <c r="K53">
        <v>0.15019949359328999</v>
      </c>
      <c r="L53">
        <v>3.8473231577402452E-5</v>
      </c>
      <c r="M53">
        <v>4.455694108416155E-7</v>
      </c>
      <c r="N53" s="1">
        <v>3.0980848135610099E-9</v>
      </c>
      <c r="O53" s="1">
        <v>3.81170970130142E-13</v>
      </c>
      <c r="P53">
        <v>0</v>
      </c>
      <c r="R53">
        <v>7.4782086506785799</v>
      </c>
      <c r="S53">
        <v>2.0677174619545098</v>
      </c>
      <c r="T53">
        <v>52.717696362770603</v>
      </c>
      <c r="V53">
        <v>36.602097495396897</v>
      </c>
      <c r="X53">
        <v>1.13428002919932</v>
      </c>
      <c r="AJ53">
        <v>0</v>
      </c>
      <c r="AK53">
        <v>-1.77105055793444E-2</v>
      </c>
      <c r="AL53">
        <v>0.74352152920596204</v>
      </c>
      <c r="AM53">
        <v>6.3385315061017897E-2</v>
      </c>
      <c r="AN53">
        <v>0.210803661312364</v>
      </c>
    </row>
    <row r="54" spans="1:40" x14ac:dyDescent="0.2">
      <c r="A54">
        <v>151</v>
      </c>
      <c r="B54">
        <v>767</v>
      </c>
      <c r="C54">
        <v>125</v>
      </c>
      <c r="D54">
        <v>0.46865404028265401</v>
      </c>
      <c r="E54">
        <v>0.76487446741531595</v>
      </c>
      <c r="F54">
        <v>4.9275561577561602</v>
      </c>
      <c r="G54">
        <v>-5.1642496255952413</v>
      </c>
      <c r="H54">
        <v>-3.744673855589415</v>
      </c>
      <c r="I54">
        <v>1.3647798586798301</v>
      </c>
      <c r="J54">
        <v>0.68031922334953498</v>
      </c>
      <c r="K54">
        <v>0.15522389657830099</v>
      </c>
      <c r="L54">
        <v>3.8041387342846535E-5</v>
      </c>
      <c r="M54">
        <v>4.4102058869336135E-7</v>
      </c>
      <c r="N54" s="1">
        <v>3.16624524232262E-9</v>
      </c>
      <c r="O54" s="1">
        <v>3.8928034224279198E-13</v>
      </c>
      <c r="P54">
        <v>0</v>
      </c>
      <c r="R54">
        <v>7.7705201128075698</v>
      </c>
      <c r="S54">
        <v>2.09575135930187</v>
      </c>
      <c r="T54">
        <v>52.129638850408597</v>
      </c>
      <c r="V54">
        <v>36.852975103569598</v>
      </c>
      <c r="X54">
        <v>1.1511145739122</v>
      </c>
      <c r="AJ54">
        <v>0</v>
      </c>
      <c r="AK54">
        <v>-1.8021802496449899E-2</v>
      </c>
      <c r="AL54">
        <v>0.73481222050863304</v>
      </c>
      <c r="AM54">
        <v>6.4289707561982296E-2</v>
      </c>
      <c r="AN54">
        <v>0.21891987442583299</v>
      </c>
    </row>
    <row r="55" spans="1:40" x14ac:dyDescent="0.2">
      <c r="A55">
        <v>152</v>
      </c>
      <c r="B55">
        <v>766</v>
      </c>
      <c r="C55">
        <v>125</v>
      </c>
      <c r="D55">
        <v>0.46807535004571499</v>
      </c>
      <c r="E55">
        <v>0.78076851481471599</v>
      </c>
      <c r="F55">
        <v>4.9251558869433198</v>
      </c>
      <c r="G55">
        <v>-5.2834363074609714</v>
      </c>
      <c r="H55">
        <v>-3.8354876741538431</v>
      </c>
      <c r="I55">
        <v>1.3933971354540899</v>
      </c>
      <c r="J55">
        <v>0.69458988382420195</v>
      </c>
      <c r="K55">
        <v>0.158526660421967</v>
      </c>
      <c r="L55">
        <v>3.7716668976349491E-5</v>
      </c>
      <c r="M55">
        <v>4.3765193671853804E-7</v>
      </c>
      <c r="N55" s="1">
        <v>3.2067904655363102E-9</v>
      </c>
      <c r="O55" s="1">
        <v>3.9405423682691499E-13</v>
      </c>
      <c r="P55">
        <v>0</v>
      </c>
      <c r="R55">
        <v>7.9802987941311301</v>
      </c>
      <c r="S55">
        <v>2.1270118526344599</v>
      </c>
      <c r="T55">
        <v>51.694711535048597</v>
      </c>
      <c r="V55">
        <v>37.034421921391797</v>
      </c>
      <c r="X55">
        <v>1.1635558967939199</v>
      </c>
      <c r="AJ55">
        <v>0</v>
      </c>
      <c r="AK55">
        <v>-1.80180509905115E-2</v>
      </c>
      <c r="AL55">
        <v>0.72833952799467805</v>
      </c>
      <c r="AM55">
        <v>6.4954053586716506E-2</v>
      </c>
      <c r="AN55">
        <v>0.224724469409116</v>
      </c>
    </row>
    <row r="56" spans="1:40" x14ac:dyDescent="0.2">
      <c r="A56">
        <v>153</v>
      </c>
      <c r="B56">
        <v>765</v>
      </c>
      <c r="C56">
        <v>125</v>
      </c>
      <c r="D56">
        <v>0.46749554495978501</v>
      </c>
      <c r="E56">
        <v>0.79205501135857004</v>
      </c>
      <c r="F56">
        <v>4.9232231913053504</v>
      </c>
      <c r="G56">
        <v>-5.3693988873079572</v>
      </c>
      <c r="H56">
        <v>-3.9018505878351935</v>
      </c>
      <c r="I56">
        <v>1.41361874437486</v>
      </c>
      <c r="J56">
        <v>0.70473667012373598</v>
      </c>
      <c r="K56">
        <v>0.16088139427791401</v>
      </c>
      <c r="L56">
        <v>3.7457521776143123E-5</v>
      </c>
      <c r="M56">
        <v>4.3500442432771326E-7</v>
      </c>
      <c r="N56" s="1">
        <v>3.2330475661965899E-9</v>
      </c>
      <c r="O56" s="1">
        <v>3.9711290595769699E-13</v>
      </c>
      <c r="P56">
        <v>0</v>
      </c>
      <c r="R56">
        <v>8.1400761057362505</v>
      </c>
      <c r="S56">
        <v>2.1592470642552501</v>
      </c>
      <c r="T56">
        <v>51.353619878251003</v>
      </c>
      <c r="V56">
        <v>37.173885203744398</v>
      </c>
      <c r="X56">
        <v>1.17317174801299</v>
      </c>
      <c r="AJ56">
        <v>0</v>
      </c>
      <c r="AK56">
        <v>-1.7836298947829499E-2</v>
      </c>
      <c r="AL56">
        <v>0.72324095424799495</v>
      </c>
      <c r="AM56">
        <v>6.5464339128338905E-2</v>
      </c>
      <c r="AN56">
        <v>0.22913100557149499</v>
      </c>
    </row>
    <row r="57" spans="1:40" x14ac:dyDescent="0.2">
      <c r="A57">
        <v>154</v>
      </c>
      <c r="B57">
        <v>764</v>
      </c>
      <c r="C57">
        <v>125</v>
      </c>
      <c r="D57">
        <v>0.46691462180012799</v>
      </c>
      <c r="E57">
        <v>0.80053133220296502</v>
      </c>
      <c r="F57">
        <v>4.9216106142151599</v>
      </c>
      <c r="G57">
        <v>-5.4348659072258645</v>
      </c>
      <c r="H57">
        <v>-3.9530861540522655</v>
      </c>
      <c r="I57">
        <v>1.4287034210804499</v>
      </c>
      <c r="J57">
        <v>0.71236535822240099</v>
      </c>
      <c r="K57">
        <v>0.16265637307648401</v>
      </c>
      <c r="L57">
        <v>3.7241623323745034E-5</v>
      </c>
      <c r="M57">
        <v>4.3283178955445413E-7</v>
      </c>
      <c r="N57" s="1">
        <v>3.2510057550738802E-9</v>
      </c>
      <c r="O57" s="1">
        <v>3.9918091074211699E-13</v>
      </c>
      <c r="P57">
        <v>0</v>
      </c>
      <c r="R57">
        <v>8.2671949631888406</v>
      </c>
      <c r="S57">
        <v>2.19152320903626</v>
      </c>
      <c r="T57">
        <v>51.074466244203997</v>
      </c>
      <c r="V57">
        <v>37.285968331773503</v>
      </c>
      <c r="X57">
        <v>1.1808472517972499</v>
      </c>
      <c r="AJ57">
        <v>0</v>
      </c>
      <c r="AK57">
        <v>-1.7546369781747902E-2</v>
      </c>
      <c r="AL57">
        <v>0.71905157841313405</v>
      </c>
      <c r="AM57">
        <v>6.5869015760823602E-2</v>
      </c>
      <c r="AN57">
        <v>0.23262577560778999</v>
      </c>
    </row>
    <row r="58" spans="1:40" x14ac:dyDescent="0.2">
      <c r="A58">
        <v>155</v>
      </c>
      <c r="B58">
        <v>763</v>
      </c>
      <c r="C58">
        <v>125</v>
      </c>
      <c r="D58">
        <v>0.46633257732954098</v>
      </c>
      <c r="E58">
        <v>0.807157845774789</v>
      </c>
      <c r="F58">
        <v>4.92022893787132</v>
      </c>
      <c r="G58">
        <v>-5.4867090195781723</v>
      </c>
      <c r="H58">
        <v>-3.9942413804292993</v>
      </c>
      <c r="I58">
        <v>1.4403972775649001</v>
      </c>
      <c r="J58">
        <v>0.71833473145710802</v>
      </c>
      <c r="K58">
        <v>0.16404883918348601</v>
      </c>
      <c r="L58">
        <v>3.7055945224120915E-5</v>
      </c>
      <c r="M58">
        <v>4.309904583222487E-7</v>
      </c>
      <c r="N58" s="1">
        <v>3.2637233120163099E-9</v>
      </c>
      <c r="O58" s="1">
        <v>4.0062658903440901E-13</v>
      </c>
      <c r="P58">
        <v>0</v>
      </c>
      <c r="R58">
        <v>8.3717084989229704</v>
      </c>
      <c r="S58">
        <v>2.2234343209738001</v>
      </c>
      <c r="T58">
        <v>50.838614171450097</v>
      </c>
      <c r="V58">
        <v>37.379124048920197</v>
      </c>
      <c r="X58">
        <v>1.1871189597328899</v>
      </c>
      <c r="AJ58">
        <v>0</v>
      </c>
      <c r="AK58">
        <v>-1.7187010026269399E-2</v>
      </c>
      <c r="AL58">
        <v>0.71549928815441199</v>
      </c>
      <c r="AM58">
        <v>6.6197408424884197E-2</v>
      </c>
      <c r="AN58">
        <v>0.23549031344697199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C4688-85F7-4B30-AF12-3851D2043FC2}">
  <sheetPr codeName="Sheet8"/>
  <dimension ref="A1:AP49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">
      <c r="A2">
        <v>19</v>
      </c>
      <c r="B2">
        <v>739</v>
      </c>
      <c r="C2">
        <v>275</v>
      </c>
      <c r="D2">
        <v>0.28899916020352701</v>
      </c>
      <c r="E2">
        <v>0.32148148501054502</v>
      </c>
      <c r="F2">
        <v>3.5889113736056699</v>
      </c>
      <c r="G2">
        <v>-4.0823301152824838</v>
      </c>
      <c r="H2">
        <v>-3.4664793600541293</v>
      </c>
      <c r="I2">
        <v>0.60845799064205297</v>
      </c>
      <c r="J2">
        <v>0.358162109303649</v>
      </c>
      <c r="K2">
        <v>8.9576323164414703E-2</v>
      </c>
      <c r="L2">
        <v>4.4329039981683534E-5</v>
      </c>
      <c r="M2">
        <v>9.158284994662132E-7</v>
      </c>
      <c r="N2" s="1">
        <v>4.7570712628385402E-10</v>
      </c>
      <c r="O2" s="1">
        <v>8.6046571475325503E-14</v>
      </c>
      <c r="P2" s="1">
        <v>-1.9206605270253399E-13</v>
      </c>
      <c r="Q2">
        <v>49.702877005695903</v>
      </c>
      <c r="R2">
        <v>1.28569622279364E-2</v>
      </c>
      <c r="S2">
        <v>2.0243943642361799</v>
      </c>
      <c r="T2">
        <v>0.56797702779639503</v>
      </c>
      <c r="V2">
        <v>32.546146542950801</v>
      </c>
      <c r="X2">
        <v>14.838961166951799</v>
      </c>
      <c r="AA2">
        <v>0.29092326696729998</v>
      </c>
      <c r="AB2">
        <v>1.5863663173567299E-2</v>
      </c>
      <c r="AJ2">
        <v>-1.1078311175192499</v>
      </c>
      <c r="AK2">
        <v>0.98659759741366104</v>
      </c>
      <c r="AL2">
        <v>1.0652026680186699</v>
      </c>
      <c r="AM2">
        <v>3.81002554148544E-2</v>
      </c>
      <c r="AN2">
        <v>-3.7343482136355501E-2</v>
      </c>
      <c r="AO2">
        <v>5.4070354549062297E-2</v>
      </c>
      <c r="AP2">
        <v>1.20372425935377E-3</v>
      </c>
    </row>
    <row r="3" spans="1:42" x14ac:dyDescent="0.2">
      <c r="A3">
        <v>20</v>
      </c>
      <c r="B3">
        <v>738</v>
      </c>
      <c r="C3">
        <v>275</v>
      </c>
      <c r="D3">
        <v>0.28822677149780002</v>
      </c>
      <c r="E3">
        <v>0.47672047039611698</v>
      </c>
      <c r="F3">
        <v>3.5843227383688201</v>
      </c>
      <c r="G3">
        <v>-6.0754602502517301</v>
      </c>
      <c r="H3">
        <v>-5.1629186084002594</v>
      </c>
      <c r="I3">
        <v>0.90247900099042799</v>
      </c>
      <c r="J3">
        <v>0.53234450178998005</v>
      </c>
      <c r="K3">
        <v>0.133001547347565</v>
      </c>
      <c r="L3">
        <v>4.4333546008672083E-5</v>
      </c>
      <c r="M3">
        <v>9.1419027354051369E-7</v>
      </c>
      <c r="N3" s="1">
        <v>6.9804592277897697E-10</v>
      </c>
      <c r="O3" s="1">
        <v>1.30228944900679E-13</v>
      </c>
      <c r="P3" s="1">
        <v>-5.1681533517165596E-13</v>
      </c>
      <c r="Q3">
        <v>49.734430030013399</v>
      </c>
      <c r="R3">
        <v>1.5931542912618699E-2</v>
      </c>
      <c r="S3">
        <v>2.1516508821820599</v>
      </c>
      <c r="T3">
        <v>0.55974384710340397</v>
      </c>
      <c r="V3">
        <v>32.1623820379127</v>
      </c>
      <c r="X3">
        <v>15.0982477486685</v>
      </c>
      <c r="AA3">
        <v>0.26191969284328398</v>
      </c>
      <c r="AB3">
        <v>1.5694218363918402E-2</v>
      </c>
      <c r="AJ3">
        <v>-1.0971235551354701</v>
      </c>
      <c r="AK3">
        <v>0.987851780551528</v>
      </c>
      <c r="AL3">
        <v>1.05046515898365</v>
      </c>
      <c r="AM3">
        <v>4.1167902200836298E-2</v>
      </c>
      <c r="AN3">
        <v>-4.0232095749559098E-2</v>
      </c>
      <c r="AO3">
        <v>5.6682405435158401E-2</v>
      </c>
      <c r="AP3">
        <v>1.1884037138601799E-3</v>
      </c>
    </row>
    <row r="4" spans="1:42" x14ac:dyDescent="0.2">
      <c r="A4">
        <v>21</v>
      </c>
      <c r="B4">
        <v>737</v>
      </c>
      <c r="C4">
        <v>275</v>
      </c>
      <c r="D4">
        <v>0.28745285353660599</v>
      </c>
      <c r="E4">
        <v>0.52533408046900298</v>
      </c>
      <c r="F4">
        <v>3.5835141738965102</v>
      </c>
      <c r="G4">
        <v>-6.7026150565998206</v>
      </c>
      <c r="H4">
        <v>-5.6983364522958304</v>
      </c>
      <c r="I4">
        <v>0.99418760016234398</v>
      </c>
      <c r="J4">
        <v>0.58711097729585304</v>
      </c>
      <c r="K4">
        <v>0.146597461312057</v>
      </c>
      <c r="L4">
        <v>4.43188553741874E-5</v>
      </c>
      <c r="M4">
        <v>9.1345258752368921E-7</v>
      </c>
      <c r="N4" s="1">
        <v>7.8052724492601802E-10</v>
      </c>
      <c r="O4" s="1">
        <v>1.44970229431768E-13</v>
      </c>
      <c r="P4" s="1">
        <v>-8.1649766902318202E-13</v>
      </c>
      <c r="Q4">
        <v>49.696162687911297</v>
      </c>
      <c r="R4">
        <v>1.7684082128650198E-2</v>
      </c>
      <c r="S4">
        <v>2.2718841138657302</v>
      </c>
      <c r="T4">
        <v>0.56307357079438203</v>
      </c>
      <c r="V4">
        <v>32.0335273878121</v>
      </c>
      <c r="X4">
        <v>15.1617872712807</v>
      </c>
      <c r="AA4">
        <v>0.24041011635700801</v>
      </c>
      <c r="AB4">
        <v>1.54707698500303E-2</v>
      </c>
      <c r="AJ4">
        <v>-1.0959340378551301</v>
      </c>
      <c r="AK4">
        <v>0.98877650359387304</v>
      </c>
      <c r="AL4">
        <v>1.04553442499316</v>
      </c>
      <c r="AM4">
        <v>4.3915689595078598E-2</v>
      </c>
      <c r="AN4">
        <v>-4.2877657343928399E-2</v>
      </c>
      <c r="AO4">
        <v>5.9414401969665902E-2</v>
      </c>
      <c r="AP4">
        <v>1.1706750472793299E-3</v>
      </c>
    </row>
    <row r="5" spans="1:42" x14ac:dyDescent="0.2">
      <c r="A5">
        <v>22</v>
      </c>
      <c r="B5">
        <v>736</v>
      </c>
      <c r="C5">
        <v>275</v>
      </c>
      <c r="D5">
        <v>0.28667740177377199</v>
      </c>
      <c r="E5">
        <v>0.55880008319517804</v>
      </c>
      <c r="F5">
        <v>3.5865360985108001</v>
      </c>
      <c r="G5">
        <v>-7.120955245954768</v>
      </c>
      <c r="H5">
        <v>-6.0546744717276972</v>
      </c>
      <c r="I5">
        <v>1.0566127674053101</v>
      </c>
      <c r="J5">
        <v>0.62418714503336303</v>
      </c>
      <c r="K5">
        <v>0.15580495158746599</v>
      </c>
      <c r="L5">
        <v>4.4288095524146265E-5</v>
      </c>
      <c r="M5">
        <v>9.1351554507250324E-7</v>
      </c>
      <c r="N5" s="1">
        <v>8.6436907101215999E-10</v>
      </c>
      <c r="O5" s="1">
        <v>1.5433316343249601E-13</v>
      </c>
      <c r="P5" s="1">
        <v>-1.1653390836057399E-12</v>
      </c>
      <c r="Q5">
        <v>49.5764900397837</v>
      </c>
      <c r="R5">
        <v>1.8000269348139999E-2</v>
      </c>
      <c r="S5">
        <v>2.4084536030217598</v>
      </c>
      <c r="T5">
        <v>0.580266058829221</v>
      </c>
      <c r="V5">
        <v>32.1494566291613</v>
      </c>
      <c r="X5">
        <v>15.0320667665871</v>
      </c>
      <c r="AA5">
        <v>0.22012234842380199</v>
      </c>
      <c r="AB5">
        <v>1.5144284844806601E-2</v>
      </c>
      <c r="AJ5">
        <v>-1.1046746828176</v>
      </c>
      <c r="AK5">
        <v>0.98964304586226204</v>
      </c>
      <c r="AL5">
        <v>1.0499773783987101</v>
      </c>
      <c r="AM5">
        <v>4.6855197617150998E-2</v>
      </c>
      <c r="AN5">
        <v>-4.5797941857355397E-2</v>
      </c>
      <c r="AO5">
        <v>6.2850313027174406E-2</v>
      </c>
      <c r="AP5">
        <v>1.14668976965496E-3</v>
      </c>
    </row>
    <row r="6" spans="1:42" x14ac:dyDescent="0.2">
      <c r="A6">
        <v>23</v>
      </c>
      <c r="B6">
        <v>735</v>
      </c>
      <c r="C6">
        <v>275</v>
      </c>
      <c r="D6">
        <v>0.285900411645091</v>
      </c>
      <c r="E6">
        <v>0.57960456242121305</v>
      </c>
      <c r="F6">
        <v>3.5886660953042799</v>
      </c>
      <c r="G6">
        <v>-7.3805539363140475</v>
      </c>
      <c r="H6">
        <v>-6.2765016110631349</v>
      </c>
      <c r="I6">
        <v>1.0951270398759201</v>
      </c>
      <c r="J6">
        <v>0.64722989145317</v>
      </c>
      <c r="K6">
        <v>0.16150974959181</v>
      </c>
      <c r="L6">
        <v>4.4258563108873694E-5</v>
      </c>
      <c r="M6">
        <v>9.1345075399628152E-7</v>
      </c>
      <c r="N6" s="1">
        <v>9.2622433476138001E-10</v>
      </c>
      <c r="O6" s="1">
        <v>1.6030528002164199E-13</v>
      </c>
      <c r="P6" s="1">
        <v>-1.4680560275352999E-12</v>
      </c>
      <c r="Q6">
        <v>49.481892057429299</v>
      </c>
      <c r="R6">
        <v>1.8465135343566301E-2</v>
      </c>
      <c r="S6">
        <v>2.5278837062922399</v>
      </c>
      <c r="T6">
        <v>0.59290547397777305</v>
      </c>
      <c r="V6">
        <v>32.216201847973601</v>
      </c>
      <c r="X6">
        <v>14.9434380498479</v>
      </c>
      <c r="AA6">
        <v>0.204334179977709</v>
      </c>
      <c r="AB6">
        <v>1.4879549157714301E-2</v>
      </c>
      <c r="AJ6">
        <v>-1.11088204098252</v>
      </c>
      <c r="AK6">
        <v>0.99032012841867501</v>
      </c>
      <c r="AL6">
        <v>1.05254479814617</v>
      </c>
      <c r="AM6">
        <v>4.9459828930061497E-2</v>
      </c>
      <c r="AN6">
        <v>-4.8374869503071301E-2</v>
      </c>
      <c r="AO6">
        <v>6.5805095378570599E-2</v>
      </c>
      <c r="AP6">
        <v>1.12705961211374E-3</v>
      </c>
    </row>
    <row r="7" spans="1:42" x14ac:dyDescent="0.2">
      <c r="A7">
        <v>24</v>
      </c>
      <c r="B7">
        <v>734</v>
      </c>
      <c r="C7">
        <v>275</v>
      </c>
      <c r="D7">
        <v>0.28512187856823701</v>
      </c>
      <c r="E7">
        <v>0.59510885232373201</v>
      </c>
      <c r="F7">
        <v>3.5906572334152398</v>
      </c>
      <c r="G7">
        <v>-7.5726510306427803</v>
      </c>
      <c r="H7">
        <v>-6.441030428202942</v>
      </c>
      <c r="I7">
        <v>1.1235869557065301</v>
      </c>
      <c r="J7">
        <v>0.664341235242354</v>
      </c>
      <c r="K7">
        <v>0.165738140300765</v>
      </c>
      <c r="L7">
        <v>4.4227852846544236E-5</v>
      </c>
      <c r="M7">
        <v>9.1338520289607246E-7</v>
      </c>
      <c r="N7" s="1">
        <v>9.8063463319491594E-10</v>
      </c>
      <c r="O7" s="1">
        <v>1.6473260209517201E-13</v>
      </c>
      <c r="P7" s="1">
        <v>-1.74976618497255E-12</v>
      </c>
      <c r="Q7">
        <v>49.3933610827008</v>
      </c>
      <c r="R7">
        <v>1.8877256379969901E-2</v>
      </c>
      <c r="S7">
        <v>2.63995747903554</v>
      </c>
      <c r="T7">
        <v>0.60433654931524905</v>
      </c>
      <c r="V7">
        <v>32.278064484409498</v>
      </c>
      <c r="X7">
        <v>14.859767286805701</v>
      </c>
      <c r="AA7">
        <v>0.19099693582219801</v>
      </c>
      <c r="AB7">
        <v>1.4638925530927299E-2</v>
      </c>
      <c r="AJ7">
        <v>-1.11661562359695</v>
      </c>
      <c r="AK7">
        <v>0.99089347291783902</v>
      </c>
      <c r="AL7">
        <v>1.0549294983028501</v>
      </c>
      <c r="AM7">
        <v>5.19110351712E-2</v>
      </c>
      <c r="AN7">
        <v>-5.0801478276226102E-2</v>
      </c>
      <c r="AO7">
        <v>6.8573879760533002E-2</v>
      </c>
      <c r="AP7">
        <v>1.1092157207537401E-3</v>
      </c>
    </row>
    <row r="8" spans="1:42" x14ac:dyDescent="0.2">
      <c r="A8">
        <v>40</v>
      </c>
      <c r="B8">
        <v>742</v>
      </c>
      <c r="C8">
        <v>250</v>
      </c>
      <c r="D8">
        <v>0.318396788651924</v>
      </c>
      <c r="E8">
        <v>0.42540759142085199</v>
      </c>
      <c r="F8">
        <v>3.5773750988525901</v>
      </c>
      <c r="G8">
        <v>-5.4427492840396638</v>
      </c>
      <c r="H8">
        <v>-4.6226118079079033</v>
      </c>
      <c r="I8">
        <v>0.80789782409669497</v>
      </c>
      <c r="J8">
        <v>0.47595028869981199</v>
      </c>
      <c r="K8">
        <v>0.118916126955011</v>
      </c>
      <c r="L8">
        <v>4.4364414966702219E-5</v>
      </c>
      <c r="M8">
        <v>9.1330693868785743E-7</v>
      </c>
      <c r="N8" s="1">
        <v>5.8414288051898203E-10</v>
      </c>
      <c r="O8" s="1">
        <v>1.1676371281863301E-13</v>
      </c>
      <c r="P8" s="1">
        <v>-1.5735766109441699E-13</v>
      </c>
      <c r="Q8">
        <v>49.8948944815223</v>
      </c>
      <c r="R8">
        <v>1.45136948295946E-2</v>
      </c>
      <c r="S8">
        <v>2.0232395845968401</v>
      </c>
      <c r="T8">
        <v>0.55274764983647595</v>
      </c>
      <c r="V8">
        <v>31.853683694101001</v>
      </c>
      <c r="X8">
        <v>15.367580348974</v>
      </c>
      <c r="AA8">
        <v>0.27793202331757599</v>
      </c>
      <c r="AB8">
        <v>1.5408522822078901E-2</v>
      </c>
      <c r="AJ8">
        <v>-1.0815634825056399</v>
      </c>
      <c r="AK8">
        <v>0.98722369267524102</v>
      </c>
      <c r="AL8">
        <v>1.03873213141392</v>
      </c>
      <c r="AM8">
        <v>3.82238126013267E-2</v>
      </c>
      <c r="AN8">
        <v>-3.73726419495405E-2</v>
      </c>
      <c r="AO8">
        <v>5.3591568649040702E-2</v>
      </c>
      <c r="AP8">
        <v>1.1649191156462299E-3</v>
      </c>
    </row>
    <row r="9" spans="1:42" x14ac:dyDescent="0.2">
      <c r="A9">
        <v>41</v>
      </c>
      <c r="B9">
        <v>741</v>
      </c>
      <c r="C9">
        <v>250</v>
      </c>
      <c r="D9">
        <v>0.31765567223783697</v>
      </c>
      <c r="E9">
        <v>0.48993127887778698</v>
      </c>
      <c r="F9">
        <v>3.57581598763328</v>
      </c>
      <c r="G9">
        <v>-6.2781682538773653</v>
      </c>
      <c r="H9">
        <v>-5.3347676667836659</v>
      </c>
      <c r="I9">
        <v>0.930237723308877</v>
      </c>
      <c r="J9">
        <v>0.54871687423283599</v>
      </c>
      <c r="K9">
        <v>0.13701244151605699</v>
      </c>
      <c r="L9">
        <v>4.4351558385263567E-5</v>
      </c>
      <c r="M9">
        <v>9.1242352342573108E-7</v>
      </c>
      <c r="N9" s="1">
        <v>6.7912259099581605E-10</v>
      </c>
      <c r="O9" s="1">
        <v>1.36159687425249E-13</v>
      </c>
      <c r="P9" s="1">
        <v>-4.0643381559652699E-13</v>
      </c>
      <c r="Q9">
        <v>49.873923832367304</v>
      </c>
      <c r="R9">
        <v>1.6467395102794699E-2</v>
      </c>
      <c r="S9">
        <v>2.13740301452727</v>
      </c>
      <c r="T9">
        <v>0.55378065845275404</v>
      </c>
      <c r="V9">
        <v>31.677790956300399</v>
      </c>
      <c r="X9">
        <v>15.469578513666701</v>
      </c>
      <c r="AA9">
        <v>0.255854890902462</v>
      </c>
      <c r="AB9">
        <v>1.5200738680170399E-2</v>
      </c>
      <c r="AJ9">
        <v>-1.07843671824156</v>
      </c>
      <c r="AK9">
        <v>0.98817288766625899</v>
      </c>
      <c r="AL9">
        <v>1.0320232432810701</v>
      </c>
      <c r="AM9">
        <v>4.0858529425333398E-2</v>
      </c>
      <c r="AN9">
        <v>-3.9893691765663299E-2</v>
      </c>
      <c r="AO9">
        <v>5.6127622063505897E-2</v>
      </c>
      <c r="AP9">
        <v>1.1481275710587299E-3</v>
      </c>
    </row>
    <row r="10" spans="1:42" x14ac:dyDescent="0.2">
      <c r="A10">
        <v>42</v>
      </c>
      <c r="B10">
        <v>740</v>
      </c>
      <c r="C10">
        <v>250</v>
      </c>
      <c r="D10">
        <v>0.31691309282929903</v>
      </c>
      <c r="E10">
        <v>0.52099313920133805</v>
      </c>
      <c r="F10">
        <v>3.57563360334946</v>
      </c>
      <c r="G10">
        <v>-6.6805580831104345</v>
      </c>
      <c r="H10">
        <v>-5.6787588220528384</v>
      </c>
      <c r="I10">
        <v>0.988796585952322</v>
      </c>
      <c r="J10">
        <v>0.58379687316279305</v>
      </c>
      <c r="K10">
        <v>0.14570652281411001</v>
      </c>
      <c r="L10">
        <v>4.4335528023250552E-5</v>
      </c>
      <c r="M10">
        <v>9.1190589627771077E-7</v>
      </c>
      <c r="N10" s="1">
        <v>7.3437028218972598E-10</v>
      </c>
      <c r="O10" s="1">
        <v>1.4597646378516599E-13</v>
      </c>
      <c r="P10" s="1">
        <v>-6.5471372702015497E-13</v>
      </c>
      <c r="Q10">
        <v>49.830277805774003</v>
      </c>
      <c r="R10">
        <v>1.7859196639300402E-2</v>
      </c>
      <c r="S10">
        <v>2.2433991480900901</v>
      </c>
      <c r="T10">
        <v>0.55818642879536096</v>
      </c>
      <c r="V10">
        <v>31.5984465319107</v>
      </c>
      <c r="X10">
        <v>15.499000907007799</v>
      </c>
      <c r="AA10">
        <v>0.23783561932390501</v>
      </c>
      <c r="AB10">
        <v>1.49943624586496E-2</v>
      </c>
      <c r="AJ10">
        <v>-1.0786939421800701</v>
      </c>
      <c r="AK10">
        <v>0.988945248780153</v>
      </c>
      <c r="AL10">
        <v>1.02900295686147</v>
      </c>
      <c r="AM10">
        <v>4.3257511306665997E-2</v>
      </c>
      <c r="AN10">
        <v>-4.2211569407500198E-2</v>
      </c>
      <c r="AO10">
        <v>5.85677338226612E-2</v>
      </c>
      <c r="AP10">
        <v>1.13206081661922E-3</v>
      </c>
    </row>
    <row r="11" spans="1:42" x14ac:dyDescent="0.2">
      <c r="A11">
        <v>43</v>
      </c>
      <c r="B11">
        <v>739</v>
      </c>
      <c r="C11">
        <v>250</v>
      </c>
      <c r="D11">
        <v>0.31616904609000601</v>
      </c>
      <c r="E11">
        <v>0.54032904450494401</v>
      </c>
      <c r="F11">
        <v>3.5759651164067399</v>
      </c>
      <c r="G11">
        <v>-6.9304713624292615</v>
      </c>
      <c r="H11">
        <v>-5.8930436621629356</v>
      </c>
      <c r="I11">
        <v>1.02497426297122</v>
      </c>
      <c r="J11">
        <v>0.605627361016289</v>
      </c>
      <c r="K11">
        <v>0.151100200062322</v>
      </c>
      <c r="L11">
        <v>4.4318155807741985E-5</v>
      </c>
      <c r="M11">
        <v>9.1154204864423509E-7</v>
      </c>
      <c r="N11" s="1">
        <v>7.7614817163404202E-10</v>
      </c>
      <c r="O11" s="1">
        <v>1.5231504189907099E-13</v>
      </c>
      <c r="P11" s="1">
        <v>-8.9269701734286997E-13</v>
      </c>
      <c r="Q11">
        <v>49.7798501575218</v>
      </c>
      <c r="R11">
        <v>1.89884998768696E-2</v>
      </c>
      <c r="S11">
        <v>2.3427303270514699</v>
      </c>
      <c r="T11">
        <v>0.56340465029390596</v>
      </c>
      <c r="V11">
        <v>31.5573537108585</v>
      </c>
      <c r="X11">
        <v>15.5002045656862</v>
      </c>
      <c r="AA11">
        <v>0.22266913345073899</v>
      </c>
      <c r="AB11">
        <v>1.4798955260413801E-2</v>
      </c>
      <c r="AJ11">
        <v>-1.08015111294708</v>
      </c>
      <c r="AK11">
        <v>0.989595010123277</v>
      </c>
      <c r="AL11">
        <v>1.0274425463063901</v>
      </c>
      <c r="AM11">
        <v>4.5490989838940697E-2</v>
      </c>
      <c r="AN11">
        <v>-4.4379149632050002E-2</v>
      </c>
      <c r="AO11">
        <v>6.0884650168726101E-2</v>
      </c>
      <c r="AP11">
        <v>1.11706614179264E-3</v>
      </c>
    </row>
    <row r="12" spans="1:42" x14ac:dyDescent="0.2">
      <c r="A12">
        <v>44</v>
      </c>
      <c r="B12">
        <v>738</v>
      </c>
      <c r="C12">
        <v>250</v>
      </c>
      <c r="D12">
        <v>0.31542352766652099</v>
      </c>
      <c r="E12">
        <v>0.56155004002517195</v>
      </c>
      <c r="F12">
        <v>3.5795382623293799</v>
      </c>
      <c r="G12">
        <v>-7.1908301929977103</v>
      </c>
      <c r="H12">
        <v>-6.1147501213227935</v>
      </c>
      <c r="I12">
        <v>1.06421408463127</v>
      </c>
      <c r="J12">
        <v>0.62892606755750102</v>
      </c>
      <c r="K12">
        <v>0.156877786706418</v>
      </c>
      <c r="L12">
        <v>4.4293220766850152E-5</v>
      </c>
      <c r="M12">
        <v>9.1183181331409791E-7</v>
      </c>
      <c r="N12" s="1">
        <v>8.3874292207294204E-10</v>
      </c>
      <c r="O12" s="1">
        <v>1.58098456243922E-13</v>
      </c>
      <c r="P12" s="1">
        <v>-1.19316171512172E-12</v>
      </c>
      <c r="Q12">
        <v>49.656322132455799</v>
      </c>
      <c r="R12">
        <v>1.8859365239945702E-2</v>
      </c>
      <c r="S12">
        <v>2.4649125606289699</v>
      </c>
      <c r="T12">
        <v>0.58108400072471</v>
      </c>
      <c r="V12">
        <v>31.718616466642899</v>
      </c>
      <c r="X12">
        <v>15.3392432127246</v>
      </c>
      <c r="AA12">
        <v>0.20646530385398501</v>
      </c>
      <c r="AB12">
        <v>1.4496957728948301E-2</v>
      </c>
      <c r="AJ12">
        <v>-1.09009514051183</v>
      </c>
      <c r="AK12">
        <v>0.99028524689020903</v>
      </c>
      <c r="AL12">
        <v>1.0335918810488001</v>
      </c>
      <c r="AM12">
        <v>4.8084536001415497E-2</v>
      </c>
      <c r="AN12">
        <v>-4.6979295793555198E-2</v>
      </c>
      <c r="AO12">
        <v>6.4017549279666394E-2</v>
      </c>
      <c r="AP12">
        <v>1.095223085298E-3</v>
      </c>
    </row>
    <row r="13" spans="1:42" x14ac:dyDescent="0.2">
      <c r="A13">
        <v>45</v>
      </c>
      <c r="B13">
        <v>737</v>
      </c>
      <c r="C13">
        <v>250</v>
      </c>
      <c r="D13">
        <v>0.31467653318814098</v>
      </c>
      <c r="E13">
        <v>0.57497661271880596</v>
      </c>
      <c r="F13">
        <v>3.5814260526310702</v>
      </c>
      <c r="G13">
        <v>-7.3576909680763212</v>
      </c>
      <c r="H13">
        <v>-6.2577789708515814</v>
      </c>
      <c r="I13">
        <v>1.0888600675392099</v>
      </c>
      <c r="J13">
        <v>0.64377779358147802</v>
      </c>
      <c r="K13">
        <v>0.16054404147096701</v>
      </c>
      <c r="L13">
        <v>4.4269698526074073E-5</v>
      </c>
      <c r="M13">
        <v>9.1181044947152492E-7</v>
      </c>
      <c r="N13" s="1">
        <v>8.8303664854110099E-10</v>
      </c>
      <c r="O13" s="1">
        <v>1.62094414829883E-13</v>
      </c>
      <c r="P13" s="1">
        <v>-1.44441491265975E-12</v>
      </c>
      <c r="Q13">
        <v>49.574385981653698</v>
      </c>
      <c r="R13">
        <v>1.92470678653873E-2</v>
      </c>
      <c r="S13">
        <v>2.5674167638879002</v>
      </c>
      <c r="T13">
        <v>0.59142815879201605</v>
      </c>
      <c r="V13">
        <v>31.779276982677601</v>
      </c>
      <c r="X13">
        <v>15.260008496134599</v>
      </c>
      <c r="AA13">
        <v>0.19396037543745701</v>
      </c>
      <c r="AB13">
        <v>1.4276173551241E-2</v>
      </c>
      <c r="AJ13">
        <v>-1.0954846231561</v>
      </c>
      <c r="AK13">
        <v>0.99082091936471794</v>
      </c>
      <c r="AL13">
        <v>1.03591439372379</v>
      </c>
      <c r="AM13">
        <v>5.0323056089479998E-2</v>
      </c>
      <c r="AN13">
        <v>-4.91947181694063E-2</v>
      </c>
      <c r="AO13">
        <v>6.6542068808215102E-2</v>
      </c>
      <c r="AP13">
        <v>1.07890333929861E-3</v>
      </c>
    </row>
    <row r="14" spans="1:42" x14ac:dyDescent="0.2">
      <c r="A14">
        <v>57</v>
      </c>
      <c r="B14">
        <v>746</v>
      </c>
      <c r="C14">
        <v>225</v>
      </c>
      <c r="D14">
        <v>0.34832998086640898</v>
      </c>
      <c r="E14">
        <v>0.39047253691456402</v>
      </c>
      <c r="F14">
        <v>3.56994363225777</v>
      </c>
      <c r="G14">
        <v>-5.0177793353382283</v>
      </c>
      <c r="H14">
        <v>-4.2595538056018469</v>
      </c>
      <c r="I14">
        <v>0.74397834444034905</v>
      </c>
      <c r="J14">
        <v>0.43781731918795203</v>
      </c>
      <c r="K14">
        <v>0.109377787757285</v>
      </c>
      <c r="L14">
        <v>4.4378953317977911E-5</v>
      </c>
      <c r="M14">
        <v>9.1210245816211919E-7</v>
      </c>
      <c r="N14" s="1">
        <v>5.0684735944041995E-10</v>
      </c>
      <c r="O14" s="1">
        <v>1.07917320039414E-13</v>
      </c>
      <c r="P14" s="1">
        <v>9.0456280914508096E-14</v>
      </c>
      <c r="Q14">
        <v>50.048919968978197</v>
      </c>
      <c r="R14">
        <v>1.36589923118358E-2</v>
      </c>
      <c r="S14">
        <v>1.9279777621976499</v>
      </c>
      <c r="T14">
        <v>0.54650949506546298</v>
      </c>
      <c r="V14">
        <v>31.4935609265331</v>
      </c>
      <c r="X14">
        <v>15.665535972607</v>
      </c>
      <c r="AA14">
        <v>0.28874119144309301</v>
      </c>
      <c r="AB14">
        <v>1.5095690863525701E-2</v>
      </c>
      <c r="AJ14">
        <v>-1.06509784046609</v>
      </c>
      <c r="AK14">
        <v>0.98682022348283305</v>
      </c>
      <c r="AL14">
        <v>1.02508603083089</v>
      </c>
      <c r="AM14">
        <v>3.6046257195644402E-2</v>
      </c>
      <c r="AN14">
        <v>-3.52466955405401E-2</v>
      </c>
      <c r="AO14">
        <v>5.1252870591380402E-2</v>
      </c>
      <c r="AP14">
        <v>1.1391539058775899E-3</v>
      </c>
    </row>
    <row r="15" spans="1:42" x14ac:dyDescent="0.2">
      <c r="A15">
        <v>58</v>
      </c>
      <c r="B15">
        <v>745</v>
      </c>
      <c r="C15">
        <v>225</v>
      </c>
      <c r="D15">
        <v>0.347621175661739</v>
      </c>
      <c r="E15">
        <v>0.46151104901646101</v>
      </c>
      <c r="F15">
        <v>3.5680457510661201</v>
      </c>
      <c r="G15">
        <v>-5.9409700609606864</v>
      </c>
      <c r="H15">
        <v>-5.0458273204745279</v>
      </c>
      <c r="I15">
        <v>0.87918552323936305</v>
      </c>
      <c r="J15">
        <v>0.51804057962425998</v>
      </c>
      <c r="K15">
        <v>0.12934560855296301</v>
      </c>
      <c r="L15">
        <v>4.4364346150204993E-5</v>
      </c>
      <c r="M15">
        <v>9.1117607728970273E-7</v>
      </c>
      <c r="N15" s="1">
        <v>6.0340723125266997E-10</v>
      </c>
      <c r="O15" s="1">
        <v>1.29262858410988E-13</v>
      </c>
      <c r="P15" s="1">
        <v>-9.3955340491118702E-14</v>
      </c>
      <c r="Q15">
        <v>50.038523857279799</v>
      </c>
      <c r="R15">
        <v>1.5638225596031601E-2</v>
      </c>
      <c r="S15">
        <v>2.03338661583118</v>
      </c>
      <c r="T15">
        <v>0.54630667213792405</v>
      </c>
      <c r="V15">
        <v>31.299474709742601</v>
      </c>
      <c r="X15">
        <v>15.784062269748</v>
      </c>
      <c r="AA15">
        <v>0.26770615542505299</v>
      </c>
      <c r="AB15">
        <v>1.49014942391939E-2</v>
      </c>
      <c r="AJ15">
        <v>-1.0610366096964701</v>
      </c>
      <c r="AK15">
        <v>0.98772478452936296</v>
      </c>
      <c r="AL15">
        <v>1.0177126931962099</v>
      </c>
      <c r="AM15">
        <v>3.8492148567970098E-2</v>
      </c>
      <c r="AN15">
        <v>-3.7577676663670803E-2</v>
      </c>
      <c r="AO15">
        <v>5.3561326271726897E-2</v>
      </c>
      <c r="AP15">
        <v>1.1233337948698401E-3</v>
      </c>
    </row>
    <row r="16" spans="1:42" x14ac:dyDescent="0.2">
      <c r="A16">
        <v>59</v>
      </c>
      <c r="B16">
        <v>744</v>
      </c>
      <c r="C16">
        <v>225</v>
      </c>
      <c r="D16">
        <v>0.34691097674876298</v>
      </c>
      <c r="E16">
        <v>0.49517782164472302</v>
      </c>
      <c r="F16">
        <v>3.56765524737679</v>
      </c>
      <c r="G16">
        <v>-6.3791017945959583</v>
      </c>
      <c r="H16">
        <v>-5.4199798321096928</v>
      </c>
      <c r="I16">
        <v>0.94295036374798602</v>
      </c>
      <c r="J16">
        <v>0.55612814771042496</v>
      </c>
      <c r="K16">
        <v>0.138796432757569</v>
      </c>
      <c r="L16">
        <v>4.434948043474798E-5</v>
      </c>
      <c r="M16">
        <v>9.1064575521036643E-7</v>
      </c>
      <c r="N16" s="1">
        <v>6.5692114872372297E-10</v>
      </c>
      <c r="O16" s="1">
        <v>1.3994013539799299E-13</v>
      </c>
      <c r="P16" s="1">
        <v>-3.0576906284169202E-13</v>
      </c>
      <c r="Q16">
        <v>50.0021225917774</v>
      </c>
      <c r="R16">
        <v>1.7042747485277301E-2</v>
      </c>
      <c r="S16">
        <v>2.1325843434840799</v>
      </c>
      <c r="T16">
        <v>0.54995069075254999</v>
      </c>
      <c r="V16">
        <v>31.209732018296901</v>
      </c>
      <c r="X16">
        <v>15.8240997353411</v>
      </c>
      <c r="AA16">
        <v>0.24976074007271101</v>
      </c>
      <c r="AB16">
        <v>1.4707132789799E-2</v>
      </c>
      <c r="AJ16">
        <v>-1.06073192086181</v>
      </c>
      <c r="AK16">
        <v>0.98849251047987696</v>
      </c>
      <c r="AL16">
        <v>1.01430822267468</v>
      </c>
      <c r="AM16">
        <v>4.0740485199524099E-2</v>
      </c>
      <c r="AN16">
        <v>-3.9744359220431201E-2</v>
      </c>
      <c r="AO16">
        <v>5.5826911134779597E-2</v>
      </c>
      <c r="AP16">
        <v>1.10815059338319E-3</v>
      </c>
    </row>
    <row r="17" spans="1:42" x14ac:dyDescent="0.2">
      <c r="A17">
        <v>60</v>
      </c>
      <c r="B17">
        <v>743</v>
      </c>
      <c r="C17">
        <v>225</v>
      </c>
      <c r="D17">
        <v>0.34619938001279399</v>
      </c>
      <c r="E17">
        <v>0.51585626788237204</v>
      </c>
      <c r="F17">
        <v>3.5678392450155001</v>
      </c>
      <c r="G17">
        <v>-6.6477858545354342</v>
      </c>
      <c r="H17">
        <v>-5.6500783357100346</v>
      </c>
      <c r="I17">
        <v>0.98185063113260695</v>
      </c>
      <c r="J17">
        <v>0.57952364805054801</v>
      </c>
      <c r="K17">
        <v>0.14458506464467399</v>
      </c>
      <c r="L17">
        <v>4.4334430740998601E-5</v>
      </c>
      <c r="M17">
        <v>9.1028301259647392E-7</v>
      </c>
      <c r="N17" s="1">
        <v>6.9595516534752402E-10</v>
      </c>
      <c r="O17" s="1">
        <v>1.4677971716143601E-13</v>
      </c>
      <c r="P17" s="1">
        <v>-5.1802468339561303E-13</v>
      </c>
      <c r="Q17">
        <v>49.957388569145003</v>
      </c>
      <c r="R17">
        <v>1.8176888154332001E-2</v>
      </c>
      <c r="S17">
        <v>2.22599047853031</v>
      </c>
      <c r="T17">
        <v>0.55461509476807802</v>
      </c>
      <c r="V17">
        <v>31.161876947488501</v>
      </c>
      <c r="X17">
        <v>15.8330316627956</v>
      </c>
      <c r="AA17">
        <v>0.23439783123247501</v>
      </c>
      <c r="AB17">
        <v>1.4522527885487101E-2</v>
      </c>
      <c r="AJ17">
        <v>-1.0617934980425601</v>
      </c>
      <c r="AK17">
        <v>0.989148849830921</v>
      </c>
      <c r="AL17">
        <v>1.01249530421245</v>
      </c>
      <c r="AM17">
        <v>4.2840551408552599E-2</v>
      </c>
      <c r="AN17">
        <v>-4.1778406686966502E-2</v>
      </c>
      <c r="AO17">
        <v>5.7993236635149999E-2</v>
      </c>
      <c r="AP17">
        <v>1.09396264245183E-3</v>
      </c>
    </row>
    <row r="18" spans="1:42" x14ac:dyDescent="0.2">
      <c r="A18">
        <v>61</v>
      </c>
      <c r="B18">
        <v>742</v>
      </c>
      <c r="C18">
        <v>225</v>
      </c>
      <c r="D18">
        <v>0.345486381322956</v>
      </c>
      <c r="E18">
        <v>0.53039102133053295</v>
      </c>
      <c r="F18">
        <v>3.5683006104722299</v>
      </c>
      <c r="G18">
        <v>-6.8360673668204939</v>
      </c>
      <c r="H18">
        <v>-5.811804390023763</v>
      </c>
      <c r="I18">
        <v>1.00897697561614</v>
      </c>
      <c r="J18">
        <v>0.59595382880083603</v>
      </c>
      <c r="K18">
        <v>0.14863966891520899</v>
      </c>
      <c r="L18">
        <v>4.4319035170849943E-5</v>
      </c>
      <c r="M18">
        <v>9.1000855058008539E-7</v>
      </c>
      <c r="N18" s="1">
        <v>7.2834664794745599E-10</v>
      </c>
      <c r="O18" s="1">
        <v>1.5174698971689401E-13</v>
      </c>
      <c r="P18" s="1">
        <v>-7.2549699974145504E-13</v>
      </c>
      <c r="Q18">
        <v>49.909431337031897</v>
      </c>
      <c r="R18">
        <v>1.9154097543807699E-2</v>
      </c>
      <c r="S18">
        <v>2.3148701856056202</v>
      </c>
      <c r="T18">
        <v>0.55953689836781195</v>
      </c>
      <c r="V18">
        <v>31.135317497970998</v>
      </c>
      <c r="X18">
        <v>15.8263258711539</v>
      </c>
      <c r="AA18">
        <v>0.22101615605938499</v>
      </c>
      <c r="AB18">
        <v>1.43479562663928E-2</v>
      </c>
      <c r="AJ18">
        <v>-1.06348132997488</v>
      </c>
      <c r="AK18">
        <v>0.98972046649740097</v>
      </c>
      <c r="AL18">
        <v>1.0114913806239101</v>
      </c>
      <c r="AM18">
        <v>4.48323758927648E-2</v>
      </c>
      <c r="AN18">
        <v>-4.3713285072830697E-2</v>
      </c>
      <c r="AO18">
        <v>6.0069730246208597E-2</v>
      </c>
      <c r="AP18">
        <v>1.0806617874195E-3</v>
      </c>
    </row>
    <row r="19" spans="1:42" x14ac:dyDescent="0.2">
      <c r="A19">
        <v>62</v>
      </c>
      <c r="B19">
        <v>741</v>
      </c>
      <c r="C19">
        <v>225</v>
      </c>
      <c r="D19">
        <v>0.34477197653207198</v>
      </c>
      <c r="E19">
        <v>0.54148838833792701</v>
      </c>
      <c r="F19">
        <v>3.5689156685242298</v>
      </c>
      <c r="G19">
        <v>-6.9792653763166124</v>
      </c>
      <c r="H19">
        <v>-5.9351884423996477</v>
      </c>
      <c r="I19">
        <v>1.02950937624312</v>
      </c>
      <c r="J19">
        <v>0.60847990420958797</v>
      </c>
      <c r="K19">
        <v>0.151723503335632</v>
      </c>
      <c r="L19">
        <v>4.4303191519287265E-5</v>
      </c>
      <c r="M19">
        <v>9.0978683571596916E-7</v>
      </c>
      <c r="N19" s="1">
        <v>7.57181319538769E-10</v>
      </c>
      <c r="O19" s="1">
        <v>1.5563449988723299E-13</v>
      </c>
      <c r="P19" s="1">
        <v>-9.2737211514744802E-13</v>
      </c>
      <c r="Q19">
        <v>49.860153782361003</v>
      </c>
      <c r="R19">
        <v>2.0028556398238799E-2</v>
      </c>
      <c r="S19">
        <v>2.40023793382188</v>
      </c>
      <c r="T19">
        <v>0.564454368206455</v>
      </c>
      <c r="V19">
        <v>31.121187775353199</v>
      </c>
      <c r="X19">
        <v>15.810577644069699</v>
      </c>
      <c r="AA19">
        <v>0.20917772326662301</v>
      </c>
      <c r="AB19">
        <v>1.41822165227363E-2</v>
      </c>
      <c r="AJ19">
        <v>-1.0654963913114599</v>
      </c>
      <c r="AK19">
        <v>0.99022637669088798</v>
      </c>
      <c r="AL19">
        <v>1.01095975632207</v>
      </c>
      <c r="AM19">
        <v>4.6743147943766897E-2</v>
      </c>
      <c r="AN19">
        <v>-4.5573050306571702E-2</v>
      </c>
      <c r="AO19">
        <v>6.2072058783725403E-2</v>
      </c>
      <c r="AP19">
        <v>1.0681018775826E-3</v>
      </c>
    </row>
    <row r="20" spans="1:42" x14ac:dyDescent="0.2">
      <c r="A20">
        <v>72</v>
      </c>
      <c r="B20">
        <v>751</v>
      </c>
      <c r="C20">
        <v>200</v>
      </c>
      <c r="D20">
        <v>0.378704779573308</v>
      </c>
      <c r="E20">
        <v>0.23938252281620201</v>
      </c>
      <c r="F20">
        <v>3.5659242544470899</v>
      </c>
      <c r="G20">
        <v>-3.0824038207237687</v>
      </c>
      <c r="H20">
        <v>-2.6137637963751517</v>
      </c>
      <c r="I20">
        <v>0.45758924410351598</v>
      </c>
      <c r="J20">
        <v>0.26862024275325302</v>
      </c>
      <c r="K20">
        <v>6.7130568608591901E-2</v>
      </c>
      <c r="L20">
        <v>4.4393020470709919E-5</v>
      </c>
      <c r="M20">
        <v>9.1187850863448938E-7</v>
      </c>
      <c r="N20" s="1">
        <v>2.9859726692610401E-10</v>
      </c>
      <c r="O20" s="1">
        <v>6.57047695609827E-14</v>
      </c>
      <c r="P20" s="1">
        <v>2.46670281171589E-13</v>
      </c>
      <c r="Q20">
        <v>50.156983524386497</v>
      </c>
      <c r="R20">
        <v>1.10705912993224E-2</v>
      </c>
      <c r="S20">
        <v>1.7852097607917501</v>
      </c>
      <c r="T20">
        <v>0.54937196981377401</v>
      </c>
      <c r="V20">
        <v>31.395517387520101</v>
      </c>
      <c r="X20">
        <v>15.777006131587299</v>
      </c>
      <c r="AA20">
        <v>0.30994790531300698</v>
      </c>
      <c r="AB20">
        <v>1.4892729288148601E-2</v>
      </c>
      <c r="AJ20">
        <v>-1.05724309216558</v>
      </c>
      <c r="AK20">
        <v>0.98595756722625005</v>
      </c>
      <c r="AL20">
        <v>1.0214324594794599</v>
      </c>
      <c r="AM20">
        <v>3.2647004467862201E-2</v>
      </c>
      <c r="AN20">
        <v>-3.1999254232904097E-2</v>
      </c>
      <c r="AO20">
        <v>4.8081985712921903E-2</v>
      </c>
      <c r="AP20">
        <v>1.1233295119937401E-3</v>
      </c>
    </row>
    <row r="21" spans="1:42" x14ac:dyDescent="0.2">
      <c r="A21">
        <v>73</v>
      </c>
      <c r="B21">
        <v>750</v>
      </c>
      <c r="C21">
        <v>200</v>
      </c>
      <c r="D21">
        <v>0.37802912573913899</v>
      </c>
      <c r="E21">
        <v>0.39493379074868501</v>
      </c>
      <c r="F21">
        <v>3.5612583520721799</v>
      </c>
      <c r="G21">
        <v>-5.1027207711938249</v>
      </c>
      <c r="H21">
        <v>-4.3301284985836155</v>
      </c>
      <c r="I21">
        <v>0.75511144271144004</v>
      </c>
      <c r="J21">
        <v>0.44403833602304499</v>
      </c>
      <c r="K21">
        <v>0.110897259256376</v>
      </c>
      <c r="L21">
        <v>4.4371833593315183E-5</v>
      </c>
      <c r="M21">
        <v>9.1032684146403266E-7</v>
      </c>
      <c r="N21" s="1">
        <v>4.8920229097619502E-10</v>
      </c>
      <c r="O21" s="1">
        <v>1.105066624797E-13</v>
      </c>
      <c r="P21" s="1">
        <v>2.63308904220092E-13</v>
      </c>
      <c r="Q21">
        <v>50.205114676787097</v>
      </c>
      <c r="R21">
        <v>1.3788017992903299E-2</v>
      </c>
      <c r="S21">
        <v>1.87825241793772</v>
      </c>
      <c r="T21">
        <v>0.54017150828697202</v>
      </c>
      <c r="V21">
        <v>31.023105179743801</v>
      </c>
      <c r="X21">
        <v>16.0330297189644</v>
      </c>
      <c r="AA21">
        <v>0.29180347263519402</v>
      </c>
      <c r="AB21">
        <v>1.47350076517866E-2</v>
      </c>
      <c r="AJ21">
        <v>-1.04589806865707</v>
      </c>
      <c r="AK21">
        <v>0.98675195788509096</v>
      </c>
      <c r="AL21">
        <v>1.00732366133836</v>
      </c>
      <c r="AM21">
        <v>3.4931039687899401E-2</v>
      </c>
      <c r="AN21">
        <v>-3.4125883078389103E-2</v>
      </c>
      <c r="AO21">
        <v>4.99080541605431E-2</v>
      </c>
      <c r="AP21">
        <v>1.1092386635646E-3</v>
      </c>
    </row>
    <row r="22" spans="1:42" x14ac:dyDescent="0.2">
      <c r="A22">
        <v>74</v>
      </c>
      <c r="B22">
        <v>749</v>
      </c>
      <c r="C22">
        <v>200</v>
      </c>
      <c r="D22">
        <v>0.37735214988015597</v>
      </c>
      <c r="E22">
        <v>0.44972659522517699</v>
      </c>
      <c r="F22">
        <v>3.5599100968061199</v>
      </c>
      <c r="G22">
        <v>-5.8183704278990351</v>
      </c>
      <c r="H22">
        <v>-4.9396677182259925</v>
      </c>
      <c r="I22">
        <v>0.85966121378764604</v>
      </c>
      <c r="J22">
        <v>0.50606645309527898</v>
      </c>
      <c r="K22">
        <v>0.12633088561103301</v>
      </c>
      <c r="L22">
        <v>4.4355477619948791E-5</v>
      </c>
      <c r="M22">
        <v>9.0958042760632724E-7</v>
      </c>
      <c r="N22" s="1">
        <v>5.6243443117774904E-10</v>
      </c>
      <c r="O22" s="1">
        <v>1.27329051219321E-13</v>
      </c>
      <c r="P22" s="1">
        <v>1.17050680005245E-13</v>
      </c>
      <c r="Q22">
        <v>50.189057810800499</v>
      </c>
      <c r="R22">
        <v>1.5481299872133701E-2</v>
      </c>
      <c r="S22">
        <v>1.9732819593131099</v>
      </c>
      <c r="T22">
        <v>0.54119324574713201</v>
      </c>
      <c r="V22">
        <v>30.871125424968898</v>
      </c>
      <c r="X22">
        <v>16.122507325494499</v>
      </c>
      <c r="AA22">
        <v>0.27280280767982501</v>
      </c>
      <c r="AB22">
        <v>1.45501261237246E-2</v>
      </c>
      <c r="AJ22">
        <v>-1.04315319151342</v>
      </c>
      <c r="AK22">
        <v>0.987566373524565</v>
      </c>
      <c r="AL22">
        <v>1.0015765047557701</v>
      </c>
      <c r="AM22">
        <v>3.7116671212369397E-2</v>
      </c>
      <c r="AN22">
        <v>-3.62133674070272E-2</v>
      </c>
      <c r="AO22">
        <v>5.2012576157332603E-2</v>
      </c>
      <c r="AP22">
        <v>1.0944332704040699E-3</v>
      </c>
    </row>
    <row r="23" spans="1:42" x14ac:dyDescent="0.2">
      <c r="A23">
        <v>75</v>
      </c>
      <c r="B23">
        <v>748</v>
      </c>
      <c r="C23">
        <v>200</v>
      </c>
      <c r="D23">
        <v>0.37667384811242399</v>
      </c>
      <c r="E23">
        <v>0.47901145748165003</v>
      </c>
      <c r="F23">
        <v>3.55962297678224</v>
      </c>
      <c r="G23">
        <v>-6.2011250446892836</v>
      </c>
      <c r="H23">
        <v>-5.26650464847528</v>
      </c>
      <c r="I23">
        <v>0.91526259238505903</v>
      </c>
      <c r="J23">
        <v>0.53926002543186002</v>
      </c>
      <c r="K23">
        <v>0.13456803167246001</v>
      </c>
      <c r="L23">
        <v>4.4341272774016185E-5</v>
      </c>
      <c r="M23">
        <v>9.0912285261230836E-7</v>
      </c>
      <c r="N23" s="1">
        <v>6.0725273301894496E-10</v>
      </c>
      <c r="O23" s="1">
        <v>1.36795629071159E-13</v>
      </c>
      <c r="P23" s="1">
        <v>-6.1074786719561199E-14</v>
      </c>
      <c r="Q23">
        <v>50.154945574062403</v>
      </c>
      <c r="R23">
        <v>1.6762939969959801E-2</v>
      </c>
      <c r="S23">
        <v>2.0634891554282802</v>
      </c>
      <c r="T23">
        <v>0.54472495169581203</v>
      </c>
      <c r="V23">
        <v>30.7931261641886</v>
      </c>
      <c r="X23">
        <v>16.156546565772899</v>
      </c>
      <c r="AA23">
        <v>0.25603424680849801</v>
      </c>
      <c r="AB23">
        <v>1.43704020733191E-2</v>
      </c>
      <c r="AJ23">
        <v>-1.0430423029840401</v>
      </c>
      <c r="AK23">
        <v>0.988281776002923</v>
      </c>
      <c r="AL23">
        <v>0.99862919815705997</v>
      </c>
      <c r="AM23">
        <v>3.9155187125925098E-2</v>
      </c>
      <c r="AN23">
        <v>-3.8177510079379001E-2</v>
      </c>
      <c r="AO23">
        <v>5.40731878769911E-2</v>
      </c>
      <c r="AP23">
        <v>1.0804639005278099E-3</v>
      </c>
    </row>
    <row r="24" spans="1:42" x14ac:dyDescent="0.2">
      <c r="A24">
        <v>76</v>
      </c>
      <c r="B24">
        <v>747</v>
      </c>
      <c r="C24">
        <v>200</v>
      </c>
      <c r="D24">
        <v>0.375994216536785</v>
      </c>
      <c r="E24">
        <v>0.49797676460470802</v>
      </c>
      <c r="F24">
        <v>3.55980010374893</v>
      </c>
      <c r="G24">
        <v>-6.4486147593149683</v>
      </c>
      <c r="H24">
        <v>-5.4784148290418715</v>
      </c>
      <c r="I24">
        <v>0.95103654391324499</v>
      </c>
      <c r="J24">
        <v>0.56075616332405598</v>
      </c>
      <c r="K24">
        <v>0.13988896850704399</v>
      </c>
      <c r="L24">
        <v>4.4327861169069666E-5</v>
      </c>
      <c r="M24">
        <v>9.0880279724039353E-7</v>
      </c>
      <c r="N24" s="1">
        <v>6.4086207669759696E-10</v>
      </c>
      <c r="O24" s="1">
        <v>1.4319258488917701E-13</v>
      </c>
      <c r="P24" s="1">
        <v>-2.4564387203321598E-13</v>
      </c>
      <c r="Q24">
        <v>50.1140288631372</v>
      </c>
      <c r="R24">
        <v>1.78273813722973E-2</v>
      </c>
      <c r="S24">
        <v>2.1491876054263002</v>
      </c>
      <c r="T24">
        <v>0.54902286230798003</v>
      </c>
      <c r="V24">
        <v>30.748992553747598</v>
      </c>
      <c r="X24">
        <v>16.165393976105701</v>
      </c>
      <c r="AA24">
        <v>0.241346775955396</v>
      </c>
      <c r="AB24">
        <v>1.41999819473714E-2</v>
      </c>
      <c r="AJ24">
        <v>-1.0440334988062101</v>
      </c>
      <c r="AK24">
        <v>0.98890744403603403</v>
      </c>
      <c r="AL24">
        <v>0.99696274095494797</v>
      </c>
      <c r="AM24">
        <v>4.10785980983095E-2</v>
      </c>
      <c r="AN24">
        <v>-4.0039084098404301E-2</v>
      </c>
      <c r="AO24">
        <v>5.60564010601413E-2</v>
      </c>
      <c r="AP24">
        <v>1.06739875518494E-3</v>
      </c>
    </row>
    <row r="25" spans="1:42" x14ac:dyDescent="0.2">
      <c r="A25">
        <v>77</v>
      </c>
      <c r="B25">
        <v>746</v>
      </c>
      <c r="C25">
        <v>200</v>
      </c>
      <c r="D25">
        <v>0.37531325123877901</v>
      </c>
      <c r="E25">
        <v>0.51168059166139501</v>
      </c>
      <c r="F25">
        <v>3.5602199042867699</v>
      </c>
      <c r="G25">
        <v>-6.6269396684738959</v>
      </c>
      <c r="H25">
        <v>-5.6315449030479936</v>
      </c>
      <c r="I25">
        <v>0.97669113028101795</v>
      </c>
      <c r="J25">
        <v>0.576276190580846</v>
      </c>
      <c r="K25">
        <v>0.143721625466251</v>
      </c>
      <c r="L25">
        <v>4.4314640021882548E-5</v>
      </c>
      <c r="M25">
        <v>9.0855980073850361E-7</v>
      </c>
      <c r="N25" s="1">
        <v>6.6892947391094499E-10</v>
      </c>
      <c r="O25" s="1">
        <v>1.47978503822581E-13</v>
      </c>
      <c r="P25" s="1">
        <v>-4.2982286955919602E-13</v>
      </c>
      <c r="Q25">
        <v>50.070143414559404</v>
      </c>
      <c r="R25">
        <v>1.8757988712852301E-2</v>
      </c>
      <c r="S25">
        <v>2.2312466380014602</v>
      </c>
      <c r="T25">
        <v>0.55353365509186103</v>
      </c>
      <c r="V25">
        <v>30.723365998521299</v>
      </c>
      <c r="X25">
        <v>16.160557533207299</v>
      </c>
      <c r="AA25">
        <v>0.22835628979261199</v>
      </c>
      <c r="AB25">
        <v>1.4038482113014301E-2</v>
      </c>
      <c r="AJ25">
        <v>-1.0455736066277399</v>
      </c>
      <c r="AK25">
        <v>0.98946062283603498</v>
      </c>
      <c r="AL25">
        <v>0.99599624094258998</v>
      </c>
      <c r="AM25">
        <v>4.2914910321464897E-2</v>
      </c>
      <c r="AN25">
        <v>-4.1821281553507401E-2</v>
      </c>
      <c r="AO25">
        <v>5.7967998780625002E-2</v>
      </c>
      <c r="AP25">
        <v>1.0551153005400099E-3</v>
      </c>
    </row>
    <row r="26" spans="1:42" x14ac:dyDescent="0.2">
      <c r="A26">
        <v>78</v>
      </c>
      <c r="B26">
        <v>745</v>
      </c>
      <c r="C26">
        <v>200</v>
      </c>
      <c r="D26">
        <v>0.37463094828856203</v>
      </c>
      <c r="E26">
        <v>0.52230717030472096</v>
      </c>
      <c r="F26">
        <v>3.5607817230157499</v>
      </c>
      <c r="G26">
        <v>-6.7647264857028224</v>
      </c>
      <c r="H26">
        <v>-5.7502198126515944</v>
      </c>
      <c r="I26">
        <v>0.99642162063667095</v>
      </c>
      <c r="J26">
        <v>0.58829517646056395</v>
      </c>
      <c r="K26">
        <v>0.14668328780972301</v>
      </c>
      <c r="L26">
        <v>4.4301314606784338E-5</v>
      </c>
      <c r="M26">
        <v>9.0836459258408528E-7</v>
      </c>
      <c r="N26" s="1">
        <v>6.9390129050003896E-10</v>
      </c>
      <c r="O26" s="1">
        <v>1.51794792366655E-13</v>
      </c>
      <c r="P26" s="1">
        <v>-6.1156651605307E-13</v>
      </c>
      <c r="Q26">
        <v>50.024872671197599</v>
      </c>
      <c r="R26">
        <v>1.95977482074908E-2</v>
      </c>
      <c r="S26">
        <v>2.3104115223442201</v>
      </c>
      <c r="T26">
        <v>0.55804784729507695</v>
      </c>
      <c r="V26">
        <v>30.709056038436302</v>
      </c>
      <c r="X26">
        <v>16.147390532426499</v>
      </c>
      <c r="AA26">
        <v>0.21673886473932799</v>
      </c>
      <c r="AB26">
        <v>1.38847753532931E-2</v>
      </c>
      <c r="AJ26">
        <v>-1.0474183478032799</v>
      </c>
      <c r="AK26">
        <v>0.98995542999916497</v>
      </c>
      <c r="AL26">
        <v>0.995457882571673</v>
      </c>
      <c r="AM26">
        <v>4.4684370484226299E-2</v>
      </c>
      <c r="AN26">
        <v>-4.3541867488825298E-2</v>
      </c>
      <c r="AO26">
        <v>5.9819047397654999E-2</v>
      </c>
      <c r="AP26">
        <v>1.04348483938843E-3</v>
      </c>
    </row>
    <row r="27" spans="1:42" x14ac:dyDescent="0.2">
      <c r="A27">
        <v>92</v>
      </c>
      <c r="B27">
        <v>756</v>
      </c>
      <c r="C27">
        <v>175</v>
      </c>
      <c r="D27">
        <v>0.40878443375601398</v>
      </c>
      <c r="E27">
        <v>0.22409060916214599</v>
      </c>
      <c r="F27">
        <v>3.5577195339382399</v>
      </c>
      <c r="G27">
        <v>-2.9001641699978986</v>
      </c>
      <c r="H27">
        <v>-2.4575806860530953</v>
      </c>
      <c r="I27">
        <v>0.43004759650663499</v>
      </c>
      <c r="J27">
        <v>0.25209863013744699</v>
      </c>
      <c r="K27">
        <v>6.2987148656456202E-2</v>
      </c>
      <c r="L27">
        <v>4.4384054656275884E-5</v>
      </c>
      <c r="M27">
        <v>9.1025070070417839E-7</v>
      </c>
      <c r="N27" s="1">
        <v>2.68344215376417E-10</v>
      </c>
      <c r="O27" s="1">
        <v>6.1971505283892297E-14</v>
      </c>
      <c r="P27" s="1">
        <v>3.5381697216096702E-13</v>
      </c>
      <c r="Q27">
        <v>50.309147290083999</v>
      </c>
      <c r="R27">
        <v>1.07596452964724E-2</v>
      </c>
      <c r="S27">
        <v>1.7172845755121799</v>
      </c>
      <c r="T27">
        <v>0.545288396621184</v>
      </c>
      <c r="V27">
        <v>30.975536025701199</v>
      </c>
      <c r="X27">
        <v>16.109632398068999</v>
      </c>
      <c r="AA27">
        <v>0.31772936079542502</v>
      </c>
      <c r="AB27">
        <v>1.4622307920335399E-2</v>
      </c>
      <c r="AJ27">
        <v>-1.039402376802</v>
      </c>
      <c r="AK27">
        <v>0.98568442730124195</v>
      </c>
      <c r="AL27">
        <v>1.0056046808663599</v>
      </c>
      <c r="AM27">
        <v>3.1083796357020198E-2</v>
      </c>
      <c r="AN27">
        <v>-3.0455591686194099E-2</v>
      </c>
      <c r="AO27">
        <v>4.6384500112359901E-2</v>
      </c>
      <c r="AP27">
        <v>1.10056385121119E-3</v>
      </c>
    </row>
    <row r="28" spans="1:42" x14ac:dyDescent="0.2">
      <c r="A28">
        <v>93</v>
      </c>
      <c r="B28">
        <v>755</v>
      </c>
      <c r="C28">
        <v>175</v>
      </c>
      <c r="D28">
        <v>0.40814132179156798</v>
      </c>
      <c r="E28">
        <v>0.36855966273225199</v>
      </c>
      <c r="F28">
        <v>3.5534147460773302</v>
      </c>
      <c r="G28">
        <v>-4.7847181808985244</v>
      </c>
      <c r="H28">
        <v>-4.0573788774276549</v>
      </c>
      <c r="I28">
        <v>0.70742528178852204</v>
      </c>
      <c r="J28">
        <v>0.41533849248253302</v>
      </c>
      <c r="K28">
        <v>0.103719855144719</v>
      </c>
      <c r="L28">
        <v>4.4355132578006331E-5</v>
      </c>
      <c r="M28">
        <v>9.0881341430200054E-7</v>
      </c>
      <c r="N28" s="1">
        <v>4.40201522369264E-10</v>
      </c>
      <c r="O28" s="1">
        <v>1.0375015495703799E-13</v>
      </c>
      <c r="P28" s="1">
        <v>4.6106323199691603E-13</v>
      </c>
      <c r="Q28">
        <v>50.3552086082465</v>
      </c>
      <c r="R28">
        <v>1.32394194657964E-2</v>
      </c>
      <c r="S28">
        <v>1.79960869514046</v>
      </c>
      <c r="T28">
        <v>0.53688782853248196</v>
      </c>
      <c r="V28">
        <v>30.632339589510799</v>
      </c>
      <c r="X28">
        <v>16.345428098140498</v>
      </c>
      <c r="AA28">
        <v>0.30282170659334201</v>
      </c>
      <c r="AB28">
        <v>1.4466054369967399E-2</v>
      </c>
      <c r="AJ28">
        <v>-1.0288537594659699</v>
      </c>
      <c r="AK28">
        <v>0.98634099739564696</v>
      </c>
      <c r="AL28">
        <v>0.992662842860218</v>
      </c>
      <c r="AM28">
        <v>3.3107964745269301E-2</v>
      </c>
      <c r="AN28">
        <v>-3.23363770542138E-2</v>
      </c>
      <c r="AO28">
        <v>4.7991499176321603E-2</v>
      </c>
      <c r="AP28">
        <v>1.0868323427297899E-3</v>
      </c>
    </row>
    <row r="29" spans="1:42" x14ac:dyDescent="0.2">
      <c r="A29">
        <v>94</v>
      </c>
      <c r="B29">
        <v>754</v>
      </c>
      <c r="C29">
        <v>175</v>
      </c>
      <c r="D29">
        <v>0.40749695760112897</v>
      </c>
      <c r="E29">
        <v>0.42440362694675499</v>
      </c>
      <c r="F29">
        <v>3.5519573784755099</v>
      </c>
      <c r="G29">
        <v>-5.5170896118230637</v>
      </c>
      <c r="H29">
        <v>-4.6805547442766748</v>
      </c>
      <c r="I29">
        <v>0.81442327561348304</v>
      </c>
      <c r="J29">
        <v>0.47865769685863901</v>
      </c>
      <c r="K29">
        <v>0.119484436811825</v>
      </c>
      <c r="L29">
        <v>4.4336612893670091E-5</v>
      </c>
      <c r="M29">
        <v>9.0807651635266627E-7</v>
      </c>
      <c r="N29" s="1">
        <v>5.11300129736722E-10</v>
      </c>
      <c r="O29" s="1">
        <v>1.20898625335033E-13</v>
      </c>
      <c r="P29" s="1">
        <v>3.7035925766502701E-13</v>
      </c>
      <c r="Q29">
        <v>50.345274743165398</v>
      </c>
      <c r="R29">
        <v>1.48807339242447E-2</v>
      </c>
      <c r="S29">
        <v>1.8860623096532401</v>
      </c>
      <c r="T29">
        <v>0.53730889585030395</v>
      </c>
      <c r="V29">
        <v>30.477412110161499</v>
      </c>
      <c r="X29">
        <v>16.4397527238077</v>
      </c>
      <c r="AA29">
        <v>0.28501630028396402</v>
      </c>
      <c r="AB29">
        <v>1.4292183153572601E-2</v>
      </c>
      <c r="AJ29">
        <v>-1.02576097450945</v>
      </c>
      <c r="AK29">
        <v>0.98710392001792302</v>
      </c>
      <c r="AL29">
        <v>0.98682832664749198</v>
      </c>
      <c r="AM29">
        <v>3.5101355878248301E-2</v>
      </c>
      <c r="AN29">
        <v>-3.4234827835626501E-2</v>
      </c>
      <c r="AO29">
        <v>4.9889315338844997E-2</v>
      </c>
      <c r="AP29">
        <v>1.0728844625717501E-3</v>
      </c>
    </row>
    <row r="30" spans="1:42" x14ac:dyDescent="0.2">
      <c r="A30">
        <v>95</v>
      </c>
      <c r="B30">
        <v>753</v>
      </c>
      <c r="C30">
        <v>175</v>
      </c>
      <c r="D30">
        <v>0.40685133752375702</v>
      </c>
      <c r="E30">
        <v>0.45485632083979899</v>
      </c>
      <c r="F30">
        <v>3.5515350895580999</v>
      </c>
      <c r="G30">
        <v>-5.9169287940286903</v>
      </c>
      <c r="H30">
        <v>-5.0215937501856258</v>
      </c>
      <c r="I30">
        <v>0.87251868035186197</v>
      </c>
      <c r="J30">
        <v>0.513233949578624</v>
      </c>
      <c r="K30">
        <v>0.128073159737919</v>
      </c>
      <c r="L30">
        <v>4.4322360842889084E-5</v>
      </c>
      <c r="M30">
        <v>9.0762192459735867E-7</v>
      </c>
      <c r="N30" s="1">
        <v>5.5438090298060604E-10</v>
      </c>
      <c r="O30" s="1">
        <v>1.30749245644607E-13</v>
      </c>
      <c r="P30" s="1">
        <v>2.2992015427841201E-13</v>
      </c>
      <c r="Q30">
        <v>50.317094306837802</v>
      </c>
      <c r="R30">
        <v>1.6142677311494099E-2</v>
      </c>
      <c r="S30">
        <v>1.96927804005348</v>
      </c>
      <c r="T30">
        <v>0.54024820666801199</v>
      </c>
      <c r="V30">
        <v>30.393980412256099</v>
      </c>
      <c r="X30">
        <v>16.4805115749467</v>
      </c>
      <c r="AA30">
        <v>0.26862139121101197</v>
      </c>
      <c r="AB30">
        <v>1.4123390715282701E-2</v>
      </c>
      <c r="AJ30">
        <v>-1.02526615211988</v>
      </c>
      <c r="AK30">
        <v>0.98780214216647</v>
      </c>
      <c r="AL30">
        <v>0.98368745708446903</v>
      </c>
      <c r="AM30">
        <v>3.6983716735392497E-2</v>
      </c>
      <c r="AN30">
        <v>-3.6044123523030401E-2</v>
      </c>
      <c r="AO30">
        <v>5.1777219499697498E-2</v>
      </c>
      <c r="AP30">
        <v>1.05974015688139E-3</v>
      </c>
    </row>
    <row r="31" spans="1:42" x14ac:dyDescent="0.2">
      <c r="A31">
        <v>96</v>
      </c>
      <c r="B31">
        <v>752</v>
      </c>
      <c r="C31">
        <v>175</v>
      </c>
      <c r="D31">
        <v>0.406204457884214</v>
      </c>
      <c r="E31">
        <v>0.47465127743131402</v>
      </c>
      <c r="F31">
        <v>3.5515900574714201</v>
      </c>
      <c r="G31">
        <v>-6.1765795620981239</v>
      </c>
      <c r="H31">
        <v>-5.2436288992210631</v>
      </c>
      <c r="I31">
        <v>0.91006258876950696</v>
      </c>
      <c r="J31">
        <v>0.53571393457886995</v>
      </c>
      <c r="K31">
        <v>0.133644725249975</v>
      </c>
      <c r="L31">
        <v>4.4309962859119007E-5</v>
      </c>
      <c r="M31">
        <v>9.0730747748724257E-7</v>
      </c>
      <c r="N31" s="1">
        <v>5.8592137741969696E-10</v>
      </c>
      <c r="O31" s="1">
        <v>1.37446847716332E-13</v>
      </c>
      <c r="P31" s="1">
        <v>7.4058916478812299E-14</v>
      </c>
      <c r="Q31">
        <v>50.281461003912</v>
      </c>
      <c r="R31">
        <v>1.71958194606989E-2</v>
      </c>
      <c r="S31">
        <v>2.0488679072057399</v>
      </c>
      <c r="T31">
        <v>0.54403810458968305</v>
      </c>
      <c r="V31">
        <v>30.344862852235501</v>
      </c>
      <c r="X31">
        <v>16.4956400958696</v>
      </c>
      <c r="AA31">
        <v>0.25397106270818398</v>
      </c>
      <c r="AB31">
        <v>1.39631540183911E-2</v>
      </c>
      <c r="AJ31">
        <v>-1.0259200779751401</v>
      </c>
      <c r="AK31">
        <v>0.98842468205518497</v>
      </c>
      <c r="AL31">
        <v>0.98183862624799101</v>
      </c>
      <c r="AM31">
        <v>3.8770044851115897E-2</v>
      </c>
      <c r="AN31">
        <v>-3.7769417056424698E-2</v>
      </c>
      <c r="AO31">
        <v>5.36087014641271E-2</v>
      </c>
      <c r="AP31">
        <v>1.04744041314722E-3</v>
      </c>
    </row>
    <row r="32" spans="1:42" x14ac:dyDescent="0.2">
      <c r="A32">
        <v>97</v>
      </c>
      <c r="B32">
        <v>751</v>
      </c>
      <c r="C32">
        <v>175</v>
      </c>
      <c r="D32">
        <v>0.40555631499292399</v>
      </c>
      <c r="E32">
        <v>0.48892910203314999</v>
      </c>
      <c r="F32">
        <v>3.5519022020367501</v>
      </c>
      <c r="G32">
        <v>-6.3634426286139751</v>
      </c>
      <c r="H32">
        <v>-5.4038579990643836</v>
      </c>
      <c r="I32">
        <v>0.93695711521709901</v>
      </c>
      <c r="J32">
        <v>0.55191974983955805</v>
      </c>
      <c r="K32">
        <v>0.137652748927824</v>
      </c>
      <c r="L32">
        <v>4.4298377911491483E-5</v>
      </c>
      <c r="M32">
        <v>9.0707312196095409E-7</v>
      </c>
      <c r="N32" s="1">
        <v>6.1163705111980295E-10</v>
      </c>
      <c r="O32" s="1">
        <v>1.42467340596045E-13</v>
      </c>
      <c r="P32" s="1">
        <v>-8.6577485615782904E-14</v>
      </c>
      <c r="Q32">
        <v>50.242332601370798</v>
      </c>
      <c r="R32">
        <v>1.8117768089438401E-2</v>
      </c>
      <c r="S32">
        <v>2.1253547848685499</v>
      </c>
      <c r="T32">
        <v>0.54810956674701505</v>
      </c>
      <c r="V32">
        <v>30.314963979586299</v>
      </c>
      <c r="X32">
        <v>16.496445671712198</v>
      </c>
      <c r="AA32">
        <v>0.24086444918275801</v>
      </c>
      <c r="AB32">
        <v>1.38111784428604E-2</v>
      </c>
      <c r="AJ32">
        <v>-1.0271663742186701</v>
      </c>
      <c r="AK32">
        <v>0.98898116446074102</v>
      </c>
      <c r="AL32">
        <v>0.98071343377378695</v>
      </c>
      <c r="AM32">
        <v>4.0480647467239797E-2</v>
      </c>
      <c r="AN32">
        <v>-3.9426540910096702E-2</v>
      </c>
      <c r="AO32">
        <v>5.5381796059697702E-2</v>
      </c>
      <c r="AP32">
        <v>1.0358733673002101E-3</v>
      </c>
    </row>
    <row r="33" spans="1:42" x14ac:dyDescent="0.2">
      <c r="A33">
        <v>98</v>
      </c>
      <c r="B33">
        <v>750</v>
      </c>
      <c r="C33">
        <v>175</v>
      </c>
      <c r="D33">
        <v>0.40490690514587502</v>
      </c>
      <c r="E33">
        <v>0.49995605404242899</v>
      </c>
      <c r="F33">
        <v>3.5523681696989899</v>
      </c>
      <c r="G33">
        <v>-6.5073205394549829</v>
      </c>
      <c r="H33">
        <v>-5.5275818965753203</v>
      </c>
      <c r="I33">
        <v>0.95757087707536903</v>
      </c>
      <c r="J33">
        <v>0.56442261417663597</v>
      </c>
      <c r="K33">
        <v>0.14073880582169301</v>
      </c>
      <c r="L33">
        <v>4.4287097647428105E-5</v>
      </c>
      <c r="M33">
        <v>9.0688899851713284E-7</v>
      </c>
      <c r="N33" s="1">
        <v>6.3405144981213399E-10</v>
      </c>
      <c r="O33" s="1">
        <v>1.4647284361910701E-13</v>
      </c>
      <c r="P33" s="1">
        <v>-2.4809021867084101E-13</v>
      </c>
      <c r="Q33">
        <v>50.201426199129301</v>
      </c>
      <c r="R33">
        <v>1.8949719212463099E-2</v>
      </c>
      <c r="S33">
        <v>2.19930034772434</v>
      </c>
      <c r="T33">
        <v>0.55223523179263401</v>
      </c>
      <c r="V33">
        <v>30.2969996368066</v>
      </c>
      <c r="X33">
        <v>16.488365828233899</v>
      </c>
      <c r="AA33">
        <v>0.22905656455457901</v>
      </c>
      <c r="AB33">
        <v>1.36664725460013E-2</v>
      </c>
      <c r="AJ33">
        <v>-1.02875070420652</v>
      </c>
      <c r="AK33">
        <v>0.98948242644658202</v>
      </c>
      <c r="AL33">
        <v>0.98003774334618399</v>
      </c>
      <c r="AM33">
        <v>4.2131811966261701E-2</v>
      </c>
      <c r="AN33">
        <v>-4.1029408145059197E-2</v>
      </c>
      <c r="AO33">
        <v>5.7103209392802202E-2</v>
      </c>
      <c r="AP33">
        <v>1.0249211997497901E-3</v>
      </c>
    </row>
    <row r="34" spans="1:42" x14ac:dyDescent="0.2">
      <c r="A34">
        <v>117</v>
      </c>
      <c r="B34">
        <v>762</v>
      </c>
      <c r="C34">
        <v>150</v>
      </c>
      <c r="D34">
        <v>0.439183210162781</v>
      </c>
      <c r="E34">
        <v>0.22975574299895499</v>
      </c>
      <c r="F34">
        <v>3.5488331743191601</v>
      </c>
      <c r="G34">
        <v>-2.9901710574974403</v>
      </c>
      <c r="H34">
        <v>-2.5316543417559805</v>
      </c>
      <c r="I34">
        <v>0.44294712432155697</v>
      </c>
      <c r="J34">
        <v>0.25918949282544601</v>
      </c>
      <c r="K34">
        <v>6.4741206958265393E-2</v>
      </c>
      <c r="L34">
        <v>4.43558140337138E-5</v>
      </c>
      <c r="M34">
        <v>9.0831694585666732E-7</v>
      </c>
      <c r="N34" s="1">
        <v>2.6772964168939699E-10</v>
      </c>
      <c r="O34" s="1">
        <v>6.4035606490906999E-14</v>
      </c>
      <c r="P34" s="1">
        <v>4.8881459458560897E-13</v>
      </c>
      <c r="Q34">
        <v>50.4642708696611</v>
      </c>
      <c r="R34">
        <v>1.07805011166864E-2</v>
      </c>
      <c r="S34">
        <v>1.6616291263851</v>
      </c>
      <c r="T34">
        <v>0.54323759649847703</v>
      </c>
      <c r="V34">
        <v>30.510056406394799</v>
      </c>
      <c r="X34">
        <v>16.4691742881901</v>
      </c>
      <c r="AA34">
        <v>0.32647257292774801</v>
      </c>
      <c r="AB34">
        <v>1.4378638825806801E-2</v>
      </c>
      <c r="AJ34">
        <v>-1.02022176632383</v>
      </c>
      <c r="AK34">
        <v>0.98537369969847199</v>
      </c>
      <c r="AL34">
        <v>0.98815687145304398</v>
      </c>
      <c r="AM34">
        <v>2.9779953174410199E-2</v>
      </c>
      <c r="AN34">
        <v>-2.9152015436469801E-2</v>
      </c>
      <c r="AO34">
        <v>4.49835862203758E-2</v>
      </c>
      <c r="AP34">
        <v>1.07967121400143E-3</v>
      </c>
    </row>
    <row r="35" spans="1:42" x14ac:dyDescent="0.2">
      <c r="A35">
        <v>118</v>
      </c>
      <c r="B35">
        <v>761</v>
      </c>
      <c r="C35">
        <v>150</v>
      </c>
      <c r="D35">
        <v>0.43857322438717999</v>
      </c>
      <c r="E35">
        <v>0.34920256934639199</v>
      </c>
      <c r="F35">
        <v>3.5452814659020699</v>
      </c>
      <c r="G35">
        <v>-4.5564378031052968</v>
      </c>
      <c r="H35">
        <v>-3.8601670579775518</v>
      </c>
      <c r="I35">
        <v>0.67327829147391105</v>
      </c>
      <c r="J35">
        <v>0.39448531962863198</v>
      </c>
      <c r="K35">
        <v>9.8497840779346896E-2</v>
      </c>
      <c r="L35">
        <v>4.4323098504652496E-5</v>
      </c>
      <c r="M35">
        <v>9.0708967832276709E-7</v>
      </c>
      <c r="N35" s="1">
        <v>4.0790915863883602E-10</v>
      </c>
      <c r="O35" s="1">
        <v>9.8854171036654696E-14</v>
      </c>
      <c r="P35" s="1">
        <v>6.3691658642399597E-13</v>
      </c>
      <c r="Q35">
        <v>50.5000505611359</v>
      </c>
      <c r="R35">
        <v>1.29261561289537E-2</v>
      </c>
      <c r="S35">
        <v>1.73515730893902</v>
      </c>
      <c r="T35">
        <v>0.53684817164523202</v>
      </c>
      <c r="V35">
        <v>30.221362518323701</v>
      </c>
      <c r="X35">
        <v>16.665959700068498</v>
      </c>
      <c r="AA35">
        <v>0.31347398221998402</v>
      </c>
      <c r="AB35">
        <v>1.42216015385389E-2</v>
      </c>
      <c r="AJ35">
        <v>-1.01152725042263</v>
      </c>
      <c r="AK35">
        <v>0.98594620884814499</v>
      </c>
      <c r="AL35">
        <v>0.97732163082634704</v>
      </c>
      <c r="AM35">
        <v>3.1571524838850298E-2</v>
      </c>
      <c r="AN35">
        <v>-3.0819750290042101E-2</v>
      </c>
      <c r="AO35">
        <v>4.6441376879832699E-2</v>
      </c>
      <c r="AP35">
        <v>1.0662593195005E-3</v>
      </c>
    </row>
    <row r="36" spans="1:42" x14ac:dyDescent="0.2">
      <c r="A36">
        <v>119</v>
      </c>
      <c r="B36">
        <v>760</v>
      </c>
      <c r="C36">
        <v>150</v>
      </c>
      <c r="D36">
        <v>0.43796205778444602</v>
      </c>
      <c r="E36">
        <v>0.40212711654296002</v>
      </c>
      <c r="F36">
        <v>3.54387494163384</v>
      </c>
      <c r="G36">
        <v>-5.2536014345241622</v>
      </c>
      <c r="H36">
        <v>-4.4527751056824538</v>
      </c>
      <c r="I36">
        <v>0.77513074465634801</v>
      </c>
      <c r="J36">
        <v>0.45460550464739002</v>
      </c>
      <c r="K36">
        <v>0.11347102343221099</v>
      </c>
      <c r="L36">
        <v>4.4302931769489009E-5</v>
      </c>
      <c r="M36">
        <v>9.0640304744855758E-7</v>
      </c>
      <c r="N36" s="1">
        <v>4.7352242499019603E-10</v>
      </c>
      <c r="O36" s="1">
        <v>1.1515185576104599E-13</v>
      </c>
      <c r="P36" s="1">
        <v>5.9398662176691898E-13</v>
      </c>
      <c r="Q36">
        <v>50.493224189018697</v>
      </c>
      <c r="R36">
        <v>1.4460469088370301E-2</v>
      </c>
      <c r="S36">
        <v>1.8129837059548699</v>
      </c>
      <c r="T36">
        <v>0.53706844857407698</v>
      </c>
      <c r="V36">
        <v>30.074262686251299</v>
      </c>
      <c r="X36">
        <v>16.7569369623547</v>
      </c>
      <c r="AA36">
        <v>0.29700599562702601</v>
      </c>
      <c r="AB36">
        <v>1.4057543130810601E-2</v>
      </c>
      <c r="AJ36">
        <v>-1.0084915690566301</v>
      </c>
      <c r="AK36">
        <v>0.98665122886409595</v>
      </c>
      <c r="AL36">
        <v>0.97180491672662705</v>
      </c>
      <c r="AM36">
        <v>3.3366458575812198E-2</v>
      </c>
      <c r="AN36">
        <v>-3.2526106580742897E-2</v>
      </c>
      <c r="AO36">
        <v>4.8141935635211602E-2</v>
      </c>
      <c r="AP36">
        <v>1.0531358356260299E-3</v>
      </c>
    </row>
    <row r="37" spans="1:42" x14ac:dyDescent="0.2">
      <c r="A37">
        <v>120</v>
      </c>
      <c r="B37">
        <v>759</v>
      </c>
      <c r="C37">
        <v>150</v>
      </c>
      <c r="D37">
        <v>0.43734970692244701</v>
      </c>
      <c r="E37">
        <v>0.43236823765747701</v>
      </c>
      <c r="F37">
        <v>3.54337998083186</v>
      </c>
      <c r="G37">
        <v>-5.6524936007629512</v>
      </c>
      <c r="H37">
        <v>-4.7926053992875399</v>
      </c>
      <c r="I37">
        <v>0.83310391074495904</v>
      </c>
      <c r="J37">
        <v>0.489003233552667</v>
      </c>
      <c r="K37">
        <v>0.122021414580542</v>
      </c>
      <c r="L37">
        <v>4.4288355427142796E-5</v>
      </c>
      <c r="M37">
        <v>9.0596766378623853E-7</v>
      </c>
      <c r="N37" s="1">
        <v>5.1407055761533298E-10</v>
      </c>
      <c r="O37" s="1">
        <v>1.2494811613114001E-13</v>
      </c>
      <c r="P37" s="1">
        <v>4.9111172734443998E-13</v>
      </c>
      <c r="Q37">
        <v>50.469923443277601</v>
      </c>
      <c r="R37">
        <v>1.5674910824687301E-2</v>
      </c>
      <c r="S37">
        <v>1.8888987929724901</v>
      </c>
      <c r="T37">
        <v>0.53953384077447897</v>
      </c>
      <c r="V37">
        <v>29.9897639981377</v>
      </c>
      <c r="X37">
        <v>16.801060131617302</v>
      </c>
      <c r="AA37">
        <v>0.28124552372613798</v>
      </c>
      <c r="AB37">
        <v>1.3899358669456401E-2</v>
      </c>
      <c r="AJ37">
        <v>-1.00776303139236</v>
      </c>
      <c r="AK37">
        <v>0.98732127996122998</v>
      </c>
      <c r="AL37">
        <v>0.96863602291640605</v>
      </c>
      <c r="AM37">
        <v>3.5084499036857099E-2</v>
      </c>
      <c r="AN37">
        <v>-3.41739834230287E-2</v>
      </c>
      <c r="AO37">
        <v>4.9854398738524E-2</v>
      </c>
      <c r="AP37">
        <v>1.04081416237984E-3</v>
      </c>
    </row>
    <row r="38" spans="1:42" x14ac:dyDescent="0.2">
      <c r="A38">
        <v>121</v>
      </c>
      <c r="B38">
        <v>758</v>
      </c>
      <c r="C38">
        <v>150</v>
      </c>
      <c r="D38">
        <v>0.43673616835572199</v>
      </c>
      <c r="E38">
        <v>0.45239801421235498</v>
      </c>
      <c r="F38">
        <v>3.5433389721443498</v>
      </c>
      <c r="G38">
        <v>-5.9165526051840356</v>
      </c>
      <c r="H38">
        <v>-5.0181102511134208</v>
      </c>
      <c r="I38">
        <v>0.87130131801446398</v>
      </c>
      <c r="J38">
        <v>0.51179357155935701</v>
      </c>
      <c r="K38">
        <v>0.12767562397186399</v>
      </c>
      <c r="L38">
        <v>4.4276461412873446E-5</v>
      </c>
      <c r="M38">
        <v>9.0566557912922381E-7</v>
      </c>
      <c r="N38" s="1">
        <v>5.4346948515218104E-10</v>
      </c>
      <c r="O38" s="1">
        <v>1.31739656319141E-13</v>
      </c>
      <c r="P38" s="1">
        <v>3.6553016161079599E-13</v>
      </c>
      <c r="Q38">
        <v>50.439202656515697</v>
      </c>
      <c r="R38">
        <v>1.67011947528002E-2</v>
      </c>
      <c r="S38">
        <v>1.9620931046044801</v>
      </c>
      <c r="T38">
        <v>0.54284562239814704</v>
      </c>
      <c r="V38">
        <v>29.9375723357083</v>
      </c>
      <c r="X38">
        <v>16.820984579485199</v>
      </c>
      <c r="AA38">
        <v>0.26685127672812298</v>
      </c>
      <c r="AB38">
        <v>1.3749229807104401E-2</v>
      </c>
      <c r="AJ38">
        <v>-1.0081385841897399</v>
      </c>
      <c r="AK38">
        <v>0.987931550860075</v>
      </c>
      <c r="AL38">
        <v>0.96667821447107205</v>
      </c>
      <c r="AM38">
        <v>3.67273102524764E-2</v>
      </c>
      <c r="AN38">
        <v>-3.5757453391742501E-2</v>
      </c>
      <c r="AO38">
        <v>5.1529679506768102E-2</v>
      </c>
      <c r="AP38">
        <v>1.02928249109015E-3</v>
      </c>
    </row>
    <row r="39" spans="1:42" x14ac:dyDescent="0.2">
      <c r="A39">
        <v>122</v>
      </c>
      <c r="B39">
        <v>757</v>
      </c>
      <c r="C39">
        <v>150</v>
      </c>
      <c r="D39">
        <v>0.436121438625445</v>
      </c>
      <c r="E39">
        <v>0.46695469855586502</v>
      </c>
      <c r="F39">
        <v>3.54355401542559</v>
      </c>
      <c r="G39">
        <v>-6.1081283430193141</v>
      </c>
      <c r="H39">
        <v>-5.1821377100147323</v>
      </c>
      <c r="I39">
        <v>0.89888912585990999</v>
      </c>
      <c r="J39">
        <v>0.52835093000029798</v>
      </c>
      <c r="K39">
        <v>0.131775809405795</v>
      </c>
      <c r="L39">
        <v>4.426592862222182E-5</v>
      </c>
      <c r="M39">
        <v>9.0544246988965008E-7</v>
      </c>
      <c r="N39" s="1">
        <v>5.6700848845586399E-10</v>
      </c>
      <c r="O39" s="1">
        <v>1.36879891362349E-13</v>
      </c>
      <c r="P39" s="1">
        <v>2.30395870409101E-13</v>
      </c>
      <c r="Q39">
        <v>50.404733467273303</v>
      </c>
      <c r="R39">
        <v>1.7605031851785101E-2</v>
      </c>
      <c r="S39">
        <v>2.0327761667376301</v>
      </c>
      <c r="T39">
        <v>0.54647592854944804</v>
      </c>
      <c r="V39">
        <v>29.9042293320128</v>
      </c>
      <c r="X39">
        <v>16.826775706722501</v>
      </c>
      <c r="AA39">
        <v>0.25379759980730199</v>
      </c>
      <c r="AB39">
        <v>1.3606767045073799E-2</v>
      </c>
      <c r="AJ39">
        <v>-1.0091120239804099</v>
      </c>
      <c r="AK39">
        <v>0.988484305800999</v>
      </c>
      <c r="AL39">
        <v>0.96542699334395399</v>
      </c>
      <c r="AM39">
        <v>3.8307458509864299E-2</v>
      </c>
      <c r="AN39">
        <v>-3.7285299669885898E-2</v>
      </c>
      <c r="AO39">
        <v>5.3160132591294498E-2</v>
      </c>
      <c r="AP39">
        <v>1.0184334041832899E-3</v>
      </c>
    </row>
    <row r="40" spans="1:42" x14ac:dyDescent="0.2">
      <c r="A40">
        <v>123</v>
      </c>
      <c r="B40">
        <v>756</v>
      </c>
      <c r="C40">
        <v>150</v>
      </c>
      <c r="D40">
        <v>0.43550551425934297</v>
      </c>
      <c r="E40">
        <v>0.47822165842492698</v>
      </c>
      <c r="F40">
        <v>3.5439270968490999</v>
      </c>
      <c r="G40">
        <v>-6.2560365794299191</v>
      </c>
      <c r="H40">
        <v>-5.3091217046424974</v>
      </c>
      <c r="I40">
        <v>0.92009413087249003</v>
      </c>
      <c r="J40">
        <v>0.54115598607887705</v>
      </c>
      <c r="K40">
        <v>0.13494116706015499</v>
      </c>
      <c r="L40">
        <v>4.4256088212009716E-5</v>
      </c>
      <c r="M40">
        <v>9.0527001735566587E-7</v>
      </c>
      <c r="N40" s="1">
        <v>5.87135253830413E-10</v>
      </c>
      <c r="O40" s="1">
        <v>1.4100277945225501E-13</v>
      </c>
      <c r="P40" s="1">
        <v>9.1124821935113903E-14</v>
      </c>
      <c r="Q40">
        <v>50.3682164663565</v>
      </c>
      <c r="R40">
        <v>1.84231018931293E-2</v>
      </c>
      <c r="S40">
        <v>2.10131938486498</v>
      </c>
      <c r="T40">
        <v>0.55019888219365298</v>
      </c>
      <c r="V40">
        <v>29.882902178958599</v>
      </c>
      <c r="X40">
        <v>16.823540026843101</v>
      </c>
      <c r="AA40">
        <v>0.24192889641632501</v>
      </c>
      <c r="AB40">
        <v>1.34710624735345E-2</v>
      </c>
      <c r="AJ40">
        <v>-1.01043911854094</v>
      </c>
      <c r="AK40">
        <v>0.98898664167078298</v>
      </c>
      <c r="AL40">
        <v>0.96462634317363705</v>
      </c>
      <c r="AM40">
        <v>3.9836849501088803E-2</v>
      </c>
      <c r="AN40">
        <v>-3.8767317336843E-2</v>
      </c>
      <c r="AO40">
        <v>5.4748442470356699E-2</v>
      </c>
      <c r="AP40">
        <v>1.0081590619243201E-3</v>
      </c>
    </row>
    <row r="41" spans="1:42" x14ac:dyDescent="0.2">
      <c r="A41">
        <v>124</v>
      </c>
      <c r="B41">
        <v>755</v>
      </c>
      <c r="C41">
        <v>150</v>
      </c>
      <c r="D41">
        <v>0.43488839177162902</v>
      </c>
      <c r="E41">
        <v>0.48734681638289601</v>
      </c>
      <c r="F41">
        <v>3.5444044914049702</v>
      </c>
      <c r="G41">
        <v>-6.3754613824484521</v>
      </c>
      <c r="H41">
        <v>-5.4119410326143242</v>
      </c>
      <c r="I41">
        <v>0.93713986269914695</v>
      </c>
      <c r="J41">
        <v>0.55151473396409201</v>
      </c>
      <c r="K41">
        <v>0.13749751687898201</v>
      </c>
      <c r="L41">
        <v>4.4246570059990054E-5</v>
      </c>
      <c r="M41">
        <v>9.051319736649581E-7</v>
      </c>
      <c r="N41" s="1">
        <v>6.0514406509418305E-10</v>
      </c>
      <c r="O41" s="1">
        <v>1.4444662372518E-13</v>
      </c>
      <c r="P41" s="1">
        <v>-4.9822864062724399E-14</v>
      </c>
      <c r="Q41">
        <v>50.330518242136399</v>
      </c>
      <c r="R41">
        <v>1.9177771231625201E-2</v>
      </c>
      <c r="S41">
        <v>2.16807425640574</v>
      </c>
      <c r="T41">
        <v>0.55390999219119896</v>
      </c>
      <c r="V41">
        <v>29.869754207098801</v>
      </c>
      <c r="X41">
        <v>16.814141407277098</v>
      </c>
      <c r="AA41">
        <v>0.23108292211444401</v>
      </c>
      <c r="AB41">
        <v>1.33412015445272E-2</v>
      </c>
      <c r="AJ41">
        <v>-1.0119894818083499</v>
      </c>
      <c r="AK41">
        <v>0.98944566549692903</v>
      </c>
      <c r="AL41">
        <v>0.96413253359649298</v>
      </c>
      <c r="AM41">
        <v>4.1325153655265102E-2</v>
      </c>
      <c r="AN41">
        <v>-4.0211890146968E-2</v>
      </c>
      <c r="AO41">
        <v>5.62996506439098E-2</v>
      </c>
      <c r="AP41">
        <v>9.9836856272470811E-4</v>
      </c>
    </row>
    <row r="42" spans="1:42" x14ac:dyDescent="0.2">
      <c r="A42">
        <v>148</v>
      </c>
      <c r="B42">
        <v>770</v>
      </c>
      <c r="C42">
        <v>125</v>
      </c>
      <c r="D42">
        <v>0.47038345396155901</v>
      </c>
      <c r="E42">
        <v>0.187666768904833</v>
      </c>
      <c r="F42">
        <v>3.5411636720219</v>
      </c>
      <c r="G42">
        <v>-2.4543533178288786</v>
      </c>
      <c r="H42">
        <v>-2.074870330063868</v>
      </c>
      <c r="I42">
        <v>0.36378563750659998</v>
      </c>
      <c r="J42">
        <v>0.212214823451877</v>
      </c>
      <c r="K42">
        <v>5.2995790730475001E-2</v>
      </c>
      <c r="L42">
        <v>4.4325366217027772E-5</v>
      </c>
      <c r="M42">
        <v>9.0663550499358814E-7</v>
      </c>
      <c r="N42" s="1">
        <v>2.16788695245782E-10</v>
      </c>
      <c r="O42" s="1">
        <v>5.23614579224882E-14</v>
      </c>
      <c r="P42" s="1">
        <v>5.1950604570415605E-13</v>
      </c>
      <c r="Q42">
        <v>50.591754485194002</v>
      </c>
      <c r="R42">
        <v>1.024347325961E-2</v>
      </c>
      <c r="S42">
        <v>1.59902929096068</v>
      </c>
      <c r="T42">
        <v>0.55001739493902002</v>
      </c>
      <c r="V42">
        <v>30.145579740261699</v>
      </c>
      <c r="X42">
        <v>16.7506116716979</v>
      </c>
      <c r="AA42">
        <v>0.33853943524152602</v>
      </c>
      <c r="AB42">
        <v>1.4224508445372999E-2</v>
      </c>
      <c r="AJ42">
        <v>-1.0047693906083699</v>
      </c>
      <c r="AK42">
        <v>0.98491171164031499</v>
      </c>
      <c r="AL42">
        <v>0.97459917745496805</v>
      </c>
      <c r="AM42">
        <v>2.8191947724886101E-2</v>
      </c>
      <c r="AN42">
        <v>-2.75963618503802E-2</v>
      </c>
      <c r="AO42">
        <v>4.3596735640510698E-2</v>
      </c>
      <c r="AP42">
        <v>1.0661799980760799E-3</v>
      </c>
    </row>
    <row r="43" spans="1:42" x14ac:dyDescent="0.2">
      <c r="A43">
        <v>149</v>
      </c>
      <c r="B43">
        <v>769</v>
      </c>
      <c r="C43">
        <v>125</v>
      </c>
      <c r="D43">
        <v>0.46980808904668597</v>
      </c>
      <c r="E43">
        <v>0.31064276283174702</v>
      </c>
      <c r="F43">
        <v>3.5376054275877999</v>
      </c>
      <c r="G43">
        <v>-4.0728484578765825</v>
      </c>
      <c r="H43">
        <v>-3.4452512224946279</v>
      </c>
      <c r="I43">
        <v>0.60221391870839602</v>
      </c>
      <c r="J43">
        <v>0.35173028260155698</v>
      </c>
      <c r="K43">
        <v>8.7811591538507497E-2</v>
      </c>
      <c r="L43">
        <v>4.428663589255945E-5</v>
      </c>
      <c r="M43">
        <v>9.0544209565800936E-7</v>
      </c>
      <c r="N43" s="1">
        <v>3.60208113932227E-10</v>
      </c>
      <c r="O43" s="1">
        <v>8.7938396753651898E-14</v>
      </c>
      <c r="P43" s="1">
        <v>7.8248645830874996E-13</v>
      </c>
      <c r="Q43">
        <v>50.632963007403703</v>
      </c>
      <c r="R43">
        <v>1.2247691172431199E-2</v>
      </c>
      <c r="S43">
        <v>1.6609034173497701</v>
      </c>
      <c r="T43">
        <v>0.54289838047400396</v>
      </c>
      <c r="V43">
        <v>29.8623406806405</v>
      </c>
      <c r="X43">
        <v>16.944988599952399</v>
      </c>
      <c r="AA43">
        <v>0.32958647310533901</v>
      </c>
      <c r="AB43">
        <v>1.40717499016134E-2</v>
      </c>
      <c r="AJ43">
        <v>-0.995877740064533</v>
      </c>
      <c r="AK43">
        <v>0.98531574315820003</v>
      </c>
      <c r="AL43">
        <v>0.96401391317124896</v>
      </c>
      <c r="AM43">
        <v>2.9725000556742199E-2</v>
      </c>
      <c r="AN43">
        <v>-2.9013936978426601E-2</v>
      </c>
      <c r="AO43">
        <v>4.4783850284042401E-2</v>
      </c>
      <c r="AP43">
        <v>1.0531698727261601E-3</v>
      </c>
    </row>
    <row r="44" spans="1:42" x14ac:dyDescent="0.2">
      <c r="A44">
        <v>150</v>
      </c>
      <c r="B44">
        <v>768</v>
      </c>
      <c r="C44">
        <v>125</v>
      </c>
      <c r="D44">
        <v>0.46923161888296799</v>
      </c>
      <c r="E44">
        <v>0.36896548584296701</v>
      </c>
      <c r="F44">
        <v>3.53595561682766</v>
      </c>
      <c r="G44">
        <v>-4.8440842942316955</v>
      </c>
      <c r="H44">
        <v>-4.0995259331680138</v>
      </c>
      <c r="I44">
        <v>0.71513073146393902</v>
      </c>
      <c r="J44">
        <v>0.41807990829974601</v>
      </c>
      <c r="K44">
        <v>0.104346752568684</v>
      </c>
      <c r="L44">
        <v>4.4262757584413663E-5</v>
      </c>
      <c r="M44">
        <v>9.0472704300958952E-7</v>
      </c>
      <c r="N44" s="1">
        <v>4.3070033840359998E-10</v>
      </c>
      <c r="O44" s="1">
        <v>1.05666367056556E-13</v>
      </c>
      <c r="P44" s="1">
        <v>8.1578467406884904E-13</v>
      </c>
      <c r="Q44">
        <v>50.634865482001601</v>
      </c>
      <c r="R44">
        <v>1.3763853605419801E-2</v>
      </c>
      <c r="S44">
        <v>1.7300331438329599</v>
      </c>
      <c r="T44">
        <v>0.54203173501831503</v>
      </c>
      <c r="V44">
        <v>29.703289998613599</v>
      </c>
      <c r="X44">
        <v>17.047255843795998</v>
      </c>
      <c r="AA44">
        <v>0.314844666337457</v>
      </c>
      <c r="AB44">
        <v>1.3915276794521401E-2</v>
      </c>
      <c r="AJ44">
        <v>-0.99212777389457896</v>
      </c>
      <c r="AK44">
        <v>0.98594897347529398</v>
      </c>
      <c r="AL44">
        <v>0.95807312151324098</v>
      </c>
      <c r="AM44">
        <v>3.1333596263820498E-2</v>
      </c>
      <c r="AN44">
        <v>-3.05351808795657E-2</v>
      </c>
      <c r="AO44">
        <v>4.6266680313258299E-2</v>
      </c>
      <c r="AP44">
        <v>1.0405832085295401E-3</v>
      </c>
    </row>
    <row r="45" spans="1:42" x14ac:dyDescent="0.2">
      <c r="A45">
        <v>151</v>
      </c>
      <c r="B45">
        <v>767</v>
      </c>
      <c r="C45">
        <v>125</v>
      </c>
      <c r="D45">
        <v>0.46865404028265401</v>
      </c>
      <c r="E45">
        <v>0.40265592034179198</v>
      </c>
      <c r="F45">
        <v>3.5352372635148499</v>
      </c>
      <c r="G45">
        <v>-5.290492059260143</v>
      </c>
      <c r="H45">
        <v>-4.4790105546237946</v>
      </c>
      <c r="I45">
        <v>0.78015815472417305</v>
      </c>
      <c r="J45">
        <v>0.45646478589612099</v>
      </c>
      <c r="K45">
        <v>0.11389784909131</v>
      </c>
      <c r="L45">
        <v>4.4246340302453388E-5</v>
      </c>
      <c r="M45">
        <v>9.0426676761616523E-7</v>
      </c>
      <c r="N45" s="1">
        <v>4.7351415571372395E-10</v>
      </c>
      <c r="O45" s="1">
        <v>1.16420663175176E-13</v>
      </c>
      <c r="P45" s="1">
        <v>7.6437778729853503E-13</v>
      </c>
      <c r="Q45">
        <v>50.619101142901897</v>
      </c>
      <c r="R45">
        <v>1.4983304826700201E-2</v>
      </c>
      <c r="S45">
        <v>1.7991220738415801</v>
      </c>
      <c r="T45">
        <v>0.54365718084213299</v>
      </c>
      <c r="V45">
        <v>29.6072208963351</v>
      </c>
      <c r="X45">
        <v>17.1025042827848</v>
      </c>
      <c r="AA45">
        <v>0.29964664602149399</v>
      </c>
      <c r="AB45">
        <v>1.37644724460937E-2</v>
      </c>
      <c r="AJ45">
        <v>-0.99078328777534697</v>
      </c>
      <c r="AK45">
        <v>0.98659516639528799</v>
      </c>
      <c r="AL45">
        <v>0.954484380511196</v>
      </c>
      <c r="AM45">
        <v>3.2904384867934601E-2</v>
      </c>
      <c r="AN45">
        <v>-3.2035677414296297E-2</v>
      </c>
      <c r="AO45">
        <v>4.78062555399969E-2</v>
      </c>
      <c r="AP45">
        <v>1.0287778752273899E-3</v>
      </c>
    </row>
    <row r="46" spans="1:42" x14ac:dyDescent="0.2">
      <c r="A46">
        <v>152</v>
      </c>
      <c r="B46">
        <v>766</v>
      </c>
      <c r="C46">
        <v>125</v>
      </c>
      <c r="D46">
        <v>0.46807535004571499</v>
      </c>
      <c r="E46">
        <v>0.424885805745018</v>
      </c>
      <c r="F46">
        <v>3.5350101234297302</v>
      </c>
      <c r="G46">
        <v>-5.5851168654580015</v>
      </c>
      <c r="H46">
        <v>-4.7300219154948708</v>
      </c>
      <c r="I46">
        <v>0.82287922817988701</v>
      </c>
      <c r="J46">
        <v>0.48180787893527699</v>
      </c>
      <c r="K46">
        <v>0.120193660246943</v>
      </c>
      <c r="L46">
        <v>4.4233786915056657E-5</v>
      </c>
      <c r="M46">
        <v>9.0394899945578664E-7</v>
      </c>
      <c r="N46" s="1">
        <v>5.0350504580702998E-10</v>
      </c>
      <c r="O46" s="1">
        <v>1.2385203629617601E-13</v>
      </c>
      <c r="P46" s="1">
        <v>6.77087481159384E-13</v>
      </c>
      <c r="Q46">
        <v>50.594760025794898</v>
      </c>
      <c r="R46">
        <v>1.6017852157645601E-2</v>
      </c>
      <c r="S46">
        <v>1.8664818232639999</v>
      </c>
      <c r="T46">
        <v>0.54632345214125899</v>
      </c>
      <c r="V46">
        <v>29.545474697717701</v>
      </c>
      <c r="X46">
        <v>17.132017275641001</v>
      </c>
      <c r="AA46">
        <v>0.28530350912122598</v>
      </c>
      <c r="AB46">
        <v>1.3621364162239699E-2</v>
      </c>
      <c r="AJ46">
        <v>-0.99065947048139802</v>
      </c>
      <c r="AK46">
        <v>0.98720252580127099</v>
      </c>
      <c r="AL46">
        <v>0.95217678582472998</v>
      </c>
      <c r="AM46">
        <v>3.4419768254064897E-2</v>
      </c>
      <c r="AN46">
        <v>-3.3491388525834401E-2</v>
      </c>
      <c r="AO46">
        <v>4.9334036220918698E-2</v>
      </c>
      <c r="AP46">
        <v>1.0177429062463599E-3</v>
      </c>
    </row>
    <row r="47" spans="1:42" x14ac:dyDescent="0.2">
      <c r="A47">
        <v>153</v>
      </c>
      <c r="B47">
        <v>765</v>
      </c>
      <c r="C47">
        <v>125</v>
      </c>
      <c r="D47">
        <v>0.46749554495978501</v>
      </c>
      <c r="E47">
        <v>0.44091368577669299</v>
      </c>
      <c r="F47">
        <v>3.5350681103721202</v>
      </c>
      <c r="G47">
        <v>-5.7973438239910733</v>
      </c>
      <c r="H47">
        <v>-4.911264487412959</v>
      </c>
      <c r="I47">
        <v>0.85351763866311603</v>
      </c>
      <c r="J47">
        <v>0.50008015773969505</v>
      </c>
      <c r="K47">
        <v>0.12472565506815</v>
      </c>
      <c r="L47">
        <v>4.4223356777258189E-5</v>
      </c>
      <c r="M47">
        <v>9.0371768707501559E-7</v>
      </c>
      <c r="N47" s="1">
        <v>5.2663478979130803E-10</v>
      </c>
      <c r="O47" s="1">
        <v>1.2944349783564101E-13</v>
      </c>
      <c r="P47" s="1">
        <v>5.7270881285519704E-13</v>
      </c>
      <c r="Q47">
        <v>50.565855249439103</v>
      </c>
      <c r="R47">
        <v>1.6928992101447399E-2</v>
      </c>
      <c r="S47">
        <v>1.9318929866316801</v>
      </c>
      <c r="T47">
        <v>0.54943415376454297</v>
      </c>
      <c r="V47">
        <v>29.504263876360501</v>
      </c>
      <c r="X47">
        <v>17.1460723637495</v>
      </c>
      <c r="AA47">
        <v>0.27206670154683499</v>
      </c>
      <c r="AB47">
        <v>1.34856764062666E-2</v>
      </c>
      <c r="AJ47">
        <v>-0.99121778215300604</v>
      </c>
      <c r="AK47">
        <v>0.98776193280662705</v>
      </c>
      <c r="AL47">
        <v>0.95063567021145201</v>
      </c>
      <c r="AM47">
        <v>3.5883515223309501E-2</v>
      </c>
      <c r="AN47">
        <v>-3.4902546466323001E-2</v>
      </c>
      <c r="AO47">
        <v>5.0831831315793302E-2</v>
      </c>
      <c r="AP47">
        <v>1.00737906214542E-3</v>
      </c>
    </row>
    <row r="48" spans="1:42" x14ac:dyDescent="0.2">
      <c r="A48">
        <v>154</v>
      </c>
      <c r="B48">
        <v>764</v>
      </c>
      <c r="C48">
        <v>125</v>
      </c>
      <c r="D48">
        <v>0.46691462180012799</v>
      </c>
      <c r="E48">
        <v>0.453207098293053</v>
      </c>
      <c r="F48">
        <v>3.5353051420180299</v>
      </c>
      <c r="G48">
        <v>-5.9598342908206812</v>
      </c>
      <c r="H48">
        <v>-5.0503840164237364</v>
      </c>
      <c r="I48">
        <v>0.87687439077948504</v>
      </c>
      <c r="J48">
        <v>0.51408824173218004</v>
      </c>
      <c r="K48">
        <v>0.12819461972505999</v>
      </c>
      <c r="L48">
        <v>4.421414082036197E-5</v>
      </c>
      <c r="M48">
        <v>9.0354253385642933E-7</v>
      </c>
      <c r="N48" s="1">
        <v>5.4571978835757297E-10</v>
      </c>
      <c r="O48" s="1">
        <v>1.3390187136032199E-13</v>
      </c>
      <c r="P48" s="1">
        <v>4.5950106828744804E-13</v>
      </c>
      <c r="Q48">
        <v>50.534337882347401</v>
      </c>
      <c r="R48">
        <v>1.7752623600922501E-2</v>
      </c>
      <c r="S48">
        <v>1.9955091365295801</v>
      </c>
      <c r="T48">
        <v>0.55271986855999</v>
      </c>
      <c r="V48">
        <v>29.476321619392301</v>
      </c>
      <c r="X48">
        <v>17.150098208918202</v>
      </c>
      <c r="AA48">
        <v>0.259904073066349</v>
      </c>
      <c r="AB48">
        <v>1.3356587585138999E-2</v>
      </c>
      <c r="AJ48">
        <v>-0.99218820306038602</v>
      </c>
      <c r="AK48">
        <v>0.98827543488700798</v>
      </c>
      <c r="AL48">
        <v>0.949589908349324</v>
      </c>
      <c r="AM48">
        <v>3.7303185864925897E-2</v>
      </c>
      <c r="AN48">
        <v>-3.6274648437265598E-2</v>
      </c>
      <c r="AO48">
        <v>5.2296739065884001E-2</v>
      </c>
      <c r="AP48">
        <v>9.9758333050906003E-4</v>
      </c>
    </row>
    <row r="49" spans="1:42" x14ac:dyDescent="0.2">
      <c r="A49">
        <v>155</v>
      </c>
      <c r="B49">
        <v>763</v>
      </c>
      <c r="C49">
        <v>125</v>
      </c>
      <c r="D49">
        <v>0.46633257732954098</v>
      </c>
      <c r="E49">
        <v>0.46307171305387901</v>
      </c>
      <c r="F49">
        <v>3.5356617686313601</v>
      </c>
      <c r="G49">
        <v>-6.0899124465745906</v>
      </c>
      <c r="H49">
        <v>-5.1620490402388342</v>
      </c>
      <c r="I49">
        <v>0.89549139249698995</v>
      </c>
      <c r="J49">
        <v>0.52531926489709801</v>
      </c>
      <c r="K49">
        <v>0.130971722793815</v>
      </c>
      <c r="L49">
        <v>4.4205626822691152E-5</v>
      </c>
      <c r="M49">
        <v>9.0340584011312814E-7</v>
      </c>
      <c r="N49" s="1">
        <v>5.6226040120579101E-10</v>
      </c>
      <c r="O49" s="1">
        <v>1.3760654775311599E-13</v>
      </c>
      <c r="P49" s="1">
        <v>3.4147619887009501E-13</v>
      </c>
      <c r="Q49">
        <v>50.501238337377899</v>
      </c>
      <c r="R49">
        <v>1.8511152070975E-2</v>
      </c>
      <c r="S49">
        <v>2.0575613099680101</v>
      </c>
      <c r="T49">
        <v>0.55604971761389199</v>
      </c>
      <c r="V49">
        <v>29.457484490245999</v>
      </c>
      <c r="X49">
        <v>17.147209321521199</v>
      </c>
      <c r="AA49">
        <v>0.24871243597864201</v>
      </c>
      <c r="AB49">
        <v>1.3233235223182699E-2</v>
      </c>
      <c r="AJ49">
        <v>-0.99342320602749301</v>
      </c>
      <c r="AK49">
        <v>0.98874773109608705</v>
      </c>
      <c r="AL49">
        <v>0.94888419299750204</v>
      </c>
      <c r="AM49">
        <v>3.8686078540827902E-2</v>
      </c>
      <c r="AN49">
        <v>-3.7613705830036502E-2</v>
      </c>
      <c r="AO49">
        <v>5.3730641868313098E-2</v>
      </c>
      <c r="AP49">
        <v>9.8826735479976197E-4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295AA-BCC6-493F-8156-738C9F2C195B}">
  <sheetPr codeName="Sheet9"/>
  <dimension ref="A1:AL121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17</v>
      </c>
      <c r="B2">
        <v>741</v>
      </c>
      <c r="C2">
        <v>275</v>
      </c>
      <c r="D2">
        <v>0.29053936794360102</v>
      </c>
      <c r="E2">
        <v>0.76779888170980304</v>
      </c>
      <c r="F2">
        <v>2.59294350923913</v>
      </c>
      <c r="G2">
        <v>-12.429157494031875</v>
      </c>
      <c r="H2">
        <v>-10.810203475439867</v>
      </c>
      <c r="I2">
        <v>1.59636544750974</v>
      </c>
      <c r="J2">
        <v>0.94145310257155801</v>
      </c>
      <c r="K2">
        <v>0.29611091756299202</v>
      </c>
      <c r="L2">
        <v>3.122910492455427E-5</v>
      </c>
      <c r="M2">
        <v>1.7691874562361993E-6</v>
      </c>
      <c r="N2" s="1">
        <v>-1.7569820283943599E-8</v>
      </c>
      <c r="O2" s="1">
        <v>2.4897277456995401E-12</v>
      </c>
      <c r="P2" s="1">
        <v>5.7295487213544699E-11</v>
      </c>
      <c r="Q2">
        <v>63.331621822140399</v>
      </c>
      <c r="S2">
        <v>22.780386704572301</v>
      </c>
      <c r="AA2">
        <v>4.0164841303113503</v>
      </c>
      <c r="AB2">
        <v>8.5177917797953295</v>
      </c>
      <c r="AC2">
        <v>1.3537155631805</v>
      </c>
      <c r="AJ2">
        <v>0.732527623622094</v>
      </c>
      <c r="AK2">
        <v>0.190877102078397</v>
      </c>
      <c r="AL2">
        <v>7.6595274299507493E-2</v>
      </c>
    </row>
    <row r="3" spans="1:38" x14ac:dyDescent="0.2">
      <c r="A3">
        <v>18</v>
      </c>
      <c r="B3">
        <v>740</v>
      </c>
      <c r="C3">
        <v>275</v>
      </c>
      <c r="D3">
        <v>0.28977002418201098</v>
      </c>
      <c r="E3">
        <v>1.64890974088697</v>
      </c>
      <c r="F3">
        <v>2.5917606656158001</v>
      </c>
      <c r="G3">
        <v>-26.682477071912651</v>
      </c>
      <c r="H3">
        <v>-23.210323989656956</v>
      </c>
      <c r="I3">
        <v>3.4270868896567102</v>
      </c>
      <c r="J3">
        <v>2.02313545278728</v>
      </c>
      <c r="K3">
        <v>0.63621219457591704</v>
      </c>
      <c r="L3">
        <v>3.1339586626597572E-5</v>
      </c>
      <c r="M3">
        <v>1.7720850771039209E-6</v>
      </c>
      <c r="N3" s="1">
        <v>-3.9034303980343497E-8</v>
      </c>
      <c r="O3" s="1">
        <v>5.3508931471280102E-12</v>
      </c>
      <c r="P3" s="1">
        <v>1.2674070211722299E-10</v>
      </c>
      <c r="Q3">
        <v>63.452930485920703</v>
      </c>
      <c r="S3">
        <v>22.6819261074148</v>
      </c>
      <c r="AA3">
        <v>3.9069474112030802</v>
      </c>
      <c r="AB3">
        <v>8.5299943765198503</v>
      </c>
      <c r="AC3">
        <v>1.4282016189414</v>
      </c>
      <c r="AJ3">
        <v>0.73353421021652498</v>
      </c>
      <c r="AK3">
        <v>0.18566070021876599</v>
      </c>
      <c r="AL3">
        <v>8.0805089564707805E-2</v>
      </c>
    </row>
    <row r="4" spans="1:38" x14ac:dyDescent="0.2">
      <c r="A4">
        <v>19</v>
      </c>
      <c r="B4">
        <v>739</v>
      </c>
      <c r="C4">
        <v>275</v>
      </c>
      <c r="D4">
        <v>0.28899916020352701</v>
      </c>
      <c r="E4">
        <v>13.8750788098312</v>
      </c>
      <c r="F4">
        <v>2.5899972992526701</v>
      </c>
      <c r="G4">
        <v>-224.43810053271554</v>
      </c>
      <c r="H4">
        <v>-195.25612677480811</v>
      </c>
      <c r="I4">
        <v>28.831668979802799</v>
      </c>
      <c r="J4">
        <v>17.039870253090498</v>
      </c>
      <c r="K4">
        <v>5.3571788718987401</v>
      </c>
      <c r="L4">
        <v>3.1509349860254224E-5</v>
      </c>
      <c r="M4">
        <v>1.7769037802357092E-6</v>
      </c>
      <c r="N4" s="1">
        <v>-3.4152085689314901E-7</v>
      </c>
      <c r="O4" s="1">
        <v>4.5101642077075703E-11</v>
      </c>
      <c r="P4" s="1">
        <v>1.10359536799425E-9</v>
      </c>
      <c r="Q4">
        <v>63.652924489226102</v>
      </c>
      <c r="S4">
        <v>22.531303337143999</v>
      </c>
      <c r="AA4">
        <v>3.73601621689768</v>
      </c>
      <c r="AB4">
        <v>8.5807931150746093</v>
      </c>
      <c r="AC4">
        <v>1.49896284165755</v>
      </c>
      <c r="AJ4">
        <v>0.73771879046194599</v>
      </c>
      <c r="AK4">
        <v>0.17749370599999301</v>
      </c>
      <c r="AL4">
        <v>8.4787503538059195E-2</v>
      </c>
    </row>
    <row r="5" spans="1:38" x14ac:dyDescent="0.2">
      <c r="A5">
        <v>20</v>
      </c>
      <c r="B5">
        <v>738</v>
      </c>
      <c r="C5">
        <v>275</v>
      </c>
      <c r="D5">
        <v>0.28822677149780002</v>
      </c>
      <c r="E5">
        <v>18.195983305905202</v>
      </c>
      <c r="F5">
        <v>2.5896604755932802</v>
      </c>
      <c r="G5">
        <v>-294.28482878372012</v>
      </c>
      <c r="H5">
        <v>-256.07161092405181</v>
      </c>
      <c r="I5">
        <v>37.791838856419098</v>
      </c>
      <c r="J5">
        <v>22.363088645409199</v>
      </c>
      <c r="K5">
        <v>7.0263972738498097</v>
      </c>
      <c r="L5">
        <v>3.1608905177209384E-5</v>
      </c>
      <c r="M5">
        <v>1.7784007377794721E-6</v>
      </c>
      <c r="N5" s="1">
        <v>-4.6379429315627499E-7</v>
      </c>
      <c r="O5" s="1">
        <v>5.9071888653587895E-11</v>
      </c>
      <c r="P5" s="1">
        <v>1.49248429996601E-9</v>
      </c>
      <c r="Q5">
        <v>63.704753585530597</v>
      </c>
      <c r="S5">
        <v>22.495052911661698</v>
      </c>
      <c r="AA5">
        <v>3.6940156336266101</v>
      </c>
      <c r="AB5">
        <v>8.6012562739453795</v>
      </c>
      <c r="AC5">
        <v>1.5049215952356501</v>
      </c>
      <c r="AJ5">
        <v>0.73940344096895105</v>
      </c>
      <c r="AK5">
        <v>0.175480595334187</v>
      </c>
      <c r="AL5">
        <v>8.5115963696860406E-2</v>
      </c>
    </row>
    <row r="6" spans="1:38" x14ac:dyDescent="0.2">
      <c r="A6">
        <v>21</v>
      </c>
      <c r="B6">
        <v>737</v>
      </c>
      <c r="C6">
        <v>275</v>
      </c>
      <c r="D6">
        <v>0.28745285353660599</v>
      </c>
      <c r="E6">
        <v>19.526058167123299</v>
      </c>
      <c r="F6">
        <v>2.5896297398877799</v>
      </c>
      <c r="G6">
        <v>-315.75703258762911</v>
      </c>
      <c r="H6">
        <v>-274.81375568749655</v>
      </c>
      <c r="I6">
        <v>40.531878335031898</v>
      </c>
      <c r="J6">
        <v>24.014499261377999</v>
      </c>
      <c r="K6">
        <v>7.5400965112369498</v>
      </c>
      <c r="L6">
        <v>3.1690358055926728E-5</v>
      </c>
      <c r="M6">
        <v>1.7790926904379607E-6</v>
      </c>
      <c r="N6" s="1">
        <v>-5.1464509174625403E-7</v>
      </c>
      <c r="O6" s="1">
        <v>6.3267839244072298E-11</v>
      </c>
      <c r="P6" s="1">
        <v>1.6496585543123401E-9</v>
      </c>
      <c r="Q6">
        <v>63.721593111947698</v>
      </c>
      <c r="S6">
        <v>22.484325004764699</v>
      </c>
      <c r="AA6">
        <v>3.6812357273132199</v>
      </c>
      <c r="AB6">
        <v>8.6106576530131402</v>
      </c>
      <c r="AC6">
        <v>1.5021885029611299</v>
      </c>
      <c r="AJ6">
        <v>0.74017720144195598</v>
      </c>
      <c r="AK6">
        <v>0.17486536551718801</v>
      </c>
      <c r="AL6">
        <v>8.4957433040854693E-2</v>
      </c>
    </row>
    <row r="7" spans="1:38" x14ac:dyDescent="0.2">
      <c r="A7">
        <v>22</v>
      </c>
      <c r="B7">
        <v>736</v>
      </c>
      <c r="C7">
        <v>275</v>
      </c>
      <c r="D7">
        <v>0.28667740177377199</v>
      </c>
      <c r="E7">
        <v>20.2255998548995</v>
      </c>
      <c r="F7">
        <v>2.5896692712883098</v>
      </c>
      <c r="G7">
        <v>-327.03136794179073</v>
      </c>
      <c r="H7">
        <v>-284.68735755850042</v>
      </c>
      <c r="I7">
        <v>41.960075690720203</v>
      </c>
      <c r="J7">
        <v>24.892344064794599</v>
      </c>
      <c r="K7">
        <v>7.8101092209499301</v>
      </c>
      <c r="L7">
        <v>3.1769462880585499E-5</v>
      </c>
      <c r="M7">
        <v>1.779605880827212E-6</v>
      </c>
      <c r="N7" s="1">
        <v>-5.5106119621635695E-7</v>
      </c>
      <c r="O7" s="1">
        <v>6.5394760416767702E-11</v>
      </c>
      <c r="P7" s="1">
        <v>1.75970538751542E-9</v>
      </c>
      <c r="Q7">
        <v>63.730431773553697</v>
      </c>
      <c r="S7">
        <v>22.4794348487953</v>
      </c>
      <c r="AA7">
        <v>3.6751389177137601</v>
      </c>
      <c r="AB7">
        <v>8.6175339568547304</v>
      </c>
      <c r="AC7">
        <v>1.49746050308234</v>
      </c>
      <c r="AJ7">
        <v>0.74074304364922305</v>
      </c>
      <c r="AK7">
        <v>0.174569805641896</v>
      </c>
      <c r="AL7">
        <v>8.4687150708879597E-2</v>
      </c>
    </row>
    <row r="8" spans="1:38" x14ac:dyDescent="0.2">
      <c r="A8">
        <v>23</v>
      </c>
      <c r="B8">
        <v>735</v>
      </c>
      <c r="C8">
        <v>275</v>
      </c>
      <c r="D8">
        <v>0.285900411645091</v>
      </c>
      <c r="E8">
        <v>20.659785842351798</v>
      </c>
      <c r="F8">
        <v>2.58972777710698</v>
      </c>
      <c r="G8">
        <v>-334.01370881589878</v>
      </c>
      <c r="H8">
        <v>-290.82838144994884</v>
      </c>
      <c r="I8">
        <v>42.836212236224803</v>
      </c>
      <c r="J8">
        <v>25.445100486945801</v>
      </c>
      <c r="K8">
        <v>7.9775897779615796</v>
      </c>
      <c r="L8">
        <v>3.1849701969319979E-5</v>
      </c>
      <c r="M8">
        <v>1.7800762686300813E-6</v>
      </c>
      <c r="N8" s="1">
        <v>-5.8182563463666798E-7</v>
      </c>
      <c r="O8" s="1">
        <v>6.6648776927383399E-11</v>
      </c>
      <c r="P8" s="1">
        <v>1.85108399531433E-9</v>
      </c>
      <c r="Q8">
        <v>63.7371263373335</v>
      </c>
      <c r="S8">
        <v>22.476107345080099</v>
      </c>
      <c r="AA8">
        <v>3.67083160814034</v>
      </c>
      <c r="AB8">
        <v>8.6237289496953107</v>
      </c>
      <c r="AC8">
        <v>1.49220575975064</v>
      </c>
      <c r="AJ8">
        <v>0.74125276973296605</v>
      </c>
      <c r="AK8">
        <v>0.17435984898941601</v>
      </c>
      <c r="AL8">
        <v>8.4387381277617093E-2</v>
      </c>
    </row>
    <row r="9" spans="1:38" x14ac:dyDescent="0.2">
      <c r="A9">
        <v>24</v>
      </c>
      <c r="B9">
        <v>734</v>
      </c>
      <c r="C9">
        <v>275</v>
      </c>
      <c r="D9">
        <v>0.28512187856823701</v>
      </c>
      <c r="E9">
        <v>20.967229346910099</v>
      </c>
      <c r="F9">
        <v>2.5897961774462201</v>
      </c>
      <c r="G9">
        <v>-338.94597602011072</v>
      </c>
      <c r="H9">
        <v>-295.18677822071601</v>
      </c>
      <c r="I9">
        <v>43.448540733152697</v>
      </c>
      <c r="J9">
        <v>25.843016623850399</v>
      </c>
      <c r="K9">
        <v>8.0960924761213207</v>
      </c>
      <c r="L9">
        <v>3.1931753064953986E-5</v>
      </c>
      <c r="M9">
        <v>1.780528057651511E-6</v>
      </c>
      <c r="N9" s="1">
        <v>-6.1031599956257802E-7</v>
      </c>
      <c r="O9" s="1">
        <v>6.7482421401420196E-11</v>
      </c>
      <c r="P9" s="1">
        <v>1.9347169560941799E-9</v>
      </c>
      <c r="Q9">
        <v>63.742712445186697</v>
      </c>
      <c r="S9">
        <v>22.473586123871598</v>
      </c>
      <c r="AA9">
        <v>3.6674481329275199</v>
      </c>
      <c r="AB9">
        <v>8.6295675823518003</v>
      </c>
      <c r="AC9">
        <v>1.4866857156622799</v>
      </c>
      <c r="AJ9">
        <v>0.74173313492516002</v>
      </c>
      <c r="AK9">
        <v>0.174194090259506</v>
      </c>
      <c r="AL9">
        <v>8.4072774815332596E-2</v>
      </c>
    </row>
    <row r="10" spans="1:38" x14ac:dyDescent="0.2">
      <c r="A10">
        <v>35</v>
      </c>
      <c r="B10">
        <v>747</v>
      </c>
      <c r="C10">
        <v>250</v>
      </c>
      <c r="D10">
        <v>0.32208057638582899</v>
      </c>
      <c r="E10">
        <v>8.1811896591415301E-2</v>
      </c>
      <c r="F10">
        <v>2.59223935436057</v>
      </c>
      <c r="G10">
        <v>-1.3265724951844773</v>
      </c>
      <c r="H10">
        <v>-1.1524385524753404</v>
      </c>
      <c r="I10">
        <v>0.17069444955068999</v>
      </c>
      <c r="J10">
        <v>9.9995911399590104E-2</v>
      </c>
      <c r="K10">
        <v>3.15603173193841E-2</v>
      </c>
      <c r="L10">
        <v>3.0842860210750132E-5</v>
      </c>
      <c r="M10">
        <v>1.7679140634236324E-6</v>
      </c>
      <c r="N10" s="1">
        <v>-1.5144765041695601E-9</v>
      </c>
      <c r="O10" s="1">
        <v>2.6775145011098899E-13</v>
      </c>
      <c r="P10" s="1">
        <v>5.0838991296867299E-12</v>
      </c>
      <c r="Q10">
        <v>63.266581442171301</v>
      </c>
      <c r="S10">
        <v>22.845000667283198</v>
      </c>
      <c r="AA10">
        <v>4.0849675946486697</v>
      </c>
      <c r="AB10">
        <v>8.5422466839947404</v>
      </c>
      <c r="AC10">
        <v>1.26120361190204</v>
      </c>
      <c r="AJ10">
        <v>0.73454022997600299</v>
      </c>
      <c r="AK10">
        <v>0.19410775369597499</v>
      </c>
      <c r="AL10">
        <v>7.1352016328020601E-2</v>
      </c>
    </row>
    <row r="11" spans="1:38" x14ac:dyDescent="0.2">
      <c r="A11">
        <v>36</v>
      </c>
      <c r="B11">
        <v>746</v>
      </c>
      <c r="C11">
        <v>250</v>
      </c>
      <c r="D11">
        <v>0.32134671049404001</v>
      </c>
      <c r="E11">
        <v>0.93799032608686805</v>
      </c>
      <c r="F11">
        <v>2.59115693488654</v>
      </c>
      <c r="G11">
        <v>-15.204176877569001</v>
      </c>
      <c r="H11">
        <v>-13.210365237546441</v>
      </c>
      <c r="I11">
        <v>1.9563475837929201</v>
      </c>
      <c r="J11">
        <v>1.1470853117733</v>
      </c>
      <c r="K11">
        <v>0.361996725654881</v>
      </c>
      <c r="L11">
        <v>3.0942331018998314E-5</v>
      </c>
      <c r="M11">
        <v>1.7706875483088551E-6</v>
      </c>
      <c r="N11" s="1">
        <v>-1.79669334720395E-8</v>
      </c>
      <c r="O11" s="1">
        <v>3.0725766458337501E-12</v>
      </c>
      <c r="P11" s="1">
        <v>6.0008412215812697E-11</v>
      </c>
      <c r="Q11">
        <v>63.382080038168603</v>
      </c>
      <c r="S11">
        <v>22.752875445227701</v>
      </c>
      <c r="AA11">
        <v>3.9820133247571099</v>
      </c>
      <c r="AB11">
        <v>8.5581108656731804</v>
      </c>
      <c r="AC11">
        <v>1.32492032617327</v>
      </c>
      <c r="AJ11">
        <v>0.73584789792847405</v>
      </c>
      <c r="AK11">
        <v>0.189201094595977</v>
      </c>
      <c r="AL11">
        <v>7.4951007475548503E-2</v>
      </c>
    </row>
    <row r="12" spans="1:38" x14ac:dyDescent="0.2">
      <c r="A12">
        <v>37</v>
      </c>
      <c r="B12">
        <v>745</v>
      </c>
      <c r="C12">
        <v>250</v>
      </c>
      <c r="D12">
        <v>0.32061140303491598</v>
      </c>
      <c r="E12">
        <v>1.80343717686936</v>
      </c>
      <c r="F12">
        <v>2.5900471055303198</v>
      </c>
      <c r="G12">
        <v>-29.221889146864214</v>
      </c>
      <c r="H12">
        <v>-25.393627325582212</v>
      </c>
      <c r="I12">
        <v>3.7600175035918002</v>
      </c>
      <c r="J12">
        <v>2.2066216147385802</v>
      </c>
      <c r="K12">
        <v>0.69629512645489</v>
      </c>
      <c r="L12">
        <v>3.1040274642100329E-5</v>
      </c>
      <c r="M12">
        <v>1.7734146580870471E-6</v>
      </c>
      <c r="N12" s="1">
        <v>-3.5727655861793899E-8</v>
      </c>
      <c r="O12" s="1">
        <v>5.9128372412559401E-12</v>
      </c>
      <c r="P12" s="1">
        <v>1.18747656954979E-10</v>
      </c>
      <c r="Q12">
        <v>63.496694682380898</v>
      </c>
      <c r="S12">
        <v>22.660096600520799</v>
      </c>
      <c r="AA12">
        <v>3.87872606755016</v>
      </c>
      <c r="AB12">
        <v>8.5702916514366301</v>
      </c>
      <c r="AC12">
        <v>1.39419099811141</v>
      </c>
      <c r="AJ12">
        <v>0.73685219517240097</v>
      </c>
      <c r="AK12">
        <v>0.18428274787952201</v>
      </c>
      <c r="AL12">
        <v>7.8865056948076107E-2</v>
      </c>
    </row>
    <row r="13" spans="1:38" x14ac:dyDescent="0.2">
      <c r="A13">
        <v>38</v>
      </c>
      <c r="B13">
        <v>744</v>
      </c>
      <c r="C13">
        <v>250</v>
      </c>
      <c r="D13">
        <v>0.31987464975667701</v>
      </c>
      <c r="E13">
        <v>2.6808421422386099</v>
      </c>
      <c r="F13">
        <v>2.5889015179791302</v>
      </c>
      <c r="G13">
        <v>-43.422269844283861</v>
      </c>
      <c r="H13">
        <v>-37.739204889043869</v>
      </c>
      <c r="I13">
        <v>5.5872437253502296</v>
      </c>
      <c r="J13">
        <v>3.2818906484891399</v>
      </c>
      <c r="K13">
        <v>1.03551337261034</v>
      </c>
      <c r="L13">
        <v>3.1136390879299327E-5</v>
      </c>
      <c r="M13">
        <v>1.7760977583540788E-6</v>
      </c>
      <c r="N13" s="1">
        <v>-5.4900693287456997E-8</v>
      </c>
      <c r="O13" s="1">
        <v>8.7976364233909992E-12</v>
      </c>
      <c r="P13" s="1">
        <v>1.8161768375016599E-10</v>
      </c>
      <c r="Q13">
        <v>63.610730276931299</v>
      </c>
      <c r="S13">
        <v>22.5662248689545</v>
      </c>
      <c r="AA13">
        <v>3.77467228081637</v>
      </c>
      <c r="AB13">
        <v>8.5783169110890096</v>
      </c>
      <c r="AC13">
        <v>1.4700556622087699</v>
      </c>
      <c r="AJ13">
        <v>0.73751437899675598</v>
      </c>
      <c r="AK13">
        <v>0.17933227079096301</v>
      </c>
      <c r="AL13">
        <v>8.3153350212279403E-2</v>
      </c>
    </row>
    <row r="14" spans="1:38" x14ac:dyDescent="0.2">
      <c r="A14">
        <v>39</v>
      </c>
      <c r="B14">
        <v>743</v>
      </c>
      <c r="C14">
        <v>250</v>
      </c>
      <c r="D14">
        <v>0.31913644639078897</v>
      </c>
      <c r="E14">
        <v>8.7447332696636</v>
      </c>
      <c r="F14">
        <v>2.5878292280761501</v>
      </c>
      <c r="G14">
        <v>-141.58848934220148</v>
      </c>
      <c r="H14">
        <v>-123.07623021402145</v>
      </c>
      <c r="I14">
        <v>18.218037817428499</v>
      </c>
      <c r="J14">
        <v>10.7110116905433</v>
      </c>
      <c r="K14">
        <v>3.3791771013285201</v>
      </c>
      <c r="L14">
        <v>3.1230555113341772E-5</v>
      </c>
      <c r="M14">
        <v>1.7785998667713081E-6</v>
      </c>
      <c r="N14" s="1">
        <v>-1.85095787308647E-7</v>
      </c>
      <c r="O14" s="1">
        <v>2.8717407552905801E-11</v>
      </c>
      <c r="P14" s="1">
        <v>6.0952940019645599E-10</v>
      </c>
      <c r="Q14">
        <v>63.716710995658801</v>
      </c>
      <c r="S14">
        <v>22.478719991115799</v>
      </c>
      <c r="AA14">
        <v>3.6777507087553398</v>
      </c>
      <c r="AB14">
        <v>8.5850838466498303</v>
      </c>
      <c r="AC14">
        <v>1.54173445782013</v>
      </c>
      <c r="AJ14">
        <v>0.73807284233464399</v>
      </c>
      <c r="AK14">
        <v>0.17472206854570799</v>
      </c>
      <c r="AL14">
        <v>8.7205089119647194E-2</v>
      </c>
    </row>
    <row r="15" spans="1:38" x14ac:dyDescent="0.2">
      <c r="A15">
        <v>40</v>
      </c>
      <c r="B15">
        <v>742</v>
      </c>
      <c r="C15">
        <v>250</v>
      </c>
      <c r="D15">
        <v>0.318396788651924</v>
      </c>
      <c r="E15">
        <v>17.5319003738975</v>
      </c>
      <c r="F15">
        <v>2.5879073813942401</v>
      </c>
      <c r="G15">
        <v>-283.83230132732984</v>
      </c>
      <c r="H15">
        <v>-246.77558418204555</v>
      </c>
      <c r="I15">
        <v>36.503686297871504</v>
      </c>
      <c r="J15">
        <v>21.485799070593199</v>
      </c>
      <c r="K15">
        <v>6.77454707225733</v>
      </c>
      <c r="L15">
        <v>3.1292964973080803E-5</v>
      </c>
      <c r="M15">
        <v>1.7789667166435964E-6</v>
      </c>
      <c r="N15" s="1">
        <v>-3.8346488883732602E-7</v>
      </c>
      <c r="O15" s="1">
        <v>5.7472939870118401E-11</v>
      </c>
      <c r="P15" s="1">
        <v>1.2572844969729901E-9</v>
      </c>
      <c r="Q15">
        <v>63.720997528749798</v>
      </c>
      <c r="S15">
        <v>22.4771658754883</v>
      </c>
      <c r="AA15">
        <v>3.6754683435537099</v>
      </c>
      <c r="AB15">
        <v>8.5905618396421399</v>
      </c>
      <c r="AC15">
        <v>1.5358064125659501</v>
      </c>
      <c r="AJ15">
        <v>0.73852369613742996</v>
      </c>
      <c r="AK15">
        <v>0.17460888657342799</v>
      </c>
      <c r="AL15">
        <v>8.6867417289140894E-2</v>
      </c>
    </row>
    <row r="16" spans="1:38" x14ac:dyDescent="0.2">
      <c r="A16">
        <v>41</v>
      </c>
      <c r="B16">
        <v>741</v>
      </c>
      <c r="C16">
        <v>250</v>
      </c>
      <c r="D16">
        <v>0.31765567223783697</v>
      </c>
      <c r="E16">
        <v>19.130805970669499</v>
      </c>
      <c r="F16">
        <v>2.5880226590808499</v>
      </c>
      <c r="G16">
        <v>-309.68442976321114</v>
      </c>
      <c r="H16">
        <v>-269.31133818845842</v>
      </c>
      <c r="I16">
        <v>39.809783143275403</v>
      </c>
      <c r="J16">
        <v>23.458437825007501</v>
      </c>
      <c r="K16">
        <v>7.3920550515828696</v>
      </c>
      <c r="L16">
        <v>3.1354877772401854E-5</v>
      </c>
      <c r="M16">
        <v>1.7792420810733699E-6</v>
      </c>
      <c r="N16" s="1">
        <v>-4.3233372453564602E-7</v>
      </c>
      <c r="O16" s="1">
        <v>6.2595914673123305E-11</v>
      </c>
      <c r="P16" s="1">
        <v>1.41151876232987E-9</v>
      </c>
      <c r="Q16">
        <v>63.721089683978903</v>
      </c>
      <c r="S16">
        <v>22.4786768410363</v>
      </c>
      <c r="AA16">
        <v>3.6766934024389499</v>
      </c>
      <c r="AB16">
        <v>8.59472839525192</v>
      </c>
      <c r="AC16">
        <v>1.52881167729386</v>
      </c>
      <c r="AJ16">
        <v>0.738866551593931</v>
      </c>
      <c r="AK16">
        <v>0.17466345864066701</v>
      </c>
      <c r="AL16">
        <v>8.6469989765400906E-2</v>
      </c>
    </row>
    <row r="17" spans="1:38" x14ac:dyDescent="0.2">
      <c r="A17">
        <v>42</v>
      </c>
      <c r="B17">
        <v>740</v>
      </c>
      <c r="C17">
        <v>250</v>
      </c>
      <c r="D17">
        <v>0.31691309282929903</v>
      </c>
      <c r="E17">
        <v>19.886325169248</v>
      </c>
      <c r="F17">
        <v>2.58812990538883</v>
      </c>
      <c r="G17">
        <v>-321.87964688637976</v>
      </c>
      <c r="H17">
        <v>-279.97773768533119</v>
      </c>
      <c r="I17">
        <v>41.358050832599801</v>
      </c>
      <c r="J17">
        <v>24.399062116519101</v>
      </c>
      <c r="K17">
        <v>7.6836657726654503</v>
      </c>
      <c r="L17">
        <v>3.1419258173342648E-5</v>
      </c>
      <c r="M17">
        <v>1.7795442758745173E-6</v>
      </c>
      <c r="N17" s="1">
        <v>-4.64368586842016E-7</v>
      </c>
      <c r="O17" s="1">
        <v>6.4941891475698694E-11</v>
      </c>
      <c r="P17" s="1">
        <v>1.5098263516615E-9</v>
      </c>
      <c r="Q17">
        <v>63.722100285389402</v>
      </c>
      <c r="S17">
        <v>22.479511020107601</v>
      </c>
      <c r="AA17">
        <v>3.6771457986907201</v>
      </c>
      <c r="AB17">
        <v>8.5991673751949502</v>
      </c>
      <c r="AC17">
        <v>1.52207552061729</v>
      </c>
      <c r="AJ17">
        <v>0.73923182205826798</v>
      </c>
      <c r="AK17">
        <v>0.17468108950560099</v>
      </c>
      <c r="AL17">
        <v>8.6087088436129194E-2</v>
      </c>
    </row>
    <row r="18" spans="1:38" x14ac:dyDescent="0.2">
      <c r="A18">
        <v>43</v>
      </c>
      <c r="B18">
        <v>739</v>
      </c>
      <c r="C18">
        <v>250</v>
      </c>
      <c r="D18">
        <v>0.31616904609000601</v>
      </c>
      <c r="E18">
        <v>20.3465760596564</v>
      </c>
      <c r="F18">
        <v>2.5882318342469302</v>
      </c>
      <c r="G18">
        <v>-329.2933235727246</v>
      </c>
      <c r="H18">
        <v>-286.48870399373652</v>
      </c>
      <c r="I18">
        <v>42.290786522736802</v>
      </c>
      <c r="J18">
        <v>24.978837818169001</v>
      </c>
      <c r="K18">
        <v>7.8611876225440396</v>
      </c>
      <c r="L18">
        <v>3.1486005646759959E-5</v>
      </c>
      <c r="M18">
        <v>1.7798664827266224E-6</v>
      </c>
      <c r="N18" s="1">
        <v>-4.9096229767749397E-7</v>
      </c>
      <c r="O18" s="1">
        <v>6.6312527146463695E-11</v>
      </c>
      <c r="P18" s="1">
        <v>1.5898126019946401E-9</v>
      </c>
      <c r="Q18">
        <v>63.723724837208003</v>
      </c>
      <c r="S18">
        <v>22.479891792705502</v>
      </c>
      <c r="AA18">
        <v>3.6770808730250302</v>
      </c>
      <c r="AB18">
        <v>8.6037858466872592</v>
      </c>
      <c r="AC18">
        <v>1.51551665037403</v>
      </c>
      <c r="AJ18">
        <v>0.73961185372809202</v>
      </c>
      <c r="AK18">
        <v>0.174673990923599</v>
      </c>
      <c r="AL18">
        <v>8.5714155348307702E-2</v>
      </c>
    </row>
    <row r="19" spans="1:38" x14ac:dyDescent="0.2">
      <c r="A19">
        <v>44</v>
      </c>
      <c r="B19">
        <v>738</v>
      </c>
      <c r="C19">
        <v>250</v>
      </c>
      <c r="D19">
        <v>0.31542352766652099</v>
      </c>
      <c r="E19">
        <v>20.675270266748999</v>
      </c>
      <c r="F19">
        <v>2.58833847872374</v>
      </c>
      <c r="G19">
        <v>-334.57664443622855</v>
      </c>
      <c r="H19">
        <v>-291.14871596487012</v>
      </c>
      <c r="I19">
        <v>42.949046601748897</v>
      </c>
      <c r="J19">
        <v>25.3982131853531</v>
      </c>
      <c r="K19">
        <v>7.9878541530409199</v>
      </c>
      <c r="L19">
        <v>3.1554533897704316E-5</v>
      </c>
      <c r="M19">
        <v>1.7801825236061134E-6</v>
      </c>
      <c r="N19" s="1">
        <v>-5.15537486505409E-7</v>
      </c>
      <c r="O19" s="1">
        <v>6.7244412693153397E-11</v>
      </c>
      <c r="P19" s="1">
        <v>1.6627625439999899E-9</v>
      </c>
      <c r="Q19">
        <v>63.7248240961326</v>
      </c>
      <c r="S19">
        <v>22.4806519668556</v>
      </c>
      <c r="AA19">
        <v>3.6774515274401298</v>
      </c>
      <c r="AB19">
        <v>8.6082283816245901</v>
      </c>
      <c r="AC19">
        <v>1.50884402794693</v>
      </c>
      <c r="AJ19">
        <v>0.73997738505917499</v>
      </c>
      <c r="AK19">
        <v>0.17468773504507901</v>
      </c>
      <c r="AL19">
        <v>8.53348798957453E-2</v>
      </c>
    </row>
    <row r="20" spans="1:38" x14ac:dyDescent="0.2">
      <c r="A20">
        <v>45</v>
      </c>
      <c r="B20">
        <v>737</v>
      </c>
      <c r="C20">
        <v>250</v>
      </c>
      <c r="D20">
        <v>0.31467653318814098</v>
      </c>
      <c r="E20">
        <v>20.916938200479098</v>
      </c>
      <c r="F20">
        <v>2.5884365403122098</v>
      </c>
      <c r="G20">
        <v>-338.45033652291642</v>
      </c>
      <c r="H20">
        <v>-294.58369123655064</v>
      </c>
      <c r="I20">
        <v>43.425872678677102</v>
      </c>
      <c r="J20">
        <v>25.7117517443343</v>
      </c>
      <c r="K20">
        <v>8.0809159794800998</v>
      </c>
      <c r="L20">
        <v>3.1625793152136352E-5</v>
      </c>
      <c r="M20">
        <v>1.7805276967714323E-6</v>
      </c>
      <c r="N20" s="1">
        <v>-5.3899880312490098E-7</v>
      </c>
      <c r="O20" s="1">
        <v>6.7886108383783396E-11</v>
      </c>
      <c r="P20" s="1">
        <v>1.73166813399171E-9</v>
      </c>
      <c r="Q20">
        <v>63.7269124784981</v>
      </c>
      <c r="S20">
        <v>22.480685196330601</v>
      </c>
      <c r="AA20">
        <v>3.67699164662233</v>
      </c>
      <c r="AB20">
        <v>8.6129693451405398</v>
      </c>
      <c r="AC20">
        <v>1.5024413334082101</v>
      </c>
      <c r="AJ20">
        <v>0.74036746684618604</v>
      </c>
      <c r="AK20">
        <v>0.174661770770693</v>
      </c>
      <c r="AL20">
        <v>8.4970762383119805E-2</v>
      </c>
    </row>
    <row r="21" spans="1:38" x14ac:dyDescent="0.2">
      <c r="A21">
        <v>51</v>
      </c>
      <c r="B21">
        <v>752</v>
      </c>
      <c r="C21">
        <v>225</v>
      </c>
      <c r="D21">
        <v>0.35255377261864101</v>
      </c>
      <c r="E21">
        <v>0.48894684488432</v>
      </c>
      <c r="F21">
        <v>2.59006407622757</v>
      </c>
      <c r="G21">
        <v>-7.9380054089070624</v>
      </c>
      <c r="H21">
        <v>-6.8888765628900126</v>
      </c>
      <c r="I21">
        <v>1.02339057310349</v>
      </c>
      <c r="J21">
        <v>0.59640404292326199</v>
      </c>
      <c r="K21">
        <v>0.18877789525441799</v>
      </c>
      <c r="L21">
        <v>3.0628063974581748E-5</v>
      </c>
      <c r="M21">
        <v>1.7703928174505219E-6</v>
      </c>
      <c r="N21" s="1">
        <v>-7.5946393409570907E-9</v>
      </c>
      <c r="O21" s="1">
        <v>1.6148246592295399E-12</v>
      </c>
      <c r="P21" s="1">
        <v>2.62012719721114E-11</v>
      </c>
      <c r="Q21">
        <v>63.354447941371603</v>
      </c>
      <c r="S21">
        <v>22.786808073898001</v>
      </c>
      <c r="AA21">
        <v>4.0164556628849901</v>
      </c>
      <c r="AB21">
        <v>8.5854930171366508</v>
      </c>
      <c r="AC21">
        <v>1.25679530470867</v>
      </c>
      <c r="AJ21">
        <v>0.73810114147572103</v>
      </c>
      <c r="AK21">
        <v>0.19081143829693101</v>
      </c>
      <c r="AL21">
        <v>7.1087420227347001E-2</v>
      </c>
    </row>
    <row r="22" spans="1:38" x14ac:dyDescent="0.2">
      <c r="A22">
        <v>52</v>
      </c>
      <c r="B22">
        <v>751</v>
      </c>
      <c r="C22">
        <v>225</v>
      </c>
      <c r="D22">
        <v>0.35185324415369101</v>
      </c>
      <c r="E22">
        <v>1.3326256324039301</v>
      </c>
      <c r="F22">
        <v>2.58903667864534</v>
      </c>
      <c r="G22">
        <v>-21.627779441429499</v>
      </c>
      <c r="H22">
        <v>-18.772207713330754</v>
      </c>
      <c r="I22">
        <v>2.78823583273812</v>
      </c>
      <c r="J22">
        <v>1.6262085563727</v>
      </c>
      <c r="K22">
        <v>0.51471871503234001</v>
      </c>
      <c r="L22">
        <v>3.0715886726062917E-5</v>
      </c>
      <c r="M22">
        <v>1.7729950825191799E-6</v>
      </c>
      <c r="N22" s="1">
        <v>-2.1408537569221799E-8</v>
      </c>
      <c r="O22" s="1">
        <v>4.4057227048034502E-12</v>
      </c>
      <c r="P22" s="1">
        <v>7.3441921193660596E-11</v>
      </c>
      <c r="Q22">
        <v>63.463570496692597</v>
      </c>
      <c r="S22">
        <v>22.699540678521799</v>
      </c>
      <c r="AA22">
        <v>3.9189969116697698</v>
      </c>
      <c r="AB22">
        <v>8.5998839582379194</v>
      </c>
      <c r="AC22">
        <v>1.3180079548777299</v>
      </c>
      <c r="AJ22">
        <v>0.73928694340909795</v>
      </c>
      <c r="AK22">
        <v>0.18616848156767199</v>
      </c>
      <c r="AL22">
        <v>7.4544575023229004E-2</v>
      </c>
    </row>
    <row r="23" spans="1:38" x14ac:dyDescent="0.2">
      <c r="A23">
        <v>53</v>
      </c>
      <c r="B23">
        <v>750</v>
      </c>
      <c r="C23">
        <v>225</v>
      </c>
      <c r="D23">
        <v>0.35115134633240402</v>
      </c>
      <c r="E23">
        <v>2.1836317613210001</v>
      </c>
      <c r="F23">
        <v>2.5879868334946399</v>
      </c>
      <c r="G23">
        <v>-35.426698943749173</v>
      </c>
      <c r="H23">
        <v>-30.753888655577043</v>
      </c>
      <c r="I23">
        <v>4.5670823321821103</v>
      </c>
      <c r="J23">
        <v>2.6658414777080299</v>
      </c>
      <c r="K23">
        <v>0.84375690519737601</v>
      </c>
      <c r="L23">
        <v>3.0802128790546445E-5</v>
      </c>
      <c r="M23">
        <v>1.7755481719610342E-6</v>
      </c>
      <c r="N23" s="1">
        <v>-3.62658653823015E-8</v>
      </c>
      <c r="O23" s="1">
        <v>7.2265886535356703E-12</v>
      </c>
      <c r="P23" s="1">
        <v>1.23732710196868E-10</v>
      </c>
      <c r="Q23">
        <v>63.5715900236614</v>
      </c>
      <c r="S23">
        <v>22.611896712469701</v>
      </c>
      <c r="AA23">
        <v>3.82148486237771</v>
      </c>
      <c r="AB23">
        <v>8.6108296308136296</v>
      </c>
      <c r="AC23">
        <v>1.3841987706774199</v>
      </c>
      <c r="AJ23">
        <v>0.74018911971415102</v>
      </c>
      <c r="AK23">
        <v>0.18152675085735001</v>
      </c>
      <c r="AL23">
        <v>7.8284129428497704E-2</v>
      </c>
    </row>
    <row r="24" spans="1:38" x14ac:dyDescent="0.2">
      <c r="A24">
        <v>54</v>
      </c>
      <c r="B24">
        <v>749</v>
      </c>
      <c r="C24">
        <v>225</v>
      </c>
      <c r="D24">
        <v>0.350448075135744</v>
      </c>
      <c r="E24">
        <v>3.0442283802258601</v>
      </c>
      <c r="F24">
        <v>2.5869077365191799</v>
      </c>
      <c r="G24">
        <v>-49.370595843390213</v>
      </c>
      <c r="H24">
        <v>-42.865019254982563</v>
      </c>
      <c r="I24">
        <v>6.3646006832731397</v>
      </c>
      <c r="J24">
        <v>3.71805306286939</v>
      </c>
      <c r="K24">
        <v>1.1767827422875199</v>
      </c>
      <c r="L24">
        <v>3.0886552073000666E-5</v>
      </c>
      <c r="M24">
        <v>1.7780538283559181E-6</v>
      </c>
      <c r="N24" s="1">
        <v>-5.2242530882786098E-8</v>
      </c>
      <c r="O24" s="1">
        <v>1.00851368293474E-11</v>
      </c>
      <c r="P24" s="1">
        <v>1.7730712243424799E-10</v>
      </c>
      <c r="Q24">
        <v>63.678746405754701</v>
      </c>
      <c r="S24">
        <v>22.523521940899801</v>
      </c>
      <c r="AA24">
        <v>3.7235712941073902</v>
      </c>
      <c r="AB24">
        <v>8.6179359296381897</v>
      </c>
      <c r="AC24">
        <v>1.4562244295997999</v>
      </c>
      <c r="AJ24">
        <v>0.740775343379104</v>
      </c>
      <c r="AK24">
        <v>0.17686981492672699</v>
      </c>
      <c r="AL24">
        <v>8.2354841694168304E-2</v>
      </c>
    </row>
    <row r="25" spans="1:38" x14ac:dyDescent="0.2">
      <c r="A25">
        <v>55</v>
      </c>
      <c r="B25">
        <v>748</v>
      </c>
      <c r="C25">
        <v>225</v>
      </c>
      <c r="D25">
        <v>0.34974342652891699</v>
      </c>
      <c r="E25">
        <v>3.9173816306749698</v>
      </c>
      <c r="F25">
        <v>2.5857903561437801</v>
      </c>
      <c r="G25">
        <v>-63.506429974774136</v>
      </c>
      <c r="H25">
        <v>-55.146356876669792</v>
      </c>
      <c r="I25">
        <v>8.1869197454872804</v>
      </c>
      <c r="J25">
        <v>4.7864419756138901</v>
      </c>
      <c r="K25">
        <v>1.51496490091215</v>
      </c>
      <c r="L25">
        <v>3.0968841876844583E-5</v>
      </c>
      <c r="M25">
        <v>1.7805145840474401E-6</v>
      </c>
      <c r="N25" s="1">
        <v>-6.9428000306191496E-8</v>
      </c>
      <c r="O25" s="1">
        <v>1.29916679290732E-11</v>
      </c>
      <c r="P25" s="1">
        <v>2.3444304512881501E-10</v>
      </c>
      <c r="Q25">
        <v>63.785367217643397</v>
      </c>
      <c r="S25">
        <v>22.433941906740699</v>
      </c>
      <c r="AA25">
        <v>3.6247883398455301</v>
      </c>
      <c r="AB25">
        <v>8.6206889864055007</v>
      </c>
      <c r="AC25">
        <v>1.5352135493647601</v>
      </c>
      <c r="AJ25">
        <v>0.741003411515885</v>
      </c>
      <c r="AK25">
        <v>0.172175626852345</v>
      </c>
      <c r="AL25">
        <v>8.6820961631769E-2</v>
      </c>
    </row>
    <row r="26" spans="1:38" x14ac:dyDescent="0.2">
      <c r="A26">
        <v>56</v>
      </c>
      <c r="B26">
        <v>747</v>
      </c>
      <c r="C26">
        <v>225</v>
      </c>
      <c r="D26">
        <v>0.34903739646130499</v>
      </c>
      <c r="E26">
        <v>9.5818962530652492</v>
      </c>
      <c r="F26">
        <v>2.58511812158341</v>
      </c>
      <c r="G26">
        <v>-155.28315740167571</v>
      </c>
      <c r="H26">
        <v>-134.86448883228402</v>
      </c>
      <c r="I26">
        <v>20.015359083852001</v>
      </c>
      <c r="J26">
        <v>11.7113992039215</v>
      </c>
      <c r="K26">
        <v>3.70656032042212</v>
      </c>
      <c r="L26">
        <v>3.1022964096053244E-5</v>
      </c>
      <c r="M26">
        <v>1.7817717506147639E-6</v>
      </c>
      <c r="N26" s="1">
        <v>-1.74982912908327E-7</v>
      </c>
      <c r="O26" s="1">
        <v>3.17825214749562E-11</v>
      </c>
      <c r="P26" s="1">
        <v>5.8816040013859399E-10</v>
      </c>
      <c r="Q26">
        <v>63.840156204861898</v>
      </c>
      <c r="S26">
        <v>22.381933620070999</v>
      </c>
      <c r="AA26">
        <v>3.5690967096668098</v>
      </c>
      <c r="AB26">
        <v>8.6064368217107798</v>
      </c>
      <c r="AC26">
        <v>1.6023766436893601</v>
      </c>
      <c r="AJ26">
        <v>0.73983169857242304</v>
      </c>
      <c r="AK26">
        <v>0.169542528677364</v>
      </c>
      <c r="AL26">
        <v>9.0625772750212802E-2</v>
      </c>
    </row>
    <row r="27" spans="1:38" x14ac:dyDescent="0.2">
      <c r="A27">
        <v>57</v>
      </c>
      <c r="B27">
        <v>746</v>
      </c>
      <c r="C27">
        <v>225</v>
      </c>
      <c r="D27">
        <v>0.34832998086640898</v>
      </c>
      <c r="E27">
        <v>17.345465349069599</v>
      </c>
      <c r="F27">
        <v>2.5860800748020498</v>
      </c>
      <c r="G27">
        <v>-281.09641906991567</v>
      </c>
      <c r="H27">
        <v>-244.19751391812173</v>
      </c>
      <c r="I27">
        <v>36.205568514736697</v>
      </c>
      <c r="J27">
        <v>21.206410816850799</v>
      </c>
      <c r="K27">
        <v>6.7072421763263899</v>
      </c>
      <c r="L27">
        <v>3.1023163728029985E-5</v>
      </c>
      <c r="M27">
        <v>1.7798468155712754E-6</v>
      </c>
      <c r="N27" s="1">
        <v>-3.2592796242556701E-7</v>
      </c>
      <c r="O27" s="1">
        <v>5.73494788654514E-11</v>
      </c>
      <c r="P27" s="1">
        <v>1.0909285113132299E-9</v>
      </c>
      <c r="Q27">
        <v>63.745729102094302</v>
      </c>
      <c r="S27">
        <v>22.4529724253746</v>
      </c>
      <c r="AA27">
        <v>3.6497377249510601</v>
      </c>
      <c r="AB27">
        <v>8.58224854995008</v>
      </c>
      <c r="AC27">
        <v>1.5693121976299</v>
      </c>
      <c r="AJ27">
        <v>0.73783994314869805</v>
      </c>
      <c r="AK27">
        <v>0.17339378270446101</v>
      </c>
      <c r="AL27">
        <v>8.8766274146840504E-2</v>
      </c>
    </row>
    <row r="28" spans="1:38" x14ac:dyDescent="0.2">
      <c r="A28">
        <v>58</v>
      </c>
      <c r="B28">
        <v>745</v>
      </c>
      <c r="C28">
        <v>225</v>
      </c>
      <c r="D28">
        <v>0.347621175661739</v>
      </c>
      <c r="E28">
        <v>18.922934656332899</v>
      </c>
      <c r="F28">
        <v>2.5863885690316999</v>
      </c>
      <c r="G28">
        <v>-306.63439122925223</v>
      </c>
      <c r="H28">
        <v>-266.44387230482721</v>
      </c>
      <c r="I28">
        <v>39.474064651009101</v>
      </c>
      <c r="J28">
        <v>23.145045154516801</v>
      </c>
      <c r="K28">
        <v>7.3163541174392499</v>
      </c>
      <c r="L28">
        <v>3.1064710870462707E-5</v>
      </c>
      <c r="M28">
        <v>1.7795969495943725E-6</v>
      </c>
      <c r="N28" s="1">
        <v>-3.6697301478997801E-7</v>
      </c>
      <c r="O28" s="1">
        <v>6.2440246970284506E-11</v>
      </c>
      <c r="P28" s="1">
        <v>1.22273042285173E-9</v>
      </c>
      <c r="Q28">
        <v>63.724072495025098</v>
      </c>
      <c r="S28">
        <v>22.470458627755601</v>
      </c>
      <c r="AA28">
        <v>3.6692172941545902</v>
      </c>
      <c r="AB28">
        <v>8.5798303151806206</v>
      </c>
      <c r="AC28">
        <v>1.55642126788396</v>
      </c>
      <c r="AJ28">
        <v>0.73764060932589504</v>
      </c>
      <c r="AK28">
        <v>0.17432125393485401</v>
      </c>
      <c r="AL28">
        <v>8.8038136739249997E-2</v>
      </c>
    </row>
    <row r="29" spans="1:38" x14ac:dyDescent="0.2">
      <c r="A29">
        <v>59</v>
      </c>
      <c r="B29">
        <v>744</v>
      </c>
      <c r="C29">
        <v>225</v>
      </c>
      <c r="D29">
        <v>0.34691097674876298</v>
      </c>
      <c r="E29">
        <v>19.662492443770599</v>
      </c>
      <c r="F29">
        <v>2.5865868102840301</v>
      </c>
      <c r="G29">
        <v>-318.58724038292331</v>
      </c>
      <c r="H29">
        <v>-276.8916546999576</v>
      </c>
      <c r="I29">
        <v>40.992563223679497</v>
      </c>
      <c r="J29">
        <v>24.060999396307299</v>
      </c>
      <c r="K29">
        <v>7.6017137200245397</v>
      </c>
      <c r="L29">
        <v>3.1114694655030032E-5</v>
      </c>
      <c r="M29">
        <v>1.7796358791174474E-6</v>
      </c>
      <c r="N29" s="1">
        <v>-3.9376579003665301E-7</v>
      </c>
      <c r="O29" s="1">
        <v>6.4761484489946904E-11</v>
      </c>
      <c r="P29" s="1">
        <v>1.3060689105447201E-9</v>
      </c>
      <c r="Q29">
        <v>63.714762642137202</v>
      </c>
      <c r="S29">
        <v>22.478870680547701</v>
      </c>
      <c r="AA29">
        <v>3.6783296507381702</v>
      </c>
      <c r="AB29">
        <v>8.5811370972300498</v>
      </c>
      <c r="AC29">
        <v>1.5468999293468499</v>
      </c>
      <c r="AJ29">
        <v>0.73774801575595905</v>
      </c>
      <c r="AK29">
        <v>0.17475300313244099</v>
      </c>
      <c r="AL29">
        <v>8.7498981111598303E-2</v>
      </c>
    </row>
    <row r="30" spans="1:38" x14ac:dyDescent="0.2">
      <c r="A30">
        <v>60</v>
      </c>
      <c r="B30">
        <v>743</v>
      </c>
      <c r="C30">
        <v>225</v>
      </c>
      <c r="D30">
        <v>0.34619938001279399</v>
      </c>
      <c r="E30">
        <v>20.110827023810799</v>
      </c>
      <c r="F30">
        <v>2.5867428592063701</v>
      </c>
      <c r="G30">
        <v>-325.81798164171317</v>
      </c>
      <c r="H30">
        <v>-283.23847597164513</v>
      </c>
      <c r="I30">
        <v>41.902775840247998</v>
      </c>
      <c r="J30">
        <v>24.621926248083799</v>
      </c>
      <c r="K30">
        <v>7.7745752548364697</v>
      </c>
      <c r="L30">
        <v>3.116900323400736E-5</v>
      </c>
      <c r="M30">
        <v>1.7797888656980219E-6</v>
      </c>
      <c r="N30" s="1">
        <v>-4.15996191131956E-7</v>
      </c>
      <c r="O30" s="1">
        <v>6.6118301083696495E-11</v>
      </c>
      <c r="P30" s="1">
        <v>1.37365797140951E-9</v>
      </c>
      <c r="Q30">
        <v>63.710191901894703</v>
      </c>
      <c r="S30">
        <v>22.483799321401602</v>
      </c>
      <c r="AA30">
        <v>3.6834623496574199</v>
      </c>
      <c r="AB30">
        <v>8.5838725204384403</v>
      </c>
      <c r="AC30">
        <v>1.5386739066077999</v>
      </c>
      <c r="AJ30">
        <v>0.73797306094755299</v>
      </c>
      <c r="AK30">
        <v>0.17499444983683801</v>
      </c>
      <c r="AL30">
        <v>8.7032489215607703E-2</v>
      </c>
    </row>
    <row r="31" spans="1:38" x14ac:dyDescent="0.2">
      <c r="A31">
        <v>61</v>
      </c>
      <c r="B31">
        <v>742</v>
      </c>
      <c r="C31">
        <v>225</v>
      </c>
      <c r="D31">
        <v>0.345486381322956</v>
      </c>
      <c r="E31">
        <v>20.421788431141302</v>
      </c>
      <c r="F31">
        <v>2.5868775896449998</v>
      </c>
      <c r="G31">
        <v>-330.82104346429401</v>
      </c>
      <c r="H31">
        <v>-287.65079288413875</v>
      </c>
      <c r="I31">
        <v>42.525981953558798</v>
      </c>
      <c r="J31">
        <v>25.015704121689001</v>
      </c>
      <c r="K31">
        <v>7.8943775742955502</v>
      </c>
      <c r="L31">
        <v>3.1226414587146835E-5</v>
      </c>
      <c r="M31">
        <v>1.7800023328136053E-6</v>
      </c>
      <c r="N31" s="1">
        <v>-4.3639174973151401E-7</v>
      </c>
      <c r="O31" s="1">
        <v>6.7018089878756804E-11</v>
      </c>
      <c r="P31" s="1">
        <v>1.43470338817168E-9</v>
      </c>
      <c r="Q31">
        <v>63.708023886851201</v>
      </c>
      <c r="S31">
        <v>22.486960651973099</v>
      </c>
      <c r="AA31">
        <v>3.68657635642009</v>
      </c>
      <c r="AB31">
        <v>8.5873290542527894</v>
      </c>
      <c r="AC31">
        <v>1.53111005050267</v>
      </c>
      <c r="AJ31">
        <v>0.73825747709886003</v>
      </c>
      <c r="AK31">
        <v>0.175139365991586</v>
      </c>
      <c r="AL31">
        <v>8.6603156909553197E-2</v>
      </c>
    </row>
    <row r="32" spans="1:38" x14ac:dyDescent="0.2">
      <c r="A32">
        <v>62</v>
      </c>
      <c r="B32">
        <v>741</v>
      </c>
      <c r="C32">
        <v>225</v>
      </c>
      <c r="D32">
        <v>0.34477197653207198</v>
      </c>
      <c r="E32">
        <v>20.6561732673668</v>
      </c>
      <c r="F32">
        <v>2.5869997555401301</v>
      </c>
      <c r="G32">
        <v>-334.58219565855507</v>
      </c>
      <c r="H32">
        <v>-290.98476126328637</v>
      </c>
      <c r="I32">
        <v>42.989138091277098</v>
      </c>
      <c r="J32">
        <v>25.316580584209898</v>
      </c>
      <c r="K32">
        <v>7.9846058056754998</v>
      </c>
      <c r="L32">
        <v>3.1286452828034427E-5</v>
      </c>
      <c r="M32">
        <v>1.7802539015847311E-6</v>
      </c>
      <c r="N32" s="1">
        <v>-4.5603760560858798E-7</v>
      </c>
      <c r="O32" s="1">
        <v>6.7661152479839403E-11</v>
      </c>
      <c r="P32" s="1">
        <v>1.49286178957333E-9</v>
      </c>
      <c r="Q32">
        <v>63.707278402325102</v>
      </c>
      <c r="S32">
        <v>22.489074465637199</v>
      </c>
      <c r="AA32">
        <v>3.6884942229594802</v>
      </c>
      <c r="AB32">
        <v>8.5912094192926407</v>
      </c>
      <c r="AC32">
        <v>1.52394348978544</v>
      </c>
      <c r="AJ32">
        <v>0.73857678097465596</v>
      </c>
      <c r="AK32">
        <v>0.175227087618159</v>
      </c>
      <c r="AL32">
        <v>8.6196131407184406E-2</v>
      </c>
    </row>
    <row r="33" spans="1:38" x14ac:dyDescent="0.2">
      <c r="A33">
        <v>64</v>
      </c>
      <c r="B33">
        <v>759</v>
      </c>
      <c r="C33">
        <v>200</v>
      </c>
      <c r="D33">
        <v>0.38406287845759102</v>
      </c>
      <c r="E33">
        <v>9.1533159948151005E-2</v>
      </c>
      <c r="F33">
        <v>2.5888030280099601</v>
      </c>
      <c r="G33">
        <v>-1.4884996742476246</v>
      </c>
      <c r="H33">
        <v>-1.2899545536773751</v>
      </c>
      <c r="I33">
        <v>0.19236072331565099</v>
      </c>
      <c r="J33">
        <v>0.111392524578292</v>
      </c>
      <c r="K33">
        <v>3.5357328834134297E-2</v>
      </c>
      <c r="L33">
        <v>3.0331570013906035E-5</v>
      </c>
      <c r="M33">
        <v>1.770081301797918E-6</v>
      </c>
      <c r="N33" s="1">
        <v>-1.1183862735226599E-9</v>
      </c>
      <c r="O33" s="1">
        <v>3.0461808138240602E-13</v>
      </c>
      <c r="P33" s="1">
        <v>4.0304601907234298E-12</v>
      </c>
      <c r="Q33">
        <v>63.329092132896797</v>
      </c>
      <c r="S33">
        <v>22.815630570214498</v>
      </c>
      <c r="AA33">
        <v>4.0461509487363703</v>
      </c>
      <c r="AB33">
        <v>8.6045508787486291</v>
      </c>
      <c r="AC33">
        <v>1.20457546940357</v>
      </c>
      <c r="AJ33">
        <v>0.73966893406286205</v>
      </c>
      <c r="AK33">
        <v>0.19220383246646799</v>
      </c>
      <c r="AL33">
        <v>6.8127233470669304E-2</v>
      </c>
    </row>
    <row r="34" spans="1:38" x14ac:dyDescent="0.2">
      <c r="A34">
        <v>65</v>
      </c>
      <c r="B34">
        <v>758</v>
      </c>
      <c r="C34">
        <v>200</v>
      </c>
      <c r="D34">
        <v>0.383397662803666</v>
      </c>
      <c r="E34">
        <v>0.47505887059465302</v>
      </c>
      <c r="F34">
        <v>2.5883165455396901</v>
      </c>
      <c r="G34">
        <v>-7.7237135171161517</v>
      </c>
      <c r="H34">
        <v>-6.6947157136510205</v>
      </c>
      <c r="I34">
        <v>0.99791281914864904</v>
      </c>
      <c r="J34">
        <v>0.57832886891630797</v>
      </c>
      <c r="K34">
        <v>0.183539710941962</v>
      </c>
      <c r="L34">
        <v>3.0394923660380024E-5</v>
      </c>
      <c r="M34">
        <v>1.771649450048407E-6</v>
      </c>
      <c r="N34" s="1">
        <v>-6.00218681477318E-9</v>
      </c>
      <c r="O34" s="1">
        <v>1.5812305722613101E-12</v>
      </c>
      <c r="P34" s="1">
        <v>2.1487869232337501E-11</v>
      </c>
      <c r="Q34">
        <v>63.390414822460897</v>
      </c>
      <c r="S34">
        <v>22.769174750834999</v>
      </c>
      <c r="AA34">
        <v>3.9935156108038399</v>
      </c>
      <c r="AB34">
        <v>8.6194152342791792</v>
      </c>
      <c r="AC34">
        <v>1.2274795816209001</v>
      </c>
      <c r="AJ34">
        <v>0.74089274774717395</v>
      </c>
      <c r="AK34">
        <v>0.189689685909846</v>
      </c>
      <c r="AL34">
        <v>6.9417566342978895E-2</v>
      </c>
    </row>
    <row r="35" spans="1:38" x14ac:dyDescent="0.2">
      <c r="A35">
        <v>66</v>
      </c>
      <c r="B35">
        <v>757</v>
      </c>
      <c r="C35">
        <v>200</v>
      </c>
      <c r="D35">
        <v>0.38273115565694399</v>
      </c>
      <c r="E35">
        <v>1.3014321754931599</v>
      </c>
      <c r="F35">
        <v>2.5873514911328401</v>
      </c>
      <c r="G35">
        <v>-21.152453239293514</v>
      </c>
      <c r="H35">
        <v>-18.337265926246005</v>
      </c>
      <c r="I35">
        <v>2.7327935864170398</v>
      </c>
      <c r="J35">
        <v>1.5848954503244701</v>
      </c>
      <c r="K35">
        <v>0.50299782613739497</v>
      </c>
      <c r="L35">
        <v>3.0472705338999544E-5</v>
      </c>
      <c r="M35">
        <v>1.7741077853866079E-6</v>
      </c>
      <c r="N35" s="1">
        <v>-1.70030789011002E-8</v>
      </c>
      <c r="O35" s="1">
        <v>4.3367049194515696E-12</v>
      </c>
      <c r="P35" s="1">
        <v>6.0475402515282394E-11</v>
      </c>
      <c r="Q35">
        <v>63.493823568431502</v>
      </c>
      <c r="S35">
        <v>22.6867481725894</v>
      </c>
      <c r="AA35">
        <v>3.9013838225864501</v>
      </c>
      <c r="AB35">
        <v>8.6337640890620797</v>
      </c>
      <c r="AC35">
        <v>1.2842803473304101</v>
      </c>
      <c r="AJ35">
        <v>0.74207460918214396</v>
      </c>
      <c r="AK35">
        <v>0.185300616160473</v>
      </c>
      <c r="AL35">
        <v>7.2624774657381305E-2</v>
      </c>
    </row>
    <row r="36" spans="1:38" x14ac:dyDescent="0.2">
      <c r="A36">
        <v>67</v>
      </c>
      <c r="B36">
        <v>756</v>
      </c>
      <c r="C36">
        <v>200</v>
      </c>
      <c r="D36">
        <v>0.38206335325268598</v>
      </c>
      <c r="E36">
        <v>2.1325713673817801</v>
      </c>
      <c r="F36">
        <v>2.58637043465392</v>
      </c>
      <c r="G36">
        <v>-34.649569838755262</v>
      </c>
      <c r="H36">
        <v>-30.042717226612826</v>
      </c>
      <c r="I36">
        <v>4.4763665278554496</v>
      </c>
      <c r="J36">
        <v>2.5979582222239901</v>
      </c>
      <c r="K36">
        <v>0.82454212235345703</v>
      </c>
      <c r="L36">
        <v>3.0548963462435565E-5</v>
      </c>
      <c r="M36">
        <v>1.7765151358338017E-6</v>
      </c>
      <c r="N36" s="1">
        <v>-2.8798293309279799E-8</v>
      </c>
      <c r="O36" s="1">
        <v>7.1142496793178102E-12</v>
      </c>
      <c r="P36" s="1">
        <v>1.01785461369913E-10</v>
      </c>
      <c r="Q36">
        <v>63.595904511545001</v>
      </c>
      <c r="S36">
        <v>22.604278930606299</v>
      </c>
      <c r="AA36">
        <v>3.8095266609932201</v>
      </c>
      <c r="AB36">
        <v>8.6450421578372207</v>
      </c>
      <c r="AC36">
        <v>1.3452477390181601</v>
      </c>
      <c r="AJ36">
        <v>0.74300373680492804</v>
      </c>
      <c r="AK36">
        <v>0.18092796154486401</v>
      </c>
      <c r="AL36">
        <v>7.6068301650207101E-2</v>
      </c>
    </row>
    <row r="37" spans="1:38" x14ac:dyDescent="0.2">
      <c r="A37">
        <v>68</v>
      </c>
      <c r="B37">
        <v>755</v>
      </c>
      <c r="C37">
        <v>200</v>
      </c>
      <c r="D37">
        <v>0.38139425181150599</v>
      </c>
      <c r="E37">
        <v>2.9701726360824598</v>
      </c>
      <c r="F37">
        <v>2.5853684461574802</v>
      </c>
      <c r="G37">
        <v>-48.241942651881125</v>
      </c>
      <c r="H37">
        <v>-41.834369510985113</v>
      </c>
      <c r="I37">
        <v>6.2321384437056997</v>
      </c>
      <c r="J37">
        <v>3.6195693525999602</v>
      </c>
      <c r="K37">
        <v>1.14883920723055</v>
      </c>
      <c r="L37">
        <v>3.0623531204652607E-5</v>
      </c>
      <c r="M37">
        <v>1.7788726206209768E-6</v>
      </c>
      <c r="N37" s="1">
        <v>-4.1438482489752E-8</v>
      </c>
      <c r="O37" s="1">
        <v>9.9196239027208304E-12</v>
      </c>
      <c r="P37" s="1">
        <v>1.45575599903542E-10</v>
      </c>
      <c r="Q37">
        <v>63.696824379999399</v>
      </c>
      <c r="S37">
        <v>22.521513545331501</v>
      </c>
      <c r="AA37">
        <v>3.7176960990509298</v>
      </c>
      <c r="AB37">
        <v>8.6529564558488605</v>
      </c>
      <c r="AC37">
        <v>1.4110095197691199</v>
      </c>
      <c r="AJ37">
        <v>0.74365612236176704</v>
      </c>
      <c r="AK37">
        <v>0.176559998139666</v>
      </c>
      <c r="AL37">
        <v>7.9783879498565705E-2</v>
      </c>
    </row>
    <row r="38" spans="1:38" x14ac:dyDescent="0.2">
      <c r="A38">
        <v>69</v>
      </c>
      <c r="B38">
        <v>754</v>
      </c>
      <c r="C38">
        <v>200</v>
      </c>
      <c r="D38">
        <v>0.38072384753930699</v>
      </c>
      <c r="E38">
        <v>3.8163903529319101</v>
      </c>
      <c r="F38">
        <v>2.5843391947333298</v>
      </c>
      <c r="G38">
        <v>-61.963706575045315</v>
      </c>
      <c r="H38">
        <v>-53.74181352181634</v>
      </c>
      <c r="I38">
        <v>8.0045690047500102</v>
      </c>
      <c r="J38">
        <v>4.6523324654923499</v>
      </c>
      <c r="K38">
        <v>1.47673740378561</v>
      </c>
      <c r="L38">
        <v>3.0696194917645344E-5</v>
      </c>
      <c r="M38">
        <v>1.7811818214470843E-6</v>
      </c>
      <c r="N38" s="1">
        <v>-5.4981885170713199E-8</v>
      </c>
      <c r="O38" s="1">
        <v>1.2760288681973801E-11</v>
      </c>
      <c r="P38" s="1">
        <v>1.9202874665623301E-10</v>
      </c>
      <c r="Q38">
        <v>63.796803559831602</v>
      </c>
      <c r="S38">
        <v>22.438123542147199</v>
      </c>
      <c r="AA38">
        <v>3.62556971776762</v>
      </c>
      <c r="AB38">
        <v>8.6571369626476908</v>
      </c>
      <c r="AC38">
        <v>1.4823662176057399</v>
      </c>
      <c r="AJ38">
        <v>0.744001404583153</v>
      </c>
      <c r="AK38">
        <v>0.17218151235297099</v>
      </c>
      <c r="AL38">
        <v>8.3817083063875295E-2</v>
      </c>
    </row>
    <row r="39" spans="1:38" x14ac:dyDescent="0.2">
      <c r="A39">
        <v>70</v>
      </c>
      <c r="B39">
        <v>753</v>
      </c>
      <c r="C39">
        <v>200</v>
      </c>
      <c r="D39">
        <v>0.380052136627202</v>
      </c>
      <c r="E39">
        <v>4.6740388402844202</v>
      </c>
      <c r="F39">
        <v>2.5832743618392602</v>
      </c>
      <c r="G39">
        <v>-75.859451921280183</v>
      </c>
      <c r="H39">
        <v>-65.803704716986488</v>
      </c>
      <c r="I39">
        <v>9.7994905270123294</v>
      </c>
      <c r="J39">
        <v>5.69964523697681</v>
      </c>
      <c r="K39">
        <v>1.80934666070721</v>
      </c>
      <c r="L39">
        <v>3.0766673789177017E-5</v>
      </c>
      <c r="M39">
        <v>1.7834449501608557E-6</v>
      </c>
      <c r="N39" s="1">
        <v>-6.9497113596300994E-8</v>
      </c>
      <c r="O39" s="1">
        <v>1.5646155974837502E-11</v>
      </c>
      <c r="P39" s="1">
        <v>2.4136286753166399E-10</v>
      </c>
      <c r="Q39">
        <v>63.896137664801103</v>
      </c>
      <c r="S39">
        <v>22.3536744639818</v>
      </c>
      <c r="AA39">
        <v>3.5327201081813899</v>
      </c>
      <c r="AB39">
        <v>8.6571034519504</v>
      </c>
      <c r="AC39">
        <v>1.5603643110852199</v>
      </c>
      <c r="AJ39">
        <v>0.74400013334401804</v>
      </c>
      <c r="AK39">
        <v>0.16777236503947601</v>
      </c>
      <c r="AL39">
        <v>8.8227501616504694E-2</v>
      </c>
    </row>
    <row r="40" spans="1:38" x14ac:dyDescent="0.2">
      <c r="A40">
        <v>71</v>
      </c>
      <c r="B40">
        <v>752</v>
      </c>
      <c r="C40">
        <v>200</v>
      </c>
      <c r="D40">
        <v>0.37937911525142798</v>
      </c>
      <c r="E40">
        <v>5.9682960645362604</v>
      </c>
      <c r="F40">
        <v>2.5816360933559999</v>
      </c>
      <c r="G40">
        <v>-96.813530988201407</v>
      </c>
      <c r="H40">
        <v>-83.990221697198407</v>
      </c>
      <c r="I40">
        <v>12.5087151060849</v>
      </c>
      <c r="J40">
        <v>7.27994891176637</v>
      </c>
      <c r="K40">
        <v>2.3118270153938498</v>
      </c>
      <c r="L40">
        <v>3.0846641581162277E-5</v>
      </c>
      <c r="M40">
        <v>1.7865508240888519E-6</v>
      </c>
      <c r="N40" s="1">
        <v>-9.1506000845941703E-8</v>
      </c>
      <c r="O40" s="1">
        <v>2.00243487416522E-11</v>
      </c>
      <c r="P40" s="1">
        <v>3.1608296516910899E-10</v>
      </c>
      <c r="Q40">
        <v>64.038667203501603</v>
      </c>
      <c r="S40">
        <v>22.229759366491301</v>
      </c>
      <c r="AA40">
        <v>3.3972315646104501</v>
      </c>
      <c r="AB40">
        <v>8.6498633486829295</v>
      </c>
      <c r="AC40">
        <v>1.6844785167135901</v>
      </c>
      <c r="AJ40">
        <v>0.74340685319108202</v>
      </c>
      <c r="AK40">
        <v>0.161344161654668</v>
      </c>
      <c r="AL40">
        <v>9.5248985154248803E-2</v>
      </c>
    </row>
    <row r="41" spans="1:38" x14ac:dyDescent="0.2">
      <c r="A41">
        <v>72</v>
      </c>
      <c r="B41">
        <v>751</v>
      </c>
      <c r="C41">
        <v>200</v>
      </c>
      <c r="D41">
        <v>0.378704779573308</v>
      </c>
      <c r="E41">
        <v>14.891281313115901</v>
      </c>
      <c r="F41">
        <v>2.5835189964835998</v>
      </c>
      <c r="G41">
        <v>-241.575177253194</v>
      </c>
      <c r="H41">
        <v>-209.64093263512476</v>
      </c>
      <c r="I41">
        <v>31.1812181985736</v>
      </c>
      <c r="J41">
        <v>18.164019036249101</v>
      </c>
      <c r="K41">
        <v>5.7639527069025904</v>
      </c>
      <c r="L41">
        <v>3.077993638394625E-5</v>
      </c>
      <c r="M41">
        <v>1.7821670392526066E-6</v>
      </c>
      <c r="N41" s="1">
        <v>-2.3364860323999399E-7</v>
      </c>
      <c r="O41" s="1">
        <v>4.9727697794071798E-11</v>
      </c>
      <c r="P41" s="1">
        <v>8.0398583130365502E-10</v>
      </c>
      <c r="Q41">
        <v>63.838779731301003</v>
      </c>
      <c r="S41">
        <v>22.376654412379501</v>
      </c>
      <c r="AA41">
        <v>3.5650624905544102</v>
      </c>
      <c r="AB41">
        <v>8.5895292948766802</v>
      </c>
      <c r="AC41">
        <v>1.6299740708882999</v>
      </c>
      <c r="AJ41">
        <v>0.73844047636833798</v>
      </c>
      <c r="AK41">
        <v>0.169365155713149</v>
      </c>
      <c r="AL41">
        <v>9.2194367918511697E-2</v>
      </c>
    </row>
    <row r="42" spans="1:38" x14ac:dyDescent="0.2">
      <c r="A42">
        <v>73</v>
      </c>
      <c r="B42">
        <v>750</v>
      </c>
      <c r="C42">
        <v>200</v>
      </c>
      <c r="D42">
        <v>0.37802912573913899</v>
      </c>
      <c r="E42">
        <v>17.958404231829402</v>
      </c>
      <c r="F42">
        <v>2.5844310849252898</v>
      </c>
      <c r="G42">
        <v>-291.32813601175172</v>
      </c>
      <c r="H42">
        <v>-252.88199176531376</v>
      </c>
      <c r="I42">
        <v>37.576253967099603</v>
      </c>
      <c r="J42">
        <v>21.910409100993601</v>
      </c>
      <c r="K42">
        <v>6.9486875995954396</v>
      </c>
      <c r="L42">
        <v>3.0777772373120431E-5</v>
      </c>
      <c r="M42">
        <v>1.780370646179089E-6</v>
      </c>
      <c r="N42" s="1">
        <v>-2.8993240338460699E-7</v>
      </c>
      <c r="O42" s="1">
        <v>5.9796379150646598E-11</v>
      </c>
      <c r="P42" s="1">
        <v>9.9301035361074902E-10</v>
      </c>
      <c r="Q42">
        <v>63.750582529036599</v>
      </c>
      <c r="S42">
        <v>22.443297333347498</v>
      </c>
      <c r="AA42">
        <v>3.6406231941373601</v>
      </c>
      <c r="AB42">
        <v>8.5676996400639904</v>
      </c>
      <c r="AC42">
        <v>1.5977973034144299</v>
      </c>
      <c r="AJ42">
        <v>0.73664261486302895</v>
      </c>
      <c r="AK42">
        <v>0.17297332280312999</v>
      </c>
      <c r="AL42">
        <v>9.0384062333839499E-2</v>
      </c>
    </row>
    <row r="43" spans="1:38" x14ac:dyDescent="0.2">
      <c r="A43">
        <v>74</v>
      </c>
      <c r="B43">
        <v>749</v>
      </c>
      <c r="C43">
        <v>200</v>
      </c>
      <c r="D43">
        <v>0.37735214988015597</v>
      </c>
      <c r="E43">
        <v>19.039608424557301</v>
      </c>
      <c r="F43">
        <v>2.5848325176904901</v>
      </c>
      <c r="G43">
        <v>-308.8449926265838</v>
      </c>
      <c r="H43">
        <v>-268.14948501851819</v>
      </c>
      <c r="I43">
        <v>39.813635579969201</v>
      </c>
      <c r="J43">
        <v>23.2375622140448</v>
      </c>
      <c r="K43">
        <v>7.3658963566308504</v>
      </c>
      <c r="L43">
        <v>3.0806924496014746E-5</v>
      </c>
      <c r="M43">
        <v>1.7798658101734183E-6</v>
      </c>
      <c r="N43" s="1">
        <v>-3.1704107875015099E-7</v>
      </c>
      <c r="O43" s="1">
        <v>6.3272828914770001E-11</v>
      </c>
      <c r="P43" s="1">
        <v>1.0804793320788901E-9</v>
      </c>
      <c r="Q43">
        <v>63.718680239384099</v>
      </c>
      <c r="S43">
        <v>22.4683724734363</v>
      </c>
      <c r="AA43">
        <v>3.6687544046176201</v>
      </c>
      <c r="AB43">
        <v>8.5623448378391291</v>
      </c>
      <c r="AC43">
        <v>1.5818480447227501</v>
      </c>
      <c r="AJ43">
        <v>0.73620138974715998</v>
      </c>
      <c r="AK43">
        <v>0.17431443345977399</v>
      </c>
      <c r="AL43">
        <v>8.9484176793065404E-2</v>
      </c>
    </row>
    <row r="44" spans="1:38" x14ac:dyDescent="0.2">
      <c r="A44">
        <v>75</v>
      </c>
      <c r="B44">
        <v>748</v>
      </c>
      <c r="C44">
        <v>200</v>
      </c>
      <c r="D44">
        <v>0.37667384811242399</v>
      </c>
      <c r="E44">
        <v>19.6152077368886</v>
      </c>
      <c r="F44">
        <v>2.5850906901438901</v>
      </c>
      <c r="G44">
        <v>-318.15296309379733</v>
      </c>
      <c r="H44">
        <v>-276.29324094460452</v>
      </c>
      <c r="I44">
        <v>40.992725994411103</v>
      </c>
      <c r="J44">
        <v>23.949325243004399</v>
      </c>
      <c r="K44">
        <v>7.5878218940925297</v>
      </c>
      <c r="L44">
        <v>3.0845997556402493E-5</v>
      </c>
      <c r="M44">
        <v>1.7797294049992689E-6</v>
      </c>
      <c r="N44" s="1">
        <v>-3.3712307311007598E-7</v>
      </c>
      <c r="O44" s="1">
        <v>6.50737250813844E-11</v>
      </c>
      <c r="P44" s="1">
        <v>1.14322326793028E-9</v>
      </c>
      <c r="Q44">
        <v>63.702668861836898</v>
      </c>
      <c r="S44">
        <v>22.481734628098099</v>
      </c>
      <c r="AA44">
        <v>3.6835143550921998</v>
      </c>
      <c r="AB44">
        <v>8.5616949671154305</v>
      </c>
      <c r="AC44">
        <v>1.5703871878573099</v>
      </c>
      <c r="AJ44">
        <v>0.73614766052968605</v>
      </c>
      <c r="AK44">
        <v>0.17501623718930201</v>
      </c>
      <c r="AL44">
        <v>8.8836102281010895E-2</v>
      </c>
    </row>
    <row r="45" spans="1:38" x14ac:dyDescent="0.2">
      <c r="A45">
        <v>76</v>
      </c>
      <c r="B45">
        <v>747</v>
      </c>
      <c r="C45">
        <v>200</v>
      </c>
      <c r="D45">
        <v>0.375994216536785</v>
      </c>
      <c r="E45">
        <v>19.9862595401537</v>
      </c>
      <c r="F45">
        <v>2.5852874688733598</v>
      </c>
      <c r="G45">
        <v>-324.13949974448997</v>
      </c>
      <c r="H45">
        <v>-281.55472219100551</v>
      </c>
      <c r="I45">
        <v>41.743643144130097</v>
      </c>
      <c r="J45">
        <v>24.412446479341899</v>
      </c>
      <c r="K45">
        <v>7.7307687368567501</v>
      </c>
      <c r="L45">
        <v>3.0890201285768121E-5</v>
      </c>
      <c r="M45">
        <v>1.7797540457206261E-6</v>
      </c>
      <c r="N45" s="1">
        <v>-3.5465870346628998E-7</v>
      </c>
      <c r="O45" s="1">
        <v>6.6195642224701797E-11</v>
      </c>
      <c r="P45" s="1">
        <v>1.1967969232265E-9</v>
      </c>
      <c r="Q45">
        <v>63.693489436370598</v>
      </c>
      <c r="S45">
        <v>22.4900632402274</v>
      </c>
      <c r="AA45">
        <v>3.6925274388188298</v>
      </c>
      <c r="AB45">
        <v>8.5630736491353296</v>
      </c>
      <c r="AC45">
        <v>1.5608462354477699</v>
      </c>
      <c r="AJ45">
        <v>0.73626100674292605</v>
      </c>
      <c r="AK45">
        <v>0.17544324140089901</v>
      </c>
      <c r="AL45">
        <v>8.8295751856174096E-2</v>
      </c>
    </row>
    <row r="46" spans="1:38" x14ac:dyDescent="0.2">
      <c r="A46">
        <v>77</v>
      </c>
      <c r="B46">
        <v>746</v>
      </c>
      <c r="C46">
        <v>200</v>
      </c>
      <c r="D46">
        <v>0.37531325123877901</v>
      </c>
      <c r="E46">
        <v>20.253254695354698</v>
      </c>
      <c r="F46">
        <v>2.5854516226950501</v>
      </c>
      <c r="G46">
        <v>-328.43616599572653</v>
      </c>
      <c r="H46">
        <v>-285.34988016549482</v>
      </c>
      <c r="I46">
        <v>42.2766872690298</v>
      </c>
      <c r="J46">
        <v>24.749332457847199</v>
      </c>
      <c r="K46">
        <v>7.83354618495739</v>
      </c>
      <c r="L46">
        <v>3.0937877411150434E-5</v>
      </c>
      <c r="M46">
        <v>1.779866690286478E-6</v>
      </c>
      <c r="N46" s="1">
        <v>-3.7114612960817E-7</v>
      </c>
      <c r="O46" s="1">
        <v>6.6970625306784094E-11</v>
      </c>
      <c r="P46" s="1">
        <v>1.2463984371851199E-9</v>
      </c>
      <c r="Q46">
        <v>63.687950523241703</v>
      </c>
      <c r="S46">
        <v>22.495709354127101</v>
      </c>
      <c r="AA46">
        <v>3.6984779702545101</v>
      </c>
      <c r="AB46">
        <v>8.5655324998452098</v>
      </c>
      <c r="AC46">
        <v>1.5523296525314101</v>
      </c>
      <c r="AJ46">
        <v>0.73646331370402096</v>
      </c>
      <c r="AK46">
        <v>0.17572379625223999</v>
      </c>
      <c r="AL46">
        <v>8.7812890043738198E-2</v>
      </c>
    </row>
    <row r="47" spans="1:38" x14ac:dyDescent="0.2">
      <c r="A47">
        <v>78</v>
      </c>
      <c r="B47">
        <v>745</v>
      </c>
      <c r="C47">
        <v>200</v>
      </c>
      <c r="D47">
        <v>0.37463094828856203</v>
      </c>
      <c r="E47">
        <v>20.459575183176302</v>
      </c>
      <c r="F47">
        <v>2.58559604644958</v>
      </c>
      <c r="G47">
        <v>-331.74735986009654</v>
      </c>
      <c r="H47">
        <v>-288.29003112209438</v>
      </c>
      <c r="I47">
        <v>42.682638843001598</v>
      </c>
      <c r="J47">
        <v>25.012828870942499</v>
      </c>
      <c r="K47">
        <v>7.9129047289774697</v>
      </c>
      <c r="L47">
        <v>3.0988310665549582E-5</v>
      </c>
      <c r="M47">
        <v>1.7800346234767199E-6</v>
      </c>
      <c r="N47" s="1">
        <v>-3.8723902257007998E-7</v>
      </c>
      <c r="O47" s="1">
        <v>6.7541800174143606E-11</v>
      </c>
      <c r="P47" s="1">
        <v>1.29429020396501E-9</v>
      </c>
      <c r="Q47">
        <v>63.684619813869901</v>
      </c>
      <c r="S47">
        <v>22.499727586438901</v>
      </c>
      <c r="AA47">
        <v>3.7025702285533599</v>
      </c>
      <c r="AB47">
        <v>8.5686445110069602</v>
      </c>
      <c r="AC47">
        <v>1.54443786013077</v>
      </c>
      <c r="AJ47">
        <v>0.73671940807543002</v>
      </c>
      <c r="AK47">
        <v>0.17591548927536699</v>
      </c>
      <c r="AL47">
        <v>8.7365102649200999E-2</v>
      </c>
    </row>
    <row r="48" spans="1:38" x14ac:dyDescent="0.2">
      <c r="A48">
        <v>80</v>
      </c>
      <c r="B48">
        <v>768</v>
      </c>
      <c r="C48">
        <v>175</v>
      </c>
      <c r="D48">
        <v>0.416405417086878</v>
      </c>
      <c r="E48">
        <v>0.18225999229901901</v>
      </c>
      <c r="F48">
        <v>2.5869248629328001</v>
      </c>
      <c r="G48">
        <v>-2.9691550033416583</v>
      </c>
      <c r="H48">
        <v>-2.5683020361926507</v>
      </c>
      <c r="I48">
        <v>0.38500981333045903</v>
      </c>
      <c r="J48">
        <v>0.22133165910046701</v>
      </c>
      <c r="K48">
        <v>7.0454304611070398E-2</v>
      </c>
      <c r="L48">
        <v>3.0046798931374511E-5</v>
      </c>
      <c r="M48">
        <v>1.7702866293125754E-6</v>
      </c>
      <c r="N48" s="1">
        <v>-1.6449804658236499E-9</v>
      </c>
      <c r="O48" s="1">
        <v>6.1162634581846297E-13</v>
      </c>
      <c r="P48" s="1">
        <v>6.3377435481489996E-12</v>
      </c>
      <c r="Q48">
        <v>63.337185133621297</v>
      </c>
      <c r="S48">
        <v>22.8116134901314</v>
      </c>
      <c r="AA48">
        <v>4.0409484254555403</v>
      </c>
      <c r="AB48">
        <v>8.6120543992397796</v>
      </c>
      <c r="AC48">
        <v>1.19819855155192</v>
      </c>
      <c r="AJ48">
        <v>0.74028639694544396</v>
      </c>
      <c r="AK48">
        <v>0.191949551894735</v>
      </c>
      <c r="AL48">
        <v>6.7764051159820496E-2</v>
      </c>
    </row>
    <row r="49" spans="1:38" x14ac:dyDescent="0.2">
      <c r="A49">
        <v>81</v>
      </c>
      <c r="B49">
        <v>767</v>
      </c>
      <c r="C49">
        <v>175</v>
      </c>
      <c r="D49">
        <v>0.41577705138682203</v>
      </c>
      <c r="E49">
        <v>0.49532981387463298</v>
      </c>
      <c r="F49">
        <v>2.58652423226749</v>
      </c>
      <c r="G49">
        <v>-8.067741175745514</v>
      </c>
      <c r="H49">
        <v>-6.9798759849070597</v>
      </c>
      <c r="I49">
        <v>1.0458733748386799</v>
      </c>
      <c r="J49">
        <v>0.60166409344457805</v>
      </c>
      <c r="K49">
        <v>0.191504029885078</v>
      </c>
      <c r="L49">
        <v>3.0097852797153881E-5</v>
      </c>
      <c r="M49">
        <v>1.771644388227887E-6</v>
      </c>
      <c r="N49" s="1">
        <v>-4.6228877757028501E-9</v>
      </c>
      <c r="O49" s="1">
        <v>1.6626226604835E-12</v>
      </c>
      <c r="P49" s="1">
        <v>1.76655544515653E-11</v>
      </c>
      <c r="Q49">
        <v>63.390090773287902</v>
      </c>
      <c r="S49">
        <v>22.772004083948101</v>
      </c>
      <c r="AA49">
        <v>3.99592545203669</v>
      </c>
      <c r="AB49">
        <v>8.6261105726663505</v>
      </c>
      <c r="AC49">
        <v>1.2158691180607799</v>
      </c>
      <c r="AJ49">
        <v>0.74144351456553603</v>
      </c>
      <c r="AK49">
        <v>0.18979781906430801</v>
      </c>
      <c r="AL49">
        <v>6.8758666370155097E-2</v>
      </c>
    </row>
    <row r="50" spans="1:38" x14ac:dyDescent="0.2">
      <c r="A50">
        <v>82</v>
      </c>
      <c r="B50">
        <v>766</v>
      </c>
      <c r="C50">
        <v>175</v>
      </c>
      <c r="D50">
        <v>0.41514747630275201</v>
      </c>
      <c r="E50">
        <v>0.80877576631578996</v>
      </c>
      <c r="F50">
        <v>2.58612773490443</v>
      </c>
      <c r="G50">
        <v>-13.170471804759966</v>
      </c>
      <c r="H50">
        <v>-11.396715843706929</v>
      </c>
      <c r="I50">
        <v>1.7069296646807799</v>
      </c>
      <c r="J50">
        <v>0.98264797104443802</v>
      </c>
      <c r="K50">
        <v>0.31273620223777299</v>
      </c>
      <c r="L50">
        <v>3.0149142933197828E-5</v>
      </c>
      <c r="M50">
        <v>1.772983294992344E-6</v>
      </c>
      <c r="N50" s="1">
        <v>-7.8043480592155208E-9</v>
      </c>
      <c r="O50" s="1">
        <v>2.7152956282466599E-12</v>
      </c>
      <c r="P50" s="1">
        <v>2.9586085252862599E-11</v>
      </c>
      <c r="Q50">
        <v>63.442191183997998</v>
      </c>
      <c r="S50">
        <v>22.732883493728099</v>
      </c>
      <c r="AA50">
        <v>3.9514936459614201</v>
      </c>
      <c r="AB50">
        <v>8.6396538311358899</v>
      </c>
      <c r="AC50">
        <v>1.2337778451764601</v>
      </c>
      <c r="AJ50">
        <v>0.74255827434793997</v>
      </c>
      <c r="AK50">
        <v>0.18767493680709199</v>
      </c>
      <c r="AL50">
        <v>6.9766788844967301E-2</v>
      </c>
    </row>
    <row r="51" spans="1:38" x14ac:dyDescent="0.2">
      <c r="A51">
        <v>83</v>
      </c>
      <c r="B51">
        <v>765</v>
      </c>
      <c r="C51">
        <v>175</v>
      </c>
      <c r="D51">
        <v>0.41451668833983701</v>
      </c>
      <c r="E51">
        <v>1.12253996221395</v>
      </c>
      <c r="F51">
        <v>2.5857353567029202</v>
      </c>
      <c r="G51">
        <v>-18.276392532070137</v>
      </c>
      <c r="H51">
        <v>-15.818001603962228</v>
      </c>
      <c r="I51">
        <v>2.3680498272002102</v>
      </c>
      <c r="J51">
        <v>1.3642209638051499</v>
      </c>
      <c r="K51">
        <v>0.43412793939025102</v>
      </c>
      <c r="L51">
        <v>3.020069036416688E-5</v>
      </c>
      <c r="M51">
        <v>1.7743034256523292E-6</v>
      </c>
      <c r="N51" s="1">
        <v>-1.11980992016168E-8</v>
      </c>
      <c r="O51" s="1">
        <v>3.7693428175835299E-12</v>
      </c>
      <c r="P51" s="1">
        <v>4.2123604640822099E-11</v>
      </c>
      <c r="Q51">
        <v>63.493486655237</v>
      </c>
      <c r="S51">
        <v>22.6942510907359</v>
      </c>
      <c r="AA51">
        <v>3.90765242096907</v>
      </c>
      <c r="AB51">
        <v>8.6526831714396693</v>
      </c>
      <c r="AC51">
        <v>1.2519266616181799</v>
      </c>
      <c r="AJ51">
        <v>0.743630610727394</v>
      </c>
      <c r="AK51">
        <v>0.18558085628983201</v>
      </c>
      <c r="AL51">
        <v>7.0788532982772406E-2</v>
      </c>
    </row>
    <row r="52" spans="1:38" x14ac:dyDescent="0.2">
      <c r="A52">
        <v>84</v>
      </c>
      <c r="B52">
        <v>764</v>
      </c>
      <c r="C52">
        <v>175</v>
      </c>
      <c r="D52">
        <v>0.41388468398978101</v>
      </c>
      <c r="E52">
        <v>1.4365644790085801</v>
      </c>
      <c r="F52">
        <v>2.5853470786559001</v>
      </c>
      <c r="G52">
        <v>-23.384549066208432</v>
      </c>
      <c r="H52">
        <v>-20.242912652266281</v>
      </c>
      <c r="I52">
        <v>3.02910515734672</v>
      </c>
      <c r="J52">
        <v>1.74632100458322</v>
      </c>
      <c r="K52">
        <v>0.55565633367703904</v>
      </c>
      <c r="L52">
        <v>3.0252517211458128E-5</v>
      </c>
      <c r="M52">
        <v>1.7756048738967663E-6</v>
      </c>
      <c r="N52" s="1">
        <v>-1.48132402607996E-8</v>
      </c>
      <c r="O52" s="1">
        <v>4.8244582208387201E-12</v>
      </c>
      <c r="P52" s="1">
        <v>5.5303374881000901E-11</v>
      </c>
      <c r="Q52">
        <v>63.543978136235502</v>
      </c>
      <c r="S52">
        <v>22.6561057776557</v>
      </c>
      <c r="AA52">
        <v>3.86440065027289</v>
      </c>
      <c r="AB52">
        <v>8.66519783213087</v>
      </c>
      <c r="AC52">
        <v>1.27031760370492</v>
      </c>
      <c r="AJ52">
        <v>0.744660477419403</v>
      </c>
      <c r="AK52">
        <v>0.183515503201932</v>
      </c>
      <c r="AL52">
        <v>7.1824019378664505E-2</v>
      </c>
    </row>
    <row r="53" spans="1:38" x14ac:dyDescent="0.2">
      <c r="A53">
        <v>85</v>
      </c>
      <c r="B53">
        <v>763</v>
      </c>
      <c r="C53">
        <v>175</v>
      </c>
      <c r="D53">
        <v>0.41325145973073701</v>
      </c>
      <c r="E53">
        <v>1.95100004659243</v>
      </c>
      <c r="F53">
        <v>2.5847471481292899</v>
      </c>
      <c r="G53">
        <v>-31.750780095307949</v>
      </c>
      <c r="H53">
        <v>-27.490062877168338</v>
      </c>
      <c r="I53">
        <v>4.1120660311148098</v>
      </c>
      <c r="J53">
        <v>2.3723194135632699</v>
      </c>
      <c r="K53">
        <v>0.75481272820223999</v>
      </c>
      <c r="L53">
        <v>3.031044330689605E-5</v>
      </c>
      <c r="M53">
        <v>1.7772816086479773E-6</v>
      </c>
      <c r="N53" s="1">
        <v>-2.0792549281821502E-8</v>
      </c>
      <c r="O53" s="1">
        <v>6.5556887980369401E-12</v>
      </c>
      <c r="P53" s="1">
        <v>7.7055808519856003E-11</v>
      </c>
      <c r="Q53">
        <v>63.612429004110901</v>
      </c>
      <c r="S53">
        <v>22.602343195929201</v>
      </c>
      <c r="AA53">
        <v>3.80407389562829</v>
      </c>
      <c r="AB53">
        <v>8.6767913233937701</v>
      </c>
      <c r="AC53">
        <v>1.3043625809377299</v>
      </c>
      <c r="AJ53">
        <v>0.74561475038158997</v>
      </c>
      <c r="AK53">
        <v>0.18064047776523301</v>
      </c>
      <c r="AL53">
        <v>7.3744771853175406E-2</v>
      </c>
    </row>
    <row r="54" spans="1:38" x14ac:dyDescent="0.2">
      <c r="A54">
        <v>86</v>
      </c>
      <c r="B54">
        <v>762</v>
      </c>
      <c r="C54">
        <v>175</v>
      </c>
      <c r="D54">
        <v>0.41261701202724399</v>
      </c>
      <c r="E54">
        <v>2.7650296459677901</v>
      </c>
      <c r="F54">
        <v>2.5838182037046802</v>
      </c>
      <c r="G54">
        <v>-44.983606503684094</v>
      </c>
      <c r="H54">
        <v>-38.953311571238537</v>
      </c>
      <c r="I54">
        <v>5.8255276360388004</v>
      </c>
      <c r="J54">
        <v>3.3630122526388302</v>
      </c>
      <c r="K54">
        <v>1.0701332013232501</v>
      </c>
      <c r="L54">
        <v>3.0375934558219806E-5</v>
      </c>
      <c r="M54">
        <v>1.7795011652052077E-6</v>
      </c>
      <c r="N54" s="1">
        <v>-3.0444558164154301E-8</v>
      </c>
      <c r="O54" s="1">
        <v>9.3020644579331797E-12</v>
      </c>
      <c r="P54" s="1">
        <v>1.12019310409978E-10</v>
      </c>
      <c r="Q54">
        <v>63.707512395801501</v>
      </c>
      <c r="S54">
        <v>22.524857596006299</v>
      </c>
      <c r="AA54">
        <v>3.71796107272508</v>
      </c>
      <c r="AB54">
        <v>8.6855409895953102</v>
      </c>
      <c r="AC54">
        <v>1.3641279458717299</v>
      </c>
      <c r="AJ54">
        <v>0.74633552462841202</v>
      </c>
      <c r="AK54">
        <v>0.17654396187430199</v>
      </c>
      <c r="AL54">
        <v>7.7120513497285201E-2</v>
      </c>
    </row>
    <row r="55" spans="1:38" x14ac:dyDescent="0.2">
      <c r="A55">
        <v>87</v>
      </c>
      <c r="B55">
        <v>761</v>
      </c>
      <c r="C55">
        <v>175</v>
      </c>
      <c r="D55">
        <v>0.411981337330175</v>
      </c>
      <c r="E55">
        <v>3.5843293626125101</v>
      </c>
      <c r="F55">
        <v>2.5828706818688301</v>
      </c>
      <c r="G55">
        <v>-58.292670884508382</v>
      </c>
      <c r="H55">
        <v>-50.486172880619534</v>
      </c>
      <c r="I55">
        <v>7.5487095720048902</v>
      </c>
      <c r="J55">
        <v>4.3605992198236398</v>
      </c>
      <c r="K55">
        <v>1.38773086386929</v>
      </c>
      <c r="L55">
        <v>3.0439711250513419E-5</v>
      </c>
      <c r="M55">
        <v>1.7816710841965548E-6</v>
      </c>
      <c r="N55" s="1">
        <v>-4.07541424579973E-8</v>
      </c>
      <c r="O55" s="1">
        <v>1.20727728862263E-11</v>
      </c>
      <c r="P55" s="1">
        <v>1.4891996315352599E-10</v>
      </c>
      <c r="Q55">
        <v>63.801384013868201</v>
      </c>
      <c r="S55">
        <v>22.447183999932399</v>
      </c>
      <c r="AA55">
        <v>3.6319759018814999</v>
      </c>
      <c r="AB55">
        <v>8.6910974268978691</v>
      </c>
      <c r="AC55">
        <v>1.4283586574198901</v>
      </c>
      <c r="AJ55">
        <v>0.74679372025245605</v>
      </c>
      <c r="AK55">
        <v>0.172456587260335</v>
      </c>
      <c r="AL55">
        <v>8.0749692487208494E-2</v>
      </c>
    </row>
    <row r="56" spans="1:38" x14ac:dyDescent="0.2">
      <c r="A56">
        <v>88</v>
      </c>
      <c r="B56">
        <v>760</v>
      </c>
      <c r="C56">
        <v>175</v>
      </c>
      <c r="D56">
        <v>0.41134443207665999</v>
      </c>
      <c r="E56">
        <v>4.4108442687094502</v>
      </c>
      <c r="F56">
        <v>2.58189901674587</v>
      </c>
      <c r="G56">
        <v>-71.708823481850999</v>
      </c>
      <c r="H56">
        <v>-62.115352294856052</v>
      </c>
      <c r="I56">
        <v>9.2856518288679695</v>
      </c>
      <c r="J56">
        <v>5.3674200607324698</v>
      </c>
      <c r="K56">
        <v>1.7083721090953801</v>
      </c>
      <c r="L56">
        <v>3.050159329936057E-5</v>
      </c>
      <c r="M56">
        <v>1.7837927245637051E-6</v>
      </c>
      <c r="N56" s="1">
        <v>-5.1763162017466101E-8</v>
      </c>
      <c r="O56" s="1">
        <v>1.4874627148321999E-11</v>
      </c>
      <c r="P56" s="1">
        <v>1.8789271849375201E-10</v>
      </c>
      <c r="Q56">
        <v>63.894235077322797</v>
      </c>
      <c r="S56">
        <v>22.369034654557101</v>
      </c>
      <c r="AA56">
        <v>3.54583636545975</v>
      </c>
      <c r="AB56">
        <v>8.6931323743216709</v>
      </c>
      <c r="AC56">
        <v>1.4977615283386501</v>
      </c>
      <c r="AJ56">
        <v>0.74696239758563299</v>
      </c>
      <c r="AK56">
        <v>0.16836504354117399</v>
      </c>
      <c r="AL56">
        <v>8.4672558873191195E-2</v>
      </c>
    </row>
    <row r="57" spans="1:38" x14ac:dyDescent="0.2">
      <c r="A57">
        <v>89</v>
      </c>
      <c r="B57">
        <v>759</v>
      </c>
      <c r="C57">
        <v>175</v>
      </c>
      <c r="D57">
        <v>0.41070629269001901</v>
      </c>
      <c r="E57">
        <v>5.2470881572516701</v>
      </c>
      <c r="F57">
        <v>2.5808960097526699</v>
      </c>
      <c r="G57">
        <v>-85.27193265436982</v>
      </c>
      <c r="H57">
        <v>-73.875364964022268</v>
      </c>
      <c r="I57">
        <v>11.041580865521</v>
      </c>
      <c r="J57">
        <v>6.3864970100926604</v>
      </c>
      <c r="K57">
        <v>2.0330490408850301</v>
      </c>
      <c r="L57">
        <v>3.0561346416302071E-5</v>
      </c>
      <c r="M57">
        <v>1.7858679013899522E-6</v>
      </c>
      <c r="N57" s="1">
        <v>-6.3520631167246895E-8</v>
      </c>
      <c r="O57" s="1">
        <v>1.7716570892748E-11</v>
      </c>
      <c r="P57" s="1">
        <v>2.2909764608170201E-10</v>
      </c>
      <c r="Q57">
        <v>63.986316107589502</v>
      </c>
      <c r="S57">
        <v>22.2900358048539</v>
      </c>
      <c r="AA57">
        <v>3.4591756559867202</v>
      </c>
      <c r="AB57">
        <v>8.6912242580355095</v>
      </c>
      <c r="AC57">
        <v>1.5732481735342601</v>
      </c>
      <c r="AJ57">
        <v>0.74680692026968598</v>
      </c>
      <c r="AK57">
        <v>0.16425204441369101</v>
      </c>
      <c r="AL57">
        <v>8.8941035316620995E-2</v>
      </c>
    </row>
    <row r="58" spans="1:38" x14ac:dyDescent="0.2">
      <c r="A58">
        <v>90</v>
      </c>
      <c r="B58">
        <v>758</v>
      </c>
      <c r="C58">
        <v>175</v>
      </c>
      <c r="D58">
        <v>0.41006691557969399</v>
      </c>
      <c r="E58">
        <v>6.0964025671386803</v>
      </c>
      <c r="F58">
        <v>2.57985211056091</v>
      </c>
      <c r="G58">
        <v>-99.034995194661178</v>
      </c>
      <c r="H58">
        <v>-85.812094760751677</v>
      </c>
      <c r="I58">
        <v>12.8234499674242</v>
      </c>
      <c r="J58">
        <v>7.4218453631925199</v>
      </c>
      <c r="K58">
        <v>2.3630821868363499</v>
      </c>
      <c r="L58">
        <v>3.0618657268447043E-5</v>
      </c>
      <c r="M58">
        <v>1.7878990541034242E-6</v>
      </c>
      <c r="N58" s="1">
        <v>-7.6085542345523893E-8</v>
      </c>
      <c r="O58" s="1">
        <v>2.0610647756717499E-11</v>
      </c>
      <c r="P58" s="1">
        <v>2.7273017966905799E-10</v>
      </c>
      <c r="Q58">
        <v>64.077961910074606</v>
      </c>
      <c r="S58">
        <v>22.209690325631598</v>
      </c>
      <c r="AA58">
        <v>3.3715055178248599</v>
      </c>
      <c r="AB58">
        <v>8.6848158956155803</v>
      </c>
      <c r="AC58">
        <v>1.6560263508533299</v>
      </c>
      <c r="AJ58">
        <v>0.74628146606361501</v>
      </c>
      <c r="AK58">
        <v>0.160094607825473</v>
      </c>
      <c r="AL58">
        <v>9.3623926110911401E-2</v>
      </c>
    </row>
    <row r="59" spans="1:38" x14ac:dyDescent="0.2">
      <c r="A59">
        <v>91</v>
      </c>
      <c r="B59">
        <v>757</v>
      </c>
      <c r="C59">
        <v>175</v>
      </c>
      <c r="D59">
        <v>0.40942629714119499</v>
      </c>
      <c r="E59">
        <v>8.0843700092236297</v>
      </c>
      <c r="F59">
        <v>2.5783972777189699</v>
      </c>
      <c r="G59">
        <v>-131.25806883514733</v>
      </c>
      <c r="H59">
        <v>-113.74743249885867</v>
      </c>
      <c r="I59">
        <v>16.998142344599</v>
      </c>
      <c r="J59">
        <v>9.8432312618131093</v>
      </c>
      <c r="K59">
        <v>3.1354245054026801</v>
      </c>
      <c r="L59">
        <v>3.0671147379239514E-5</v>
      </c>
      <c r="M59">
        <v>1.790241435942345E-6</v>
      </c>
      <c r="N59" s="1">
        <v>-1.03771162029327E-7</v>
      </c>
      <c r="O59" s="1">
        <v>2.73883739746752E-11</v>
      </c>
      <c r="P59" s="1">
        <v>3.6987360687996199E-10</v>
      </c>
      <c r="Q59">
        <v>64.190782900916503</v>
      </c>
      <c r="S59">
        <v>22.104659130824999</v>
      </c>
      <c r="AA59">
        <v>3.2585284708248499</v>
      </c>
      <c r="AB59">
        <v>8.6608784923145894</v>
      </c>
      <c r="AC59">
        <v>1.785151005119</v>
      </c>
      <c r="AJ59">
        <v>0.74431497159028104</v>
      </c>
      <c r="AK59">
        <v>0.154748739176752</v>
      </c>
      <c r="AL59">
        <v>0.10093628923296601</v>
      </c>
    </row>
    <row r="60" spans="1:38" x14ac:dyDescent="0.2">
      <c r="A60">
        <v>92</v>
      </c>
      <c r="B60">
        <v>756</v>
      </c>
      <c r="C60">
        <v>175</v>
      </c>
      <c r="D60">
        <v>0.40878443375601398</v>
      </c>
      <c r="E60">
        <v>15.3687411941074</v>
      </c>
      <c r="F60">
        <v>2.58138730931466</v>
      </c>
      <c r="G60">
        <v>-249.59179154226709</v>
      </c>
      <c r="H60">
        <v>-216.37198697820619</v>
      </c>
      <c r="I60">
        <v>32.278875347676099</v>
      </c>
      <c r="J60">
        <v>18.709737230128901</v>
      </c>
      <c r="K60">
        <v>5.9536750408010999</v>
      </c>
      <c r="L60">
        <v>3.0552115265234825E-5</v>
      </c>
      <c r="M60">
        <v>1.7834856505005759E-6</v>
      </c>
      <c r="N60" s="1">
        <v>-2.01205411824096E-7</v>
      </c>
      <c r="O60" s="1">
        <v>5.1721857976549E-11</v>
      </c>
      <c r="P60" s="1">
        <v>7.1458051271561402E-10</v>
      </c>
      <c r="Q60">
        <v>63.883146458986701</v>
      </c>
      <c r="S60">
        <v>22.335797673283</v>
      </c>
      <c r="AA60">
        <v>3.52100289308679</v>
      </c>
      <c r="AB60">
        <v>8.5812869153955003</v>
      </c>
      <c r="AC60">
        <v>1.6787660592478699</v>
      </c>
      <c r="AJ60">
        <v>0.73776284152031701</v>
      </c>
      <c r="AK60">
        <v>0.16727903981945999</v>
      </c>
      <c r="AL60">
        <v>9.4958118660221899E-2</v>
      </c>
    </row>
    <row r="61" spans="1:38" x14ac:dyDescent="0.2">
      <c r="A61">
        <v>93</v>
      </c>
      <c r="B61">
        <v>755</v>
      </c>
      <c r="C61">
        <v>175</v>
      </c>
      <c r="D61">
        <v>0.40814132179156798</v>
      </c>
      <c r="E61">
        <v>17.863437652652301</v>
      </c>
      <c r="F61">
        <v>2.58258795820583</v>
      </c>
      <c r="G61">
        <v>-290.11323970117911</v>
      </c>
      <c r="H61">
        <v>-251.56845324579999</v>
      </c>
      <c r="I61">
        <v>37.489458206856099</v>
      </c>
      <c r="J61">
        <v>21.749574363675801</v>
      </c>
      <c r="K61">
        <v>6.91687483320504</v>
      </c>
      <c r="L61">
        <v>3.0528315914915338E-5</v>
      </c>
      <c r="M61">
        <v>1.7809798698508299E-6</v>
      </c>
      <c r="N61" s="1">
        <v>-2.4027525561791998E-7</v>
      </c>
      <c r="O61" s="1">
        <v>5.9922760347212295E-11</v>
      </c>
      <c r="P61" s="1">
        <v>8.4907653498000405E-10</v>
      </c>
      <c r="Q61">
        <v>63.764386436770799</v>
      </c>
      <c r="S61">
        <v>22.4253437406825</v>
      </c>
      <c r="AA61">
        <v>3.6225903432002902</v>
      </c>
      <c r="AB61">
        <v>8.5513932310159593</v>
      </c>
      <c r="AC61">
        <v>1.6362862483303799</v>
      </c>
      <c r="AJ61">
        <v>0.73530056701346103</v>
      </c>
      <c r="AK61">
        <v>0.17213058256449801</v>
      </c>
      <c r="AL61">
        <v>9.2568850422040494E-2</v>
      </c>
    </row>
    <row r="62" spans="1:38" x14ac:dyDescent="0.2">
      <c r="A62">
        <v>94</v>
      </c>
      <c r="B62">
        <v>754</v>
      </c>
      <c r="C62">
        <v>175</v>
      </c>
      <c r="D62">
        <v>0.40749695760112897</v>
      </c>
      <c r="E62">
        <v>18.8362895918772</v>
      </c>
      <c r="F62">
        <v>2.58313246544901</v>
      </c>
      <c r="G62">
        <v>-305.89569133290695</v>
      </c>
      <c r="H62">
        <v>-265.31757302165613</v>
      </c>
      <c r="I62">
        <v>39.505542823590403</v>
      </c>
      <c r="J62">
        <v>22.9397913527817</v>
      </c>
      <c r="K62">
        <v>7.2920339331506199</v>
      </c>
      <c r="L62">
        <v>3.0542470593231084E-5</v>
      </c>
      <c r="M62">
        <v>1.7801005705779347E-6</v>
      </c>
      <c r="N62" s="1">
        <v>-2.6108560505743398E-7</v>
      </c>
      <c r="O62" s="1">
        <v>6.3059558881820794E-11</v>
      </c>
      <c r="P62" s="1">
        <v>9.1757045969322999E-10</v>
      </c>
      <c r="Q62">
        <v>63.716953320833603</v>
      </c>
      <c r="S62">
        <v>22.461972304980002</v>
      </c>
      <c r="AA62">
        <v>3.6638771529439902</v>
      </c>
      <c r="AB62">
        <v>8.5417176187561399</v>
      </c>
      <c r="AC62">
        <v>1.6154796024861999</v>
      </c>
      <c r="AJ62">
        <v>0.73450332148362496</v>
      </c>
      <c r="AK62">
        <v>0.174100592089629</v>
      </c>
      <c r="AL62">
        <v>9.1396086426745099E-2</v>
      </c>
    </row>
    <row r="63" spans="1:38" x14ac:dyDescent="0.2">
      <c r="A63">
        <v>95</v>
      </c>
      <c r="B63">
        <v>753</v>
      </c>
      <c r="C63">
        <v>175</v>
      </c>
      <c r="D63">
        <v>0.40685133752375702</v>
      </c>
      <c r="E63">
        <v>19.369262648193999</v>
      </c>
      <c r="F63">
        <v>2.5834725142578501</v>
      </c>
      <c r="G63">
        <v>-314.52551524319068</v>
      </c>
      <c r="H63">
        <v>-272.86523495666194</v>
      </c>
      <c r="I63">
        <v>40.598626211108098</v>
      </c>
      <c r="J63">
        <v>23.595865026616298</v>
      </c>
      <c r="K63">
        <v>7.4973751573889702</v>
      </c>
      <c r="L63">
        <v>3.0569479214937336E-5</v>
      </c>
      <c r="M63">
        <v>1.7797367668685089E-6</v>
      </c>
      <c r="N63" s="1">
        <v>-2.7693145344245302E-7</v>
      </c>
      <c r="O63" s="1">
        <v>6.4737319250572702E-11</v>
      </c>
      <c r="P63" s="1">
        <v>9.6787276826735505E-10</v>
      </c>
      <c r="Q63">
        <v>63.691943833344702</v>
      </c>
      <c r="S63">
        <v>22.482012641325401</v>
      </c>
      <c r="AA63">
        <v>3.6862462576295001</v>
      </c>
      <c r="AB63">
        <v>8.53852366399326</v>
      </c>
      <c r="AC63">
        <v>1.6012736037070501</v>
      </c>
      <c r="AJ63">
        <v>0.73423999328546097</v>
      </c>
      <c r="AK63">
        <v>0.17516623079692201</v>
      </c>
      <c r="AL63">
        <v>9.0593775917616498E-2</v>
      </c>
    </row>
    <row r="64" spans="1:38" x14ac:dyDescent="0.2">
      <c r="A64">
        <v>96</v>
      </c>
      <c r="B64">
        <v>752</v>
      </c>
      <c r="C64">
        <v>175</v>
      </c>
      <c r="D64">
        <v>0.406204457884214</v>
      </c>
      <c r="E64">
        <v>19.717231151328299</v>
      </c>
      <c r="F64">
        <v>2.5837224632705502</v>
      </c>
      <c r="G64">
        <v>-320.14656325474175</v>
      </c>
      <c r="H64">
        <v>-277.80426029715414</v>
      </c>
      <c r="I64">
        <v>41.3035194435815</v>
      </c>
      <c r="J64">
        <v>24.027556199246199</v>
      </c>
      <c r="K64">
        <v>7.63132706071291</v>
      </c>
      <c r="L64">
        <v>3.0602888249705908E-5</v>
      </c>
      <c r="M64">
        <v>1.7796034657026594E-6</v>
      </c>
      <c r="N64" s="1">
        <v>-2.9092212161065001E-7</v>
      </c>
      <c r="O64" s="1">
        <v>6.5801169704474396E-11</v>
      </c>
      <c r="P64" s="1">
        <v>1.0111808458515601E-9</v>
      </c>
      <c r="Q64">
        <v>63.676857878851898</v>
      </c>
      <c r="S64">
        <v>22.494719764746399</v>
      </c>
      <c r="AA64">
        <v>3.7002498658050902</v>
      </c>
      <c r="AB64">
        <v>8.5382187993696892</v>
      </c>
      <c r="AC64">
        <v>1.58995369122675</v>
      </c>
      <c r="AJ64">
        <v>0.73421467065807799</v>
      </c>
      <c r="AK64">
        <v>0.175831880222478</v>
      </c>
      <c r="AL64">
        <v>8.9953449119442794E-2</v>
      </c>
    </row>
    <row r="65" spans="1:38" x14ac:dyDescent="0.2">
      <c r="A65">
        <v>97</v>
      </c>
      <c r="B65">
        <v>751</v>
      </c>
      <c r="C65">
        <v>175</v>
      </c>
      <c r="D65">
        <v>0.40555631499292399</v>
      </c>
      <c r="E65">
        <v>19.969508470208702</v>
      </c>
      <c r="F65">
        <v>2.58392411599878</v>
      </c>
      <c r="G65">
        <v>-324.21113288155635</v>
      </c>
      <c r="H65">
        <v>-281.39389265658428</v>
      </c>
      <c r="I65">
        <v>41.8075869989474</v>
      </c>
      <c r="J65">
        <v>24.343394769266599</v>
      </c>
      <c r="K65">
        <v>7.7283649107821404</v>
      </c>
      <c r="L65">
        <v>3.0640344814749952E-5</v>
      </c>
      <c r="M65">
        <v>1.7795959475853405E-6</v>
      </c>
      <c r="N65" s="1">
        <v>-3.0414860361793901E-7</v>
      </c>
      <c r="O65" s="1">
        <v>6.6546481984543604E-11</v>
      </c>
      <c r="P65" s="1">
        <v>1.05142159818521E-9</v>
      </c>
      <c r="Q65">
        <v>63.6671068725433</v>
      </c>
      <c r="S65">
        <v>22.5034860209594</v>
      </c>
      <c r="AA65">
        <v>3.7097573809574098</v>
      </c>
      <c r="AB65">
        <v>8.5394710849923801</v>
      </c>
      <c r="AC65">
        <v>1.5801786405474001</v>
      </c>
      <c r="AJ65">
        <v>0.73431762898154995</v>
      </c>
      <c r="AK65">
        <v>0.176282532145628</v>
      </c>
      <c r="AL65">
        <v>8.9399838872821005E-2</v>
      </c>
    </row>
    <row r="66" spans="1:38" x14ac:dyDescent="0.2">
      <c r="A66">
        <v>98</v>
      </c>
      <c r="B66">
        <v>750</v>
      </c>
      <c r="C66">
        <v>175</v>
      </c>
      <c r="D66">
        <v>0.40490690514587502</v>
      </c>
      <c r="E66">
        <v>20.165515240070299</v>
      </c>
      <c r="F66">
        <v>2.5840965029501999</v>
      </c>
      <c r="G66">
        <v>-327.36029324433025</v>
      </c>
      <c r="H66">
        <v>-284.1899978608709</v>
      </c>
      <c r="I66">
        <v>42.193515499642601</v>
      </c>
      <c r="J66">
        <v>24.591282911883798</v>
      </c>
      <c r="K66">
        <v>7.8037005262953096</v>
      </c>
      <c r="L66">
        <v>3.0680796615045065E-5</v>
      </c>
      <c r="M66">
        <v>1.7796664491222777E-6</v>
      </c>
      <c r="N66" s="1">
        <v>-3.1709791453653201E-7</v>
      </c>
      <c r="O66" s="1">
        <v>6.7103361119845806E-11</v>
      </c>
      <c r="P66" s="1">
        <v>1.09034300672662E-9</v>
      </c>
      <c r="Q66">
        <v>63.660596993309802</v>
      </c>
      <c r="S66">
        <v>22.509858055385799</v>
      </c>
      <c r="AA66">
        <v>3.7165333659269502</v>
      </c>
      <c r="AB66">
        <v>8.5416692848361304</v>
      </c>
      <c r="AC66">
        <v>1.57134230054119</v>
      </c>
      <c r="AJ66">
        <v>0.73449851026582302</v>
      </c>
      <c r="AK66">
        <v>0.176602559398436</v>
      </c>
      <c r="AL66">
        <v>8.8898930335740006E-2</v>
      </c>
    </row>
    <row r="67" spans="1:38" x14ac:dyDescent="0.2">
      <c r="A67">
        <v>100</v>
      </c>
      <c r="B67">
        <v>779</v>
      </c>
      <c r="C67">
        <v>150</v>
      </c>
      <c r="D67">
        <v>0.44937556432067799</v>
      </c>
      <c r="E67">
        <v>0.10524139156550399</v>
      </c>
      <c r="F67">
        <v>2.5850088243881402</v>
      </c>
      <c r="G67">
        <v>-1.7179815846761914</v>
      </c>
      <c r="H67">
        <v>-1.4826318368971436</v>
      </c>
      <c r="I67">
        <v>0.223684596092807</v>
      </c>
      <c r="J67">
        <v>0.127592647371958</v>
      </c>
      <c r="K67">
        <v>4.0712198183855103E-2</v>
      </c>
      <c r="L67">
        <v>2.9789693083955244E-5</v>
      </c>
      <c r="M67">
        <v>1.7701480150582466E-6</v>
      </c>
      <c r="N67" s="1">
        <v>-6.5581600240767304E-10</v>
      </c>
      <c r="O67" s="1">
        <v>3.5569513653386598E-13</v>
      </c>
      <c r="P67" s="1">
        <v>2.8009632377690002E-12</v>
      </c>
      <c r="Q67">
        <v>63.332346698669497</v>
      </c>
      <c r="S67">
        <v>22.816922279008899</v>
      </c>
      <c r="AA67">
        <v>4.0464572132875096</v>
      </c>
      <c r="AB67">
        <v>8.6151898866082206</v>
      </c>
      <c r="AC67">
        <v>1.1890839224258101</v>
      </c>
      <c r="AJ67">
        <v>0.74054427952179902</v>
      </c>
      <c r="AK67">
        <v>0.19220820382377801</v>
      </c>
      <c r="AL67">
        <v>6.7247516654421802E-2</v>
      </c>
    </row>
    <row r="68" spans="1:38" x14ac:dyDescent="0.2">
      <c r="A68">
        <v>101</v>
      </c>
      <c r="B68">
        <v>778</v>
      </c>
      <c r="C68">
        <v>150</v>
      </c>
      <c r="D68">
        <v>0.44878514008467002</v>
      </c>
      <c r="E68">
        <v>0.40632889948581802</v>
      </c>
      <c r="F68">
        <v>2.5846304108945799</v>
      </c>
      <c r="G68">
        <v>-6.6317347373867639</v>
      </c>
      <c r="H68">
        <v>-5.7243355291692009</v>
      </c>
      <c r="I68">
        <v>0.86324426410841604</v>
      </c>
      <c r="J68">
        <v>0.49270551563242698</v>
      </c>
      <c r="K68">
        <v>0.157209672134586</v>
      </c>
      <c r="L68">
        <v>2.9831706107943952E-5</v>
      </c>
      <c r="M68">
        <v>1.7714260453259345E-6</v>
      </c>
      <c r="N68" s="1">
        <v>-2.6207619638744701E-9</v>
      </c>
      <c r="O68" s="1">
        <v>1.37386971763124E-12</v>
      </c>
      <c r="P68" s="1">
        <v>1.1073029479300599E-11</v>
      </c>
      <c r="Q68">
        <v>63.382747075098997</v>
      </c>
      <c r="S68">
        <v>22.779241277596</v>
      </c>
      <c r="AA68">
        <v>4.0036097624767697</v>
      </c>
      <c r="AB68">
        <v>8.6287187790530009</v>
      </c>
      <c r="AC68">
        <v>1.2056831057751001</v>
      </c>
      <c r="AJ68">
        <v>0.74165795136630197</v>
      </c>
      <c r="AK68">
        <v>0.190160307972222</v>
      </c>
      <c r="AL68">
        <v>6.8181740661474893E-2</v>
      </c>
    </row>
    <row r="69" spans="1:38" x14ac:dyDescent="0.2">
      <c r="A69">
        <v>102</v>
      </c>
      <c r="B69">
        <v>777</v>
      </c>
      <c r="C69">
        <v>150</v>
      </c>
      <c r="D69">
        <v>0.44819359139171</v>
      </c>
      <c r="E69">
        <v>0.70766596918156899</v>
      </c>
      <c r="F69">
        <v>2.5842559358775699</v>
      </c>
      <c r="G69">
        <v>-11.547688176740559</v>
      </c>
      <c r="H69">
        <v>-9.969564954916514</v>
      </c>
      <c r="I69">
        <v>1.50275981700142</v>
      </c>
      <c r="J69">
        <v>0.85824344131649999</v>
      </c>
      <c r="K69">
        <v>0.27383741654878102</v>
      </c>
      <c r="L69">
        <v>2.9873780416450925E-5</v>
      </c>
      <c r="M69">
        <v>1.7726862677085848E-6</v>
      </c>
      <c r="N69" s="1">
        <v>-4.72310903732805E-9</v>
      </c>
      <c r="O69" s="1">
        <v>2.3936549355892601E-12</v>
      </c>
      <c r="P69" s="1">
        <v>1.9747705201944401E-11</v>
      </c>
      <c r="Q69">
        <v>63.432402767159203</v>
      </c>
      <c r="S69">
        <v>22.7420159966433</v>
      </c>
      <c r="AA69">
        <v>3.9613120476288999</v>
      </c>
      <c r="AB69">
        <v>8.6417829127428991</v>
      </c>
      <c r="AC69">
        <v>1.2224862758256501</v>
      </c>
      <c r="AJ69">
        <v>0.74273323956655501</v>
      </c>
      <c r="AK69">
        <v>0.18813922603924699</v>
      </c>
      <c r="AL69">
        <v>6.9127534394196596E-2</v>
      </c>
    </row>
    <row r="70" spans="1:38" x14ac:dyDescent="0.2">
      <c r="A70">
        <v>103</v>
      </c>
      <c r="B70">
        <v>776</v>
      </c>
      <c r="C70">
        <v>150</v>
      </c>
      <c r="D70">
        <v>0.447600915026452</v>
      </c>
      <c r="E70">
        <v>1.00920217154742</v>
      </c>
      <c r="F70">
        <v>2.5838853872084702</v>
      </c>
      <c r="G70">
        <v>-16.465010199292074</v>
      </c>
      <c r="H70">
        <v>-14.217606576092008</v>
      </c>
      <c r="I70">
        <v>2.1421184989754201</v>
      </c>
      <c r="J70">
        <v>1.22415022389712</v>
      </c>
      <c r="K70">
        <v>0.390575439817681</v>
      </c>
      <c r="L70">
        <v>2.9915930190196056E-5</v>
      </c>
      <c r="M70">
        <v>1.7739287474193563E-6</v>
      </c>
      <c r="N70" s="1">
        <v>-6.9683402942488399E-9</v>
      </c>
      <c r="O70" s="1">
        <v>3.4148019295675199E-12</v>
      </c>
      <c r="P70" s="1">
        <v>2.8840217747642101E-11</v>
      </c>
      <c r="Q70">
        <v>63.481314398548001</v>
      </c>
      <c r="S70">
        <v>22.705245753082799</v>
      </c>
      <c r="AA70">
        <v>3.9195633596745401</v>
      </c>
      <c r="AB70">
        <v>8.6543818868044493</v>
      </c>
      <c r="AC70">
        <v>1.2394946018900901</v>
      </c>
      <c r="AJ70">
        <v>0.74377012596556502</v>
      </c>
      <c r="AK70">
        <v>0.18614490562172001</v>
      </c>
      <c r="AL70">
        <v>7.0084968412714194E-2</v>
      </c>
    </row>
    <row r="71" spans="1:38" x14ac:dyDescent="0.2">
      <c r="A71">
        <v>104</v>
      </c>
      <c r="B71">
        <v>775</v>
      </c>
      <c r="C71">
        <v>150</v>
      </c>
      <c r="D71">
        <v>0.44700710776129698</v>
      </c>
      <c r="E71">
        <v>1.31088707755067</v>
      </c>
      <c r="F71">
        <v>2.58351874884944</v>
      </c>
      <c r="G71">
        <v>-21.382869689508677</v>
      </c>
      <c r="H71">
        <v>-18.467746778833185</v>
      </c>
      <c r="I71">
        <v>2.78120775716785</v>
      </c>
      <c r="J71">
        <v>1.5903698570026901</v>
      </c>
      <c r="K71">
        <v>0.50740374078356199</v>
      </c>
      <c r="L71">
        <v>2.9958170377640124E-5</v>
      </c>
      <c r="M71">
        <v>1.7751535639246247E-6</v>
      </c>
      <c r="N71" s="1">
        <v>-9.3621533177969106E-9</v>
      </c>
      <c r="O71" s="1">
        <v>4.4370596152992001E-12</v>
      </c>
      <c r="P71" s="1">
        <v>3.83663893045311E-11</v>
      </c>
      <c r="Q71">
        <v>63.529483137860403</v>
      </c>
      <c r="S71">
        <v>22.668929481670499</v>
      </c>
      <c r="AA71">
        <v>3.8783625471008598</v>
      </c>
      <c r="AB71">
        <v>8.6665155127129108</v>
      </c>
      <c r="AC71">
        <v>1.2567093206551601</v>
      </c>
      <c r="AJ71">
        <v>0.74476860935774902</v>
      </c>
      <c r="AK71">
        <v>0.18417727347947899</v>
      </c>
      <c r="AL71">
        <v>7.1054117162771296E-2</v>
      </c>
    </row>
    <row r="72" spans="1:38" x14ac:dyDescent="0.2">
      <c r="A72">
        <v>105</v>
      </c>
      <c r="B72">
        <v>774</v>
      </c>
      <c r="C72">
        <v>150</v>
      </c>
      <c r="D72">
        <v>0.44641216635630598</v>
      </c>
      <c r="E72">
        <v>1.6126703884523399</v>
      </c>
      <c r="F72">
        <v>2.58315600078345</v>
      </c>
      <c r="G72">
        <v>-26.30043823774286</v>
      </c>
      <c r="H72">
        <v>-22.719273697705894</v>
      </c>
      <c r="I72">
        <v>3.4199155231217699</v>
      </c>
      <c r="J72">
        <v>1.9568466952761401</v>
      </c>
      <c r="K72">
        <v>0.62430236035424702</v>
      </c>
      <c r="L72">
        <v>3.0000516707052593E-5</v>
      </c>
      <c r="M72">
        <v>1.7763608108322626E-6</v>
      </c>
      <c r="N72" s="1">
        <v>-1.19104706805429E-8</v>
      </c>
      <c r="O72" s="1">
        <v>5.4601751227676397E-12</v>
      </c>
      <c r="P72" s="1">
        <v>4.8342666683770002E-11</v>
      </c>
      <c r="Q72">
        <v>63.576910695396897</v>
      </c>
      <c r="S72">
        <v>22.633065733801299</v>
      </c>
      <c r="AA72">
        <v>3.8377080157185</v>
      </c>
      <c r="AB72">
        <v>8.6781838040745001</v>
      </c>
      <c r="AC72">
        <v>1.2741317510086601</v>
      </c>
      <c r="AJ72">
        <v>0.74572870463775298</v>
      </c>
      <c r="AK72">
        <v>0.182236235548978</v>
      </c>
      <c r="AL72">
        <v>7.2035059813267299E-2</v>
      </c>
    </row>
    <row r="73" spans="1:38" x14ac:dyDescent="0.2">
      <c r="A73">
        <v>106</v>
      </c>
      <c r="B73">
        <v>773</v>
      </c>
      <c r="C73">
        <v>150</v>
      </c>
      <c r="D73">
        <v>0.44581608755914398</v>
      </c>
      <c r="E73">
        <v>1.9145020618133901</v>
      </c>
      <c r="F73">
        <v>2.5827971190183399</v>
      </c>
      <c r="G73">
        <v>-31.216892186423316</v>
      </c>
      <c r="H73">
        <v>-26.971478980191037</v>
      </c>
      <c r="I73">
        <v>4.0581304843782204</v>
      </c>
      <c r="J73">
        <v>2.3235256165329501</v>
      </c>
      <c r="K73">
        <v>0.74125143152592898</v>
      </c>
      <c r="L73">
        <v>3.0042985698863631E-5</v>
      </c>
      <c r="M73">
        <v>1.7775505956826384E-6</v>
      </c>
      <c r="N73" s="1">
        <v>-1.46194509786588E-8</v>
      </c>
      <c r="O73" s="1">
        <v>6.4838942170410303E-12</v>
      </c>
      <c r="P73" s="1">
        <v>5.8786152568326899E-11</v>
      </c>
      <c r="Q73">
        <v>63.623599314717097</v>
      </c>
      <c r="S73">
        <v>22.5976526815986</v>
      </c>
      <c r="AA73">
        <v>3.7975977340065201</v>
      </c>
      <c r="AB73">
        <v>8.6893869685252891</v>
      </c>
      <c r="AC73">
        <v>1.2917633011524401</v>
      </c>
      <c r="AJ73">
        <v>0.74665044212495102</v>
      </c>
      <c r="AK73">
        <v>0.18032167721814399</v>
      </c>
      <c r="AL73">
        <v>7.3027880656904798E-2</v>
      </c>
    </row>
    <row r="74" spans="1:38" x14ac:dyDescent="0.2">
      <c r="A74">
        <v>107</v>
      </c>
      <c r="B74">
        <v>772</v>
      </c>
      <c r="C74">
        <v>150</v>
      </c>
      <c r="D74">
        <v>0.44521886810505501</v>
      </c>
      <c r="E74">
        <v>2.2163324442068899</v>
      </c>
      <c r="F74">
        <v>2.5824420755316999</v>
      </c>
      <c r="G74">
        <v>-36.131414781747338</v>
      </c>
      <c r="H74">
        <v>-31.223659644408656</v>
      </c>
      <c r="I74">
        <v>4.6957423693619704</v>
      </c>
      <c r="J74">
        <v>2.69035219244829</v>
      </c>
      <c r="K74">
        <v>0.85823123205989704</v>
      </c>
      <c r="L74">
        <v>3.0085594677854558E-5</v>
      </c>
      <c r="M74">
        <v>1.7787230397858039E-6</v>
      </c>
      <c r="N74" s="1">
        <v>-1.7495500520680099E-8</v>
      </c>
      <c r="O74" s="1">
        <v>7.5079617398557894E-12</v>
      </c>
      <c r="P74" s="1">
        <v>6.9714638602012395E-11</v>
      </c>
      <c r="Q74">
        <v>63.669551767161998</v>
      </c>
      <c r="S74">
        <v>22.5626881183724</v>
      </c>
      <c r="AA74">
        <v>3.7580292347686401</v>
      </c>
      <c r="AB74">
        <v>8.7001253967259302</v>
      </c>
      <c r="AC74">
        <v>1.30960548297095</v>
      </c>
      <c r="AJ74">
        <v>0.74753386665081201</v>
      </c>
      <c r="AK74">
        <v>0.17843346342701799</v>
      </c>
      <c r="AL74">
        <v>7.4032669922168795E-2</v>
      </c>
    </row>
    <row r="75" spans="1:38" x14ac:dyDescent="0.2">
      <c r="A75">
        <v>108</v>
      </c>
      <c r="B75">
        <v>771</v>
      </c>
      <c r="C75">
        <v>150</v>
      </c>
      <c r="D75">
        <v>0.44462050471675502</v>
      </c>
      <c r="E75">
        <v>2.5181123955612201</v>
      </c>
      <c r="F75">
        <v>2.5820908382705499</v>
      </c>
      <c r="G75">
        <v>-41.0431981856756</v>
      </c>
      <c r="H75">
        <v>-35.475119818431175</v>
      </c>
      <c r="I75">
        <v>5.3326422135176301</v>
      </c>
      <c r="J75">
        <v>3.0572728495159902</v>
      </c>
      <c r="K75">
        <v>0.97522223395045804</v>
      </c>
      <c r="L75">
        <v>3.0128361784329688E-5</v>
      </c>
      <c r="M75">
        <v>1.7798782779516E-6</v>
      </c>
      <c r="N75" s="1">
        <v>-2.0545285587034101E-8</v>
      </c>
      <c r="O75" s="1">
        <v>8.5321220194281903E-12</v>
      </c>
      <c r="P75" s="1">
        <v>8.1146639938556001E-11</v>
      </c>
      <c r="Q75">
        <v>63.7147713412797</v>
      </c>
      <c r="S75">
        <v>22.528169463382699</v>
      </c>
      <c r="AA75">
        <v>3.7189996215301799</v>
      </c>
      <c r="AB75">
        <v>8.7103996512837707</v>
      </c>
      <c r="AC75">
        <v>1.3276599225235499</v>
      </c>
      <c r="AJ75">
        <v>0.74837903664187699</v>
      </c>
      <c r="AK75">
        <v>0.17657143899181099</v>
      </c>
      <c r="AL75">
        <v>7.5049524366310794E-2</v>
      </c>
    </row>
    <row r="76" spans="1:38" x14ac:dyDescent="0.2">
      <c r="A76">
        <v>109</v>
      </c>
      <c r="B76">
        <v>770</v>
      </c>
      <c r="C76">
        <v>150</v>
      </c>
      <c r="D76">
        <v>0.44402099410439499</v>
      </c>
      <c r="E76">
        <v>2.83673025257586</v>
      </c>
      <c r="F76">
        <v>2.5817252486648199</v>
      </c>
      <c r="G76">
        <v>-46.227247350386335</v>
      </c>
      <c r="H76">
        <v>-39.963560291051422</v>
      </c>
      <c r="I76">
        <v>6.0045890421654704</v>
      </c>
      <c r="J76">
        <v>3.4447996753622201</v>
      </c>
      <c r="K76">
        <v>1.0987730991293101</v>
      </c>
      <c r="L76">
        <v>3.0171731226641981E-5</v>
      </c>
      <c r="M76">
        <v>1.7810477460994643E-6</v>
      </c>
      <c r="N76" s="1">
        <v>-2.39182950034427E-8</v>
      </c>
      <c r="O76" s="1">
        <v>9.6138712668624403E-12</v>
      </c>
      <c r="P76" s="1">
        <v>9.3659591267453296E-11</v>
      </c>
      <c r="Q76">
        <v>63.760777679331298</v>
      </c>
      <c r="S76">
        <v>22.492768121849402</v>
      </c>
      <c r="AA76">
        <v>3.6790582022470799</v>
      </c>
      <c r="AB76">
        <v>8.7201130895524805</v>
      </c>
      <c r="AC76">
        <v>1.3472829070196599</v>
      </c>
      <c r="AJ76">
        <v>0.74917804419204903</v>
      </c>
      <c r="AK76">
        <v>0.17466680357299699</v>
      </c>
      <c r="AL76">
        <v>7.6155152234953102E-2</v>
      </c>
    </row>
    <row r="77" spans="1:38" x14ac:dyDescent="0.2">
      <c r="A77">
        <v>110</v>
      </c>
      <c r="B77">
        <v>769</v>
      </c>
      <c r="C77">
        <v>150</v>
      </c>
      <c r="D77">
        <v>0.44342033296550898</v>
      </c>
      <c r="E77">
        <v>3.6316752255274301</v>
      </c>
      <c r="F77">
        <v>2.5808459964895198</v>
      </c>
      <c r="G77">
        <v>-59.162314747683233</v>
      </c>
      <c r="H77">
        <v>-51.154201173286971</v>
      </c>
      <c r="I77">
        <v>7.6842235516924102</v>
      </c>
      <c r="J77">
        <v>4.4109253351621298</v>
      </c>
      <c r="K77">
        <v>1.4071646392180099</v>
      </c>
      <c r="L77">
        <v>3.0226252746827192E-5</v>
      </c>
      <c r="M77">
        <v>1.7830604573080364E-6</v>
      </c>
      <c r="N77" s="1">
        <v>-3.16242330968288E-8</v>
      </c>
      <c r="O77" s="1">
        <v>1.2323317869107501E-11</v>
      </c>
      <c r="P77" s="1">
        <v>1.22805947479731E-10</v>
      </c>
      <c r="Q77">
        <v>63.848245692595299</v>
      </c>
      <c r="S77">
        <v>22.420423847293701</v>
      </c>
      <c r="AA77">
        <v>3.5989639698617402</v>
      </c>
      <c r="AB77">
        <v>8.7253709461189306</v>
      </c>
      <c r="AC77">
        <v>1.4069955441301401</v>
      </c>
      <c r="AJ77">
        <v>0.74961145481118296</v>
      </c>
      <c r="AK77">
        <v>0.170860079519144</v>
      </c>
      <c r="AL77">
        <v>7.9528465669672005E-2</v>
      </c>
    </row>
    <row r="78" spans="1:38" x14ac:dyDescent="0.2">
      <c r="A78">
        <v>111</v>
      </c>
      <c r="B78">
        <v>768</v>
      </c>
      <c r="C78">
        <v>150</v>
      </c>
      <c r="D78">
        <v>0.442818517984921</v>
      </c>
      <c r="E78">
        <v>4.4312565272044404</v>
      </c>
      <c r="F78">
        <v>2.5799488820899099</v>
      </c>
      <c r="G78">
        <v>-72.163506976974773</v>
      </c>
      <c r="H78">
        <v>-62.405577432220213</v>
      </c>
      <c r="I78">
        <v>9.3722610044225796</v>
      </c>
      <c r="J78">
        <v>5.3829805974268998</v>
      </c>
      <c r="K78">
        <v>1.7175753201803099</v>
      </c>
      <c r="L78">
        <v>3.0279032111066233E-5</v>
      </c>
      <c r="M78">
        <v>1.7850251476510798E-6</v>
      </c>
      <c r="N78" s="1">
        <v>-3.9830548842950198E-8</v>
      </c>
      <c r="O78" s="1">
        <v>1.5055336407377602E-11</v>
      </c>
      <c r="P78" s="1">
        <v>1.534356187883E-10</v>
      </c>
      <c r="Q78">
        <v>63.9345395496048</v>
      </c>
      <c r="S78">
        <v>22.347901279145301</v>
      </c>
      <c r="AA78">
        <v>3.5189966167469899</v>
      </c>
      <c r="AB78">
        <v>8.7275448385943797</v>
      </c>
      <c r="AC78">
        <v>1.4710177159084801</v>
      </c>
      <c r="AJ78">
        <v>0.74979139958457497</v>
      </c>
      <c r="AK78">
        <v>0.16706212662592301</v>
      </c>
      <c r="AL78">
        <v>8.3146473789501199E-2</v>
      </c>
    </row>
    <row r="79" spans="1:38" x14ac:dyDescent="0.2">
      <c r="A79">
        <v>112</v>
      </c>
      <c r="B79">
        <v>767</v>
      </c>
      <c r="C79">
        <v>150</v>
      </c>
      <c r="D79">
        <v>0.44221554583473799</v>
      </c>
      <c r="E79">
        <v>5.2373526343954797</v>
      </c>
      <c r="F79">
        <v>2.5790286916242802</v>
      </c>
      <c r="G79">
        <v>-85.260657581296115</v>
      </c>
      <c r="H79">
        <v>-73.743471301390343</v>
      </c>
      <c r="I79">
        <v>11.072620564251</v>
      </c>
      <c r="J79">
        <v>6.3632156984212402</v>
      </c>
      <c r="K79">
        <v>2.0307461686659098</v>
      </c>
      <c r="L79">
        <v>3.032990812735154E-5</v>
      </c>
      <c r="M79">
        <v>1.7869430816040295E-6</v>
      </c>
      <c r="N79" s="1">
        <v>-4.85670147624952E-8</v>
      </c>
      <c r="O79" s="1">
        <v>1.78166089003259E-11</v>
      </c>
      <c r="P79" s="1">
        <v>1.8564878588679799E-10</v>
      </c>
      <c r="Q79">
        <v>64.019837021976997</v>
      </c>
      <c r="S79">
        <v>22.2749313183186</v>
      </c>
      <c r="AA79">
        <v>3.4388926528254702</v>
      </c>
      <c r="AB79">
        <v>8.7263254432589008</v>
      </c>
      <c r="AC79">
        <v>1.5400135636199199</v>
      </c>
      <c r="AJ79">
        <v>0.74969247677819195</v>
      </c>
      <c r="AK79">
        <v>0.16326051290663701</v>
      </c>
      <c r="AL79">
        <v>8.7047010315170106E-2</v>
      </c>
    </row>
    <row r="80" spans="1:38" x14ac:dyDescent="0.2">
      <c r="A80">
        <v>113</v>
      </c>
      <c r="B80">
        <v>766</v>
      </c>
      <c r="C80">
        <v>150</v>
      </c>
      <c r="D80">
        <v>0.44161141317423203</v>
      </c>
      <c r="E80">
        <v>6.0523787744762299</v>
      </c>
      <c r="F80">
        <v>2.5780787494809201</v>
      </c>
      <c r="G80">
        <v>-98.492120811205695</v>
      </c>
      <c r="H80">
        <v>-85.201033612806796</v>
      </c>
      <c r="I80">
        <v>12.790345184428499</v>
      </c>
      <c r="J80">
        <v>7.3545234279435396</v>
      </c>
      <c r="K80">
        <v>2.3476314583853699</v>
      </c>
      <c r="L80">
        <v>3.0378671615496842E-5</v>
      </c>
      <c r="M80">
        <v>1.7888158634915476E-6</v>
      </c>
      <c r="N80" s="1">
        <v>-5.7868503309377901E-8</v>
      </c>
      <c r="O80" s="1">
        <v>2.06158445196638E-11</v>
      </c>
      <c r="P80" s="1">
        <v>2.1956461841045899E-10</v>
      </c>
      <c r="Q80">
        <v>64.104366268890999</v>
      </c>
      <c r="S80">
        <v>22.201169006915499</v>
      </c>
      <c r="AA80">
        <v>3.3583142464736899</v>
      </c>
      <c r="AB80">
        <v>8.7213168486317301</v>
      </c>
      <c r="AC80">
        <v>1.6148336290879499</v>
      </c>
      <c r="AJ80">
        <v>0.74928214142940497</v>
      </c>
      <c r="AK80">
        <v>0.159439322006731</v>
      </c>
      <c r="AL80">
        <v>9.1278536563863102E-2</v>
      </c>
    </row>
    <row r="81" spans="1:38" x14ac:dyDescent="0.2">
      <c r="A81">
        <v>114</v>
      </c>
      <c r="B81">
        <v>765</v>
      </c>
      <c r="C81">
        <v>150</v>
      </c>
      <c r="D81">
        <v>0.44100611664981298</v>
      </c>
      <c r="E81">
        <v>6.87952085173404</v>
      </c>
      <c r="F81">
        <v>2.57709030128192</v>
      </c>
      <c r="G81">
        <v>-111.90848683044982</v>
      </c>
      <c r="H81">
        <v>-96.821996312573091</v>
      </c>
      <c r="I81">
        <v>14.5320912371783</v>
      </c>
      <c r="J81">
        <v>8.3607189303751603</v>
      </c>
      <c r="K81">
        <v>2.66949157672587</v>
      </c>
      <c r="L81">
        <v>3.0425044171511349E-5</v>
      </c>
      <c r="M81">
        <v>1.7906455495044806E-6</v>
      </c>
      <c r="N81" s="1">
        <v>-6.7776924641569397E-8</v>
      </c>
      <c r="O81" s="1">
        <v>2.3464661446926E-11</v>
      </c>
      <c r="P81" s="1">
        <v>2.5532876419949898E-10</v>
      </c>
      <c r="Q81">
        <v>64.188426012898603</v>
      </c>
      <c r="S81">
        <v>22.1261619855193</v>
      </c>
      <c r="AA81">
        <v>3.2768184937174798</v>
      </c>
      <c r="AB81">
        <v>8.7119988228810907</v>
      </c>
      <c r="AC81">
        <v>1.69659468498338</v>
      </c>
      <c r="AJ81">
        <v>0.74851759212396796</v>
      </c>
      <c r="AK81">
        <v>0.15557771196351899</v>
      </c>
      <c r="AL81">
        <v>9.5904695912511898E-2</v>
      </c>
    </row>
    <row r="82" spans="1:38" x14ac:dyDescent="0.2">
      <c r="A82">
        <v>115</v>
      </c>
      <c r="B82">
        <v>764</v>
      </c>
      <c r="C82">
        <v>150</v>
      </c>
      <c r="D82">
        <v>0.44039965289495597</v>
      </c>
      <c r="E82">
        <v>8.2329350580114298</v>
      </c>
      <c r="F82">
        <v>2.5754311567718902</v>
      </c>
      <c r="G82">
        <v>-133.8467835907974</v>
      </c>
      <c r="H82">
        <v>-115.816514345725</v>
      </c>
      <c r="I82">
        <v>17.384437395817699</v>
      </c>
      <c r="J82">
        <v>10.006115582720801</v>
      </c>
      <c r="K82">
        <v>3.1967210757560198</v>
      </c>
      <c r="L82">
        <v>3.0477478089154762E-5</v>
      </c>
      <c r="M82">
        <v>1.7933255051097E-6</v>
      </c>
      <c r="N82" s="1">
        <v>-8.3422598541878994E-8</v>
      </c>
      <c r="O82" s="1">
        <v>2.8154372226779101E-11</v>
      </c>
      <c r="P82" s="1">
        <v>3.1217321288479502E-10</v>
      </c>
      <c r="Q82">
        <v>64.318446033851899</v>
      </c>
      <c r="S82">
        <v>22.006968357130599</v>
      </c>
      <c r="AA82">
        <v>3.1481441354497499</v>
      </c>
      <c r="AB82">
        <v>8.6892598751304799</v>
      </c>
      <c r="AC82">
        <v>1.8371815984372</v>
      </c>
      <c r="AJ82">
        <v>0.74665041345037197</v>
      </c>
      <c r="AK82">
        <v>0.149485793845651</v>
      </c>
      <c r="AL82">
        <v>0.103863792703975</v>
      </c>
    </row>
    <row r="83" spans="1:38" x14ac:dyDescent="0.2">
      <c r="A83">
        <v>116</v>
      </c>
      <c r="B83">
        <v>763</v>
      </c>
      <c r="C83">
        <v>150</v>
      </c>
      <c r="D83">
        <v>0.43979201853014099</v>
      </c>
      <c r="E83">
        <v>11.527887611834201</v>
      </c>
      <c r="F83">
        <v>2.5764070129886898</v>
      </c>
      <c r="G83">
        <v>-187.39474269701194</v>
      </c>
      <c r="H83">
        <v>-162.19220711673023</v>
      </c>
      <c r="I83">
        <v>24.323250089544601</v>
      </c>
      <c r="J83">
        <v>14.0097549524509</v>
      </c>
      <c r="K83">
        <v>4.4744046859512103</v>
      </c>
      <c r="L83">
        <v>3.0432366025579098E-5</v>
      </c>
      <c r="M83">
        <v>1.7907241548686643E-6</v>
      </c>
      <c r="N83" s="1">
        <v>-1.1954414233921699E-7</v>
      </c>
      <c r="O83" s="1">
        <v>3.9324327828812003E-11</v>
      </c>
      <c r="P83" s="1">
        <v>4.45037131846072E-10</v>
      </c>
      <c r="Q83">
        <v>64.202732294946699</v>
      </c>
      <c r="S83">
        <v>22.084828985819499</v>
      </c>
      <c r="AA83">
        <v>3.23938017041255</v>
      </c>
      <c r="AB83">
        <v>8.6355197729834501</v>
      </c>
      <c r="AC83">
        <v>1.83753877583769</v>
      </c>
      <c r="AJ83">
        <v>0.74222958848782405</v>
      </c>
      <c r="AK83">
        <v>0.15385885281822601</v>
      </c>
      <c r="AL83">
        <v>0.103911558693949</v>
      </c>
    </row>
    <row r="84" spans="1:38" x14ac:dyDescent="0.2">
      <c r="A84">
        <v>117</v>
      </c>
      <c r="B84">
        <v>762</v>
      </c>
      <c r="C84">
        <v>150</v>
      </c>
      <c r="D84">
        <v>0.439183210162781</v>
      </c>
      <c r="E84">
        <v>16.0630663813469</v>
      </c>
      <c r="F84">
        <v>2.5793989884814899</v>
      </c>
      <c r="G84">
        <v>-261.18716657834813</v>
      </c>
      <c r="H84">
        <v>-226.14134952092203</v>
      </c>
      <c r="I84">
        <v>33.855786173429998</v>
      </c>
      <c r="J84">
        <v>19.5181856932073</v>
      </c>
      <c r="K84">
        <v>6.2274454061112099</v>
      </c>
      <c r="L84">
        <v>3.0313112852175094E-5</v>
      </c>
      <c r="M84">
        <v>1.7840651883538833E-6</v>
      </c>
      <c r="N84" s="1">
        <v>-1.69874493231884E-7</v>
      </c>
      <c r="O84" s="1">
        <v>5.4442689528884501E-11</v>
      </c>
      <c r="P84" s="1">
        <v>6.2981885492906096E-10</v>
      </c>
      <c r="Q84">
        <v>63.8988502917773</v>
      </c>
      <c r="S84">
        <v>22.314250412969699</v>
      </c>
      <c r="AA84">
        <v>3.4995619080054601</v>
      </c>
      <c r="AB84">
        <v>8.5597931205169395</v>
      </c>
      <c r="AC84">
        <v>1.72754426673057</v>
      </c>
      <c r="AJ84">
        <v>0.73599401490974803</v>
      </c>
      <c r="AK84">
        <v>0.16627826536145901</v>
      </c>
      <c r="AL84">
        <v>9.77277197287926E-2</v>
      </c>
    </row>
    <row r="85" spans="1:38" x14ac:dyDescent="0.2">
      <c r="A85">
        <v>118</v>
      </c>
      <c r="B85">
        <v>761</v>
      </c>
      <c r="C85">
        <v>150</v>
      </c>
      <c r="D85">
        <v>0.43857322438717999</v>
      </c>
      <c r="E85">
        <v>17.8435940478603</v>
      </c>
      <c r="F85">
        <v>2.5807044567546198</v>
      </c>
      <c r="G85">
        <v>-290.15027616114264</v>
      </c>
      <c r="H85">
        <v>-251.28782816268333</v>
      </c>
      <c r="I85">
        <v>37.579121015770703</v>
      </c>
      <c r="J85">
        <v>21.683073691498201</v>
      </c>
      <c r="K85">
        <v>6.9142338252476998</v>
      </c>
      <c r="L85">
        <v>3.0279227570967529E-5</v>
      </c>
      <c r="M85">
        <v>1.7813239294206453E-6</v>
      </c>
      <c r="N85" s="1">
        <v>-1.9375827103373699E-7</v>
      </c>
      <c r="O85" s="1">
        <v>6.0281385840853096E-11</v>
      </c>
      <c r="P85" s="1">
        <v>7.1431741826288303E-10</v>
      </c>
      <c r="Q85">
        <v>63.770115281324998</v>
      </c>
      <c r="S85">
        <v>22.411590594728501</v>
      </c>
      <c r="AA85">
        <v>3.6099071094089701</v>
      </c>
      <c r="AB85">
        <v>8.5281039937875391</v>
      </c>
      <c r="AC85">
        <v>1.6802830207498001</v>
      </c>
      <c r="AJ85">
        <v>0.73338323360695201</v>
      </c>
      <c r="AK85">
        <v>0.171547860679614</v>
      </c>
      <c r="AL85">
        <v>9.5068905713432503E-2</v>
      </c>
    </row>
    <row r="86" spans="1:38" x14ac:dyDescent="0.2">
      <c r="A86">
        <v>119</v>
      </c>
      <c r="B86">
        <v>760</v>
      </c>
      <c r="C86">
        <v>150</v>
      </c>
      <c r="D86">
        <v>0.43796205778444602</v>
      </c>
      <c r="E86">
        <v>18.647046993565102</v>
      </c>
      <c r="F86">
        <v>2.5813567117409999</v>
      </c>
      <c r="G86">
        <v>-303.20213171056974</v>
      </c>
      <c r="H86">
        <v>-262.65589965289911</v>
      </c>
      <c r="I86">
        <v>39.245251955350803</v>
      </c>
      <c r="J86">
        <v>22.663215823638499</v>
      </c>
      <c r="K86">
        <v>7.2237389388112003</v>
      </c>
      <c r="L86">
        <v>3.0281284064611619E-5</v>
      </c>
      <c r="M86">
        <v>1.7801698900476962E-6</v>
      </c>
      <c r="N86" s="1">
        <v>-2.0852284749446E-7</v>
      </c>
      <c r="O86" s="1">
        <v>6.2869414424960805E-11</v>
      </c>
      <c r="P86" s="1">
        <v>7.6397549572225903E-10</v>
      </c>
      <c r="Q86">
        <v>63.711368533037202</v>
      </c>
      <c r="S86">
        <v>22.456743013426301</v>
      </c>
      <c r="AA86">
        <v>3.6608660677519</v>
      </c>
      <c r="AB86">
        <v>8.51556295093404</v>
      </c>
      <c r="AC86">
        <v>1.6554594348504399</v>
      </c>
      <c r="AJ86">
        <v>0.73234967215495095</v>
      </c>
      <c r="AK86">
        <v>0.17398017309114799</v>
      </c>
      <c r="AL86">
        <v>9.3670154753899296E-2</v>
      </c>
    </row>
    <row r="87" spans="1:38" x14ac:dyDescent="0.2">
      <c r="A87">
        <v>120</v>
      </c>
      <c r="B87">
        <v>759</v>
      </c>
      <c r="C87">
        <v>150</v>
      </c>
      <c r="D87">
        <v>0.43734970692244701</v>
      </c>
      <c r="E87">
        <v>19.112708828477398</v>
      </c>
      <c r="F87">
        <v>2.5817704895018099</v>
      </c>
      <c r="G87">
        <v>-310.75148824628775</v>
      </c>
      <c r="H87">
        <v>-269.25852583535391</v>
      </c>
      <c r="I87">
        <v>40.200515827092701</v>
      </c>
      <c r="J87">
        <v>23.2341397817722</v>
      </c>
      <c r="K87">
        <v>7.4029465075207002</v>
      </c>
      <c r="L87">
        <v>3.0297359715636064E-5</v>
      </c>
      <c r="M87">
        <v>1.7796058872045529E-6</v>
      </c>
      <c r="N87" s="1">
        <v>-2.20354525116007E-7</v>
      </c>
      <c r="O87" s="1">
        <v>6.4338334113073705E-11</v>
      </c>
      <c r="P87" s="1">
        <v>8.0221164410531003E-10</v>
      </c>
      <c r="Q87">
        <v>63.678450103931297</v>
      </c>
      <c r="S87">
        <v>22.4827070710496</v>
      </c>
      <c r="AA87">
        <v>3.6899677465499301</v>
      </c>
      <c r="AB87">
        <v>8.5102741493044505</v>
      </c>
      <c r="AC87">
        <v>1.63860092916459</v>
      </c>
      <c r="AJ87">
        <v>0.73191364136661696</v>
      </c>
      <c r="AK87">
        <v>0.175367718268057</v>
      </c>
      <c r="AL87">
        <v>9.2718640365325705E-2</v>
      </c>
    </row>
    <row r="88" spans="1:38" x14ac:dyDescent="0.2">
      <c r="A88">
        <v>121</v>
      </c>
      <c r="B88">
        <v>758</v>
      </c>
      <c r="C88">
        <v>150</v>
      </c>
      <c r="D88">
        <v>0.43673616835572199</v>
      </c>
      <c r="E88">
        <v>19.425548587228199</v>
      </c>
      <c r="F88">
        <v>2.5820722651180499</v>
      </c>
      <c r="G88">
        <v>-315.81091917951392</v>
      </c>
      <c r="H88">
        <v>-273.70473291024683</v>
      </c>
      <c r="I88">
        <v>40.834200910892797</v>
      </c>
      <c r="J88">
        <v>23.620135943782699</v>
      </c>
      <c r="K88">
        <v>7.5232397054309503</v>
      </c>
      <c r="L88">
        <v>3.0320615235232525E-5</v>
      </c>
      <c r="M88">
        <v>1.7793226184321439E-6</v>
      </c>
      <c r="N88" s="1">
        <v>-2.3102894571337701E-7</v>
      </c>
      <c r="O88" s="1">
        <v>6.5301248129484598E-11</v>
      </c>
      <c r="P88" s="1">
        <v>8.3576089057750695E-10</v>
      </c>
      <c r="Q88">
        <v>63.657727677898301</v>
      </c>
      <c r="S88">
        <v>22.4996252713402</v>
      </c>
      <c r="AA88">
        <v>3.7087607298392098</v>
      </c>
      <c r="AB88">
        <v>8.5084485955597895</v>
      </c>
      <c r="AC88">
        <v>1.6254377253624199</v>
      </c>
      <c r="AJ88">
        <v>0.73176299224522001</v>
      </c>
      <c r="AK88">
        <v>0.176262395730265</v>
      </c>
      <c r="AL88">
        <v>9.1974612024513999E-2</v>
      </c>
    </row>
    <row r="89" spans="1:38" x14ac:dyDescent="0.2">
      <c r="A89">
        <v>122</v>
      </c>
      <c r="B89">
        <v>757</v>
      </c>
      <c r="C89">
        <v>150</v>
      </c>
      <c r="D89">
        <v>0.436121438625445</v>
      </c>
      <c r="E89">
        <v>19.6563789131432</v>
      </c>
      <c r="F89">
        <v>2.58231212356297</v>
      </c>
      <c r="G89">
        <v>-319.53394145302252</v>
      </c>
      <c r="H89">
        <v>-276.99359898272871</v>
      </c>
      <c r="I89">
        <v>41.295289492106797</v>
      </c>
      <c r="J89">
        <v>23.907053158183398</v>
      </c>
      <c r="K89">
        <v>7.6119299188442602</v>
      </c>
      <c r="L89">
        <v>3.0348328651297767E-5</v>
      </c>
      <c r="M89">
        <v>1.7791966415353316E-6</v>
      </c>
      <c r="N89" s="1">
        <v>-2.4122693493093499E-7</v>
      </c>
      <c r="O89" s="1">
        <v>6.5992075723253303E-11</v>
      </c>
      <c r="P89" s="1">
        <v>8.6720415054949199E-10</v>
      </c>
      <c r="Q89">
        <v>63.643771043073997</v>
      </c>
      <c r="S89">
        <v>22.511529270757499</v>
      </c>
      <c r="AA89">
        <v>3.7218382411825299</v>
      </c>
      <c r="AB89">
        <v>8.5085548652767091</v>
      </c>
      <c r="AC89">
        <v>1.61430657970917</v>
      </c>
      <c r="AJ89">
        <v>0.73177153890986002</v>
      </c>
      <c r="AK89">
        <v>0.17688377361001201</v>
      </c>
      <c r="AL89">
        <v>9.1344687480127404E-2</v>
      </c>
    </row>
    <row r="90" spans="1:38" x14ac:dyDescent="0.2">
      <c r="A90">
        <v>123</v>
      </c>
      <c r="B90">
        <v>756</v>
      </c>
      <c r="C90">
        <v>150</v>
      </c>
      <c r="D90">
        <v>0.43550551425934297</v>
      </c>
      <c r="E90">
        <v>19.837942696646699</v>
      </c>
      <c r="F90">
        <v>2.5825138242790899</v>
      </c>
      <c r="G90">
        <v>-322.45399063465788</v>
      </c>
      <c r="H90">
        <v>-279.5871610754225</v>
      </c>
      <c r="I90">
        <v>41.6526546754462</v>
      </c>
      <c r="J90">
        <v>24.1345849732175</v>
      </c>
      <c r="K90">
        <v>7.6816404660232296</v>
      </c>
      <c r="L90">
        <v>3.0379217473483058E-5</v>
      </c>
      <c r="M90">
        <v>1.7791691631175306E-6</v>
      </c>
      <c r="N90" s="1">
        <v>-2.5126736268238601E-7</v>
      </c>
      <c r="O90" s="1">
        <v>6.6518702015881901E-11</v>
      </c>
      <c r="P90" s="1">
        <v>8.9774590460797004E-10</v>
      </c>
      <c r="Q90">
        <v>63.633995274358597</v>
      </c>
      <c r="S90">
        <v>22.5203358569775</v>
      </c>
      <c r="AA90">
        <v>3.7313848069727098</v>
      </c>
      <c r="AB90">
        <v>8.5098576995604596</v>
      </c>
      <c r="AC90">
        <v>1.6044263621305499</v>
      </c>
      <c r="AJ90">
        <v>0.73187869069276301</v>
      </c>
      <c r="AK90">
        <v>0.17733629623275701</v>
      </c>
      <c r="AL90">
        <v>9.0785013074479406E-2</v>
      </c>
    </row>
    <row r="91" spans="1:38" x14ac:dyDescent="0.2">
      <c r="A91">
        <v>124</v>
      </c>
      <c r="B91">
        <v>755</v>
      </c>
      <c r="C91">
        <v>150</v>
      </c>
      <c r="D91">
        <v>0.43488839177162902</v>
      </c>
      <c r="E91">
        <v>19.9874724178371</v>
      </c>
      <c r="F91">
        <v>2.5826901406490599</v>
      </c>
      <c r="G91">
        <v>-324.85183835454143</v>
      </c>
      <c r="H91">
        <v>-281.72861692507706</v>
      </c>
      <c r="I91">
        <v>41.942538957802199</v>
      </c>
      <c r="J91">
        <v>24.3236241818494</v>
      </c>
      <c r="K91">
        <v>7.7390129397458498</v>
      </c>
      <c r="L91">
        <v>3.0412605622941268E-5</v>
      </c>
      <c r="M91">
        <v>1.7792085213423925E-6</v>
      </c>
      <c r="N91" s="1">
        <v>-2.6132281158034102E-7</v>
      </c>
      <c r="O91" s="1">
        <v>6.6937773306137804E-11</v>
      </c>
      <c r="P91" s="1">
        <v>9.2803316882995303E-10</v>
      </c>
      <c r="Q91">
        <v>63.627007546388903</v>
      </c>
      <c r="S91">
        <v>22.5270769872016</v>
      </c>
      <c r="AA91">
        <v>3.7385767992246102</v>
      </c>
      <c r="AB91">
        <v>8.5119586717361493</v>
      </c>
      <c r="AC91">
        <v>1.5953799954485799</v>
      </c>
      <c r="AJ91">
        <v>0.73205161156584297</v>
      </c>
      <c r="AK91">
        <v>0.17767621402290101</v>
      </c>
      <c r="AL91">
        <v>9.0272174411254902E-2</v>
      </c>
    </row>
    <row r="92" spans="1:38" x14ac:dyDescent="0.2">
      <c r="A92">
        <v>126</v>
      </c>
      <c r="B92">
        <v>792</v>
      </c>
      <c r="C92">
        <v>125</v>
      </c>
      <c r="D92">
        <v>0.48276815471999501</v>
      </c>
      <c r="E92">
        <v>9.7004260078483701E-2</v>
      </c>
      <c r="F92">
        <v>2.5826245409162998</v>
      </c>
      <c r="G92">
        <v>-1.5871164739813168</v>
      </c>
      <c r="H92">
        <v>-1.3659270430098136</v>
      </c>
      <c r="I92">
        <v>0.20766035860818</v>
      </c>
      <c r="J92">
        <v>0.117493693724284</v>
      </c>
      <c r="K92">
        <v>3.7560341637606597E-2</v>
      </c>
      <c r="L92">
        <v>2.9598036703812556E-5</v>
      </c>
      <c r="M92">
        <v>1.7708031092302778E-6</v>
      </c>
      <c r="N92" s="1">
        <v>-3.8363021399426302E-10</v>
      </c>
      <c r="O92" s="1">
        <v>3.30011519920936E-13</v>
      </c>
      <c r="P92" s="1">
        <v>1.9313094899359002E-12</v>
      </c>
      <c r="Q92">
        <v>63.362258541639498</v>
      </c>
      <c r="S92">
        <v>22.795849625849002</v>
      </c>
      <c r="AA92">
        <v>4.0220925390279296</v>
      </c>
      <c r="AB92">
        <v>8.6266021249675102</v>
      </c>
      <c r="AC92">
        <v>1.1931971685159599</v>
      </c>
      <c r="AJ92">
        <v>0.74148353458179095</v>
      </c>
      <c r="AK92">
        <v>0.19104012442034299</v>
      </c>
      <c r="AL92">
        <v>6.7476340997864703E-2</v>
      </c>
    </row>
    <row r="93" spans="1:38" x14ac:dyDescent="0.2">
      <c r="A93">
        <v>127</v>
      </c>
      <c r="B93">
        <v>791</v>
      </c>
      <c r="C93">
        <v>125</v>
      </c>
      <c r="D93">
        <v>0.48221632288681698</v>
      </c>
      <c r="E93">
        <v>0.38693563894038702</v>
      </c>
      <c r="F93">
        <v>2.5822705818132698</v>
      </c>
      <c r="G93">
        <v>-6.3295894516420583</v>
      </c>
      <c r="H93">
        <v>-5.4485142162000493</v>
      </c>
      <c r="I93">
        <v>0.82796150490251297</v>
      </c>
      <c r="J93">
        <v>0.46870823476176598</v>
      </c>
      <c r="K93">
        <v>0.149843181293836</v>
      </c>
      <c r="L93">
        <v>2.9632119159031224E-5</v>
      </c>
      <c r="M93">
        <v>1.7719930253328159E-6</v>
      </c>
      <c r="N93" s="1">
        <v>-1.5884371711969301E-9</v>
      </c>
      <c r="O93" s="1">
        <v>1.31704525123479E-12</v>
      </c>
      <c r="P93" s="1">
        <v>7.8746313364333905E-12</v>
      </c>
      <c r="Q93">
        <v>63.409691143942702</v>
      </c>
      <c r="S93">
        <v>22.760369752826101</v>
      </c>
      <c r="AA93">
        <v>3.9817535311969201</v>
      </c>
      <c r="AB93">
        <v>8.6392880361379891</v>
      </c>
      <c r="AC93">
        <v>1.20889753589617</v>
      </c>
      <c r="AJ93">
        <v>0.74252770354088105</v>
      </c>
      <c r="AK93">
        <v>0.18911234163152199</v>
      </c>
      <c r="AL93">
        <v>6.83599548275962E-2</v>
      </c>
    </row>
    <row r="94" spans="1:38" x14ac:dyDescent="0.2">
      <c r="A94">
        <v>128</v>
      </c>
      <c r="B94">
        <v>790</v>
      </c>
      <c r="C94">
        <v>125</v>
      </c>
      <c r="D94">
        <v>0.48166345294643498</v>
      </c>
      <c r="E94">
        <v>0.67696658988138902</v>
      </c>
      <c r="F94">
        <v>2.5819203564461501</v>
      </c>
      <c r="G94">
        <v>-11.071913579606234</v>
      </c>
      <c r="H94">
        <v>-9.5325518169247179</v>
      </c>
      <c r="I94">
        <v>1.4479252811752901</v>
      </c>
      <c r="J94">
        <v>0.82011035351599304</v>
      </c>
      <c r="K94">
        <v>0.262194993037348</v>
      </c>
      <c r="L94">
        <v>2.9666138101034775E-5</v>
      </c>
      <c r="M94">
        <v>1.7731662673355423E-6</v>
      </c>
      <c r="N94" s="1">
        <v>-2.8834564639643299E-9</v>
      </c>
      <c r="O94" s="1">
        <v>2.3053899280983602E-12</v>
      </c>
      <c r="P94" s="1">
        <v>1.40836065325886E-11</v>
      </c>
      <c r="Q94">
        <v>63.456437626154198</v>
      </c>
      <c r="S94">
        <v>22.725313006254201</v>
      </c>
      <c r="AA94">
        <v>3.94192370376404</v>
      </c>
      <c r="AB94">
        <v>8.6515542464736903</v>
      </c>
      <c r="AC94">
        <v>1.22477141735382</v>
      </c>
      <c r="AJ94">
        <v>0.74353721678132001</v>
      </c>
      <c r="AK94">
        <v>0.187209369568057</v>
      </c>
      <c r="AL94">
        <v>6.9253413650621806E-2</v>
      </c>
    </row>
    <row r="95" spans="1:38" x14ac:dyDescent="0.2">
      <c r="A95">
        <v>129</v>
      </c>
      <c r="B95">
        <v>789</v>
      </c>
      <c r="C95">
        <v>125</v>
      </c>
      <c r="D95">
        <v>0.48110954196676597</v>
      </c>
      <c r="E95">
        <v>0.96705344672792204</v>
      </c>
      <c r="F95">
        <v>2.58157385205367</v>
      </c>
      <c r="G95">
        <v>-15.813368682350472</v>
      </c>
      <c r="H95">
        <v>-13.61742280083952</v>
      </c>
      <c r="I95">
        <v>2.0674536379145501</v>
      </c>
      <c r="J95">
        <v>1.17164998682907</v>
      </c>
      <c r="K95">
        <v>0.374598404751666</v>
      </c>
      <c r="L95">
        <v>2.9700102975295056E-5</v>
      </c>
      <c r="M95">
        <v>1.7743229004900178E-6</v>
      </c>
      <c r="N95" s="1">
        <v>-4.2719723375587896E-9</v>
      </c>
      <c r="O95" s="1">
        <v>3.2948393759508701E-12</v>
      </c>
      <c r="P95" s="1">
        <v>2.0567322101655901E-11</v>
      </c>
      <c r="Q95">
        <v>63.502499194199203</v>
      </c>
      <c r="S95">
        <v>22.690678439258001</v>
      </c>
      <c r="AA95">
        <v>3.9026019941612899</v>
      </c>
      <c r="AB95">
        <v>8.6634009609581994</v>
      </c>
      <c r="AC95">
        <v>1.2408194114231501</v>
      </c>
      <c r="AJ95">
        <v>0.74451210372207499</v>
      </c>
      <c r="AK95">
        <v>0.185331141249338</v>
      </c>
      <c r="AL95">
        <v>7.0156755028585899E-2</v>
      </c>
    </row>
    <row r="96" spans="1:38" x14ac:dyDescent="0.2">
      <c r="A96">
        <v>130</v>
      </c>
      <c r="B96">
        <v>788</v>
      </c>
      <c r="C96">
        <v>125</v>
      </c>
      <c r="D96">
        <v>0.48055458700466802</v>
      </c>
      <c r="E96">
        <v>1.25715264056882</v>
      </c>
      <c r="F96">
        <v>2.5812310527262898</v>
      </c>
      <c r="G96">
        <v>-20.553236704418445</v>
      </c>
      <c r="H96">
        <v>-17.702511435536319</v>
      </c>
      <c r="I96">
        <v>2.6864489175725601</v>
      </c>
      <c r="J96">
        <v>1.5232773105437101</v>
      </c>
      <c r="K96">
        <v>0.48703607499259699</v>
      </c>
      <c r="L96">
        <v>2.9734023745359547E-5</v>
      </c>
      <c r="M96">
        <v>1.7754630013436287E-6</v>
      </c>
      <c r="N96" s="1">
        <v>-5.7573865479747399E-9</v>
      </c>
      <c r="O96" s="1">
        <v>4.2851864287047301E-12</v>
      </c>
      <c r="P96" s="1">
        <v>2.73351934939257E-11</v>
      </c>
      <c r="Q96">
        <v>63.5478774971889</v>
      </c>
      <c r="S96">
        <v>22.656464795877</v>
      </c>
      <c r="AA96">
        <v>3.8637869814107102</v>
      </c>
      <c r="AB96">
        <v>8.6748285618826895</v>
      </c>
      <c r="AC96">
        <v>1.2570421636406399</v>
      </c>
      <c r="AJ96">
        <v>0.74545240792471201</v>
      </c>
      <c r="AK96">
        <v>0.18347757284628</v>
      </c>
      <c r="AL96">
        <v>7.1070019229006007E-2</v>
      </c>
    </row>
    <row r="97" spans="1:38" x14ac:dyDescent="0.2">
      <c r="A97">
        <v>131</v>
      </c>
      <c r="B97">
        <v>787</v>
      </c>
      <c r="C97">
        <v>125</v>
      </c>
      <c r="D97">
        <v>0.479998585105882</v>
      </c>
      <c r="E97">
        <v>1.54722079592748</v>
      </c>
      <c r="F97">
        <v>2.58089193939227</v>
      </c>
      <c r="G97">
        <v>-25.29080327707106</v>
      </c>
      <c r="H97">
        <v>-21.78720464739467</v>
      </c>
      <c r="I97">
        <v>3.3048140637422798</v>
      </c>
      <c r="J97">
        <v>1.8749428613936401</v>
      </c>
      <c r="K97">
        <v>0.59949073121279695</v>
      </c>
      <c r="L97">
        <v>2.9767910898256639E-5</v>
      </c>
      <c r="M97">
        <v>1.7765866575878445E-6</v>
      </c>
      <c r="N97" s="1">
        <v>-7.3432239597645497E-9</v>
      </c>
      <c r="O97" s="1">
        <v>5.2762232713439903E-12</v>
      </c>
      <c r="P97" s="1">
        <v>3.43969808615949E-11</v>
      </c>
      <c r="Q97">
        <v>63.592574622019796</v>
      </c>
      <c r="S97">
        <v>22.622670513016899</v>
      </c>
      <c r="AA97">
        <v>3.8254768889949</v>
      </c>
      <c r="AB97">
        <v>8.6858376019299293</v>
      </c>
      <c r="AC97">
        <v>1.2734403740384399</v>
      </c>
      <c r="AJ97">
        <v>0.74635818651792596</v>
      </c>
      <c r="AK97">
        <v>0.18164856383477301</v>
      </c>
      <c r="AL97">
        <v>7.1993249647299903E-2</v>
      </c>
    </row>
    <row r="98" spans="1:38" x14ac:dyDescent="0.2">
      <c r="A98">
        <v>132</v>
      </c>
      <c r="B98">
        <v>786</v>
      </c>
      <c r="C98">
        <v>125</v>
      </c>
      <c r="D98">
        <v>0.47944153330501299</v>
      </c>
      <c r="E98">
        <v>1.8372148303029101</v>
      </c>
      <c r="F98">
        <v>2.5805564898050699</v>
      </c>
      <c r="G98">
        <v>-30.025359337504778</v>
      </c>
      <c r="H98">
        <v>-25.870893415381222</v>
      </c>
      <c r="I98">
        <v>3.9224528368253302</v>
      </c>
      <c r="J98">
        <v>2.2265976631576598</v>
      </c>
      <c r="K98">
        <v>0.71194520932254202</v>
      </c>
      <c r="L98">
        <v>2.9801775449741052E-5</v>
      </c>
      <c r="M98">
        <v>1.7776939678891622E-6</v>
      </c>
      <c r="N98" s="1">
        <v>-9.0331384890806105E-9</v>
      </c>
      <c r="O98" s="1">
        <v>6.2677417927849203E-12</v>
      </c>
      <c r="P98" s="1">
        <v>4.1762806322746602E-11</v>
      </c>
      <c r="Q98">
        <v>63.636593087289</v>
      </c>
      <c r="S98">
        <v>22.589293722756899</v>
      </c>
      <c r="AA98">
        <v>3.7876695881798002</v>
      </c>
      <c r="AB98">
        <v>8.6964287966612801</v>
      </c>
      <c r="AC98">
        <v>1.2900148051129401</v>
      </c>
      <c r="AJ98">
        <v>0.74722950957423995</v>
      </c>
      <c r="AK98">
        <v>0.17984399716986299</v>
      </c>
      <c r="AL98">
        <v>7.2926493255896396E-2</v>
      </c>
    </row>
    <row r="99" spans="1:38" x14ac:dyDescent="0.2">
      <c r="A99">
        <v>133</v>
      </c>
      <c r="B99">
        <v>785</v>
      </c>
      <c r="C99">
        <v>125</v>
      </c>
      <c r="D99">
        <v>0.47888342862543298</v>
      </c>
      <c r="E99">
        <v>2.12709204941901</v>
      </c>
      <c r="F99">
        <v>2.5802246785452101</v>
      </c>
      <c r="G99">
        <v>-34.756202675417235</v>
      </c>
      <c r="H99">
        <v>-29.952974103975855</v>
      </c>
      <c r="I99">
        <v>4.5392700197905498</v>
      </c>
      <c r="J99">
        <v>2.5781933477983401</v>
      </c>
      <c r="K99">
        <v>0.82438249161244403</v>
      </c>
      <c r="L99">
        <v>2.9835628948803359E-5</v>
      </c>
      <c r="M99">
        <v>1.7787850416731522E-6</v>
      </c>
      <c r="N99" s="1">
        <v>-1.08309193734449E-8</v>
      </c>
      <c r="O99" s="1">
        <v>7.2595339224151996E-12</v>
      </c>
      <c r="P99" s="1">
        <v>4.9443172092822901E-11</v>
      </c>
      <c r="Q99">
        <v>63.6799358351983</v>
      </c>
      <c r="S99">
        <v>22.5563322560388</v>
      </c>
      <c r="AA99">
        <v>3.7503626029476398</v>
      </c>
      <c r="AB99">
        <v>8.7066030161472998</v>
      </c>
      <c r="AC99">
        <v>1.30676628966789</v>
      </c>
      <c r="AJ99">
        <v>0.74806645941750605</v>
      </c>
      <c r="AK99">
        <v>0.17806373953587401</v>
      </c>
      <c r="AL99">
        <v>7.3869801046619304E-2</v>
      </c>
    </row>
    <row r="100" spans="1:38" x14ac:dyDescent="0.2">
      <c r="A100">
        <v>134</v>
      </c>
      <c r="B100">
        <v>784</v>
      </c>
      <c r="C100">
        <v>125</v>
      </c>
      <c r="D100">
        <v>0.47832426807926898</v>
      </c>
      <c r="E100">
        <v>2.4168102444887198</v>
      </c>
      <c r="F100">
        <v>2.5798964770218098</v>
      </c>
      <c r="G100">
        <v>-39.482639509974199</v>
      </c>
      <c r="H100">
        <v>-34.032849823972334</v>
      </c>
      <c r="I100">
        <v>5.15517162749076</v>
      </c>
      <c r="J100">
        <v>2.9296822792336599</v>
      </c>
      <c r="K100">
        <v>0.93678574548023796</v>
      </c>
      <c r="L100">
        <v>2.9869483482097268E-5</v>
      </c>
      <c r="M100">
        <v>1.7798599988951396E-6</v>
      </c>
      <c r="N100" s="1">
        <v>-1.27404978141484E-8</v>
      </c>
      <c r="O100" s="1">
        <v>8.2513919715842695E-12</v>
      </c>
      <c r="P100" s="1">
        <v>5.74489796664292E-11</v>
      </c>
      <c r="Q100">
        <v>63.722606222943398</v>
      </c>
      <c r="S100">
        <v>22.5237836465719</v>
      </c>
      <c r="AA100">
        <v>3.7135531152276</v>
      </c>
      <c r="AB100">
        <v>8.7163612760170306</v>
      </c>
      <c r="AC100">
        <v>1.3236957392400199</v>
      </c>
      <c r="AJ100">
        <v>0.74886912988383203</v>
      </c>
      <c r="AK100">
        <v>0.17630764160986201</v>
      </c>
      <c r="AL100">
        <v>7.4823228506304101E-2</v>
      </c>
    </row>
    <row r="101" spans="1:38" x14ac:dyDescent="0.2">
      <c r="A101">
        <v>135</v>
      </c>
      <c r="B101">
        <v>783</v>
      </c>
      <c r="C101">
        <v>125</v>
      </c>
      <c r="D101">
        <v>0.47776404866733202</v>
      </c>
      <c r="E101">
        <v>2.7063277859442501</v>
      </c>
      <c r="F101">
        <v>2.5795718534872401</v>
      </c>
      <c r="G101">
        <v>-44.203986006580173</v>
      </c>
      <c r="H101">
        <v>-38.109931743119169</v>
      </c>
      <c r="I101">
        <v>5.7700651076655802</v>
      </c>
      <c r="J101">
        <v>3.28101767302481</v>
      </c>
      <c r="K101">
        <v>1.0491383608042</v>
      </c>
      <c r="L101">
        <v>2.9903351677921032E-5</v>
      </c>
      <c r="M101">
        <v>1.7809189697732141E-6</v>
      </c>
      <c r="N101" s="1">
        <v>-1.47659539818336E-8</v>
      </c>
      <c r="O101" s="1">
        <v>9.2431089606075105E-12</v>
      </c>
      <c r="P101" s="1">
        <v>6.5791549971364496E-11</v>
      </c>
      <c r="Q101">
        <v>63.7646080124346</v>
      </c>
      <c r="S101">
        <v>22.491645135936601</v>
      </c>
      <c r="AA101">
        <v>3.6772379715049102</v>
      </c>
      <c r="AB101">
        <v>8.7257047279302906</v>
      </c>
      <c r="AC101">
        <v>1.3408041521935601</v>
      </c>
      <c r="AJ101">
        <v>0.74963762553624402</v>
      </c>
      <c r="AK101">
        <v>0.17457553838970599</v>
      </c>
      <c r="AL101">
        <v>7.5786836074048805E-2</v>
      </c>
    </row>
    <row r="102" spans="1:38" x14ac:dyDescent="0.2">
      <c r="A102">
        <v>136</v>
      </c>
      <c r="B102">
        <v>782</v>
      </c>
      <c r="C102">
        <v>125</v>
      </c>
      <c r="D102">
        <v>0.47720276737904699</v>
      </c>
      <c r="E102">
        <v>2.9956037152497599</v>
      </c>
      <c r="F102">
        <v>2.57925077305641</v>
      </c>
      <c r="G102">
        <v>-48.919569759854113</v>
      </c>
      <c r="H102">
        <v>-42.183640369302161</v>
      </c>
      <c r="I102">
        <v>6.3838595370818902</v>
      </c>
      <c r="J102">
        <v>3.6321537139420998</v>
      </c>
      <c r="K102">
        <v>1.1614239865866001</v>
      </c>
      <c r="L102">
        <v>2.9937246709889742E-5</v>
      </c>
      <c r="M102">
        <v>1.7819620944966359E-6</v>
      </c>
      <c r="N102" s="1">
        <v>-1.6911524408540699E-8</v>
      </c>
      <c r="O102" s="1">
        <v>1.0234478936508E-11</v>
      </c>
      <c r="P102" s="1">
        <v>7.4482644571750405E-11</v>
      </c>
      <c r="Q102">
        <v>63.805945358997398</v>
      </c>
      <c r="S102">
        <v>22.4599136792833</v>
      </c>
      <c r="AA102">
        <v>3.6414136901591601</v>
      </c>
      <c r="AB102">
        <v>8.7346346493384903</v>
      </c>
      <c r="AC102">
        <v>1.35809262222144</v>
      </c>
      <c r="AJ102">
        <v>0.75037206082198005</v>
      </c>
      <c r="AK102">
        <v>0.17286724955611499</v>
      </c>
      <c r="AL102">
        <v>7.6760689621903397E-2</v>
      </c>
    </row>
    <row r="103" spans="1:38" x14ac:dyDescent="0.2">
      <c r="A103">
        <v>137</v>
      </c>
      <c r="B103">
        <v>781</v>
      </c>
      <c r="C103">
        <v>125</v>
      </c>
      <c r="D103">
        <v>0.476640421192431</v>
      </c>
      <c r="E103">
        <v>3.2845978347830602</v>
      </c>
      <c r="F103">
        <v>2.5789331977311498</v>
      </c>
      <c r="G103">
        <v>-53.628731242655903</v>
      </c>
      <c r="H103">
        <v>-46.253406806112778</v>
      </c>
      <c r="I103">
        <v>6.99646581278102</v>
      </c>
      <c r="J103">
        <v>3.98304567140364</v>
      </c>
      <c r="K103">
        <v>1.2736265668582301</v>
      </c>
      <c r="L103">
        <v>2.9971182300517626E-5</v>
      </c>
      <c r="M103">
        <v>1.78298952291495E-6</v>
      </c>
      <c r="N103" s="1">
        <v>-1.9181609783622999E-8</v>
      </c>
      <c r="O103" s="1">
        <v>1.12252972811091E-11</v>
      </c>
      <c r="P103" s="1">
        <v>8.3534487966115206E-11</v>
      </c>
      <c r="Q103">
        <v>63.846622799223802</v>
      </c>
      <c r="S103">
        <v>22.428585951584001</v>
      </c>
      <c r="AA103">
        <v>3.6060764694563798</v>
      </c>
      <c r="AB103">
        <v>8.7431524327995103</v>
      </c>
      <c r="AC103">
        <v>1.37556234693616</v>
      </c>
      <c r="AJ103">
        <v>0.75107255919423499</v>
      </c>
      <c r="AK103">
        <v>0.171182579864748</v>
      </c>
      <c r="AL103">
        <v>7.7744860941015598E-2</v>
      </c>
    </row>
    <row r="104" spans="1:38" x14ac:dyDescent="0.2">
      <c r="A104">
        <v>138</v>
      </c>
      <c r="B104">
        <v>780</v>
      </c>
      <c r="C104">
        <v>125</v>
      </c>
      <c r="D104">
        <v>0.47607700707401701</v>
      </c>
      <c r="E104">
        <v>3.57327079614879</v>
      </c>
      <c r="F104">
        <v>2.57861908642729</v>
      </c>
      <c r="G104">
        <v>-58.330825227076517</v>
      </c>
      <c r="H104">
        <v>-50.318673985869879</v>
      </c>
      <c r="I104">
        <v>7.607796839203</v>
      </c>
      <c r="J104">
        <v>4.3336500132337203</v>
      </c>
      <c r="K104">
        <v>1.38573037598182</v>
      </c>
      <c r="L104">
        <v>3.0005172724737777E-5</v>
      </c>
      <c r="M104">
        <v>1.7840014142110925E-6</v>
      </c>
      <c r="N104" s="1">
        <v>-2.1580783173184998E-8</v>
      </c>
      <c r="O104" s="1">
        <v>1.2215361010437E-11</v>
      </c>
      <c r="P104" s="1">
        <v>9.2959791035538597E-11</v>
      </c>
      <c r="Q104">
        <v>63.886645238140602</v>
      </c>
      <c r="S104">
        <v>22.3976583542713</v>
      </c>
      <c r="AA104">
        <v>3.5712221960206199</v>
      </c>
      <c r="AB104">
        <v>8.7512595747908399</v>
      </c>
      <c r="AC104">
        <v>1.3932146367765299</v>
      </c>
      <c r="AJ104">
        <v>0.75173925219368398</v>
      </c>
      <c r="AK104">
        <v>0.16952131956022101</v>
      </c>
      <c r="AL104">
        <v>7.8739428246093604E-2</v>
      </c>
    </row>
    <row r="105" spans="1:38" x14ac:dyDescent="0.2">
      <c r="A105">
        <v>139</v>
      </c>
      <c r="B105">
        <v>779</v>
      </c>
      <c r="C105">
        <v>125</v>
      </c>
      <c r="D105">
        <v>0.475512521978807</v>
      </c>
      <c r="E105">
        <v>3.8615841832640201</v>
      </c>
      <c r="F105">
        <v>2.5783083950145298</v>
      </c>
      <c r="G105">
        <v>-63.025222117852657</v>
      </c>
      <c r="H105">
        <v>-54.378897828733599</v>
      </c>
      <c r="I105">
        <v>8.2177677033874001</v>
      </c>
      <c r="J105">
        <v>4.6839245133166099</v>
      </c>
      <c r="K105">
        <v>1.4977200519266201</v>
      </c>
      <c r="L105">
        <v>3.0039232813210972E-5</v>
      </c>
      <c r="M105">
        <v>1.7849979365436791E-6</v>
      </c>
      <c r="N105" s="1">
        <v>-2.4113798659124401E-8</v>
      </c>
      <c r="O105" s="1">
        <v>1.3204469052366699E-11</v>
      </c>
      <c r="P105" s="1">
        <v>1.0277177559431301E-10</v>
      </c>
      <c r="Q105">
        <v>63.926017934944397</v>
      </c>
      <c r="S105">
        <v>22.3671270229603</v>
      </c>
      <c r="AA105">
        <v>3.53684645453338</v>
      </c>
      <c r="AB105">
        <v>8.7589576641628906</v>
      </c>
      <c r="AC105">
        <v>1.4110509233988799</v>
      </c>
      <c r="AJ105">
        <v>0.75237227850139099</v>
      </c>
      <c r="AK105">
        <v>0.167883244847435</v>
      </c>
      <c r="AL105">
        <v>7.9744476651172402E-2</v>
      </c>
    </row>
    <row r="106" spans="1:38" x14ac:dyDescent="0.2">
      <c r="A106">
        <v>140</v>
      </c>
      <c r="B106">
        <v>778</v>
      </c>
      <c r="C106">
        <v>125</v>
      </c>
      <c r="D106">
        <v>0.47494696285021398</v>
      </c>
      <c r="E106">
        <v>4.5314620617094796</v>
      </c>
      <c r="F106">
        <v>2.5775898617158499</v>
      </c>
      <c r="G106">
        <v>-73.936331134453738</v>
      </c>
      <c r="H106">
        <v>-63.80403099207912</v>
      </c>
      <c r="I106">
        <v>9.6392523829849299</v>
      </c>
      <c r="J106">
        <v>5.4970212636839699</v>
      </c>
      <c r="K106">
        <v>1.7580229225036399</v>
      </c>
      <c r="L106">
        <v>3.0080678351984495E-5</v>
      </c>
      <c r="M106">
        <v>1.7866192227000704E-6</v>
      </c>
      <c r="N106" s="1">
        <v>-2.92322430103629E-8</v>
      </c>
      <c r="O106" s="1">
        <v>1.55114796524178E-11</v>
      </c>
      <c r="P106" s="1">
        <v>1.23317676452465E-10</v>
      </c>
      <c r="Q106">
        <v>63.996799063843</v>
      </c>
      <c r="S106">
        <v>22.307934299654899</v>
      </c>
      <c r="AA106">
        <v>3.4714960429328801</v>
      </c>
      <c r="AB106">
        <v>8.7615081950567006</v>
      </c>
      <c r="AC106">
        <v>1.4622623985123899</v>
      </c>
      <c r="AJ106">
        <v>0.75258287462762996</v>
      </c>
      <c r="AK106">
        <v>0.164779402934804</v>
      </c>
      <c r="AL106">
        <v>8.2637722437565606E-2</v>
      </c>
    </row>
    <row r="107" spans="1:38" x14ac:dyDescent="0.2">
      <c r="A107">
        <v>141</v>
      </c>
      <c r="B107">
        <v>777</v>
      </c>
      <c r="C107">
        <v>125</v>
      </c>
      <c r="D107">
        <v>0.47438032662001101</v>
      </c>
      <c r="E107">
        <v>5.3090467754548696</v>
      </c>
      <c r="F107">
        <v>2.5767438950572301</v>
      </c>
      <c r="G107">
        <v>-86.594323754814909</v>
      </c>
      <c r="H107">
        <v>-74.739565413172599</v>
      </c>
      <c r="I107">
        <v>11.2886333777482</v>
      </c>
      <c r="J107">
        <v>6.4408522359434297</v>
      </c>
      <c r="K107">
        <v>2.0603703711644701</v>
      </c>
      <c r="L107">
        <v>3.0122562093473946E-5</v>
      </c>
      <c r="M107">
        <v>1.7883724771138032E-6</v>
      </c>
      <c r="N107" s="1">
        <v>-3.5354464545167599E-8</v>
      </c>
      <c r="O107" s="1">
        <v>1.81965916389408E-11</v>
      </c>
      <c r="P107" s="1">
        <v>1.47686086009755E-10</v>
      </c>
      <c r="Q107">
        <v>64.075262248832203</v>
      </c>
      <c r="S107">
        <v>22.240686662575801</v>
      </c>
      <c r="AA107">
        <v>3.3977077422251698</v>
      </c>
      <c r="AB107">
        <v>8.76006077238514</v>
      </c>
      <c r="AC107">
        <v>1.52628257398156</v>
      </c>
      <c r="AJ107">
        <v>0.75246515434661199</v>
      </c>
      <c r="AK107">
        <v>0.16127835466589199</v>
      </c>
      <c r="AL107">
        <v>8.6256490987494105E-2</v>
      </c>
    </row>
    <row r="108" spans="1:38" x14ac:dyDescent="0.2">
      <c r="A108">
        <v>142</v>
      </c>
      <c r="B108">
        <v>776</v>
      </c>
      <c r="C108">
        <v>125</v>
      </c>
      <c r="D108">
        <v>0.47381261020826598</v>
      </c>
      <c r="E108">
        <v>6.0926115667198397</v>
      </c>
      <c r="F108">
        <v>2.5758755515636902</v>
      </c>
      <c r="G108">
        <v>-99.339844320769799</v>
      </c>
      <c r="H108">
        <v>-85.754131387163795</v>
      </c>
      <c r="I108">
        <v>12.949256954301999</v>
      </c>
      <c r="J108">
        <v>7.3920252244020199</v>
      </c>
      <c r="K108">
        <v>2.3652585091004399</v>
      </c>
      <c r="L108">
        <v>3.0162565046606527E-5</v>
      </c>
      <c r="M108">
        <v>1.7900813761090913E-6</v>
      </c>
      <c r="N108" s="1">
        <v>-4.1856639218148799E-8</v>
      </c>
      <c r="O108" s="1">
        <v>2.09094925867434E-11</v>
      </c>
      <c r="P108" s="1">
        <v>1.73203736334482E-10</v>
      </c>
      <c r="Q108">
        <v>64.1527912938908</v>
      </c>
      <c r="S108">
        <v>22.172990072732802</v>
      </c>
      <c r="AA108">
        <v>3.3237670196725899</v>
      </c>
      <c r="AB108">
        <v>8.7553546809263505</v>
      </c>
      <c r="AC108">
        <v>1.5950969327773401</v>
      </c>
      <c r="AJ108">
        <v>0.75207970768338195</v>
      </c>
      <c r="AK108">
        <v>0.157772566855618</v>
      </c>
      <c r="AL108">
        <v>9.0147725460998404E-2</v>
      </c>
    </row>
    <row r="109" spans="1:38" x14ac:dyDescent="0.2">
      <c r="A109">
        <v>143</v>
      </c>
      <c r="B109">
        <v>775</v>
      </c>
      <c r="C109">
        <v>125</v>
      </c>
      <c r="D109">
        <v>0.473243810523307</v>
      </c>
      <c r="E109">
        <v>6.8844954087425796</v>
      </c>
      <c r="F109">
        <v>2.5749786373862502</v>
      </c>
      <c r="G109">
        <v>-112.21009694482666</v>
      </c>
      <c r="H109">
        <v>-96.879820437213752</v>
      </c>
      <c r="I109">
        <v>14.626033017805501</v>
      </c>
      <c r="J109">
        <v>8.3533329275362291</v>
      </c>
      <c r="K109">
        <v>2.67361263071709</v>
      </c>
      <c r="L109">
        <v>3.0200500097944154E-5</v>
      </c>
      <c r="M109">
        <v>1.7917472988749547E-6</v>
      </c>
      <c r="N109" s="1">
        <v>-4.8761798223459499E-8</v>
      </c>
      <c r="O109" s="1">
        <v>2.3658726508487801E-11</v>
      </c>
      <c r="P109" s="1">
        <v>1.99955434854834E-10</v>
      </c>
      <c r="Q109">
        <v>64.229592806866293</v>
      </c>
      <c r="S109">
        <v>22.1045264652867</v>
      </c>
      <c r="AA109">
        <v>3.24936325940932</v>
      </c>
      <c r="AB109">
        <v>8.7470164868633002</v>
      </c>
      <c r="AC109">
        <v>1.66950098157432</v>
      </c>
      <c r="AJ109">
        <v>0.751395817109204</v>
      </c>
      <c r="AK109">
        <v>0.154247411229641</v>
      </c>
      <c r="AL109">
        <v>9.4356771661153194E-2</v>
      </c>
    </row>
    <row r="110" spans="1:38" x14ac:dyDescent="0.2">
      <c r="A110">
        <v>144</v>
      </c>
      <c r="B110">
        <v>774</v>
      </c>
      <c r="C110">
        <v>125</v>
      </c>
      <c r="D110">
        <v>0.47267392446163797</v>
      </c>
      <c r="E110">
        <v>7.6877556210652704</v>
      </c>
      <c r="F110">
        <v>2.57404512561014</v>
      </c>
      <c r="G110">
        <v>-125.25370493506584</v>
      </c>
      <c r="H110">
        <v>-108.1585811994199</v>
      </c>
      <c r="I110">
        <v>16.325381975500999</v>
      </c>
      <c r="J110">
        <v>9.3284258551347996</v>
      </c>
      <c r="K110">
        <v>2.9866436856824601</v>
      </c>
      <c r="L110">
        <v>3.0236119444022754E-5</v>
      </c>
      <c r="M110">
        <v>1.7933719206286956E-6</v>
      </c>
      <c r="N110" s="1">
        <v>-5.60975626226094E-8</v>
      </c>
      <c r="O110" s="1">
        <v>2.64555690230706E-11</v>
      </c>
      <c r="P110" s="1">
        <v>2.28044992238804E-10</v>
      </c>
      <c r="Q110">
        <v>64.305931630842906</v>
      </c>
      <c r="S110">
        <v>22.034884712117801</v>
      </c>
      <c r="AA110">
        <v>3.1740954790141398</v>
      </c>
      <c r="AB110">
        <v>8.7345585529932297</v>
      </c>
      <c r="AC110">
        <v>1.7505296250318101</v>
      </c>
      <c r="AJ110">
        <v>0.750373341033019</v>
      </c>
      <c r="AK110">
        <v>0.150684025057129</v>
      </c>
      <c r="AL110">
        <v>9.8942633909851294E-2</v>
      </c>
    </row>
    <row r="111" spans="1:38" x14ac:dyDescent="0.2">
      <c r="A111">
        <v>145</v>
      </c>
      <c r="B111">
        <v>773</v>
      </c>
      <c r="C111">
        <v>125</v>
      </c>
      <c r="D111">
        <v>0.472102948907902</v>
      </c>
      <c r="E111">
        <v>8.9176989013069896</v>
      </c>
      <c r="F111">
        <v>2.5725761401410798</v>
      </c>
      <c r="G111">
        <v>-145.21376102591483</v>
      </c>
      <c r="H111">
        <v>-125.41061165494875</v>
      </c>
      <c r="I111">
        <v>18.929550610300701</v>
      </c>
      <c r="J111">
        <v>10.8206417588595</v>
      </c>
      <c r="K111">
        <v>3.4664470225623401</v>
      </c>
      <c r="L111">
        <v>3.0274766568673439E-5</v>
      </c>
      <c r="M111">
        <v>1.795616375637103E-6</v>
      </c>
      <c r="N111" s="1">
        <v>-6.6909005958883104E-8</v>
      </c>
      <c r="O111" s="1">
        <v>3.0761032086873397E-11</v>
      </c>
      <c r="P111" s="1">
        <v>2.6980217875041302E-10</v>
      </c>
      <c r="Q111">
        <v>64.416937243032393</v>
      </c>
      <c r="S111">
        <v>21.9308322785642</v>
      </c>
      <c r="AA111">
        <v>3.0623495138602399</v>
      </c>
      <c r="AB111">
        <v>8.7091416255742704</v>
      </c>
      <c r="AC111">
        <v>1.8807393389688301</v>
      </c>
      <c r="AJ111">
        <v>0.74828618919714895</v>
      </c>
      <c r="AK111">
        <v>0.145397829492008</v>
      </c>
      <c r="AL111">
        <v>0.106315981310841</v>
      </c>
    </row>
    <row r="112" spans="1:38" x14ac:dyDescent="0.2">
      <c r="A112">
        <v>146</v>
      </c>
      <c r="B112">
        <v>772</v>
      </c>
      <c r="C112">
        <v>125</v>
      </c>
      <c r="D112">
        <v>0.47153088073482102</v>
      </c>
      <c r="E112">
        <v>9.9539836685552103</v>
      </c>
      <c r="F112">
        <v>2.5712739147249599</v>
      </c>
      <c r="G112">
        <v>-162.00364876728261</v>
      </c>
      <c r="H112">
        <v>-139.93030639094883</v>
      </c>
      <c r="I112">
        <v>21.119784123172501</v>
      </c>
      <c r="J112">
        <v>12.0775844354371</v>
      </c>
      <c r="K112">
        <v>3.87122648098731</v>
      </c>
      <c r="L112">
        <v>3.0304160158908308E-5</v>
      </c>
      <c r="M112">
        <v>1.797419180314647E-6</v>
      </c>
      <c r="N112" s="1">
        <v>-7.6720051957203903E-8</v>
      </c>
      <c r="O112" s="1">
        <v>3.4404875745036397E-11</v>
      </c>
      <c r="P112" s="1">
        <v>3.0700173904160101E-10</v>
      </c>
      <c r="Q112">
        <v>64.508798579990597</v>
      </c>
      <c r="S112">
        <v>21.840949748144599</v>
      </c>
      <c r="AA112">
        <v>2.96676091878627</v>
      </c>
      <c r="AB112">
        <v>8.6782109505565206</v>
      </c>
      <c r="AC112">
        <v>2.0052798025218799</v>
      </c>
      <c r="AJ112">
        <v>0.74574489422476997</v>
      </c>
      <c r="AK112">
        <v>0.14088132436028</v>
      </c>
      <c r="AL112">
        <v>0.113373781414949</v>
      </c>
    </row>
    <row r="113" spans="1:38" x14ac:dyDescent="0.2">
      <c r="A113">
        <v>147</v>
      </c>
      <c r="B113">
        <v>771</v>
      </c>
      <c r="C113">
        <v>125</v>
      </c>
      <c r="D113">
        <v>0.47095771680314102</v>
      </c>
      <c r="E113">
        <v>12.910267471358299</v>
      </c>
      <c r="F113">
        <v>2.5736231562874101</v>
      </c>
      <c r="G113">
        <v>-210.14940095444044</v>
      </c>
      <c r="H113">
        <v>-181.57468072120292</v>
      </c>
      <c r="I113">
        <v>27.366489712433498</v>
      </c>
      <c r="J113">
        <v>15.662130433874299</v>
      </c>
      <c r="K113">
        <v>5.0163783457645401</v>
      </c>
      <c r="L113">
        <v>3.0208799139093444E-5</v>
      </c>
      <c r="M113">
        <v>1.7922221403979308E-6</v>
      </c>
      <c r="N113" s="1">
        <v>-1.01584871700157E-7</v>
      </c>
      <c r="O113" s="1">
        <v>4.4404459027741497E-11</v>
      </c>
      <c r="P113" s="1">
        <v>4.0434576570331999E-10</v>
      </c>
      <c r="Q113">
        <v>64.270646985185493</v>
      </c>
      <c r="S113">
        <v>22.018458969955098</v>
      </c>
      <c r="AA113">
        <v>3.1687772632359001</v>
      </c>
      <c r="AB113">
        <v>8.6128663934610206</v>
      </c>
      <c r="AC113">
        <v>1.9292503881624199</v>
      </c>
      <c r="AJ113">
        <v>0.74036708486295899</v>
      </c>
      <c r="AK113">
        <v>0.15052266398785999</v>
      </c>
      <c r="AL113">
        <v>0.10911025114917899</v>
      </c>
    </row>
    <row r="114" spans="1:38" x14ac:dyDescent="0.2">
      <c r="A114">
        <v>148</v>
      </c>
      <c r="B114">
        <v>770</v>
      </c>
      <c r="C114">
        <v>125</v>
      </c>
      <c r="D114">
        <v>0.47038345396155901</v>
      </c>
      <c r="E114">
        <v>15.965161719665801</v>
      </c>
      <c r="F114">
        <v>2.5767470899265801</v>
      </c>
      <c r="G114">
        <v>-259.95377630062211</v>
      </c>
      <c r="H114">
        <v>-224.68909479237081</v>
      </c>
      <c r="I114">
        <v>33.805954568615398</v>
      </c>
      <c r="J114">
        <v>19.364716318701699</v>
      </c>
      <c r="K114">
        <v>6.1958590278725003</v>
      </c>
      <c r="L114">
        <v>3.0085616492011745E-5</v>
      </c>
      <c r="M114">
        <v>1.7854441122316737E-6</v>
      </c>
      <c r="N114" s="1">
        <v>-1.2808609534892601E-7</v>
      </c>
      <c r="O114" s="1">
        <v>5.4556772754930601E-11</v>
      </c>
      <c r="P114" s="1">
        <v>5.0738839965467603E-10</v>
      </c>
      <c r="Q114">
        <v>63.9598165257866</v>
      </c>
      <c r="S114">
        <v>22.255047537545401</v>
      </c>
      <c r="AA114">
        <v>3.4364932923472602</v>
      </c>
      <c r="AB114">
        <v>8.54044506930442</v>
      </c>
      <c r="AC114">
        <v>1.8081975750161601</v>
      </c>
      <c r="AJ114">
        <v>0.73440213787258302</v>
      </c>
      <c r="AK114">
        <v>0.16329756904829601</v>
      </c>
      <c r="AL114">
        <v>0.10230029307912</v>
      </c>
    </row>
    <row r="115" spans="1:38" x14ac:dyDescent="0.2">
      <c r="A115">
        <v>149</v>
      </c>
      <c r="B115">
        <v>769</v>
      </c>
      <c r="C115">
        <v>125</v>
      </c>
      <c r="D115">
        <v>0.46980808904668597</v>
      </c>
      <c r="E115">
        <v>17.495705123395901</v>
      </c>
      <c r="F115">
        <v>2.5783874168629199</v>
      </c>
      <c r="G115">
        <v>-284.89985130873487</v>
      </c>
      <c r="H115">
        <v>-246.3234930012878</v>
      </c>
      <c r="I115">
        <v>37.016128491529102</v>
      </c>
      <c r="J115">
        <v>21.220631686513901</v>
      </c>
      <c r="K115">
        <v>6.7855222256252699</v>
      </c>
      <c r="L115">
        <v>3.0030957239142514E-5</v>
      </c>
      <c r="M115">
        <v>1.7819513810871304E-6</v>
      </c>
      <c r="N115" s="1">
        <v>-1.4392655761363299E-7</v>
      </c>
      <c r="O115" s="1">
        <v>5.9566594997882896E-11</v>
      </c>
      <c r="P115" s="1">
        <v>5.6649577859326302E-10</v>
      </c>
      <c r="Q115">
        <v>63.797843780961202</v>
      </c>
      <c r="S115">
        <v>22.3779101601787</v>
      </c>
      <c r="AA115">
        <v>3.5756503397280301</v>
      </c>
      <c r="AB115">
        <v>8.5015978305564204</v>
      </c>
      <c r="AC115">
        <v>1.74699788857551</v>
      </c>
      <c r="AJ115">
        <v>0.73120082973919798</v>
      </c>
      <c r="AK115">
        <v>0.16994248011208499</v>
      </c>
      <c r="AL115">
        <v>9.8856690148716203E-2</v>
      </c>
    </row>
    <row r="116" spans="1:38" x14ac:dyDescent="0.2">
      <c r="A116">
        <v>150</v>
      </c>
      <c r="B116">
        <v>768</v>
      </c>
      <c r="C116">
        <v>125</v>
      </c>
      <c r="D116">
        <v>0.46923161888296799</v>
      </c>
      <c r="E116">
        <v>18.246738038080299</v>
      </c>
      <c r="F116">
        <v>2.5792450509539799</v>
      </c>
      <c r="G116">
        <v>-297.12511074930075</v>
      </c>
      <c r="H116">
        <v>-256.95911974841903</v>
      </c>
      <c r="I116">
        <v>38.5784862900463</v>
      </c>
      <c r="J116">
        <v>22.133283940991401</v>
      </c>
      <c r="K116">
        <v>7.0744491809071697</v>
      </c>
      <c r="L116">
        <v>3.0016382856315151E-5</v>
      </c>
      <c r="M116">
        <v>1.7803014422148894E-6</v>
      </c>
      <c r="N116" s="1">
        <v>-1.5445248755079999E-7</v>
      </c>
      <c r="O116" s="1">
        <v>6.1986986571538404E-11</v>
      </c>
      <c r="P116" s="1">
        <v>6.0350839740143705E-10</v>
      </c>
      <c r="Q116">
        <v>63.717854385366898</v>
      </c>
      <c r="S116">
        <v>22.439137579422098</v>
      </c>
      <c r="AA116">
        <v>3.6448280194592999</v>
      </c>
      <c r="AB116">
        <v>8.4838613909885101</v>
      </c>
      <c r="AC116">
        <v>1.7143186247631299</v>
      </c>
      <c r="AJ116">
        <v>0.72973871812544799</v>
      </c>
      <c r="AK116">
        <v>0.17324537778744001</v>
      </c>
      <c r="AL116">
        <v>9.701590408711E-2</v>
      </c>
    </row>
    <row r="117" spans="1:38" x14ac:dyDescent="0.2">
      <c r="A117">
        <v>151</v>
      </c>
      <c r="B117">
        <v>767</v>
      </c>
      <c r="C117">
        <v>125</v>
      </c>
      <c r="D117">
        <v>0.46865404028265401</v>
      </c>
      <c r="E117">
        <v>18.692228176308198</v>
      </c>
      <c r="F117">
        <v>2.57978452725246</v>
      </c>
      <c r="G117">
        <v>-304.36239658106598</v>
      </c>
      <c r="H117">
        <v>-263.28122671778954</v>
      </c>
      <c r="I117">
        <v>39.495428412514002</v>
      </c>
      <c r="J117">
        <v>22.676535943781701</v>
      </c>
      <c r="K117">
        <v>7.2456548129683904</v>
      </c>
      <c r="L117">
        <v>3.0019074242884452E-5</v>
      </c>
      <c r="M117">
        <v>1.7794184141209649E-6</v>
      </c>
      <c r="N117" s="1">
        <v>-1.6304775317300801E-7</v>
      </c>
      <c r="O117" s="1">
        <v>6.3398704034382806E-11</v>
      </c>
      <c r="P117" s="1">
        <v>6.3229343967803103E-10</v>
      </c>
      <c r="Q117">
        <v>63.671714270234297</v>
      </c>
      <c r="S117">
        <v>22.4750593971002</v>
      </c>
      <c r="AA117">
        <v>3.6852300519441301</v>
      </c>
      <c r="AB117">
        <v>8.47521433354766</v>
      </c>
      <c r="AC117">
        <v>1.69278194717367</v>
      </c>
      <c r="AJ117">
        <v>0.72902569717763199</v>
      </c>
      <c r="AK117">
        <v>0.17517315062963201</v>
      </c>
      <c r="AL117">
        <v>9.5801152192734607E-2</v>
      </c>
    </row>
    <row r="118" spans="1:38" x14ac:dyDescent="0.2">
      <c r="A118">
        <v>152</v>
      </c>
      <c r="B118">
        <v>766</v>
      </c>
      <c r="C118">
        <v>125</v>
      </c>
      <c r="D118">
        <v>0.46807535004571499</v>
      </c>
      <c r="E118">
        <v>18.993767051980701</v>
      </c>
      <c r="F118">
        <v>2.5801697053561301</v>
      </c>
      <c r="G118">
        <v>-309.24911595646216</v>
      </c>
      <c r="H118">
        <v>-267.57050332256841</v>
      </c>
      <c r="I118">
        <v>40.108369950337902</v>
      </c>
      <c r="J118">
        <v>23.045922010524301</v>
      </c>
      <c r="K118">
        <v>7.36144099845521</v>
      </c>
      <c r="L118">
        <v>3.0030660211782778E-5</v>
      </c>
      <c r="M118">
        <v>1.778912543445459E-6</v>
      </c>
      <c r="N118" s="1">
        <v>-1.7085272265253999E-7</v>
      </c>
      <c r="O118" s="1">
        <v>6.4336312997146297E-11</v>
      </c>
      <c r="P118" s="1">
        <v>6.5754160112891695E-10</v>
      </c>
      <c r="Q118">
        <v>63.6421190420659</v>
      </c>
      <c r="S118">
        <v>22.4986451784245</v>
      </c>
      <c r="AA118">
        <v>3.7115942049362398</v>
      </c>
      <c r="AB118">
        <v>8.4710961465097707</v>
      </c>
      <c r="AC118">
        <v>1.67654542806346</v>
      </c>
      <c r="AJ118">
        <v>0.728685986014877</v>
      </c>
      <c r="AK118">
        <v>0.176429858018473</v>
      </c>
      <c r="AL118">
        <v>9.4884155966648495E-2</v>
      </c>
    </row>
    <row r="119" spans="1:38" x14ac:dyDescent="0.2">
      <c r="A119">
        <v>153</v>
      </c>
      <c r="B119">
        <v>765</v>
      </c>
      <c r="C119">
        <v>125</v>
      </c>
      <c r="D119">
        <v>0.46749554495978501</v>
      </c>
      <c r="E119">
        <v>19.216952087448401</v>
      </c>
      <c r="F119">
        <v>2.5804688206887798</v>
      </c>
      <c r="G119">
        <v>-312.85614533072163</v>
      </c>
      <c r="H119">
        <v>-270.75310639152008</v>
      </c>
      <c r="I119">
        <v>40.555833876801501</v>
      </c>
      <c r="J119">
        <v>23.3207946922833</v>
      </c>
      <c r="K119">
        <v>7.4470778074811399</v>
      </c>
      <c r="L119">
        <v>3.0047600302827675E-5</v>
      </c>
      <c r="M119">
        <v>1.7786194646816901E-6</v>
      </c>
      <c r="N119" s="1">
        <v>-1.7832989669161799E-7</v>
      </c>
      <c r="O119" s="1">
        <v>6.5015811256729001E-11</v>
      </c>
      <c r="P119" s="1">
        <v>6.8115576923928503E-10</v>
      </c>
      <c r="Q119">
        <v>63.621796425902197</v>
      </c>
      <c r="S119">
        <v>22.515327294094199</v>
      </c>
      <c r="AA119">
        <v>3.7300991258287199</v>
      </c>
      <c r="AB119">
        <v>8.4695426210950302</v>
      </c>
      <c r="AC119">
        <v>1.6632345330798</v>
      </c>
      <c r="AJ119">
        <v>0.72855769731291098</v>
      </c>
      <c r="AK119">
        <v>0.177310786644026</v>
      </c>
      <c r="AL119">
        <v>9.41315160430614E-2</v>
      </c>
    </row>
    <row r="120" spans="1:38" x14ac:dyDescent="0.2">
      <c r="A120">
        <v>154</v>
      </c>
      <c r="B120">
        <v>764</v>
      </c>
      <c r="C120">
        <v>125</v>
      </c>
      <c r="D120">
        <v>0.46691462180012799</v>
      </c>
      <c r="E120">
        <v>19.392839967814702</v>
      </c>
      <c r="F120">
        <v>2.5807148471663401</v>
      </c>
      <c r="G120">
        <v>-315.69055934504723</v>
      </c>
      <c r="H120">
        <v>-273.26761738664584</v>
      </c>
      <c r="I120">
        <v>40.903381341562401</v>
      </c>
      <c r="J120">
        <v>23.538717904305098</v>
      </c>
      <c r="K120">
        <v>7.5145225707940098</v>
      </c>
      <c r="L120">
        <v>3.0068176982503842E-5</v>
      </c>
      <c r="M120">
        <v>1.7784591823168013E-6</v>
      </c>
      <c r="N120" s="1">
        <v>-1.8570065036253799E-7</v>
      </c>
      <c r="O120" s="1">
        <v>6.55391249736713E-11</v>
      </c>
      <c r="P120" s="1">
        <v>7.0404351567168495E-10</v>
      </c>
      <c r="Q120">
        <v>63.607213167412603</v>
      </c>
      <c r="S120">
        <v>22.527739896791701</v>
      </c>
      <c r="AA120">
        <v>3.7437424541516902</v>
      </c>
      <c r="AB120">
        <v>8.4695858631940499</v>
      </c>
      <c r="AC120">
        <v>1.65171861844987</v>
      </c>
      <c r="AJ120">
        <v>0.72856104633005103</v>
      </c>
      <c r="AK120">
        <v>0.17795923362559701</v>
      </c>
      <c r="AL120">
        <v>9.3479720044350401E-2</v>
      </c>
    </row>
    <row r="121" spans="1:38" x14ac:dyDescent="0.2">
      <c r="A121">
        <v>155</v>
      </c>
      <c r="B121">
        <v>763</v>
      </c>
      <c r="C121">
        <v>125</v>
      </c>
      <c r="D121">
        <v>0.46633257732954098</v>
      </c>
      <c r="E121">
        <v>19.537942842412299</v>
      </c>
      <c r="F121">
        <v>2.58092562663118</v>
      </c>
      <c r="G121">
        <v>-318.02198901196329</v>
      </c>
      <c r="H121">
        <v>-275.34725836914362</v>
      </c>
      <c r="I121">
        <v>41.185861740886601</v>
      </c>
      <c r="J121">
        <v>23.719663666640201</v>
      </c>
      <c r="K121">
        <v>7.5701301272732398</v>
      </c>
      <c r="L121">
        <v>3.0091465903751496E-5</v>
      </c>
      <c r="M121">
        <v>1.7783882281233996E-6</v>
      </c>
      <c r="N121" s="1">
        <v>-1.93085833958707E-7</v>
      </c>
      <c r="O121" s="1">
        <v>6.5960296038630705E-11</v>
      </c>
      <c r="P121" s="1">
        <v>7.2669613123748196E-10</v>
      </c>
      <c r="Q121">
        <v>63.5964506348257</v>
      </c>
      <c r="S121">
        <v>22.537311523360302</v>
      </c>
      <c r="AA121">
        <v>3.7541504339223501</v>
      </c>
      <c r="AB121">
        <v>8.4706953998342804</v>
      </c>
      <c r="AC121">
        <v>1.64139200805718</v>
      </c>
      <c r="AJ121">
        <v>0.72865230067279596</v>
      </c>
      <c r="AK121">
        <v>0.17845295224757299</v>
      </c>
      <c r="AL121">
        <v>9.2894747079629497E-2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88C07-D556-4053-ADEC-B15438049D28}">
  <sheetPr codeName="Sheet10"/>
  <dimension ref="A1:AL54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19</v>
      </c>
      <c r="B2">
        <v>739</v>
      </c>
      <c r="C2">
        <v>275</v>
      </c>
      <c r="D2">
        <v>0.28899916020352701</v>
      </c>
      <c r="E2">
        <v>21.564012737022399</v>
      </c>
      <c r="F2">
        <v>2.5258030904412299</v>
      </c>
      <c r="G2">
        <v>-338.45772026682744</v>
      </c>
      <c r="H2">
        <v>-293.89529779489823</v>
      </c>
      <c r="I2">
        <v>44.027488486814498</v>
      </c>
      <c r="J2">
        <v>25.598463866955701</v>
      </c>
      <c r="K2">
        <v>8.5374876682312593</v>
      </c>
      <c r="L2">
        <v>2.8282703781669259E-5</v>
      </c>
      <c r="M2">
        <v>1.7854846018612636E-6</v>
      </c>
      <c r="N2" s="1">
        <v>-2.06177492752941E-7</v>
      </c>
      <c r="O2" s="1">
        <v>8.1466653197687201E-11</v>
      </c>
      <c r="P2" s="1">
        <v>7.6561726296692003E-10</v>
      </c>
      <c r="Q2">
        <v>65.752606896425505</v>
      </c>
      <c r="S2">
        <v>18.9344945335571</v>
      </c>
      <c r="AA2">
        <v>0.27867994033947802</v>
      </c>
      <c r="AB2">
        <v>3.8303208833971998</v>
      </c>
      <c r="AC2">
        <v>11.2038977462806</v>
      </c>
      <c r="AJ2">
        <v>0.33730488603606601</v>
      </c>
      <c r="AK2">
        <v>1.35613827392382E-2</v>
      </c>
      <c r="AL2">
        <v>0.64913373122469498</v>
      </c>
    </row>
    <row r="3" spans="1:38" x14ac:dyDescent="0.2">
      <c r="A3">
        <v>20</v>
      </c>
      <c r="B3">
        <v>738</v>
      </c>
      <c r="C3">
        <v>275</v>
      </c>
      <c r="D3">
        <v>0.28822677149780002</v>
      </c>
      <c r="E3">
        <v>29.4508209037817</v>
      </c>
      <c r="F3">
        <v>2.5258367735683902</v>
      </c>
      <c r="G3">
        <v>-462.20043650370985</v>
      </c>
      <c r="H3">
        <v>-401.43165478001185</v>
      </c>
      <c r="I3">
        <v>60.098681425800301</v>
      </c>
      <c r="J3">
        <v>34.971574964641697</v>
      </c>
      <c r="K3">
        <v>11.6598274330193</v>
      </c>
      <c r="L3">
        <v>2.8317368309612257E-5</v>
      </c>
      <c r="M3">
        <v>1.7857877308402167E-6</v>
      </c>
      <c r="N3" s="1">
        <v>-2.9308392653279302E-7</v>
      </c>
      <c r="O3" s="1">
        <v>1.11167996784735E-10</v>
      </c>
      <c r="P3" s="1">
        <v>1.07841974313436E-9</v>
      </c>
      <c r="Q3">
        <v>65.758861402243099</v>
      </c>
      <c r="S3">
        <v>18.9328257207649</v>
      </c>
      <c r="AA3">
        <v>0.27584374927071098</v>
      </c>
      <c r="AB3">
        <v>3.8398837045635399</v>
      </c>
      <c r="AC3">
        <v>11.192585423157499</v>
      </c>
      <c r="AJ3">
        <v>0.33813054289120098</v>
      </c>
      <c r="AK3">
        <v>1.34227118703818E-2</v>
      </c>
      <c r="AL3">
        <v>0.64844674523841705</v>
      </c>
    </row>
    <row r="4" spans="1:38" x14ac:dyDescent="0.2">
      <c r="A4">
        <v>21</v>
      </c>
      <c r="B4">
        <v>737</v>
      </c>
      <c r="C4">
        <v>275</v>
      </c>
      <c r="D4">
        <v>0.28745285353660599</v>
      </c>
      <c r="E4">
        <v>31.847379591235001</v>
      </c>
      <c r="F4">
        <v>2.5258714276927798</v>
      </c>
      <c r="G4">
        <v>-499.73574485530492</v>
      </c>
      <c r="H4">
        <v>-434.12641394653377</v>
      </c>
      <c r="I4">
        <v>64.950087520438601</v>
      </c>
      <c r="J4">
        <v>37.8257754194413</v>
      </c>
      <c r="K4">
        <v>12.6084721661092</v>
      </c>
      <c r="L4">
        <v>2.8341393642799955E-5</v>
      </c>
      <c r="M4">
        <v>1.7859407711710447E-6</v>
      </c>
      <c r="N4" s="1">
        <v>-3.2840156550374401E-7</v>
      </c>
      <c r="O4" s="1">
        <v>1.20129422589283E-10</v>
      </c>
      <c r="P4" s="1">
        <v>1.19875827105913E-9</v>
      </c>
      <c r="Q4">
        <v>65.760273101108396</v>
      </c>
      <c r="S4">
        <v>18.930266142422699</v>
      </c>
      <c r="AA4">
        <v>0.273402670299355</v>
      </c>
      <c r="AB4">
        <v>3.8363193324005098</v>
      </c>
      <c r="AC4">
        <v>11.1997387537689</v>
      </c>
      <c r="AJ4">
        <v>0.33782282934959401</v>
      </c>
      <c r="AK4">
        <v>1.33041700375601E-2</v>
      </c>
      <c r="AL4">
        <v>0.64887300061284503</v>
      </c>
    </row>
    <row r="5" spans="1:38" x14ac:dyDescent="0.2">
      <c r="A5">
        <v>22</v>
      </c>
      <c r="B5">
        <v>736</v>
      </c>
      <c r="C5">
        <v>275</v>
      </c>
      <c r="D5">
        <v>0.28667740177377199</v>
      </c>
      <c r="E5">
        <v>33.093833817637702</v>
      </c>
      <c r="F5">
        <v>2.5259065757494001</v>
      </c>
      <c r="G5">
        <v>-519.20872736061335</v>
      </c>
      <c r="H5">
        <v>-451.14135461630855</v>
      </c>
      <c r="I5">
        <v>67.450203383347102</v>
      </c>
      <c r="J5">
        <v>39.314428792645003</v>
      </c>
      <c r="K5">
        <v>13.101764782341199</v>
      </c>
      <c r="L5">
        <v>2.8363583307958402E-5</v>
      </c>
      <c r="M5">
        <v>1.7860607869251508E-6</v>
      </c>
      <c r="N5" s="1">
        <v>-3.5321170677376599E-7</v>
      </c>
      <c r="O5" s="1">
        <v>1.2474489209654599E-10</v>
      </c>
      <c r="P5" s="1">
        <v>1.27958999258633E-9</v>
      </c>
      <c r="Q5">
        <v>65.760555304264599</v>
      </c>
      <c r="S5">
        <v>18.9275129723509</v>
      </c>
      <c r="AA5">
        <v>0.27106542855133597</v>
      </c>
      <c r="AB5">
        <v>3.8297304137230799</v>
      </c>
      <c r="AC5">
        <v>11.21113588111</v>
      </c>
      <c r="AJ5">
        <v>0.33725395992614798</v>
      </c>
      <c r="AK5">
        <v>1.31908801937024E-2</v>
      </c>
      <c r="AL5">
        <v>0.649555159880149</v>
      </c>
    </row>
    <row r="6" spans="1:38" x14ac:dyDescent="0.2">
      <c r="A6">
        <v>23</v>
      </c>
      <c r="B6">
        <v>735</v>
      </c>
      <c r="C6">
        <v>275</v>
      </c>
      <c r="D6">
        <v>0.285900411645091</v>
      </c>
      <c r="E6">
        <v>33.837626284172401</v>
      </c>
      <c r="F6">
        <v>2.5259421350017202</v>
      </c>
      <c r="G6">
        <v>-530.78850074716547</v>
      </c>
      <c r="H6">
        <v>-461.30386898178136</v>
      </c>
      <c r="I6">
        <v>68.922910048488902</v>
      </c>
      <c r="J6">
        <v>40.206564924372998</v>
      </c>
      <c r="K6">
        <v>13.396041744301201</v>
      </c>
      <c r="L6">
        <v>2.8385893225751736E-5</v>
      </c>
      <c r="M6">
        <v>1.7861734644849203E-6</v>
      </c>
      <c r="N6" s="1">
        <v>-3.7366195235991199E-7</v>
      </c>
      <c r="O6" s="1">
        <v>1.2745887654621801E-10</v>
      </c>
      <c r="P6" s="1">
        <v>1.3437928968638899E-9</v>
      </c>
      <c r="Q6">
        <v>65.760519393867995</v>
      </c>
      <c r="S6">
        <v>18.924717511455199</v>
      </c>
      <c r="AA6">
        <v>0.26876752388925701</v>
      </c>
      <c r="AB6">
        <v>3.8223217251569301</v>
      </c>
      <c r="AC6">
        <v>11.223673845630501</v>
      </c>
      <c r="AJ6">
        <v>0.336614265625437</v>
      </c>
      <c r="AK6">
        <v>1.30795517052793E-2</v>
      </c>
      <c r="AL6">
        <v>0.65030618266928297</v>
      </c>
    </row>
    <row r="7" spans="1:38" x14ac:dyDescent="0.2">
      <c r="A7">
        <v>24</v>
      </c>
      <c r="B7">
        <v>734</v>
      </c>
      <c r="C7">
        <v>275</v>
      </c>
      <c r="D7">
        <v>0.28512187856823701</v>
      </c>
      <c r="E7">
        <v>34.341734764232697</v>
      </c>
      <c r="F7">
        <v>2.5259781007842999</v>
      </c>
      <c r="G7">
        <v>-538.60429075332058</v>
      </c>
      <c r="H7">
        <v>-468.19887907880286</v>
      </c>
      <c r="I7">
        <v>69.905586729402501</v>
      </c>
      <c r="J7">
        <v>40.814480922926599</v>
      </c>
      <c r="K7">
        <v>13.595420622835</v>
      </c>
      <c r="L7">
        <v>2.8408688639585673E-5</v>
      </c>
      <c r="M7">
        <v>1.7862834199853024E-6</v>
      </c>
      <c r="N7" s="1">
        <v>-3.9226573811108202E-7</v>
      </c>
      <c r="O7" s="1">
        <v>1.29264472503595E-10</v>
      </c>
      <c r="P7" s="1">
        <v>1.40070122415827E-9</v>
      </c>
      <c r="Q7">
        <v>65.760309459101094</v>
      </c>
      <c r="S7">
        <v>18.921906734948799</v>
      </c>
      <c r="AA7">
        <v>0.26649758989928002</v>
      </c>
      <c r="AB7">
        <v>3.8144850807478199</v>
      </c>
      <c r="AC7">
        <v>11.236801135302899</v>
      </c>
      <c r="AJ7">
        <v>0.33593756614223302</v>
      </c>
      <c r="AK7">
        <v>1.2969604326588601E-2</v>
      </c>
      <c r="AL7">
        <v>0.65109282953117698</v>
      </c>
    </row>
    <row r="8" spans="1:38" x14ac:dyDescent="0.2">
      <c r="A8">
        <v>39</v>
      </c>
      <c r="B8">
        <v>743</v>
      </c>
      <c r="C8">
        <v>250</v>
      </c>
      <c r="D8">
        <v>0.31913644639078897</v>
      </c>
      <c r="E8">
        <v>10.5645116657437</v>
      </c>
      <c r="F8">
        <v>2.5245871458893099</v>
      </c>
      <c r="G8">
        <v>-166.08390644873458</v>
      </c>
      <c r="H8">
        <v>-144.09888027816618</v>
      </c>
      <c r="I8">
        <v>21.635611052077302</v>
      </c>
      <c r="J8">
        <v>12.536790897331199</v>
      </c>
      <c r="K8">
        <v>4.1846492338145298</v>
      </c>
      <c r="L8">
        <v>2.8237710510628415E-5</v>
      </c>
      <c r="M8">
        <v>1.7874326289913208E-6</v>
      </c>
      <c r="N8" s="1">
        <v>-8.7689531395388103E-8</v>
      </c>
      <c r="O8" s="1">
        <v>3.9988272689876198E-11</v>
      </c>
      <c r="P8" s="1">
        <v>3.3717059233625002E-10</v>
      </c>
      <c r="Q8">
        <v>65.775219724280504</v>
      </c>
      <c r="S8">
        <v>18.953654494742</v>
      </c>
      <c r="AA8">
        <v>0.28921071025655098</v>
      </c>
      <c r="AB8">
        <v>3.9309426870317599</v>
      </c>
      <c r="AC8">
        <v>11.0509723836891</v>
      </c>
      <c r="AJ8">
        <v>0.34598826981150599</v>
      </c>
      <c r="AK8">
        <v>1.4066622267174299E-2</v>
      </c>
      <c r="AL8">
        <v>0.63994510792131898</v>
      </c>
    </row>
    <row r="9" spans="1:38" x14ac:dyDescent="0.2">
      <c r="A9">
        <v>40</v>
      </c>
      <c r="B9">
        <v>742</v>
      </c>
      <c r="C9">
        <v>250</v>
      </c>
      <c r="D9">
        <v>0.318396788651924</v>
      </c>
      <c r="E9">
        <v>28.161904445244499</v>
      </c>
      <c r="F9">
        <v>2.5246193044665799</v>
      </c>
      <c r="G9">
        <v>-442.654687392624</v>
      </c>
      <c r="H9">
        <v>-384.14324071023617</v>
      </c>
      <c r="I9">
        <v>57.638227535228999</v>
      </c>
      <c r="J9">
        <v>33.4242473119793</v>
      </c>
      <c r="K9">
        <v>11.1549113149139</v>
      </c>
      <c r="L9">
        <v>2.8253706327321303E-5</v>
      </c>
      <c r="M9">
        <v>1.787521396314704E-6</v>
      </c>
      <c r="N9" s="1">
        <v>-2.4196248381275499E-7</v>
      </c>
      <c r="O9" s="1">
        <v>1.06540080008782E-10</v>
      </c>
      <c r="P9" s="1">
        <v>9.2221494906251805E-10</v>
      </c>
      <c r="Q9">
        <v>65.775014469869603</v>
      </c>
      <c r="S9">
        <v>18.950691899896899</v>
      </c>
      <c r="AA9">
        <v>0.28681443248555599</v>
      </c>
      <c r="AB9">
        <v>3.9227184610324</v>
      </c>
      <c r="AC9">
        <v>11.0647607367154</v>
      </c>
      <c r="AJ9">
        <v>0.34527888777722698</v>
      </c>
      <c r="AK9">
        <v>1.39506574903392E-2</v>
      </c>
      <c r="AL9">
        <v>0.64077045473243299</v>
      </c>
    </row>
    <row r="10" spans="1:38" x14ac:dyDescent="0.2">
      <c r="A10">
        <v>41</v>
      </c>
      <c r="B10">
        <v>741</v>
      </c>
      <c r="C10">
        <v>250</v>
      </c>
      <c r="D10">
        <v>0.31765567223783697</v>
      </c>
      <c r="E10">
        <v>31.351854398315599</v>
      </c>
      <c r="F10">
        <v>2.524651697171</v>
      </c>
      <c r="G10">
        <v>-492.70642889366036</v>
      </c>
      <c r="H10">
        <v>-427.67276455013092</v>
      </c>
      <c r="I10">
        <v>64.126277516668594</v>
      </c>
      <c r="J10">
        <v>37.215499125380902</v>
      </c>
      <c r="K10">
        <v>12.4182889994081</v>
      </c>
      <c r="L10">
        <v>2.82689981564985E-5</v>
      </c>
      <c r="M10">
        <v>1.7875931429187023E-6</v>
      </c>
      <c r="N10" s="1">
        <v>-2.7865263335954102E-7</v>
      </c>
      <c r="O10" s="1">
        <v>1.1854463374687199E-10</v>
      </c>
      <c r="P10" s="1">
        <v>1.05312477251564E-9</v>
      </c>
      <c r="Q10">
        <v>65.774198782355498</v>
      </c>
      <c r="S10">
        <v>18.947628445325801</v>
      </c>
      <c r="AA10">
        <v>0.284477380627365</v>
      </c>
      <c r="AB10">
        <v>3.9128695007083798</v>
      </c>
      <c r="AC10">
        <v>11.080825890982799</v>
      </c>
      <c r="AJ10">
        <v>0.34442928163108599</v>
      </c>
      <c r="AK10">
        <v>1.3837678394121899E-2</v>
      </c>
      <c r="AL10">
        <v>0.64173303997479103</v>
      </c>
    </row>
    <row r="11" spans="1:38" x14ac:dyDescent="0.2">
      <c r="A11">
        <v>42</v>
      </c>
      <c r="B11">
        <v>740</v>
      </c>
      <c r="C11">
        <v>250</v>
      </c>
      <c r="D11">
        <v>0.31691309282929903</v>
      </c>
      <c r="E11">
        <v>32.827872975750999</v>
      </c>
      <c r="F11">
        <v>2.5246845563737899</v>
      </c>
      <c r="G11">
        <v>-515.81074672006082</v>
      </c>
      <c r="H11">
        <v>-447.82561679952568</v>
      </c>
      <c r="I11">
        <v>67.102729033741298</v>
      </c>
      <c r="J11">
        <v>38.9734379248858</v>
      </c>
      <c r="K11">
        <v>13.0027622234524</v>
      </c>
      <c r="L11">
        <v>2.828527648018524E-5</v>
      </c>
      <c r="M11">
        <v>1.7876707047938563E-6</v>
      </c>
      <c r="N11" s="1">
        <v>-3.0183492222212699E-7</v>
      </c>
      <c r="O11" s="1">
        <v>1.24056234435536E-10</v>
      </c>
      <c r="P11" s="1">
        <v>1.1313545669169301E-9</v>
      </c>
      <c r="Q11">
        <v>65.773493258682194</v>
      </c>
      <c r="S11">
        <v>18.944605359478398</v>
      </c>
      <c r="AA11">
        <v>0.28214792815344902</v>
      </c>
      <c r="AB11">
        <v>3.9033718664541199</v>
      </c>
      <c r="AC11">
        <v>11.096381587231701</v>
      </c>
      <c r="AJ11">
        <v>0.34360990183250101</v>
      </c>
      <c r="AK11">
        <v>1.37250330429171E-2</v>
      </c>
      <c r="AL11">
        <v>0.64266506512458099</v>
      </c>
    </row>
    <row r="12" spans="1:38" x14ac:dyDescent="0.2">
      <c r="A12">
        <v>43</v>
      </c>
      <c r="B12">
        <v>739</v>
      </c>
      <c r="C12">
        <v>250</v>
      </c>
      <c r="D12">
        <v>0.31616904609000601</v>
      </c>
      <c r="E12">
        <v>33.698455222666098</v>
      </c>
      <c r="F12">
        <v>2.5247178556450698</v>
      </c>
      <c r="G12">
        <v>-529.39612229183956</v>
      </c>
      <c r="H12">
        <v>-459.72110514888203</v>
      </c>
      <c r="I12">
        <v>68.838627815005196</v>
      </c>
      <c r="J12">
        <v>40.0133997760488</v>
      </c>
      <c r="K12">
        <v>13.3474143050555</v>
      </c>
      <c r="L12">
        <v>2.8302467102537382E-5</v>
      </c>
      <c r="M12">
        <v>1.7877527771374986E-6</v>
      </c>
      <c r="N12" s="1">
        <v>-3.2052241113517298E-7</v>
      </c>
      <c r="O12" s="1">
        <v>1.2727200508799101E-10</v>
      </c>
      <c r="P12" s="1">
        <v>1.19174331971932E-9</v>
      </c>
      <c r="Q12">
        <v>65.772854552353607</v>
      </c>
      <c r="S12">
        <v>18.941613737524499</v>
      </c>
      <c r="AA12">
        <v>0.279828842799769</v>
      </c>
      <c r="AB12">
        <v>3.8941056177573299</v>
      </c>
      <c r="AC12">
        <v>11.111597249564699</v>
      </c>
      <c r="AJ12">
        <v>0.34281040795359102</v>
      </c>
      <c r="AK12">
        <v>1.36128650522642E-2</v>
      </c>
      <c r="AL12">
        <v>0.64357672699414403</v>
      </c>
    </row>
    <row r="13" spans="1:38" x14ac:dyDescent="0.2">
      <c r="A13">
        <v>44</v>
      </c>
      <c r="B13">
        <v>738</v>
      </c>
      <c r="C13">
        <v>250</v>
      </c>
      <c r="D13">
        <v>0.31542352766652099</v>
      </c>
      <c r="E13">
        <v>34.311673074680201</v>
      </c>
      <c r="F13">
        <v>2.5247515680630999</v>
      </c>
      <c r="G13">
        <v>-538.93382861614793</v>
      </c>
      <c r="H13">
        <v>-468.1060753255307</v>
      </c>
      <c r="I13">
        <v>70.046732226294097</v>
      </c>
      <c r="J13">
        <v>40.748322486700097</v>
      </c>
      <c r="K13">
        <v>13.5901185323366</v>
      </c>
      <c r="L13">
        <v>2.8320215652735791E-5</v>
      </c>
      <c r="M13">
        <v>1.7878343787890163E-6</v>
      </c>
      <c r="N13" s="1">
        <v>-3.37554515233607E-7</v>
      </c>
      <c r="O13" s="1">
        <v>1.2951015058617001E-10</v>
      </c>
      <c r="P13" s="1">
        <v>1.2452523489499101E-9</v>
      </c>
      <c r="Q13">
        <v>65.772123354561302</v>
      </c>
      <c r="S13">
        <v>18.938622775935301</v>
      </c>
      <c r="AA13">
        <v>0.277531883872429</v>
      </c>
      <c r="AB13">
        <v>3.8846349880249398</v>
      </c>
      <c r="AC13">
        <v>11.127086997605799</v>
      </c>
      <c r="AJ13">
        <v>0.341993201373538</v>
      </c>
      <c r="AK13">
        <v>1.35017769505274E-2</v>
      </c>
      <c r="AL13">
        <v>0.64450502167593404</v>
      </c>
    </row>
    <row r="14" spans="1:38" x14ac:dyDescent="0.2">
      <c r="A14">
        <v>45</v>
      </c>
      <c r="B14">
        <v>737</v>
      </c>
      <c r="C14">
        <v>250</v>
      </c>
      <c r="D14">
        <v>0.31467653318814098</v>
      </c>
      <c r="E14">
        <v>34.733562221944602</v>
      </c>
      <c r="F14">
        <v>2.52478571298415</v>
      </c>
      <c r="G14">
        <v>-545.46438260826824</v>
      </c>
      <c r="H14">
        <v>-473.88211657200219</v>
      </c>
      <c r="I14">
        <v>70.863006520087197</v>
      </c>
      <c r="J14">
        <v>41.256687960362697</v>
      </c>
      <c r="K14">
        <v>13.757033732930701</v>
      </c>
      <c r="L14">
        <v>2.833905168455895E-5</v>
      </c>
      <c r="M14">
        <v>1.7879222717111823E-6</v>
      </c>
      <c r="N14" s="1">
        <v>-3.5344151602177702E-7</v>
      </c>
      <c r="O14" s="1">
        <v>1.3102038131900599E-10</v>
      </c>
      <c r="P14" s="1">
        <v>1.2938823361006699E-9</v>
      </c>
      <c r="Q14">
        <v>65.771510977288699</v>
      </c>
      <c r="S14">
        <v>18.9356726827742</v>
      </c>
      <c r="AA14">
        <v>0.27524091667276201</v>
      </c>
      <c r="AB14">
        <v>3.8755362853469899</v>
      </c>
      <c r="AC14">
        <v>11.1420391379172</v>
      </c>
      <c r="AJ14">
        <v>0.34120801407913498</v>
      </c>
      <c r="AK14">
        <v>1.33909442372184E-2</v>
      </c>
      <c r="AL14">
        <v>0.64540104168364598</v>
      </c>
    </row>
    <row r="15" spans="1:38" x14ac:dyDescent="0.2">
      <c r="A15">
        <v>56</v>
      </c>
      <c r="B15">
        <v>747</v>
      </c>
      <c r="C15">
        <v>225</v>
      </c>
      <c r="D15">
        <v>0.34903739646130499</v>
      </c>
      <c r="E15">
        <v>10.5578508197499</v>
      </c>
      <c r="F15">
        <v>2.5234029384916901</v>
      </c>
      <c r="G15">
        <v>-166.26646796748454</v>
      </c>
      <c r="H15">
        <v>-144.13863208160461</v>
      </c>
      <c r="I15">
        <v>21.690766932196102</v>
      </c>
      <c r="J15">
        <v>12.5282548293101</v>
      </c>
      <c r="K15">
        <v>4.1839734188708997</v>
      </c>
      <c r="L15">
        <v>2.8224083990894527E-5</v>
      </c>
      <c r="M15">
        <v>1.7896955652086997E-6</v>
      </c>
      <c r="N15" s="1">
        <v>-7.6612764127487395E-8</v>
      </c>
      <c r="O15" s="1">
        <v>4.0015376594584598E-11</v>
      </c>
      <c r="P15" s="1">
        <v>3.0549589590425399E-10</v>
      </c>
      <c r="Q15">
        <v>65.806419115290694</v>
      </c>
      <c r="S15">
        <v>18.975231818654599</v>
      </c>
      <c r="AA15">
        <v>0.29973227204931702</v>
      </c>
      <c r="AB15">
        <v>4.0570366169338099</v>
      </c>
      <c r="AC15">
        <v>10.861580177071501</v>
      </c>
      <c r="AJ15">
        <v>0.35685728143430401</v>
      </c>
      <c r="AK15">
        <v>1.45690063069196E-2</v>
      </c>
      <c r="AL15">
        <v>0.62857371225877601</v>
      </c>
    </row>
    <row r="16" spans="1:38" x14ac:dyDescent="0.2">
      <c r="A16">
        <v>57</v>
      </c>
      <c r="B16">
        <v>746</v>
      </c>
      <c r="C16">
        <v>225</v>
      </c>
      <c r="D16">
        <v>0.34832998086640898</v>
      </c>
      <c r="E16">
        <v>27.719905992806801</v>
      </c>
      <c r="F16">
        <v>2.5234195681131601</v>
      </c>
      <c r="G16">
        <v>-436.38706113750544</v>
      </c>
      <c r="H16">
        <v>-378.39627981380602</v>
      </c>
      <c r="I16">
        <v>56.901124784084203</v>
      </c>
      <c r="J16">
        <v>32.8884916607633</v>
      </c>
      <c r="K16">
        <v>10.9850562875415</v>
      </c>
      <c r="L16">
        <v>2.8205281118899503E-5</v>
      </c>
      <c r="M16">
        <v>1.7893237010847487E-6</v>
      </c>
      <c r="N16" s="1">
        <v>-2.0551741124565399E-7</v>
      </c>
      <c r="O16" s="1">
        <v>1.0505950462129699E-10</v>
      </c>
      <c r="P16" s="1">
        <v>8.1442469015023603E-10</v>
      </c>
      <c r="Q16">
        <v>65.791993521853897</v>
      </c>
      <c r="S16">
        <v>18.9692195718284</v>
      </c>
      <c r="AA16">
        <v>0.298138121875207</v>
      </c>
      <c r="AB16">
        <v>4.0091280687291002</v>
      </c>
      <c r="AC16">
        <v>10.931520715713299</v>
      </c>
      <c r="AJ16">
        <v>0.35272929927707702</v>
      </c>
      <c r="AK16">
        <v>1.4495056333604799E-2</v>
      </c>
      <c r="AL16">
        <v>0.63277564438931699</v>
      </c>
    </row>
    <row r="17" spans="1:38" x14ac:dyDescent="0.2">
      <c r="A17">
        <v>58</v>
      </c>
      <c r="B17">
        <v>745</v>
      </c>
      <c r="C17">
        <v>225</v>
      </c>
      <c r="D17">
        <v>0.347621175661739</v>
      </c>
      <c r="E17">
        <v>31.199087996593299</v>
      </c>
      <c r="F17">
        <v>2.52344698466004</v>
      </c>
      <c r="G17">
        <v>-491.05235195455913</v>
      </c>
      <c r="H17">
        <v>-425.89146929224466</v>
      </c>
      <c r="I17">
        <v>63.999295449898803</v>
      </c>
      <c r="J17">
        <v>37.018351137760298</v>
      </c>
      <c r="K17">
        <v>12.3636788037361</v>
      </c>
      <c r="L17">
        <v>2.8210798919660478E-5</v>
      </c>
      <c r="M17">
        <v>1.7892901523278088E-6</v>
      </c>
      <c r="N17" s="1">
        <v>-2.3867883940286897E-7</v>
      </c>
      <c r="O17" s="1">
        <v>1.1820349924418299E-10</v>
      </c>
      <c r="P17" s="1">
        <v>9.376726155929699E-10</v>
      </c>
      <c r="Q17">
        <v>65.788160958021194</v>
      </c>
      <c r="S17">
        <v>18.965436613875301</v>
      </c>
      <c r="AA17">
        <v>0.29591141920533698</v>
      </c>
      <c r="AB17">
        <v>3.99066988962955</v>
      </c>
      <c r="AC17">
        <v>10.959821119268501</v>
      </c>
      <c r="AJ17">
        <v>0.35113834733348298</v>
      </c>
      <c r="AK17">
        <v>1.4388150496147599E-2</v>
      </c>
      <c r="AL17">
        <v>0.63447350217036902</v>
      </c>
    </row>
    <row r="18" spans="1:38" x14ac:dyDescent="0.2">
      <c r="A18">
        <v>59</v>
      </c>
      <c r="B18">
        <v>744</v>
      </c>
      <c r="C18">
        <v>225</v>
      </c>
      <c r="D18">
        <v>0.34691097674876298</v>
      </c>
      <c r="E18">
        <v>32.797058477712397</v>
      </c>
      <c r="F18">
        <v>2.5234763836030401</v>
      </c>
      <c r="G18">
        <v>-516.1023025574442</v>
      </c>
      <c r="H18">
        <v>-447.71593656052579</v>
      </c>
      <c r="I18">
        <v>67.233314650659594</v>
      </c>
      <c r="J18">
        <v>38.917935941321602</v>
      </c>
      <c r="K18">
        <v>12.996776467107001</v>
      </c>
      <c r="L18">
        <v>2.8220885653720901E-5</v>
      </c>
      <c r="M18">
        <v>1.7893143722219603E-6</v>
      </c>
      <c r="N18" s="1">
        <v>-2.5930563410469597E-7</v>
      </c>
      <c r="O18" s="1">
        <v>1.24204432394108E-10</v>
      </c>
      <c r="P18" s="1">
        <v>1.0096918684295601E-9</v>
      </c>
      <c r="Q18">
        <v>65.786086682468493</v>
      </c>
      <c r="S18">
        <v>18.962040335296699</v>
      </c>
      <c r="AA18">
        <v>0.29359345844600199</v>
      </c>
      <c r="AB18">
        <v>3.9771436919387302</v>
      </c>
      <c r="AC18">
        <v>10.981135831849899</v>
      </c>
      <c r="AJ18">
        <v>0.349972309192011</v>
      </c>
      <c r="AK18">
        <v>1.42764282226022E-2</v>
      </c>
      <c r="AL18">
        <v>0.63575126258538595</v>
      </c>
    </row>
    <row r="19" spans="1:38" x14ac:dyDescent="0.2">
      <c r="A19">
        <v>60</v>
      </c>
      <c r="B19">
        <v>743</v>
      </c>
      <c r="C19">
        <v>225</v>
      </c>
      <c r="D19">
        <v>0.34619938001279399</v>
      </c>
      <c r="E19">
        <v>33.734750429893403</v>
      </c>
      <c r="F19">
        <v>2.5235067672662801</v>
      </c>
      <c r="G19">
        <v>-530.75849629700781</v>
      </c>
      <c r="H19">
        <v>-460.53124991034917</v>
      </c>
      <c r="I19">
        <v>69.111102087938406</v>
      </c>
      <c r="J19">
        <v>40.0350534315901</v>
      </c>
      <c r="K19">
        <v>13.3682028784247</v>
      </c>
      <c r="L19">
        <v>2.823310675459701E-5</v>
      </c>
      <c r="M19">
        <v>1.7893615987102536E-6</v>
      </c>
      <c r="N19" s="1">
        <v>-2.7580295885532101E-7</v>
      </c>
      <c r="O19" s="1">
        <v>1.27695800386048E-10</v>
      </c>
      <c r="P19" s="1">
        <v>1.0644878398072901E-9</v>
      </c>
      <c r="Q19">
        <v>65.784671934063795</v>
      </c>
      <c r="S19">
        <v>18.9588009110686</v>
      </c>
      <c r="AA19">
        <v>0.29125101248810797</v>
      </c>
      <c r="AB19">
        <v>3.9654984292066202</v>
      </c>
      <c r="AC19">
        <v>10.999777713172699</v>
      </c>
      <c r="AJ19">
        <v>0.34896829259581402</v>
      </c>
      <c r="AK19">
        <v>1.4163364124023199E-2</v>
      </c>
      <c r="AL19">
        <v>0.63686834328016195</v>
      </c>
    </row>
    <row r="20" spans="1:38" x14ac:dyDescent="0.2">
      <c r="A20">
        <v>61</v>
      </c>
      <c r="B20">
        <v>742</v>
      </c>
      <c r="C20">
        <v>225</v>
      </c>
      <c r="D20">
        <v>0.345486381322956</v>
      </c>
      <c r="E20">
        <v>34.358214822532901</v>
      </c>
      <c r="F20">
        <v>2.52353783869038</v>
      </c>
      <c r="G20">
        <v>-540.46851942727949</v>
      </c>
      <c r="H20">
        <v>-469.05938281132939</v>
      </c>
      <c r="I20">
        <v>70.343433596956103</v>
      </c>
      <c r="J20">
        <v>40.7800032801741</v>
      </c>
      <c r="K20">
        <v>13.615097937411299</v>
      </c>
      <c r="L20">
        <v>2.8246732954393932E-5</v>
      </c>
      <c r="M20">
        <v>1.7894212489110966E-6</v>
      </c>
      <c r="N20" s="1">
        <v>-2.9053468488659499E-7</v>
      </c>
      <c r="O20" s="1">
        <v>1.2999119586398501E-10</v>
      </c>
      <c r="P20" s="1">
        <v>1.1116432054033099E-9</v>
      </c>
      <c r="Q20">
        <v>65.783580676243204</v>
      </c>
      <c r="S20">
        <v>18.9556478656366</v>
      </c>
      <c r="AA20">
        <v>0.28890434781611302</v>
      </c>
      <c r="AB20">
        <v>3.9548005011404901</v>
      </c>
      <c r="AC20">
        <v>11.0170666091635</v>
      </c>
      <c r="AJ20">
        <v>0.34804584852043702</v>
      </c>
      <c r="AK20">
        <v>1.4050013625781999E-2</v>
      </c>
      <c r="AL20">
        <v>0.63790413785377997</v>
      </c>
    </row>
    <row r="21" spans="1:38" x14ac:dyDescent="0.2">
      <c r="A21">
        <v>62</v>
      </c>
      <c r="B21">
        <v>741</v>
      </c>
      <c r="C21">
        <v>225</v>
      </c>
      <c r="D21">
        <v>0.34477197653207198</v>
      </c>
      <c r="E21">
        <v>34.805053650727601</v>
      </c>
      <c r="F21">
        <v>2.523569474791</v>
      </c>
      <c r="G21">
        <v>-547.39844327783339</v>
      </c>
      <c r="H21">
        <v>-475.17784262456888</v>
      </c>
      <c r="I21">
        <v>71.212937586416601</v>
      </c>
      <c r="J21">
        <v>41.3159251384334</v>
      </c>
      <c r="K21">
        <v>13.791993443576599</v>
      </c>
      <c r="L21">
        <v>2.8261472019492898E-5</v>
      </c>
      <c r="M21">
        <v>1.7894889309965026E-6</v>
      </c>
      <c r="N21" s="1">
        <v>-3.0443867131692001E-7</v>
      </c>
      <c r="O21" s="1">
        <v>1.3161300928041699E-10</v>
      </c>
      <c r="P21" s="1">
        <v>1.1549606658935301E-9</v>
      </c>
      <c r="Q21">
        <v>65.782672283527106</v>
      </c>
      <c r="S21">
        <v>18.952551595233398</v>
      </c>
      <c r="AA21">
        <v>0.286561854052025</v>
      </c>
      <c r="AB21">
        <v>3.9446589212742298</v>
      </c>
      <c r="AC21">
        <v>11.033555345913101</v>
      </c>
      <c r="AJ21">
        <v>0.347171284328878</v>
      </c>
      <c r="AK21">
        <v>1.3936814106227199E-2</v>
      </c>
      <c r="AL21">
        <v>0.63889190156489395</v>
      </c>
    </row>
    <row r="22" spans="1:38" x14ac:dyDescent="0.2">
      <c r="A22">
        <v>72</v>
      </c>
      <c r="B22">
        <v>751</v>
      </c>
      <c r="C22">
        <v>200</v>
      </c>
      <c r="D22">
        <v>0.378704779573308</v>
      </c>
      <c r="E22">
        <v>21.664307351087199</v>
      </c>
      <c r="F22">
        <v>2.5222256411239101</v>
      </c>
      <c r="G22">
        <v>-341.6913996636215</v>
      </c>
      <c r="H22">
        <v>-295.97711760869942</v>
      </c>
      <c r="I22">
        <v>44.636315046547899</v>
      </c>
      <c r="J22">
        <v>25.7007162271072</v>
      </c>
      <c r="K22">
        <v>8.5893613156012005</v>
      </c>
      <c r="L22">
        <v>2.8180025714916207E-5</v>
      </c>
      <c r="M22">
        <v>1.7914151306919007E-6</v>
      </c>
      <c r="N22" s="1">
        <v>-1.34961114765324E-7</v>
      </c>
      <c r="O22" s="1">
        <v>8.22378173121352E-11</v>
      </c>
      <c r="P22" s="1">
        <v>5.6294264659462702E-10</v>
      </c>
      <c r="Q22">
        <v>65.819277605045798</v>
      </c>
      <c r="S22">
        <v>18.9936658040087</v>
      </c>
      <c r="AA22">
        <v>0.31194014591784502</v>
      </c>
      <c r="AB22">
        <v>4.1340181610959101</v>
      </c>
      <c r="AC22">
        <v>10.741098283931599</v>
      </c>
      <c r="AJ22">
        <v>0.36348600904452</v>
      </c>
      <c r="AK22">
        <v>1.51564461275468E-2</v>
      </c>
      <c r="AL22">
        <v>0.62135754482793204</v>
      </c>
    </row>
    <row r="23" spans="1:38" x14ac:dyDescent="0.2">
      <c r="A23">
        <v>73</v>
      </c>
      <c r="B23">
        <v>750</v>
      </c>
      <c r="C23">
        <v>200</v>
      </c>
      <c r="D23">
        <v>0.37802912573913899</v>
      </c>
      <c r="E23">
        <v>29.222816934388899</v>
      </c>
      <c r="F23">
        <v>2.5222342665709099</v>
      </c>
      <c r="G23">
        <v>-460.74976521724983</v>
      </c>
      <c r="H23">
        <v>-399.1978397990182</v>
      </c>
      <c r="I23">
        <v>60.159239034580999</v>
      </c>
      <c r="J23">
        <v>34.662311429385298</v>
      </c>
      <c r="K23">
        <v>11.5860835457281</v>
      </c>
      <c r="L23">
        <v>2.8161256875445082E-5</v>
      </c>
      <c r="M23">
        <v>1.791060209179159E-6</v>
      </c>
      <c r="N23" s="1">
        <v>-1.8613843502487001E-7</v>
      </c>
      <c r="O23" s="1">
        <v>1.1093129891002299E-10</v>
      </c>
      <c r="P23" s="1">
        <v>7.7095678030760802E-10</v>
      </c>
      <c r="Q23">
        <v>65.805692939286303</v>
      </c>
      <c r="S23">
        <v>18.9875710207689</v>
      </c>
      <c r="AA23">
        <v>0.31008168338012199</v>
      </c>
      <c r="AB23">
        <v>4.0877671951924297</v>
      </c>
      <c r="AC23">
        <v>10.8088871613721</v>
      </c>
      <c r="AJ23">
        <v>0.359504010592193</v>
      </c>
      <c r="AK23">
        <v>1.5069695917671501E-2</v>
      </c>
      <c r="AL23">
        <v>0.62542629349013401</v>
      </c>
    </row>
    <row r="24" spans="1:38" x14ac:dyDescent="0.2">
      <c r="A24">
        <v>74</v>
      </c>
      <c r="B24">
        <v>749</v>
      </c>
      <c r="C24">
        <v>200</v>
      </c>
      <c r="D24">
        <v>0.37735214988015597</v>
      </c>
      <c r="E24">
        <v>31.8541172666508</v>
      </c>
      <c r="F24">
        <v>2.5222558865776898</v>
      </c>
      <c r="G24">
        <v>-502.11843338229045</v>
      </c>
      <c r="H24">
        <v>-435.13678541145458</v>
      </c>
      <c r="I24">
        <v>65.530155036771404</v>
      </c>
      <c r="J24">
        <v>37.783439880064101</v>
      </c>
      <c r="K24">
        <v>12.629217136993899</v>
      </c>
      <c r="L24">
        <v>2.8161200270325294E-5</v>
      </c>
      <c r="M24">
        <v>1.790972568056861E-6</v>
      </c>
      <c r="N24" s="1">
        <v>-2.0912760307447901E-7</v>
      </c>
      <c r="O24" s="1">
        <v>1.2089028382008901E-10</v>
      </c>
      <c r="P24" s="1">
        <v>8.5820168038571404E-10</v>
      </c>
      <c r="Q24">
        <v>65.800439981168793</v>
      </c>
      <c r="S24">
        <v>18.983342861601098</v>
      </c>
      <c r="AA24">
        <v>0.30781911473795898</v>
      </c>
      <c r="AB24">
        <v>4.0649765907233197</v>
      </c>
      <c r="AC24">
        <v>10.8434214517687</v>
      </c>
      <c r="AJ24">
        <v>0.35754116359034099</v>
      </c>
      <c r="AK24">
        <v>1.49614737668975E-2</v>
      </c>
      <c r="AL24">
        <v>0.62749736264276001</v>
      </c>
    </row>
    <row r="25" spans="1:38" x14ac:dyDescent="0.2">
      <c r="A25">
        <v>75</v>
      </c>
      <c r="B25">
        <v>748</v>
      </c>
      <c r="C25">
        <v>200</v>
      </c>
      <c r="D25">
        <v>0.37667384811242399</v>
      </c>
      <c r="E25">
        <v>33.218371103676802</v>
      </c>
      <c r="F25">
        <v>2.5222811472451601</v>
      </c>
      <c r="G25">
        <v>-523.51444824990381</v>
      </c>
      <c r="H25">
        <v>-453.77878848240448</v>
      </c>
      <c r="I25">
        <v>68.291298797923304</v>
      </c>
      <c r="J25">
        <v>39.4034955406986</v>
      </c>
      <c r="K25">
        <v>13.169971610800699</v>
      </c>
      <c r="L25">
        <v>2.8166723389092711E-5</v>
      </c>
      <c r="M25">
        <v>1.7909600008674685E-6</v>
      </c>
      <c r="N25" s="1">
        <v>-2.2526686649603E-7</v>
      </c>
      <c r="O25" s="1">
        <v>1.26026560457403E-10</v>
      </c>
      <c r="P25" s="1">
        <v>9.1553211715781401E-10</v>
      </c>
      <c r="Q25">
        <v>65.797491083724594</v>
      </c>
      <c r="S25">
        <v>18.9796454026948</v>
      </c>
      <c r="AA25">
        <v>0.30545675818592899</v>
      </c>
      <c r="AB25">
        <v>4.0487117616573496</v>
      </c>
      <c r="AC25">
        <v>10.868694993737099</v>
      </c>
      <c r="AJ25">
        <v>0.35614007792387198</v>
      </c>
      <c r="AK25">
        <v>1.4847882384395199E-2</v>
      </c>
      <c r="AL25">
        <v>0.62901203969173103</v>
      </c>
    </row>
    <row r="26" spans="1:38" x14ac:dyDescent="0.2">
      <c r="A26">
        <v>76</v>
      </c>
      <c r="B26">
        <v>747</v>
      </c>
      <c r="C26">
        <v>200</v>
      </c>
      <c r="D26">
        <v>0.375994216536785</v>
      </c>
      <c r="E26">
        <v>34.065340725332497</v>
      </c>
      <c r="F26">
        <v>2.52230814200556</v>
      </c>
      <c r="G26">
        <v>-536.75742185161823</v>
      </c>
      <c r="H26">
        <v>-465.36011389280617</v>
      </c>
      <c r="I26">
        <v>69.987068527973193</v>
      </c>
      <c r="J26">
        <v>40.411009908773899</v>
      </c>
      <c r="K26">
        <v>13.505622155366799</v>
      </c>
      <c r="L26">
        <v>2.8174941368038698E-5</v>
      </c>
      <c r="M26">
        <v>1.7909802020113753E-6</v>
      </c>
      <c r="N26" s="1">
        <v>-2.38825668020412E-7</v>
      </c>
      <c r="O26" s="1">
        <v>1.29191830906334E-10</v>
      </c>
      <c r="P26" s="1">
        <v>9.612589388124479E-10</v>
      </c>
      <c r="Q26">
        <v>65.7955146677958</v>
      </c>
      <c r="S26">
        <v>18.976183240553901</v>
      </c>
      <c r="AA26">
        <v>0.30306160860760301</v>
      </c>
      <c r="AB26">
        <v>4.0352309165670697</v>
      </c>
      <c r="AC26">
        <v>10.890009566475401</v>
      </c>
      <c r="AJ26">
        <v>0.35497863773406402</v>
      </c>
      <c r="AK26">
        <v>1.47324691553557E-2</v>
      </c>
      <c r="AL26">
        <v>0.63028889311057901</v>
      </c>
    </row>
    <row r="27" spans="1:38" x14ac:dyDescent="0.2">
      <c r="A27">
        <v>77</v>
      </c>
      <c r="B27">
        <v>746</v>
      </c>
      <c r="C27">
        <v>200</v>
      </c>
      <c r="D27">
        <v>0.37531325123877901</v>
      </c>
      <c r="E27">
        <v>34.646877287204099</v>
      </c>
      <c r="F27">
        <v>2.5223362256931798</v>
      </c>
      <c r="G27">
        <v>-545.81716838207808</v>
      </c>
      <c r="H27">
        <v>-473.31874020928791</v>
      </c>
      <c r="I27">
        <v>71.1361705075701</v>
      </c>
      <c r="J27">
        <v>41.104392561393901</v>
      </c>
      <c r="K27">
        <v>13.7360265194948</v>
      </c>
      <c r="L27">
        <v>2.8184857209293853E-5</v>
      </c>
      <c r="M27">
        <v>1.7910184159275869E-6</v>
      </c>
      <c r="N27" s="1">
        <v>-2.51223525879154E-7</v>
      </c>
      <c r="O27" s="1">
        <v>1.3134430268929901E-10</v>
      </c>
      <c r="P27" s="1">
        <v>1.0014886095817701E-9</v>
      </c>
      <c r="Q27">
        <v>65.794044696493401</v>
      </c>
      <c r="S27">
        <v>18.972852802425699</v>
      </c>
      <c r="AA27">
        <v>0.30065696075848197</v>
      </c>
      <c r="AB27">
        <v>4.0232239877966602</v>
      </c>
      <c r="AC27">
        <v>10.909221552525601</v>
      </c>
      <c r="AJ27">
        <v>0.35394405032030402</v>
      </c>
      <c r="AK27">
        <v>1.46164685919969E-2</v>
      </c>
      <c r="AL27">
        <v>0.63143948108769798</v>
      </c>
    </row>
    <row r="28" spans="1:38" x14ac:dyDescent="0.2">
      <c r="A28">
        <v>78</v>
      </c>
      <c r="B28">
        <v>745</v>
      </c>
      <c r="C28">
        <v>200</v>
      </c>
      <c r="D28">
        <v>0.37463094828856203</v>
      </c>
      <c r="E28">
        <v>35.072352941799302</v>
      </c>
      <c r="F28">
        <v>2.5223651149185602</v>
      </c>
      <c r="G28">
        <v>-552.41755304819537</v>
      </c>
      <c r="H28">
        <v>-479.14755540821579</v>
      </c>
      <c r="I28">
        <v>71.963853695407806</v>
      </c>
      <c r="J28">
        <v>41.613222515398</v>
      </c>
      <c r="K28">
        <v>13.9045504294217</v>
      </c>
      <c r="L28">
        <v>2.8196036105625155E-5</v>
      </c>
      <c r="M28">
        <v>1.7910680809882597E-6</v>
      </c>
      <c r="N28" s="1">
        <v>-2.6307542941736202E-7</v>
      </c>
      <c r="O28" s="1">
        <v>1.3290016244866101E-10</v>
      </c>
      <c r="P28" s="1">
        <v>1.0388674266118801E-9</v>
      </c>
      <c r="Q28">
        <v>65.792872859080703</v>
      </c>
      <c r="S28">
        <v>18.969607674591899</v>
      </c>
      <c r="AA28">
        <v>0.29825312930842801</v>
      </c>
      <c r="AB28">
        <v>4.0121050864422099</v>
      </c>
      <c r="AC28">
        <v>10.927161250576599</v>
      </c>
      <c r="AJ28">
        <v>0.35298586899399298</v>
      </c>
      <c r="AK28">
        <v>1.45004279391191E-2</v>
      </c>
      <c r="AL28">
        <v>0.63251370306688603</v>
      </c>
    </row>
    <row r="29" spans="1:38" x14ac:dyDescent="0.2">
      <c r="A29">
        <v>91</v>
      </c>
      <c r="B29">
        <v>757</v>
      </c>
      <c r="C29">
        <v>175</v>
      </c>
      <c r="D29">
        <v>0.40942629714119499</v>
      </c>
      <c r="E29">
        <v>1.82143979678526</v>
      </c>
      <c r="F29">
        <v>2.5211508090574002</v>
      </c>
      <c r="G29">
        <v>-28.801509101896094</v>
      </c>
      <c r="H29">
        <v>-24.916255116543933</v>
      </c>
      <c r="I29">
        <v>3.77154199422624</v>
      </c>
      <c r="J29">
        <v>2.1622595775444799</v>
      </c>
      <c r="K29">
        <v>0.72246364249279305</v>
      </c>
      <c r="L29">
        <v>2.8249013760089741E-5</v>
      </c>
      <c r="M29">
        <v>1.794830990655398E-6</v>
      </c>
      <c r="N29" s="1">
        <v>-9.5650427531553097E-9</v>
      </c>
      <c r="O29" s="1">
        <v>6.9163628849986097E-12</v>
      </c>
      <c r="P29" s="1">
        <v>4.22220890391943E-11</v>
      </c>
      <c r="Q29">
        <v>65.8878466788385</v>
      </c>
      <c r="S29">
        <v>19.032310203889601</v>
      </c>
      <c r="AA29">
        <v>0.32782251553636899</v>
      </c>
      <c r="AB29">
        <v>4.3881319839185702</v>
      </c>
      <c r="AC29">
        <v>10.3638886178168</v>
      </c>
      <c r="AJ29">
        <v>0.38533059915819801</v>
      </c>
      <c r="AK29">
        <v>1.5907553225628E-2</v>
      </c>
      <c r="AL29">
        <v>0.59876184761617302</v>
      </c>
    </row>
    <row r="30" spans="1:38" x14ac:dyDescent="0.2">
      <c r="A30">
        <v>92</v>
      </c>
      <c r="B30">
        <v>756</v>
      </c>
      <c r="C30">
        <v>175</v>
      </c>
      <c r="D30">
        <v>0.40878443375601398</v>
      </c>
      <c r="E30">
        <v>22.3324680797881</v>
      </c>
      <c r="F30">
        <v>2.5210544825065999</v>
      </c>
      <c r="G30">
        <v>-352.85911680458048</v>
      </c>
      <c r="H30">
        <v>-305.3352757616999</v>
      </c>
      <c r="I30">
        <v>46.177759357606298</v>
      </c>
      <c r="J30">
        <v>26.490902671728499</v>
      </c>
      <c r="K30">
        <v>8.8583837575710298</v>
      </c>
      <c r="L30">
        <v>2.8152655232125574E-5</v>
      </c>
      <c r="M30">
        <v>1.7933205361486945E-6</v>
      </c>
      <c r="N30" s="1">
        <v>-1.1580736351957501E-7</v>
      </c>
      <c r="O30" s="1">
        <v>8.4890657632407795E-11</v>
      </c>
      <c r="P30" s="1">
        <v>5.1309567853336897E-10</v>
      </c>
      <c r="Q30">
        <v>65.839010018414498</v>
      </c>
      <c r="S30">
        <v>19.017450302080402</v>
      </c>
      <c r="AA30">
        <v>0.32695831146055399</v>
      </c>
      <c r="AB30">
        <v>4.2403449401690096</v>
      </c>
      <c r="AC30">
        <v>10.576236427875299</v>
      </c>
      <c r="AJ30">
        <v>0.37263306809109598</v>
      </c>
      <c r="AK30">
        <v>1.5877545932944302E-2</v>
      </c>
      <c r="AL30">
        <v>0.61148938597595903</v>
      </c>
    </row>
    <row r="31" spans="1:38" x14ac:dyDescent="0.2">
      <c r="A31">
        <v>93</v>
      </c>
      <c r="B31">
        <v>755</v>
      </c>
      <c r="C31">
        <v>175</v>
      </c>
      <c r="D31">
        <v>0.40814132179156798</v>
      </c>
      <c r="E31">
        <v>29.2398283869429</v>
      </c>
      <c r="F31">
        <v>2.5210426597482898</v>
      </c>
      <c r="G31">
        <v>-461.81328141417384</v>
      </c>
      <c r="H31">
        <v>-399.70748812142182</v>
      </c>
      <c r="I31">
        <v>60.405381795216698</v>
      </c>
      <c r="J31">
        <v>34.675756443838701</v>
      </c>
      <c r="K31">
        <v>11.598307658095001</v>
      </c>
      <c r="L31">
        <v>2.8121816600618865E-5</v>
      </c>
      <c r="M31">
        <v>1.7928035203821326E-6</v>
      </c>
      <c r="N31" s="1">
        <v>-1.5429719857259401E-7</v>
      </c>
      <c r="O31" s="1">
        <v>1.1116969894986E-10</v>
      </c>
      <c r="P31" s="1">
        <v>6.7933355795464602E-10</v>
      </c>
      <c r="Q31">
        <v>65.820720822169804</v>
      </c>
      <c r="S31">
        <v>19.009930882080901</v>
      </c>
      <c r="AA31">
        <v>0.32502224688266101</v>
      </c>
      <c r="AB31">
        <v>4.1798753098451602</v>
      </c>
      <c r="AC31">
        <v>10.6644507390213</v>
      </c>
      <c r="AJ31">
        <v>0.36743216003025603</v>
      </c>
      <c r="AK31">
        <v>1.57883853580458E-2</v>
      </c>
      <c r="AL31">
        <v>0.61677945461169803</v>
      </c>
    </row>
    <row r="32" spans="1:38" x14ac:dyDescent="0.2">
      <c r="A32">
        <v>94</v>
      </c>
      <c r="B32">
        <v>754</v>
      </c>
      <c r="C32">
        <v>175</v>
      </c>
      <c r="D32">
        <v>0.40749695760112897</v>
      </c>
      <c r="E32">
        <v>31.886106328167902</v>
      </c>
      <c r="F32">
        <v>2.5210546193963501</v>
      </c>
      <c r="G32">
        <v>-503.47474898839647</v>
      </c>
      <c r="H32">
        <v>-435.86378416410855</v>
      </c>
      <c r="I32">
        <v>65.823847368240294</v>
      </c>
      <c r="J32">
        <v>37.811577336054903</v>
      </c>
      <c r="K32">
        <v>12.6479236438767</v>
      </c>
      <c r="L32">
        <v>2.8114473474395401E-5</v>
      </c>
      <c r="M32">
        <v>1.7926348873382319E-6</v>
      </c>
      <c r="N32" s="1">
        <v>-1.7310374284387601E-7</v>
      </c>
      <c r="O32" s="1">
        <v>1.2121761459738501E-10</v>
      </c>
      <c r="P32" s="1">
        <v>7.5470479364563604E-10</v>
      </c>
      <c r="Q32">
        <v>65.813244634750603</v>
      </c>
      <c r="S32">
        <v>19.004994608416901</v>
      </c>
      <c r="AA32">
        <v>0.32269423669464098</v>
      </c>
      <c r="AB32">
        <v>4.1502739438690499</v>
      </c>
      <c r="AC32">
        <v>10.708792576268699</v>
      </c>
      <c r="AJ32">
        <v>0.36488503189466898</v>
      </c>
      <c r="AK32">
        <v>1.56776615223135E-2</v>
      </c>
      <c r="AL32">
        <v>0.61943730658301599</v>
      </c>
    </row>
    <row r="33" spans="1:38" x14ac:dyDescent="0.2">
      <c r="A33">
        <v>95</v>
      </c>
      <c r="B33">
        <v>753</v>
      </c>
      <c r="C33">
        <v>175</v>
      </c>
      <c r="D33">
        <v>0.40685133752375702</v>
      </c>
      <c r="E33">
        <v>33.293797225274602</v>
      </c>
      <c r="F33">
        <v>2.5210735995560101</v>
      </c>
      <c r="G33">
        <v>-525.58374033476809</v>
      </c>
      <c r="H33">
        <v>-455.10465902932913</v>
      </c>
      <c r="I33">
        <v>68.683020323967199</v>
      </c>
      <c r="J33">
        <v>39.480736904681599</v>
      </c>
      <c r="K33">
        <v>13.2061980384618</v>
      </c>
      <c r="L33">
        <v>2.8114663665566434E-5</v>
      </c>
      <c r="M33">
        <v>1.7925738462845306E-6</v>
      </c>
      <c r="N33" s="1">
        <v>-1.8656085398891599E-7</v>
      </c>
      <c r="O33" s="1">
        <v>1.2654193912690801E-10</v>
      </c>
      <c r="P33" s="1">
        <v>8.0473783525305898E-10</v>
      </c>
      <c r="Q33">
        <v>65.809085598652601</v>
      </c>
      <c r="S33">
        <v>19.000864175049799</v>
      </c>
      <c r="AA33">
        <v>0.32025704109035702</v>
      </c>
      <c r="AB33">
        <v>4.13017728685855</v>
      </c>
      <c r="AC33">
        <v>10.7396158983485</v>
      </c>
      <c r="AJ33">
        <v>0.36315533093743801</v>
      </c>
      <c r="AK33">
        <v>1.55608460782845E-2</v>
      </c>
      <c r="AL33">
        <v>0.62128382298427598</v>
      </c>
    </row>
    <row r="34" spans="1:38" x14ac:dyDescent="0.2">
      <c r="A34">
        <v>96</v>
      </c>
      <c r="B34">
        <v>752</v>
      </c>
      <c r="C34">
        <v>175</v>
      </c>
      <c r="D34">
        <v>0.406204457884214</v>
      </c>
      <c r="E34">
        <v>34.176658179140297</v>
      </c>
      <c r="F34">
        <v>2.5210957641818101</v>
      </c>
      <c r="G34">
        <v>-539.40924792700798</v>
      </c>
      <c r="H34">
        <v>-467.17929242609711</v>
      </c>
      <c r="I34">
        <v>70.457938351373699</v>
      </c>
      <c r="J34">
        <v>40.528725508453498</v>
      </c>
      <c r="K34">
        <v>13.5562713105552</v>
      </c>
      <c r="L34">
        <v>2.8118410461154036E-5</v>
      </c>
      <c r="M34">
        <v>1.7925604603867226E-6</v>
      </c>
      <c r="N34" s="1">
        <v>-1.9793944542541299E-7</v>
      </c>
      <c r="O34" s="1">
        <v>1.2986266400028801E-10</v>
      </c>
      <c r="P34" s="1">
        <v>8.44569131557065E-10</v>
      </c>
      <c r="Q34">
        <v>65.8063689711921</v>
      </c>
      <c r="S34">
        <v>18.997095521796101</v>
      </c>
      <c r="AA34">
        <v>0.31778175144739801</v>
      </c>
      <c r="AB34">
        <v>4.1142434137596897</v>
      </c>
      <c r="AC34">
        <v>10.764510341804501</v>
      </c>
      <c r="AJ34">
        <v>0.36178366965850201</v>
      </c>
      <c r="AK34">
        <v>1.5441828389204699E-2</v>
      </c>
      <c r="AL34">
        <v>0.622774501952292</v>
      </c>
    </row>
    <row r="35" spans="1:38" x14ac:dyDescent="0.2">
      <c r="A35">
        <v>97</v>
      </c>
      <c r="B35">
        <v>751</v>
      </c>
      <c r="C35">
        <v>175</v>
      </c>
      <c r="D35">
        <v>0.40555631499292399</v>
      </c>
      <c r="E35">
        <v>34.7859175451254</v>
      </c>
      <c r="F35">
        <v>2.5211197755089398</v>
      </c>
      <c r="G35">
        <v>-548.91696044058222</v>
      </c>
      <c r="H35">
        <v>-475.51852652876528</v>
      </c>
      <c r="I35">
        <v>71.667659924636993</v>
      </c>
      <c r="J35">
        <v>41.253059481688602</v>
      </c>
      <c r="K35">
        <v>13.7978044054266</v>
      </c>
      <c r="L35">
        <v>2.8124279506390218E-5</v>
      </c>
      <c r="M35">
        <v>1.7925730172214757E-6</v>
      </c>
      <c r="N35" s="1">
        <v>-2.0837278497665799E-7</v>
      </c>
      <c r="O35" s="1">
        <v>1.32137587802888E-10</v>
      </c>
      <c r="P35" s="1">
        <v>8.7947213191954803E-10</v>
      </c>
      <c r="Q35">
        <v>65.804413455821603</v>
      </c>
      <c r="S35">
        <v>18.9935271674895</v>
      </c>
      <c r="AA35">
        <v>0.31529411538552499</v>
      </c>
      <c r="AB35">
        <v>4.1005307478745197</v>
      </c>
      <c r="AC35">
        <v>10.786234513428701</v>
      </c>
      <c r="AJ35">
        <v>0.36060304469984</v>
      </c>
      <c r="AK35">
        <v>1.53220181348414E-2</v>
      </c>
      <c r="AL35">
        <v>0.62407493716531703</v>
      </c>
    </row>
    <row r="36" spans="1:38" x14ac:dyDescent="0.2">
      <c r="A36">
        <v>98</v>
      </c>
      <c r="B36">
        <v>750</v>
      </c>
      <c r="C36">
        <v>175</v>
      </c>
      <c r="D36">
        <v>0.40490690514587502</v>
      </c>
      <c r="E36">
        <v>35.2330125794482</v>
      </c>
      <c r="F36">
        <v>2.5211450408361098</v>
      </c>
      <c r="G36">
        <v>-555.86573795559116</v>
      </c>
      <c r="H36">
        <v>-481.64398492221864</v>
      </c>
      <c r="I36">
        <v>72.542396553166697</v>
      </c>
      <c r="J36">
        <v>41.785688450546502</v>
      </c>
      <c r="K36">
        <v>13.9750042178309</v>
      </c>
      <c r="L36">
        <v>2.8131629368282281E-5</v>
      </c>
      <c r="M36">
        <v>1.7926017050465366E-6</v>
      </c>
      <c r="N36" s="1">
        <v>-2.18360803798789E-7</v>
      </c>
      <c r="O36" s="1">
        <v>1.3379165876928301E-10</v>
      </c>
      <c r="P36" s="1">
        <v>9.1177685956068303E-10</v>
      </c>
      <c r="Q36">
        <v>65.802910070631995</v>
      </c>
      <c r="S36">
        <v>18.99008576468</v>
      </c>
      <c r="AA36">
        <v>0.312805717211942</v>
      </c>
      <c r="AB36">
        <v>4.0881584497097503</v>
      </c>
      <c r="AC36">
        <v>10.8060399977662</v>
      </c>
      <c r="AJ36">
        <v>0.35953768228219801</v>
      </c>
      <c r="AK36">
        <v>1.520205036425E-2</v>
      </c>
      <c r="AL36">
        <v>0.625260267353551</v>
      </c>
    </row>
    <row r="37" spans="1:38" x14ac:dyDescent="0.2">
      <c r="A37">
        <v>116</v>
      </c>
      <c r="B37">
        <v>763</v>
      </c>
      <c r="C37">
        <v>150</v>
      </c>
      <c r="D37">
        <v>0.43979201853014099</v>
      </c>
      <c r="E37">
        <v>9.2606718673602195</v>
      </c>
      <c r="F37">
        <v>2.52001684962576</v>
      </c>
      <c r="G37">
        <v>-146.71765759223365</v>
      </c>
      <c r="H37">
        <v>-126.76755683456707</v>
      </c>
      <c r="I37">
        <v>19.254066262285001</v>
      </c>
      <c r="J37">
        <v>10.9928782840924</v>
      </c>
      <c r="K37">
        <v>3.6748452172990298</v>
      </c>
      <c r="L37">
        <v>2.8219490318927738E-5</v>
      </c>
      <c r="M37">
        <v>1.7965994208117567E-6</v>
      </c>
      <c r="N37" s="1">
        <v>-3.8780317787347597E-8</v>
      </c>
      <c r="O37" s="1">
        <v>3.5211743137012903E-11</v>
      </c>
      <c r="P37" s="1">
        <v>1.8611335609465199E-10</v>
      </c>
      <c r="Q37">
        <v>65.902944327528402</v>
      </c>
      <c r="S37">
        <v>19.0604276268182</v>
      </c>
      <c r="AA37">
        <v>0.34749684742806702</v>
      </c>
      <c r="AB37">
        <v>4.4954897642419702</v>
      </c>
      <c r="AC37">
        <v>10.193641433983201</v>
      </c>
      <c r="AJ37">
        <v>0.39454241683336899</v>
      </c>
      <c r="AK37">
        <v>1.6853043691101299E-2</v>
      </c>
      <c r="AL37">
        <v>0.58860453947552804</v>
      </c>
    </row>
    <row r="38" spans="1:38" x14ac:dyDescent="0.2">
      <c r="A38">
        <v>117</v>
      </c>
      <c r="B38">
        <v>762</v>
      </c>
      <c r="C38">
        <v>150</v>
      </c>
      <c r="D38">
        <v>0.439183210162781</v>
      </c>
      <c r="E38">
        <v>24.030731154594299</v>
      </c>
      <c r="F38">
        <v>2.5198821778913101</v>
      </c>
      <c r="G38">
        <v>-380.4211714160877</v>
      </c>
      <c r="H38">
        <v>-328.7745335496615</v>
      </c>
      <c r="I38">
        <v>49.892902348863601</v>
      </c>
      <c r="J38">
        <v>28.503675924260801</v>
      </c>
      <c r="K38">
        <v>9.5364503013008601</v>
      </c>
      <c r="L38">
        <v>2.8122581703386685E-5</v>
      </c>
      <c r="M38">
        <v>1.7950659816693239E-6</v>
      </c>
      <c r="N38" s="1">
        <v>-9.9118018568257901E-8</v>
      </c>
      <c r="O38" s="1">
        <v>9.1470982534907103E-11</v>
      </c>
      <c r="P38" s="1">
        <v>4.7824937272917703E-10</v>
      </c>
      <c r="Q38">
        <v>65.854077814366704</v>
      </c>
      <c r="S38">
        <v>19.044461836351299</v>
      </c>
      <c r="AA38">
        <v>0.34572723961454499</v>
      </c>
      <c r="AB38">
        <v>4.3447369643755698</v>
      </c>
      <c r="AC38">
        <v>10.410996145291801</v>
      </c>
      <c r="AJ38">
        <v>0.38160402325056803</v>
      </c>
      <c r="AK38">
        <v>1.6780072964842199E-2</v>
      </c>
      <c r="AL38">
        <v>0.60161590378458896</v>
      </c>
    </row>
    <row r="39" spans="1:38" x14ac:dyDescent="0.2">
      <c r="A39">
        <v>118</v>
      </c>
      <c r="B39">
        <v>761</v>
      </c>
      <c r="C39">
        <v>150</v>
      </c>
      <c r="D39">
        <v>0.43857322438717999</v>
      </c>
      <c r="E39">
        <v>29.6448533759275</v>
      </c>
      <c r="F39">
        <v>2.5198503021289098</v>
      </c>
      <c r="G39">
        <v>-469.09665624953271</v>
      </c>
      <c r="H39">
        <v>-405.50519847867866</v>
      </c>
      <c r="I39">
        <v>61.491522284827198</v>
      </c>
      <c r="J39">
        <v>35.1523323901338</v>
      </c>
      <c r="K39">
        <v>11.764529563871999</v>
      </c>
      <c r="L39">
        <v>2.8086488367152469E-5</v>
      </c>
      <c r="M39">
        <v>1.7944826677401307E-6</v>
      </c>
      <c r="N39" s="1">
        <v>-1.2418099604120699E-7</v>
      </c>
      <c r="O39" s="1">
        <v>1.12874901405125E-10</v>
      </c>
      <c r="P39" s="1">
        <v>5.9535362087145495E-10</v>
      </c>
      <c r="Q39">
        <v>65.834152807855901</v>
      </c>
      <c r="S39">
        <v>19.036049334208801</v>
      </c>
      <c r="AA39">
        <v>0.34343606708688001</v>
      </c>
      <c r="AB39">
        <v>4.2782806876359798</v>
      </c>
      <c r="AC39">
        <v>10.5080811032123</v>
      </c>
      <c r="AJ39">
        <v>0.37589410919062499</v>
      </c>
      <c r="AK39">
        <v>1.66745045276597E-2</v>
      </c>
      <c r="AL39">
        <v>0.607431386281714</v>
      </c>
    </row>
    <row r="40" spans="1:38" x14ac:dyDescent="0.2">
      <c r="A40">
        <v>119</v>
      </c>
      <c r="B40">
        <v>760</v>
      </c>
      <c r="C40">
        <v>150</v>
      </c>
      <c r="D40">
        <v>0.43796205778444602</v>
      </c>
      <c r="E40">
        <v>32.111105602102398</v>
      </c>
      <c r="F40">
        <v>2.5198502526435802</v>
      </c>
      <c r="G40">
        <v>-507.97517111347815</v>
      </c>
      <c r="H40">
        <v>-439.21207717253105</v>
      </c>
      <c r="I40">
        <v>66.556738073800602</v>
      </c>
      <c r="J40">
        <v>38.072322809520401</v>
      </c>
      <c r="K40">
        <v>12.743259472825599</v>
      </c>
      <c r="L40">
        <v>2.8073333013261651E-5</v>
      </c>
      <c r="M40">
        <v>1.7942508791714087E-6</v>
      </c>
      <c r="N40" s="1">
        <v>-1.3822309298981901E-7</v>
      </c>
      <c r="O40" s="1">
        <v>1.2226585631934801E-10</v>
      </c>
      <c r="P40" s="1">
        <v>6.5556130656084203E-10</v>
      </c>
      <c r="Q40">
        <v>65.8250550380465</v>
      </c>
      <c r="S40">
        <v>19.030433268091102</v>
      </c>
      <c r="AA40">
        <v>0.34092559524638699</v>
      </c>
      <c r="AB40">
        <v>4.2432835479526601</v>
      </c>
      <c r="AC40">
        <v>10.5603025506632</v>
      </c>
      <c r="AJ40">
        <v>0.37288561840281798</v>
      </c>
      <c r="AK40">
        <v>1.6555563901871899E-2</v>
      </c>
      <c r="AL40">
        <v>0.61055881769530895</v>
      </c>
    </row>
    <row r="41" spans="1:38" x14ac:dyDescent="0.2">
      <c r="A41">
        <v>120</v>
      </c>
      <c r="B41">
        <v>759</v>
      </c>
      <c r="C41">
        <v>150</v>
      </c>
      <c r="D41">
        <v>0.43734970692244701</v>
      </c>
      <c r="E41">
        <v>33.490895352080599</v>
      </c>
      <c r="F41">
        <v>2.5198610585407999</v>
      </c>
      <c r="G41">
        <v>-529.67491601843551</v>
      </c>
      <c r="H41">
        <v>-458.07628747781621</v>
      </c>
      <c r="I41">
        <v>69.368433406597205</v>
      </c>
      <c r="J41">
        <v>39.706304065345499</v>
      </c>
      <c r="K41">
        <v>13.290770631407099</v>
      </c>
      <c r="L41">
        <v>2.8068659463400428E-5</v>
      </c>
      <c r="M41">
        <v>1.7941456200486714E-6</v>
      </c>
      <c r="N41" s="1">
        <v>-1.48754464474492E-7</v>
      </c>
      <c r="O41" s="1">
        <v>1.2750549069127701E-10</v>
      </c>
      <c r="P41" s="1">
        <v>6.9698332582161403E-10</v>
      </c>
      <c r="Q41">
        <v>65.819845612830207</v>
      </c>
      <c r="S41">
        <v>19.025831869523699</v>
      </c>
      <c r="AA41">
        <v>0.33834494247056701</v>
      </c>
      <c r="AB41">
        <v>4.2196114586095197</v>
      </c>
      <c r="AC41">
        <v>10.5963661165658</v>
      </c>
      <c r="AJ41">
        <v>0.37085007276859</v>
      </c>
      <c r="AK41">
        <v>1.6432225456481001E-2</v>
      </c>
      <c r="AL41">
        <v>0.61271770177492801</v>
      </c>
    </row>
    <row r="42" spans="1:38" x14ac:dyDescent="0.2">
      <c r="A42">
        <v>121</v>
      </c>
      <c r="B42">
        <v>758</v>
      </c>
      <c r="C42">
        <v>150</v>
      </c>
      <c r="D42">
        <v>0.43673616835572199</v>
      </c>
      <c r="E42">
        <v>34.377146486055402</v>
      </c>
      <c r="F42">
        <v>2.5198769386280402</v>
      </c>
      <c r="G42">
        <v>-543.57292104508622</v>
      </c>
      <c r="H42">
        <v>-470.19966230103898</v>
      </c>
      <c r="I42">
        <v>71.156726707120399</v>
      </c>
      <c r="J42">
        <v>40.756393275959503</v>
      </c>
      <c r="K42">
        <v>13.6423910069085</v>
      </c>
      <c r="L42">
        <v>2.8068137566910591E-5</v>
      </c>
      <c r="M42">
        <v>1.794099653483727E-6</v>
      </c>
      <c r="N42" s="1">
        <v>-1.5784189261173E-7</v>
      </c>
      <c r="O42" s="1">
        <v>1.30857448188635E-10</v>
      </c>
      <c r="P42" s="1">
        <v>7.3030348264828702E-10</v>
      </c>
      <c r="Q42">
        <v>65.816438718762598</v>
      </c>
      <c r="S42">
        <v>19.021711609568001</v>
      </c>
      <c r="AA42">
        <v>0.33574063797447301</v>
      </c>
      <c r="AB42">
        <v>4.2012175807060004</v>
      </c>
      <c r="AC42">
        <v>10.624891452988701</v>
      </c>
      <c r="AJ42">
        <v>0.36926806284122399</v>
      </c>
      <c r="AK42">
        <v>1.63072705149504E-2</v>
      </c>
      <c r="AL42">
        <v>0.614424666643825</v>
      </c>
    </row>
    <row r="43" spans="1:38" x14ac:dyDescent="0.2">
      <c r="A43">
        <v>122</v>
      </c>
      <c r="B43">
        <v>757</v>
      </c>
      <c r="C43">
        <v>150</v>
      </c>
      <c r="D43">
        <v>0.436121438625445</v>
      </c>
      <c r="E43">
        <v>34.996963362344999</v>
      </c>
      <c r="F43">
        <v>2.5198957189955902</v>
      </c>
      <c r="G43">
        <v>-553.25986495025472</v>
      </c>
      <c r="H43">
        <v>-478.68460821151524</v>
      </c>
      <c r="I43">
        <v>72.392619267814794</v>
      </c>
      <c r="J43">
        <v>41.491427916210903</v>
      </c>
      <c r="K43">
        <v>13.888258588849199</v>
      </c>
      <c r="L43">
        <v>2.8070074257992757E-5</v>
      </c>
      <c r="M43">
        <v>1.7940866426972798E-6</v>
      </c>
      <c r="N43" s="1">
        <v>-1.6625971528135399E-7</v>
      </c>
      <c r="O43" s="1">
        <v>1.33189224569656E-10</v>
      </c>
      <c r="P43" s="1">
        <v>7.5956184241720201E-10</v>
      </c>
      <c r="Q43">
        <v>65.814014469703906</v>
      </c>
      <c r="S43">
        <v>19.017862959871501</v>
      </c>
      <c r="AA43">
        <v>0.33313112794402999</v>
      </c>
      <c r="AB43">
        <v>4.1857255361236501</v>
      </c>
      <c r="AC43">
        <v>10.649265906356799</v>
      </c>
      <c r="AJ43">
        <v>0.36793540557879301</v>
      </c>
      <c r="AK43">
        <v>1.6181800365116E-2</v>
      </c>
      <c r="AL43">
        <v>0.61588279405609003</v>
      </c>
    </row>
    <row r="44" spans="1:38" x14ac:dyDescent="0.2">
      <c r="A44">
        <v>123</v>
      </c>
      <c r="B44">
        <v>756</v>
      </c>
      <c r="C44">
        <v>150</v>
      </c>
      <c r="D44">
        <v>0.43550551425934297</v>
      </c>
      <c r="E44">
        <v>35.455641196183102</v>
      </c>
      <c r="F44">
        <v>2.51991640030873</v>
      </c>
      <c r="G44">
        <v>-560.40027174331681</v>
      </c>
      <c r="H44">
        <v>-484.96929290638423</v>
      </c>
      <c r="I44">
        <v>73.2944457435093</v>
      </c>
      <c r="J44">
        <v>42.036027732417601</v>
      </c>
      <c r="K44">
        <v>14.0701656578127</v>
      </c>
      <c r="L44">
        <v>2.8073677455436533E-5</v>
      </c>
      <c r="M44">
        <v>1.7940941927533007E-6</v>
      </c>
      <c r="N44" s="1">
        <v>-1.7436364065221699E-7</v>
      </c>
      <c r="O44" s="1">
        <v>1.3490315032946701E-10</v>
      </c>
      <c r="P44" s="1">
        <v>7.8662099051635404E-10</v>
      </c>
      <c r="Q44">
        <v>65.812185786462393</v>
      </c>
      <c r="S44">
        <v>19.0141869587898</v>
      </c>
      <c r="AA44">
        <v>0.330525087647141</v>
      </c>
      <c r="AB44">
        <v>4.1720132988216703</v>
      </c>
      <c r="AC44">
        <v>10.671088868278799</v>
      </c>
      <c r="AJ44">
        <v>0.36675567792866098</v>
      </c>
      <c r="AK44">
        <v>1.6056333545419101E-2</v>
      </c>
      <c r="AL44">
        <v>0.61718798852591905</v>
      </c>
    </row>
    <row r="45" spans="1:38" x14ac:dyDescent="0.2">
      <c r="A45">
        <v>124</v>
      </c>
      <c r="B45">
        <v>755</v>
      </c>
      <c r="C45">
        <v>150</v>
      </c>
      <c r="D45">
        <v>0.43488839177162902</v>
      </c>
      <c r="E45">
        <v>35.808805230861502</v>
      </c>
      <c r="F45">
        <v>2.5199384564472398</v>
      </c>
      <c r="G45">
        <v>-565.87338035671712</v>
      </c>
      <c r="H45">
        <v>-489.81337750874167</v>
      </c>
      <c r="I45">
        <v>73.977535231216507</v>
      </c>
      <c r="J45">
        <v>42.456019103576097</v>
      </c>
      <c r="K45">
        <v>14.210190387485399</v>
      </c>
      <c r="L45">
        <v>2.8078529197524233E-5</v>
      </c>
      <c r="M45">
        <v>1.7941156881229964E-6</v>
      </c>
      <c r="N45" s="1">
        <v>-1.82342039821911E-7</v>
      </c>
      <c r="O45" s="1">
        <v>1.3621180110264899E-10</v>
      </c>
      <c r="P45" s="1">
        <v>8.1246553505345205E-10</v>
      </c>
      <c r="Q45">
        <v>65.810745313015502</v>
      </c>
      <c r="S45">
        <v>19.0106305245973</v>
      </c>
      <c r="AA45">
        <v>0.32792710780960499</v>
      </c>
      <c r="AB45">
        <v>4.1594796263765996</v>
      </c>
      <c r="AC45">
        <v>10.6912174282009</v>
      </c>
      <c r="AJ45">
        <v>0.36567720528868097</v>
      </c>
      <c r="AK45">
        <v>1.5931145233623201E-2</v>
      </c>
      <c r="AL45">
        <v>0.61839164947769498</v>
      </c>
    </row>
    <row r="46" spans="1:38" x14ac:dyDescent="0.2">
      <c r="A46">
        <v>147</v>
      </c>
      <c r="B46">
        <v>771</v>
      </c>
      <c r="C46">
        <v>125</v>
      </c>
      <c r="D46">
        <v>0.47095771680314102</v>
      </c>
      <c r="E46">
        <v>11.5451755496966</v>
      </c>
      <c r="F46">
        <v>2.5189395105768799</v>
      </c>
      <c r="G46">
        <v>-183.35583978022063</v>
      </c>
      <c r="H46">
        <v>-158.1562085961049</v>
      </c>
      <c r="I46">
        <v>24.134110217991399</v>
      </c>
      <c r="J46">
        <v>13.7081809983514</v>
      </c>
      <c r="K46">
        <v>4.5833476751700903</v>
      </c>
      <c r="L46">
        <v>2.8217855380301239E-5</v>
      </c>
      <c r="M46">
        <v>1.7986254292542196E-6</v>
      </c>
      <c r="N46" s="1">
        <v>-3.5734639723705198E-8</v>
      </c>
      <c r="O46" s="1">
        <v>4.3941281927023498E-11</v>
      </c>
      <c r="P46" s="1">
        <v>1.95293204679854E-10</v>
      </c>
      <c r="Q46">
        <v>65.926612575818396</v>
      </c>
      <c r="S46">
        <v>19.099914421001099</v>
      </c>
      <c r="AA46">
        <v>0.374551194768662</v>
      </c>
      <c r="AB46">
        <v>4.65175295109945</v>
      </c>
      <c r="AC46">
        <v>9.9471688573122794</v>
      </c>
      <c r="AJ46">
        <v>0.407932611754043</v>
      </c>
      <c r="AK46">
        <v>1.8150715985692199E-2</v>
      </c>
      <c r="AL46">
        <v>0.57391667226026399</v>
      </c>
    </row>
    <row r="47" spans="1:38" x14ac:dyDescent="0.2">
      <c r="A47">
        <v>148</v>
      </c>
      <c r="B47">
        <v>770</v>
      </c>
      <c r="C47">
        <v>125</v>
      </c>
      <c r="D47">
        <v>0.47038345396155901</v>
      </c>
      <c r="E47">
        <v>23.585948639224998</v>
      </c>
      <c r="F47">
        <v>2.5187391799687102</v>
      </c>
      <c r="G47">
        <v>-374.26877867438844</v>
      </c>
      <c r="H47">
        <v>-322.91097190358767</v>
      </c>
      <c r="I47">
        <v>49.233386158079497</v>
      </c>
      <c r="J47">
        <v>27.9819542272635</v>
      </c>
      <c r="K47">
        <v>9.3641885697422502</v>
      </c>
      <c r="L47">
        <v>2.8115266328895628E-5</v>
      </c>
      <c r="M47">
        <v>1.7969820533600052E-6</v>
      </c>
      <c r="N47" s="1">
        <v>-7.1416788407561995E-8</v>
      </c>
      <c r="O47" s="1">
        <v>8.9875102400319402E-11</v>
      </c>
      <c r="P47" s="1">
        <v>3.9408640849756902E-10</v>
      </c>
      <c r="Q47">
        <v>65.875454184090401</v>
      </c>
      <c r="S47">
        <v>19.081720812418599</v>
      </c>
      <c r="AA47">
        <v>0.37147839273014999</v>
      </c>
      <c r="AB47">
        <v>4.49005230790757</v>
      </c>
      <c r="AC47">
        <v>10.1812943028531</v>
      </c>
      <c r="AJ47">
        <v>0.394075882477323</v>
      </c>
      <c r="AK47">
        <v>1.80165986691492E-2</v>
      </c>
      <c r="AL47">
        <v>0.58790751885352599</v>
      </c>
    </row>
    <row r="48" spans="1:38" x14ac:dyDescent="0.2">
      <c r="A48">
        <v>149</v>
      </c>
      <c r="B48">
        <v>769</v>
      </c>
      <c r="C48">
        <v>125</v>
      </c>
      <c r="D48">
        <v>0.46980808904668597</v>
      </c>
      <c r="E48">
        <v>29.259008912452</v>
      </c>
      <c r="F48">
        <v>2.5186644196706802</v>
      </c>
      <c r="G48">
        <v>-464.05663122276837</v>
      </c>
      <c r="H48">
        <v>-400.47190817928333</v>
      </c>
      <c r="I48">
        <v>61.013024078573203</v>
      </c>
      <c r="J48">
        <v>34.698336597111997</v>
      </c>
      <c r="K48">
        <v>11.616874675300201</v>
      </c>
      <c r="L48">
        <v>2.8066059813709628E-5</v>
      </c>
      <c r="M48">
        <v>1.7962034717547951E-6</v>
      </c>
      <c r="N48" s="1">
        <v>-8.9359685479185897E-8</v>
      </c>
      <c r="O48" s="1">
        <v>1.1154872462826199E-10</v>
      </c>
      <c r="P48" s="1">
        <v>4.9095278232865303E-10</v>
      </c>
      <c r="Q48">
        <v>65.850114498881496</v>
      </c>
      <c r="S48">
        <v>19.071086635160501</v>
      </c>
      <c r="AA48">
        <v>0.36861775673476599</v>
      </c>
      <c r="AB48">
        <v>4.4057052998597399</v>
      </c>
      <c r="AC48">
        <v>10.3044758093633</v>
      </c>
      <c r="AJ48">
        <v>0.38683884431129101</v>
      </c>
      <c r="AK48">
        <v>1.7885524303177702E-2</v>
      </c>
      <c r="AL48">
        <v>0.59527563138552997</v>
      </c>
    </row>
    <row r="49" spans="1:38" x14ac:dyDescent="0.2">
      <c r="A49">
        <v>150</v>
      </c>
      <c r="B49">
        <v>768</v>
      </c>
      <c r="C49">
        <v>125</v>
      </c>
      <c r="D49">
        <v>0.46923161888296799</v>
      </c>
      <c r="E49">
        <v>31.933111037901099</v>
      </c>
      <c r="F49">
        <v>2.5186416840894701</v>
      </c>
      <c r="G49">
        <v>-506.29864747667307</v>
      </c>
      <c r="H49">
        <v>-437.0251378358351</v>
      </c>
      <c r="I49">
        <v>66.535570898369997</v>
      </c>
      <c r="J49">
        <v>37.862204592510601</v>
      </c>
      <c r="K49">
        <v>12.6787034613244</v>
      </c>
      <c r="L49">
        <v>2.8043889779733202E-5</v>
      </c>
      <c r="M49">
        <v>1.7958552996717524E-6</v>
      </c>
      <c r="N49" s="1">
        <v>-9.9956093822311502E-8</v>
      </c>
      <c r="O49" s="1">
        <v>1.2176289996729501E-10</v>
      </c>
      <c r="P49" s="1">
        <v>5.42825668317455E-10</v>
      </c>
      <c r="Q49">
        <v>65.837855319339695</v>
      </c>
      <c r="S49">
        <v>19.0641810585917</v>
      </c>
      <c r="AA49">
        <v>0.36578109731040398</v>
      </c>
      <c r="AB49">
        <v>4.36028250880047</v>
      </c>
      <c r="AC49">
        <v>10.3719000159575</v>
      </c>
      <c r="AJ49">
        <v>0.38293897319535702</v>
      </c>
      <c r="AK49">
        <v>1.7751987706466601E-2</v>
      </c>
      <c r="AL49">
        <v>0.59930903909817501</v>
      </c>
    </row>
    <row r="50" spans="1:38" x14ac:dyDescent="0.2">
      <c r="A50">
        <v>151</v>
      </c>
      <c r="B50">
        <v>767</v>
      </c>
      <c r="C50">
        <v>125</v>
      </c>
      <c r="D50">
        <v>0.46865404028265401</v>
      </c>
      <c r="E50">
        <v>33.453773671176997</v>
      </c>
      <c r="F50">
        <v>2.51863822057111</v>
      </c>
      <c r="G50">
        <v>-530.26624625950899</v>
      </c>
      <c r="H50">
        <v>-457.81585721055148</v>
      </c>
      <c r="I50">
        <v>69.653789404371906</v>
      </c>
      <c r="J50">
        <v>39.660907503424298</v>
      </c>
      <c r="K50">
        <v>13.2824847165192</v>
      </c>
      <c r="L50">
        <v>2.80326630858331E-5</v>
      </c>
      <c r="M50">
        <v>1.7956782158894433E-6</v>
      </c>
      <c r="N50" s="1">
        <v>-1.08001537640858E-7</v>
      </c>
      <c r="O50" s="1">
        <v>1.27563280460871E-10</v>
      </c>
      <c r="P50" s="1">
        <v>5.7820044616659096E-10</v>
      </c>
      <c r="Q50">
        <v>65.830812114237702</v>
      </c>
      <c r="S50">
        <v>19.0587633464846</v>
      </c>
      <c r="AA50">
        <v>0.36295486497285101</v>
      </c>
      <c r="AB50">
        <v>4.3303838672327499</v>
      </c>
      <c r="AC50">
        <v>10.417085807071899</v>
      </c>
      <c r="AJ50">
        <v>0.38037098582791201</v>
      </c>
      <c r="AK50">
        <v>1.7617504792829902E-2</v>
      </c>
      <c r="AL50">
        <v>0.60201150937925696</v>
      </c>
    </row>
    <row r="51" spans="1:38" x14ac:dyDescent="0.2">
      <c r="A51">
        <v>152</v>
      </c>
      <c r="B51">
        <v>766</v>
      </c>
      <c r="C51">
        <v>125</v>
      </c>
      <c r="D51">
        <v>0.46807535004571499</v>
      </c>
      <c r="E51">
        <v>34.4331791050855</v>
      </c>
      <c r="F51">
        <v>2.51864379398851</v>
      </c>
      <c r="G51">
        <v>-545.66154609998853</v>
      </c>
      <c r="H51">
        <v>-471.21239686066042</v>
      </c>
      <c r="I51">
        <v>71.644275840184903</v>
      </c>
      <c r="J51">
        <v>40.8193534538782</v>
      </c>
      <c r="K51">
        <v>13.6713175508463</v>
      </c>
      <c r="L51">
        <v>2.8026836600804531E-5</v>
      </c>
      <c r="M51">
        <v>1.7955833140748278E-6</v>
      </c>
      <c r="N51" s="1">
        <v>-1.14978029150488E-7</v>
      </c>
      <c r="O51" s="1">
        <v>1.3129037778211201E-10</v>
      </c>
      <c r="P51" s="1">
        <v>6.0620413339143496E-10</v>
      </c>
      <c r="Q51">
        <v>65.826264344498099</v>
      </c>
      <c r="S51">
        <v>19.0540665425528</v>
      </c>
      <c r="AA51">
        <v>0.360141113534444</v>
      </c>
      <c r="AB51">
        <v>4.3079361240763099</v>
      </c>
      <c r="AC51">
        <v>10.451591875338201</v>
      </c>
      <c r="AJ51">
        <v>0.37844244669553501</v>
      </c>
      <c r="AK51">
        <v>1.7482924409051599E-2</v>
      </c>
      <c r="AL51">
        <v>0.60407462889541197</v>
      </c>
    </row>
    <row r="52" spans="1:38" x14ac:dyDescent="0.2">
      <c r="A52">
        <v>153</v>
      </c>
      <c r="B52">
        <v>765</v>
      </c>
      <c r="C52">
        <v>125</v>
      </c>
      <c r="D52">
        <v>0.46749554495978501</v>
      </c>
      <c r="E52">
        <v>35.117545101559799</v>
      </c>
      <c r="F52">
        <v>2.5186544065685101</v>
      </c>
      <c r="G52">
        <v>-556.38514291418915</v>
      </c>
      <c r="H52">
        <v>-480.57923322832733</v>
      </c>
      <c r="I52">
        <v>73.020189458037606</v>
      </c>
      <c r="J52">
        <v>41.628960038456903</v>
      </c>
      <c r="K52">
        <v>13.9429788421845</v>
      </c>
      <c r="L52">
        <v>2.8024134471698463E-5</v>
      </c>
      <c r="M52">
        <v>1.7955341202434922E-6</v>
      </c>
      <c r="N52" s="1">
        <v>-1.2145949571592601E-7</v>
      </c>
      <c r="O52" s="1">
        <v>1.3388624084627801E-10</v>
      </c>
      <c r="P52" s="1">
        <v>6.3044096929819301E-10</v>
      </c>
      <c r="Q52">
        <v>65.823090566108306</v>
      </c>
      <c r="S52">
        <v>19.049775841725602</v>
      </c>
      <c r="AA52">
        <v>0.35734179921772002</v>
      </c>
      <c r="AB52">
        <v>4.2896148990583303</v>
      </c>
      <c r="AC52">
        <v>10.480176893889899</v>
      </c>
      <c r="AJ52">
        <v>0.376868104199864</v>
      </c>
      <c r="AK52">
        <v>1.73486501019549E-2</v>
      </c>
      <c r="AL52">
        <v>0.60578324569817998</v>
      </c>
    </row>
    <row r="53" spans="1:38" x14ac:dyDescent="0.2">
      <c r="A53">
        <v>154</v>
      </c>
      <c r="B53">
        <v>764</v>
      </c>
      <c r="C53">
        <v>125</v>
      </c>
      <c r="D53">
        <v>0.46691462180012799</v>
      </c>
      <c r="E53">
        <v>35.6231187594042</v>
      </c>
      <c r="F53">
        <v>2.5186682011336998</v>
      </c>
      <c r="G53">
        <v>-564.27818139685735</v>
      </c>
      <c r="H53">
        <v>-487.50446791675472</v>
      </c>
      <c r="I53">
        <v>74.0237318421661</v>
      </c>
      <c r="J53">
        <v>42.227275265536399</v>
      </c>
      <c r="K53">
        <v>14.1436330293007</v>
      </c>
      <c r="L53">
        <v>2.8023470002428106E-5</v>
      </c>
      <c r="M53">
        <v>1.7955131810585597E-6</v>
      </c>
      <c r="N53" s="1">
        <v>-1.2771158690130201E-7</v>
      </c>
      <c r="O53" s="1">
        <v>1.3579583779107599E-10</v>
      </c>
      <c r="P53" s="1">
        <v>6.5259622578651904E-10</v>
      </c>
      <c r="Q53">
        <v>65.8207523294776</v>
      </c>
      <c r="S53">
        <v>19.0457403516216</v>
      </c>
      <c r="AA53">
        <v>0.35455807411380902</v>
      </c>
      <c r="AB53">
        <v>4.2738247021408604</v>
      </c>
      <c r="AC53">
        <v>10.505124542646</v>
      </c>
      <c r="AJ53">
        <v>0.37551102039418699</v>
      </c>
      <c r="AK53">
        <v>1.7214886045817401E-2</v>
      </c>
      <c r="AL53">
        <v>0.60727409355999495</v>
      </c>
    </row>
    <row r="54" spans="1:38" x14ac:dyDescent="0.2">
      <c r="A54">
        <v>155</v>
      </c>
      <c r="B54">
        <v>763</v>
      </c>
      <c r="C54">
        <v>125</v>
      </c>
      <c r="D54">
        <v>0.46633257732954098</v>
      </c>
      <c r="E54">
        <v>36.011722489087198</v>
      </c>
      <c r="F54">
        <v>2.51868419919436</v>
      </c>
      <c r="G54">
        <v>-570.31965705201821</v>
      </c>
      <c r="H54">
        <v>-492.83254173975018</v>
      </c>
      <c r="I54">
        <v>74.7836850960459</v>
      </c>
      <c r="J54">
        <v>42.687436417770698</v>
      </c>
      <c r="K54">
        <v>14.2978315823024</v>
      </c>
      <c r="L54">
        <v>2.8024262847991207E-5</v>
      </c>
      <c r="M54">
        <v>1.7955111251852493E-6</v>
      </c>
      <c r="N54" s="1">
        <v>-1.3387483289088699E-7</v>
      </c>
      <c r="O54" s="1">
        <v>1.37255874681703E-10</v>
      </c>
      <c r="P54" s="1">
        <v>6.7356342574688397E-10</v>
      </c>
      <c r="Q54">
        <v>65.818959629737506</v>
      </c>
      <c r="S54">
        <v>19.041878827372301</v>
      </c>
      <c r="AA54">
        <v>0.35179057904590799</v>
      </c>
      <c r="AB54">
        <v>4.2597062790387801</v>
      </c>
      <c r="AC54">
        <v>10.5276646848054</v>
      </c>
      <c r="AJ54">
        <v>0.37429743424708201</v>
      </c>
      <c r="AK54">
        <v>1.7081743303976601E-2</v>
      </c>
      <c r="AL54">
        <v>0.608620822448941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B4F24-ED2D-4F92-9ABE-CAB6BCB2AD7B}">
  <sheetPr codeName="Sheet11"/>
  <dimension ref="A1:AL174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17</v>
      </c>
      <c r="B2">
        <v>741</v>
      </c>
      <c r="C2">
        <v>275</v>
      </c>
      <c r="D2">
        <v>0.29053936794360102</v>
      </c>
      <c r="E2">
        <v>0.76779888170980304</v>
      </c>
      <c r="F2">
        <v>2.59294350923913</v>
      </c>
      <c r="G2">
        <v>-12.429157494031875</v>
      </c>
      <c r="H2">
        <v>-10.810203475439867</v>
      </c>
      <c r="I2">
        <v>1.59636544750974</v>
      </c>
      <c r="J2">
        <v>0.94145310257155801</v>
      </c>
      <c r="K2">
        <v>0.29611091756299202</v>
      </c>
      <c r="L2">
        <v>3.122910492455427E-5</v>
      </c>
      <c r="M2">
        <v>1.7691874562361993E-6</v>
      </c>
      <c r="N2" s="1">
        <v>-1.7569820283943599E-8</v>
      </c>
      <c r="O2" s="1">
        <v>2.4897277456995401E-12</v>
      </c>
      <c r="P2" s="1">
        <v>5.7295487213544699E-11</v>
      </c>
      <c r="Q2">
        <v>63.331621822140399</v>
      </c>
      <c r="S2">
        <v>22.780386704572301</v>
      </c>
      <c r="AA2">
        <v>4.0164841303113503</v>
      </c>
      <c r="AB2">
        <v>8.5177917797953295</v>
      </c>
      <c r="AC2">
        <v>1.3537155631805</v>
      </c>
      <c r="AJ2">
        <v>0.732527623622094</v>
      </c>
      <c r="AK2">
        <v>0.190877102078397</v>
      </c>
      <c r="AL2">
        <v>7.6595274299507493E-2</v>
      </c>
    </row>
    <row r="3" spans="1:38" x14ac:dyDescent="0.2">
      <c r="A3">
        <v>18</v>
      </c>
      <c r="B3">
        <v>740</v>
      </c>
      <c r="C3">
        <v>275</v>
      </c>
      <c r="D3">
        <v>0.28977002418201098</v>
      </c>
      <c r="E3">
        <v>1.64890974088697</v>
      </c>
      <c r="F3">
        <v>2.5917606656158001</v>
      </c>
      <c r="G3">
        <v>-26.682477071912651</v>
      </c>
      <c r="H3">
        <v>-23.210323989656956</v>
      </c>
      <c r="I3">
        <v>3.4270868896567102</v>
      </c>
      <c r="J3">
        <v>2.02313545278728</v>
      </c>
      <c r="K3">
        <v>0.63621219457591704</v>
      </c>
      <c r="L3">
        <v>3.1339586626597572E-5</v>
      </c>
      <c r="M3">
        <v>1.7720850771039209E-6</v>
      </c>
      <c r="N3" s="1">
        <v>-3.9034303980343497E-8</v>
      </c>
      <c r="O3" s="1">
        <v>5.3508931471280102E-12</v>
      </c>
      <c r="P3" s="1">
        <v>1.2674070211722299E-10</v>
      </c>
      <c r="Q3">
        <v>63.452930485920703</v>
      </c>
      <c r="S3">
        <v>22.6819261074148</v>
      </c>
      <c r="AA3">
        <v>3.9069474112030802</v>
      </c>
      <c r="AB3">
        <v>8.5299943765198503</v>
      </c>
      <c r="AC3">
        <v>1.4282016189414</v>
      </c>
      <c r="AJ3">
        <v>0.73353421021652498</v>
      </c>
      <c r="AK3">
        <v>0.18566070021876599</v>
      </c>
      <c r="AL3">
        <v>8.0805089564707805E-2</v>
      </c>
    </row>
    <row r="4" spans="1:38" x14ac:dyDescent="0.2">
      <c r="A4">
        <v>19</v>
      </c>
      <c r="B4">
        <v>739</v>
      </c>
      <c r="C4">
        <v>275</v>
      </c>
      <c r="D4">
        <v>0.28899916020352701</v>
      </c>
      <c r="E4">
        <v>13.8750788098312</v>
      </c>
      <c r="F4">
        <v>2.5899972992526701</v>
      </c>
      <c r="G4">
        <v>-224.43810053271554</v>
      </c>
      <c r="H4">
        <v>-195.25612677480811</v>
      </c>
      <c r="I4">
        <v>28.831668979802799</v>
      </c>
      <c r="J4">
        <v>17.039870253090498</v>
      </c>
      <c r="K4">
        <v>5.3571788718987401</v>
      </c>
      <c r="L4">
        <v>3.1509349860254224E-5</v>
      </c>
      <c r="M4">
        <v>1.7769037802357092E-6</v>
      </c>
      <c r="N4" s="1">
        <v>-3.4152085689314901E-7</v>
      </c>
      <c r="O4" s="1">
        <v>4.5101642077075703E-11</v>
      </c>
      <c r="P4" s="1">
        <v>1.10359536799425E-9</v>
      </c>
      <c r="Q4">
        <v>63.652924489226102</v>
      </c>
      <c r="S4">
        <v>22.531303337143999</v>
      </c>
      <c r="AA4">
        <v>3.73601621689768</v>
      </c>
      <c r="AB4">
        <v>8.5807931150746093</v>
      </c>
      <c r="AC4">
        <v>1.49896284165755</v>
      </c>
      <c r="AJ4">
        <v>0.73771879046194599</v>
      </c>
      <c r="AK4">
        <v>0.17749370599999301</v>
      </c>
      <c r="AL4">
        <v>8.4787503538059195E-2</v>
      </c>
    </row>
    <row r="5" spans="1:38" x14ac:dyDescent="0.2">
      <c r="A5">
        <v>19</v>
      </c>
      <c r="B5">
        <v>739</v>
      </c>
      <c r="C5">
        <v>275</v>
      </c>
      <c r="D5">
        <v>0.28899916020352701</v>
      </c>
      <c r="E5">
        <v>21.564012737022399</v>
      </c>
      <c r="F5">
        <v>2.5258030904412299</v>
      </c>
      <c r="G5">
        <v>-338.45772026682744</v>
      </c>
      <c r="H5">
        <v>-293.89529779489823</v>
      </c>
      <c r="I5">
        <v>44.027488486814498</v>
      </c>
      <c r="J5">
        <v>25.598463866955701</v>
      </c>
      <c r="K5">
        <v>8.5374876682312593</v>
      </c>
      <c r="L5">
        <v>2.8282703781669259E-5</v>
      </c>
      <c r="M5">
        <v>1.7854846018612636E-6</v>
      </c>
      <c r="N5" s="1">
        <v>-2.06177492752941E-7</v>
      </c>
      <c r="O5" s="1">
        <v>8.1466653197687201E-11</v>
      </c>
      <c r="P5" s="1">
        <v>7.6561726296692003E-10</v>
      </c>
      <c r="Q5">
        <v>65.752606896425505</v>
      </c>
      <c r="S5">
        <v>18.9344945335571</v>
      </c>
      <c r="AA5">
        <v>0.27867994033947802</v>
      </c>
      <c r="AB5">
        <v>3.8303208833971998</v>
      </c>
      <c r="AC5">
        <v>11.2038977462806</v>
      </c>
      <c r="AJ5">
        <v>0.33730488603606601</v>
      </c>
      <c r="AK5">
        <v>1.35613827392382E-2</v>
      </c>
      <c r="AL5">
        <v>0.64913373122469498</v>
      </c>
    </row>
    <row r="6" spans="1:38" x14ac:dyDescent="0.2">
      <c r="A6">
        <v>20</v>
      </c>
      <c r="B6">
        <v>738</v>
      </c>
      <c r="C6">
        <v>275</v>
      </c>
      <c r="D6">
        <v>0.28822677149780002</v>
      </c>
      <c r="E6">
        <v>18.195983305905202</v>
      </c>
      <c r="F6">
        <v>2.5896604755932802</v>
      </c>
      <c r="G6">
        <v>-294.28482878372012</v>
      </c>
      <c r="H6">
        <v>-256.07161092405181</v>
      </c>
      <c r="I6">
        <v>37.791838856419098</v>
      </c>
      <c r="J6">
        <v>22.363088645409199</v>
      </c>
      <c r="K6">
        <v>7.0263972738498097</v>
      </c>
      <c r="L6">
        <v>3.1608905177209384E-5</v>
      </c>
      <c r="M6">
        <v>1.7784007377794721E-6</v>
      </c>
      <c r="N6" s="1">
        <v>-4.6379429315627499E-7</v>
      </c>
      <c r="O6" s="1">
        <v>5.9071888653587895E-11</v>
      </c>
      <c r="P6" s="1">
        <v>1.49248429996601E-9</v>
      </c>
      <c r="Q6">
        <v>63.704753585530597</v>
      </c>
      <c r="S6">
        <v>22.495052911661698</v>
      </c>
      <c r="AA6">
        <v>3.6940156336266101</v>
      </c>
      <c r="AB6">
        <v>8.6012562739453795</v>
      </c>
      <c r="AC6">
        <v>1.5049215952356501</v>
      </c>
      <c r="AJ6">
        <v>0.73940344096895105</v>
      </c>
      <c r="AK6">
        <v>0.175480595334187</v>
      </c>
      <c r="AL6">
        <v>8.5115963696860406E-2</v>
      </c>
    </row>
    <row r="7" spans="1:38" x14ac:dyDescent="0.2">
      <c r="A7">
        <v>20</v>
      </c>
      <c r="B7">
        <v>738</v>
      </c>
      <c r="C7">
        <v>275</v>
      </c>
      <c r="D7">
        <v>0.28822677149780002</v>
      </c>
      <c r="E7">
        <v>29.4508209037817</v>
      </c>
      <c r="F7">
        <v>2.5258367735683902</v>
      </c>
      <c r="G7">
        <v>-462.20043650370985</v>
      </c>
      <c r="H7">
        <v>-401.43165478001185</v>
      </c>
      <c r="I7">
        <v>60.098681425800301</v>
      </c>
      <c r="J7">
        <v>34.971574964641697</v>
      </c>
      <c r="K7">
        <v>11.6598274330193</v>
      </c>
      <c r="L7">
        <v>2.8317368309612257E-5</v>
      </c>
      <c r="M7">
        <v>1.7857877308402167E-6</v>
      </c>
      <c r="N7" s="1">
        <v>-2.9308392653279302E-7</v>
      </c>
      <c r="O7" s="1">
        <v>1.11167996784735E-10</v>
      </c>
      <c r="P7" s="1">
        <v>1.07841974313436E-9</v>
      </c>
      <c r="Q7">
        <v>65.758861402243099</v>
      </c>
      <c r="S7">
        <v>18.9328257207649</v>
      </c>
      <c r="AA7">
        <v>0.27584374927071098</v>
      </c>
      <c r="AB7">
        <v>3.8398837045635399</v>
      </c>
      <c r="AC7">
        <v>11.192585423157499</v>
      </c>
      <c r="AJ7">
        <v>0.33813054289120098</v>
      </c>
      <c r="AK7">
        <v>1.34227118703818E-2</v>
      </c>
      <c r="AL7">
        <v>0.64844674523841705</v>
      </c>
    </row>
    <row r="8" spans="1:38" x14ac:dyDescent="0.2">
      <c r="A8">
        <v>21</v>
      </c>
      <c r="B8">
        <v>737</v>
      </c>
      <c r="C8">
        <v>275</v>
      </c>
      <c r="D8">
        <v>0.28745285353660599</v>
      </c>
      <c r="E8">
        <v>19.526058167123299</v>
      </c>
      <c r="F8">
        <v>2.5896297398877799</v>
      </c>
      <c r="G8">
        <v>-315.75703258762911</v>
      </c>
      <c r="H8">
        <v>-274.81375568749655</v>
      </c>
      <c r="I8">
        <v>40.531878335031898</v>
      </c>
      <c r="J8">
        <v>24.014499261377999</v>
      </c>
      <c r="K8">
        <v>7.5400965112369498</v>
      </c>
      <c r="L8">
        <v>3.1690358055926728E-5</v>
      </c>
      <c r="M8">
        <v>1.7790926904379607E-6</v>
      </c>
      <c r="N8" s="1">
        <v>-5.1464509174625403E-7</v>
      </c>
      <c r="O8" s="1">
        <v>6.3267839244072298E-11</v>
      </c>
      <c r="P8" s="1">
        <v>1.6496585543123401E-9</v>
      </c>
      <c r="Q8">
        <v>63.721593111947698</v>
      </c>
      <c r="S8">
        <v>22.484325004764699</v>
      </c>
      <c r="AA8">
        <v>3.6812357273132199</v>
      </c>
      <c r="AB8">
        <v>8.6106576530131402</v>
      </c>
      <c r="AC8">
        <v>1.5021885029611299</v>
      </c>
      <c r="AJ8">
        <v>0.74017720144195598</v>
      </c>
      <c r="AK8">
        <v>0.17486536551718801</v>
      </c>
      <c r="AL8">
        <v>8.4957433040854693E-2</v>
      </c>
    </row>
    <row r="9" spans="1:38" x14ac:dyDescent="0.2">
      <c r="A9">
        <v>21</v>
      </c>
      <c r="B9">
        <v>737</v>
      </c>
      <c r="C9">
        <v>275</v>
      </c>
      <c r="D9">
        <v>0.28745285353660599</v>
      </c>
      <c r="E9">
        <v>31.847379591235001</v>
      </c>
      <c r="F9">
        <v>2.5258714276927798</v>
      </c>
      <c r="G9">
        <v>-499.73574485530492</v>
      </c>
      <c r="H9">
        <v>-434.12641394653377</v>
      </c>
      <c r="I9">
        <v>64.950087520438601</v>
      </c>
      <c r="J9">
        <v>37.8257754194413</v>
      </c>
      <c r="K9">
        <v>12.6084721661092</v>
      </c>
      <c r="L9">
        <v>2.8341393642799955E-5</v>
      </c>
      <c r="M9">
        <v>1.7859407711710447E-6</v>
      </c>
      <c r="N9" s="1">
        <v>-3.2840156550374401E-7</v>
      </c>
      <c r="O9" s="1">
        <v>1.20129422589283E-10</v>
      </c>
      <c r="P9" s="1">
        <v>1.19875827105913E-9</v>
      </c>
      <c r="Q9">
        <v>65.760273101108396</v>
      </c>
      <c r="S9">
        <v>18.930266142422699</v>
      </c>
      <c r="AA9">
        <v>0.273402670299355</v>
      </c>
      <c r="AB9">
        <v>3.8363193324005098</v>
      </c>
      <c r="AC9">
        <v>11.1997387537689</v>
      </c>
      <c r="AJ9">
        <v>0.33782282934959401</v>
      </c>
      <c r="AK9">
        <v>1.33041700375601E-2</v>
      </c>
      <c r="AL9">
        <v>0.64887300061284503</v>
      </c>
    </row>
    <row r="10" spans="1:38" x14ac:dyDescent="0.2">
      <c r="A10">
        <v>22</v>
      </c>
      <c r="B10">
        <v>736</v>
      </c>
      <c r="C10">
        <v>275</v>
      </c>
      <c r="D10">
        <v>0.28667740177377199</v>
      </c>
      <c r="E10">
        <v>20.2255998548995</v>
      </c>
      <c r="F10">
        <v>2.5896692712883098</v>
      </c>
      <c r="G10">
        <v>-327.03136794179073</v>
      </c>
      <c r="H10">
        <v>-284.68735755850042</v>
      </c>
      <c r="I10">
        <v>41.960075690720203</v>
      </c>
      <c r="J10">
        <v>24.892344064794599</v>
      </c>
      <c r="K10">
        <v>7.8101092209499301</v>
      </c>
      <c r="L10">
        <v>3.1769462880585499E-5</v>
      </c>
      <c r="M10">
        <v>1.779605880827212E-6</v>
      </c>
      <c r="N10" s="1">
        <v>-5.5106119621635695E-7</v>
      </c>
      <c r="O10" s="1">
        <v>6.5394760416767702E-11</v>
      </c>
      <c r="P10" s="1">
        <v>1.75970538751542E-9</v>
      </c>
      <c r="Q10">
        <v>63.730431773553697</v>
      </c>
      <c r="S10">
        <v>22.4794348487953</v>
      </c>
      <c r="AA10">
        <v>3.6751389177137601</v>
      </c>
      <c r="AB10">
        <v>8.6175339568547304</v>
      </c>
      <c r="AC10">
        <v>1.49746050308234</v>
      </c>
      <c r="AJ10">
        <v>0.74074304364922305</v>
      </c>
      <c r="AK10">
        <v>0.174569805641896</v>
      </c>
      <c r="AL10">
        <v>8.4687150708879597E-2</v>
      </c>
    </row>
    <row r="11" spans="1:38" x14ac:dyDescent="0.2">
      <c r="A11">
        <v>22</v>
      </c>
      <c r="B11">
        <v>736</v>
      </c>
      <c r="C11">
        <v>275</v>
      </c>
      <c r="D11">
        <v>0.28667740177377199</v>
      </c>
      <c r="E11">
        <v>33.093833817637702</v>
      </c>
      <c r="F11">
        <v>2.5259065757494001</v>
      </c>
      <c r="G11">
        <v>-519.20872736061335</v>
      </c>
      <c r="H11">
        <v>-451.14135461630855</v>
      </c>
      <c r="I11">
        <v>67.450203383347102</v>
      </c>
      <c r="J11">
        <v>39.314428792645003</v>
      </c>
      <c r="K11">
        <v>13.101764782341199</v>
      </c>
      <c r="L11">
        <v>2.8363583307958402E-5</v>
      </c>
      <c r="M11">
        <v>1.7860607869251508E-6</v>
      </c>
      <c r="N11" s="1">
        <v>-3.5321170677376599E-7</v>
      </c>
      <c r="O11" s="1">
        <v>1.2474489209654599E-10</v>
      </c>
      <c r="P11" s="1">
        <v>1.27958999258633E-9</v>
      </c>
      <c r="Q11">
        <v>65.760555304264599</v>
      </c>
      <c r="S11">
        <v>18.9275129723509</v>
      </c>
      <c r="AA11">
        <v>0.27106542855133597</v>
      </c>
      <c r="AB11">
        <v>3.8297304137230799</v>
      </c>
      <c r="AC11">
        <v>11.21113588111</v>
      </c>
      <c r="AJ11">
        <v>0.33725395992614798</v>
      </c>
      <c r="AK11">
        <v>1.31908801937024E-2</v>
      </c>
      <c r="AL11">
        <v>0.649555159880149</v>
      </c>
    </row>
    <row r="12" spans="1:38" x14ac:dyDescent="0.2">
      <c r="A12">
        <v>23</v>
      </c>
      <c r="B12">
        <v>735</v>
      </c>
      <c r="C12">
        <v>275</v>
      </c>
      <c r="D12">
        <v>0.285900411645091</v>
      </c>
      <c r="E12">
        <v>20.659785842351798</v>
      </c>
      <c r="F12">
        <v>2.58972777710698</v>
      </c>
      <c r="G12">
        <v>-334.01370881589878</v>
      </c>
      <c r="H12">
        <v>-290.82838144994884</v>
      </c>
      <c r="I12">
        <v>42.836212236224803</v>
      </c>
      <c r="J12">
        <v>25.445100486945801</v>
      </c>
      <c r="K12">
        <v>7.9775897779615796</v>
      </c>
      <c r="L12">
        <v>3.1849701969319979E-5</v>
      </c>
      <c r="M12">
        <v>1.7800762686300813E-6</v>
      </c>
      <c r="N12" s="1">
        <v>-5.8182563463666798E-7</v>
      </c>
      <c r="O12" s="1">
        <v>6.6648776927383399E-11</v>
      </c>
      <c r="P12" s="1">
        <v>1.85108399531433E-9</v>
      </c>
      <c r="Q12">
        <v>63.7371263373335</v>
      </c>
      <c r="S12">
        <v>22.476107345080099</v>
      </c>
      <c r="AA12">
        <v>3.67083160814034</v>
      </c>
      <c r="AB12">
        <v>8.6237289496953107</v>
      </c>
      <c r="AC12">
        <v>1.49220575975064</v>
      </c>
      <c r="AJ12">
        <v>0.74125276973296605</v>
      </c>
      <c r="AK12">
        <v>0.17435984898941601</v>
      </c>
      <c r="AL12">
        <v>8.4387381277617093E-2</v>
      </c>
    </row>
    <row r="13" spans="1:38" x14ac:dyDescent="0.2">
      <c r="A13">
        <v>23</v>
      </c>
      <c r="B13">
        <v>735</v>
      </c>
      <c r="C13">
        <v>275</v>
      </c>
      <c r="D13">
        <v>0.285900411645091</v>
      </c>
      <c r="E13">
        <v>33.837626284172401</v>
      </c>
      <c r="F13">
        <v>2.5259421350017202</v>
      </c>
      <c r="G13">
        <v>-530.78850074716547</v>
      </c>
      <c r="H13">
        <v>-461.30386898178136</v>
      </c>
      <c r="I13">
        <v>68.922910048488902</v>
      </c>
      <c r="J13">
        <v>40.206564924372998</v>
      </c>
      <c r="K13">
        <v>13.396041744301201</v>
      </c>
      <c r="L13">
        <v>2.8385893225751736E-5</v>
      </c>
      <c r="M13">
        <v>1.7861734644849203E-6</v>
      </c>
      <c r="N13" s="1">
        <v>-3.7366195235991199E-7</v>
      </c>
      <c r="O13" s="1">
        <v>1.2745887654621801E-10</v>
      </c>
      <c r="P13" s="1">
        <v>1.3437928968638899E-9</v>
      </c>
      <c r="Q13">
        <v>65.760519393867995</v>
      </c>
      <c r="S13">
        <v>18.924717511455199</v>
      </c>
      <c r="AA13">
        <v>0.26876752388925701</v>
      </c>
      <c r="AB13">
        <v>3.8223217251569301</v>
      </c>
      <c r="AC13">
        <v>11.223673845630501</v>
      </c>
      <c r="AJ13">
        <v>0.336614265625437</v>
      </c>
      <c r="AK13">
        <v>1.30795517052793E-2</v>
      </c>
      <c r="AL13">
        <v>0.65030618266928297</v>
      </c>
    </row>
    <row r="14" spans="1:38" x14ac:dyDescent="0.2">
      <c r="A14">
        <v>24</v>
      </c>
      <c r="B14">
        <v>734</v>
      </c>
      <c r="C14">
        <v>275</v>
      </c>
      <c r="D14">
        <v>0.28512187856823701</v>
      </c>
      <c r="E14">
        <v>20.967229346910099</v>
      </c>
      <c r="F14">
        <v>2.5897961774462201</v>
      </c>
      <c r="G14">
        <v>-338.94597602011072</v>
      </c>
      <c r="H14">
        <v>-295.18677822071601</v>
      </c>
      <c r="I14">
        <v>43.448540733152697</v>
      </c>
      <c r="J14">
        <v>25.843016623850399</v>
      </c>
      <c r="K14">
        <v>8.0960924761213207</v>
      </c>
      <c r="L14">
        <v>3.1931753064953986E-5</v>
      </c>
      <c r="M14">
        <v>1.780528057651511E-6</v>
      </c>
      <c r="N14" s="1">
        <v>-6.1031599956257802E-7</v>
      </c>
      <c r="O14" s="1">
        <v>6.7482421401420196E-11</v>
      </c>
      <c r="P14" s="1">
        <v>1.9347169560941799E-9</v>
      </c>
      <c r="Q14">
        <v>63.742712445186697</v>
      </c>
      <c r="S14">
        <v>22.473586123871598</v>
      </c>
      <c r="AA14">
        <v>3.6674481329275199</v>
      </c>
      <c r="AB14">
        <v>8.6295675823518003</v>
      </c>
      <c r="AC14">
        <v>1.4866857156622799</v>
      </c>
      <c r="AJ14">
        <v>0.74173313492516002</v>
      </c>
      <c r="AK14">
        <v>0.174194090259506</v>
      </c>
      <c r="AL14">
        <v>8.4072774815332596E-2</v>
      </c>
    </row>
    <row r="15" spans="1:38" x14ac:dyDescent="0.2">
      <c r="A15">
        <v>24</v>
      </c>
      <c r="B15">
        <v>734</v>
      </c>
      <c r="C15">
        <v>275</v>
      </c>
      <c r="D15">
        <v>0.28512187856823701</v>
      </c>
      <c r="E15">
        <v>34.341734764232697</v>
      </c>
      <c r="F15">
        <v>2.5259781007842999</v>
      </c>
      <c r="G15">
        <v>-538.60429075332058</v>
      </c>
      <c r="H15">
        <v>-468.19887907880286</v>
      </c>
      <c r="I15">
        <v>69.905586729402501</v>
      </c>
      <c r="J15">
        <v>40.814480922926599</v>
      </c>
      <c r="K15">
        <v>13.595420622835</v>
      </c>
      <c r="L15">
        <v>2.8408688639585673E-5</v>
      </c>
      <c r="M15">
        <v>1.7862834199853024E-6</v>
      </c>
      <c r="N15" s="1">
        <v>-3.9226573811108202E-7</v>
      </c>
      <c r="O15" s="1">
        <v>1.29264472503595E-10</v>
      </c>
      <c r="P15" s="1">
        <v>1.40070122415827E-9</v>
      </c>
      <c r="Q15">
        <v>65.760309459101094</v>
      </c>
      <c r="S15">
        <v>18.921906734948799</v>
      </c>
      <c r="AA15">
        <v>0.26649758989928002</v>
      </c>
      <c r="AB15">
        <v>3.8144850807478199</v>
      </c>
      <c r="AC15">
        <v>11.236801135302899</v>
      </c>
      <c r="AJ15">
        <v>0.33593756614223302</v>
      </c>
      <c r="AK15">
        <v>1.2969604326588601E-2</v>
      </c>
      <c r="AL15">
        <v>0.65109282953117698</v>
      </c>
    </row>
    <row r="16" spans="1:38" x14ac:dyDescent="0.2">
      <c r="A16">
        <v>35</v>
      </c>
      <c r="B16">
        <v>747</v>
      </c>
      <c r="C16">
        <v>250</v>
      </c>
      <c r="D16">
        <v>0.32208057638582899</v>
      </c>
      <c r="E16">
        <v>8.1811896591415301E-2</v>
      </c>
      <c r="F16">
        <v>2.59223935436057</v>
      </c>
      <c r="G16">
        <v>-1.3265724951844773</v>
      </c>
      <c r="H16">
        <v>-1.1524385524753404</v>
      </c>
      <c r="I16">
        <v>0.17069444955068999</v>
      </c>
      <c r="J16">
        <v>9.9995911399590104E-2</v>
      </c>
      <c r="K16">
        <v>3.15603173193841E-2</v>
      </c>
      <c r="L16">
        <v>3.0842860210750132E-5</v>
      </c>
      <c r="M16">
        <v>1.7679140634236324E-6</v>
      </c>
      <c r="N16" s="1">
        <v>-1.5144765041695601E-9</v>
      </c>
      <c r="O16" s="1">
        <v>2.6775145011098899E-13</v>
      </c>
      <c r="P16" s="1">
        <v>5.0838991296867299E-12</v>
      </c>
      <c r="Q16">
        <v>63.266581442171301</v>
      </c>
      <c r="S16">
        <v>22.845000667283198</v>
      </c>
      <c r="AA16">
        <v>4.0849675946486697</v>
      </c>
      <c r="AB16">
        <v>8.5422466839947404</v>
      </c>
      <c r="AC16">
        <v>1.26120361190204</v>
      </c>
      <c r="AJ16">
        <v>0.73454022997600299</v>
      </c>
      <c r="AK16">
        <v>0.19410775369597499</v>
      </c>
      <c r="AL16">
        <v>7.1352016328020601E-2</v>
      </c>
    </row>
    <row r="17" spans="1:38" x14ac:dyDescent="0.2">
      <c r="A17">
        <v>36</v>
      </c>
      <c r="B17">
        <v>746</v>
      </c>
      <c r="C17">
        <v>250</v>
      </c>
      <c r="D17">
        <v>0.32134671049404001</v>
      </c>
      <c r="E17">
        <v>0.93799032608686805</v>
      </c>
      <c r="F17">
        <v>2.59115693488654</v>
      </c>
      <c r="G17">
        <v>-15.204176877569001</v>
      </c>
      <c r="H17">
        <v>-13.210365237546441</v>
      </c>
      <c r="I17">
        <v>1.9563475837929201</v>
      </c>
      <c r="J17">
        <v>1.1470853117733</v>
      </c>
      <c r="K17">
        <v>0.361996725654881</v>
      </c>
      <c r="L17">
        <v>3.0942331018998314E-5</v>
      </c>
      <c r="M17">
        <v>1.7706875483088551E-6</v>
      </c>
      <c r="N17" s="1">
        <v>-1.79669334720395E-8</v>
      </c>
      <c r="O17" s="1">
        <v>3.0725766458337501E-12</v>
      </c>
      <c r="P17" s="1">
        <v>6.0008412215812697E-11</v>
      </c>
      <c r="Q17">
        <v>63.382080038168603</v>
      </c>
      <c r="S17">
        <v>22.752875445227701</v>
      </c>
      <c r="AA17">
        <v>3.9820133247571099</v>
      </c>
      <c r="AB17">
        <v>8.5581108656731804</v>
      </c>
      <c r="AC17">
        <v>1.32492032617327</v>
      </c>
      <c r="AJ17">
        <v>0.73584789792847405</v>
      </c>
      <c r="AK17">
        <v>0.189201094595977</v>
      </c>
      <c r="AL17">
        <v>7.4951007475548503E-2</v>
      </c>
    </row>
    <row r="18" spans="1:38" x14ac:dyDescent="0.2">
      <c r="A18">
        <v>37</v>
      </c>
      <c r="B18">
        <v>745</v>
      </c>
      <c r="C18">
        <v>250</v>
      </c>
      <c r="D18">
        <v>0.32061140303491598</v>
      </c>
      <c r="E18">
        <v>1.80343717686936</v>
      </c>
      <c r="F18">
        <v>2.5900471055303198</v>
      </c>
      <c r="G18">
        <v>-29.221889146864214</v>
      </c>
      <c r="H18">
        <v>-25.393627325582212</v>
      </c>
      <c r="I18">
        <v>3.7600175035918002</v>
      </c>
      <c r="J18">
        <v>2.2066216147385802</v>
      </c>
      <c r="K18">
        <v>0.69629512645489</v>
      </c>
      <c r="L18">
        <v>3.1040274642100329E-5</v>
      </c>
      <c r="M18">
        <v>1.7734146580870471E-6</v>
      </c>
      <c r="N18" s="1">
        <v>-3.5727655861793899E-8</v>
      </c>
      <c r="O18" s="1">
        <v>5.9128372412559401E-12</v>
      </c>
      <c r="P18" s="1">
        <v>1.18747656954979E-10</v>
      </c>
      <c r="Q18">
        <v>63.496694682380898</v>
      </c>
      <c r="S18">
        <v>22.660096600520799</v>
      </c>
      <c r="AA18">
        <v>3.87872606755016</v>
      </c>
      <c r="AB18">
        <v>8.5702916514366301</v>
      </c>
      <c r="AC18">
        <v>1.39419099811141</v>
      </c>
      <c r="AJ18">
        <v>0.73685219517240097</v>
      </c>
      <c r="AK18">
        <v>0.18428274787952201</v>
      </c>
      <c r="AL18">
        <v>7.8865056948076107E-2</v>
      </c>
    </row>
    <row r="19" spans="1:38" x14ac:dyDescent="0.2">
      <c r="A19">
        <v>38</v>
      </c>
      <c r="B19">
        <v>744</v>
      </c>
      <c r="C19">
        <v>250</v>
      </c>
      <c r="D19">
        <v>0.31987464975667701</v>
      </c>
      <c r="E19">
        <v>2.6808421422386099</v>
      </c>
      <c r="F19">
        <v>2.5889015179791302</v>
      </c>
      <c r="G19">
        <v>-43.422269844283861</v>
      </c>
      <c r="H19">
        <v>-37.739204889043869</v>
      </c>
      <c r="I19">
        <v>5.5872437253502296</v>
      </c>
      <c r="J19">
        <v>3.2818906484891399</v>
      </c>
      <c r="K19">
        <v>1.03551337261034</v>
      </c>
      <c r="L19">
        <v>3.1136390879299327E-5</v>
      </c>
      <c r="M19">
        <v>1.7760977583540788E-6</v>
      </c>
      <c r="N19" s="1">
        <v>-5.4900693287456997E-8</v>
      </c>
      <c r="O19" s="1">
        <v>8.7976364233909992E-12</v>
      </c>
      <c r="P19" s="1">
        <v>1.8161768375016599E-10</v>
      </c>
      <c r="Q19">
        <v>63.610730276931299</v>
      </c>
      <c r="S19">
        <v>22.5662248689545</v>
      </c>
      <c r="AA19">
        <v>3.77467228081637</v>
      </c>
      <c r="AB19">
        <v>8.5783169110890096</v>
      </c>
      <c r="AC19">
        <v>1.4700556622087699</v>
      </c>
      <c r="AJ19">
        <v>0.73751437899675598</v>
      </c>
      <c r="AK19">
        <v>0.17933227079096301</v>
      </c>
      <c r="AL19">
        <v>8.3153350212279403E-2</v>
      </c>
    </row>
    <row r="20" spans="1:38" x14ac:dyDescent="0.2">
      <c r="A20">
        <v>39</v>
      </c>
      <c r="B20">
        <v>743</v>
      </c>
      <c r="C20">
        <v>250</v>
      </c>
      <c r="D20">
        <v>0.31913644639078897</v>
      </c>
      <c r="E20">
        <v>8.7447332696636</v>
      </c>
      <c r="F20">
        <v>2.5878292280761501</v>
      </c>
      <c r="G20">
        <v>-141.58848934220148</v>
      </c>
      <c r="H20">
        <v>-123.07623021402145</v>
      </c>
      <c r="I20">
        <v>18.218037817428499</v>
      </c>
      <c r="J20">
        <v>10.7110116905433</v>
      </c>
      <c r="K20">
        <v>3.3791771013285201</v>
      </c>
      <c r="L20">
        <v>3.1230555113341772E-5</v>
      </c>
      <c r="M20">
        <v>1.7785998667713081E-6</v>
      </c>
      <c r="N20" s="1">
        <v>-1.85095787308647E-7</v>
      </c>
      <c r="O20" s="1">
        <v>2.8717407552905801E-11</v>
      </c>
      <c r="P20" s="1">
        <v>6.0952940019645599E-10</v>
      </c>
      <c r="Q20">
        <v>63.716710995658801</v>
      </c>
      <c r="S20">
        <v>22.478719991115799</v>
      </c>
      <c r="AA20">
        <v>3.6777507087553398</v>
      </c>
      <c r="AB20">
        <v>8.5850838466498303</v>
      </c>
      <c r="AC20">
        <v>1.54173445782013</v>
      </c>
      <c r="AJ20">
        <v>0.73807284233464399</v>
      </c>
      <c r="AK20">
        <v>0.17472206854570799</v>
      </c>
      <c r="AL20">
        <v>8.7205089119647194E-2</v>
      </c>
    </row>
    <row r="21" spans="1:38" x14ac:dyDescent="0.2">
      <c r="A21">
        <v>39</v>
      </c>
      <c r="B21">
        <v>743</v>
      </c>
      <c r="C21">
        <v>250</v>
      </c>
      <c r="D21">
        <v>0.31913644639078897</v>
      </c>
      <c r="E21">
        <v>10.5645116657437</v>
      </c>
      <c r="F21">
        <v>2.5245871458893099</v>
      </c>
      <c r="G21">
        <v>-166.08390644873458</v>
      </c>
      <c r="H21">
        <v>-144.09888027816618</v>
      </c>
      <c r="I21">
        <v>21.635611052077302</v>
      </c>
      <c r="J21">
        <v>12.536790897331199</v>
      </c>
      <c r="K21">
        <v>4.1846492338145298</v>
      </c>
      <c r="L21">
        <v>2.8237710510628415E-5</v>
      </c>
      <c r="M21">
        <v>1.7874326289913208E-6</v>
      </c>
      <c r="N21" s="1">
        <v>-8.7689531395388103E-8</v>
      </c>
      <c r="O21" s="1">
        <v>3.9988272689876198E-11</v>
      </c>
      <c r="P21" s="1">
        <v>3.3717059233625002E-10</v>
      </c>
      <c r="Q21">
        <v>65.775219724280504</v>
      </c>
      <c r="S21">
        <v>18.953654494742</v>
      </c>
      <c r="AA21">
        <v>0.28921071025655098</v>
      </c>
      <c r="AB21">
        <v>3.9309426870317599</v>
      </c>
      <c r="AC21">
        <v>11.0509723836891</v>
      </c>
      <c r="AJ21">
        <v>0.34598826981150599</v>
      </c>
      <c r="AK21">
        <v>1.4066622267174299E-2</v>
      </c>
      <c r="AL21">
        <v>0.63994510792131898</v>
      </c>
    </row>
    <row r="22" spans="1:38" x14ac:dyDescent="0.2">
      <c r="A22">
        <v>40</v>
      </c>
      <c r="B22">
        <v>742</v>
      </c>
      <c r="C22">
        <v>250</v>
      </c>
      <c r="D22">
        <v>0.318396788651924</v>
      </c>
      <c r="E22">
        <v>17.5319003738975</v>
      </c>
      <c r="F22">
        <v>2.5879073813942401</v>
      </c>
      <c r="G22">
        <v>-283.83230132732984</v>
      </c>
      <c r="H22">
        <v>-246.77558418204555</v>
      </c>
      <c r="I22">
        <v>36.503686297871504</v>
      </c>
      <c r="J22">
        <v>21.485799070593199</v>
      </c>
      <c r="K22">
        <v>6.77454707225733</v>
      </c>
      <c r="L22">
        <v>3.1292964973080803E-5</v>
      </c>
      <c r="M22">
        <v>1.7789667166435964E-6</v>
      </c>
      <c r="N22" s="1">
        <v>-3.8346488883732602E-7</v>
      </c>
      <c r="O22" s="1">
        <v>5.7472939870118401E-11</v>
      </c>
      <c r="P22" s="1">
        <v>1.2572844969729901E-9</v>
      </c>
      <c r="Q22">
        <v>63.720997528749798</v>
      </c>
      <c r="S22">
        <v>22.4771658754883</v>
      </c>
      <c r="AA22">
        <v>3.6754683435537099</v>
      </c>
      <c r="AB22">
        <v>8.5905618396421399</v>
      </c>
      <c r="AC22">
        <v>1.5358064125659501</v>
      </c>
      <c r="AJ22">
        <v>0.73852369613742996</v>
      </c>
      <c r="AK22">
        <v>0.17460888657342799</v>
      </c>
      <c r="AL22">
        <v>8.6867417289140894E-2</v>
      </c>
    </row>
    <row r="23" spans="1:38" x14ac:dyDescent="0.2">
      <c r="A23">
        <v>40</v>
      </c>
      <c r="B23">
        <v>742</v>
      </c>
      <c r="C23">
        <v>250</v>
      </c>
      <c r="D23">
        <v>0.318396788651924</v>
      </c>
      <c r="E23">
        <v>28.161904445244499</v>
      </c>
      <c r="F23">
        <v>2.5246193044665799</v>
      </c>
      <c r="G23">
        <v>-442.654687392624</v>
      </c>
      <c r="H23">
        <v>-384.14324071023617</v>
      </c>
      <c r="I23">
        <v>57.638227535228999</v>
      </c>
      <c r="J23">
        <v>33.4242473119793</v>
      </c>
      <c r="K23">
        <v>11.1549113149139</v>
      </c>
      <c r="L23">
        <v>2.8253706327321303E-5</v>
      </c>
      <c r="M23">
        <v>1.787521396314704E-6</v>
      </c>
      <c r="N23" s="1">
        <v>-2.4196248381275499E-7</v>
      </c>
      <c r="O23" s="1">
        <v>1.06540080008782E-10</v>
      </c>
      <c r="P23" s="1">
        <v>9.2221494906251805E-10</v>
      </c>
      <c r="Q23">
        <v>65.775014469869603</v>
      </c>
      <c r="S23">
        <v>18.950691899896899</v>
      </c>
      <c r="AA23">
        <v>0.28681443248555599</v>
      </c>
      <c r="AB23">
        <v>3.9227184610324</v>
      </c>
      <c r="AC23">
        <v>11.0647607367154</v>
      </c>
      <c r="AJ23">
        <v>0.34527888777722698</v>
      </c>
      <c r="AK23">
        <v>1.39506574903392E-2</v>
      </c>
      <c r="AL23">
        <v>0.64077045473243299</v>
      </c>
    </row>
    <row r="24" spans="1:38" x14ac:dyDescent="0.2">
      <c r="A24">
        <v>41</v>
      </c>
      <c r="B24">
        <v>741</v>
      </c>
      <c r="C24">
        <v>250</v>
      </c>
      <c r="D24">
        <v>0.31765567223783697</v>
      </c>
      <c r="E24">
        <v>19.130805970669499</v>
      </c>
      <c r="F24">
        <v>2.5880226590808499</v>
      </c>
      <c r="G24">
        <v>-309.68442976321114</v>
      </c>
      <c r="H24">
        <v>-269.31133818845842</v>
      </c>
      <c r="I24">
        <v>39.809783143275403</v>
      </c>
      <c r="J24">
        <v>23.458437825007501</v>
      </c>
      <c r="K24">
        <v>7.3920550515828696</v>
      </c>
      <c r="L24">
        <v>3.1354877772401854E-5</v>
      </c>
      <c r="M24">
        <v>1.7792420810733699E-6</v>
      </c>
      <c r="N24" s="1">
        <v>-4.3233372453564602E-7</v>
      </c>
      <c r="O24" s="1">
        <v>6.2595914673123305E-11</v>
      </c>
      <c r="P24" s="1">
        <v>1.41151876232987E-9</v>
      </c>
      <c r="Q24">
        <v>63.721089683978903</v>
      </c>
      <c r="S24">
        <v>22.4786768410363</v>
      </c>
      <c r="AA24">
        <v>3.6766934024389499</v>
      </c>
      <c r="AB24">
        <v>8.59472839525192</v>
      </c>
      <c r="AC24">
        <v>1.52881167729386</v>
      </c>
      <c r="AJ24">
        <v>0.738866551593931</v>
      </c>
      <c r="AK24">
        <v>0.17466345864066701</v>
      </c>
      <c r="AL24">
        <v>8.6469989765400906E-2</v>
      </c>
    </row>
    <row r="25" spans="1:38" x14ac:dyDescent="0.2">
      <c r="A25">
        <v>41</v>
      </c>
      <c r="B25">
        <v>741</v>
      </c>
      <c r="C25">
        <v>250</v>
      </c>
      <c r="D25">
        <v>0.31765567223783697</v>
      </c>
      <c r="E25">
        <v>31.351854398315599</v>
      </c>
      <c r="F25">
        <v>2.524651697171</v>
      </c>
      <c r="G25">
        <v>-492.70642889366036</v>
      </c>
      <c r="H25">
        <v>-427.67276455013092</v>
      </c>
      <c r="I25">
        <v>64.126277516668594</v>
      </c>
      <c r="J25">
        <v>37.215499125380902</v>
      </c>
      <c r="K25">
        <v>12.4182889994081</v>
      </c>
      <c r="L25">
        <v>2.82689981564985E-5</v>
      </c>
      <c r="M25">
        <v>1.7875931429187023E-6</v>
      </c>
      <c r="N25" s="1">
        <v>-2.7865263335954102E-7</v>
      </c>
      <c r="O25" s="1">
        <v>1.1854463374687199E-10</v>
      </c>
      <c r="P25" s="1">
        <v>1.05312477251564E-9</v>
      </c>
      <c r="Q25">
        <v>65.774198782355498</v>
      </c>
      <c r="S25">
        <v>18.947628445325801</v>
      </c>
      <c r="AA25">
        <v>0.284477380627365</v>
      </c>
      <c r="AB25">
        <v>3.9128695007083798</v>
      </c>
      <c r="AC25">
        <v>11.080825890982799</v>
      </c>
      <c r="AJ25">
        <v>0.34442928163108599</v>
      </c>
      <c r="AK25">
        <v>1.3837678394121899E-2</v>
      </c>
      <c r="AL25">
        <v>0.64173303997479103</v>
      </c>
    </row>
    <row r="26" spans="1:38" x14ac:dyDescent="0.2">
      <c r="A26">
        <v>42</v>
      </c>
      <c r="B26">
        <v>740</v>
      </c>
      <c r="C26">
        <v>250</v>
      </c>
      <c r="D26">
        <v>0.31691309282929903</v>
      </c>
      <c r="E26">
        <v>19.886325169248</v>
      </c>
      <c r="F26">
        <v>2.58812990538883</v>
      </c>
      <c r="G26">
        <v>-321.87964688637976</v>
      </c>
      <c r="H26">
        <v>-279.97773768533119</v>
      </c>
      <c r="I26">
        <v>41.358050832599801</v>
      </c>
      <c r="J26">
        <v>24.399062116519101</v>
      </c>
      <c r="K26">
        <v>7.6836657726654503</v>
      </c>
      <c r="L26">
        <v>3.1419258173342648E-5</v>
      </c>
      <c r="M26">
        <v>1.7795442758745173E-6</v>
      </c>
      <c r="N26" s="1">
        <v>-4.64368586842016E-7</v>
      </c>
      <c r="O26" s="1">
        <v>6.4941891475698694E-11</v>
      </c>
      <c r="P26" s="1">
        <v>1.5098263516615E-9</v>
      </c>
      <c r="Q26">
        <v>63.722100285389402</v>
      </c>
      <c r="S26">
        <v>22.479511020107601</v>
      </c>
      <c r="AA26">
        <v>3.6771457986907201</v>
      </c>
      <c r="AB26">
        <v>8.5991673751949502</v>
      </c>
      <c r="AC26">
        <v>1.52207552061729</v>
      </c>
      <c r="AJ26">
        <v>0.73923182205826798</v>
      </c>
      <c r="AK26">
        <v>0.17468108950560099</v>
      </c>
      <c r="AL26">
        <v>8.6087088436129194E-2</v>
      </c>
    </row>
    <row r="27" spans="1:38" x14ac:dyDescent="0.2">
      <c r="A27">
        <v>42</v>
      </c>
      <c r="B27">
        <v>740</v>
      </c>
      <c r="C27">
        <v>250</v>
      </c>
      <c r="D27">
        <v>0.31691309282929903</v>
      </c>
      <c r="E27">
        <v>32.827872975750999</v>
      </c>
      <c r="F27">
        <v>2.5246845563737899</v>
      </c>
      <c r="G27">
        <v>-515.81074672006082</v>
      </c>
      <c r="H27">
        <v>-447.82561679952568</v>
      </c>
      <c r="I27">
        <v>67.102729033741298</v>
      </c>
      <c r="J27">
        <v>38.9734379248858</v>
      </c>
      <c r="K27">
        <v>13.0027622234524</v>
      </c>
      <c r="L27">
        <v>2.828527648018524E-5</v>
      </c>
      <c r="M27">
        <v>1.7876707047938563E-6</v>
      </c>
      <c r="N27" s="1">
        <v>-3.0183492222212699E-7</v>
      </c>
      <c r="O27" s="1">
        <v>1.24056234435536E-10</v>
      </c>
      <c r="P27" s="1">
        <v>1.1313545669169301E-9</v>
      </c>
      <c r="Q27">
        <v>65.773493258682194</v>
      </c>
      <c r="S27">
        <v>18.944605359478398</v>
      </c>
      <c r="AA27">
        <v>0.28214792815344902</v>
      </c>
      <c r="AB27">
        <v>3.9033718664541199</v>
      </c>
      <c r="AC27">
        <v>11.096381587231701</v>
      </c>
      <c r="AJ27">
        <v>0.34360990183250101</v>
      </c>
      <c r="AK27">
        <v>1.37250330429171E-2</v>
      </c>
      <c r="AL27">
        <v>0.64266506512458099</v>
      </c>
    </row>
    <row r="28" spans="1:38" x14ac:dyDescent="0.2">
      <c r="A28">
        <v>43</v>
      </c>
      <c r="B28">
        <v>739</v>
      </c>
      <c r="C28">
        <v>250</v>
      </c>
      <c r="D28">
        <v>0.31616904609000601</v>
      </c>
      <c r="E28">
        <v>20.3465760596564</v>
      </c>
      <c r="F28">
        <v>2.5882318342469302</v>
      </c>
      <c r="G28">
        <v>-329.2933235727246</v>
      </c>
      <c r="H28">
        <v>-286.48870399373652</v>
      </c>
      <c r="I28">
        <v>42.290786522736802</v>
      </c>
      <c r="J28">
        <v>24.978837818169001</v>
      </c>
      <c r="K28">
        <v>7.8611876225440396</v>
      </c>
      <c r="L28">
        <v>3.1486005646759959E-5</v>
      </c>
      <c r="M28">
        <v>1.7798664827266224E-6</v>
      </c>
      <c r="N28" s="1">
        <v>-4.9096229767749397E-7</v>
      </c>
      <c r="O28" s="1">
        <v>6.6312527146463695E-11</v>
      </c>
      <c r="P28" s="1">
        <v>1.5898126019946401E-9</v>
      </c>
      <c r="Q28">
        <v>63.723724837208003</v>
      </c>
      <c r="S28">
        <v>22.479891792705502</v>
      </c>
      <c r="AA28">
        <v>3.6770808730250302</v>
      </c>
      <c r="AB28">
        <v>8.6037858466872592</v>
      </c>
      <c r="AC28">
        <v>1.51551665037403</v>
      </c>
      <c r="AJ28">
        <v>0.73961185372809202</v>
      </c>
      <c r="AK28">
        <v>0.174673990923599</v>
      </c>
      <c r="AL28">
        <v>8.5714155348307702E-2</v>
      </c>
    </row>
    <row r="29" spans="1:38" x14ac:dyDescent="0.2">
      <c r="A29">
        <v>43</v>
      </c>
      <c r="B29">
        <v>739</v>
      </c>
      <c r="C29">
        <v>250</v>
      </c>
      <c r="D29">
        <v>0.31616904609000601</v>
      </c>
      <c r="E29">
        <v>33.698455222666098</v>
      </c>
      <c r="F29">
        <v>2.5247178556450698</v>
      </c>
      <c r="G29">
        <v>-529.39612229183956</v>
      </c>
      <c r="H29">
        <v>-459.72110514888203</v>
      </c>
      <c r="I29">
        <v>68.838627815005196</v>
      </c>
      <c r="J29">
        <v>40.0133997760488</v>
      </c>
      <c r="K29">
        <v>13.3474143050555</v>
      </c>
      <c r="L29">
        <v>2.8302467102537382E-5</v>
      </c>
      <c r="M29">
        <v>1.7877527771374986E-6</v>
      </c>
      <c r="N29" s="1">
        <v>-3.2052241113517298E-7</v>
      </c>
      <c r="O29" s="1">
        <v>1.2727200508799101E-10</v>
      </c>
      <c r="P29" s="1">
        <v>1.19174331971932E-9</v>
      </c>
      <c r="Q29">
        <v>65.772854552353607</v>
      </c>
      <c r="S29">
        <v>18.941613737524499</v>
      </c>
      <c r="AA29">
        <v>0.279828842799769</v>
      </c>
      <c r="AB29">
        <v>3.8941056177573299</v>
      </c>
      <c r="AC29">
        <v>11.111597249564699</v>
      </c>
      <c r="AJ29">
        <v>0.34281040795359102</v>
      </c>
      <c r="AK29">
        <v>1.36128650522642E-2</v>
      </c>
      <c r="AL29">
        <v>0.64357672699414403</v>
      </c>
    </row>
    <row r="30" spans="1:38" x14ac:dyDescent="0.2">
      <c r="A30">
        <v>44</v>
      </c>
      <c r="B30">
        <v>738</v>
      </c>
      <c r="C30">
        <v>250</v>
      </c>
      <c r="D30">
        <v>0.31542352766652099</v>
      </c>
      <c r="E30">
        <v>20.675270266748999</v>
      </c>
      <c r="F30">
        <v>2.58833847872374</v>
      </c>
      <c r="G30">
        <v>-334.57664443622855</v>
      </c>
      <c r="H30">
        <v>-291.14871596487012</v>
      </c>
      <c r="I30">
        <v>42.949046601748897</v>
      </c>
      <c r="J30">
        <v>25.3982131853531</v>
      </c>
      <c r="K30">
        <v>7.9878541530409199</v>
      </c>
      <c r="L30">
        <v>3.1554533897704316E-5</v>
      </c>
      <c r="M30">
        <v>1.7801825236061134E-6</v>
      </c>
      <c r="N30" s="1">
        <v>-5.15537486505409E-7</v>
      </c>
      <c r="O30" s="1">
        <v>6.7244412693153397E-11</v>
      </c>
      <c r="P30" s="1">
        <v>1.6627625439999899E-9</v>
      </c>
      <c r="Q30">
        <v>63.7248240961326</v>
      </c>
      <c r="S30">
        <v>22.4806519668556</v>
      </c>
      <c r="AA30">
        <v>3.6774515274401298</v>
      </c>
      <c r="AB30">
        <v>8.6082283816245901</v>
      </c>
      <c r="AC30">
        <v>1.50884402794693</v>
      </c>
      <c r="AJ30">
        <v>0.73997738505917499</v>
      </c>
      <c r="AK30">
        <v>0.17468773504507901</v>
      </c>
      <c r="AL30">
        <v>8.53348798957453E-2</v>
      </c>
    </row>
    <row r="31" spans="1:38" x14ac:dyDescent="0.2">
      <c r="A31">
        <v>44</v>
      </c>
      <c r="B31">
        <v>738</v>
      </c>
      <c r="C31">
        <v>250</v>
      </c>
      <c r="D31">
        <v>0.31542352766652099</v>
      </c>
      <c r="E31">
        <v>34.311673074680201</v>
      </c>
      <c r="F31">
        <v>2.5247515680630999</v>
      </c>
      <c r="G31">
        <v>-538.93382861614793</v>
      </c>
      <c r="H31">
        <v>-468.1060753255307</v>
      </c>
      <c r="I31">
        <v>70.046732226294097</v>
      </c>
      <c r="J31">
        <v>40.748322486700097</v>
      </c>
      <c r="K31">
        <v>13.5901185323366</v>
      </c>
      <c r="L31">
        <v>2.8320215652735791E-5</v>
      </c>
      <c r="M31">
        <v>1.7878343787890163E-6</v>
      </c>
      <c r="N31" s="1">
        <v>-3.37554515233607E-7</v>
      </c>
      <c r="O31" s="1">
        <v>1.2951015058617001E-10</v>
      </c>
      <c r="P31" s="1">
        <v>1.2452523489499101E-9</v>
      </c>
      <c r="Q31">
        <v>65.772123354561302</v>
      </c>
      <c r="S31">
        <v>18.938622775935301</v>
      </c>
      <c r="AA31">
        <v>0.277531883872429</v>
      </c>
      <c r="AB31">
        <v>3.8846349880249398</v>
      </c>
      <c r="AC31">
        <v>11.127086997605799</v>
      </c>
      <c r="AJ31">
        <v>0.341993201373538</v>
      </c>
      <c r="AK31">
        <v>1.35017769505274E-2</v>
      </c>
      <c r="AL31">
        <v>0.64450502167593404</v>
      </c>
    </row>
    <row r="32" spans="1:38" x14ac:dyDescent="0.2">
      <c r="A32">
        <v>45</v>
      </c>
      <c r="B32">
        <v>737</v>
      </c>
      <c r="C32">
        <v>250</v>
      </c>
      <c r="D32">
        <v>0.31467653318814098</v>
      </c>
      <c r="E32">
        <v>20.916938200479098</v>
      </c>
      <c r="F32">
        <v>2.5884365403122098</v>
      </c>
      <c r="G32">
        <v>-338.45033652291642</v>
      </c>
      <c r="H32">
        <v>-294.58369123655064</v>
      </c>
      <c r="I32">
        <v>43.425872678677102</v>
      </c>
      <c r="J32">
        <v>25.7117517443343</v>
      </c>
      <c r="K32">
        <v>8.0809159794800998</v>
      </c>
      <c r="L32">
        <v>3.1625793152136352E-5</v>
      </c>
      <c r="M32">
        <v>1.7805276967714323E-6</v>
      </c>
      <c r="N32" s="1">
        <v>-5.3899880312490098E-7</v>
      </c>
      <c r="O32" s="1">
        <v>6.7886108383783396E-11</v>
      </c>
      <c r="P32" s="1">
        <v>1.73166813399171E-9</v>
      </c>
      <c r="Q32">
        <v>63.7269124784981</v>
      </c>
      <c r="S32">
        <v>22.480685196330601</v>
      </c>
      <c r="AA32">
        <v>3.67699164662233</v>
      </c>
      <c r="AB32">
        <v>8.6129693451405398</v>
      </c>
      <c r="AC32">
        <v>1.5024413334082101</v>
      </c>
      <c r="AJ32">
        <v>0.74036746684618604</v>
      </c>
      <c r="AK32">
        <v>0.174661770770693</v>
      </c>
      <c r="AL32">
        <v>8.4970762383119805E-2</v>
      </c>
    </row>
    <row r="33" spans="1:38" x14ac:dyDescent="0.2">
      <c r="A33">
        <v>45</v>
      </c>
      <c r="B33">
        <v>737</v>
      </c>
      <c r="C33">
        <v>250</v>
      </c>
      <c r="D33">
        <v>0.31467653318814098</v>
      </c>
      <c r="E33">
        <v>34.733562221944602</v>
      </c>
      <c r="F33">
        <v>2.52478571298415</v>
      </c>
      <c r="G33">
        <v>-545.46438260826824</v>
      </c>
      <c r="H33">
        <v>-473.88211657200219</v>
      </c>
      <c r="I33">
        <v>70.863006520087197</v>
      </c>
      <c r="J33">
        <v>41.256687960362697</v>
      </c>
      <c r="K33">
        <v>13.757033732930701</v>
      </c>
      <c r="L33">
        <v>2.833905168455895E-5</v>
      </c>
      <c r="M33">
        <v>1.7879222717111823E-6</v>
      </c>
      <c r="N33" s="1">
        <v>-3.5344151602177702E-7</v>
      </c>
      <c r="O33" s="1">
        <v>1.3102038131900599E-10</v>
      </c>
      <c r="P33" s="1">
        <v>1.2938823361006699E-9</v>
      </c>
      <c r="Q33">
        <v>65.771510977288699</v>
      </c>
      <c r="S33">
        <v>18.9356726827742</v>
      </c>
      <c r="AA33">
        <v>0.27524091667276201</v>
      </c>
      <c r="AB33">
        <v>3.8755362853469899</v>
      </c>
      <c r="AC33">
        <v>11.1420391379172</v>
      </c>
      <c r="AJ33">
        <v>0.34120801407913498</v>
      </c>
      <c r="AK33">
        <v>1.33909442372184E-2</v>
      </c>
      <c r="AL33">
        <v>0.64540104168364598</v>
      </c>
    </row>
    <row r="34" spans="1:38" x14ac:dyDescent="0.2">
      <c r="A34">
        <v>51</v>
      </c>
      <c r="B34">
        <v>752</v>
      </c>
      <c r="C34">
        <v>225</v>
      </c>
      <c r="D34">
        <v>0.35255377261864101</v>
      </c>
      <c r="E34">
        <v>0.48894684488432</v>
      </c>
      <c r="F34">
        <v>2.59006407622757</v>
      </c>
      <c r="G34">
        <v>-7.9380054089070624</v>
      </c>
      <c r="H34">
        <v>-6.8888765628900126</v>
      </c>
      <c r="I34">
        <v>1.02339057310349</v>
      </c>
      <c r="J34">
        <v>0.59640404292326199</v>
      </c>
      <c r="K34">
        <v>0.18877789525441799</v>
      </c>
      <c r="L34">
        <v>3.0628063974581748E-5</v>
      </c>
      <c r="M34">
        <v>1.7703928174505219E-6</v>
      </c>
      <c r="N34" s="1">
        <v>-7.5946393409570907E-9</v>
      </c>
      <c r="O34" s="1">
        <v>1.6148246592295399E-12</v>
      </c>
      <c r="P34" s="1">
        <v>2.62012719721114E-11</v>
      </c>
      <c r="Q34">
        <v>63.354447941371603</v>
      </c>
      <c r="S34">
        <v>22.786808073898001</v>
      </c>
      <c r="AA34">
        <v>4.0164556628849901</v>
      </c>
      <c r="AB34">
        <v>8.5854930171366508</v>
      </c>
      <c r="AC34">
        <v>1.25679530470867</v>
      </c>
      <c r="AJ34">
        <v>0.73810114147572103</v>
      </c>
      <c r="AK34">
        <v>0.19081143829693101</v>
      </c>
      <c r="AL34">
        <v>7.1087420227347001E-2</v>
      </c>
    </row>
    <row r="35" spans="1:38" x14ac:dyDescent="0.2">
      <c r="A35">
        <v>52</v>
      </c>
      <c r="B35">
        <v>751</v>
      </c>
      <c r="C35">
        <v>225</v>
      </c>
      <c r="D35">
        <v>0.35185324415369101</v>
      </c>
      <c r="E35">
        <v>1.3326256324039301</v>
      </c>
      <c r="F35">
        <v>2.58903667864534</v>
      </c>
      <c r="G35">
        <v>-21.627779441429499</v>
      </c>
      <c r="H35">
        <v>-18.772207713330754</v>
      </c>
      <c r="I35">
        <v>2.78823583273812</v>
      </c>
      <c r="J35">
        <v>1.6262085563727</v>
      </c>
      <c r="K35">
        <v>0.51471871503234001</v>
      </c>
      <c r="L35">
        <v>3.0715886726062917E-5</v>
      </c>
      <c r="M35">
        <v>1.7729950825191799E-6</v>
      </c>
      <c r="N35" s="1">
        <v>-2.1408537569221799E-8</v>
      </c>
      <c r="O35" s="1">
        <v>4.4057227048034502E-12</v>
      </c>
      <c r="P35" s="1">
        <v>7.3441921193660596E-11</v>
      </c>
      <c r="Q35">
        <v>63.463570496692597</v>
      </c>
      <c r="S35">
        <v>22.699540678521799</v>
      </c>
      <c r="AA35">
        <v>3.9189969116697698</v>
      </c>
      <c r="AB35">
        <v>8.5998839582379194</v>
      </c>
      <c r="AC35">
        <v>1.3180079548777299</v>
      </c>
      <c r="AJ35">
        <v>0.73928694340909795</v>
      </c>
      <c r="AK35">
        <v>0.18616848156767199</v>
      </c>
      <c r="AL35">
        <v>7.4544575023229004E-2</v>
      </c>
    </row>
    <row r="36" spans="1:38" x14ac:dyDescent="0.2">
      <c r="A36">
        <v>53</v>
      </c>
      <c r="B36">
        <v>750</v>
      </c>
      <c r="C36">
        <v>225</v>
      </c>
      <c r="D36">
        <v>0.35115134633240402</v>
      </c>
      <c r="E36">
        <v>2.1836317613210001</v>
      </c>
      <c r="F36">
        <v>2.5879868334946399</v>
      </c>
      <c r="G36">
        <v>-35.426698943749173</v>
      </c>
      <c r="H36">
        <v>-30.753888655577043</v>
      </c>
      <c r="I36">
        <v>4.5670823321821103</v>
      </c>
      <c r="J36">
        <v>2.6658414777080299</v>
      </c>
      <c r="K36">
        <v>0.84375690519737601</v>
      </c>
      <c r="L36">
        <v>3.0802128790546445E-5</v>
      </c>
      <c r="M36">
        <v>1.7755481719610342E-6</v>
      </c>
      <c r="N36" s="1">
        <v>-3.62658653823015E-8</v>
      </c>
      <c r="O36" s="1">
        <v>7.2265886535356703E-12</v>
      </c>
      <c r="P36" s="1">
        <v>1.23732710196868E-10</v>
      </c>
      <c r="Q36">
        <v>63.5715900236614</v>
      </c>
      <c r="S36">
        <v>22.611896712469701</v>
      </c>
      <c r="AA36">
        <v>3.82148486237771</v>
      </c>
      <c r="AB36">
        <v>8.6108296308136296</v>
      </c>
      <c r="AC36">
        <v>1.3841987706774199</v>
      </c>
      <c r="AJ36">
        <v>0.74018911971415102</v>
      </c>
      <c r="AK36">
        <v>0.18152675085735001</v>
      </c>
      <c r="AL36">
        <v>7.8284129428497704E-2</v>
      </c>
    </row>
    <row r="37" spans="1:38" x14ac:dyDescent="0.2">
      <c r="A37">
        <v>54</v>
      </c>
      <c r="B37">
        <v>749</v>
      </c>
      <c r="C37">
        <v>225</v>
      </c>
      <c r="D37">
        <v>0.350448075135744</v>
      </c>
      <c r="E37">
        <v>3.0442283802258601</v>
      </c>
      <c r="F37">
        <v>2.5869077365191799</v>
      </c>
      <c r="G37">
        <v>-49.370595843390213</v>
      </c>
      <c r="H37">
        <v>-42.865019254982563</v>
      </c>
      <c r="I37">
        <v>6.3646006832731397</v>
      </c>
      <c r="J37">
        <v>3.71805306286939</v>
      </c>
      <c r="K37">
        <v>1.1767827422875199</v>
      </c>
      <c r="L37">
        <v>3.0886552073000666E-5</v>
      </c>
      <c r="M37">
        <v>1.7780538283559181E-6</v>
      </c>
      <c r="N37" s="1">
        <v>-5.2242530882786098E-8</v>
      </c>
      <c r="O37" s="1">
        <v>1.00851368293474E-11</v>
      </c>
      <c r="P37" s="1">
        <v>1.7730712243424799E-10</v>
      </c>
      <c r="Q37">
        <v>63.678746405754701</v>
      </c>
      <c r="S37">
        <v>22.523521940899801</v>
      </c>
      <c r="AA37">
        <v>3.7235712941073902</v>
      </c>
      <c r="AB37">
        <v>8.6179359296381897</v>
      </c>
      <c r="AC37">
        <v>1.4562244295997999</v>
      </c>
      <c r="AJ37">
        <v>0.740775343379104</v>
      </c>
      <c r="AK37">
        <v>0.17686981492672699</v>
      </c>
      <c r="AL37">
        <v>8.2354841694168304E-2</v>
      </c>
    </row>
    <row r="38" spans="1:38" x14ac:dyDescent="0.2">
      <c r="A38">
        <v>55</v>
      </c>
      <c r="B38">
        <v>748</v>
      </c>
      <c r="C38">
        <v>225</v>
      </c>
      <c r="D38">
        <v>0.34974342652891699</v>
      </c>
      <c r="E38">
        <v>3.9173816306749698</v>
      </c>
      <c r="F38">
        <v>2.5857903561437801</v>
      </c>
      <c r="G38">
        <v>-63.506429974774136</v>
      </c>
      <c r="H38">
        <v>-55.146356876669792</v>
      </c>
      <c r="I38">
        <v>8.1869197454872804</v>
      </c>
      <c r="J38">
        <v>4.7864419756138901</v>
      </c>
      <c r="K38">
        <v>1.51496490091215</v>
      </c>
      <c r="L38">
        <v>3.0968841876844583E-5</v>
      </c>
      <c r="M38">
        <v>1.7805145840474401E-6</v>
      </c>
      <c r="N38" s="1">
        <v>-6.9428000306191496E-8</v>
      </c>
      <c r="O38" s="1">
        <v>1.29916679290732E-11</v>
      </c>
      <c r="P38" s="1">
        <v>2.3444304512881501E-10</v>
      </c>
      <c r="Q38">
        <v>63.785367217643397</v>
      </c>
      <c r="S38">
        <v>22.433941906740699</v>
      </c>
      <c r="AA38">
        <v>3.6247883398455301</v>
      </c>
      <c r="AB38">
        <v>8.6206889864055007</v>
      </c>
      <c r="AC38">
        <v>1.5352135493647601</v>
      </c>
      <c r="AJ38">
        <v>0.741003411515885</v>
      </c>
      <c r="AK38">
        <v>0.172175626852345</v>
      </c>
      <c r="AL38">
        <v>8.6820961631769E-2</v>
      </c>
    </row>
    <row r="39" spans="1:38" x14ac:dyDescent="0.2">
      <c r="A39">
        <v>56</v>
      </c>
      <c r="B39">
        <v>747</v>
      </c>
      <c r="C39">
        <v>225</v>
      </c>
      <c r="D39">
        <v>0.34903739646130499</v>
      </c>
      <c r="E39">
        <v>9.5818962530652492</v>
      </c>
      <c r="F39">
        <v>2.58511812158341</v>
      </c>
      <c r="G39">
        <v>-155.28315740167571</v>
      </c>
      <c r="H39">
        <v>-134.86448883228402</v>
      </c>
      <c r="I39">
        <v>20.015359083852001</v>
      </c>
      <c r="J39">
        <v>11.7113992039215</v>
      </c>
      <c r="K39">
        <v>3.70656032042212</v>
      </c>
      <c r="L39">
        <v>3.1022964096053244E-5</v>
      </c>
      <c r="M39">
        <v>1.7817717506147639E-6</v>
      </c>
      <c r="N39" s="1">
        <v>-1.74982912908327E-7</v>
      </c>
      <c r="O39" s="1">
        <v>3.17825214749562E-11</v>
      </c>
      <c r="P39" s="1">
        <v>5.8816040013859399E-10</v>
      </c>
      <c r="Q39">
        <v>63.840156204861898</v>
      </c>
      <c r="S39">
        <v>22.381933620070999</v>
      </c>
      <c r="AA39">
        <v>3.5690967096668098</v>
      </c>
      <c r="AB39">
        <v>8.6064368217107798</v>
      </c>
      <c r="AC39">
        <v>1.6023766436893601</v>
      </c>
      <c r="AJ39">
        <v>0.73983169857242304</v>
      </c>
      <c r="AK39">
        <v>0.169542528677364</v>
      </c>
      <c r="AL39">
        <v>9.0625772750212802E-2</v>
      </c>
    </row>
    <row r="40" spans="1:38" x14ac:dyDescent="0.2">
      <c r="A40">
        <v>56</v>
      </c>
      <c r="B40">
        <v>747</v>
      </c>
      <c r="C40">
        <v>225</v>
      </c>
      <c r="D40">
        <v>0.34903739646130499</v>
      </c>
      <c r="E40">
        <v>10.5578508197499</v>
      </c>
      <c r="F40">
        <v>2.5234029384916901</v>
      </c>
      <c r="G40">
        <v>-166.26646796748454</v>
      </c>
      <c r="H40">
        <v>-144.13863208160461</v>
      </c>
      <c r="I40">
        <v>21.690766932196102</v>
      </c>
      <c r="J40">
        <v>12.5282548293101</v>
      </c>
      <c r="K40">
        <v>4.1839734188708997</v>
      </c>
      <c r="L40">
        <v>2.8224083990894527E-5</v>
      </c>
      <c r="M40">
        <v>1.7896955652086997E-6</v>
      </c>
      <c r="N40" s="1">
        <v>-7.6612764127487395E-8</v>
      </c>
      <c r="O40" s="1">
        <v>4.0015376594584598E-11</v>
      </c>
      <c r="P40" s="1">
        <v>3.0549589590425399E-10</v>
      </c>
      <c r="Q40">
        <v>65.806419115290694</v>
      </c>
      <c r="S40">
        <v>18.975231818654599</v>
      </c>
      <c r="AA40">
        <v>0.29973227204931702</v>
      </c>
      <c r="AB40">
        <v>4.0570366169338099</v>
      </c>
      <c r="AC40">
        <v>10.861580177071501</v>
      </c>
      <c r="AJ40">
        <v>0.35685728143430401</v>
      </c>
      <c r="AK40">
        <v>1.45690063069196E-2</v>
      </c>
      <c r="AL40">
        <v>0.62857371225877601</v>
      </c>
    </row>
    <row r="41" spans="1:38" x14ac:dyDescent="0.2">
      <c r="A41">
        <v>57</v>
      </c>
      <c r="B41">
        <v>746</v>
      </c>
      <c r="C41">
        <v>225</v>
      </c>
      <c r="D41">
        <v>0.34832998086640898</v>
      </c>
      <c r="E41">
        <v>17.345465349069599</v>
      </c>
      <c r="F41">
        <v>2.5860800748020498</v>
      </c>
      <c r="G41">
        <v>-281.09641906991567</v>
      </c>
      <c r="H41">
        <v>-244.19751391812173</v>
      </c>
      <c r="I41">
        <v>36.205568514736697</v>
      </c>
      <c r="J41">
        <v>21.206410816850799</v>
      </c>
      <c r="K41">
        <v>6.7072421763263899</v>
      </c>
      <c r="L41">
        <v>3.1023163728029985E-5</v>
      </c>
      <c r="M41">
        <v>1.7798468155712754E-6</v>
      </c>
      <c r="N41" s="1">
        <v>-3.2592796242556701E-7</v>
      </c>
      <c r="O41" s="1">
        <v>5.73494788654514E-11</v>
      </c>
      <c r="P41" s="1">
        <v>1.0909285113132299E-9</v>
      </c>
      <c r="Q41">
        <v>63.745729102094302</v>
      </c>
      <c r="S41">
        <v>22.4529724253746</v>
      </c>
      <c r="AA41">
        <v>3.6497377249510601</v>
      </c>
      <c r="AB41">
        <v>8.58224854995008</v>
      </c>
      <c r="AC41">
        <v>1.5693121976299</v>
      </c>
      <c r="AJ41">
        <v>0.73783994314869805</v>
      </c>
      <c r="AK41">
        <v>0.17339378270446101</v>
      </c>
      <c r="AL41">
        <v>8.8766274146840504E-2</v>
      </c>
    </row>
    <row r="42" spans="1:38" x14ac:dyDescent="0.2">
      <c r="A42">
        <v>57</v>
      </c>
      <c r="B42">
        <v>746</v>
      </c>
      <c r="C42">
        <v>225</v>
      </c>
      <c r="D42">
        <v>0.34832998086640898</v>
      </c>
      <c r="E42">
        <v>27.719905992806801</v>
      </c>
      <c r="F42">
        <v>2.5234195681131601</v>
      </c>
      <c r="G42">
        <v>-436.38706113750544</v>
      </c>
      <c r="H42">
        <v>-378.39627981380602</v>
      </c>
      <c r="I42">
        <v>56.901124784084203</v>
      </c>
      <c r="J42">
        <v>32.8884916607633</v>
      </c>
      <c r="K42">
        <v>10.9850562875415</v>
      </c>
      <c r="L42">
        <v>2.8205281118899503E-5</v>
      </c>
      <c r="M42">
        <v>1.7893237010847487E-6</v>
      </c>
      <c r="N42" s="1">
        <v>-2.0551741124565399E-7</v>
      </c>
      <c r="O42" s="1">
        <v>1.0505950462129699E-10</v>
      </c>
      <c r="P42" s="1">
        <v>8.1442469015023603E-10</v>
      </c>
      <c r="Q42">
        <v>65.791993521853897</v>
      </c>
      <c r="S42">
        <v>18.9692195718284</v>
      </c>
      <c r="AA42">
        <v>0.298138121875207</v>
      </c>
      <c r="AB42">
        <v>4.0091280687291002</v>
      </c>
      <c r="AC42">
        <v>10.931520715713299</v>
      </c>
      <c r="AJ42">
        <v>0.35272929927707702</v>
      </c>
      <c r="AK42">
        <v>1.4495056333604799E-2</v>
      </c>
      <c r="AL42">
        <v>0.63277564438931699</v>
      </c>
    </row>
    <row r="43" spans="1:38" x14ac:dyDescent="0.2">
      <c r="A43">
        <v>58</v>
      </c>
      <c r="B43">
        <v>745</v>
      </c>
      <c r="C43">
        <v>225</v>
      </c>
      <c r="D43">
        <v>0.347621175661739</v>
      </c>
      <c r="E43">
        <v>18.922934656332899</v>
      </c>
      <c r="F43">
        <v>2.5863885690316999</v>
      </c>
      <c r="G43">
        <v>-306.63439122925223</v>
      </c>
      <c r="H43">
        <v>-266.44387230482721</v>
      </c>
      <c r="I43">
        <v>39.474064651009101</v>
      </c>
      <c r="J43">
        <v>23.145045154516801</v>
      </c>
      <c r="K43">
        <v>7.3163541174392499</v>
      </c>
      <c r="L43">
        <v>3.1064710870462707E-5</v>
      </c>
      <c r="M43">
        <v>1.7795969495943725E-6</v>
      </c>
      <c r="N43" s="1">
        <v>-3.6697301478997801E-7</v>
      </c>
      <c r="O43" s="1">
        <v>6.2440246970284506E-11</v>
      </c>
      <c r="P43" s="1">
        <v>1.22273042285173E-9</v>
      </c>
      <c r="Q43">
        <v>63.724072495025098</v>
      </c>
      <c r="S43">
        <v>22.470458627755601</v>
      </c>
      <c r="AA43">
        <v>3.6692172941545902</v>
      </c>
      <c r="AB43">
        <v>8.5798303151806206</v>
      </c>
      <c r="AC43">
        <v>1.55642126788396</v>
      </c>
      <c r="AJ43">
        <v>0.73764060932589504</v>
      </c>
      <c r="AK43">
        <v>0.17432125393485401</v>
      </c>
      <c r="AL43">
        <v>8.8038136739249997E-2</v>
      </c>
    </row>
    <row r="44" spans="1:38" x14ac:dyDescent="0.2">
      <c r="A44">
        <v>58</v>
      </c>
      <c r="B44">
        <v>745</v>
      </c>
      <c r="C44">
        <v>225</v>
      </c>
      <c r="D44">
        <v>0.347621175661739</v>
      </c>
      <c r="E44">
        <v>31.199087996593299</v>
      </c>
      <c r="F44">
        <v>2.52344698466004</v>
      </c>
      <c r="G44">
        <v>-491.05235195455913</v>
      </c>
      <c r="H44">
        <v>-425.89146929224466</v>
      </c>
      <c r="I44">
        <v>63.999295449898803</v>
      </c>
      <c r="J44">
        <v>37.018351137760298</v>
      </c>
      <c r="K44">
        <v>12.3636788037361</v>
      </c>
      <c r="L44">
        <v>2.8210798919660478E-5</v>
      </c>
      <c r="M44">
        <v>1.7892901523278088E-6</v>
      </c>
      <c r="N44" s="1">
        <v>-2.3867883940286897E-7</v>
      </c>
      <c r="O44" s="1">
        <v>1.1820349924418299E-10</v>
      </c>
      <c r="P44" s="1">
        <v>9.376726155929699E-10</v>
      </c>
      <c r="Q44">
        <v>65.788160958021194</v>
      </c>
      <c r="S44">
        <v>18.965436613875301</v>
      </c>
      <c r="AA44">
        <v>0.29591141920533698</v>
      </c>
      <c r="AB44">
        <v>3.99066988962955</v>
      </c>
      <c r="AC44">
        <v>10.959821119268501</v>
      </c>
      <c r="AJ44">
        <v>0.35113834733348298</v>
      </c>
      <c r="AK44">
        <v>1.4388150496147599E-2</v>
      </c>
      <c r="AL44">
        <v>0.63447350217036902</v>
      </c>
    </row>
    <row r="45" spans="1:38" x14ac:dyDescent="0.2">
      <c r="A45">
        <v>59</v>
      </c>
      <c r="B45">
        <v>744</v>
      </c>
      <c r="C45">
        <v>225</v>
      </c>
      <c r="D45">
        <v>0.34691097674876298</v>
      </c>
      <c r="E45">
        <v>19.662492443770599</v>
      </c>
      <c r="F45">
        <v>2.5865868102840301</v>
      </c>
      <c r="G45">
        <v>-318.58724038292331</v>
      </c>
      <c r="H45">
        <v>-276.8916546999576</v>
      </c>
      <c r="I45">
        <v>40.992563223679497</v>
      </c>
      <c r="J45">
        <v>24.060999396307299</v>
      </c>
      <c r="K45">
        <v>7.6017137200245397</v>
      </c>
      <c r="L45">
        <v>3.1114694655030032E-5</v>
      </c>
      <c r="M45">
        <v>1.7796358791174474E-6</v>
      </c>
      <c r="N45" s="1">
        <v>-3.9376579003665301E-7</v>
      </c>
      <c r="O45" s="1">
        <v>6.4761484489946904E-11</v>
      </c>
      <c r="P45" s="1">
        <v>1.3060689105447201E-9</v>
      </c>
      <c r="Q45">
        <v>63.714762642137202</v>
      </c>
      <c r="S45">
        <v>22.478870680547701</v>
      </c>
      <c r="AA45">
        <v>3.6783296507381702</v>
      </c>
      <c r="AB45">
        <v>8.5811370972300498</v>
      </c>
      <c r="AC45">
        <v>1.5468999293468499</v>
      </c>
      <c r="AJ45">
        <v>0.73774801575595905</v>
      </c>
      <c r="AK45">
        <v>0.17475300313244099</v>
      </c>
      <c r="AL45">
        <v>8.7498981111598303E-2</v>
      </c>
    </row>
    <row r="46" spans="1:38" x14ac:dyDescent="0.2">
      <c r="A46">
        <v>59</v>
      </c>
      <c r="B46">
        <v>744</v>
      </c>
      <c r="C46">
        <v>225</v>
      </c>
      <c r="D46">
        <v>0.34691097674876298</v>
      </c>
      <c r="E46">
        <v>32.797058477712397</v>
      </c>
      <c r="F46">
        <v>2.5234763836030401</v>
      </c>
      <c r="G46">
        <v>-516.1023025574442</v>
      </c>
      <c r="H46">
        <v>-447.71593656052579</v>
      </c>
      <c r="I46">
        <v>67.233314650659594</v>
      </c>
      <c r="J46">
        <v>38.917935941321602</v>
      </c>
      <c r="K46">
        <v>12.996776467107001</v>
      </c>
      <c r="L46">
        <v>2.8220885653720901E-5</v>
      </c>
      <c r="M46">
        <v>1.7893143722219603E-6</v>
      </c>
      <c r="N46" s="1">
        <v>-2.5930563410469597E-7</v>
      </c>
      <c r="O46" s="1">
        <v>1.24204432394108E-10</v>
      </c>
      <c r="P46" s="1">
        <v>1.0096918684295601E-9</v>
      </c>
      <c r="Q46">
        <v>65.786086682468493</v>
      </c>
      <c r="S46">
        <v>18.962040335296699</v>
      </c>
      <c r="AA46">
        <v>0.29359345844600199</v>
      </c>
      <c r="AB46">
        <v>3.9771436919387302</v>
      </c>
      <c r="AC46">
        <v>10.981135831849899</v>
      </c>
      <c r="AJ46">
        <v>0.349972309192011</v>
      </c>
      <c r="AK46">
        <v>1.42764282226022E-2</v>
      </c>
      <c r="AL46">
        <v>0.63575126258538595</v>
      </c>
    </row>
    <row r="47" spans="1:38" x14ac:dyDescent="0.2">
      <c r="A47">
        <v>60</v>
      </c>
      <c r="B47">
        <v>743</v>
      </c>
      <c r="C47">
        <v>225</v>
      </c>
      <c r="D47">
        <v>0.34619938001279399</v>
      </c>
      <c r="E47">
        <v>20.110827023810799</v>
      </c>
      <c r="F47">
        <v>2.5867428592063701</v>
      </c>
      <c r="G47">
        <v>-325.81798164171317</v>
      </c>
      <c r="H47">
        <v>-283.23847597164513</v>
      </c>
      <c r="I47">
        <v>41.902775840247998</v>
      </c>
      <c r="J47">
        <v>24.621926248083799</v>
      </c>
      <c r="K47">
        <v>7.7745752548364697</v>
      </c>
      <c r="L47">
        <v>3.116900323400736E-5</v>
      </c>
      <c r="M47">
        <v>1.7797888656980219E-6</v>
      </c>
      <c r="N47" s="1">
        <v>-4.15996191131956E-7</v>
      </c>
      <c r="O47" s="1">
        <v>6.6118301083696495E-11</v>
      </c>
      <c r="P47" s="1">
        <v>1.37365797140951E-9</v>
      </c>
      <c r="Q47">
        <v>63.710191901894703</v>
      </c>
      <c r="S47">
        <v>22.483799321401602</v>
      </c>
      <c r="AA47">
        <v>3.6834623496574199</v>
      </c>
      <c r="AB47">
        <v>8.5838725204384403</v>
      </c>
      <c r="AC47">
        <v>1.5386739066077999</v>
      </c>
      <c r="AJ47">
        <v>0.73797306094755299</v>
      </c>
      <c r="AK47">
        <v>0.17499444983683801</v>
      </c>
      <c r="AL47">
        <v>8.7032489215607703E-2</v>
      </c>
    </row>
    <row r="48" spans="1:38" x14ac:dyDescent="0.2">
      <c r="A48">
        <v>60</v>
      </c>
      <c r="B48">
        <v>743</v>
      </c>
      <c r="C48">
        <v>225</v>
      </c>
      <c r="D48">
        <v>0.34619938001279399</v>
      </c>
      <c r="E48">
        <v>33.734750429893403</v>
      </c>
      <c r="F48">
        <v>2.5235067672662801</v>
      </c>
      <c r="G48">
        <v>-530.75849629700781</v>
      </c>
      <c r="H48">
        <v>-460.53124991034917</v>
      </c>
      <c r="I48">
        <v>69.111102087938406</v>
      </c>
      <c r="J48">
        <v>40.0350534315901</v>
      </c>
      <c r="K48">
        <v>13.3682028784247</v>
      </c>
      <c r="L48">
        <v>2.823310675459701E-5</v>
      </c>
      <c r="M48">
        <v>1.7893615987102536E-6</v>
      </c>
      <c r="N48" s="1">
        <v>-2.7580295885532101E-7</v>
      </c>
      <c r="O48" s="1">
        <v>1.27695800386048E-10</v>
      </c>
      <c r="P48" s="1">
        <v>1.0644878398072901E-9</v>
      </c>
      <c r="Q48">
        <v>65.784671934063795</v>
      </c>
      <c r="S48">
        <v>18.9588009110686</v>
      </c>
      <c r="AA48">
        <v>0.29125101248810797</v>
      </c>
      <c r="AB48">
        <v>3.9654984292066202</v>
      </c>
      <c r="AC48">
        <v>10.999777713172699</v>
      </c>
      <c r="AJ48">
        <v>0.34896829259581402</v>
      </c>
      <c r="AK48">
        <v>1.4163364124023199E-2</v>
      </c>
      <c r="AL48">
        <v>0.63686834328016195</v>
      </c>
    </row>
    <row r="49" spans="1:38" x14ac:dyDescent="0.2">
      <c r="A49">
        <v>61</v>
      </c>
      <c r="B49">
        <v>742</v>
      </c>
      <c r="C49">
        <v>225</v>
      </c>
      <c r="D49">
        <v>0.345486381322956</v>
      </c>
      <c r="E49">
        <v>20.421788431141302</v>
      </c>
      <c r="F49">
        <v>2.5868775896449998</v>
      </c>
      <c r="G49">
        <v>-330.82104346429401</v>
      </c>
      <c r="H49">
        <v>-287.65079288413875</v>
      </c>
      <c r="I49">
        <v>42.525981953558798</v>
      </c>
      <c r="J49">
        <v>25.015704121689001</v>
      </c>
      <c r="K49">
        <v>7.8943775742955502</v>
      </c>
      <c r="L49">
        <v>3.1226414587146835E-5</v>
      </c>
      <c r="M49">
        <v>1.7800023328136053E-6</v>
      </c>
      <c r="N49" s="1">
        <v>-4.3639174973151401E-7</v>
      </c>
      <c r="O49" s="1">
        <v>6.7018089878756804E-11</v>
      </c>
      <c r="P49" s="1">
        <v>1.43470338817168E-9</v>
      </c>
      <c r="Q49">
        <v>63.708023886851201</v>
      </c>
      <c r="S49">
        <v>22.486960651973099</v>
      </c>
      <c r="AA49">
        <v>3.68657635642009</v>
      </c>
      <c r="AB49">
        <v>8.5873290542527894</v>
      </c>
      <c r="AC49">
        <v>1.53111005050267</v>
      </c>
      <c r="AJ49">
        <v>0.73825747709886003</v>
      </c>
      <c r="AK49">
        <v>0.175139365991586</v>
      </c>
      <c r="AL49">
        <v>8.6603156909553197E-2</v>
      </c>
    </row>
    <row r="50" spans="1:38" x14ac:dyDescent="0.2">
      <c r="A50">
        <v>61</v>
      </c>
      <c r="B50">
        <v>742</v>
      </c>
      <c r="C50">
        <v>225</v>
      </c>
      <c r="D50">
        <v>0.345486381322956</v>
      </c>
      <c r="E50">
        <v>34.358214822532901</v>
      </c>
      <c r="F50">
        <v>2.52353783869038</v>
      </c>
      <c r="G50">
        <v>-540.46851942727949</v>
      </c>
      <c r="H50">
        <v>-469.05938281132939</v>
      </c>
      <c r="I50">
        <v>70.343433596956103</v>
      </c>
      <c r="J50">
        <v>40.7800032801741</v>
      </c>
      <c r="K50">
        <v>13.615097937411299</v>
      </c>
      <c r="L50">
        <v>2.8246732954393932E-5</v>
      </c>
      <c r="M50">
        <v>1.7894212489110966E-6</v>
      </c>
      <c r="N50" s="1">
        <v>-2.9053468488659499E-7</v>
      </c>
      <c r="O50" s="1">
        <v>1.2999119586398501E-10</v>
      </c>
      <c r="P50" s="1">
        <v>1.1116432054033099E-9</v>
      </c>
      <c r="Q50">
        <v>65.783580676243204</v>
      </c>
      <c r="S50">
        <v>18.9556478656366</v>
      </c>
      <c r="AA50">
        <v>0.28890434781611302</v>
      </c>
      <c r="AB50">
        <v>3.9548005011404901</v>
      </c>
      <c r="AC50">
        <v>11.0170666091635</v>
      </c>
      <c r="AJ50">
        <v>0.34804584852043702</v>
      </c>
      <c r="AK50">
        <v>1.4050013625781999E-2</v>
      </c>
      <c r="AL50">
        <v>0.63790413785377997</v>
      </c>
    </row>
    <row r="51" spans="1:38" x14ac:dyDescent="0.2">
      <c r="A51">
        <v>62</v>
      </c>
      <c r="B51">
        <v>741</v>
      </c>
      <c r="C51">
        <v>225</v>
      </c>
      <c r="D51">
        <v>0.34477197653207198</v>
      </c>
      <c r="E51">
        <v>20.6561732673668</v>
      </c>
      <c r="F51">
        <v>2.5869997555401301</v>
      </c>
      <c r="G51">
        <v>-334.58219565855507</v>
      </c>
      <c r="H51">
        <v>-290.98476126328637</v>
      </c>
      <c r="I51">
        <v>42.989138091277098</v>
      </c>
      <c r="J51">
        <v>25.316580584209898</v>
      </c>
      <c r="K51">
        <v>7.9846058056754998</v>
      </c>
      <c r="L51">
        <v>3.1286452828034427E-5</v>
      </c>
      <c r="M51">
        <v>1.7802539015847311E-6</v>
      </c>
      <c r="N51" s="1">
        <v>-4.5603760560858798E-7</v>
      </c>
      <c r="O51" s="1">
        <v>6.7661152479839403E-11</v>
      </c>
      <c r="P51" s="1">
        <v>1.49286178957333E-9</v>
      </c>
      <c r="Q51">
        <v>63.707278402325102</v>
      </c>
      <c r="S51">
        <v>22.489074465637199</v>
      </c>
      <c r="AA51">
        <v>3.6884942229594802</v>
      </c>
      <c r="AB51">
        <v>8.5912094192926407</v>
      </c>
      <c r="AC51">
        <v>1.52394348978544</v>
      </c>
      <c r="AJ51">
        <v>0.73857678097465596</v>
      </c>
      <c r="AK51">
        <v>0.175227087618159</v>
      </c>
      <c r="AL51">
        <v>8.6196131407184406E-2</v>
      </c>
    </row>
    <row r="52" spans="1:38" x14ac:dyDescent="0.2">
      <c r="A52">
        <v>62</v>
      </c>
      <c r="B52">
        <v>741</v>
      </c>
      <c r="C52">
        <v>225</v>
      </c>
      <c r="D52">
        <v>0.34477197653207198</v>
      </c>
      <c r="E52">
        <v>34.805053650727601</v>
      </c>
      <c r="F52">
        <v>2.523569474791</v>
      </c>
      <c r="G52">
        <v>-547.39844327783339</v>
      </c>
      <c r="H52">
        <v>-475.17784262456888</v>
      </c>
      <c r="I52">
        <v>71.212937586416601</v>
      </c>
      <c r="J52">
        <v>41.3159251384334</v>
      </c>
      <c r="K52">
        <v>13.791993443576599</v>
      </c>
      <c r="L52">
        <v>2.8261472019492898E-5</v>
      </c>
      <c r="M52">
        <v>1.7894889309965026E-6</v>
      </c>
      <c r="N52" s="1">
        <v>-3.0443867131692001E-7</v>
      </c>
      <c r="O52" s="1">
        <v>1.3161300928041699E-10</v>
      </c>
      <c r="P52" s="1">
        <v>1.1549606658935301E-9</v>
      </c>
      <c r="Q52">
        <v>65.782672283527106</v>
      </c>
      <c r="S52">
        <v>18.952551595233398</v>
      </c>
      <c r="AA52">
        <v>0.286561854052025</v>
      </c>
      <c r="AB52">
        <v>3.9446589212742298</v>
      </c>
      <c r="AC52">
        <v>11.033555345913101</v>
      </c>
      <c r="AJ52">
        <v>0.347171284328878</v>
      </c>
      <c r="AK52">
        <v>1.3936814106227199E-2</v>
      </c>
      <c r="AL52">
        <v>0.63889190156489395</v>
      </c>
    </row>
    <row r="53" spans="1:38" x14ac:dyDescent="0.2">
      <c r="A53">
        <v>64</v>
      </c>
      <c r="B53">
        <v>759</v>
      </c>
      <c r="C53">
        <v>200</v>
      </c>
      <c r="D53">
        <v>0.38406287845759102</v>
      </c>
      <c r="E53">
        <v>9.1533159948151005E-2</v>
      </c>
      <c r="F53">
        <v>2.5888030280099601</v>
      </c>
      <c r="G53">
        <v>-1.4884996742476246</v>
      </c>
      <c r="H53">
        <v>-1.2899545536773751</v>
      </c>
      <c r="I53">
        <v>0.19236072331565099</v>
      </c>
      <c r="J53">
        <v>0.111392524578292</v>
      </c>
      <c r="K53">
        <v>3.5357328834134297E-2</v>
      </c>
      <c r="L53">
        <v>3.0331570013906035E-5</v>
      </c>
      <c r="M53">
        <v>1.770081301797918E-6</v>
      </c>
      <c r="N53" s="1">
        <v>-1.1183862735226599E-9</v>
      </c>
      <c r="O53" s="1">
        <v>3.0461808138240602E-13</v>
      </c>
      <c r="P53" s="1">
        <v>4.0304601907234298E-12</v>
      </c>
      <c r="Q53">
        <v>63.329092132896797</v>
      </c>
      <c r="S53">
        <v>22.815630570214498</v>
      </c>
      <c r="AA53">
        <v>4.0461509487363703</v>
      </c>
      <c r="AB53">
        <v>8.6045508787486291</v>
      </c>
      <c r="AC53">
        <v>1.20457546940357</v>
      </c>
      <c r="AJ53">
        <v>0.73966893406286205</v>
      </c>
      <c r="AK53">
        <v>0.19220383246646799</v>
      </c>
      <c r="AL53">
        <v>6.8127233470669304E-2</v>
      </c>
    </row>
    <row r="54" spans="1:38" x14ac:dyDescent="0.2">
      <c r="A54">
        <v>65</v>
      </c>
      <c r="B54">
        <v>758</v>
      </c>
      <c r="C54">
        <v>200</v>
      </c>
      <c r="D54">
        <v>0.383397662803666</v>
      </c>
      <c r="E54">
        <v>0.47505887059465302</v>
      </c>
      <c r="F54">
        <v>2.5883165455396901</v>
      </c>
      <c r="G54">
        <v>-7.7237135171161517</v>
      </c>
      <c r="H54">
        <v>-6.6947157136510205</v>
      </c>
      <c r="I54">
        <v>0.99791281914864904</v>
      </c>
      <c r="J54">
        <v>0.57832886891630797</v>
      </c>
      <c r="K54">
        <v>0.183539710941962</v>
      </c>
      <c r="L54">
        <v>3.0394923660380024E-5</v>
      </c>
      <c r="M54">
        <v>1.771649450048407E-6</v>
      </c>
      <c r="N54" s="1">
        <v>-6.00218681477318E-9</v>
      </c>
      <c r="O54" s="1">
        <v>1.5812305722613101E-12</v>
      </c>
      <c r="P54" s="1">
        <v>2.1487869232337501E-11</v>
      </c>
      <c r="Q54">
        <v>63.390414822460897</v>
      </c>
      <c r="S54">
        <v>22.769174750834999</v>
      </c>
      <c r="AA54">
        <v>3.9935156108038399</v>
      </c>
      <c r="AB54">
        <v>8.6194152342791792</v>
      </c>
      <c r="AC54">
        <v>1.2274795816209001</v>
      </c>
      <c r="AJ54">
        <v>0.74089274774717395</v>
      </c>
      <c r="AK54">
        <v>0.189689685909846</v>
      </c>
      <c r="AL54">
        <v>6.9417566342978895E-2</v>
      </c>
    </row>
    <row r="55" spans="1:38" x14ac:dyDescent="0.2">
      <c r="A55">
        <v>66</v>
      </c>
      <c r="B55">
        <v>757</v>
      </c>
      <c r="C55">
        <v>200</v>
      </c>
      <c r="D55">
        <v>0.38273115565694399</v>
      </c>
      <c r="E55">
        <v>1.3014321754931599</v>
      </c>
      <c r="F55">
        <v>2.5873514911328401</v>
      </c>
      <c r="G55">
        <v>-21.152453239293514</v>
      </c>
      <c r="H55">
        <v>-18.337265926246005</v>
      </c>
      <c r="I55">
        <v>2.7327935864170398</v>
      </c>
      <c r="J55">
        <v>1.5848954503244701</v>
      </c>
      <c r="K55">
        <v>0.50299782613739497</v>
      </c>
      <c r="L55">
        <v>3.0472705338999544E-5</v>
      </c>
      <c r="M55">
        <v>1.7741077853866079E-6</v>
      </c>
      <c r="N55" s="1">
        <v>-1.70030789011002E-8</v>
      </c>
      <c r="O55" s="1">
        <v>4.3367049194515696E-12</v>
      </c>
      <c r="P55" s="1">
        <v>6.0475402515282394E-11</v>
      </c>
      <c r="Q55">
        <v>63.493823568431502</v>
      </c>
      <c r="S55">
        <v>22.6867481725894</v>
      </c>
      <c r="AA55">
        <v>3.9013838225864501</v>
      </c>
      <c r="AB55">
        <v>8.6337640890620797</v>
      </c>
      <c r="AC55">
        <v>1.2842803473304101</v>
      </c>
      <c r="AJ55">
        <v>0.74207460918214396</v>
      </c>
      <c r="AK55">
        <v>0.185300616160473</v>
      </c>
      <c r="AL55">
        <v>7.2624774657381305E-2</v>
      </c>
    </row>
    <row r="56" spans="1:38" x14ac:dyDescent="0.2">
      <c r="A56">
        <v>67</v>
      </c>
      <c r="B56">
        <v>756</v>
      </c>
      <c r="C56">
        <v>200</v>
      </c>
      <c r="D56">
        <v>0.38206335325268598</v>
      </c>
      <c r="E56">
        <v>2.1325713673817801</v>
      </c>
      <c r="F56">
        <v>2.58637043465392</v>
      </c>
      <c r="G56">
        <v>-34.649569838755262</v>
      </c>
      <c r="H56">
        <v>-30.042717226612826</v>
      </c>
      <c r="I56">
        <v>4.4763665278554496</v>
      </c>
      <c r="J56">
        <v>2.5979582222239901</v>
      </c>
      <c r="K56">
        <v>0.82454212235345703</v>
      </c>
      <c r="L56">
        <v>3.0548963462435565E-5</v>
      </c>
      <c r="M56">
        <v>1.7765151358338017E-6</v>
      </c>
      <c r="N56" s="1">
        <v>-2.8798293309279799E-8</v>
      </c>
      <c r="O56" s="1">
        <v>7.1142496793178102E-12</v>
      </c>
      <c r="P56" s="1">
        <v>1.01785461369913E-10</v>
      </c>
      <c r="Q56">
        <v>63.595904511545001</v>
      </c>
      <c r="S56">
        <v>22.604278930606299</v>
      </c>
      <c r="AA56">
        <v>3.8095266609932201</v>
      </c>
      <c r="AB56">
        <v>8.6450421578372207</v>
      </c>
      <c r="AC56">
        <v>1.3452477390181601</v>
      </c>
      <c r="AJ56">
        <v>0.74300373680492804</v>
      </c>
      <c r="AK56">
        <v>0.18092796154486401</v>
      </c>
      <c r="AL56">
        <v>7.6068301650207101E-2</v>
      </c>
    </row>
    <row r="57" spans="1:38" x14ac:dyDescent="0.2">
      <c r="A57">
        <v>68</v>
      </c>
      <c r="B57">
        <v>755</v>
      </c>
      <c r="C57">
        <v>200</v>
      </c>
      <c r="D57">
        <v>0.38139425181150599</v>
      </c>
      <c r="E57">
        <v>2.9701726360824598</v>
      </c>
      <c r="F57">
        <v>2.5853684461574802</v>
      </c>
      <c r="G57">
        <v>-48.241942651881125</v>
      </c>
      <c r="H57">
        <v>-41.834369510985113</v>
      </c>
      <c r="I57">
        <v>6.2321384437056997</v>
      </c>
      <c r="J57">
        <v>3.6195693525999602</v>
      </c>
      <c r="K57">
        <v>1.14883920723055</v>
      </c>
      <c r="L57">
        <v>3.0623531204652607E-5</v>
      </c>
      <c r="M57">
        <v>1.7788726206209768E-6</v>
      </c>
      <c r="N57" s="1">
        <v>-4.1438482489752E-8</v>
      </c>
      <c r="O57" s="1">
        <v>9.9196239027208304E-12</v>
      </c>
      <c r="P57" s="1">
        <v>1.45575599903542E-10</v>
      </c>
      <c r="Q57">
        <v>63.696824379999399</v>
      </c>
      <c r="S57">
        <v>22.521513545331501</v>
      </c>
      <c r="AA57">
        <v>3.7176960990509298</v>
      </c>
      <c r="AB57">
        <v>8.6529564558488605</v>
      </c>
      <c r="AC57">
        <v>1.4110095197691199</v>
      </c>
      <c r="AJ57">
        <v>0.74365612236176704</v>
      </c>
      <c r="AK57">
        <v>0.176559998139666</v>
      </c>
      <c r="AL57">
        <v>7.9783879498565705E-2</v>
      </c>
    </row>
    <row r="58" spans="1:38" x14ac:dyDescent="0.2">
      <c r="A58">
        <v>69</v>
      </c>
      <c r="B58">
        <v>754</v>
      </c>
      <c r="C58">
        <v>200</v>
      </c>
      <c r="D58">
        <v>0.38072384753930699</v>
      </c>
      <c r="E58">
        <v>3.8163903529319101</v>
      </c>
      <c r="F58">
        <v>2.5843391947333298</v>
      </c>
      <c r="G58">
        <v>-61.963706575045315</v>
      </c>
      <c r="H58">
        <v>-53.74181352181634</v>
      </c>
      <c r="I58">
        <v>8.0045690047500102</v>
      </c>
      <c r="J58">
        <v>4.6523324654923499</v>
      </c>
      <c r="K58">
        <v>1.47673740378561</v>
      </c>
      <c r="L58">
        <v>3.0696194917645344E-5</v>
      </c>
      <c r="M58">
        <v>1.7811818214470843E-6</v>
      </c>
      <c r="N58" s="1">
        <v>-5.4981885170713199E-8</v>
      </c>
      <c r="O58" s="1">
        <v>1.2760288681973801E-11</v>
      </c>
      <c r="P58" s="1">
        <v>1.9202874665623301E-10</v>
      </c>
      <c r="Q58">
        <v>63.796803559831602</v>
      </c>
      <c r="S58">
        <v>22.438123542147199</v>
      </c>
      <c r="AA58">
        <v>3.62556971776762</v>
      </c>
      <c r="AB58">
        <v>8.6571369626476908</v>
      </c>
      <c r="AC58">
        <v>1.4823662176057399</v>
      </c>
      <c r="AJ58">
        <v>0.744001404583153</v>
      </c>
      <c r="AK58">
        <v>0.17218151235297099</v>
      </c>
      <c r="AL58">
        <v>8.3817083063875295E-2</v>
      </c>
    </row>
    <row r="59" spans="1:38" x14ac:dyDescent="0.2">
      <c r="A59">
        <v>70</v>
      </c>
      <c r="B59">
        <v>753</v>
      </c>
      <c r="C59">
        <v>200</v>
      </c>
      <c r="D59">
        <v>0.380052136627202</v>
      </c>
      <c r="E59">
        <v>4.6740388402844202</v>
      </c>
      <c r="F59">
        <v>2.5832743618392602</v>
      </c>
      <c r="G59">
        <v>-75.859451921280183</v>
      </c>
      <c r="H59">
        <v>-65.803704716986488</v>
      </c>
      <c r="I59">
        <v>9.7994905270123294</v>
      </c>
      <c r="J59">
        <v>5.69964523697681</v>
      </c>
      <c r="K59">
        <v>1.80934666070721</v>
      </c>
      <c r="L59">
        <v>3.0766673789177017E-5</v>
      </c>
      <c r="M59">
        <v>1.7834449501608557E-6</v>
      </c>
      <c r="N59" s="1">
        <v>-6.9497113596300994E-8</v>
      </c>
      <c r="O59" s="1">
        <v>1.5646155974837502E-11</v>
      </c>
      <c r="P59" s="1">
        <v>2.4136286753166399E-10</v>
      </c>
      <c r="Q59">
        <v>63.896137664801103</v>
      </c>
      <c r="S59">
        <v>22.3536744639818</v>
      </c>
      <c r="AA59">
        <v>3.5327201081813899</v>
      </c>
      <c r="AB59">
        <v>8.6571034519504</v>
      </c>
      <c r="AC59">
        <v>1.5603643110852199</v>
      </c>
      <c r="AJ59">
        <v>0.74400013334401804</v>
      </c>
      <c r="AK59">
        <v>0.16777236503947601</v>
      </c>
      <c r="AL59">
        <v>8.8227501616504694E-2</v>
      </c>
    </row>
    <row r="60" spans="1:38" x14ac:dyDescent="0.2">
      <c r="A60">
        <v>71</v>
      </c>
      <c r="B60">
        <v>752</v>
      </c>
      <c r="C60">
        <v>200</v>
      </c>
      <c r="D60">
        <v>0.37937911525142798</v>
      </c>
      <c r="E60">
        <v>5.9682960645362604</v>
      </c>
      <c r="F60">
        <v>2.5816360933559999</v>
      </c>
      <c r="G60">
        <v>-96.813530988201407</v>
      </c>
      <c r="H60">
        <v>-83.990221697198407</v>
      </c>
      <c r="I60">
        <v>12.5087151060849</v>
      </c>
      <c r="J60">
        <v>7.27994891176637</v>
      </c>
      <c r="K60">
        <v>2.3118270153938498</v>
      </c>
      <c r="L60">
        <v>3.0846641581162277E-5</v>
      </c>
      <c r="M60">
        <v>1.7865508240888519E-6</v>
      </c>
      <c r="N60" s="1">
        <v>-9.1506000845941703E-8</v>
      </c>
      <c r="O60" s="1">
        <v>2.00243487416522E-11</v>
      </c>
      <c r="P60" s="1">
        <v>3.1608296516910899E-10</v>
      </c>
      <c r="Q60">
        <v>64.038667203501603</v>
      </c>
      <c r="S60">
        <v>22.229759366491301</v>
      </c>
      <c r="AA60">
        <v>3.3972315646104501</v>
      </c>
      <c r="AB60">
        <v>8.6498633486829295</v>
      </c>
      <c r="AC60">
        <v>1.6844785167135901</v>
      </c>
      <c r="AJ60">
        <v>0.74340685319108202</v>
      </c>
      <c r="AK60">
        <v>0.161344161654668</v>
      </c>
      <c r="AL60">
        <v>9.5248985154248803E-2</v>
      </c>
    </row>
    <row r="61" spans="1:38" x14ac:dyDescent="0.2">
      <c r="A61">
        <v>72</v>
      </c>
      <c r="B61">
        <v>751</v>
      </c>
      <c r="C61">
        <v>200</v>
      </c>
      <c r="D61">
        <v>0.378704779573308</v>
      </c>
      <c r="E61">
        <v>14.891281313115901</v>
      </c>
      <c r="F61">
        <v>2.5835189964835998</v>
      </c>
      <c r="G61">
        <v>-241.575177253194</v>
      </c>
      <c r="H61">
        <v>-209.64093263512476</v>
      </c>
      <c r="I61">
        <v>31.1812181985736</v>
      </c>
      <c r="J61">
        <v>18.164019036249101</v>
      </c>
      <c r="K61">
        <v>5.7639527069025904</v>
      </c>
      <c r="L61">
        <v>3.077993638394625E-5</v>
      </c>
      <c r="M61">
        <v>1.7821670392526066E-6</v>
      </c>
      <c r="N61" s="1">
        <v>-2.3364860323999399E-7</v>
      </c>
      <c r="O61" s="1">
        <v>4.9727697794071798E-11</v>
      </c>
      <c r="P61" s="1">
        <v>8.0398583130365502E-10</v>
      </c>
      <c r="Q61">
        <v>63.838779731301003</v>
      </c>
      <c r="S61">
        <v>22.376654412379501</v>
      </c>
      <c r="AA61">
        <v>3.5650624905544102</v>
      </c>
      <c r="AB61">
        <v>8.5895292948766802</v>
      </c>
      <c r="AC61">
        <v>1.6299740708882999</v>
      </c>
      <c r="AJ61">
        <v>0.73844047636833798</v>
      </c>
      <c r="AK61">
        <v>0.169365155713149</v>
      </c>
      <c r="AL61">
        <v>9.2194367918511697E-2</v>
      </c>
    </row>
    <row r="62" spans="1:38" x14ac:dyDescent="0.2">
      <c r="A62">
        <v>72</v>
      </c>
      <c r="B62">
        <v>751</v>
      </c>
      <c r="C62">
        <v>200</v>
      </c>
      <c r="D62">
        <v>0.378704779573308</v>
      </c>
      <c r="E62">
        <v>21.664307351087199</v>
      </c>
      <c r="F62">
        <v>2.5222256411239101</v>
      </c>
      <c r="G62">
        <v>-341.6913996636215</v>
      </c>
      <c r="H62">
        <v>-295.97711760869942</v>
      </c>
      <c r="I62">
        <v>44.636315046547899</v>
      </c>
      <c r="J62">
        <v>25.7007162271072</v>
      </c>
      <c r="K62">
        <v>8.5893613156012005</v>
      </c>
      <c r="L62">
        <v>2.8180025714916207E-5</v>
      </c>
      <c r="M62">
        <v>1.7914151306919007E-6</v>
      </c>
      <c r="N62" s="1">
        <v>-1.34961114765324E-7</v>
      </c>
      <c r="O62" s="1">
        <v>8.22378173121352E-11</v>
      </c>
      <c r="P62" s="1">
        <v>5.6294264659462702E-10</v>
      </c>
      <c r="Q62">
        <v>65.819277605045798</v>
      </c>
      <c r="S62">
        <v>18.9936658040087</v>
      </c>
      <c r="AA62">
        <v>0.31194014591784502</v>
      </c>
      <c r="AB62">
        <v>4.1340181610959101</v>
      </c>
      <c r="AC62">
        <v>10.741098283931599</v>
      </c>
      <c r="AJ62">
        <v>0.36348600904452</v>
      </c>
      <c r="AK62">
        <v>1.51564461275468E-2</v>
      </c>
      <c r="AL62">
        <v>0.62135754482793204</v>
      </c>
    </row>
    <row r="63" spans="1:38" x14ac:dyDescent="0.2">
      <c r="A63">
        <v>73</v>
      </c>
      <c r="B63">
        <v>750</v>
      </c>
      <c r="C63">
        <v>200</v>
      </c>
      <c r="D63">
        <v>0.37802912573913899</v>
      </c>
      <c r="E63">
        <v>17.958404231829402</v>
      </c>
      <c r="F63">
        <v>2.5844310849252898</v>
      </c>
      <c r="G63">
        <v>-291.32813601175172</v>
      </c>
      <c r="H63">
        <v>-252.88199176531376</v>
      </c>
      <c r="I63">
        <v>37.576253967099603</v>
      </c>
      <c r="J63">
        <v>21.910409100993601</v>
      </c>
      <c r="K63">
        <v>6.9486875995954396</v>
      </c>
      <c r="L63">
        <v>3.0777772373120431E-5</v>
      </c>
      <c r="M63">
        <v>1.780370646179089E-6</v>
      </c>
      <c r="N63" s="1">
        <v>-2.8993240338460699E-7</v>
      </c>
      <c r="O63" s="1">
        <v>5.9796379150646598E-11</v>
      </c>
      <c r="P63" s="1">
        <v>9.9301035361074902E-10</v>
      </c>
      <c r="Q63">
        <v>63.750582529036599</v>
      </c>
      <c r="S63">
        <v>22.443297333347498</v>
      </c>
      <c r="AA63">
        <v>3.6406231941373601</v>
      </c>
      <c r="AB63">
        <v>8.5676996400639904</v>
      </c>
      <c r="AC63">
        <v>1.5977973034144299</v>
      </c>
      <c r="AJ63">
        <v>0.73664261486302895</v>
      </c>
      <c r="AK63">
        <v>0.17297332280312999</v>
      </c>
      <c r="AL63">
        <v>9.0384062333839499E-2</v>
      </c>
    </row>
    <row r="64" spans="1:38" x14ac:dyDescent="0.2">
      <c r="A64">
        <v>73</v>
      </c>
      <c r="B64">
        <v>750</v>
      </c>
      <c r="C64">
        <v>200</v>
      </c>
      <c r="D64">
        <v>0.37802912573913899</v>
      </c>
      <c r="E64">
        <v>29.222816934388899</v>
      </c>
      <c r="F64">
        <v>2.5222342665709099</v>
      </c>
      <c r="G64">
        <v>-460.74976521724983</v>
      </c>
      <c r="H64">
        <v>-399.1978397990182</v>
      </c>
      <c r="I64">
        <v>60.159239034580999</v>
      </c>
      <c r="J64">
        <v>34.662311429385298</v>
      </c>
      <c r="K64">
        <v>11.5860835457281</v>
      </c>
      <c r="L64">
        <v>2.8161256875445082E-5</v>
      </c>
      <c r="M64">
        <v>1.791060209179159E-6</v>
      </c>
      <c r="N64" s="1">
        <v>-1.8613843502487001E-7</v>
      </c>
      <c r="O64" s="1">
        <v>1.1093129891002299E-10</v>
      </c>
      <c r="P64" s="1">
        <v>7.7095678030760802E-10</v>
      </c>
      <c r="Q64">
        <v>65.805692939286303</v>
      </c>
      <c r="S64">
        <v>18.9875710207689</v>
      </c>
      <c r="AA64">
        <v>0.31008168338012199</v>
      </c>
      <c r="AB64">
        <v>4.0877671951924297</v>
      </c>
      <c r="AC64">
        <v>10.8088871613721</v>
      </c>
      <c r="AJ64">
        <v>0.359504010592193</v>
      </c>
      <c r="AK64">
        <v>1.5069695917671501E-2</v>
      </c>
      <c r="AL64">
        <v>0.62542629349013401</v>
      </c>
    </row>
    <row r="65" spans="1:38" x14ac:dyDescent="0.2">
      <c r="A65">
        <v>74</v>
      </c>
      <c r="B65">
        <v>749</v>
      </c>
      <c r="C65">
        <v>200</v>
      </c>
      <c r="D65">
        <v>0.37735214988015597</v>
      </c>
      <c r="E65">
        <v>19.039608424557301</v>
      </c>
      <c r="F65">
        <v>2.5848325176904901</v>
      </c>
      <c r="G65">
        <v>-308.8449926265838</v>
      </c>
      <c r="H65">
        <v>-268.14948501851819</v>
      </c>
      <c r="I65">
        <v>39.813635579969201</v>
      </c>
      <c r="J65">
        <v>23.2375622140448</v>
      </c>
      <c r="K65">
        <v>7.3658963566308504</v>
      </c>
      <c r="L65">
        <v>3.0806924496014746E-5</v>
      </c>
      <c r="M65">
        <v>1.7798658101734183E-6</v>
      </c>
      <c r="N65" s="1">
        <v>-3.1704107875015099E-7</v>
      </c>
      <c r="O65" s="1">
        <v>6.3272828914770001E-11</v>
      </c>
      <c r="P65" s="1">
        <v>1.0804793320788901E-9</v>
      </c>
      <c r="Q65">
        <v>63.718680239384099</v>
      </c>
      <c r="S65">
        <v>22.4683724734363</v>
      </c>
      <c r="AA65">
        <v>3.6687544046176201</v>
      </c>
      <c r="AB65">
        <v>8.5623448378391291</v>
      </c>
      <c r="AC65">
        <v>1.5818480447227501</v>
      </c>
      <c r="AJ65">
        <v>0.73620138974715998</v>
      </c>
      <c r="AK65">
        <v>0.17431443345977399</v>
      </c>
      <c r="AL65">
        <v>8.9484176793065404E-2</v>
      </c>
    </row>
    <row r="66" spans="1:38" x14ac:dyDescent="0.2">
      <c r="A66">
        <v>74</v>
      </c>
      <c r="B66">
        <v>749</v>
      </c>
      <c r="C66">
        <v>200</v>
      </c>
      <c r="D66">
        <v>0.37735214988015597</v>
      </c>
      <c r="E66">
        <v>31.8541172666508</v>
      </c>
      <c r="F66">
        <v>2.5222558865776898</v>
      </c>
      <c r="G66">
        <v>-502.11843338229045</v>
      </c>
      <c r="H66">
        <v>-435.13678541145458</v>
      </c>
      <c r="I66">
        <v>65.530155036771404</v>
      </c>
      <c r="J66">
        <v>37.783439880064101</v>
      </c>
      <c r="K66">
        <v>12.629217136993899</v>
      </c>
      <c r="L66">
        <v>2.8161200270325294E-5</v>
      </c>
      <c r="M66">
        <v>1.790972568056861E-6</v>
      </c>
      <c r="N66" s="1">
        <v>-2.0912760307447901E-7</v>
      </c>
      <c r="O66" s="1">
        <v>1.2089028382008901E-10</v>
      </c>
      <c r="P66" s="1">
        <v>8.5820168038571404E-10</v>
      </c>
      <c r="Q66">
        <v>65.800439981168793</v>
      </c>
      <c r="S66">
        <v>18.983342861601098</v>
      </c>
      <c r="AA66">
        <v>0.30781911473795898</v>
      </c>
      <c r="AB66">
        <v>4.0649765907233197</v>
      </c>
      <c r="AC66">
        <v>10.8434214517687</v>
      </c>
      <c r="AJ66">
        <v>0.35754116359034099</v>
      </c>
      <c r="AK66">
        <v>1.49614737668975E-2</v>
      </c>
      <c r="AL66">
        <v>0.62749736264276001</v>
      </c>
    </row>
    <row r="67" spans="1:38" x14ac:dyDescent="0.2">
      <c r="A67">
        <v>75</v>
      </c>
      <c r="B67">
        <v>748</v>
      </c>
      <c r="C67">
        <v>200</v>
      </c>
      <c r="D67">
        <v>0.37667384811242399</v>
      </c>
      <c r="E67">
        <v>19.6152077368886</v>
      </c>
      <c r="F67">
        <v>2.5850906901438901</v>
      </c>
      <c r="G67">
        <v>-318.15296309379733</v>
      </c>
      <c r="H67">
        <v>-276.29324094460452</v>
      </c>
      <c r="I67">
        <v>40.992725994411103</v>
      </c>
      <c r="J67">
        <v>23.949325243004399</v>
      </c>
      <c r="K67">
        <v>7.5878218940925297</v>
      </c>
      <c r="L67">
        <v>3.0845997556402493E-5</v>
      </c>
      <c r="M67">
        <v>1.7797294049992689E-6</v>
      </c>
      <c r="N67" s="1">
        <v>-3.3712307311007598E-7</v>
      </c>
      <c r="O67" s="1">
        <v>6.50737250813844E-11</v>
      </c>
      <c r="P67" s="1">
        <v>1.14322326793028E-9</v>
      </c>
      <c r="Q67">
        <v>63.702668861836898</v>
      </c>
      <c r="S67">
        <v>22.481734628098099</v>
      </c>
      <c r="AA67">
        <v>3.6835143550921998</v>
      </c>
      <c r="AB67">
        <v>8.5616949671154305</v>
      </c>
      <c r="AC67">
        <v>1.5703871878573099</v>
      </c>
      <c r="AJ67">
        <v>0.73614766052968605</v>
      </c>
      <c r="AK67">
        <v>0.17501623718930201</v>
      </c>
      <c r="AL67">
        <v>8.8836102281010895E-2</v>
      </c>
    </row>
    <row r="68" spans="1:38" x14ac:dyDescent="0.2">
      <c r="A68">
        <v>75</v>
      </c>
      <c r="B68">
        <v>748</v>
      </c>
      <c r="C68">
        <v>200</v>
      </c>
      <c r="D68">
        <v>0.37667384811242399</v>
      </c>
      <c r="E68">
        <v>33.218371103676802</v>
      </c>
      <c r="F68">
        <v>2.5222811472451601</v>
      </c>
      <c r="G68">
        <v>-523.51444824990381</v>
      </c>
      <c r="H68">
        <v>-453.77878848240448</v>
      </c>
      <c r="I68">
        <v>68.291298797923304</v>
      </c>
      <c r="J68">
        <v>39.4034955406986</v>
      </c>
      <c r="K68">
        <v>13.169971610800699</v>
      </c>
      <c r="L68">
        <v>2.8166723389092711E-5</v>
      </c>
      <c r="M68">
        <v>1.7909600008674685E-6</v>
      </c>
      <c r="N68" s="1">
        <v>-2.2526686649603E-7</v>
      </c>
      <c r="O68" s="1">
        <v>1.26026560457403E-10</v>
      </c>
      <c r="P68" s="1">
        <v>9.1553211715781401E-10</v>
      </c>
      <c r="Q68">
        <v>65.797491083724594</v>
      </c>
      <c r="S68">
        <v>18.9796454026948</v>
      </c>
      <c r="AA68">
        <v>0.30545675818592899</v>
      </c>
      <c r="AB68">
        <v>4.0487117616573496</v>
      </c>
      <c r="AC68">
        <v>10.868694993737099</v>
      </c>
      <c r="AJ68">
        <v>0.35614007792387198</v>
      </c>
      <c r="AK68">
        <v>1.4847882384395199E-2</v>
      </c>
      <c r="AL68">
        <v>0.62901203969173103</v>
      </c>
    </row>
    <row r="69" spans="1:38" x14ac:dyDescent="0.2">
      <c r="A69">
        <v>76</v>
      </c>
      <c r="B69">
        <v>747</v>
      </c>
      <c r="C69">
        <v>200</v>
      </c>
      <c r="D69">
        <v>0.375994216536785</v>
      </c>
      <c r="E69">
        <v>19.9862595401537</v>
      </c>
      <c r="F69">
        <v>2.5852874688733598</v>
      </c>
      <c r="G69">
        <v>-324.13949974448997</v>
      </c>
      <c r="H69">
        <v>-281.55472219100551</v>
      </c>
      <c r="I69">
        <v>41.743643144130097</v>
      </c>
      <c r="J69">
        <v>24.412446479341899</v>
      </c>
      <c r="K69">
        <v>7.7307687368567501</v>
      </c>
      <c r="L69">
        <v>3.0890201285768121E-5</v>
      </c>
      <c r="M69">
        <v>1.7797540457206261E-6</v>
      </c>
      <c r="N69" s="1">
        <v>-3.5465870346628998E-7</v>
      </c>
      <c r="O69" s="1">
        <v>6.6195642224701797E-11</v>
      </c>
      <c r="P69" s="1">
        <v>1.1967969232265E-9</v>
      </c>
      <c r="Q69">
        <v>63.693489436370598</v>
      </c>
      <c r="S69">
        <v>22.4900632402274</v>
      </c>
      <c r="AA69">
        <v>3.6925274388188298</v>
      </c>
      <c r="AB69">
        <v>8.5630736491353296</v>
      </c>
      <c r="AC69">
        <v>1.5608462354477699</v>
      </c>
      <c r="AJ69">
        <v>0.73626100674292605</v>
      </c>
      <c r="AK69">
        <v>0.17544324140089901</v>
      </c>
      <c r="AL69">
        <v>8.8295751856174096E-2</v>
      </c>
    </row>
    <row r="70" spans="1:38" x14ac:dyDescent="0.2">
      <c r="A70">
        <v>76</v>
      </c>
      <c r="B70">
        <v>747</v>
      </c>
      <c r="C70">
        <v>200</v>
      </c>
      <c r="D70">
        <v>0.375994216536785</v>
      </c>
      <c r="E70">
        <v>34.065340725332497</v>
      </c>
      <c r="F70">
        <v>2.52230814200556</v>
      </c>
      <c r="G70">
        <v>-536.75742185161823</v>
      </c>
      <c r="H70">
        <v>-465.36011389280617</v>
      </c>
      <c r="I70">
        <v>69.987068527973193</v>
      </c>
      <c r="J70">
        <v>40.411009908773899</v>
      </c>
      <c r="K70">
        <v>13.505622155366799</v>
      </c>
      <c r="L70">
        <v>2.8174941368038698E-5</v>
      </c>
      <c r="M70">
        <v>1.7909802020113753E-6</v>
      </c>
      <c r="N70" s="1">
        <v>-2.38825668020412E-7</v>
      </c>
      <c r="O70" s="1">
        <v>1.29191830906334E-10</v>
      </c>
      <c r="P70" s="1">
        <v>9.612589388124479E-10</v>
      </c>
      <c r="Q70">
        <v>65.7955146677958</v>
      </c>
      <c r="S70">
        <v>18.976183240553901</v>
      </c>
      <c r="AA70">
        <v>0.30306160860760301</v>
      </c>
      <c r="AB70">
        <v>4.0352309165670697</v>
      </c>
      <c r="AC70">
        <v>10.890009566475401</v>
      </c>
      <c r="AJ70">
        <v>0.35497863773406402</v>
      </c>
      <c r="AK70">
        <v>1.47324691553557E-2</v>
      </c>
      <c r="AL70">
        <v>0.63028889311057901</v>
      </c>
    </row>
    <row r="71" spans="1:38" x14ac:dyDescent="0.2">
      <c r="A71">
        <v>77</v>
      </c>
      <c r="B71">
        <v>746</v>
      </c>
      <c r="C71">
        <v>200</v>
      </c>
      <c r="D71">
        <v>0.37531325123877901</v>
      </c>
      <c r="E71">
        <v>20.253254695354698</v>
      </c>
      <c r="F71">
        <v>2.5854516226950501</v>
      </c>
      <c r="G71">
        <v>-328.43616599572653</v>
      </c>
      <c r="H71">
        <v>-285.34988016549482</v>
      </c>
      <c r="I71">
        <v>42.2766872690298</v>
      </c>
      <c r="J71">
        <v>24.749332457847199</v>
      </c>
      <c r="K71">
        <v>7.83354618495739</v>
      </c>
      <c r="L71">
        <v>3.0937877411150434E-5</v>
      </c>
      <c r="M71">
        <v>1.779866690286478E-6</v>
      </c>
      <c r="N71" s="1">
        <v>-3.7114612960817E-7</v>
      </c>
      <c r="O71" s="1">
        <v>6.6970625306784094E-11</v>
      </c>
      <c r="P71" s="1">
        <v>1.2463984371851199E-9</v>
      </c>
      <c r="Q71">
        <v>63.687950523241703</v>
      </c>
      <c r="S71">
        <v>22.495709354127101</v>
      </c>
      <c r="AA71">
        <v>3.6984779702545101</v>
      </c>
      <c r="AB71">
        <v>8.5655324998452098</v>
      </c>
      <c r="AC71">
        <v>1.5523296525314101</v>
      </c>
      <c r="AJ71">
        <v>0.73646331370402096</v>
      </c>
      <c r="AK71">
        <v>0.17572379625223999</v>
      </c>
      <c r="AL71">
        <v>8.7812890043738198E-2</v>
      </c>
    </row>
    <row r="72" spans="1:38" x14ac:dyDescent="0.2">
      <c r="A72">
        <v>77</v>
      </c>
      <c r="B72">
        <v>746</v>
      </c>
      <c r="C72">
        <v>200</v>
      </c>
      <c r="D72">
        <v>0.37531325123877901</v>
      </c>
      <c r="E72">
        <v>34.646877287204099</v>
      </c>
      <c r="F72">
        <v>2.5223362256931798</v>
      </c>
      <c r="G72">
        <v>-545.81716838207808</v>
      </c>
      <c r="H72">
        <v>-473.31874020928791</v>
      </c>
      <c r="I72">
        <v>71.1361705075701</v>
      </c>
      <c r="J72">
        <v>41.104392561393901</v>
      </c>
      <c r="K72">
        <v>13.7360265194948</v>
      </c>
      <c r="L72">
        <v>2.8184857209293853E-5</v>
      </c>
      <c r="M72">
        <v>1.7910184159275869E-6</v>
      </c>
      <c r="N72" s="1">
        <v>-2.51223525879154E-7</v>
      </c>
      <c r="O72" s="1">
        <v>1.3134430268929901E-10</v>
      </c>
      <c r="P72" s="1">
        <v>1.0014886095817701E-9</v>
      </c>
      <c r="Q72">
        <v>65.794044696493401</v>
      </c>
      <c r="S72">
        <v>18.972852802425699</v>
      </c>
      <c r="AA72">
        <v>0.30065696075848197</v>
      </c>
      <c r="AB72">
        <v>4.0232239877966602</v>
      </c>
      <c r="AC72">
        <v>10.909221552525601</v>
      </c>
      <c r="AJ72">
        <v>0.35394405032030402</v>
      </c>
      <c r="AK72">
        <v>1.46164685919969E-2</v>
      </c>
      <c r="AL72">
        <v>0.63143948108769798</v>
      </c>
    </row>
    <row r="73" spans="1:38" x14ac:dyDescent="0.2">
      <c r="A73">
        <v>78</v>
      </c>
      <c r="B73">
        <v>745</v>
      </c>
      <c r="C73">
        <v>200</v>
      </c>
      <c r="D73">
        <v>0.37463094828856203</v>
      </c>
      <c r="E73">
        <v>20.459575183176302</v>
      </c>
      <c r="F73">
        <v>2.58559604644958</v>
      </c>
      <c r="G73">
        <v>-331.74735986009654</v>
      </c>
      <c r="H73">
        <v>-288.29003112209438</v>
      </c>
      <c r="I73">
        <v>42.682638843001598</v>
      </c>
      <c r="J73">
        <v>25.012828870942499</v>
      </c>
      <c r="K73">
        <v>7.9129047289774697</v>
      </c>
      <c r="L73">
        <v>3.0988310665549582E-5</v>
      </c>
      <c r="M73">
        <v>1.7800346234767199E-6</v>
      </c>
      <c r="N73" s="1">
        <v>-3.8723902257007998E-7</v>
      </c>
      <c r="O73" s="1">
        <v>6.7541800174143606E-11</v>
      </c>
      <c r="P73" s="1">
        <v>1.29429020396501E-9</v>
      </c>
      <c r="Q73">
        <v>63.684619813869901</v>
      </c>
      <c r="S73">
        <v>22.499727586438901</v>
      </c>
      <c r="AA73">
        <v>3.7025702285533599</v>
      </c>
      <c r="AB73">
        <v>8.5686445110069602</v>
      </c>
      <c r="AC73">
        <v>1.54443786013077</v>
      </c>
      <c r="AJ73">
        <v>0.73671940807543002</v>
      </c>
      <c r="AK73">
        <v>0.17591548927536699</v>
      </c>
      <c r="AL73">
        <v>8.7365102649200999E-2</v>
      </c>
    </row>
    <row r="74" spans="1:38" x14ac:dyDescent="0.2">
      <c r="A74">
        <v>78</v>
      </c>
      <c r="B74">
        <v>745</v>
      </c>
      <c r="C74">
        <v>200</v>
      </c>
      <c r="D74">
        <v>0.37463094828856203</v>
      </c>
      <c r="E74">
        <v>35.072352941799302</v>
      </c>
      <c r="F74">
        <v>2.5223651149185602</v>
      </c>
      <c r="G74">
        <v>-552.41755304819537</v>
      </c>
      <c r="H74">
        <v>-479.14755540821579</v>
      </c>
      <c r="I74">
        <v>71.963853695407806</v>
      </c>
      <c r="J74">
        <v>41.613222515398</v>
      </c>
      <c r="K74">
        <v>13.9045504294217</v>
      </c>
      <c r="L74">
        <v>2.8196036105625155E-5</v>
      </c>
      <c r="M74">
        <v>1.7910680809882597E-6</v>
      </c>
      <c r="N74" s="1">
        <v>-2.6307542941736202E-7</v>
      </c>
      <c r="O74" s="1">
        <v>1.3290016244866101E-10</v>
      </c>
      <c r="P74" s="1">
        <v>1.0388674266118801E-9</v>
      </c>
      <c r="Q74">
        <v>65.792872859080703</v>
      </c>
      <c r="S74">
        <v>18.969607674591899</v>
      </c>
      <c r="AA74">
        <v>0.29825312930842801</v>
      </c>
      <c r="AB74">
        <v>4.0121050864422099</v>
      </c>
      <c r="AC74">
        <v>10.927161250576599</v>
      </c>
      <c r="AJ74">
        <v>0.35298586899399298</v>
      </c>
      <c r="AK74">
        <v>1.45004279391191E-2</v>
      </c>
      <c r="AL74">
        <v>0.63251370306688603</v>
      </c>
    </row>
    <row r="75" spans="1:38" x14ac:dyDescent="0.2">
      <c r="A75">
        <v>80</v>
      </c>
      <c r="B75">
        <v>768</v>
      </c>
      <c r="C75">
        <v>175</v>
      </c>
      <c r="D75">
        <v>0.416405417086878</v>
      </c>
      <c r="E75">
        <v>0.18225999229901901</v>
      </c>
      <c r="F75">
        <v>2.5869248629328001</v>
      </c>
      <c r="G75">
        <v>-2.9691550033416583</v>
      </c>
      <c r="H75">
        <v>-2.5683020361926507</v>
      </c>
      <c r="I75">
        <v>0.38500981333045903</v>
      </c>
      <c r="J75">
        <v>0.22133165910046701</v>
      </c>
      <c r="K75">
        <v>7.0454304611070398E-2</v>
      </c>
      <c r="L75">
        <v>3.0046798931374511E-5</v>
      </c>
      <c r="M75">
        <v>1.7702866293125754E-6</v>
      </c>
      <c r="N75" s="1">
        <v>-1.6449804658236499E-9</v>
      </c>
      <c r="O75" s="1">
        <v>6.1162634581846297E-13</v>
      </c>
      <c r="P75" s="1">
        <v>6.3377435481489996E-12</v>
      </c>
      <c r="Q75">
        <v>63.337185133621297</v>
      </c>
      <c r="S75">
        <v>22.8116134901314</v>
      </c>
      <c r="AA75">
        <v>4.0409484254555403</v>
      </c>
      <c r="AB75">
        <v>8.6120543992397796</v>
      </c>
      <c r="AC75">
        <v>1.19819855155192</v>
      </c>
      <c r="AJ75">
        <v>0.74028639694544396</v>
      </c>
      <c r="AK75">
        <v>0.191949551894735</v>
      </c>
      <c r="AL75">
        <v>6.7764051159820496E-2</v>
      </c>
    </row>
    <row r="76" spans="1:38" x14ac:dyDescent="0.2">
      <c r="A76">
        <v>81</v>
      </c>
      <c r="B76">
        <v>767</v>
      </c>
      <c r="C76">
        <v>175</v>
      </c>
      <c r="D76">
        <v>0.41577705138682203</v>
      </c>
      <c r="E76">
        <v>0.49532981387463298</v>
      </c>
      <c r="F76">
        <v>2.58652423226749</v>
      </c>
      <c r="G76">
        <v>-8.067741175745514</v>
      </c>
      <c r="H76">
        <v>-6.9798759849070597</v>
      </c>
      <c r="I76">
        <v>1.0458733748386799</v>
      </c>
      <c r="J76">
        <v>0.60166409344457805</v>
      </c>
      <c r="K76">
        <v>0.191504029885078</v>
      </c>
      <c r="L76">
        <v>3.0097852797153881E-5</v>
      </c>
      <c r="M76">
        <v>1.771644388227887E-6</v>
      </c>
      <c r="N76" s="1">
        <v>-4.6228877757028501E-9</v>
      </c>
      <c r="O76" s="1">
        <v>1.6626226604835E-12</v>
      </c>
      <c r="P76" s="1">
        <v>1.76655544515653E-11</v>
      </c>
      <c r="Q76">
        <v>63.390090773287902</v>
      </c>
      <c r="S76">
        <v>22.772004083948101</v>
      </c>
      <c r="AA76">
        <v>3.99592545203669</v>
      </c>
      <c r="AB76">
        <v>8.6261105726663505</v>
      </c>
      <c r="AC76">
        <v>1.2158691180607799</v>
      </c>
      <c r="AJ76">
        <v>0.74144351456553603</v>
      </c>
      <c r="AK76">
        <v>0.18979781906430801</v>
      </c>
      <c r="AL76">
        <v>6.8758666370155097E-2</v>
      </c>
    </row>
    <row r="77" spans="1:38" x14ac:dyDescent="0.2">
      <c r="A77">
        <v>82</v>
      </c>
      <c r="B77">
        <v>766</v>
      </c>
      <c r="C77">
        <v>175</v>
      </c>
      <c r="D77">
        <v>0.41514747630275201</v>
      </c>
      <c r="E77">
        <v>0.80877576631578996</v>
      </c>
      <c r="F77">
        <v>2.58612773490443</v>
      </c>
      <c r="G77">
        <v>-13.170471804759966</v>
      </c>
      <c r="H77">
        <v>-11.396715843706929</v>
      </c>
      <c r="I77">
        <v>1.7069296646807799</v>
      </c>
      <c r="J77">
        <v>0.98264797104443802</v>
      </c>
      <c r="K77">
        <v>0.31273620223777299</v>
      </c>
      <c r="L77">
        <v>3.0149142933197828E-5</v>
      </c>
      <c r="M77">
        <v>1.772983294992344E-6</v>
      </c>
      <c r="N77" s="1">
        <v>-7.8043480592155208E-9</v>
      </c>
      <c r="O77" s="1">
        <v>2.7152956282466599E-12</v>
      </c>
      <c r="P77" s="1">
        <v>2.9586085252862599E-11</v>
      </c>
      <c r="Q77">
        <v>63.442191183997998</v>
      </c>
      <c r="S77">
        <v>22.732883493728099</v>
      </c>
      <c r="AA77">
        <v>3.9514936459614201</v>
      </c>
      <c r="AB77">
        <v>8.6396538311358899</v>
      </c>
      <c r="AC77">
        <v>1.2337778451764601</v>
      </c>
      <c r="AJ77">
        <v>0.74255827434793997</v>
      </c>
      <c r="AK77">
        <v>0.18767493680709199</v>
      </c>
      <c r="AL77">
        <v>6.9766788844967301E-2</v>
      </c>
    </row>
    <row r="78" spans="1:38" x14ac:dyDescent="0.2">
      <c r="A78">
        <v>83</v>
      </c>
      <c r="B78">
        <v>765</v>
      </c>
      <c r="C78">
        <v>175</v>
      </c>
      <c r="D78">
        <v>0.41451668833983701</v>
      </c>
      <c r="E78">
        <v>1.12253996221395</v>
      </c>
      <c r="F78">
        <v>2.5857353567029202</v>
      </c>
      <c r="G78">
        <v>-18.276392532070137</v>
      </c>
      <c r="H78">
        <v>-15.818001603962228</v>
      </c>
      <c r="I78">
        <v>2.3680498272002102</v>
      </c>
      <c r="J78">
        <v>1.3642209638051499</v>
      </c>
      <c r="K78">
        <v>0.43412793939025102</v>
      </c>
      <c r="L78">
        <v>3.020069036416688E-5</v>
      </c>
      <c r="M78">
        <v>1.7743034256523292E-6</v>
      </c>
      <c r="N78" s="1">
        <v>-1.11980992016168E-8</v>
      </c>
      <c r="O78" s="1">
        <v>3.7693428175835299E-12</v>
      </c>
      <c r="P78" s="1">
        <v>4.2123604640822099E-11</v>
      </c>
      <c r="Q78">
        <v>63.493486655237</v>
      </c>
      <c r="S78">
        <v>22.6942510907359</v>
      </c>
      <c r="AA78">
        <v>3.90765242096907</v>
      </c>
      <c r="AB78">
        <v>8.6526831714396693</v>
      </c>
      <c r="AC78">
        <v>1.2519266616181799</v>
      </c>
      <c r="AJ78">
        <v>0.743630610727394</v>
      </c>
      <c r="AK78">
        <v>0.18558085628983201</v>
      </c>
      <c r="AL78">
        <v>7.0788532982772406E-2</v>
      </c>
    </row>
    <row r="79" spans="1:38" x14ac:dyDescent="0.2">
      <c r="A79">
        <v>84</v>
      </c>
      <c r="B79">
        <v>764</v>
      </c>
      <c r="C79">
        <v>175</v>
      </c>
      <c r="D79">
        <v>0.41388468398978101</v>
      </c>
      <c r="E79">
        <v>1.4365644790085801</v>
      </c>
      <c r="F79">
        <v>2.5853470786559001</v>
      </c>
      <c r="G79">
        <v>-23.384549066208432</v>
      </c>
      <c r="H79">
        <v>-20.242912652266281</v>
      </c>
      <c r="I79">
        <v>3.02910515734672</v>
      </c>
      <c r="J79">
        <v>1.74632100458322</v>
      </c>
      <c r="K79">
        <v>0.55565633367703904</v>
      </c>
      <c r="L79">
        <v>3.0252517211458128E-5</v>
      </c>
      <c r="M79">
        <v>1.7756048738967663E-6</v>
      </c>
      <c r="N79" s="1">
        <v>-1.48132402607996E-8</v>
      </c>
      <c r="O79" s="1">
        <v>4.8244582208387201E-12</v>
      </c>
      <c r="P79" s="1">
        <v>5.5303374881000901E-11</v>
      </c>
      <c r="Q79">
        <v>63.543978136235502</v>
      </c>
      <c r="S79">
        <v>22.6561057776557</v>
      </c>
      <c r="AA79">
        <v>3.86440065027289</v>
      </c>
      <c r="AB79">
        <v>8.66519783213087</v>
      </c>
      <c r="AC79">
        <v>1.27031760370492</v>
      </c>
      <c r="AJ79">
        <v>0.744660477419403</v>
      </c>
      <c r="AK79">
        <v>0.183515503201932</v>
      </c>
      <c r="AL79">
        <v>7.1824019378664505E-2</v>
      </c>
    </row>
    <row r="80" spans="1:38" x14ac:dyDescent="0.2">
      <c r="A80">
        <v>85</v>
      </c>
      <c r="B80">
        <v>763</v>
      </c>
      <c r="C80">
        <v>175</v>
      </c>
      <c r="D80">
        <v>0.41325145973073701</v>
      </c>
      <c r="E80">
        <v>1.95100004659243</v>
      </c>
      <c r="F80">
        <v>2.5847471481292899</v>
      </c>
      <c r="G80">
        <v>-31.750780095307949</v>
      </c>
      <c r="H80">
        <v>-27.490062877168338</v>
      </c>
      <c r="I80">
        <v>4.1120660311148098</v>
      </c>
      <c r="J80">
        <v>2.3723194135632699</v>
      </c>
      <c r="K80">
        <v>0.75481272820223999</v>
      </c>
      <c r="L80">
        <v>3.031044330689605E-5</v>
      </c>
      <c r="M80">
        <v>1.7772816086479773E-6</v>
      </c>
      <c r="N80" s="1">
        <v>-2.0792549281821502E-8</v>
      </c>
      <c r="O80" s="1">
        <v>6.5556887980369401E-12</v>
      </c>
      <c r="P80" s="1">
        <v>7.7055808519856003E-11</v>
      </c>
      <c r="Q80">
        <v>63.612429004110901</v>
      </c>
      <c r="S80">
        <v>22.602343195929201</v>
      </c>
      <c r="AA80">
        <v>3.80407389562829</v>
      </c>
      <c r="AB80">
        <v>8.6767913233937701</v>
      </c>
      <c r="AC80">
        <v>1.3043625809377299</v>
      </c>
      <c r="AJ80">
        <v>0.74561475038158997</v>
      </c>
      <c r="AK80">
        <v>0.18064047776523301</v>
      </c>
      <c r="AL80">
        <v>7.3744771853175406E-2</v>
      </c>
    </row>
    <row r="81" spans="1:38" x14ac:dyDescent="0.2">
      <c r="A81">
        <v>86</v>
      </c>
      <c r="B81">
        <v>762</v>
      </c>
      <c r="C81">
        <v>175</v>
      </c>
      <c r="D81">
        <v>0.41261701202724399</v>
      </c>
      <c r="E81">
        <v>2.7650296459677901</v>
      </c>
      <c r="F81">
        <v>2.5838182037046802</v>
      </c>
      <c r="G81">
        <v>-44.983606503684094</v>
      </c>
      <c r="H81">
        <v>-38.953311571238537</v>
      </c>
      <c r="I81">
        <v>5.8255276360388004</v>
      </c>
      <c r="J81">
        <v>3.3630122526388302</v>
      </c>
      <c r="K81">
        <v>1.0701332013232501</v>
      </c>
      <c r="L81">
        <v>3.0375934558219806E-5</v>
      </c>
      <c r="M81">
        <v>1.7795011652052077E-6</v>
      </c>
      <c r="N81" s="1">
        <v>-3.0444558164154301E-8</v>
      </c>
      <c r="O81" s="1">
        <v>9.3020644579331797E-12</v>
      </c>
      <c r="P81" s="1">
        <v>1.12019310409978E-10</v>
      </c>
      <c r="Q81">
        <v>63.707512395801501</v>
      </c>
      <c r="S81">
        <v>22.524857596006299</v>
      </c>
      <c r="AA81">
        <v>3.71796107272508</v>
      </c>
      <c r="AB81">
        <v>8.6855409895953102</v>
      </c>
      <c r="AC81">
        <v>1.3641279458717299</v>
      </c>
      <c r="AJ81">
        <v>0.74633552462841202</v>
      </c>
      <c r="AK81">
        <v>0.17654396187430199</v>
      </c>
      <c r="AL81">
        <v>7.7120513497285201E-2</v>
      </c>
    </row>
    <row r="82" spans="1:38" x14ac:dyDescent="0.2">
      <c r="A82">
        <v>87</v>
      </c>
      <c r="B82">
        <v>761</v>
      </c>
      <c r="C82">
        <v>175</v>
      </c>
      <c r="D82">
        <v>0.411981337330175</v>
      </c>
      <c r="E82">
        <v>3.5843293626125101</v>
      </c>
      <c r="F82">
        <v>2.5828706818688301</v>
      </c>
      <c r="G82">
        <v>-58.292670884508382</v>
      </c>
      <c r="H82">
        <v>-50.486172880619534</v>
      </c>
      <c r="I82">
        <v>7.5487095720048902</v>
      </c>
      <c r="J82">
        <v>4.3605992198236398</v>
      </c>
      <c r="K82">
        <v>1.38773086386929</v>
      </c>
      <c r="L82">
        <v>3.0439711250513419E-5</v>
      </c>
      <c r="M82">
        <v>1.7816710841965548E-6</v>
      </c>
      <c r="N82" s="1">
        <v>-4.07541424579973E-8</v>
      </c>
      <c r="O82" s="1">
        <v>1.20727728862263E-11</v>
      </c>
      <c r="P82" s="1">
        <v>1.4891996315352599E-10</v>
      </c>
      <c r="Q82">
        <v>63.801384013868201</v>
      </c>
      <c r="S82">
        <v>22.447183999932399</v>
      </c>
      <c r="AA82">
        <v>3.6319759018814999</v>
      </c>
      <c r="AB82">
        <v>8.6910974268978691</v>
      </c>
      <c r="AC82">
        <v>1.4283586574198901</v>
      </c>
      <c r="AJ82">
        <v>0.74679372025245605</v>
      </c>
      <c r="AK82">
        <v>0.172456587260335</v>
      </c>
      <c r="AL82">
        <v>8.0749692487208494E-2</v>
      </c>
    </row>
    <row r="83" spans="1:38" x14ac:dyDescent="0.2">
      <c r="A83">
        <v>88</v>
      </c>
      <c r="B83">
        <v>760</v>
      </c>
      <c r="C83">
        <v>175</v>
      </c>
      <c r="D83">
        <v>0.41134443207665999</v>
      </c>
      <c r="E83">
        <v>4.4108442687094502</v>
      </c>
      <c r="F83">
        <v>2.58189901674587</v>
      </c>
      <c r="G83">
        <v>-71.708823481850999</v>
      </c>
      <c r="H83">
        <v>-62.115352294856052</v>
      </c>
      <c r="I83">
        <v>9.2856518288679695</v>
      </c>
      <c r="J83">
        <v>5.3674200607324698</v>
      </c>
      <c r="K83">
        <v>1.7083721090953801</v>
      </c>
      <c r="L83">
        <v>3.050159329936057E-5</v>
      </c>
      <c r="M83">
        <v>1.7837927245637051E-6</v>
      </c>
      <c r="N83" s="1">
        <v>-5.1763162017466101E-8</v>
      </c>
      <c r="O83" s="1">
        <v>1.4874627148321999E-11</v>
      </c>
      <c r="P83" s="1">
        <v>1.8789271849375201E-10</v>
      </c>
      <c r="Q83">
        <v>63.894235077322797</v>
      </c>
      <c r="S83">
        <v>22.369034654557101</v>
      </c>
      <c r="AA83">
        <v>3.54583636545975</v>
      </c>
      <c r="AB83">
        <v>8.6931323743216709</v>
      </c>
      <c r="AC83">
        <v>1.4977615283386501</v>
      </c>
      <c r="AJ83">
        <v>0.74696239758563299</v>
      </c>
      <c r="AK83">
        <v>0.16836504354117399</v>
      </c>
      <c r="AL83">
        <v>8.4672558873191195E-2</v>
      </c>
    </row>
    <row r="84" spans="1:38" x14ac:dyDescent="0.2">
      <c r="A84">
        <v>89</v>
      </c>
      <c r="B84">
        <v>759</v>
      </c>
      <c r="C84">
        <v>175</v>
      </c>
      <c r="D84">
        <v>0.41070629269001901</v>
      </c>
      <c r="E84">
        <v>5.2470881572516701</v>
      </c>
      <c r="F84">
        <v>2.5808960097526699</v>
      </c>
      <c r="G84">
        <v>-85.27193265436982</v>
      </c>
      <c r="H84">
        <v>-73.875364964022268</v>
      </c>
      <c r="I84">
        <v>11.041580865521</v>
      </c>
      <c r="J84">
        <v>6.3864970100926604</v>
      </c>
      <c r="K84">
        <v>2.0330490408850301</v>
      </c>
      <c r="L84">
        <v>3.0561346416302071E-5</v>
      </c>
      <c r="M84">
        <v>1.7858679013899522E-6</v>
      </c>
      <c r="N84" s="1">
        <v>-6.3520631167246895E-8</v>
      </c>
      <c r="O84" s="1">
        <v>1.7716570892748E-11</v>
      </c>
      <c r="P84" s="1">
        <v>2.2909764608170201E-10</v>
      </c>
      <c r="Q84">
        <v>63.986316107589502</v>
      </c>
      <c r="S84">
        <v>22.2900358048539</v>
      </c>
      <c r="AA84">
        <v>3.4591756559867202</v>
      </c>
      <c r="AB84">
        <v>8.6912242580355095</v>
      </c>
      <c r="AC84">
        <v>1.5732481735342601</v>
      </c>
      <c r="AJ84">
        <v>0.74680692026968598</v>
      </c>
      <c r="AK84">
        <v>0.16425204441369101</v>
      </c>
      <c r="AL84">
        <v>8.8941035316620995E-2</v>
      </c>
    </row>
    <row r="85" spans="1:38" x14ac:dyDescent="0.2">
      <c r="A85">
        <v>90</v>
      </c>
      <c r="B85">
        <v>758</v>
      </c>
      <c r="C85">
        <v>175</v>
      </c>
      <c r="D85">
        <v>0.41006691557969399</v>
      </c>
      <c r="E85">
        <v>6.0964025671386803</v>
      </c>
      <c r="F85">
        <v>2.57985211056091</v>
      </c>
      <c r="G85">
        <v>-99.034995194661178</v>
      </c>
      <c r="H85">
        <v>-85.812094760751677</v>
      </c>
      <c r="I85">
        <v>12.8234499674242</v>
      </c>
      <c r="J85">
        <v>7.4218453631925199</v>
      </c>
      <c r="K85">
        <v>2.3630821868363499</v>
      </c>
      <c r="L85">
        <v>3.0618657268447043E-5</v>
      </c>
      <c r="M85">
        <v>1.7878990541034242E-6</v>
      </c>
      <c r="N85" s="1">
        <v>-7.6085542345523893E-8</v>
      </c>
      <c r="O85" s="1">
        <v>2.0610647756717499E-11</v>
      </c>
      <c r="P85" s="1">
        <v>2.7273017966905799E-10</v>
      </c>
      <c r="Q85">
        <v>64.077961910074606</v>
      </c>
      <c r="S85">
        <v>22.209690325631598</v>
      </c>
      <c r="AA85">
        <v>3.3715055178248599</v>
      </c>
      <c r="AB85">
        <v>8.6848158956155803</v>
      </c>
      <c r="AC85">
        <v>1.6560263508533299</v>
      </c>
      <c r="AJ85">
        <v>0.74628146606361501</v>
      </c>
      <c r="AK85">
        <v>0.160094607825473</v>
      </c>
      <c r="AL85">
        <v>9.3623926110911401E-2</v>
      </c>
    </row>
    <row r="86" spans="1:38" x14ac:dyDescent="0.2">
      <c r="A86">
        <v>91</v>
      </c>
      <c r="B86">
        <v>757</v>
      </c>
      <c r="C86">
        <v>175</v>
      </c>
      <c r="D86">
        <v>0.40942629714119499</v>
      </c>
      <c r="E86">
        <v>8.0843700092236297</v>
      </c>
      <c r="F86">
        <v>2.5783972777189699</v>
      </c>
      <c r="G86">
        <v>-131.25806883514733</v>
      </c>
      <c r="H86">
        <v>-113.74743249885867</v>
      </c>
      <c r="I86">
        <v>16.998142344599</v>
      </c>
      <c r="J86">
        <v>9.8432312618131093</v>
      </c>
      <c r="K86">
        <v>3.1354245054026801</v>
      </c>
      <c r="L86">
        <v>3.0671147379239514E-5</v>
      </c>
      <c r="M86">
        <v>1.790241435942345E-6</v>
      </c>
      <c r="N86" s="1">
        <v>-1.03771162029327E-7</v>
      </c>
      <c r="O86" s="1">
        <v>2.73883739746752E-11</v>
      </c>
      <c r="P86" s="1">
        <v>3.6987360687996199E-10</v>
      </c>
      <c r="Q86">
        <v>64.190782900916503</v>
      </c>
      <c r="S86">
        <v>22.104659130824999</v>
      </c>
      <c r="AA86">
        <v>3.2585284708248499</v>
      </c>
      <c r="AB86">
        <v>8.6608784923145894</v>
      </c>
      <c r="AC86">
        <v>1.785151005119</v>
      </c>
      <c r="AJ86">
        <v>0.74431497159028104</v>
      </c>
      <c r="AK86">
        <v>0.154748739176752</v>
      </c>
      <c r="AL86">
        <v>0.10093628923296601</v>
      </c>
    </row>
    <row r="87" spans="1:38" x14ac:dyDescent="0.2">
      <c r="A87">
        <v>91</v>
      </c>
      <c r="B87">
        <v>757</v>
      </c>
      <c r="C87">
        <v>175</v>
      </c>
      <c r="D87">
        <v>0.40942629714119499</v>
      </c>
      <c r="E87">
        <v>1.82143979678526</v>
      </c>
      <c r="F87">
        <v>2.5211508090574002</v>
      </c>
      <c r="G87">
        <v>-28.801509101896094</v>
      </c>
      <c r="H87">
        <v>-24.916255116543933</v>
      </c>
      <c r="I87">
        <v>3.77154199422624</v>
      </c>
      <c r="J87">
        <v>2.1622595775444799</v>
      </c>
      <c r="K87">
        <v>0.72246364249279305</v>
      </c>
      <c r="L87">
        <v>2.8249013760089741E-5</v>
      </c>
      <c r="M87">
        <v>1.794830990655398E-6</v>
      </c>
      <c r="N87" s="1">
        <v>-9.5650427531553097E-9</v>
      </c>
      <c r="O87" s="1">
        <v>6.9163628849986097E-12</v>
      </c>
      <c r="P87" s="1">
        <v>4.22220890391943E-11</v>
      </c>
      <c r="Q87">
        <v>65.8878466788385</v>
      </c>
      <c r="S87">
        <v>19.032310203889601</v>
      </c>
      <c r="AA87">
        <v>0.32782251553636899</v>
      </c>
      <c r="AB87">
        <v>4.3881319839185702</v>
      </c>
      <c r="AC87">
        <v>10.3638886178168</v>
      </c>
      <c r="AJ87">
        <v>0.38533059915819801</v>
      </c>
      <c r="AK87">
        <v>1.5907553225628E-2</v>
      </c>
      <c r="AL87">
        <v>0.59876184761617302</v>
      </c>
    </row>
    <row r="88" spans="1:38" x14ac:dyDescent="0.2">
      <c r="A88">
        <v>92</v>
      </c>
      <c r="B88">
        <v>756</v>
      </c>
      <c r="C88">
        <v>175</v>
      </c>
      <c r="D88">
        <v>0.40878443375601398</v>
      </c>
      <c r="E88">
        <v>15.3687411941074</v>
      </c>
      <c r="F88">
        <v>2.58138730931466</v>
      </c>
      <c r="G88">
        <v>-249.59179154226709</v>
      </c>
      <c r="H88">
        <v>-216.37198697820619</v>
      </c>
      <c r="I88">
        <v>32.278875347676099</v>
      </c>
      <c r="J88">
        <v>18.709737230128901</v>
      </c>
      <c r="K88">
        <v>5.9536750408010999</v>
      </c>
      <c r="L88">
        <v>3.0552115265234825E-5</v>
      </c>
      <c r="M88">
        <v>1.7834856505005759E-6</v>
      </c>
      <c r="N88" s="1">
        <v>-2.01205411824096E-7</v>
      </c>
      <c r="O88" s="1">
        <v>5.1721857976549E-11</v>
      </c>
      <c r="P88" s="1">
        <v>7.1458051271561402E-10</v>
      </c>
      <c r="Q88">
        <v>63.883146458986701</v>
      </c>
      <c r="S88">
        <v>22.335797673283</v>
      </c>
      <c r="AA88">
        <v>3.52100289308679</v>
      </c>
      <c r="AB88">
        <v>8.5812869153955003</v>
      </c>
      <c r="AC88">
        <v>1.6787660592478699</v>
      </c>
      <c r="AJ88">
        <v>0.73776284152031701</v>
      </c>
      <c r="AK88">
        <v>0.16727903981945999</v>
      </c>
      <c r="AL88">
        <v>9.4958118660221899E-2</v>
      </c>
    </row>
    <row r="89" spans="1:38" x14ac:dyDescent="0.2">
      <c r="A89">
        <v>92</v>
      </c>
      <c r="B89">
        <v>756</v>
      </c>
      <c r="C89">
        <v>175</v>
      </c>
      <c r="D89">
        <v>0.40878443375601398</v>
      </c>
      <c r="E89">
        <v>22.3324680797881</v>
      </c>
      <c r="F89">
        <v>2.5210544825065999</v>
      </c>
      <c r="G89">
        <v>-352.85911680458048</v>
      </c>
      <c r="H89">
        <v>-305.3352757616999</v>
      </c>
      <c r="I89">
        <v>46.177759357606298</v>
      </c>
      <c r="J89">
        <v>26.490902671728499</v>
      </c>
      <c r="K89">
        <v>8.8583837575710298</v>
      </c>
      <c r="L89">
        <v>2.8152655232125574E-5</v>
      </c>
      <c r="M89">
        <v>1.7933205361486945E-6</v>
      </c>
      <c r="N89" s="1">
        <v>-1.1580736351957501E-7</v>
      </c>
      <c r="O89" s="1">
        <v>8.4890657632407795E-11</v>
      </c>
      <c r="P89" s="1">
        <v>5.1309567853336897E-10</v>
      </c>
      <c r="Q89">
        <v>65.839010018414498</v>
      </c>
      <c r="S89">
        <v>19.017450302080402</v>
      </c>
      <c r="AA89">
        <v>0.32695831146055399</v>
      </c>
      <c r="AB89">
        <v>4.2403449401690096</v>
      </c>
      <c r="AC89">
        <v>10.576236427875299</v>
      </c>
      <c r="AJ89">
        <v>0.37263306809109598</v>
      </c>
      <c r="AK89">
        <v>1.5877545932944302E-2</v>
      </c>
      <c r="AL89">
        <v>0.61148938597595903</v>
      </c>
    </row>
    <row r="90" spans="1:38" x14ac:dyDescent="0.2">
      <c r="A90">
        <v>93</v>
      </c>
      <c r="B90">
        <v>755</v>
      </c>
      <c r="C90">
        <v>175</v>
      </c>
      <c r="D90">
        <v>0.40814132179156798</v>
      </c>
      <c r="E90">
        <v>17.863437652652301</v>
      </c>
      <c r="F90">
        <v>2.58258795820583</v>
      </c>
      <c r="G90">
        <v>-290.11323970117911</v>
      </c>
      <c r="H90">
        <v>-251.56845324579999</v>
      </c>
      <c r="I90">
        <v>37.489458206856099</v>
      </c>
      <c r="J90">
        <v>21.749574363675801</v>
      </c>
      <c r="K90">
        <v>6.91687483320504</v>
      </c>
      <c r="L90">
        <v>3.0528315914915338E-5</v>
      </c>
      <c r="M90">
        <v>1.7809798698508299E-6</v>
      </c>
      <c r="N90" s="1">
        <v>-2.4027525561791998E-7</v>
      </c>
      <c r="O90" s="1">
        <v>5.9922760347212295E-11</v>
      </c>
      <c r="P90" s="1">
        <v>8.4907653498000405E-10</v>
      </c>
      <c r="Q90">
        <v>63.764386436770799</v>
      </c>
      <c r="S90">
        <v>22.4253437406825</v>
      </c>
      <c r="AA90">
        <v>3.6225903432002902</v>
      </c>
      <c r="AB90">
        <v>8.5513932310159593</v>
      </c>
      <c r="AC90">
        <v>1.6362862483303799</v>
      </c>
      <c r="AJ90">
        <v>0.73530056701346103</v>
      </c>
      <c r="AK90">
        <v>0.17213058256449801</v>
      </c>
      <c r="AL90">
        <v>9.2568850422040494E-2</v>
      </c>
    </row>
    <row r="91" spans="1:38" x14ac:dyDescent="0.2">
      <c r="A91">
        <v>93</v>
      </c>
      <c r="B91">
        <v>755</v>
      </c>
      <c r="C91">
        <v>175</v>
      </c>
      <c r="D91">
        <v>0.40814132179156798</v>
      </c>
      <c r="E91">
        <v>29.2398283869429</v>
      </c>
      <c r="F91">
        <v>2.5210426597482898</v>
      </c>
      <c r="G91">
        <v>-461.81328141417384</v>
      </c>
      <c r="H91">
        <v>-399.70748812142182</v>
      </c>
      <c r="I91">
        <v>60.405381795216698</v>
      </c>
      <c r="J91">
        <v>34.675756443838701</v>
      </c>
      <c r="K91">
        <v>11.598307658095001</v>
      </c>
      <c r="L91">
        <v>2.8121816600618865E-5</v>
      </c>
      <c r="M91">
        <v>1.7928035203821326E-6</v>
      </c>
      <c r="N91" s="1">
        <v>-1.5429719857259401E-7</v>
      </c>
      <c r="O91" s="1">
        <v>1.1116969894986E-10</v>
      </c>
      <c r="P91" s="1">
        <v>6.7933355795464602E-10</v>
      </c>
      <c r="Q91">
        <v>65.820720822169804</v>
      </c>
      <c r="S91">
        <v>19.009930882080901</v>
      </c>
      <c r="AA91">
        <v>0.32502224688266101</v>
      </c>
      <c r="AB91">
        <v>4.1798753098451602</v>
      </c>
      <c r="AC91">
        <v>10.6644507390213</v>
      </c>
      <c r="AJ91">
        <v>0.36743216003025603</v>
      </c>
      <c r="AK91">
        <v>1.57883853580458E-2</v>
      </c>
      <c r="AL91">
        <v>0.61677945461169803</v>
      </c>
    </row>
    <row r="92" spans="1:38" x14ac:dyDescent="0.2">
      <c r="A92">
        <v>94</v>
      </c>
      <c r="B92">
        <v>754</v>
      </c>
      <c r="C92">
        <v>175</v>
      </c>
      <c r="D92">
        <v>0.40749695760112897</v>
      </c>
      <c r="E92">
        <v>18.8362895918772</v>
      </c>
      <c r="F92">
        <v>2.58313246544901</v>
      </c>
      <c r="G92">
        <v>-305.89569133290695</v>
      </c>
      <c r="H92">
        <v>-265.31757302165613</v>
      </c>
      <c r="I92">
        <v>39.505542823590403</v>
      </c>
      <c r="J92">
        <v>22.9397913527817</v>
      </c>
      <c r="K92">
        <v>7.2920339331506199</v>
      </c>
      <c r="L92">
        <v>3.0542470593231084E-5</v>
      </c>
      <c r="M92">
        <v>1.7801005705779347E-6</v>
      </c>
      <c r="N92" s="1">
        <v>-2.6108560505743398E-7</v>
      </c>
      <c r="O92" s="1">
        <v>6.3059558881820794E-11</v>
      </c>
      <c r="P92" s="1">
        <v>9.1757045969322999E-10</v>
      </c>
      <c r="Q92">
        <v>63.716953320833603</v>
      </c>
      <c r="S92">
        <v>22.461972304980002</v>
      </c>
      <c r="AA92">
        <v>3.6638771529439902</v>
      </c>
      <c r="AB92">
        <v>8.5417176187561399</v>
      </c>
      <c r="AC92">
        <v>1.6154796024861999</v>
      </c>
      <c r="AJ92">
        <v>0.73450332148362496</v>
      </c>
      <c r="AK92">
        <v>0.174100592089629</v>
      </c>
      <c r="AL92">
        <v>9.1396086426745099E-2</v>
      </c>
    </row>
    <row r="93" spans="1:38" x14ac:dyDescent="0.2">
      <c r="A93">
        <v>94</v>
      </c>
      <c r="B93">
        <v>754</v>
      </c>
      <c r="C93">
        <v>175</v>
      </c>
      <c r="D93">
        <v>0.40749695760112897</v>
      </c>
      <c r="E93">
        <v>31.886106328167902</v>
      </c>
      <c r="F93">
        <v>2.5210546193963501</v>
      </c>
      <c r="G93">
        <v>-503.47474898839647</v>
      </c>
      <c r="H93">
        <v>-435.86378416410855</v>
      </c>
      <c r="I93">
        <v>65.823847368240294</v>
      </c>
      <c r="J93">
        <v>37.811577336054903</v>
      </c>
      <c r="K93">
        <v>12.6479236438767</v>
      </c>
      <c r="L93">
        <v>2.8114473474395401E-5</v>
      </c>
      <c r="M93">
        <v>1.7926348873382319E-6</v>
      </c>
      <c r="N93" s="1">
        <v>-1.7310374284387601E-7</v>
      </c>
      <c r="O93" s="1">
        <v>1.2121761459738501E-10</v>
      </c>
      <c r="P93" s="1">
        <v>7.5470479364563604E-10</v>
      </c>
      <c r="Q93">
        <v>65.813244634750603</v>
      </c>
      <c r="S93">
        <v>19.004994608416901</v>
      </c>
      <c r="AA93">
        <v>0.32269423669464098</v>
      </c>
      <c r="AB93">
        <v>4.1502739438690499</v>
      </c>
      <c r="AC93">
        <v>10.708792576268699</v>
      </c>
      <c r="AJ93">
        <v>0.36488503189466898</v>
      </c>
      <c r="AK93">
        <v>1.56776615223135E-2</v>
      </c>
      <c r="AL93">
        <v>0.61943730658301599</v>
      </c>
    </row>
    <row r="94" spans="1:38" x14ac:dyDescent="0.2">
      <c r="A94">
        <v>95</v>
      </c>
      <c r="B94">
        <v>753</v>
      </c>
      <c r="C94">
        <v>175</v>
      </c>
      <c r="D94">
        <v>0.40685133752375702</v>
      </c>
      <c r="E94">
        <v>19.369262648193999</v>
      </c>
      <c r="F94">
        <v>2.5834725142578501</v>
      </c>
      <c r="G94">
        <v>-314.52551524319068</v>
      </c>
      <c r="H94">
        <v>-272.86523495666194</v>
      </c>
      <c r="I94">
        <v>40.598626211108098</v>
      </c>
      <c r="J94">
        <v>23.595865026616298</v>
      </c>
      <c r="K94">
        <v>7.4973751573889702</v>
      </c>
      <c r="L94">
        <v>3.0569479214937336E-5</v>
      </c>
      <c r="M94">
        <v>1.7797367668685089E-6</v>
      </c>
      <c r="N94" s="1">
        <v>-2.7693145344245302E-7</v>
      </c>
      <c r="O94" s="1">
        <v>6.4737319250572702E-11</v>
      </c>
      <c r="P94" s="1">
        <v>9.6787276826735505E-10</v>
      </c>
      <c r="Q94">
        <v>63.691943833344702</v>
      </c>
      <c r="S94">
        <v>22.482012641325401</v>
      </c>
      <c r="AA94">
        <v>3.6862462576295001</v>
      </c>
      <c r="AB94">
        <v>8.53852366399326</v>
      </c>
      <c r="AC94">
        <v>1.6012736037070501</v>
      </c>
      <c r="AJ94">
        <v>0.73423999328546097</v>
      </c>
      <c r="AK94">
        <v>0.17516623079692201</v>
      </c>
      <c r="AL94">
        <v>9.0593775917616498E-2</v>
      </c>
    </row>
    <row r="95" spans="1:38" x14ac:dyDescent="0.2">
      <c r="A95">
        <v>95</v>
      </c>
      <c r="B95">
        <v>753</v>
      </c>
      <c r="C95">
        <v>175</v>
      </c>
      <c r="D95">
        <v>0.40685133752375702</v>
      </c>
      <c r="E95">
        <v>33.293797225274602</v>
      </c>
      <c r="F95">
        <v>2.5210735995560101</v>
      </c>
      <c r="G95">
        <v>-525.58374033476809</v>
      </c>
      <c r="H95">
        <v>-455.10465902932913</v>
      </c>
      <c r="I95">
        <v>68.683020323967199</v>
      </c>
      <c r="J95">
        <v>39.480736904681599</v>
      </c>
      <c r="K95">
        <v>13.2061980384618</v>
      </c>
      <c r="L95">
        <v>2.8114663665566434E-5</v>
      </c>
      <c r="M95">
        <v>1.7925738462845306E-6</v>
      </c>
      <c r="N95" s="1">
        <v>-1.8656085398891599E-7</v>
      </c>
      <c r="O95" s="1">
        <v>1.2654193912690801E-10</v>
      </c>
      <c r="P95" s="1">
        <v>8.0473783525305898E-10</v>
      </c>
      <c r="Q95">
        <v>65.809085598652601</v>
      </c>
      <c r="S95">
        <v>19.000864175049799</v>
      </c>
      <c r="AA95">
        <v>0.32025704109035702</v>
      </c>
      <c r="AB95">
        <v>4.13017728685855</v>
      </c>
      <c r="AC95">
        <v>10.7396158983485</v>
      </c>
      <c r="AJ95">
        <v>0.36315533093743801</v>
      </c>
      <c r="AK95">
        <v>1.55608460782845E-2</v>
      </c>
      <c r="AL95">
        <v>0.62128382298427598</v>
      </c>
    </row>
    <row r="96" spans="1:38" x14ac:dyDescent="0.2">
      <c r="A96">
        <v>96</v>
      </c>
      <c r="B96">
        <v>752</v>
      </c>
      <c r="C96">
        <v>175</v>
      </c>
      <c r="D96">
        <v>0.406204457884214</v>
      </c>
      <c r="E96">
        <v>19.717231151328299</v>
      </c>
      <c r="F96">
        <v>2.5837224632705502</v>
      </c>
      <c r="G96">
        <v>-320.14656325474175</v>
      </c>
      <c r="H96">
        <v>-277.80426029715414</v>
      </c>
      <c r="I96">
        <v>41.3035194435815</v>
      </c>
      <c r="J96">
        <v>24.027556199246199</v>
      </c>
      <c r="K96">
        <v>7.63132706071291</v>
      </c>
      <c r="L96">
        <v>3.0602888249705908E-5</v>
      </c>
      <c r="M96">
        <v>1.7796034657026594E-6</v>
      </c>
      <c r="N96" s="1">
        <v>-2.9092212161065001E-7</v>
      </c>
      <c r="O96" s="1">
        <v>6.5801169704474396E-11</v>
      </c>
      <c r="P96" s="1">
        <v>1.0111808458515601E-9</v>
      </c>
      <c r="Q96">
        <v>63.676857878851898</v>
      </c>
      <c r="S96">
        <v>22.494719764746399</v>
      </c>
      <c r="AA96">
        <v>3.7002498658050902</v>
      </c>
      <c r="AB96">
        <v>8.5382187993696892</v>
      </c>
      <c r="AC96">
        <v>1.58995369122675</v>
      </c>
      <c r="AJ96">
        <v>0.73421467065807799</v>
      </c>
      <c r="AK96">
        <v>0.175831880222478</v>
      </c>
      <c r="AL96">
        <v>8.9953449119442794E-2</v>
      </c>
    </row>
    <row r="97" spans="1:38" x14ac:dyDescent="0.2">
      <c r="A97">
        <v>96</v>
      </c>
      <c r="B97">
        <v>752</v>
      </c>
      <c r="C97">
        <v>175</v>
      </c>
      <c r="D97">
        <v>0.406204457884214</v>
      </c>
      <c r="E97">
        <v>34.176658179140297</v>
      </c>
      <c r="F97">
        <v>2.5210957641818101</v>
      </c>
      <c r="G97">
        <v>-539.40924792700798</v>
      </c>
      <c r="H97">
        <v>-467.17929242609711</v>
      </c>
      <c r="I97">
        <v>70.457938351373699</v>
      </c>
      <c r="J97">
        <v>40.528725508453498</v>
      </c>
      <c r="K97">
        <v>13.5562713105552</v>
      </c>
      <c r="L97">
        <v>2.8118410461154036E-5</v>
      </c>
      <c r="M97">
        <v>1.7925604603867226E-6</v>
      </c>
      <c r="N97" s="1">
        <v>-1.9793944542541299E-7</v>
      </c>
      <c r="O97" s="1">
        <v>1.2986266400028801E-10</v>
      </c>
      <c r="P97" s="1">
        <v>8.44569131557065E-10</v>
      </c>
      <c r="Q97">
        <v>65.8063689711921</v>
      </c>
      <c r="S97">
        <v>18.997095521796101</v>
      </c>
      <c r="AA97">
        <v>0.31778175144739801</v>
      </c>
      <c r="AB97">
        <v>4.1142434137596897</v>
      </c>
      <c r="AC97">
        <v>10.764510341804501</v>
      </c>
      <c r="AJ97">
        <v>0.36178366965850201</v>
      </c>
      <c r="AK97">
        <v>1.5441828389204699E-2</v>
      </c>
      <c r="AL97">
        <v>0.622774501952292</v>
      </c>
    </row>
    <row r="98" spans="1:38" x14ac:dyDescent="0.2">
      <c r="A98">
        <v>97</v>
      </c>
      <c r="B98">
        <v>751</v>
      </c>
      <c r="C98">
        <v>175</v>
      </c>
      <c r="D98">
        <v>0.40555631499292399</v>
      </c>
      <c r="E98">
        <v>19.969508470208702</v>
      </c>
      <c r="F98">
        <v>2.58392411599878</v>
      </c>
      <c r="G98">
        <v>-324.21113288155635</v>
      </c>
      <c r="H98">
        <v>-281.39389265658428</v>
      </c>
      <c r="I98">
        <v>41.8075869989474</v>
      </c>
      <c r="J98">
        <v>24.343394769266599</v>
      </c>
      <c r="K98">
        <v>7.7283649107821404</v>
      </c>
      <c r="L98">
        <v>3.0640344814749952E-5</v>
      </c>
      <c r="M98">
        <v>1.7795959475853405E-6</v>
      </c>
      <c r="N98" s="1">
        <v>-3.0414860361793901E-7</v>
      </c>
      <c r="O98" s="1">
        <v>6.6546481984543604E-11</v>
      </c>
      <c r="P98" s="1">
        <v>1.05142159818521E-9</v>
      </c>
      <c r="Q98">
        <v>63.6671068725433</v>
      </c>
      <c r="S98">
        <v>22.5034860209594</v>
      </c>
      <c r="AA98">
        <v>3.7097573809574098</v>
      </c>
      <c r="AB98">
        <v>8.5394710849923801</v>
      </c>
      <c r="AC98">
        <v>1.5801786405474001</v>
      </c>
      <c r="AJ98">
        <v>0.73431762898154995</v>
      </c>
      <c r="AK98">
        <v>0.176282532145628</v>
      </c>
      <c r="AL98">
        <v>8.9399838872821005E-2</v>
      </c>
    </row>
    <row r="99" spans="1:38" x14ac:dyDescent="0.2">
      <c r="A99">
        <v>97</v>
      </c>
      <c r="B99">
        <v>751</v>
      </c>
      <c r="C99">
        <v>175</v>
      </c>
      <c r="D99">
        <v>0.40555631499292399</v>
      </c>
      <c r="E99">
        <v>34.7859175451254</v>
      </c>
      <c r="F99">
        <v>2.5211197755089398</v>
      </c>
      <c r="G99">
        <v>-548.91696044058222</v>
      </c>
      <c r="H99">
        <v>-475.51852652876528</v>
      </c>
      <c r="I99">
        <v>71.667659924636993</v>
      </c>
      <c r="J99">
        <v>41.253059481688602</v>
      </c>
      <c r="K99">
        <v>13.7978044054266</v>
      </c>
      <c r="L99">
        <v>2.8124279506390218E-5</v>
      </c>
      <c r="M99">
        <v>1.7925730172214757E-6</v>
      </c>
      <c r="N99" s="1">
        <v>-2.0837278497665799E-7</v>
      </c>
      <c r="O99" s="1">
        <v>1.32137587802888E-10</v>
      </c>
      <c r="P99" s="1">
        <v>8.7947213191954803E-10</v>
      </c>
      <c r="Q99">
        <v>65.804413455821603</v>
      </c>
      <c r="S99">
        <v>18.9935271674895</v>
      </c>
      <c r="AA99">
        <v>0.31529411538552499</v>
      </c>
      <c r="AB99">
        <v>4.1005307478745197</v>
      </c>
      <c r="AC99">
        <v>10.786234513428701</v>
      </c>
      <c r="AJ99">
        <v>0.36060304469984</v>
      </c>
      <c r="AK99">
        <v>1.53220181348414E-2</v>
      </c>
      <c r="AL99">
        <v>0.62407493716531703</v>
      </c>
    </row>
    <row r="100" spans="1:38" x14ac:dyDescent="0.2">
      <c r="A100">
        <v>98</v>
      </c>
      <c r="B100">
        <v>750</v>
      </c>
      <c r="C100">
        <v>175</v>
      </c>
      <c r="D100">
        <v>0.40490690514587502</v>
      </c>
      <c r="E100">
        <v>20.165515240070299</v>
      </c>
      <c r="F100">
        <v>2.5840965029501999</v>
      </c>
      <c r="G100">
        <v>-327.36029324433025</v>
      </c>
      <c r="H100">
        <v>-284.1899978608709</v>
      </c>
      <c r="I100">
        <v>42.193515499642601</v>
      </c>
      <c r="J100">
        <v>24.591282911883798</v>
      </c>
      <c r="K100">
        <v>7.8037005262953096</v>
      </c>
      <c r="L100">
        <v>3.0680796615045065E-5</v>
      </c>
      <c r="M100">
        <v>1.7796664491222777E-6</v>
      </c>
      <c r="N100" s="1">
        <v>-3.1709791453653201E-7</v>
      </c>
      <c r="O100" s="1">
        <v>6.7103361119845806E-11</v>
      </c>
      <c r="P100" s="1">
        <v>1.09034300672662E-9</v>
      </c>
      <c r="Q100">
        <v>63.660596993309802</v>
      </c>
      <c r="S100">
        <v>22.509858055385799</v>
      </c>
      <c r="AA100">
        <v>3.7165333659269502</v>
      </c>
      <c r="AB100">
        <v>8.5416692848361304</v>
      </c>
      <c r="AC100">
        <v>1.57134230054119</v>
      </c>
      <c r="AJ100">
        <v>0.73449851026582302</v>
      </c>
      <c r="AK100">
        <v>0.176602559398436</v>
      </c>
      <c r="AL100">
        <v>8.8898930335740006E-2</v>
      </c>
    </row>
    <row r="101" spans="1:38" x14ac:dyDescent="0.2">
      <c r="A101">
        <v>98</v>
      </c>
      <c r="B101">
        <v>750</v>
      </c>
      <c r="C101">
        <v>175</v>
      </c>
      <c r="D101">
        <v>0.40490690514587502</v>
      </c>
      <c r="E101">
        <v>35.2330125794482</v>
      </c>
      <c r="F101">
        <v>2.5211450408361098</v>
      </c>
      <c r="G101">
        <v>-555.86573795559116</v>
      </c>
      <c r="H101">
        <v>-481.64398492221864</v>
      </c>
      <c r="I101">
        <v>72.542396553166697</v>
      </c>
      <c r="J101">
        <v>41.785688450546502</v>
      </c>
      <c r="K101">
        <v>13.9750042178309</v>
      </c>
      <c r="L101">
        <v>2.8131629368282281E-5</v>
      </c>
      <c r="M101">
        <v>1.7926017050465366E-6</v>
      </c>
      <c r="N101" s="1">
        <v>-2.18360803798789E-7</v>
      </c>
      <c r="O101" s="1">
        <v>1.3379165876928301E-10</v>
      </c>
      <c r="P101" s="1">
        <v>9.1177685956068303E-10</v>
      </c>
      <c r="Q101">
        <v>65.802910070631995</v>
      </c>
      <c r="S101">
        <v>18.99008576468</v>
      </c>
      <c r="AA101">
        <v>0.312805717211942</v>
      </c>
      <c r="AB101">
        <v>4.0881584497097503</v>
      </c>
      <c r="AC101">
        <v>10.8060399977662</v>
      </c>
      <c r="AJ101">
        <v>0.35953768228219801</v>
      </c>
      <c r="AK101">
        <v>1.520205036425E-2</v>
      </c>
      <c r="AL101">
        <v>0.625260267353551</v>
      </c>
    </row>
    <row r="102" spans="1:38" x14ac:dyDescent="0.2">
      <c r="A102">
        <v>100</v>
      </c>
      <c r="B102">
        <v>779</v>
      </c>
      <c r="C102">
        <v>150</v>
      </c>
      <c r="D102">
        <v>0.44937556432067799</v>
      </c>
      <c r="E102">
        <v>0.10524139156550399</v>
      </c>
      <c r="F102">
        <v>2.5850088243881402</v>
      </c>
      <c r="G102">
        <v>-1.7179815846761914</v>
      </c>
      <c r="H102">
        <v>-1.4826318368971436</v>
      </c>
      <c r="I102">
        <v>0.223684596092807</v>
      </c>
      <c r="J102">
        <v>0.127592647371958</v>
      </c>
      <c r="K102">
        <v>4.0712198183855103E-2</v>
      </c>
      <c r="L102">
        <v>2.9789693083955244E-5</v>
      </c>
      <c r="M102">
        <v>1.7701480150582466E-6</v>
      </c>
      <c r="N102" s="1">
        <v>-6.5581600240767304E-10</v>
      </c>
      <c r="O102" s="1">
        <v>3.5569513653386598E-13</v>
      </c>
      <c r="P102" s="1">
        <v>2.8009632377690002E-12</v>
      </c>
      <c r="Q102">
        <v>63.332346698669497</v>
      </c>
      <c r="S102">
        <v>22.816922279008899</v>
      </c>
      <c r="AA102">
        <v>4.0464572132875096</v>
      </c>
      <c r="AB102">
        <v>8.6151898866082206</v>
      </c>
      <c r="AC102">
        <v>1.1890839224258101</v>
      </c>
      <c r="AJ102">
        <v>0.74054427952179902</v>
      </c>
      <c r="AK102">
        <v>0.19220820382377801</v>
      </c>
      <c r="AL102">
        <v>6.7247516654421802E-2</v>
      </c>
    </row>
    <row r="103" spans="1:38" x14ac:dyDescent="0.2">
      <c r="A103">
        <v>101</v>
      </c>
      <c r="B103">
        <v>778</v>
      </c>
      <c r="C103">
        <v>150</v>
      </c>
      <c r="D103">
        <v>0.44878514008467002</v>
      </c>
      <c r="E103">
        <v>0.40632889948581802</v>
      </c>
      <c r="F103">
        <v>2.5846304108945799</v>
      </c>
      <c r="G103">
        <v>-6.6317347373867639</v>
      </c>
      <c r="H103">
        <v>-5.7243355291692009</v>
      </c>
      <c r="I103">
        <v>0.86324426410841604</v>
      </c>
      <c r="J103">
        <v>0.49270551563242698</v>
      </c>
      <c r="K103">
        <v>0.157209672134586</v>
      </c>
      <c r="L103">
        <v>2.9831706107943952E-5</v>
      </c>
      <c r="M103">
        <v>1.7714260453259345E-6</v>
      </c>
      <c r="N103" s="1">
        <v>-2.6207619638744701E-9</v>
      </c>
      <c r="O103" s="1">
        <v>1.37386971763124E-12</v>
      </c>
      <c r="P103" s="1">
        <v>1.1073029479300599E-11</v>
      </c>
      <c r="Q103">
        <v>63.382747075098997</v>
      </c>
      <c r="S103">
        <v>22.779241277596</v>
      </c>
      <c r="AA103">
        <v>4.0036097624767697</v>
      </c>
      <c r="AB103">
        <v>8.6287187790530009</v>
      </c>
      <c r="AC103">
        <v>1.2056831057751001</v>
      </c>
      <c r="AJ103">
        <v>0.74165795136630197</v>
      </c>
      <c r="AK103">
        <v>0.190160307972222</v>
      </c>
      <c r="AL103">
        <v>6.8181740661474893E-2</v>
      </c>
    </row>
    <row r="104" spans="1:38" x14ac:dyDescent="0.2">
      <c r="A104">
        <v>102</v>
      </c>
      <c r="B104">
        <v>777</v>
      </c>
      <c r="C104">
        <v>150</v>
      </c>
      <c r="D104">
        <v>0.44819359139171</v>
      </c>
      <c r="E104">
        <v>0.70766596918156899</v>
      </c>
      <c r="F104">
        <v>2.5842559358775699</v>
      </c>
      <c r="G104">
        <v>-11.547688176740559</v>
      </c>
      <c r="H104">
        <v>-9.969564954916514</v>
      </c>
      <c r="I104">
        <v>1.50275981700142</v>
      </c>
      <c r="J104">
        <v>0.85824344131649999</v>
      </c>
      <c r="K104">
        <v>0.27383741654878102</v>
      </c>
      <c r="L104">
        <v>2.9873780416450925E-5</v>
      </c>
      <c r="M104">
        <v>1.7726862677085848E-6</v>
      </c>
      <c r="N104" s="1">
        <v>-4.72310903732805E-9</v>
      </c>
      <c r="O104" s="1">
        <v>2.3936549355892601E-12</v>
      </c>
      <c r="P104" s="1">
        <v>1.9747705201944401E-11</v>
      </c>
      <c r="Q104">
        <v>63.432402767159203</v>
      </c>
      <c r="S104">
        <v>22.7420159966433</v>
      </c>
      <c r="AA104">
        <v>3.9613120476288999</v>
      </c>
      <c r="AB104">
        <v>8.6417829127428991</v>
      </c>
      <c r="AC104">
        <v>1.2224862758256501</v>
      </c>
      <c r="AJ104">
        <v>0.74273323956655501</v>
      </c>
      <c r="AK104">
        <v>0.18813922603924699</v>
      </c>
      <c r="AL104">
        <v>6.9127534394196596E-2</v>
      </c>
    </row>
    <row r="105" spans="1:38" x14ac:dyDescent="0.2">
      <c r="A105">
        <v>103</v>
      </c>
      <c r="B105">
        <v>776</v>
      </c>
      <c r="C105">
        <v>150</v>
      </c>
      <c r="D105">
        <v>0.447600915026452</v>
      </c>
      <c r="E105">
        <v>1.00920217154742</v>
      </c>
      <c r="F105">
        <v>2.5838853872084702</v>
      </c>
      <c r="G105">
        <v>-16.465010199292074</v>
      </c>
      <c r="H105">
        <v>-14.217606576092008</v>
      </c>
      <c r="I105">
        <v>2.1421184989754201</v>
      </c>
      <c r="J105">
        <v>1.22415022389712</v>
      </c>
      <c r="K105">
        <v>0.390575439817681</v>
      </c>
      <c r="L105">
        <v>2.9915930190196056E-5</v>
      </c>
      <c r="M105">
        <v>1.7739287474193563E-6</v>
      </c>
      <c r="N105" s="1">
        <v>-6.9683402942488399E-9</v>
      </c>
      <c r="O105" s="1">
        <v>3.4148019295675199E-12</v>
      </c>
      <c r="P105" s="1">
        <v>2.8840217747642101E-11</v>
      </c>
      <c r="Q105">
        <v>63.481314398548001</v>
      </c>
      <c r="S105">
        <v>22.705245753082799</v>
      </c>
      <c r="AA105">
        <v>3.9195633596745401</v>
      </c>
      <c r="AB105">
        <v>8.6543818868044493</v>
      </c>
      <c r="AC105">
        <v>1.2394946018900901</v>
      </c>
      <c r="AJ105">
        <v>0.74377012596556502</v>
      </c>
      <c r="AK105">
        <v>0.18614490562172001</v>
      </c>
      <c r="AL105">
        <v>7.0084968412714194E-2</v>
      </c>
    </row>
    <row r="106" spans="1:38" x14ac:dyDescent="0.2">
      <c r="A106">
        <v>104</v>
      </c>
      <c r="B106">
        <v>775</v>
      </c>
      <c r="C106">
        <v>150</v>
      </c>
      <c r="D106">
        <v>0.44700710776129698</v>
      </c>
      <c r="E106">
        <v>1.31088707755067</v>
      </c>
      <c r="F106">
        <v>2.58351874884944</v>
      </c>
      <c r="G106">
        <v>-21.382869689508677</v>
      </c>
      <c r="H106">
        <v>-18.467746778833185</v>
      </c>
      <c r="I106">
        <v>2.78120775716785</v>
      </c>
      <c r="J106">
        <v>1.5903698570026901</v>
      </c>
      <c r="K106">
        <v>0.50740374078356199</v>
      </c>
      <c r="L106">
        <v>2.9958170377640124E-5</v>
      </c>
      <c r="M106">
        <v>1.7751535639246247E-6</v>
      </c>
      <c r="N106" s="1">
        <v>-9.3621533177969106E-9</v>
      </c>
      <c r="O106" s="1">
        <v>4.4370596152992001E-12</v>
      </c>
      <c r="P106" s="1">
        <v>3.83663893045311E-11</v>
      </c>
      <c r="Q106">
        <v>63.529483137860403</v>
      </c>
      <c r="S106">
        <v>22.668929481670499</v>
      </c>
      <c r="AA106">
        <v>3.8783625471008598</v>
      </c>
      <c r="AB106">
        <v>8.6665155127129108</v>
      </c>
      <c r="AC106">
        <v>1.2567093206551601</v>
      </c>
      <c r="AJ106">
        <v>0.74476860935774902</v>
      </c>
      <c r="AK106">
        <v>0.18417727347947899</v>
      </c>
      <c r="AL106">
        <v>7.1054117162771296E-2</v>
      </c>
    </row>
    <row r="107" spans="1:38" x14ac:dyDescent="0.2">
      <c r="A107">
        <v>105</v>
      </c>
      <c r="B107">
        <v>774</v>
      </c>
      <c r="C107">
        <v>150</v>
      </c>
      <c r="D107">
        <v>0.44641216635630598</v>
      </c>
      <c r="E107">
        <v>1.6126703884523399</v>
      </c>
      <c r="F107">
        <v>2.58315600078345</v>
      </c>
      <c r="G107">
        <v>-26.30043823774286</v>
      </c>
      <c r="H107">
        <v>-22.719273697705894</v>
      </c>
      <c r="I107">
        <v>3.4199155231217699</v>
      </c>
      <c r="J107">
        <v>1.9568466952761401</v>
      </c>
      <c r="K107">
        <v>0.62430236035424702</v>
      </c>
      <c r="L107">
        <v>3.0000516707052593E-5</v>
      </c>
      <c r="M107">
        <v>1.7763608108322626E-6</v>
      </c>
      <c r="N107" s="1">
        <v>-1.19104706805429E-8</v>
      </c>
      <c r="O107" s="1">
        <v>5.4601751227676397E-12</v>
      </c>
      <c r="P107" s="1">
        <v>4.8342666683770002E-11</v>
      </c>
      <c r="Q107">
        <v>63.576910695396897</v>
      </c>
      <c r="S107">
        <v>22.633065733801299</v>
      </c>
      <c r="AA107">
        <v>3.8377080157185</v>
      </c>
      <c r="AB107">
        <v>8.6781838040745001</v>
      </c>
      <c r="AC107">
        <v>1.2741317510086601</v>
      </c>
      <c r="AJ107">
        <v>0.74572870463775298</v>
      </c>
      <c r="AK107">
        <v>0.182236235548978</v>
      </c>
      <c r="AL107">
        <v>7.2035059813267299E-2</v>
      </c>
    </row>
    <row r="108" spans="1:38" x14ac:dyDescent="0.2">
      <c r="A108">
        <v>106</v>
      </c>
      <c r="B108">
        <v>773</v>
      </c>
      <c r="C108">
        <v>150</v>
      </c>
      <c r="D108">
        <v>0.44581608755914398</v>
      </c>
      <c r="E108">
        <v>1.9145020618133901</v>
      </c>
      <c r="F108">
        <v>2.5827971190183399</v>
      </c>
      <c r="G108">
        <v>-31.216892186423316</v>
      </c>
      <c r="H108">
        <v>-26.971478980191037</v>
      </c>
      <c r="I108">
        <v>4.0581304843782204</v>
      </c>
      <c r="J108">
        <v>2.3235256165329501</v>
      </c>
      <c r="K108">
        <v>0.74125143152592898</v>
      </c>
      <c r="L108">
        <v>3.0042985698863631E-5</v>
      </c>
      <c r="M108">
        <v>1.7775505956826384E-6</v>
      </c>
      <c r="N108" s="1">
        <v>-1.46194509786588E-8</v>
      </c>
      <c r="O108" s="1">
        <v>6.4838942170410303E-12</v>
      </c>
      <c r="P108" s="1">
        <v>5.8786152568326899E-11</v>
      </c>
      <c r="Q108">
        <v>63.623599314717097</v>
      </c>
      <c r="S108">
        <v>22.5976526815986</v>
      </c>
      <c r="AA108">
        <v>3.7975977340065201</v>
      </c>
      <c r="AB108">
        <v>8.6893869685252891</v>
      </c>
      <c r="AC108">
        <v>1.2917633011524401</v>
      </c>
      <c r="AJ108">
        <v>0.74665044212495102</v>
      </c>
      <c r="AK108">
        <v>0.18032167721814399</v>
      </c>
      <c r="AL108">
        <v>7.3027880656904798E-2</v>
      </c>
    </row>
    <row r="109" spans="1:38" x14ac:dyDescent="0.2">
      <c r="A109">
        <v>107</v>
      </c>
      <c r="B109">
        <v>772</v>
      </c>
      <c r="C109">
        <v>150</v>
      </c>
      <c r="D109">
        <v>0.44521886810505501</v>
      </c>
      <c r="E109">
        <v>2.2163324442068899</v>
      </c>
      <c r="F109">
        <v>2.5824420755316999</v>
      </c>
      <c r="G109">
        <v>-36.131414781747338</v>
      </c>
      <c r="H109">
        <v>-31.223659644408656</v>
      </c>
      <c r="I109">
        <v>4.6957423693619704</v>
      </c>
      <c r="J109">
        <v>2.69035219244829</v>
      </c>
      <c r="K109">
        <v>0.85823123205989704</v>
      </c>
      <c r="L109">
        <v>3.0085594677854558E-5</v>
      </c>
      <c r="M109">
        <v>1.7787230397858039E-6</v>
      </c>
      <c r="N109" s="1">
        <v>-1.7495500520680099E-8</v>
      </c>
      <c r="O109" s="1">
        <v>7.5079617398557894E-12</v>
      </c>
      <c r="P109" s="1">
        <v>6.9714638602012395E-11</v>
      </c>
      <c r="Q109">
        <v>63.669551767161998</v>
      </c>
      <c r="S109">
        <v>22.5626881183724</v>
      </c>
      <c r="AA109">
        <v>3.7580292347686401</v>
      </c>
      <c r="AB109">
        <v>8.7001253967259302</v>
      </c>
      <c r="AC109">
        <v>1.30960548297095</v>
      </c>
      <c r="AJ109">
        <v>0.74753386665081201</v>
      </c>
      <c r="AK109">
        <v>0.17843346342701799</v>
      </c>
      <c r="AL109">
        <v>7.4032669922168795E-2</v>
      </c>
    </row>
    <row r="110" spans="1:38" x14ac:dyDescent="0.2">
      <c r="A110">
        <v>108</v>
      </c>
      <c r="B110">
        <v>771</v>
      </c>
      <c r="C110">
        <v>150</v>
      </c>
      <c r="D110">
        <v>0.44462050471675502</v>
      </c>
      <c r="E110">
        <v>2.5181123955612201</v>
      </c>
      <c r="F110">
        <v>2.5820908382705499</v>
      </c>
      <c r="G110">
        <v>-41.0431981856756</v>
      </c>
      <c r="H110">
        <v>-35.475119818431175</v>
      </c>
      <c r="I110">
        <v>5.3326422135176301</v>
      </c>
      <c r="J110">
        <v>3.0572728495159902</v>
      </c>
      <c r="K110">
        <v>0.97522223395045804</v>
      </c>
      <c r="L110">
        <v>3.0128361784329688E-5</v>
      </c>
      <c r="M110">
        <v>1.7798782779516E-6</v>
      </c>
      <c r="N110" s="1">
        <v>-2.0545285587034101E-8</v>
      </c>
      <c r="O110" s="1">
        <v>8.5321220194281903E-12</v>
      </c>
      <c r="P110" s="1">
        <v>8.1146639938556001E-11</v>
      </c>
      <c r="Q110">
        <v>63.7147713412797</v>
      </c>
      <c r="S110">
        <v>22.528169463382699</v>
      </c>
      <c r="AA110">
        <v>3.7189996215301799</v>
      </c>
      <c r="AB110">
        <v>8.7103996512837707</v>
      </c>
      <c r="AC110">
        <v>1.3276599225235499</v>
      </c>
      <c r="AJ110">
        <v>0.74837903664187699</v>
      </c>
      <c r="AK110">
        <v>0.17657143899181099</v>
      </c>
      <c r="AL110">
        <v>7.5049524366310794E-2</v>
      </c>
    </row>
    <row r="111" spans="1:38" x14ac:dyDescent="0.2">
      <c r="A111">
        <v>109</v>
      </c>
      <c r="B111">
        <v>770</v>
      </c>
      <c r="C111">
        <v>150</v>
      </c>
      <c r="D111">
        <v>0.44402099410439499</v>
      </c>
      <c r="E111">
        <v>2.83673025257586</v>
      </c>
      <c r="F111">
        <v>2.5817252486648199</v>
      </c>
      <c r="G111">
        <v>-46.227247350386335</v>
      </c>
      <c r="H111">
        <v>-39.963560291051422</v>
      </c>
      <c r="I111">
        <v>6.0045890421654704</v>
      </c>
      <c r="J111">
        <v>3.4447996753622201</v>
      </c>
      <c r="K111">
        <v>1.0987730991293101</v>
      </c>
      <c r="L111">
        <v>3.0171731226641981E-5</v>
      </c>
      <c r="M111">
        <v>1.7810477460994643E-6</v>
      </c>
      <c r="N111" s="1">
        <v>-2.39182950034427E-8</v>
      </c>
      <c r="O111" s="1">
        <v>9.6138712668624403E-12</v>
      </c>
      <c r="P111" s="1">
        <v>9.3659591267453296E-11</v>
      </c>
      <c r="Q111">
        <v>63.760777679331298</v>
      </c>
      <c r="S111">
        <v>22.492768121849402</v>
      </c>
      <c r="AA111">
        <v>3.6790582022470799</v>
      </c>
      <c r="AB111">
        <v>8.7201130895524805</v>
      </c>
      <c r="AC111">
        <v>1.3472829070196599</v>
      </c>
      <c r="AJ111">
        <v>0.74917804419204903</v>
      </c>
      <c r="AK111">
        <v>0.17466680357299699</v>
      </c>
      <c r="AL111">
        <v>7.6155152234953102E-2</v>
      </c>
    </row>
    <row r="112" spans="1:38" x14ac:dyDescent="0.2">
      <c r="A112">
        <v>110</v>
      </c>
      <c r="B112">
        <v>769</v>
      </c>
      <c r="C112">
        <v>150</v>
      </c>
      <c r="D112">
        <v>0.44342033296550898</v>
      </c>
      <c r="E112">
        <v>3.6316752255274301</v>
      </c>
      <c r="F112">
        <v>2.5808459964895198</v>
      </c>
      <c r="G112">
        <v>-59.162314747683233</v>
      </c>
      <c r="H112">
        <v>-51.154201173286971</v>
      </c>
      <c r="I112">
        <v>7.6842235516924102</v>
      </c>
      <c r="J112">
        <v>4.4109253351621298</v>
      </c>
      <c r="K112">
        <v>1.4071646392180099</v>
      </c>
      <c r="L112">
        <v>3.0226252746827192E-5</v>
      </c>
      <c r="M112">
        <v>1.7830604573080364E-6</v>
      </c>
      <c r="N112" s="1">
        <v>-3.16242330968288E-8</v>
      </c>
      <c r="O112" s="1">
        <v>1.2323317869107501E-11</v>
      </c>
      <c r="P112" s="1">
        <v>1.22805947479731E-10</v>
      </c>
      <c r="Q112">
        <v>63.848245692595299</v>
      </c>
      <c r="S112">
        <v>22.420423847293701</v>
      </c>
      <c r="AA112">
        <v>3.5989639698617402</v>
      </c>
      <c r="AB112">
        <v>8.7253709461189306</v>
      </c>
      <c r="AC112">
        <v>1.4069955441301401</v>
      </c>
      <c r="AJ112">
        <v>0.74961145481118296</v>
      </c>
      <c r="AK112">
        <v>0.170860079519144</v>
      </c>
      <c r="AL112">
        <v>7.9528465669672005E-2</v>
      </c>
    </row>
    <row r="113" spans="1:38" x14ac:dyDescent="0.2">
      <c r="A113">
        <v>111</v>
      </c>
      <c r="B113">
        <v>768</v>
      </c>
      <c r="C113">
        <v>150</v>
      </c>
      <c r="D113">
        <v>0.442818517984921</v>
      </c>
      <c r="E113">
        <v>4.4312565272044404</v>
      </c>
      <c r="F113">
        <v>2.5799488820899099</v>
      </c>
      <c r="G113">
        <v>-72.163506976974773</v>
      </c>
      <c r="H113">
        <v>-62.405577432220213</v>
      </c>
      <c r="I113">
        <v>9.3722610044225796</v>
      </c>
      <c r="J113">
        <v>5.3829805974268998</v>
      </c>
      <c r="K113">
        <v>1.7175753201803099</v>
      </c>
      <c r="L113">
        <v>3.0279032111066233E-5</v>
      </c>
      <c r="M113">
        <v>1.7850251476510798E-6</v>
      </c>
      <c r="N113" s="1">
        <v>-3.9830548842950198E-8</v>
      </c>
      <c r="O113" s="1">
        <v>1.5055336407377602E-11</v>
      </c>
      <c r="P113" s="1">
        <v>1.534356187883E-10</v>
      </c>
      <c r="Q113">
        <v>63.9345395496048</v>
      </c>
      <c r="S113">
        <v>22.347901279145301</v>
      </c>
      <c r="AA113">
        <v>3.5189966167469899</v>
      </c>
      <c r="AB113">
        <v>8.7275448385943797</v>
      </c>
      <c r="AC113">
        <v>1.4710177159084801</v>
      </c>
      <c r="AJ113">
        <v>0.74979139958457497</v>
      </c>
      <c r="AK113">
        <v>0.16706212662592301</v>
      </c>
      <c r="AL113">
        <v>8.3146473789501199E-2</v>
      </c>
    </row>
    <row r="114" spans="1:38" x14ac:dyDescent="0.2">
      <c r="A114">
        <v>112</v>
      </c>
      <c r="B114">
        <v>767</v>
      </c>
      <c r="C114">
        <v>150</v>
      </c>
      <c r="D114">
        <v>0.44221554583473799</v>
      </c>
      <c r="E114">
        <v>5.2373526343954797</v>
      </c>
      <c r="F114">
        <v>2.5790286916242802</v>
      </c>
      <c r="G114">
        <v>-85.260657581296115</v>
      </c>
      <c r="H114">
        <v>-73.743471301390343</v>
      </c>
      <c r="I114">
        <v>11.072620564251</v>
      </c>
      <c r="J114">
        <v>6.3632156984212402</v>
      </c>
      <c r="K114">
        <v>2.0307461686659098</v>
      </c>
      <c r="L114">
        <v>3.032990812735154E-5</v>
      </c>
      <c r="M114">
        <v>1.7869430816040295E-6</v>
      </c>
      <c r="N114" s="1">
        <v>-4.85670147624952E-8</v>
      </c>
      <c r="O114" s="1">
        <v>1.78166089003259E-11</v>
      </c>
      <c r="P114" s="1">
        <v>1.8564878588679799E-10</v>
      </c>
      <c r="Q114">
        <v>64.019837021976997</v>
      </c>
      <c r="S114">
        <v>22.2749313183186</v>
      </c>
      <c r="AA114">
        <v>3.4388926528254702</v>
      </c>
      <c r="AB114">
        <v>8.7263254432589008</v>
      </c>
      <c r="AC114">
        <v>1.5400135636199199</v>
      </c>
      <c r="AJ114">
        <v>0.74969247677819195</v>
      </c>
      <c r="AK114">
        <v>0.16326051290663701</v>
      </c>
      <c r="AL114">
        <v>8.7047010315170106E-2</v>
      </c>
    </row>
    <row r="115" spans="1:38" x14ac:dyDescent="0.2">
      <c r="A115">
        <v>113</v>
      </c>
      <c r="B115">
        <v>766</v>
      </c>
      <c r="C115">
        <v>150</v>
      </c>
      <c r="D115">
        <v>0.44161141317423203</v>
      </c>
      <c r="E115">
        <v>6.0523787744762299</v>
      </c>
      <c r="F115">
        <v>2.5780787494809201</v>
      </c>
      <c r="G115">
        <v>-98.492120811205695</v>
      </c>
      <c r="H115">
        <v>-85.201033612806796</v>
      </c>
      <c r="I115">
        <v>12.790345184428499</v>
      </c>
      <c r="J115">
        <v>7.3545234279435396</v>
      </c>
      <c r="K115">
        <v>2.3476314583853699</v>
      </c>
      <c r="L115">
        <v>3.0378671615496842E-5</v>
      </c>
      <c r="M115">
        <v>1.7888158634915476E-6</v>
      </c>
      <c r="N115" s="1">
        <v>-5.7868503309377901E-8</v>
      </c>
      <c r="O115" s="1">
        <v>2.06158445196638E-11</v>
      </c>
      <c r="P115" s="1">
        <v>2.1956461841045899E-10</v>
      </c>
      <c r="Q115">
        <v>64.104366268890999</v>
      </c>
      <c r="S115">
        <v>22.201169006915499</v>
      </c>
      <c r="AA115">
        <v>3.3583142464736899</v>
      </c>
      <c r="AB115">
        <v>8.7213168486317301</v>
      </c>
      <c r="AC115">
        <v>1.6148336290879499</v>
      </c>
      <c r="AJ115">
        <v>0.74928214142940497</v>
      </c>
      <c r="AK115">
        <v>0.159439322006731</v>
      </c>
      <c r="AL115">
        <v>9.1278536563863102E-2</v>
      </c>
    </row>
    <row r="116" spans="1:38" x14ac:dyDescent="0.2">
      <c r="A116">
        <v>114</v>
      </c>
      <c r="B116">
        <v>765</v>
      </c>
      <c r="C116">
        <v>150</v>
      </c>
      <c r="D116">
        <v>0.44100611664981298</v>
      </c>
      <c r="E116">
        <v>6.87952085173404</v>
      </c>
      <c r="F116">
        <v>2.57709030128192</v>
      </c>
      <c r="G116">
        <v>-111.90848683044982</v>
      </c>
      <c r="H116">
        <v>-96.821996312573091</v>
      </c>
      <c r="I116">
        <v>14.5320912371783</v>
      </c>
      <c r="J116">
        <v>8.3607189303751603</v>
      </c>
      <c r="K116">
        <v>2.66949157672587</v>
      </c>
      <c r="L116">
        <v>3.0425044171511349E-5</v>
      </c>
      <c r="M116">
        <v>1.7906455495044806E-6</v>
      </c>
      <c r="N116" s="1">
        <v>-6.7776924641569397E-8</v>
      </c>
      <c r="O116" s="1">
        <v>2.3464661446926E-11</v>
      </c>
      <c r="P116" s="1">
        <v>2.5532876419949898E-10</v>
      </c>
      <c r="Q116">
        <v>64.188426012898603</v>
      </c>
      <c r="S116">
        <v>22.1261619855193</v>
      </c>
      <c r="AA116">
        <v>3.2768184937174798</v>
      </c>
      <c r="AB116">
        <v>8.7119988228810907</v>
      </c>
      <c r="AC116">
        <v>1.69659468498338</v>
      </c>
      <c r="AJ116">
        <v>0.74851759212396796</v>
      </c>
      <c r="AK116">
        <v>0.15557771196351899</v>
      </c>
      <c r="AL116">
        <v>9.5904695912511898E-2</v>
      </c>
    </row>
    <row r="117" spans="1:38" x14ac:dyDescent="0.2">
      <c r="A117">
        <v>115</v>
      </c>
      <c r="B117">
        <v>764</v>
      </c>
      <c r="C117">
        <v>150</v>
      </c>
      <c r="D117">
        <v>0.44039965289495597</v>
      </c>
      <c r="E117">
        <v>8.2329350580114298</v>
      </c>
      <c r="F117">
        <v>2.5754311567718902</v>
      </c>
      <c r="G117">
        <v>-133.8467835907974</v>
      </c>
      <c r="H117">
        <v>-115.816514345725</v>
      </c>
      <c r="I117">
        <v>17.384437395817699</v>
      </c>
      <c r="J117">
        <v>10.006115582720801</v>
      </c>
      <c r="K117">
        <v>3.1967210757560198</v>
      </c>
      <c r="L117">
        <v>3.0477478089154762E-5</v>
      </c>
      <c r="M117">
        <v>1.7933255051097E-6</v>
      </c>
      <c r="N117" s="1">
        <v>-8.3422598541878994E-8</v>
      </c>
      <c r="O117" s="1">
        <v>2.8154372226779101E-11</v>
      </c>
      <c r="P117" s="1">
        <v>3.1217321288479502E-10</v>
      </c>
      <c r="Q117">
        <v>64.318446033851899</v>
      </c>
      <c r="S117">
        <v>22.006968357130599</v>
      </c>
      <c r="AA117">
        <v>3.1481441354497499</v>
      </c>
      <c r="AB117">
        <v>8.6892598751304799</v>
      </c>
      <c r="AC117">
        <v>1.8371815984372</v>
      </c>
      <c r="AJ117">
        <v>0.74665041345037197</v>
      </c>
      <c r="AK117">
        <v>0.149485793845651</v>
      </c>
      <c r="AL117">
        <v>0.103863792703975</v>
      </c>
    </row>
    <row r="118" spans="1:38" x14ac:dyDescent="0.2">
      <c r="A118">
        <v>116</v>
      </c>
      <c r="B118">
        <v>763</v>
      </c>
      <c r="C118">
        <v>150</v>
      </c>
      <c r="D118">
        <v>0.43979201853014099</v>
      </c>
      <c r="E118">
        <v>11.527887611834201</v>
      </c>
      <c r="F118">
        <v>2.5764070129886898</v>
      </c>
      <c r="G118">
        <v>-187.39474269701194</v>
      </c>
      <c r="H118">
        <v>-162.19220711673023</v>
      </c>
      <c r="I118">
        <v>24.323250089544601</v>
      </c>
      <c r="J118">
        <v>14.0097549524509</v>
      </c>
      <c r="K118">
        <v>4.4744046859512103</v>
      </c>
      <c r="L118">
        <v>3.0432366025579098E-5</v>
      </c>
      <c r="M118">
        <v>1.7907241548686643E-6</v>
      </c>
      <c r="N118" s="1">
        <v>-1.1954414233921699E-7</v>
      </c>
      <c r="O118" s="1">
        <v>3.9324327828812003E-11</v>
      </c>
      <c r="P118" s="1">
        <v>4.45037131846072E-10</v>
      </c>
      <c r="Q118">
        <v>64.202732294946699</v>
      </c>
      <c r="S118">
        <v>22.084828985819499</v>
      </c>
      <c r="AA118">
        <v>3.23938017041255</v>
      </c>
      <c r="AB118">
        <v>8.6355197729834501</v>
      </c>
      <c r="AC118">
        <v>1.83753877583769</v>
      </c>
      <c r="AJ118">
        <v>0.74222958848782405</v>
      </c>
      <c r="AK118">
        <v>0.15385885281822601</v>
      </c>
      <c r="AL118">
        <v>0.103911558693949</v>
      </c>
    </row>
    <row r="119" spans="1:38" x14ac:dyDescent="0.2">
      <c r="A119">
        <v>116</v>
      </c>
      <c r="B119">
        <v>763</v>
      </c>
      <c r="C119">
        <v>150</v>
      </c>
      <c r="D119">
        <v>0.43979201853014099</v>
      </c>
      <c r="E119">
        <v>9.2606718673602195</v>
      </c>
      <c r="F119">
        <v>2.52001684962576</v>
      </c>
      <c r="G119">
        <v>-146.71765759223365</v>
      </c>
      <c r="H119">
        <v>-126.76755683456707</v>
      </c>
      <c r="I119">
        <v>19.254066262285001</v>
      </c>
      <c r="J119">
        <v>10.9928782840924</v>
      </c>
      <c r="K119">
        <v>3.6748452172990298</v>
      </c>
      <c r="L119">
        <v>2.8219490318927738E-5</v>
      </c>
      <c r="M119">
        <v>1.7965994208117567E-6</v>
      </c>
      <c r="N119" s="1">
        <v>-3.8780317787347597E-8</v>
      </c>
      <c r="O119" s="1">
        <v>3.5211743137012903E-11</v>
      </c>
      <c r="P119" s="1">
        <v>1.8611335609465199E-10</v>
      </c>
      <c r="Q119">
        <v>65.902944327528402</v>
      </c>
      <c r="S119">
        <v>19.0604276268182</v>
      </c>
      <c r="AA119">
        <v>0.34749684742806702</v>
      </c>
      <c r="AB119">
        <v>4.4954897642419702</v>
      </c>
      <c r="AC119">
        <v>10.193641433983201</v>
      </c>
      <c r="AJ119">
        <v>0.39454241683336899</v>
      </c>
      <c r="AK119">
        <v>1.6853043691101299E-2</v>
      </c>
      <c r="AL119">
        <v>0.58860453947552804</v>
      </c>
    </row>
    <row r="120" spans="1:38" x14ac:dyDescent="0.2">
      <c r="A120">
        <v>117</v>
      </c>
      <c r="B120">
        <v>762</v>
      </c>
      <c r="C120">
        <v>150</v>
      </c>
      <c r="D120">
        <v>0.439183210162781</v>
      </c>
      <c r="E120">
        <v>16.0630663813469</v>
      </c>
      <c r="F120">
        <v>2.5793989884814899</v>
      </c>
      <c r="G120">
        <v>-261.18716657834813</v>
      </c>
      <c r="H120">
        <v>-226.14134952092203</v>
      </c>
      <c r="I120">
        <v>33.855786173429998</v>
      </c>
      <c r="J120">
        <v>19.5181856932073</v>
      </c>
      <c r="K120">
        <v>6.2274454061112099</v>
      </c>
      <c r="L120">
        <v>3.0313112852175094E-5</v>
      </c>
      <c r="M120">
        <v>1.7840651883538833E-6</v>
      </c>
      <c r="N120" s="1">
        <v>-1.69874493231884E-7</v>
      </c>
      <c r="O120" s="1">
        <v>5.4442689528884501E-11</v>
      </c>
      <c r="P120" s="1">
        <v>6.2981885492906096E-10</v>
      </c>
      <c r="Q120">
        <v>63.8988502917773</v>
      </c>
      <c r="S120">
        <v>22.314250412969699</v>
      </c>
      <c r="AA120">
        <v>3.4995619080054601</v>
      </c>
      <c r="AB120">
        <v>8.5597931205169395</v>
      </c>
      <c r="AC120">
        <v>1.72754426673057</v>
      </c>
      <c r="AJ120">
        <v>0.73599401490974803</v>
      </c>
      <c r="AK120">
        <v>0.16627826536145901</v>
      </c>
      <c r="AL120">
        <v>9.77277197287926E-2</v>
      </c>
    </row>
    <row r="121" spans="1:38" x14ac:dyDescent="0.2">
      <c r="A121">
        <v>117</v>
      </c>
      <c r="B121">
        <v>762</v>
      </c>
      <c r="C121">
        <v>150</v>
      </c>
      <c r="D121">
        <v>0.439183210162781</v>
      </c>
      <c r="E121">
        <v>24.030731154594299</v>
      </c>
      <c r="F121">
        <v>2.5198821778913101</v>
      </c>
      <c r="G121">
        <v>-380.4211714160877</v>
      </c>
      <c r="H121">
        <v>-328.7745335496615</v>
      </c>
      <c r="I121">
        <v>49.892902348863601</v>
      </c>
      <c r="J121">
        <v>28.503675924260801</v>
      </c>
      <c r="K121">
        <v>9.5364503013008601</v>
      </c>
      <c r="L121">
        <v>2.8122581703386685E-5</v>
      </c>
      <c r="M121">
        <v>1.7950659816693239E-6</v>
      </c>
      <c r="N121" s="1">
        <v>-9.9118018568257901E-8</v>
      </c>
      <c r="O121" s="1">
        <v>9.1470982534907103E-11</v>
      </c>
      <c r="P121" s="1">
        <v>4.7824937272917703E-10</v>
      </c>
      <c r="Q121">
        <v>65.854077814366704</v>
      </c>
      <c r="S121">
        <v>19.044461836351299</v>
      </c>
      <c r="AA121">
        <v>0.34572723961454499</v>
      </c>
      <c r="AB121">
        <v>4.3447369643755698</v>
      </c>
      <c r="AC121">
        <v>10.410996145291801</v>
      </c>
      <c r="AJ121">
        <v>0.38160402325056803</v>
      </c>
      <c r="AK121">
        <v>1.6780072964842199E-2</v>
      </c>
      <c r="AL121">
        <v>0.60161590378458896</v>
      </c>
    </row>
    <row r="122" spans="1:38" x14ac:dyDescent="0.2">
      <c r="A122">
        <v>118</v>
      </c>
      <c r="B122">
        <v>761</v>
      </c>
      <c r="C122">
        <v>150</v>
      </c>
      <c r="D122">
        <v>0.43857322438717999</v>
      </c>
      <c r="E122">
        <v>17.8435940478603</v>
      </c>
      <c r="F122">
        <v>2.5807044567546198</v>
      </c>
      <c r="G122">
        <v>-290.15027616114264</v>
      </c>
      <c r="H122">
        <v>-251.28782816268333</v>
      </c>
      <c r="I122">
        <v>37.579121015770703</v>
      </c>
      <c r="J122">
        <v>21.683073691498201</v>
      </c>
      <c r="K122">
        <v>6.9142338252476998</v>
      </c>
      <c r="L122">
        <v>3.0279227570967529E-5</v>
      </c>
      <c r="M122">
        <v>1.7813239294206453E-6</v>
      </c>
      <c r="N122" s="1">
        <v>-1.9375827103373699E-7</v>
      </c>
      <c r="O122" s="1">
        <v>6.0281385840853096E-11</v>
      </c>
      <c r="P122" s="1">
        <v>7.1431741826288303E-10</v>
      </c>
      <c r="Q122">
        <v>63.770115281324998</v>
      </c>
      <c r="S122">
        <v>22.411590594728501</v>
      </c>
      <c r="AA122">
        <v>3.6099071094089701</v>
      </c>
      <c r="AB122">
        <v>8.5281039937875391</v>
      </c>
      <c r="AC122">
        <v>1.6802830207498001</v>
      </c>
      <c r="AJ122">
        <v>0.73338323360695201</v>
      </c>
      <c r="AK122">
        <v>0.171547860679614</v>
      </c>
      <c r="AL122">
        <v>9.5068905713432503E-2</v>
      </c>
    </row>
    <row r="123" spans="1:38" x14ac:dyDescent="0.2">
      <c r="A123">
        <v>118</v>
      </c>
      <c r="B123">
        <v>761</v>
      </c>
      <c r="C123">
        <v>150</v>
      </c>
      <c r="D123">
        <v>0.43857322438717999</v>
      </c>
      <c r="E123">
        <v>29.6448533759275</v>
      </c>
      <c r="F123">
        <v>2.5198503021289098</v>
      </c>
      <c r="G123">
        <v>-469.09665624953271</v>
      </c>
      <c r="H123">
        <v>-405.50519847867866</v>
      </c>
      <c r="I123">
        <v>61.491522284827198</v>
      </c>
      <c r="J123">
        <v>35.1523323901338</v>
      </c>
      <c r="K123">
        <v>11.764529563871999</v>
      </c>
      <c r="L123">
        <v>2.8086488367152469E-5</v>
      </c>
      <c r="M123">
        <v>1.7944826677401307E-6</v>
      </c>
      <c r="N123" s="1">
        <v>-1.2418099604120699E-7</v>
      </c>
      <c r="O123" s="1">
        <v>1.12874901405125E-10</v>
      </c>
      <c r="P123" s="1">
        <v>5.9535362087145495E-10</v>
      </c>
      <c r="Q123">
        <v>65.834152807855901</v>
      </c>
      <c r="S123">
        <v>19.036049334208801</v>
      </c>
      <c r="AA123">
        <v>0.34343606708688001</v>
      </c>
      <c r="AB123">
        <v>4.2782806876359798</v>
      </c>
      <c r="AC123">
        <v>10.5080811032123</v>
      </c>
      <c r="AJ123">
        <v>0.37589410919062499</v>
      </c>
      <c r="AK123">
        <v>1.66745045276597E-2</v>
      </c>
      <c r="AL123">
        <v>0.607431386281714</v>
      </c>
    </row>
    <row r="124" spans="1:38" x14ac:dyDescent="0.2">
      <c r="A124">
        <v>119</v>
      </c>
      <c r="B124">
        <v>760</v>
      </c>
      <c r="C124">
        <v>150</v>
      </c>
      <c r="D124">
        <v>0.43796205778444602</v>
      </c>
      <c r="E124">
        <v>18.647046993565102</v>
      </c>
      <c r="F124">
        <v>2.5813567117409999</v>
      </c>
      <c r="G124">
        <v>-303.20213171056974</v>
      </c>
      <c r="H124">
        <v>-262.65589965289911</v>
      </c>
      <c r="I124">
        <v>39.245251955350803</v>
      </c>
      <c r="J124">
        <v>22.663215823638499</v>
      </c>
      <c r="K124">
        <v>7.2237389388112003</v>
      </c>
      <c r="L124">
        <v>3.0281284064611619E-5</v>
      </c>
      <c r="M124">
        <v>1.7801698900476962E-6</v>
      </c>
      <c r="N124" s="1">
        <v>-2.0852284749446E-7</v>
      </c>
      <c r="O124" s="1">
        <v>6.2869414424960805E-11</v>
      </c>
      <c r="P124" s="1">
        <v>7.6397549572225903E-10</v>
      </c>
      <c r="Q124">
        <v>63.711368533037202</v>
      </c>
      <c r="S124">
        <v>22.456743013426301</v>
      </c>
      <c r="AA124">
        <v>3.6608660677519</v>
      </c>
      <c r="AB124">
        <v>8.51556295093404</v>
      </c>
      <c r="AC124">
        <v>1.6554594348504399</v>
      </c>
      <c r="AJ124">
        <v>0.73234967215495095</v>
      </c>
      <c r="AK124">
        <v>0.17398017309114799</v>
      </c>
      <c r="AL124">
        <v>9.3670154753899296E-2</v>
      </c>
    </row>
    <row r="125" spans="1:38" x14ac:dyDescent="0.2">
      <c r="A125">
        <v>119</v>
      </c>
      <c r="B125">
        <v>760</v>
      </c>
      <c r="C125">
        <v>150</v>
      </c>
      <c r="D125">
        <v>0.43796205778444602</v>
      </c>
      <c r="E125">
        <v>32.111105602102398</v>
      </c>
      <c r="F125">
        <v>2.5198502526435802</v>
      </c>
      <c r="G125">
        <v>-507.97517111347815</v>
      </c>
      <c r="H125">
        <v>-439.21207717253105</v>
      </c>
      <c r="I125">
        <v>66.556738073800602</v>
      </c>
      <c r="J125">
        <v>38.072322809520401</v>
      </c>
      <c r="K125">
        <v>12.743259472825599</v>
      </c>
      <c r="L125">
        <v>2.8073333013261651E-5</v>
      </c>
      <c r="M125">
        <v>1.7942508791714087E-6</v>
      </c>
      <c r="N125" s="1">
        <v>-1.3822309298981901E-7</v>
      </c>
      <c r="O125" s="1">
        <v>1.2226585631934801E-10</v>
      </c>
      <c r="P125" s="1">
        <v>6.5556130656084203E-10</v>
      </c>
      <c r="Q125">
        <v>65.8250550380465</v>
      </c>
      <c r="S125">
        <v>19.030433268091102</v>
      </c>
      <c r="AA125">
        <v>0.34092559524638699</v>
      </c>
      <c r="AB125">
        <v>4.2432835479526601</v>
      </c>
      <c r="AC125">
        <v>10.5603025506632</v>
      </c>
      <c r="AJ125">
        <v>0.37288561840281798</v>
      </c>
      <c r="AK125">
        <v>1.6555563901871899E-2</v>
      </c>
      <c r="AL125">
        <v>0.61055881769530895</v>
      </c>
    </row>
    <row r="126" spans="1:38" x14ac:dyDescent="0.2">
      <c r="A126">
        <v>120</v>
      </c>
      <c r="B126">
        <v>759</v>
      </c>
      <c r="C126">
        <v>150</v>
      </c>
      <c r="D126">
        <v>0.43734970692244701</v>
      </c>
      <c r="E126">
        <v>19.112708828477398</v>
      </c>
      <c r="F126">
        <v>2.5817704895018099</v>
      </c>
      <c r="G126">
        <v>-310.75148824628775</v>
      </c>
      <c r="H126">
        <v>-269.25852583535391</v>
      </c>
      <c r="I126">
        <v>40.200515827092701</v>
      </c>
      <c r="J126">
        <v>23.2341397817722</v>
      </c>
      <c r="K126">
        <v>7.4029465075207002</v>
      </c>
      <c r="L126">
        <v>3.0297359715636064E-5</v>
      </c>
      <c r="M126">
        <v>1.7796058872045529E-6</v>
      </c>
      <c r="N126" s="1">
        <v>-2.20354525116007E-7</v>
      </c>
      <c r="O126" s="1">
        <v>6.4338334113073705E-11</v>
      </c>
      <c r="P126" s="1">
        <v>8.0221164410531003E-10</v>
      </c>
      <c r="Q126">
        <v>63.678450103931297</v>
      </c>
      <c r="S126">
        <v>22.4827070710496</v>
      </c>
      <c r="AA126">
        <v>3.6899677465499301</v>
      </c>
      <c r="AB126">
        <v>8.5102741493044505</v>
      </c>
      <c r="AC126">
        <v>1.63860092916459</v>
      </c>
      <c r="AJ126">
        <v>0.73191364136661696</v>
      </c>
      <c r="AK126">
        <v>0.175367718268057</v>
      </c>
      <c r="AL126">
        <v>9.2718640365325705E-2</v>
      </c>
    </row>
    <row r="127" spans="1:38" x14ac:dyDescent="0.2">
      <c r="A127">
        <v>120</v>
      </c>
      <c r="B127">
        <v>759</v>
      </c>
      <c r="C127">
        <v>150</v>
      </c>
      <c r="D127">
        <v>0.43734970692244701</v>
      </c>
      <c r="E127">
        <v>33.490895352080599</v>
      </c>
      <c r="F127">
        <v>2.5198610585407999</v>
      </c>
      <c r="G127">
        <v>-529.67491601843551</v>
      </c>
      <c r="H127">
        <v>-458.07628747781621</v>
      </c>
      <c r="I127">
        <v>69.368433406597205</v>
      </c>
      <c r="J127">
        <v>39.706304065345499</v>
      </c>
      <c r="K127">
        <v>13.290770631407099</v>
      </c>
      <c r="L127">
        <v>2.8068659463400428E-5</v>
      </c>
      <c r="M127">
        <v>1.7941456200486714E-6</v>
      </c>
      <c r="N127" s="1">
        <v>-1.48754464474492E-7</v>
      </c>
      <c r="O127" s="1">
        <v>1.2750549069127701E-10</v>
      </c>
      <c r="P127" s="1">
        <v>6.9698332582161403E-10</v>
      </c>
      <c r="Q127">
        <v>65.819845612830207</v>
      </c>
      <c r="S127">
        <v>19.025831869523699</v>
      </c>
      <c r="AA127">
        <v>0.33834494247056701</v>
      </c>
      <c r="AB127">
        <v>4.2196114586095197</v>
      </c>
      <c r="AC127">
        <v>10.5963661165658</v>
      </c>
      <c r="AJ127">
        <v>0.37085007276859</v>
      </c>
      <c r="AK127">
        <v>1.6432225456481001E-2</v>
      </c>
      <c r="AL127">
        <v>0.61271770177492801</v>
      </c>
    </row>
    <row r="128" spans="1:38" x14ac:dyDescent="0.2">
      <c r="A128">
        <v>121</v>
      </c>
      <c r="B128">
        <v>758</v>
      </c>
      <c r="C128">
        <v>150</v>
      </c>
      <c r="D128">
        <v>0.43673616835572199</v>
      </c>
      <c r="E128">
        <v>19.425548587228199</v>
      </c>
      <c r="F128">
        <v>2.5820722651180499</v>
      </c>
      <c r="G128">
        <v>-315.81091917951392</v>
      </c>
      <c r="H128">
        <v>-273.70473291024683</v>
      </c>
      <c r="I128">
        <v>40.834200910892797</v>
      </c>
      <c r="J128">
        <v>23.620135943782699</v>
      </c>
      <c r="K128">
        <v>7.5232397054309503</v>
      </c>
      <c r="L128">
        <v>3.0320615235232525E-5</v>
      </c>
      <c r="M128">
        <v>1.7793226184321439E-6</v>
      </c>
      <c r="N128" s="1">
        <v>-2.3102894571337701E-7</v>
      </c>
      <c r="O128" s="1">
        <v>6.5301248129484598E-11</v>
      </c>
      <c r="P128" s="1">
        <v>8.3576089057750695E-10</v>
      </c>
      <c r="Q128">
        <v>63.657727677898301</v>
      </c>
      <c r="S128">
        <v>22.4996252713402</v>
      </c>
      <c r="AA128">
        <v>3.7087607298392098</v>
      </c>
      <c r="AB128">
        <v>8.5084485955597895</v>
      </c>
      <c r="AC128">
        <v>1.6254377253624199</v>
      </c>
      <c r="AJ128">
        <v>0.73176299224522001</v>
      </c>
      <c r="AK128">
        <v>0.176262395730265</v>
      </c>
      <c r="AL128">
        <v>9.1974612024513999E-2</v>
      </c>
    </row>
    <row r="129" spans="1:38" x14ac:dyDescent="0.2">
      <c r="A129">
        <v>121</v>
      </c>
      <c r="B129">
        <v>758</v>
      </c>
      <c r="C129">
        <v>150</v>
      </c>
      <c r="D129">
        <v>0.43673616835572199</v>
      </c>
      <c r="E129">
        <v>34.377146486055402</v>
      </c>
      <c r="F129">
        <v>2.5198769386280402</v>
      </c>
      <c r="G129">
        <v>-543.57292104508622</v>
      </c>
      <c r="H129">
        <v>-470.19966230103898</v>
      </c>
      <c r="I129">
        <v>71.156726707120399</v>
      </c>
      <c r="J129">
        <v>40.756393275959503</v>
      </c>
      <c r="K129">
        <v>13.6423910069085</v>
      </c>
      <c r="L129">
        <v>2.8068137566910591E-5</v>
      </c>
      <c r="M129">
        <v>1.794099653483727E-6</v>
      </c>
      <c r="N129" s="1">
        <v>-1.5784189261173E-7</v>
      </c>
      <c r="O129" s="1">
        <v>1.30857448188635E-10</v>
      </c>
      <c r="P129" s="1">
        <v>7.3030348264828702E-10</v>
      </c>
      <c r="Q129">
        <v>65.816438718762598</v>
      </c>
      <c r="S129">
        <v>19.021711609568001</v>
      </c>
      <c r="AA129">
        <v>0.33574063797447301</v>
      </c>
      <c r="AB129">
        <v>4.2012175807060004</v>
      </c>
      <c r="AC129">
        <v>10.624891452988701</v>
      </c>
      <c r="AJ129">
        <v>0.36926806284122399</v>
      </c>
      <c r="AK129">
        <v>1.63072705149504E-2</v>
      </c>
      <c r="AL129">
        <v>0.614424666643825</v>
      </c>
    </row>
    <row r="130" spans="1:38" x14ac:dyDescent="0.2">
      <c r="A130">
        <v>122</v>
      </c>
      <c r="B130">
        <v>757</v>
      </c>
      <c r="C130">
        <v>150</v>
      </c>
      <c r="D130">
        <v>0.436121438625445</v>
      </c>
      <c r="E130">
        <v>19.6563789131432</v>
      </c>
      <c r="F130">
        <v>2.58231212356297</v>
      </c>
      <c r="G130">
        <v>-319.53394145302252</v>
      </c>
      <c r="H130">
        <v>-276.99359898272871</v>
      </c>
      <c r="I130">
        <v>41.295289492106797</v>
      </c>
      <c r="J130">
        <v>23.907053158183398</v>
      </c>
      <c r="K130">
        <v>7.6119299188442602</v>
      </c>
      <c r="L130">
        <v>3.0348328651297767E-5</v>
      </c>
      <c r="M130">
        <v>1.7791966415353316E-6</v>
      </c>
      <c r="N130" s="1">
        <v>-2.4122693493093499E-7</v>
      </c>
      <c r="O130" s="1">
        <v>6.5992075723253303E-11</v>
      </c>
      <c r="P130" s="1">
        <v>8.6720415054949199E-10</v>
      </c>
      <c r="Q130">
        <v>63.643771043073997</v>
      </c>
      <c r="S130">
        <v>22.511529270757499</v>
      </c>
      <c r="AA130">
        <v>3.7218382411825299</v>
      </c>
      <c r="AB130">
        <v>8.5085548652767091</v>
      </c>
      <c r="AC130">
        <v>1.61430657970917</v>
      </c>
      <c r="AJ130">
        <v>0.73177153890986002</v>
      </c>
      <c r="AK130">
        <v>0.17688377361001201</v>
      </c>
      <c r="AL130">
        <v>9.1344687480127404E-2</v>
      </c>
    </row>
    <row r="131" spans="1:38" x14ac:dyDescent="0.2">
      <c r="A131">
        <v>122</v>
      </c>
      <c r="B131">
        <v>757</v>
      </c>
      <c r="C131">
        <v>150</v>
      </c>
      <c r="D131">
        <v>0.436121438625445</v>
      </c>
      <c r="E131">
        <v>34.996963362344999</v>
      </c>
      <c r="F131">
        <v>2.5198957189955902</v>
      </c>
      <c r="G131">
        <v>-553.25986495025472</v>
      </c>
      <c r="H131">
        <v>-478.68460821151524</v>
      </c>
      <c r="I131">
        <v>72.392619267814794</v>
      </c>
      <c r="J131">
        <v>41.491427916210903</v>
      </c>
      <c r="K131">
        <v>13.888258588849199</v>
      </c>
      <c r="L131">
        <v>2.8070074257992757E-5</v>
      </c>
      <c r="M131">
        <v>1.7940866426972798E-6</v>
      </c>
      <c r="N131" s="1">
        <v>-1.6625971528135399E-7</v>
      </c>
      <c r="O131" s="1">
        <v>1.33189224569656E-10</v>
      </c>
      <c r="P131" s="1">
        <v>7.5956184241720201E-10</v>
      </c>
      <c r="Q131">
        <v>65.814014469703906</v>
      </c>
      <c r="S131">
        <v>19.017862959871501</v>
      </c>
      <c r="AA131">
        <v>0.33313112794402999</v>
      </c>
      <c r="AB131">
        <v>4.1857255361236501</v>
      </c>
      <c r="AC131">
        <v>10.649265906356799</v>
      </c>
      <c r="AJ131">
        <v>0.36793540557879301</v>
      </c>
      <c r="AK131">
        <v>1.6181800365116E-2</v>
      </c>
      <c r="AL131">
        <v>0.61588279405609003</v>
      </c>
    </row>
    <row r="132" spans="1:38" x14ac:dyDescent="0.2">
      <c r="A132">
        <v>123</v>
      </c>
      <c r="B132">
        <v>756</v>
      </c>
      <c r="C132">
        <v>150</v>
      </c>
      <c r="D132">
        <v>0.43550551425934297</v>
      </c>
      <c r="E132">
        <v>19.837942696646699</v>
      </c>
      <c r="F132">
        <v>2.5825138242790899</v>
      </c>
      <c r="G132">
        <v>-322.45399063465788</v>
      </c>
      <c r="H132">
        <v>-279.5871610754225</v>
      </c>
      <c r="I132">
        <v>41.6526546754462</v>
      </c>
      <c r="J132">
        <v>24.1345849732175</v>
      </c>
      <c r="K132">
        <v>7.6816404660232296</v>
      </c>
      <c r="L132">
        <v>3.0379217473483058E-5</v>
      </c>
      <c r="M132">
        <v>1.7791691631175306E-6</v>
      </c>
      <c r="N132" s="1">
        <v>-2.5126736268238601E-7</v>
      </c>
      <c r="O132" s="1">
        <v>6.6518702015881901E-11</v>
      </c>
      <c r="P132" s="1">
        <v>8.9774590460797004E-10</v>
      </c>
      <c r="Q132">
        <v>63.633995274358597</v>
      </c>
      <c r="S132">
        <v>22.5203358569775</v>
      </c>
      <c r="AA132">
        <v>3.7313848069727098</v>
      </c>
      <c r="AB132">
        <v>8.5098576995604596</v>
      </c>
      <c r="AC132">
        <v>1.6044263621305499</v>
      </c>
      <c r="AJ132">
        <v>0.73187869069276301</v>
      </c>
      <c r="AK132">
        <v>0.17733629623275701</v>
      </c>
      <c r="AL132">
        <v>9.0785013074479406E-2</v>
      </c>
    </row>
    <row r="133" spans="1:38" x14ac:dyDescent="0.2">
      <c r="A133">
        <v>123</v>
      </c>
      <c r="B133">
        <v>756</v>
      </c>
      <c r="C133">
        <v>150</v>
      </c>
      <c r="D133">
        <v>0.43550551425934297</v>
      </c>
      <c r="E133">
        <v>35.455641196183102</v>
      </c>
      <c r="F133">
        <v>2.51991640030873</v>
      </c>
      <c r="G133">
        <v>-560.40027174331681</v>
      </c>
      <c r="H133">
        <v>-484.96929290638423</v>
      </c>
      <c r="I133">
        <v>73.2944457435093</v>
      </c>
      <c r="J133">
        <v>42.036027732417601</v>
      </c>
      <c r="K133">
        <v>14.0701656578127</v>
      </c>
      <c r="L133">
        <v>2.8073677455436533E-5</v>
      </c>
      <c r="M133">
        <v>1.7940941927533007E-6</v>
      </c>
      <c r="N133" s="1">
        <v>-1.7436364065221699E-7</v>
      </c>
      <c r="O133" s="1">
        <v>1.3490315032946701E-10</v>
      </c>
      <c r="P133" s="1">
        <v>7.8662099051635404E-10</v>
      </c>
      <c r="Q133">
        <v>65.812185786462393</v>
      </c>
      <c r="S133">
        <v>19.0141869587898</v>
      </c>
      <c r="AA133">
        <v>0.330525087647141</v>
      </c>
      <c r="AB133">
        <v>4.1720132988216703</v>
      </c>
      <c r="AC133">
        <v>10.671088868278799</v>
      </c>
      <c r="AJ133">
        <v>0.36675567792866098</v>
      </c>
      <c r="AK133">
        <v>1.6056333545419101E-2</v>
      </c>
      <c r="AL133">
        <v>0.61718798852591905</v>
      </c>
    </row>
    <row r="134" spans="1:38" x14ac:dyDescent="0.2">
      <c r="A134">
        <v>124</v>
      </c>
      <c r="B134">
        <v>755</v>
      </c>
      <c r="C134">
        <v>150</v>
      </c>
      <c r="D134">
        <v>0.43488839177162902</v>
      </c>
      <c r="E134">
        <v>19.9874724178371</v>
      </c>
      <c r="F134">
        <v>2.5826901406490599</v>
      </c>
      <c r="G134">
        <v>-324.85183835454143</v>
      </c>
      <c r="H134">
        <v>-281.72861692507706</v>
      </c>
      <c r="I134">
        <v>41.942538957802199</v>
      </c>
      <c r="J134">
        <v>24.3236241818494</v>
      </c>
      <c r="K134">
        <v>7.7390129397458498</v>
      </c>
      <c r="L134">
        <v>3.0412605622941268E-5</v>
      </c>
      <c r="M134">
        <v>1.7792085213423925E-6</v>
      </c>
      <c r="N134" s="1">
        <v>-2.6132281158034102E-7</v>
      </c>
      <c r="O134" s="1">
        <v>6.6937773306137804E-11</v>
      </c>
      <c r="P134" s="1">
        <v>9.2803316882995303E-10</v>
      </c>
      <c r="Q134">
        <v>63.627007546388903</v>
      </c>
      <c r="S134">
        <v>22.5270769872016</v>
      </c>
      <c r="AA134">
        <v>3.7385767992246102</v>
      </c>
      <c r="AB134">
        <v>8.5119586717361493</v>
      </c>
      <c r="AC134">
        <v>1.5953799954485799</v>
      </c>
      <c r="AJ134">
        <v>0.73205161156584297</v>
      </c>
      <c r="AK134">
        <v>0.17767621402290101</v>
      </c>
      <c r="AL134">
        <v>9.0272174411254902E-2</v>
      </c>
    </row>
    <row r="135" spans="1:38" x14ac:dyDescent="0.2">
      <c r="A135">
        <v>124</v>
      </c>
      <c r="B135">
        <v>755</v>
      </c>
      <c r="C135">
        <v>150</v>
      </c>
      <c r="D135">
        <v>0.43488839177162902</v>
      </c>
      <c r="E135">
        <v>35.808805230861502</v>
      </c>
      <c r="F135">
        <v>2.5199384564472398</v>
      </c>
      <c r="G135">
        <v>-565.87338035671712</v>
      </c>
      <c r="H135">
        <v>-489.81337750874167</v>
      </c>
      <c r="I135">
        <v>73.977535231216507</v>
      </c>
      <c r="J135">
        <v>42.456019103576097</v>
      </c>
      <c r="K135">
        <v>14.210190387485399</v>
      </c>
      <c r="L135">
        <v>2.8078529197524233E-5</v>
      </c>
      <c r="M135">
        <v>1.7941156881229964E-6</v>
      </c>
      <c r="N135" s="1">
        <v>-1.82342039821911E-7</v>
      </c>
      <c r="O135" s="1">
        <v>1.3621180110264899E-10</v>
      </c>
      <c r="P135" s="1">
        <v>8.1246553505345205E-10</v>
      </c>
      <c r="Q135">
        <v>65.810745313015502</v>
      </c>
      <c r="S135">
        <v>19.0106305245973</v>
      </c>
      <c r="AA135">
        <v>0.32792710780960499</v>
      </c>
      <c r="AB135">
        <v>4.1594796263765996</v>
      </c>
      <c r="AC135">
        <v>10.6912174282009</v>
      </c>
      <c r="AJ135">
        <v>0.36567720528868097</v>
      </c>
      <c r="AK135">
        <v>1.5931145233623201E-2</v>
      </c>
      <c r="AL135">
        <v>0.61839164947769498</v>
      </c>
    </row>
    <row r="136" spans="1:38" x14ac:dyDescent="0.2">
      <c r="A136">
        <v>126</v>
      </c>
      <c r="B136">
        <v>792</v>
      </c>
      <c r="C136">
        <v>125</v>
      </c>
      <c r="D136">
        <v>0.48276815471999501</v>
      </c>
      <c r="E136">
        <v>9.7004260078483701E-2</v>
      </c>
      <c r="F136">
        <v>2.5826245409162998</v>
      </c>
      <c r="G136">
        <v>-1.5871164739813168</v>
      </c>
      <c r="H136">
        <v>-1.3659270430098136</v>
      </c>
      <c r="I136">
        <v>0.20766035860818</v>
      </c>
      <c r="J136">
        <v>0.117493693724284</v>
      </c>
      <c r="K136">
        <v>3.7560341637606597E-2</v>
      </c>
      <c r="L136">
        <v>2.9598036703812556E-5</v>
      </c>
      <c r="M136">
        <v>1.7708031092302778E-6</v>
      </c>
      <c r="N136" s="1">
        <v>-3.8363021399426302E-10</v>
      </c>
      <c r="O136" s="1">
        <v>3.30011519920936E-13</v>
      </c>
      <c r="P136" s="1">
        <v>1.9313094899359002E-12</v>
      </c>
      <c r="Q136">
        <v>63.362258541639498</v>
      </c>
      <c r="S136">
        <v>22.795849625849002</v>
      </c>
      <c r="AA136">
        <v>4.0220925390279296</v>
      </c>
      <c r="AB136">
        <v>8.6266021249675102</v>
      </c>
      <c r="AC136">
        <v>1.1931971685159599</v>
      </c>
      <c r="AJ136">
        <v>0.74148353458179095</v>
      </c>
      <c r="AK136">
        <v>0.19104012442034299</v>
      </c>
      <c r="AL136">
        <v>6.7476340997864703E-2</v>
      </c>
    </row>
    <row r="137" spans="1:38" x14ac:dyDescent="0.2">
      <c r="A137">
        <v>127</v>
      </c>
      <c r="B137">
        <v>791</v>
      </c>
      <c r="C137">
        <v>125</v>
      </c>
      <c r="D137">
        <v>0.48221632288681698</v>
      </c>
      <c r="E137">
        <v>0.38693563894038702</v>
      </c>
      <c r="F137">
        <v>2.5822705818132698</v>
      </c>
      <c r="G137">
        <v>-6.3295894516420583</v>
      </c>
      <c r="H137">
        <v>-5.4485142162000493</v>
      </c>
      <c r="I137">
        <v>0.82796150490251297</v>
      </c>
      <c r="J137">
        <v>0.46870823476176598</v>
      </c>
      <c r="K137">
        <v>0.149843181293836</v>
      </c>
      <c r="L137">
        <v>2.9632119159031224E-5</v>
      </c>
      <c r="M137">
        <v>1.7719930253328159E-6</v>
      </c>
      <c r="N137" s="1">
        <v>-1.5884371711969301E-9</v>
      </c>
      <c r="O137" s="1">
        <v>1.31704525123479E-12</v>
      </c>
      <c r="P137" s="1">
        <v>7.8746313364333905E-12</v>
      </c>
      <c r="Q137">
        <v>63.409691143942702</v>
      </c>
      <c r="S137">
        <v>22.760369752826101</v>
      </c>
      <c r="AA137">
        <v>3.9817535311969201</v>
      </c>
      <c r="AB137">
        <v>8.6392880361379891</v>
      </c>
      <c r="AC137">
        <v>1.20889753589617</v>
      </c>
      <c r="AJ137">
        <v>0.74252770354088105</v>
      </c>
      <c r="AK137">
        <v>0.18911234163152199</v>
      </c>
      <c r="AL137">
        <v>6.83599548275962E-2</v>
      </c>
    </row>
    <row r="138" spans="1:38" x14ac:dyDescent="0.2">
      <c r="A138">
        <v>128</v>
      </c>
      <c r="B138">
        <v>790</v>
      </c>
      <c r="C138">
        <v>125</v>
      </c>
      <c r="D138">
        <v>0.48166345294643498</v>
      </c>
      <c r="E138">
        <v>0.67696658988138902</v>
      </c>
      <c r="F138">
        <v>2.5819203564461501</v>
      </c>
      <c r="G138">
        <v>-11.071913579606234</v>
      </c>
      <c r="H138">
        <v>-9.5325518169247179</v>
      </c>
      <c r="I138">
        <v>1.4479252811752901</v>
      </c>
      <c r="J138">
        <v>0.82011035351599304</v>
      </c>
      <c r="K138">
        <v>0.262194993037348</v>
      </c>
      <c r="L138">
        <v>2.9666138101034775E-5</v>
      </c>
      <c r="M138">
        <v>1.7731662673355423E-6</v>
      </c>
      <c r="N138" s="1">
        <v>-2.8834564639643299E-9</v>
      </c>
      <c r="O138" s="1">
        <v>2.3053899280983602E-12</v>
      </c>
      <c r="P138" s="1">
        <v>1.40836065325886E-11</v>
      </c>
      <c r="Q138">
        <v>63.456437626154198</v>
      </c>
      <c r="S138">
        <v>22.725313006254201</v>
      </c>
      <c r="AA138">
        <v>3.94192370376404</v>
      </c>
      <c r="AB138">
        <v>8.6515542464736903</v>
      </c>
      <c r="AC138">
        <v>1.22477141735382</v>
      </c>
      <c r="AJ138">
        <v>0.74353721678132001</v>
      </c>
      <c r="AK138">
        <v>0.187209369568057</v>
      </c>
      <c r="AL138">
        <v>6.9253413650621806E-2</v>
      </c>
    </row>
    <row r="139" spans="1:38" x14ac:dyDescent="0.2">
      <c r="A139">
        <v>129</v>
      </c>
      <c r="B139">
        <v>789</v>
      </c>
      <c r="C139">
        <v>125</v>
      </c>
      <c r="D139">
        <v>0.48110954196676597</v>
      </c>
      <c r="E139">
        <v>0.96705344672792204</v>
      </c>
      <c r="F139">
        <v>2.58157385205367</v>
      </c>
      <c r="G139">
        <v>-15.813368682350472</v>
      </c>
      <c r="H139">
        <v>-13.61742280083952</v>
      </c>
      <c r="I139">
        <v>2.0674536379145501</v>
      </c>
      <c r="J139">
        <v>1.17164998682907</v>
      </c>
      <c r="K139">
        <v>0.374598404751666</v>
      </c>
      <c r="L139">
        <v>2.9700102975295056E-5</v>
      </c>
      <c r="M139">
        <v>1.7743229004900178E-6</v>
      </c>
      <c r="N139" s="1">
        <v>-4.2719723375587896E-9</v>
      </c>
      <c r="O139" s="1">
        <v>3.2948393759508701E-12</v>
      </c>
      <c r="P139" s="1">
        <v>2.0567322101655901E-11</v>
      </c>
      <c r="Q139">
        <v>63.502499194199203</v>
      </c>
      <c r="S139">
        <v>22.690678439258001</v>
      </c>
      <c r="AA139">
        <v>3.9026019941612899</v>
      </c>
      <c r="AB139">
        <v>8.6634009609581994</v>
      </c>
      <c r="AC139">
        <v>1.2408194114231501</v>
      </c>
      <c r="AJ139">
        <v>0.74451210372207499</v>
      </c>
      <c r="AK139">
        <v>0.185331141249338</v>
      </c>
      <c r="AL139">
        <v>7.0156755028585899E-2</v>
      </c>
    </row>
    <row r="140" spans="1:38" x14ac:dyDescent="0.2">
      <c r="A140">
        <v>130</v>
      </c>
      <c r="B140">
        <v>788</v>
      </c>
      <c r="C140">
        <v>125</v>
      </c>
      <c r="D140">
        <v>0.48055458700466802</v>
      </c>
      <c r="E140">
        <v>1.25715264056882</v>
      </c>
      <c r="F140">
        <v>2.5812310527262898</v>
      </c>
      <c r="G140">
        <v>-20.553236704418445</v>
      </c>
      <c r="H140">
        <v>-17.702511435536319</v>
      </c>
      <c r="I140">
        <v>2.6864489175725601</v>
      </c>
      <c r="J140">
        <v>1.5232773105437101</v>
      </c>
      <c r="K140">
        <v>0.48703607499259699</v>
      </c>
      <c r="L140">
        <v>2.9734023745359547E-5</v>
      </c>
      <c r="M140">
        <v>1.7754630013436287E-6</v>
      </c>
      <c r="N140" s="1">
        <v>-5.7573865479747399E-9</v>
      </c>
      <c r="O140" s="1">
        <v>4.2851864287047301E-12</v>
      </c>
      <c r="P140" s="1">
        <v>2.73351934939257E-11</v>
      </c>
      <c r="Q140">
        <v>63.5478774971889</v>
      </c>
      <c r="S140">
        <v>22.656464795877</v>
      </c>
      <c r="AA140">
        <v>3.8637869814107102</v>
      </c>
      <c r="AB140">
        <v>8.6748285618826895</v>
      </c>
      <c r="AC140">
        <v>1.2570421636406399</v>
      </c>
      <c r="AJ140">
        <v>0.74545240792471201</v>
      </c>
      <c r="AK140">
        <v>0.18347757284628</v>
      </c>
      <c r="AL140">
        <v>7.1070019229006007E-2</v>
      </c>
    </row>
    <row r="141" spans="1:38" x14ac:dyDescent="0.2">
      <c r="A141">
        <v>131</v>
      </c>
      <c r="B141">
        <v>787</v>
      </c>
      <c r="C141">
        <v>125</v>
      </c>
      <c r="D141">
        <v>0.479998585105882</v>
      </c>
      <c r="E141">
        <v>1.54722079592748</v>
      </c>
      <c r="F141">
        <v>2.58089193939227</v>
      </c>
      <c r="G141">
        <v>-25.29080327707106</v>
      </c>
      <c r="H141">
        <v>-21.78720464739467</v>
      </c>
      <c r="I141">
        <v>3.3048140637422798</v>
      </c>
      <c r="J141">
        <v>1.8749428613936401</v>
      </c>
      <c r="K141">
        <v>0.59949073121279695</v>
      </c>
      <c r="L141">
        <v>2.9767910898256639E-5</v>
      </c>
      <c r="M141">
        <v>1.7765866575878445E-6</v>
      </c>
      <c r="N141" s="1">
        <v>-7.3432239597645497E-9</v>
      </c>
      <c r="O141" s="1">
        <v>5.2762232713439903E-12</v>
      </c>
      <c r="P141" s="1">
        <v>3.43969808615949E-11</v>
      </c>
      <c r="Q141">
        <v>63.592574622019796</v>
      </c>
      <c r="S141">
        <v>22.622670513016899</v>
      </c>
      <c r="AA141">
        <v>3.8254768889949</v>
      </c>
      <c r="AB141">
        <v>8.6858376019299293</v>
      </c>
      <c r="AC141">
        <v>1.2734403740384399</v>
      </c>
      <c r="AJ141">
        <v>0.74635818651792596</v>
      </c>
      <c r="AK141">
        <v>0.18164856383477301</v>
      </c>
      <c r="AL141">
        <v>7.1993249647299903E-2</v>
      </c>
    </row>
    <row r="142" spans="1:38" x14ac:dyDescent="0.2">
      <c r="A142">
        <v>132</v>
      </c>
      <c r="B142">
        <v>786</v>
      </c>
      <c r="C142">
        <v>125</v>
      </c>
      <c r="D142">
        <v>0.47944153330501299</v>
      </c>
      <c r="E142">
        <v>1.8372148303029101</v>
      </c>
      <c r="F142">
        <v>2.5805564898050699</v>
      </c>
      <c r="G142">
        <v>-30.025359337504778</v>
      </c>
      <c r="H142">
        <v>-25.870893415381222</v>
      </c>
      <c r="I142">
        <v>3.9224528368253302</v>
      </c>
      <c r="J142">
        <v>2.2265976631576598</v>
      </c>
      <c r="K142">
        <v>0.71194520932254202</v>
      </c>
      <c r="L142">
        <v>2.9801775449741052E-5</v>
      </c>
      <c r="M142">
        <v>1.7776939678891622E-6</v>
      </c>
      <c r="N142" s="1">
        <v>-9.0331384890806105E-9</v>
      </c>
      <c r="O142" s="1">
        <v>6.2677417927849203E-12</v>
      </c>
      <c r="P142" s="1">
        <v>4.1762806322746602E-11</v>
      </c>
      <c r="Q142">
        <v>63.636593087289</v>
      </c>
      <c r="S142">
        <v>22.589293722756899</v>
      </c>
      <c r="AA142">
        <v>3.7876695881798002</v>
      </c>
      <c r="AB142">
        <v>8.6964287966612801</v>
      </c>
      <c r="AC142">
        <v>1.2900148051129401</v>
      </c>
      <c r="AJ142">
        <v>0.74722950957423995</v>
      </c>
      <c r="AK142">
        <v>0.17984399716986299</v>
      </c>
      <c r="AL142">
        <v>7.2926493255896396E-2</v>
      </c>
    </row>
    <row r="143" spans="1:38" x14ac:dyDescent="0.2">
      <c r="A143">
        <v>133</v>
      </c>
      <c r="B143">
        <v>785</v>
      </c>
      <c r="C143">
        <v>125</v>
      </c>
      <c r="D143">
        <v>0.47888342862543298</v>
      </c>
      <c r="E143">
        <v>2.12709204941901</v>
      </c>
      <c r="F143">
        <v>2.5802246785452101</v>
      </c>
      <c r="G143">
        <v>-34.756202675417235</v>
      </c>
      <c r="H143">
        <v>-29.952974103975855</v>
      </c>
      <c r="I143">
        <v>4.5392700197905498</v>
      </c>
      <c r="J143">
        <v>2.5781933477983401</v>
      </c>
      <c r="K143">
        <v>0.82438249161244403</v>
      </c>
      <c r="L143">
        <v>2.9835628948803359E-5</v>
      </c>
      <c r="M143">
        <v>1.7787850416731522E-6</v>
      </c>
      <c r="N143" s="1">
        <v>-1.08309193734449E-8</v>
      </c>
      <c r="O143" s="1">
        <v>7.2595339224151996E-12</v>
      </c>
      <c r="P143" s="1">
        <v>4.9443172092822901E-11</v>
      </c>
      <c r="Q143">
        <v>63.6799358351983</v>
      </c>
      <c r="S143">
        <v>22.5563322560388</v>
      </c>
      <c r="AA143">
        <v>3.7503626029476398</v>
      </c>
      <c r="AB143">
        <v>8.7066030161472998</v>
      </c>
      <c r="AC143">
        <v>1.30676628966789</v>
      </c>
      <c r="AJ143">
        <v>0.74806645941750605</v>
      </c>
      <c r="AK143">
        <v>0.17806373953587401</v>
      </c>
      <c r="AL143">
        <v>7.3869801046619304E-2</v>
      </c>
    </row>
    <row r="144" spans="1:38" x14ac:dyDescent="0.2">
      <c r="A144">
        <v>134</v>
      </c>
      <c r="B144">
        <v>784</v>
      </c>
      <c r="C144">
        <v>125</v>
      </c>
      <c r="D144">
        <v>0.47832426807926898</v>
      </c>
      <c r="E144">
        <v>2.4168102444887198</v>
      </c>
      <c r="F144">
        <v>2.5798964770218098</v>
      </c>
      <c r="G144">
        <v>-39.482639509974199</v>
      </c>
      <c r="H144">
        <v>-34.032849823972334</v>
      </c>
      <c r="I144">
        <v>5.15517162749076</v>
      </c>
      <c r="J144">
        <v>2.9296822792336599</v>
      </c>
      <c r="K144">
        <v>0.93678574548023796</v>
      </c>
      <c r="L144">
        <v>2.9869483482097268E-5</v>
      </c>
      <c r="M144">
        <v>1.7798599988951396E-6</v>
      </c>
      <c r="N144" s="1">
        <v>-1.27404978141484E-8</v>
      </c>
      <c r="O144" s="1">
        <v>8.2513919715842695E-12</v>
      </c>
      <c r="P144" s="1">
        <v>5.74489796664292E-11</v>
      </c>
      <c r="Q144">
        <v>63.722606222943398</v>
      </c>
      <c r="S144">
        <v>22.5237836465719</v>
      </c>
      <c r="AA144">
        <v>3.7135531152276</v>
      </c>
      <c r="AB144">
        <v>8.7163612760170306</v>
      </c>
      <c r="AC144">
        <v>1.3236957392400199</v>
      </c>
      <c r="AJ144">
        <v>0.74886912988383203</v>
      </c>
      <c r="AK144">
        <v>0.17630764160986201</v>
      </c>
      <c r="AL144">
        <v>7.4823228506304101E-2</v>
      </c>
    </row>
    <row r="145" spans="1:38" x14ac:dyDescent="0.2">
      <c r="A145">
        <v>135</v>
      </c>
      <c r="B145">
        <v>783</v>
      </c>
      <c r="C145">
        <v>125</v>
      </c>
      <c r="D145">
        <v>0.47776404866733202</v>
      </c>
      <c r="E145">
        <v>2.7063277859442501</v>
      </c>
      <c r="F145">
        <v>2.5795718534872401</v>
      </c>
      <c r="G145">
        <v>-44.203986006580173</v>
      </c>
      <c r="H145">
        <v>-38.109931743119169</v>
      </c>
      <c r="I145">
        <v>5.7700651076655802</v>
      </c>
      <c r="J145">
        <v>3.28101767302481</v>
      </c>
      <c r="K145">
        <v>1.0491383608042</v>
      </c>
      <c r="L145">
        <v>2.9903351677921032E-5</v>
      </c>
      <c r="M145">
        <v>1.7809189697732141E-6</v>
      </c>
      <c r="N145" s="1">
        <v>-1.47659539818336E-8</v>
      </c>
      <c r="O145" s="1">
        <v>9.2431089606075105E-12</v>
      </c>
      <c r="P145" s="1">
        <v>6.5791549971364496E-11</v>
      </c>
      <c r="Q145">
        <v>63.7646080124346</v>
      </c>
      <c r="S145">
        <v>22.491645135936601</v>
      </c>
      <c r="AA145">
        <v>3.6772379715049102</v>
      </c>
      <c r="AB145">
        <v>8.7257047279302906</v>
      </c>
      <c r="AC145">
        <v>1.3408041521935601</v>
      </c>
      <c r="AJ145">
        <v>0.74963762553624402</v>
      </c>
      <c r="AK145">
        <v>0.17457553838970599</v>
      </c>
      <c r="AL145">
        <v>7.5786836074048805E-2</v>
      </c>
    </row>
    <row r="146" spans="1:38" x14ac:dyDescent="0.2">
      <c r="A146">
        <v>136</v>
      </c>
      <c r="B146">
        <v>782</v>
      </c>
      <c r="C146">
        <v>125</v>
      </c>
      <c r="D146">
        <v>0.47720276737904699</v>
      </c>
      <c r="E146">
        <v>2.9956037152497599</v>
      </c>
      <c r="F146">
        <v>2.57925077305641</v>
      </c>
      <c r="G146">
        <v>-48.919569759854113</v>
      </c>
      <c r="H146">
        <v>-42.183640369302161</v>
      </c>
      <c r="I146">
        <v>6.3838595370818902</v>
      </c>
      <c r="J146">
        <v>3.6321537139420998</v>
      </c>
      <c r="K146">
        <v>1.1614239865866001</v>
      </c>
      <c r="L146">
        <v>2.9937246709889742E-5</v>
      </c>
      <c r="M146">
        <v>1.7819620944966359E-6</v>
      </c>
      <c r="N146" s="1">
        <v>-1.6911524408540699E-8</v>
      </c>
      <c r="O146" s="1">
        <v>1.0234478936508E-11</v>
      </c>
      <c r="P146" s="1">
        <v>7.4482644571750405E-11</v>
      </c>
      <c r="Q146">
        <v>63.805945358997398</v>
      </c>
      <c r="S146">
        <v>22.4599136792833</v>
      </c>
      <c r="AA146">
        <v>3.6414136901591601</v>
      </c>
      <c r="AB146">
        <v>8.7346346493384903</v>
      </c>
      <c r="AC146">
        <v>1.35809262222144</v>
      </c>
      <c r="AJ146">
        <v>0.75037206082198005</v>
      </c>
      <c r="AK146">
        <v>0.17286724955611499</v>
      </c>
      <c r="AL146">
        <v>7.6760689621903397E-2</v>
      </c>
    </row>
    <row r="147" spans="1:38" x14ac:dyDescent="0.2">
      <c r="A147">
        <v>137</v>
      </c>
      <c r="B147">
        <v>781</v>
      </c>
      <c r="C147">
        <v>125</v>
      </c>
      <c r="D147">
        <v>0.476640421192431</v>
      </c>
      <c r="E147">
        <v>3.2845978347830602</v>
      </c>
      <c r="F147">
        <v>2.5789331977311498</v>
      </c>
      <c r="G147">
        <v>-53.628731242655903</v>
      </c>
      <c r="H147">
        <v>-46.253406806112778</v>
      </c>
      <c r="I147">
        <v>6.99646581278102</v>
      </c>
      <c r="J147">
        <v>3.98304567140364</v>
      </c>
      <c r="K147">
        <v>1.2736265668582301</v>
      </c>
      <c r="L147">
        <v>2.9971182300517626E-5</v>
      </c>
      <c r="M147">
        <v>1.78298952291495E-6</v>
      </c>
      <c r="N147" s="1">
        <v>-1.9181609783622999E-8</v>
      </c>
      <c r="O147" s="1">
        <v>1.12252972811091E-11</v>
      </c>
      <c r="P147" s="1">
        <v>8.3534487966115206E-11</v>
      </c>
      <c r="Q147">
        <v>63.846622799223802</v>
      </c>
      <c r="S147">
        <v>22.428585951584001</v>
      </c>
      <c r="AA147">
        <v>3.6060764694563798</v>
      </c>
      <c r="AB147">
        <v>8.7431524327995103</v>
      </c>
      <c r="AC147">
        <v>1.37556234693616</v>
      </c>
      <c r="AJ147">
        <v>0.75107255919423499</v>
      </c>
      <c r="AK147">
        <v>0.171182579864748</v>
      </c>
      <c r="AL147">
        <v>7.7744860941015598E-2</v>
      </c>
    </row>
    <row r="148" spans="1:38" x14ac:dyDescent="0.2">
      <c r="A148">
        <v>138</v>
      </c>
      <c r="B148">
        <v>780</v>
      </c>
      <c r="C148">
        <v>125</v>
      </c>
      <c r="D148">
        <v>0.47607700707401701</v>
      </c>
      <c r="E148">
        <v>3.57327079614879</v>
      </c>
      <c r="F148">
        <v>2.57861908642729</v>
      </c>
      <c r="G148">
        <v>-58.330825227076517</v>
      </c>
      <c r="H148">
        <v>-50.318673985869879</v>
      </c>
      <c r="I148">
        <v>7.607796839203</v>
      </c>
      <c r="J148">
        <v>4.3336500132337203</v>
      </c>
      <c r="K148">
        <v>1.38573037598182</v>
      </c>
      <c r="L148">
        <v>3.0005172724737777E-5</v>
      </c>
      <c r="M148">
        <v>1.7840014142110925E-6</v>
      </c>
      <c r="N148" s="1">
        <v>-2.1580783173184998E-8</v>
      </c>
      <c r="O148" s="1">
        <v>1.2215361010437E-11</v>
      </c>
      <c r="P148" s="1">
        <v>9.2959791035538597E-11</v>
      </c>
      <c r="Q148">
        <v>63.886645238140602</v>
      </c>
      <c r="S148">
        <v>22.3976583542713</v>
      </c>
      <c r="AA148">
        <v>3.5712221960206199</v>
      </c>
      <c r="AB148">
        <v>8.7512595747908399</v>
      </c>
      <c r="AC148">
        <v>1.3932146367765299</v>
      </c>
      <c r="AJ148">
        <v>0.75173925219368398</v>
      </c>
      <c r="AK148">
        <v>0.16952131956022101</v>
      </c>
      <c r="AL148">
        <v>7.8739428246093604E-2</v>
      </c>
    </row>
    <row r="149" spans="1:38" x14ac:dyDescent="0.2">
      <c r="A149">
        <v>139</v>
      </c>
      <c r="B149">
        <v>779</v>
      </c>
      <c r="C149">
        <v>125</v>
      </c>
      <c r="D149">
        <v>0.475512521978807</v>
      </c>
      <c r="E149">
        <v>3.8615841832640201</v>
      </c>
      <c r="F149">
        <v>2.5783083950145298</v>
      </c>
      <c r="G149">
        <v>-63.025222117852657</v>
      </c>
      <c r="H149">
        <v>-54.378897828733599</v>
      </c>
      <c r="I149">
        <v>8.2177677033874001</v>
      </c>
      <c r="J149">
        <v>4.6839245133166099</v>
      </c>
      <c r="K149">
        <v>1.4977200519266201</v>
      </c>
      <c r="L149">
        <v>3.0039232813210972E-5</v>
      </c>
      <c r="M149">
        <v>1.7849979365436791E-6</v>
      </c>
      <c r="N149" s="1">
        <v>-2.4113798659124401E-8</v>
      </c>
      <c r="O149" s="1">
        <v>1.3204469052366699E-11</v>
      </c>
      <c r="P149" s="1">
        <v>1.0277177559431301E-10</v>
      </c>
      <c r="Q149">
        <v>63.926017934944397</v>
      </c>
      <c r="S149">
        <v>22.3671270229603</v>
      </c>
      <c r="AA149">
        <v>3.53684645453338</v>
      </c>
      <c r="AB149">
        <v>8.7589576641628906</v>
      </c>
      <c r="AC149">
        <v>1.4110509233988799</v>
      </c>
      <c r="AJ149">
        <v>0.75237227850139099</v>
      </c>
      <c r="AK149">
        <v>0.167883244847435</v>
      </c>
      <c r="AL149">
        <v>7.9744476651172402E-2</v>
      </c>
    </row>
    <row r="150" spans="1:38" x14ac:dyDescent="0.2">
      <c r="A150">
        <v>140</v>
      </c>
      <c r="B150">
        <v>778</v>
      </c>
      <c r="C150">
        <v>125</v>
      </c>
      <c r="D150">
        <v>0.47494696285021398</v>
      </c>
      <c r="E150">
        <v>4.5314620617094796</v>
      </c>
      <c r="F150">
        <v>2.5775898617158499</v>
      </c>
      <c r="G150">
        <v>-73.936331134453738</v>
      </c>
      <c r="H150">
        <v>-63.80403099207912</v>
      </c>
      <c r="I150">
        <v>9.6392523829849299</v>
      </c>
      <c r="J150">
        <v>5.4970212636839699</v>
      </c>
      <c r="K150">
        <v>1.7580229225036399</v>
      </c>
      <c r="L150">
        <v>3.0080678351984495E-5</v>
      </c>
      <c r="M150">
        <v>1.7866192227000704E-6</v>
      </c>
      <c r="N150" s="1">
        <v>-2.92322430103629E-8</v>
      </c>
      <c r="O150" s="1">
        <v>1.55114796524178E-11</v>
      </c>
      <c r="P150" s="1">
        <v>1.23317676452465E-10</v>
      </c>
      <c r="Q150">
        <v>63.996799063843</v>
      </c>
      <c r="S150">
        <v>22.307934299654899</v>
      </c>
      <c r="AA150">
        <v>3.4714960429328801</v>
      </c>
      <c r="AB150">
        <v>8.7615081950567006</v>
      </c>
      <c r="AC150">
        <v>1.4622623985123899</v>
      </c>
      <c r="AJ150">
        <v>0.75258287462762996</v>
      </c>
      <c r="AK150">
        <v>0.164779402934804</v>
      </c>
      <c r="AL150">
        <v>8.2637722437565606E-2</v>
      </c>
    </row>
    <row r="151" spans="1:38" x14ac:dyDescent="0.2">
      <c r="A151">
        <v>141</v>
      </c>
      <c r="B151">
        <v>777</v>
      </c>
      <c r="C151">
        <v>125</v>
      </c>
      <c r="D151">
        <v>0.47438032662001101</v>
      </c>
      <c r="E151">
        <v>5.3090467754548696</v>
      </c>
      <c r="F151">
        <v>2.5767438950572301</v>
      </c>
      <c r="G151">
        <v>-86.594323754814909</v>
      </c>
      <c r="H151">
        <v>-74.739565413172599</v>
      </c>
      <c r="I151">
        <v>11.2886333777482</v>
      </c>
      <c r="J151">
        <v>6.4408522359434297</v>
      </c>
      <c r="K151">
        <v>2.0603703711644701</v>
      </c>
      <c r="L151">
        <v>3.0122562093473946E-5</v>
      </c>
      <c r="M151">
        <v>1.7883724771138032E-6</v>
      </c>
      <c r="N151" s="1">
        <v>-3.5354464545167599E-8</v>
      </c>
      <c r="O151" s="1">
        <v>1.81965916389408E-11</v>
      </c>
      <c r="P151" s="1">
        <v>1.47686086009755E-10</v>
      </c>
      <c r="Q151">
        <v>64.075262248832203</v>
      </c>
      <c r="S151">
        <v>22.240686662575801</v>
      </c>
      <c r="AA151">
        <v>3.3977077422251698</v>
      </c>
      <c r="AB151">
        <v>8.76006077238514</v>
      </c>
      <c r="AC151">
        <v>1.52628257398156</v>
      </c>
      <c r="AJ151">
        <v>0.75246515434661199</v>
      </c>
      <c r="AK151">
        <v>0.16127835466589199</v>
      </c>
      <c r="AL151">
        <v>8.6256490987494105E-2</v>
      </c>
    </row>
    <row r="152" spans="1:38" x14ac:dyDescent="0.2">
      <c r="A152">
        <v>142</v>
      </c>
      <c r="B152">
        <v>776</v>
      </c>
      <c r="C152">
        <v>125</v>
      </c>
      <c r="D152">
        <v>0.47381261020826598</v>
      </c>
      <c r="E152">
        <v>6.0926115667198397</v>
      </c>
      <c r="F152">
        <v>2.5758755515636902</v>
      </c>
      <c r="G152">
        <v>-99.339844320769799</v>
      </c>
      <c r="H152">
        <v>-85.754131387163795</v>
      </c>
      <c r="I152">
        <v>12.949256954301999</v>
      </c>
      <c r="J152">
        <v>7.3920252244020199</v>
      </c>
      <c r="K152">
        <v>2.3652585091004399</v>
      </c>
      <c r="L152">
        <v>3.0162565046606527E-5</v>
      </c>
      <c r="M152">
        <v>1.7900813761090913E-6</v>
      </c>
      <c r="N152" s="1">
        <v>-4.1856639218148799E-8</v>
      </c>
      <c r="O152" s="1">
        <v>2.09094925867434E-11</v>
      </c>
      <c r="P152" s="1">
        <v>1.73203736334482E-10</v>
      </c>
      <c r="Q152">
        <v>64.1527912938908</v>
      </c>
      <c r="S152">
        <v>22.172990072732802</v>
      </c>
      <c r="AA152">
        <v>3.3237670196725899</v>
      </c>
      <c r="AB152">
        <v>8.7553546809263505</v>
      </c>
      <c r="AC152">
        <v>1.5950969327773401</v>
      </c>
      <c r="AJ152">
        <v>0.75207970768338195</v>
      </c>
      <c r="AK152">
        <v>0.157772566855618</v>
      </c>
      <c r="AL152">
        <v>9.0147725460998404E-2</v>
      </c>
    </row>
    <row r="153" spans="1:38" x14ac:dyDescent="0.2">
      <c r="A153">
        <v>143</v>
      </c>
      <c r="B153">
        <v>775</v>
      </c>
      <c r="C153">
        <v>125</v>
      </c>
      <c r="D153">
        <v>0.473243810523307</v>
      </c>
      <c r="E153">
        <v>6.8844954087425796</v>
      </c>
      <c r="F153">
        <v>2.5749786373862502</v>
      </c>
      <c r="G153">
        <v>-112.21009694482666</v>
      </c>
      <c r="H153">
        <v>-96.879820437213752</v>
      </c>
      <c r="I153">
        <v>14.626033017805501</v>
      </c>
      <c r="J153">
        <v>8.3533329275362291</v>
      </c>
      <c r="K153">
        <v>2.67361263071709</v>
      </c>
      <c r="L153">
        <v>3.0200500097944154E-5</v>
      </c>
      <c r="M153">
        <v>1.7917472988749547E-6</v>
      </c>
      <c r="N153" s="1">
        <v>-4.8761798223459499E-8</v>
      </c>
      <c r="O153" s="1">
        <v>2.3658726508487801E-11</v>
      </c>
      <c r="P153" s="1">
        <v>1.99955434854834E-10</v>
      </c>
      <c r="Q153">
        <v>64.229592806866293</v>
      </c>
      <c r="S153">
        <v>22.1045264652867</v>
      </c>
      <c r="AA153">
        <v>3.24936325940932</v>
      </c>
      <c r="AB153">
        <v>8.7470164868633002</v>
      </c>
      <c r="AC153">
        <v>1.66950098157432</v>
      </c>
      <c r="AJ153">
        <v>0.751395817109204</v>
      </c>
      <c r="AK153">
        <v>0.154247411229641</v>
      </c>
      <c r="AL153">
        <v>9.4356771661153194E-2</v>
      </c>
    </row>
    <row r="154" spans="1:38" x14ac:dyDescent="0.2">
      <c r="A154">
        <v>144</v>
      </c>
      <c r="B154">
        <v>774</v>
      </c>
      <c r="C154">
        <v>125</v>
      </c>
      <c r="D154">
        <v>0.47267392446163797</v>
      </c>
      <c r="E154">
        <v>7.6877556210652704</v>
      </c>
      <c r="F154">
        <v>2.57404512561014</v>
      </c>
      <c r="G154">
        <v>-125.25370493506584</v>
      </c>
      <c r="H154">
        <v>-108.1585811994199</v>
      </c>
      <c r="I154">
        <v>16.325381975500999</v>
      </c>
      <c r="J154">
        <v>9.3284258551347996</v>
      </c>
      <c r="K154">
        <v>2.9866436856824601</v>
      </c>
      <c r="L154">
        <v>3.0236119444022754E-5</v>
      </c>
      <c r="M154">
        <v>1.7933719206286956E-6</v>
      </c>
      <c r="N154" s="1">
        <v>-5.60975626226094E-8</v>
      </c>
      <c r="O154" s="1">
        <v>2.64555690230706E-11</v>
      </c>
      <c r="P154" s="1">
        <v>2.28044992238804E-10</v>
      </c>
      <c r="Q154">
        <v>64.305931630842906</v>
      </c>
      <c r="S154">
        <v>22.034884712117801</v>
      </c>
      <c r="AA154">
        <v>3.1740954790141398</v>
      </c>
      <c r="AB154">
        <v>8.7345585529932297</v>
      </c>
      <c r="AC154">
        <v>1.7505296250318101</v>
      </c>
      <c r="AJ154">
        <v>0.750373341033019</v>
      </c>
      <c r="AK154">
        <v>0.150684025057129</v>
      </c>
      <c r="AL154">
        <v>9.8942633909851294E-2</v>
      </c>
    </row>
    <row r="155" spans="1:38" x14ac:dyDescent="0.2">
      <c r="A155">
        <v>145</v>
      </c>
      <c r="B155">
        <v>773</v>
      </c>
      <c r="C155">
        <v>125</v>
      </c>
      <c r="D155">
        <v>0.472102948907902</v>
      </c>
      <c r="E155">
        <v>8.9176989013069896</v>
      </c>
      <c r="F155">
        <v>2.5725761401410798</v>
      </c>
      <c r="G155">
        <v>-145.21376102591483</v>
      </c>
      <c r="H155">
        <v>-125.41061165494875</v>
      </c>
      <c r="I155">
        <v>18.929550610300701</v>
      </c>
      <c r="J155">
        <v>10.8206417588595</v>
      </c>
      <c r="K155">
        <v>3.4664470225623401</v>
      </c>
      <c r="L155">
        <v>3.0274766568673439E-5</v>
      </c>
      <c r="M155">
        <v>1.795616375637103E-6</v>
      </c>
      <c r="N155" s="1">
        <v>-6.6909005958883104E-8</v>
      </c>
      <c r="O155" s="1">
        <v>3.0761032086873397E-11</v>
      </c>
      <c r="P155" s="1">
        <v>2.6980217875041302E-10</v>
      </c>
      <c r="Q155">
        <v>64.416937243032393</v>
      </c>
      <c r="S155">
        <v>21.9308322785642</v>
      </c>
      <c r="AA155">
        <v>3.0623495138602399</v>
      </c>
      <c r="AB155">
        <v>8.7091416255742704</v>
      </c>
      <c r="AC155">
        <v>1.8807393389688301</v>
      </c>
      <c r="AJ155">
        <v>0.74828618919714895</v>
      </c>
      <c r="AK155">
        <v>0.145397829492008</v>
      </c>
      <c r="AL155">
        <v>0.106315981310841</v>
      </c>
    </row>
    <row r="156" spans="1:38" x14ac:dyDescent="0.2">
      <c r="A156">
        <v>146</v>
      </c>
      <c r="B156">
        <v>772</v>
      </c>
      <c r="C156">
        <v>125</v>
      </c>
      <c r="D156">
        <v>0.47153088073482102</v>
      </c>
      <c r="E156">
        <v>9.9539836685552103</v>
      </c>
      <c r="F156">
        <v>2.5712739147249599</v>
      </c>
      <c r="G156">
        <v>-162.00364876728261</v>
      </c>
      <c r="H156">
        <v>-139.93030639094883</v>
      </c>
      <c r="I156">
        <v>21.119784123172501</v>
      </c>
      <c r="J156">
        <v>12.0775844354371</v>
      </c>
      <c r="K156">
        <v>3.87122648098731</v>
      </c>
      <c r="L156">
        <v>3.0304160158908308E-5</v>
      </c>
      <c r="M156">
        <v>1.797419180314647E-6</v>
      </c>
      <c r="N156" s="1">
        <v>-7.6720051957203903E-8</v>
      </c>
      <c r="O156" s="1">
        <v>3.4404875745036397E-11</v>
      </c>
      <c r="P156" s="1">
        <v>3.0700173904160101E-10</v>
      </c>
      <c r="Q156">
        <v>64.508798579990597</v>
      </c>
      <c r="S156">
        <v>21.840949748144599</v>
      </c>
      <c r="AA156">
        <v>2.96676091878627</v>
      </c>
      <c r="AB156">
        <v>8.6782109505565206</v>
      </c>
      <c r="AC156">
        <v>2.0052798025218799</v>
      </c>
      <c r="AJ156">
        <v>0.74574489422476997</v>
      </c>
      <c r="AK156">
        <v>0.14088132436028</v>
      </c>
      <c r="AL156">
        <v>0.113373781414949</v>
      </c>
    </row>
    <row r="157" spans="1:38" x14ac:dyDescent="0.2">
      <c r="A157">
        <v>147</v>
      </c>
      <c r="B157">
        <v>771</v>
      </c>
      <c r="C157">
        <v>125</v>
      </c>
      <c r="D157">
        <v>0.47095771680314102</v>
      </c>
      <c r="E157">
        <v>12.910267471358299</v>
      </c>
      <c r="F157">
        <v>2.5736231562874101</v>
      </c>
      <c r="G157">
        <v>-210.14940095444044</v>
      </c>
      <c r="H157">
        <v>-181.57468072120292</v>
      </c>
      <c r="I157">
        <v>27.366489712433498</v>
      </c>
      <c r="J157">
        <v>15.662130433874299</v>
      </c>
      <c r="K157">
        <v>5.0163783457645401</v>
      </c>
      <c r="L157">
        <v>3.0208799139093444E-5</v>
      </c>
      <c r="M157">
        <v>1.7922221403979308E-6</v>
      </c>
      <c r="N157" s="1">
        <v>-1.01584871700157E-7</v>
      </c>
      <c r="O157" s="1">
        <v>4.4404459027741497E-11</v>
      </c>
      <c r="P157" s="1">
        <v>4.0434576570331999E-10</v>
      </c>
      <c r="Q157">
        <v>64.270646985185493</v>
      </c>
      <c r="S157">
        <v>22.018458969955098</v>
      </c>
      <c r="AA157">
        <v>3.1687772632359001</v>
      </c>
      <c r="AB157">
        <v>8.6128663934610206</v>
      </c>
      <c r="AC157">
        <v>1.9292503881624199</v>
      </c>
      <c r="AJ157">
        <v>0.74036708486295899</v>
      </c>
      <c r="AK157">
        <v>0.15052266398785999</v>
      </c>
      <c r="AL157">
        <v>0.10911025114917899</v>
      </c>
    </row>
    <row r="158" spans="1:38" x14ac:dyDescent="0.2">
      <c r="A158">
        <v>147</v>
      </c>
      <c r="B158">
        <v>771</v>
      </c>
      <c r="C158">
        <v>125</v>
      </c>
      <c r="D158">
        <v>0.47095771680314102</v>
      </c>
      <c r="E158">
        <v>11.5451755496966</v>
      </c>
      <c r="F158">
        <v>2.5189395105768799</v>
      </c>
      <c r="G158">
        <v>-183.35583978022063</v>
      </c>
      <c r="H158">
        <v>-158.1562085961049</v>
      </c>
      <c r="I158">
        <v>24.134110217991399</v>
      </c>
      <c r="J158">
        <v>13.7081809983514</v>
      </c>
      <c r="K158">
        <v>4.5833476751700903</v>
      </c>
      <c r="L158">
        <v>2.8217855380301239E-5</v>
      </c>
      <c r="M158">
        <v>1.7986254292542196E-6</v>
      </c>
      <c r="N158" s="1">
        <v>-3.5734639723705198E-8</v>
      </c>
      <c r="O158" s="1">
        <v>4.3941281927023498E-11</v>
      </c>
      <c r="P158" s="1">
        <v>1.95293204679854E-10</v>
      </c>
      <c r="Q158">
        <v>65.926612575818396</v>
      </c>
      <c r="S158">
        <v>19.099914421001099</v>
      </c>
      <c r="AA158">
        <v>0.374551194768662</v>
      </c>
      <c r="AB158">
        <v>4.65175295109945</v>
      </c>
      <c r="AC158">
        <v>9.9471688573122794</v>
      </c>
      <c r="AJ158">
        <v>0.407932611754043</v>
      </c>
      <c r="AK158">
        <v>1.8150715985692199E-2</v>
      </c>
      <c r="AL158">
        <v>0.57391667226026399</v>
      </c>
    </row>
    <row r="159" spans="1:38" x14ac:dyDescent="0.2">
      <c r="A159">
        <v>148</v>
      </c>
      <c r="B159">
        <v>770</v>
      </c>
      <c r="C159">
        <v>125</v>
      </c>
      <c r="D159">
        <v>0.47038345396155901</v>
      </c>
      <c r="E159">
        <v>15.965161719665801</v>
      </c>
      <c r="F159">
        <v>2.5767470899265801</v>
      </c>
      <c r="G159">
        <v>-259.95377630062211</v>
      </c>
      <c r="H159">
        <v>-224.68909479237081</v>
      </c>
      <c r="I159">
        <v>33.805954568615398</v>
      </c>
      <c r="J159">
        <v>19.364716318701699</v>
      </c>
      <c r="K159">
        <v>6.1958590278725003</v>
      </c>
      <c r="L159">
        <v>3.0085616492011745E-5</v>
      </c>
      <c r="M159">
        <v>1.7854441122316737E-6</v>
      </c>
      <c r="N159" s="1">
        <v>-1.2808609534892601E-7</v>
      </c>
      <c r="O159" s="1">
        <v>5.4556772754930601E-11</v>
      </c>
      <c r="P159" s="1">
        <v>5.0738839965467603E-10</v>
      </c>
      <c r="Q159">
        <v>63.9598165257866</v>
      </c>
      <c r="S159">
        <v>22.255047537545401</v>
      </c>
      <c r="AA159">
        <v>3.4364932923472602</v>
      </c>
      <c r="AB159">
        <v>8.54044506930442</v>
      </c>
      <c r="AC159">
        <v>1.8081975750161601</v>
      </c>
      <c r="AJ159">
        <v>0.73440213787258302</v>
      </c>
      <c r="AK159">
        <v>0.16329756904829601</v>
      </c>
      <c r="AL159">
        <v>0.10230029307912</v>
      </c>
    </row>
    <row r="160" spans="1:38" x14ac:dyDescent="0.2">
      <c r="A160">
        <v>148</v>
      </c>
      <c r="B160">
        <v>770</v>
      </c>
      <c r="C160">
        <v>125</v>
      </c>
      <c r="D160">
        <v>0.47038345396155901</v>
      </c>
      <c r="E160">
        <v>23.585948639224998</v>
      </c>
      <c r="F160">
        <v>2.5187391799687102</v>
      </c>
      <c r="G160">
        <v>-374.26877867438844</v>
      </c>
      <c r="H160">
        <v>-322.91097190358767</v>
      </c>
      <c r="I160">
        <v>49.233386158079497</v>
      </c>
      <c r="J160">
        <v>27.9819542272635</v>
      </c>
      <c r="K160">
        <v>9.3641885697422502</v>
      </c>
      <c r="L160">
        <v>2.8115266328895628E-5</v>
      </c>
      <c r="M160">
        <v>1.7969820533600052E-6</v>
      </c>
      <c r="N160" s="1">
        <v>-7.1416788407561995E-8</v>
      </c>
      <c r="O160" s="1">
        <v>8.9875102400319402E-11</v>
      </c>
      <c r="P160" s="1">
        <v>3.9408640849756902E-10</v>
      </c>
      <c r="Q160">
        <v>65.875454184090401</v>
      </c>
      <c r="S160">
        <v>19.081720812418599</v>
      </c>
      <c r="AA160">
        <v>0.37147839273014999</v>
      </c>
      <c r="AB160">
        <v>4.49005230790757</v>
      </c>
      <c r="AC160">
        <v>10.1812943028531</v>
      </c>
      <c r="AJ160">
        <v>0.394075882477323</v>
      </c>
      <c r="AK160">
        <v>1.80165986691492E-2</v>
      </c>
      <c r="AL160">
        <v>0.58790751885352599</v>
      </c>
    </row>
    <row r="161" spans="1:38" x14ac:dyDescent="0.2">
      <c r="A161">
        <v>149</v>
      </c>
      <c r="B161">
        <v>769</v>
      </c>
      <c r="C161">
        <v>125</v>
      </c>
      <c r="D161">
        <v>0.46980808904668597</v>
      </c>
      <c r="E161">
        <v>17.495705123395901</v>
      </c>
      <c r="F161">
        <v>2.5783874168629199</v>
      </c>
      <c r="G161">
        <v>-284.89985130873487</v>
      </c>
      <c r="H161">
        <v>-246.3234930012878</v>
      </c>
      <c r="I161">
        <v>37.016128491529102</v>
      </c>
      <c r="J161">
        <v>21.220631686513901</v>
      </c>
      <c r="K161">
        <v>6.7855222256252699</v>
      </c>
      <c r="L161">
        <v>3.0030957239142514E-5</v>
      </c>
      <c r="M161">
        <v>1.7819513810871304E-6</v>
      </c>
      <c r="N161" s="1">
        <v>-1.4392655761363299E-7</v>
      </c>
      <c r="O161" s="1">
        <v>5.9566594997882896E-11</v>
      </c>
      <c r="P161" s="1">
        <v>5.6649577859326302E-10</v>
      </c>
      <c r="Q161">
        <v>63.797843780961202</v>
      </c>
      <c r="S161">
        <v>22.3779101601787</v>
      </c>
      <c r="AA161">
        <v>3.5756503397280301</v>
      </c>
      <c r="AB161">
        <v>8.5015978305564204</v>
      </c>
      <c r="AC161">
        <v>1.74699788857551</v>
      </c>
      <c r="AJ161">
        <v>0.73120082973919798</v>
      </c>
      <c r="AK161">
        <v>0.16994248011208499</v>
      </c>
      <c r="AL161">
        <v>9.8856690148716203E-2</v>
      </c>
    </row>
    <row r="162" spans="1:38" x14ac:dyDescent="0.2">
      <c r="A162">
        <v>149</v>
      </c>
      <c r="B162">
        <v>769</v>
      </c>
      <c r="C162">
        <v>125</v>
      </c>
      <c r="D162">
        <v>0.46980808904668597</v>
      </c>
      <c r="E162">
        <v>29.259008912452</v>
      </c>
      <c r="F162">
        <v>2.5186644196706802</v>
      </c>
      <c r="G162">
        <v>-464.05663122276837</v>
      </c>
      <c r="H162">
        <v>-400.47190817928333</v>
      </c>
      <c r="I162">
        <v>61.013024078573203</v>
      </c>
      <c r="J162">
        <v>34.698336597111997</v>
      </c>
      <c r="K162">
        <v>11.616874675300201</v>
      </c>
      <c r="L162">
        <v>2.8066059813709628E-5</v>
      </c>
      <c r="M162">
        <v>1.7962034717547951E-6</v>
      </c>
      <c r="N162" s="1">
        <v>-8.9359685479185897E-8</v>
      </c>
      <c r="O162" s="1">
        <v>1.1154872462826199E-10</v>
      </c>
      <c r="P162" s="1">
        <v>4.9095278232865303E-10</v>
      </c>
      <c r="Q162">
        <v>65.850114498881496</v>
      </c>
      <c r="S162">
        <v>19.071086635160501</v>
      </c>
      <c r="AA162">
        <v>0.36861775673476599</v>
      </c>
      <c r="AB162">
        <v>4.4057052998597399</v>
      </c>
      <c r="AC162">
        <v>10.3044758093633</v>
      </c>
      <c r="AJ162">
        <v>0.38683884431129101</v>
      </c>
      <c r="AK162">
        <v>1.7885524303177702E-2</v>
      </c>
      <c r="AL162">
        <v>0.59527563138552997</v>
      </c>
    </row>
    <row r="163" spans="1:38" x14ac:dyDescent="0.2">
      <c r="A163">
        <v>150</v>
      </c>
      <c r="B163">
        <v>768</v>
      </c>
      <c r="C163">
        <v>125</v>
      </c>
      <c r="D163">
        <v>0.46923161888296799</v>
      </c>
      <c r="E163">
        <v>18.246738038080299</v>
      </c>
      <c r="F163">
        <v>2.5792450509539799</v>
      </c>
      <c r="G163">
        <v>-297.12511074930075</v>
      </c>
      <c r="H163">
        <v>-256.95911974841903</v>
      </c>
      <c r="I163">
        <v>38.5784862900463</v>
      </c>
      <c r="J163">
        <v>22.133283940991401</v>
      </c>
      <c r="K163">
        <v>7.0744491809071697</v>
      </c>
      <c r="L163">
        <v>3.0016382856315151E-5</v>
      </c>
      <c r="M163">
        <v>1.7803014422148894E-6</v>
      </c>
      <c r="N163" s="1">
        <v>-1.5445248755079999E-7</v>
      </c>
      <c r="O163" s="1">
        <v>6.1986986571538404E-11</v>
      </c>
      <c r="P163" s="1">
        <v>6.0350839740143705E-10</v>
      </c>
      <c r="Q163">
        <v>63.717854385366898</v>
      </c>
      <c r="S163">
        <v>22.439137579422098</v>
      </c>
      <c r="AA163">
        <v>3.6448280194592999</v>
      </c>
      <c r="AB163">
        <v>8.4838613909885101</v>
      </c>
      <c r="AC163">
        <v>1.7143186247631299</v>
      </c>
      <c r="AJ163">
        <v>0.72973871812544799</v>
      </c>
      <c r="AK163">
        <v>0.17324537778744001</v>
      </c>
      <c r="AL163">
        <v>9.701590408711E-2</v>
      </c>
    </row>
    <row r="164" spans="1:38" x14ac:dyDescent="0.2">
      <c r="A164">
        <v>150</v>
      </c>
      <c r="B164">
        <v>768</v>
      </c>
      <c r="C164">
        <v>125</v>
      </c>
      <c r="D164">
        <v>0.46923161888296799</v>
      </c>
      <c r="E164">
        <v>31.933111037901099</v>
      </c>
      <c r="F164">
        <v>2.5186416840894701</v>
      </c>
      <c r="G164">
        <v>-506.29864747667307</v>
      </c>
      <c r="H164">
        <v>-437.0251378358351</v>
      </c>
      <c r="I164">
        <v>66.535570898369997</v>
      </c>
      <c r="J164">
        <v>37.862204592510601</v>
      </c>
      <c r="K164">
        <v>12.6787034613244</v>
      </c>
      <c r="L164">
        <v>2.8043889779733202E-5</v>
      </c>
      <c r="M164">
        <v>1.7958552996717524E-6</v>
      </c>
      <c r="N164" s="1">
        <v>-9.9956093822311502E-8</v>
      </c>
      <c r="O164" s="1">
        <v>1.2176289996729501E-10</v>
      </c>
      <c r="P164" s="1">
        <v>5.42825668317455E-10</v>
      </c>
      <c r="Q164">
        <v>65.837855319339695</v>
      </c>
      <c r="S164">
        <v>19.0641810585917</v>
      </c>
      <c r="AA164">
        <v>0.36578109731040398</v>
      </c>
      <c r="AB164">
        <v>4.36028250880047</v>
      </c>
      <c r="AC164">
        <v>10.3719000159575</v>
      </c>
      <c r="AJ164">
        <v>0.38293897319535702</v>
      </c>
      <c r="AK164">
        <v>1.7751987706466601E-2</v>
      </c>
      <c r="AL164">
        <v>0.59930903909817501</v>
      </c>
    </row>
    <row r="165" spans="1:38" x14ac:dyDescent="0.2">
      <c r="A165">
        <v>151</v>
      </c>
      <c r="B165">
        <v>767</v>
      </c>
      <c r="C165">
        <v>125</v>
      </c>
      <c r="D165">
        <v>0.46865404028265401</v>
      </c>
      <c r="E165">
        <v>18.692228176308198</v>
      </c>
      <c r="F165">
        <v>2.57978452725246</v>
      </c>
      <c r="G165">
        <v>-304.36239658106598</v>
      </c>
      <c r="H165">
        <v>-263.28122671778954</v>
      </c>
      <c r="I165">
        <v>39.495428412514002</v>
      </c>
      <c r="J165">
        <v>22.676535943781701</v>
      </c>
      <c r="K165">
        <v>7.2456548129683904</v>
      </c>
      <c r="L165">
        <v>3.0019074242884452E-5</v>
      </c>
      <c r="M165">
        <v>1.7794184141209649E-6</v>
      </c>
      <c r="N165" s="1">
        <v>-1.6304775317300801E-7</v>
      </c>
      <c r="O165" s="1">
        <v>6.3398704034382806E-11</v>
      </c>
      <c r="P165" s="1">
        <v>6.3229343967803103E-10</v>
      </c>
      <c r="Q165">
        <v>63.671714270234297</v>
      </c>
      <c r="S165">
        <v>22.4750593971002</v>
      </c>
      <c r="AA165">
        <v>3.6852300519441301</v>
      </c>
      <c r="AB165">
        <v>8.47521433354766</v>
      </c>
      <c r="AC165">
        <v>1.69278194717367</v>
      </c>
      <c r="AJ165">
        <v>0.72902569717763199</v>
      </c>
      <c r="AK165">
        <v>0.17517315062963201</v>
      </c>
      <c r="AL165">
        <v>9.5801152192734607E-2</v>
      </c>
    </row>
    <row r="166" spans="1:38" x14ac:dyDescent="0.2">
      <c r="A166">
        <v>151</v>
      </c>
      <c r="B166">
        <v>767</v>
      </c>
      <c r="C166">
        <v>125</v>
      </c>
      <c r="D166">
        <v>0.46865404028265401</v>
      </c>
      <c r="E166">
        <v>33.453773671176997</v>
      </c>
      <c r="F166">
        <v>2.51863822057111</v>
      </c>
      <c r="G166">
        <v>-530.26624625950899</v>
      </c>
      <c r="H166">
        <v>-457.81585721055148</v>
      </c>
      <c r="I166">
        <v>69.653789404371906</v>
      </c>
      <c r="J166">
        <v>39.660907503424298</v>
      </c>
      <c r="K166">
        <v>13.2824847165192</v>
      </c>
      <c r="L166">
        <v>2.80326630858331E-5</v>
      </c>
      <c r="M166">
        <v>1.7956782158894433E-6</v>
      </c>
      <c r="N166" s="1">
        <v>-1.08001537640858E-7</v>
      </c>
      <c r="O166" s="1">
        <v>1.27563280460871E-10</v>
      </c>
      <c r="P166" s="1">
        <v>5.7820044616659096E-10</v>
      </c>
      <c r="Q166">
        <v>65.830812114237702</v>
      </c>
      <c r="S166">
        <v>19.0587633464846</v>
      </c>
      <c r="AA166">
        <v>0.36295486497285101</v>
      </c>
      <c r="AB166">
        <v>4.3303838672327499</v>
      </c>
      <c r="AC166">
        <v>10.417085807071899</v>
      </c>
      <c r="AJ166">
        <v>0.38037098582791201</v>
      </c>
      <c r="AK166">
        <v>1.7617504792829902E-2</v>
      </c>
      <c r="AL166">
        <v>0.60201150937925696</v>
      </c>
    </row>
    <row r="167" spans="1:38" x14ac:dyDescent="0.2">
      <c r="A167">
        <v>152</v>
      </c>
      <c r="B167">
        <v>766</v>
      </c>
      <c r="C167">
        <v>125</v>
      </c>
      <c r="D167">
        <v>0.46807535004571499</v>
      </c>
      <c r="E167">
        <v>18.993767051980701</v>
      </c>
      <c r="F167">
        <v>2.5801697053561301</v>
      </c>
      <c r="G167">
        <v>-309.24911595646216</v>
      </c>
      <c r="H167">
        <v>-267.57050332256841</v>
      </c>
      <c r="I167">
        <v>40.108369950337902</v>
      </c>
      <c r="J167">
        <v>23.045922010524301</v>
      </c>
      <c r="K167">
        <v>7.36144099845521</v>
      </c>
      <c r="L167">
        <v>3.0030660211782778E-5</v>
      </c>
      <c r="M167">
        <v>1.778912543445459E-6</v>
      </c>
      <c r="N167" s="1">
        <v>-1.7085272265253999E-7</v>
      </c>
      <c r="O167" s="1">
        <v>6.4336312997146297E-11</v>
      </c>
      <c r="P167" s="1">
        <v>6.5754160112891695E-10</v>
      </c>
      <c r="Q167">
        <v>63.6421190420659</v>
      </c>
      <c r="S167">
        <v>22.4986451784245</v>
      </c>
      <c r="AA167">
        <v>3.7115942049362398</v>
      </c>
      <c r="AB167">
        <v>8.4710961465097707</v>
      </c>
      <c r="AC167">
        <v>1.67654542806346</v>
      </c>
      <c r="AJ167">
        <v>0.728685986014877</v>
      </c>
      <c r="AK167">
        <v>0.176429858018473</v>
      </c>
      <c r="AL167">
        <v>9.4884155966648495E-2</v>
      </c>
    </row>
    <row r="168" spans="1:38" x14ac:dyDescent="0.2">
      <c r="A168">
        <v>152</v>
      </c>
      <c r="B168">
        <v>766</v>
      </c>
      <c r="C168">
        <v>125</v>
      </c>
      <c r="D168">
        <v>0.46807535004571499</v>
      </c>
      <c r="E168">
        <v>34.4331791050855</v>
      </c>
      <c r="F168">
        <v>2.51864379398851</v>
      </c>
      <c r="G168">
        <v>-545.66154609998853</v>
      </c>
      <c r="H168">
        <v>-471.21239686066042</v>
      </c>
      <c r="I168">
        <v>71.644275840184903</v>
      </c>
      <c r="J168">
        <v>40.8193534538782</v>
      </c>
      <c r="K168">
        <v>13.6713175508463</v>
      </c>
      <c r="L168">
        <v>2.8026836600804531E-5</v>
      </c>
      <c r="M168">
        <v>1.7955833140748278E-6</v>
      </c>
      <c r="N168" s="1">
        <v>-1.14978029150488E-7</v>
      </c>
      <c r="O168" s="1">
        <v>1.3129037778211201E-10</v>
      </c>
      <c r="P168" s="1">
        <v>6.0620413339143496E-10</v>
      </c>
      <c r="Q168">
        <v>65.826264344498099</v>
      </c>
      <c r="S168">
        <v>19.0540665425528</v>
      </c>
      <c r="AA168">
        <v>0.360141113534444</v>
      </c>
      <c r="AB168">
        <v>4.3079361240763099</v>
      </c>
      <c r="AC168">
        <v>10.451591875338201</v>
      </c>
      <c r="AJ168">
        <v>0.37844244669553501</v>
      </c>
      <c r="AK168">
        <v>1.7482924409051599E-2</v>
      </c>
      <c r="AL168">
        <v>0.60407462889541197</v>
      </c>
    </row>
    <row r="169" spans="1:38" x14ac:dyDescent="0.2">
      <c r="A169">
        <v>153</v>
      </c>
      <c r="B169">
        <v>765</v>
      </c>
      <c r="C169">
        <v>125</v>
      </c>
      <c r="D169">
        <v>0.46749554495978501</v>
      </c>
      <c r="E169">
        <v>19.216952087448401</v>
      </c>
      <c r="F169">
        <v>2.5804688206887798</v>
      </c>
      <c r="G169">
        <v>-312.85614533072163</v>
      </c>
      <c r="H169">
        <v>-270.75310639152008</v>
      </c>
      <c r="I169">
        <v>40.555833876801501</v>
      </c>
      <c r="J169">
        <v>23.3207946922833</v>
      </c>
      <c r="K169">
        <v>7.4470778074811399</v>
      </c>
      <c r="L169">
        <v>3.0047600302827675E-5</v>
      </c>
      <c r="M169">
        <v>1.7786194646816901E-6</v>
      </c>
      <c r="N169" s="1">
        <v>-1.7832989669161799E-7</v>
      </c>
      <c r="O169" s="1">
        <v>6.5015811256729001E-11</v>
      </c>
      <c r="P169" s="1">
        <v>6.8115576923928503E-10</v>
      </c>
      <c r="Q169">
        <v>63.621796425902197</v>
      </c>
      <c r="S169">
        <v>22.515327294094199</v>
      </c>
      <c r="AA169">
        <v>3.7300991258287199</v>
      </c>
      <c r="AB169">
        <v>8.4695426210950302</v>
      </c>
      <c r="AC169">
        <v>1.6632345330798</v>
      </c>
      <c r="AJ169">
        <v>0.72855769731291098</v>
      </c>
      <c r="AK169">
        <v>0.177310786644026</v>
      </c>
      <c r="AL169">
        <v>9.41315160430614E-2</v>
      </c>
    </row>
    <row r="170" spans="1:38" x14ac:dyDescent="0.2">
      <c r="A170">
        <v>153</v>
      </c>
      <c r="B170">
        <v>765</v>
      </c>
      <c r="C170">
        <v>125</v>
      </c>
      <c r="D170">
        <v>0.46749554495978501</v>
      </c>
      <c r="E170">
        <v>35.117545101559799</v>
      </c>
      <c r="F170">
        <v>2.5186544065685101</v>
      </c>
      <c r="G170">
        <v>-556.38514291418915</v>
      </c>
      <c r="H170">
        <v>-480.57923322832733</v>
      </c>
      <c r="I170">
        <v>73.020189458037606</v>
      </c>
      <c r="J170">
        <v>41.628960038456903</v>
      </c>
      <c r="K170">
        <v>13.9429788421845</v>
      </c>
      <c r="L170">
        <v>2.8024134471698463E-5</v>
      </c>
      <c r="M170">
        <v>1.7955341202434922E-6</v>
      </c>
      <c r="N170" s="1">
        <v>-1.2145949571592601E-7</v>
      </c>
      <c r="O170" s="1">
        <v>1.3388624084627801E-10</v>
      </c>
      <c r="P170" s="1">
        <v>6.3044096929819301E-10</v>
      </c>
      <c r="Q170">
        <v>65.823090566108306</v>
      </c>
      <c r="S170">
        <v>19.049775841725602</v>
      </c>
      <c r="AA170">
        <v>0.35734179921772002</v>
      </c>
      <c r="AB170">
        <v>4.2896148990583303</v>
      </c>
      <c r="AC170">
        <v>10.480176893889899</v>
      </c>
      <c r="AJ170">
        <v>0.376868104199864</v>
      </c>
      <c r="AK170">
        <v>1.73486501019549E-2</v>
      </c>
      <c r="AL170">
        <v>0.60578324569817998</v>
      </c>
    </row>
    <row r="171" spans="1:38" x14ac:dyDescent="0.2">
      <c r="A171">
        <v>154</v>
      </c>
      <c r="B171">
        <v>764</v>
      </c>
      <c r="C171">
        <v>125</v>
      </c>
      <c r="D171">
        <v>0.46691462180012799</v>
      </c>
      <c r="E171">
        <v>19.392839967814702</v>
      </c>
      <c r="F171">
        <v>2.5807148471663401</v>
      </c>
      <c r="G171">
        <v>-315.69055934504723</v>
      </c>
      <c r="H171">
        <v>-273.26761738664584</v>
      </c>
      <c r="I171">
        <v>40.903381341562401</v>
      </c>
      <c r="J171">
        <v>23.538717904305098</v>
      </c>
      <c r="K171">
        <v>7.5145225707940098</v>
      </c>
      <c r="L171">
        <v>3.0068176982503842E-5</v>
      </c>
      <c r="M171">
        <v>1.7784591823168013E-6</v>
      </c>
      <c r="N171" s="1">
        <v>-1.8570065036253799E-7</v>
      </c>
      <c r="O171" s="1">
        <v>6.55391249736713E-11</v>
      </c>
      <c r="P171" s="1">
        <v>7.0404351567168495E-10</v>
      </c>
      <c r="Q171">
        <v>63.607213167412603</v>
      </c>
      <c r="S171">
        <v>22.527739896791701</v>
      </c>
      <c r="AA171">
        <v>3.7437424541516902</v>
      </c>
      <c r="AB171">
        <v>8.4695858631940499</v>
      </c>
      <c r="AC171">
        <v>1.65171861844987</v>
      </c>
      <c r="AJ171">
        <v>0.72856104633005103</v>
      </c>
      <c r="AK171">
        <v>0.17795923362559701</v>
      </c>
      <c r="AL171">
        <v>9.3479720044350401E-2</v>
      </c>
    </row>
    <row r="172" spans="1:38" x14ac:dyDescent="0.2">
      <c r="A172">
        <v>154</v>
      </c>
      <c r="B172">
        <v>764</v>
      </c>
      <c r="C172">
        <v>125</v>
      </c>
      <c r="D172">
        <v>0.46691462180012799</v>
      </c>
      <c r="E172">
        <v>35.6231187594042</v>
      </c>
      <c r="F172">
        <v>2.5186682011336998</v>
      </c>
      <c r="G172">
        <v>-564.27818139685735</v>
      </c>
      <c r="H172">
        <v>-487.50446791675472</v>
      </c>
      <c r="I172">
        <v>74.0237318421661</v>
      </c>
      <c r="J172">
        <v>42.227275265536399</v>
      </c>
      <c r="K172">
        <v>14.1436330293007</v>
      </c>
      <c r="L172">
        <v>2.8023470002428106E-5</v>
      </c>
      <c r="M172">
        <v>1.7955131810585597E-6</v>
      </c>
      <c r="N172" s="1">
        <v>-1.2771158690130201E-7</v>
      </c>
      <c r="O172" s="1">
        <v>1.3579583779107599E-10</v>
      </c>
      <c r="P172" s="1">
        <v>6.5259622578651904E-10</v>
      </c>
      <c r="Q172">
        <v>65.8207523294776</v>
      </c>
      <c r="S172">
        <v>19.0457403516216</v>
      </c>
      <c r="AA172">
        <v>0.35455807411380902</v>
      </c>
      <c r="AB172">
        <v>4.2738247021408604</v>
      </c>
      <c r="AC172">
        <v>10.505124542646</v>
      </c>
      <c r="AJ172">
        <v>0.37551102039418699</v>
      </c>
      <c r="AK172">
        <v>1.7214886045817401E-2</v>
      </c>
      <c r="AL172">
        <v>0.60727409355999495</v>
      </c>
    </row>
    <row r="173" spans="1:38" x14ac:dyDescent="0.2">
      <c r="A173">
        <v>155</v>
      </c>
      <c r="B173">
        <v>763</v>
      </c>
      <c r="C173">
        <v>125</v>
      </c>
      <c r="D173">
        <v>0.46633257732954098</v>
      </c>
      <c r="E173">
        <v>19.537942842412299</v>
      </c>
      <c r="F173">
        <v>2.58092562663118</v>
      </c>
      <c r="G173">
        <v>-318.02198901196329</v>
      </c>
      <c r="H173">
        <v>-275.34725836914362</v>
      </c>
      <c r="I173">
        <v>41.185861740886601</v>
      </c>
      <c r="J173">
        <v>23.719663666640201</v>
      </c>
      <c r="K173">
        <v>7.5701301272732398</v>
      </c>
      <c r="L173">
        <v>3.0091465903751496E-5</v>
      </c>
      <c r="M173">
        <v>1.7783882281233996E-6</v>
      </c>
      <c r="N173" s="1">
        <v>-1.93085833958707E-7</v>
      </c>
      <c r="O173" s="1">
        <v>6.5960296038630705E-11</v>
      </c>
      <c r="P173" s="1">
        <v>7.2669613123748196E-10</v>
      </c>
      <c r="Q173">
        <v>63.5964506348257</v>
      </c>
      <c r="S173">
        <v>22.537311523360302</v>
      </c>
      <c r="AA173">
        <v>3.7541504339223501</v>
      </c>
      <c r="AB173">
        <v>8.4706953998342804</v>
      </c>
      <c r="AC173">
        <v>1.64139200805718</v>
      </c>
      <c r="AJ173">
        <v>0.72865230067279596</v>
      </c>
      <c r="AK173">
        <v>0.17845295224757299</v>
      </c>
      <c r="AL173">
        <v>9.2894747079629497E-2</v>
      </c>
    </row>
    <row r="174" spans="1:38" x14ac:dyDescent="0.2">
      <c r="A174">
        <v>155</v>
      </c>
      <c r="B174">
        <v>763</v>
      </c>
      <c r="C174">
        <v>125</v>
      </c>
      <c r="D174">
        <v>0.46633257732954098</v>
      </c>
      <c r="E174">
        <v>36.011722489087198</v>
      </c>
      <c r="F174">
        <v>2.51868419919436</v>
      </c>
      <c r="G174">
        <v>-570.31965705201821</v>
      </c>
      <c r="H174">
        <v>-492.83254173975018</v>
      </c>
      <c r="I174">
        <v>74.7836850960459</v>
      </c>
      <c r="J174">
        <v>42.687436417770698</v>
      </c>
      <c r="K174">
        <v>14.2978315823024</v>
      </c>
      <c r="L174">
        <v>2.8024262847991207E-5</v>
      </c>
      <c r="M174">
        <v>1.7955111251852493E-6</v>
      </c>
      <c r="N174" s="1">
        <v>-1.3387483289088699E-7</v>
      </c>
      <c r="O174" s="1">
        <v>1.37255874681703E-10</v>
      </c>
      <c r="P174" s="1">
        <v>6.7356342574688397E-10</v>
      </c>
      <c r="Q174">
        <v>65.818959629737506</v>
      </c>
      <c r="S174">
        <v>19.041878827372301</v>
      </c>
      <c r="AA174">
        <v>0.35179057904590799</v>
      </c>
      <c r="AB174">
        <v>4.2597062790387801</v>
      </c>
      <c r="AC174">
        <v>10.5276646848054</v>
      </c>
      <c r="AJ174">
        <v>0.37429743424708201</v>
      </c>
      <c r="AK174">
        <v>1.7081743303976601E-2</v>
      </c>
      <c r="AL174">
        <v>0.608620822448941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00917-9ECA-4767-B446-66F54AEA5D81}">
  <sheetPr codeName="Sheet12"/>
  <dimension ref="A1:AJ120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756</v>
      </c>
      <c r="C2">
        <v>275</v>
      </c>
      <c r="D2">
        <v>0.30190011174270298</v>
      </c>
      <c r="E2">
        <v>1.3641965917391301E-2</v>
      </c>
      <c r="F2">
        <v>2.54384628309294</v>
      </c>
      <c r="G2">
        <v>-0.22242550258060578</v>
      </c>
      <c r="H2">
        <v>-0.19479789443929546</v>
      </c>
      <c r="I2">
        <v>2.6845074227576399E-2</v>
      </c>
      <c r="J2">
        <v>1.5807423014058498E-2</v>
      </c>
      <c r="K2">
        <v>5.3627320204288004E-3</v>
      </c>
      <c r="L2">
        <v>0</v>
      </c>
      <c r="M2">
        <v>1.238311233006107E-6</v>
      </c>
      <c r="N2">
        <v>0</v>
      </c>
      <c r="O2" s="1">
        <v>7.6270523754800703E-15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755</v>
      </c>
      <c r="C3">
        <v>275</v>
      </c>
      <c r="D3">
        <v>0.30115304187132302</v>
      </c>
      <c r="E3">
        <v>0.22433802653917301</v>
      </c>
      <c r="F3">
        <v>2.54384628309294</v>
      </c>
      <c r="G3">
        <v>-3.6572791601615169</v>
      </c>
      <c r="H3">
        <v>-3.2036527182470387</v>
      </c>
      <c r="I3">
        <v>0.44120647951609898</v>
      </c>
      <c r="J3">
        <v>0.25991530454216999</v>
      </c>
      <c r="K3">
        <v>8.81885151749075E-2</v>
      </c>
      <c r="L3">
        <v>0</v>
      </c>
      <c r="M3">
        <v>1.238311233006107E-6</v>
      </c>
      <c r="N3">
        <v>0</v>
      </c>
      <c r="O3" s="1">
        <v>1.2542458239430199E-13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754</v>
      </c>
      <c r="C4">
        <v>275</v>
      </c>
      <c r="D4">
        <v>0.30040451735384299</v>
      </c>
      <c r="E4">
        <v>0.43399246284806697</v>
      </c>
      <c r="F4">
        <v>2.54384628309294</v>
      </c>
      <c r="G4">
        <v>-7.0743252452990193</v>
      </c>
      <c r="H4">
        <v>-6.1981196360648383</v>
      </c>
      <c r="I4">
        <v>0.85304542592043997</v>
      </c>
      <c r="J4">
        <v>0.502754376897532</v>
      </c>
      <c r="K4">
        <v>0.17060483006874</v>
      </c>
      <c r="L4">
        <v>0</v>
      </c>
      <c r="M4">
        <v>1.2383112330061072E-6</v>
      </c>
      <c r="N4">
        <v>0</v>
      </c>
      <c r="O4" s="1">
        <v>2.4263975329875102E-13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753</v>
      </c>
      <c r="C5">
        <v>275</v>
      </c>
      <c r="D5">
        <v>0.29965453393753799</v>
      </c>
      <c r="E5">
        <v>0.64261375211965099</v>
      </c>
      <c r="F5">
        <v>2.54384628309294</v>
      </c>
      <c r="G5">
        <v>-10.47370877908255</v>
      </c>
      <c r="H5">
        <v>-9.1783160139513598</v>
      </c>
      <c r="I5">
        <v>1.2623814891889</v>
      </c>
      <c r="J5">
        <v>0.74433471816139796</v>
      </c>
      <c r="K5">
        <v>0.25261500916569801</v>
      </c>
      <c r="L5">
        <v>0</v>
      </c>
      <c r="M5">
        <v>1.238311233006107E-6</v>
      </c>
      <c r="N5">
        <v>0</v>
      </c>
      <c r="O5" s="1">
        <v>3.5927730462748399E-13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752</v>
      </c>
      <c r="C6">
        <v>275</v>
      </c>
      <c r="D6">
        <v>0.29890308735307097</v>
      </c>
      <c r="E6">
        <v>0.85021028005023402</v>
      </c>
      <c r="F6">
        <v>2.54384628309294</v>
      </c>
      <c r="G6">
        <v>-13.855573217323762</v>
      </c>
      <c r="H6">
        <v>-12.144357949779769</v>
      </c>
      <c r="I6">
        <v>1.6692340316480401</v>
      </c>
      <c r="J6">
        <v>0.98466629646737602</v>
      </c>
      <c r="K6">
        <v>0.33422234892923802</v>
      </c>
      <c r="L6">
        <v>0</v>
      </c>
      <c r="M6">
        <v>1.2383112330061072E-6</v>
      </c>
      <c r="N6">
        <v>0</v>
      </c>
      <c r="O6" s="1">
        <v>4.7534192471833498E-13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751</v>
      </c>
      <c r="C7">
        <v>275</v>
      </c>
      <c r="D7">
        <v>0.29815017331445698</v>
      </c>
      <c r="E7">
        <v>1.0567903419553</v>
      </c>
      <c r="F7">
        <v>2.54384628309294</v>
      </c>
      <c r="G7">
        <v>-17.220060471071001</v>
      </c>
      <c r="H7">
        <v>-15.096360289817081</v>
      </c>
      <c r="I7">
        <v>2.0736222050030899</v>
      </c>
      <c r="J7">
        <v>1.2237589714360999</v>
      </c>
      <c r="K7">
        <v>0.41543011029361598</v>
      </c>
      <c r="L7">
        <v>0</v>
      </c>
      <c r="M7">
        <v>1.238311233006107E-6</v>
      </c>
      <c r="N7">
        <v>0</v>
      </c>
      <c r="O7" s="1">
        <v>5.9083825137835597E-13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750</v>
      </c>
      <c r="C8">
        <v>275</v>
      </c>
      <c r="D8">
        <v>0.29739578751893703</v>
      </c>
      <c r="E8">
        <v>1.2623621434352501</v>
      </c>
      <c r="F8">
        <v>2.54384628309294</v>
      </c>
      <c r="G8">
        <v>-20.567310918428717</v>
      </c>
      <c r="H8">
        <v>-18.034436637701354</v>
      </c>
      <c r="I8">
        <v>2.4755649520865499</v>
      </c>
      <c r="J8">
        <v>1.46162249499231</v>
      </c>
      <c r="K8">
        <v>0.49624151892558799</v>
      </c>
      <c r="L8">
        <v>0</v>
      </c>
      <c r="M8">
        <v>1.2383112330061072E-6</v>
      </c>
      <c r="N8">
        <v>0</v>
      </c>
      <c r="O8" s="1">
        <v>7.0577087225600596E-13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749</v>
      </c>
      <c r="C9">
        <v>275</v>
      </c>
      <c r="D9">
        <v>0.29663992564692099</v>
      </c>
      <c r="E9">
        <v>1.4669338016434701</v>
      </c>
      <c r="F9">
        <v>2.54384628309294</v>
      </c>
      <c r="G9">
        <v>-23.897463426181009</v>
      </c>
      <c r="H9">
        <v>-20.958699372030182</v>
      </c>
      <c r="I9">
        <v>2.8750810097841</v>
      </c>
      <c r="J9">
        <v>1.6982665128790499</v>
      </c>
      <c r="K9">
        <v>0.576659765722912</v>
      </c>
      <c r="L9">
        <v>0</v>
      </c>
      <c r="M9">
        <v>1.2383112330061074E-6</v>
      </c>
      <c r="N9">
        <v>0</v>
      </c>
      <c r="O9" s="1">
        <v>8.2014432555013998E-13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748</v>
      </c>
      <c r="C10">
        <v>275</v>
      </c>
      <c r="D10">
        <v>0.29588258336189799</v>
      </c>
      <c r="E10">
        <v>1.67051334743452</v>
      </c>
      <c r="F10">
        <v>2.54384628309294</v>
      </c>
      <c r="G10">
        <v>-27.210655385733663</v>
      </c>
      <c r="H10">
        <v>-23.869259676532735</v>
      </c>
      <c r="I10">
        <v>3.27218891367666</v>
      </c>
      <c r="J10">
        <v>1.9337005671896801</v>
      </c>
      <c r="K10">
        <v>0.65668800765879098</v>
      </c>
      <c r="L10">
        <v>0</v>
      </c>
      <c r="M10">
        <v>1.2383112330061072E-6</v>
      </c>
      <c r="N10">
        <v>0</v>
      </c>
      <c r="O10" s="1">
        <v>9.3396310121100793E-13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747</v>
      </c>
      <c r="C11">
        <v>275</v>
      </c>
      <c r="D11">
        <v>0.29512375631034898</v>
      </c>
      <c r="E11">
        <v>1.87310872457691</v>
      </c>
      <c r="F11">
        <v>2.54384628309294</v>
      </c>
      <c r="G11">
        <v>-30.507022701222201</v>
      </c>
      <c r="H11">
        <v>-26.766227528311632</v>
      </c>
      <c r="I11">
        <v>3.6669069969225698</v>
      </c>
      <c r="J11">
        <v>2.1679340955009598</v>
      </c>
      <c r="K11">
        <v>0.73632936747243005</v>
      </c>
      <c r="L11">
        <v>0</v>
      </c>
      <c r="M11">
        <v>1.238311233006107E-6</v>
      </c>
      <c r="N11">
        <v>0</v>
      </c>
      <c r="O11" s="1">
        <v>1.0472316405001501E-12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746</v>
      </c>
      <c r="C12">
        <v>275</v>
      </c>
      <c r="D12">
        <v>0.29436344012167098</v>
      </c>
      <c r="E12">
        <v>2.07472779378298</v>
      </c>
      <c r="F12">
        <v>2.54384628309294</v>
      </c>
      <c r="G12">
        <v>-33.786699856072644</v>
      </c>
      <c r="H12">
        <v>-29.64971175491916</v>
      </c>
      <c r="I12">
        <v>4.0592533985708501</v>
      </c>
      <c r="J12">
        <v>2.4009764355815602</v>
      </c>
      <c r="K12">
        <v>0.81558693525318704</v>
      </c>
      <c r="L12">
        <v>0</v>
      </c>
      <c r="M12">
        <v>1.2383112330061067E-6</v>
      </c>
      <c r="N12">
        <v>0</v>
      </c>
      <c r="O12" s="1">
        <v>1.1599543382434201E-12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745</v>
      </c>
      <c r="C13">
        <v>275</v>
      </c>
      <c r="D13">
        <v>0.29360163040809401</v>
      </c>
      <c r="E13">
        <v>2.2753783309186</v>
      </c>
      <c r="F13">
        <v>2.54384628309294</v>
      </c>
      <c r="G13">
        <v>-37.049819884745418</v>
      </c>
      <c r="H13">
        <v>-32.519820008280568</v>
      </c>
      <c r="I13">
        <v>4.4492460604673596</v>
      </c>
      <c r="J13">
        <v>2.63283682336289</v>
      </c>
      <c r="K13">
        <v>0.89446376773681302</v>
      </c>
      <c r="L13">
        <v>0</v>
      </c>
      <c r="M13">
        <v>1.238311233006107E-6</v>
      </c>
      <c r="N13">
        <v>0</v>
      </c>
      <c r="O13" s="1">
        <v>1.2721355418301101E-12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744</v>
      </c>
      <c r="C14">
        <v>275</v>
      </c>
      <c r="D14">
        <v>0.29283832276459099</v>
      </c>
      <c r="E14">
        <v>2.4750680293235199</v>
      </c>
      <c r="F14">
        <v>2.54384628309294</v>
      </c>
      <c r="G14">
        <v>-40.296514411423061</v>
      </c>
      <c r="H14">
        <v>-35.376658797358267</v>
      </c>
      <c r="I14">
        <v>4.8369027322074398</v>
      </c>
      <c r="J14">
        <v>2.8635243956674898</v>
      </c>
      <c r="K14">
        <v>0.972962889217584</v>
      </c>
      <c r="L14">
        <v>0</v>
      </c>
      <c r="M14">
        <v>1.2383112330061067E-6</v>
      </c>
      <c r="N14">
        <v>0</v>
      </c>
      <c r="O14" s="1">
        <v>1.38377955251017E-12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743</v>
      </c>
      <c r="C15">
        <v>275</v>
      </c>
      <c r="D15">
        <v>0.29207351276878402</v>
      </c>
      <c r="E15">
        <v>2.6738045015484802</v>
      </c>
      <c r="F15">
        <v>2.54384628309294</v>
      </c>
      <c r="G15">
        <v>-43.526913679175713</v>
      </c>
      <c r="H15">
        <v>-38.220333512496012</v>
      </c>
      <c r="I15">
        <v>5.2222409749345102</v>
      </c>
      <c r="J15">
        <v>3.0930481922609698</v>
      </c>
      <c r="K15">
        <v>1.05108729223117</v>
      </c>
      <c r="L15">
        <v>0</v>
      </c>
      <c r="M15">
        <v>1.2383112330061072E-6</v>
      </c>
      <c r="N15">
        <v>0</v>
      </c>
      <c r="O15" s="1">
        <v>1.4948906263654101E-12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742</v>
      </c>
      <c r="C16">
        <v>275</v>
      </c>
      <c r="D16">
        <v>0.291307195980888</v>
      </c>
      <c r="E16">
        <v>2.87159527929103</v>
      </c>
      <c r="F16">
        <v>2.54384628309294</v>
      </c>
      <c r="G16">
        <v>-46.741146549784489</v>
      </c>
      <c r="H16">
        <v>-41.050948424024263</v>
      </c>
      <c r="I16">
        <v>5.6052781616117997</v>
      </c>
      <c r="J16">
        <v>3.3214171558192098</v>
      </c>
      <c r="K16">
        <v>1.1288399375294</v>
      </c>
      <c r="L16">
        <v>0</v>
      </c>
      <c r="M16">
        <v>1.238311233006107E-6</v>
      </c>
      <c r="N16">
        <v>0</v>
      </c>
      <c r="O16" s="1">
        <v>1.6054729742736499E-12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741</v>
      </c>
      <c r="C17">
        <v>275</v>
      </c>
      <c r="D17">
        <v>0.29053936794360102</v>
      </c>
      <c r="E17">
        <v>3.4595472338015498</v>
      </c>
      <c r="F17">
        <v>2.54384628309294</v>
      </c>
      <c r="G17">
        <v>-56.304528480611133</v>
      </c>
      <c r="H17">
        <v>-49.460028694035493</v>
      </c>
      <c r="I17">
        <v>6.7490014165317103</v>
      </c>
      <c r="J17">
        <v>4.0009440925538096</v>
      </c>
      <c r="K17">
        <v>1.3599670926638101</v>
      </c>
      <c r="L17">
        <v>0</v>
      </c>
      <c r="M17">
        <v>1.2383112330061067E-6</v>
      </c>
      <c r="N17">
        <v>0</v>
      </c>
      <c r="O17" s="1">
        <v>1.93418955210946E-12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740</v>
      </c>
      <c r="C18">
        <v>275</v>
      </c>
      <c r="D18">
        <v>0.28977002418201098</v>
      </c>
      <c r="E18">
        <v>4.0947599937065497</v>
      </c>
      <c r="F18">
        <v>2.54384628309294</v>
      </c>
      <c r="G18">
        <v>-66.634703227354862</v>
      </c>
      <c r="H18">
        <v>-58.546195477280335</v>
      </c>
      <c r="I18">
        <v>7.9835244041598097</v>
      </c>
      <c r="J18">
        <v>4.7349408823875603</v>
      </c>
      <c r="K18">
        <v>1.6096727309827501</v>
      </c>
      <c r="L18">
        <v>0</v>
      </c>
      <c r="M18">
        <v>1.238311233006107E-6</v>
      </c>
      <c r="N18">
        <v>0</v>
      </c>
      <c r="O18" s="1">
        <v>2.2893290546347E-12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739</v>
      </c>
      <c r="C19">
        <v>275</v>
      </c>
      <c r="D19">
        <v>0.28899916020352701</v>
      </c>
      <c r="E19">
        <v>21.718473307005599</v>
      </c>
      <c r="F19">
        <v>2.54384628309294</v>
      </c>
      <c r="G19">
        <v>-353.38595824684421</v>
      </c>
      <c r="H19">
        <v>-310.55222151418616</v>
      </c>
      <c r="I19">
        <v>42.3195541497387</v>
      </c>
      <c r="J19">
        <v>25.1106618902304</v>
      </c>
      <c r="K19">
        <v>8.5376516070771196</v>
      </c>
      <c r="L19">
        <v>0</v>
      </c>
      <c r="M19">
        <v>1.2383112330061072E-6</v>
      </c>
      <c r="N19">
        <v>0</v>
      </c>
      <c r="O19" s="1">
        <v>1.2142526556001901E-11</v>
      </c>
      <c r="P19">
        <v>0</v>
      </c>
      <c r="Q19">
        <v>100</v>
      </c>
      <c r="AJ19">
        <v>1</v>
      </c>
    </row>
    <row r="20" spans="1:36" x14ac:dyDescent="0.2">
      <c r="A20">
        <v>20</v>
      </c>
      <c r="B20">
        <v>738</v>
      </c>
      <c r="C20">
        <v>275</v>
      </c>
      <c r="D20">
        <v>0.28822677149780002</v>
      </c>
      <c r="E20">
        <v>28.0231284101481</v>
      </c>
      <c r="F20">
        <v>2.54384628309294</v>
      </c>
      <c r="G20">
        <v>-455.915771230372</v>
      </c>
      <c r="H20">
        <v>-400.73481645604591</v>
      </c>
      <c r="I20">
        <v>54.572471714707099</v>
      </c>
      <c r="J20">
        <v>32.395755098883299</v>
      </c>
      <c r="K20">
        <v>11.016046290374099</v>
      </c>
      <c r="L20">
        <v>0</v>
      </c>
      <c r="M20">
        <v>1.2383112330061072E-6</v>
      </c>
      <c r="N20">
        <v>0</v>
      </c>
      <c r="O20" s="1">
        <v>1.56673803030491E-11</v>
      </c>
      <c r="P20">
        <v>0</v>
      </c>
      <c r="Q20">
        <v>100</v>
      </c>
      <c r="AJ20">
        <v>1</v>
      </c>
    </row>
    <row r="21" spans="1:36" x14ac:dyDescent="0.2">
      <c r="A21">
        <v>21</v>
      </c>
      <c r="B21">
        <v>737</v>
      </c>
      <c r="C21">
        <v>275</v>
      </c>
      <c r="D21">
        <v>0.28745285353660599</v>
      </c>
      <c r="E21">
        <v>29.952356865547898</v>
      </c>
      <c r="F21">
        <v>2.54384628309294</v>
      </c>
      <c r="G21">
        <v>-487.24459262667079</v>
      </c>
      <c r="H21">
        <v>-428.35768798718755</v>
      </c>
      <c r="I21">
        <v>58.295208275486999</v>
      </c>
      <c r="J21">
        <v>34.6214282848753</v>
      </c>
      <c r="K21">
        <v>11.7744366334628</v>
      </c>
      <c r="L21">
        <v>0</v>
      </c>
      <c r="M21">
        <v>1.238311233006107E-6</v>
      </c>
      <c r="N21">
        <v>0</v>
      </c>
      <c r="O21" s="1">
        <v>1.67459877825504E-11</v>
      </c>
      <c r="P21">
        <v>0</v>
      </c>
      <c r="Q21">
        <v>100</v>
      </c>
      <c r="AJ21">
        <v>1</v>
      </c>
    </row>
    <row r="22" spans="1:36" x14ac:dyDescent="0.2">
      <c r="A22">
        <v>22</v>
      </c>
      <c r="B22">
        <v>736</v>
      </c>
      <c r="C22">
        <v>275</v>
      </c>
      <c r="D22">
        <v>0.28667740177377199</v>
      </c>
      <c r="E22">
        <v>30.962048938283498</v>
      </c>
      <c r="F22">
        <v>2.54384628309294</v>
      </c>
      <c r="G22">
        <v>-503.60933469049576</v>
      </c>
      <c r="H22">
        <v>-442.83338494309083</v>
      </c>
      <c r="I22">
        <v>60.224891985735397</v>
      </c>
      <c r="J22">
        <v>35.783764358852103</v>
      </c>
      <c r="K22">
        <v>12.1713521544384</v>
      </c>
      <c r="L22">
        <v>0</v>
      </c>
      <c r="M22">
        <v>1.238311233006107E-6</v>
      </c>
      <c r="N22">
        <v>0</v>
      </c>
      <c r="O22" s="1">
        <v>1.731049398118E-11</v>
      </c>
      <c r="P22">
        <v>0</v>
      </c>
      <c r="Q22">
        <v>100</v>
      </c>
      <c r="AJ22">
        <v>1</v>
      </c>
    </row>
    <row r="23" spans="1:36" x14ac:dyDescent="0.2">
      <c r="A23">
        <v>23</v>
      </c>
      <c r="B23">
        <v>735</v>
      </c>
      <c r="C23">
        <v>275</v>
      </c>
      <c r="D23">
        <v>0.285900411645091</v>
      </c>
      <c r="E23">
        <v>31.575853790914199</v>
      </c>
      <c r="F23">
        <v>2.54384628309294</v>
      </c>
      <c r="G23">
        <v>-513.53170002493619</v>
      </c>
      <c r="H23">
        <v>-451.64879341000494</v>
      </c>
      <c r="I23">
        <v>61.382638114299702</v>
      </c>
      <c r="J23">
        <v>36.488301932126497</v>
      </c>
      <c r="K23">
        <v>12.4126422263701</v>
      </c>
      <c r="L23">
        <v>0</v>
      </c>
      <c r="M23">
        <v>1.238311233006107E-6</v>
      </c>
      <c r="N23">
        <v>0</v>
      </c>
      <c r="O23" s="1">
        <v>1.7653664590730498E-11</v>
      </c>
      <c r="P23">
        <v>0</v>
      </c>
      <c r="Q23">
        <v>100</v>
      </c>
      <c r="AJ23">
        <v>1</v>
      </c>
    </row>
    <row r="24" spans="1:36" x14ac:dyDescent="0.2">
      <c r="A24">
        <v>24</v>
      </c>
      <c r="B24">
        <v>734</v>
      </c>
      <c r="C24">
        <v>275</v>
      </c>
      <c r="D24">
        <v>0.28512187856823701</v>
      </c>
      <c r="E24">
        <v>32.0004144480097</v>
      </c>
      <c r="F24">
        <v>2.54384628309294</v>
      </c>
      <c r="G24">
        <v>-520.37432308873667</v>
      </c>
      <c r="H24">
        <v>-457.75852120210897</v>
      </c>
      <c r="I24">
        <v>62.171277254259799</v>
      </c>
      <c r="J24">
        <v>36.973982850623301</v>
      </c>
      <c r="K24">
        <v>12.579539361593</v>
      </c>
      <c r="L24">
        <v>0</v>
      </c>
      <c r="M24">
        <v>1.2383112330061072E-6</v>
      </c>
      <c r="N24">
        <v>0</v>
      </c>
      <c r="O24" s="1">
        <v>1.7891031139499499E-11</v>
      </c>
      <c r="P24">
        <v>0</v>
      </c>
      <c r="Q24">
        <v>100</v>
      </c>
      <c r="AJ24">
        <v>1</v>
      </c>
    </row>
    <row r="25" spans="1:36" x14ac:dyDescent="0.2">
      <c r="A25">
        <v>26</v>
      </c>
      <c r="B25">
        <v>756</v>
      </c>
      <c r="C25">
        <v>250</v>
      </c>
      <c r="D25">
        <v>0.32862119224602798</v>
      </c>
      <c r="E25">
        <v>1.4707632689599799E-2</v>
      </c>
      <c r="F25">
        <v>2.5430588954681599</v>
      </c>
      <c r="G25">
        <v>-0.23994523554318903</v>
      </c>
      <c r="H25">
        <v>-0.21015944696292471</v>
      </c>
      <c r="I25">
        <v>2.8942125618485401E-2</v>
      </c>
      <c r="J25">
        <v>1.7042248372979098E-2</v>
      </c>
      <c r="K25">
        <v>5.78344163236228E-3</v>
      </c>
      <c r="L25">
        <v>0</v>
      </c>
      <c r="M25">
        <v>1.2382833910659954E-6</v>
      </c>
      <c r="N25">
        <v>0</v>
      </c>
      <c r="O25" s="1">
        <v>8.2228533278986095E-15</v>
      </c>
      <c r="P25">
        <v>0</v>
      </c>
      <c r="Q25">
        <v>100</v>
      </c>
      <c r="AJ25">
        <v>1</v>
      </c>
    </row>
    <row r="26" spans="1:36" x14ac:dyDescent="0.2">
      <c r="A26">
        <v>27</v>
      </c>
      <c r="B26">
        <v>755</v>
      </c>
      <c r="C26">
        <v>250</v>
      </c>
      <c r="D26">
        <v>0.32790011185138401</v>
      </c>
      <c r="E26">
        <v>0.21939845394537799</v>
      </c>
      <c r="F26">
        <v>2.5430588954681599</v>
      </c>
      <c r="G26">
        <v>-3.5789080935113673</v>
      </c>
      <c r="H26">
        <v>-3.1352697966067598</v>
      </c>
      <c r="I26">
        <v>0.43149180265973502</v>
      </c>
      <c r="J26">
        <v>0.25419237591152</v>
      </c>
      <c r="K26">
        <v>8.6273445863308901E-2</v>
      </c>
      <c r="L26">
        <v>0</v>
      </c>
      <c r="M26">
        <v>1.2382833910659956E-6</v>
      </c>
      <c r="N26">
        <v>0</v>
      </c>
      <c r="O26" s="1">
        <v>1.2266292919024801E-13</v>
      </c>
      <c r="P26">
        <v>0</v>
      </c>
      <c r="Q26">
        <v>100</v>
      </c>
      <c r="AJ26">
        <v>1</v>
      </c>
    </row>
    <row r="27" spans="1:36" x14ac:dyDescent="0.2">
      <c r="A27">
        <v>28</v>
      </c>
      <c r="B27">
        <v>754</v>
      </c>
      <c r="C27">
        <v>250</v>
      </c>
      <c r="D27">
        <v>0.32717762741566497</v>
      </c>
      <c r="E27">
        <v>0.42309767967963502</v>
      </c>
      <c r="F27">
        <v>2.5430588954681599</v>
      </c>
      <c r="G27">
        <v>-6.9008927458728078</v>
      </c>
      <c r="H27">
        <v>-6.0466830719157612</v>
      </c>
      <c r="I27">
        <v>0.83163089515362398</v>
      </c>
      <c r="J27">
        <v>0.49013342056263798</v>
      </c>
      <c r="K27">
        <v>0.166373527736071</v>
      </c>
      <c r="L27">
        <v>0</v>
      </c>
      <c r="M27">
        <v>1.2382833910659954E-6</v>
      </c>
      <c r="N27">
        <v>0</v>
      </c>
      <c r="O27" s="1">
        <v>2.3654861640922098E-13</v>
      </c>
      <c r="P27">
        <v>0</v>
      </c>
      <c r="Q27">
        <v>100</v>
      </c>
      <c r="AJ27">
        <v>1</v>
      </c>
    </row>
    <row r="28" spans="1:36" x14ac:dyDescent="0.2">
      <c r="A28">
        <v>29</v>
      </c>
      <c r="B28">
        <v>753</v>
      </c>
      <c r="C28">
        <v>250</v>
      </c>
      <c r="D28">
        <v>0.32645373483409301</v>
      </c>
      <c r="E28">
        <v>0.62581312607686201</v>
      </c>
      <c r="F28">
        <v>2.5430588954681599</v>
      </c>
      <c r="G28">
        <v>-10.206033200440817</v>
      </c>
      <c r="H28">
        <v>-8.9445074500657196</v>
      </c>
      <c r="I28">
        <v>1.2293775280174399</v>
      </c>
      <c r="J28">
        <v>0.72487467827080199</v>
      </c>
      <c r="K28">
        <v>0.24608676078721001</v>
      </c>
      <c r="L28">
        <v>0</v>
      </c>
      <c r="M28">
        <v>1.2382833910659954E-6</v>
      </c>
      <c r="N28">
        <v>0</v>
      </c>
      <c r="O28" s="1">
        <v>3.4988428491572401E-13</v>
      </c>
      <c r="P28">
        <v>0</v>
      </c>
      <c r="Q28">
        <v>100</v>
      </c>
      <c r="AJ28">
        <v>1</v>
      </c>
    </row>
    <row r="29" spans="1:36" x14ac:dyDescent="0.2">
      <c r="A29">
        <v>30</v>
      </c>
      <c r="B29">
        <v>752</v>
      </c>
      <c r="C29">
        <v>250</v>
      </c>
      <c r="D29">
        <v>0.32572842998585799</v>
      </c>
      <c r="E29">
        <v>0.82755252763068698</v>
      </c>
      <c r="F29">
        <v>2.5430588954681599</v>
      </c>
      <c r="G29">
        <v>-13.494462065604854</v>
      </c>
      <c r="H29">
        <v>-11.828849977389943</v>
      </c>
      <c r="I29">
        <v>1.6247496348972399</v>
      </c>
      <c r="J29">
        <v>0.95842534680500302</v>
      </c>
      <c r="K29">
        <v>0.32541618643021603</v>
      </c>
      <c r="L29">
        <v>0</v>
      </c>
      <c r="M29">
        <v>1.2382833910659954E-6</v>
      </c>
      <c r="N29">
        <v>0</v>
      </c>
      <c r="O29" s="1">
        <v>4.6267425896832503E-13</v>
      </c>
      <c r="P29">
        <v>0</v>
      </c>
      <c r="Q29">
        <v>100</v>
      </c>
      <c r="AJ29">
        <v>1</v>
      </c>
    </row>
    <row r="30" spans="1:36" x14ac:dyDescent="0.2">
      <c r="A30">
        <v>31</v>
      </c>
      <c r="B30">
        <v>751</v>
      </c>
      <c r="C30">
        <v>250</v>
      </c>
      <c r="D30">
        <v>0.32500170873407402</v>
      </c>
      <c r="E30">
        <v>1.0283235339791099</v>
      </c>
      <c r="F30">
        <v>2.5430588954681599</v>
      </c>
      <c r="G30">
        <v>-16.766310499612736</v>
      </c>
      <c r="H30">
        <v>-14.699816523656748</v>
      </c>
      <c r="I30">
        <v>2.0177649523565702</v>
      </c>
      <c r="J30">
        <v>1.1907945221352401</v>
      </c>
      <c r="K30">
        <v>0.40436481271103297</v>
      </c>
      <c r="L30">
        <v>0</v>
      </c>
      <c r="M30">
        <v>1.2382833910659954E-6</v>
      </c>
      <c r="N30">
        <v>0</v>
      </c>
      <c r="O30" s="1">
        <v>5.7492281538387195E-13</v>
      </c>
      <c r="P30">
        <v>0</v>
      </c>
      <c r="Q30">
        <v>100</v>
      </c>
      <c r="AJ30">
        <v>1</v>
      </c>
    </row>
    <row r="31" spans="1:36" x14ac:dyDescent="0.2">
      <c r="A31">
        <v>32</v>
      </c>
      <c r="B31">
        <v>750</v>
      </c>
      <c r="C31">
        <v>250</v>
      </c>
      <c r="D31">
        <v>0.324273566925672</v>
      </c>
      <c r="E31">
        <v>1.2281337150095499</v>
      </c>
      <c r="F31">
        <v>2.5430588954681599</v>
      </c>
      <c r="G31">
        <v>-20.021708294707857</v>
      </c>
      <c r="H31">
        <v>-17.557511854551056</v>
      </c>
      <c r="I31">
        <v>2.4084410303052302</v>
      </c>
      <c r="J31">
        <v>1.42199120438731</v>
      </c>
      <c r="K31">
        <v>0.48293561631551002</v>
      </c>
      <c r="L31">
        <v>0</v>
      </c>
      <c r="M31">
        <v>1.2382833910659956E-6</v>
      </c>
      <c r="N31">
        <v>0</v>
      </c>
      <c r="O31" s="1">
        <v>6.86634186391666E-13</v>
      </c>
      <c r="P31">
        <v>0</v>
      </c>
      <c r="Q31">
        <v>100</v>
      </c>
      <c r="AJ31">
        <v>1</v>
      </c>
    </row>
    <row r="32" spans="1:36" x14ac:dyDescent="0.2">
      <c r="A32">
        <v>33</v>
      </c>
      <c r="B32">
        <v>749</v>
      </c>
      <c r="C32">
        <v>250</v>
      </c>
      <c r="D32">
        <v>0.32354400039133302</v>
      </c>
      <c r="E32">
        <v>1.4269905596711101</v>
      </c>
      <c r="F32">
        <v>2.5430588954681599</v>
      </c>
      <c r="G32">
        <v>-23.2607838586284</v>
      </c>
      <c r="H32">
        <v>-20.402039614221625</v>
      </c>
      <c r="I32">
        <v>2.79679523006092</v>
      </c>
      <c r="J32">
        <v>1.65202429650808</v>
      </c>
      <c r="K32">
        <v>0.56113154210233596</v>
      </c>
      <c r="L32">
        <v>0</v>
      </c>
      <c r="M32">
        <v>1.2382833910659956E-6</v>
      </c>
      <c r="N32">
        <v>0</v>
      </c>
      <c r="O32" s="1">
        <v>7.97812558969394E-13</v>
      </c>
      <c r="P32">
        <v>0</v>
      </c>
      <c r="Q32">
        <v>100</v>
      </c>
      <c r="AJ32">
        <v>1</v>
      </c>
    </row>
    <row r="33" spans="1:36" x14ac:dyDescent="0.2">
      <c r="A33">
        <v>34</v>
      </c>
      <c r="B33">
        <v>748</v>
      </c>
      <c r="C33">
        <v>250</v>
      </c>
      <c r="D33">
        <v>0.32281300494540499</v>
      </c>
      <c r="E33">
        <v>1.62490147716127</v>
      </c>
      <c r="F33">
        <v>2.5430588954681599</v>
      </c>
      <c r="G33">
        <v>-26.483664234820878</v>
      </c>
      <c r="H33">
        <v>-23.233502341772166</v>
      </c>
      <c r="I33">
        <v>3.1828447270711502</v>
      </c>
      <c r="J33">
        <v>1.88090260568078</v>
      </c>
      <c r="K33">
        <v>0.63895550356970499</v>
      </c>
      <c r="L33">
        <v>0</v>
      </c>
      <c r="M33">
        <v>1.2382833910659956E-6</v>
      </c>
      <c r="N33">
        <v>0</v>
      </c>
      <c r="O33" s="1">
        <v>9.0846207550662898E-13</v>
      </c>
      <c r="P33">
        <v>0</v>
      </c>
      <c r="Q33">
        <v>100</v>
      </c>
      <c r="AJ33">
        <v>1</v>
      </c>
    </row>
    <row r="34" spans="1:36" x14ac:dyDescent="0.2">
      <c r="A34">
        <v>35</v>
      </c>
      <c r="B34">
        <v>747</v>
      </c>
      <c r="C34">
        <v>250</v>
      </c>
      <c r="D34">
        <v>0.32208057638582899</v>
      </c>
      <c r="E34">
        <v>1.8656566781317201</v>
      </c>
      <c r="F34">
        <v>2.5430588954681599</v>
      </c>
      <c r="G34">
        <v>-30.403990247203065</v>
      </c>
      <c r="H34">
        <v>-26.678077594994431</v>
      </c>
      <c r="I34">
        <v>3.6523184357287</v>
      </c>
      <c r="J34">
        <v>2.15930910467271</v>
      </c>
      <c r="K34">
        <v>0.73362700386389101</v>
      </c>
      <c r="L34">
        <v>0</v>
      </c>
      <c r="M34">
        <v>1.2382833910659954E-6</v>
      </c>
      <c r="N34">
        <v>0</v>
      </c>
      <c r="O34" s="1">
        <v>1.0430652946166999E-12</v>
      </c>
      <c r="P34">
        <v>0</v>
      </c>
      <c r="Q34">
        <v>100</v>
      </c>
      <c r="AJ34">
        <v>1</v>
      </c>
    </row>
    <row r="35" spans="1:36" x14ac:dyDescent="0.2">
      <c r="A35">
        <v>36</v>
      </c>
      <c r="B35">
        <v>746</v>
      </c>
      <c r="C35">
        <v>250</v>
      </c>
      <c r="D35">
        <v>0.32134671049404001</v>
      </c>
      <c r="E35">
        <v>2.51447964666017</v>
      </c>
      <c r="F35">
        <v>2.5430588954681599</v>
      </c>
      <c r="G35">
        <v>-40.972722651161739</v>
      </c>
      <c r="H35">
        <v>-35.958873407903454</v>
      </c>
      <c r="I35">
        <v>4.9196381722595097</v>
      </c>
      <c r="J35">
        <v>2.9098787790240701</v>
      </c>
      <c r="K35">
        <v>0.98876186121409804</v>
      </c>
      <c r="L35">
        <v>0</v>
      </c>
      <c r="M35">
        <v>1.2382833910659956E-6</v>
      </c>
      <c r="N35">
        <v>0</v>
      </c>
      <c r="O35" s="1">
        <v>1.40581409441192E-12</v>
      </c>
      <c r="P35">
        <v>0</v>
      </c>
      <c r="Q35">
        <v>100</v>
      </c>
      <c r="AJ35">
        <v>1</v>
      </c>
    </row>
    <row r="36" spans="1:36" x14ac:dyDescent="0.2">
      <c r="A36">
        <v>37</v>
      </c>
      <c r="B36">
        <v>745</v>
      </c>
      <c r="C36">
        <v>250</v>
      </c>
      <c r="D36">
        <v>0.32061140303491598</v>
      </c>
      <c r="E36">
        <v>3.1575149744045801</v>
      </c>
      <c r="F36">
        <v>2.5430588954681599</v>
      </c>
      <c r="G36">
        <v>-51.444622414318808</v>
      </c>
      <c r="H36">
        <v>-45.15839640538335</v>
      </c>
      <c r="I36">
        <v>6.1741649157152301</v>
      </c>
      <c r="J36">
        <v>3.6535557985981</v>
      </c>
      <c r="K36">
        <v>1.24162086062238</v>
      </c>
      <c r="L36">
        <v>0</v>
      </c>
      <c r="M36">
        <v>1.2382833910659954E-6</v>
      </c>
      <c r="N36">
        <v>0</v>
      </c>
      <c r="O36" s="1">
        <v>1.7653270966939601E-12</v>
      </c>
      <c r="P36">
        <v>0</v>
      </c>
      <c r="Q36">
        <v>100</v>
      </c>
      <c r="AJ36">
        <v>1</v>
      </c>
    </row>
    <row r="37" spans="1:36" x14ac:dyDescent="0.2">
      <c r="A37">
        <v>38</v>
      </c>
      <c r="B37">
        <v>744</v>
      </c>
      <c r="C37">
        <v>250</v>
      </c>
      <c r="D37">
        <v>0.31987464975667701</v>
      </c>
      <c r="E37">
        <v>3.7962397060214301</v>
      </c>
      <c r="F37">
        <v>2.5430588954681599</v>
      </c>
      <c r="G37">
        <v>-61.843787933431145</v>
      </c>
      <c r="H37">
        <v>-54.297752427041466</v>
      </c>
      <c r="I37">
        <v>7.41880303435057</v>
      </c>
      <c r="J37">
        <v>4.3920509986810599</v>
      </c>
      <c r="K37">
        <v>1.49278481626457</v>
      </c>
      <c r="L37">
        <v>0</v>
      </c>
      <c r="M37">
        <v>1.2382833910659954E-6</v>
      </c>
      <c r="N37">
        <v>0</v>
      </c>
      <c r="O37" s="1">
        <v>2.1224300986407398E-12</v>
      </c>
      <c r="P37">
        <v>0</v>
      </c>
      <c r="Q37">
        <v>100</v>
      </c>
      <c r="AJ37">
        <v>1</v>
      </c>
    </row>
    <row r="38" spans="1:36" x14ac:dyDescent="0.2">
      <c r="A38">
        <v>39</v>
      </c>
      <c r="B38">
        <v>743</v>
      </c>
      <c r="C38">
        <v>250</v>
      </c>
      <c r="D38">
        <v>0.31913644639078897</v>
      </c>
      <c r="E38">
        <v>12.807661722829099</v>
      </c>
      <c r="F38">
        <v>2.5430588954681599</v>
      </c>
      <c r="G38">
        <v>-208.62205418522453</v>
      </c>
      <c r="H38">
        <v>-183.20326098604068</v>
      </c>
      <c r="I38">
        <v>25.0148041127627</v>
      </c>
      <c r="J38">
        <v>14.815860664436901</v>
      </c>
      <c r="K38">
        <v>5.0363213158975304</v>
      </c>
      <c r="L38">
        <v>0</v>
      </c>
      <c r="M38">
        <v>1.2382833910659956E-6</v>
      </c>
      <c r="N38">
        <v>0</v>
      </c>
      <c r="O38" s="1">
        <v>7.1606033440471296E-12</v>
      </c>
      <c r="P38">
        <v>0</v>
      </c>
      <c r="Q38">
        <v>100</v>
      </c>
      <c r="AJ38">
        <v>1</v>
      </c>
    </row>
    <row r="39" spans="1:36" x14ac:dyDescent="0.2">
      <c r="A39">
        <v>40</v>
      </c>
      <c r="B39">
        <v>742</v>
      </c>
      <c r="C39">
        <v>250</v>
      </c>
      <c r="D39">
        <v>0.318396788651924</v>
      </c>
      <c r="E39">
        <v>26.7765349367886</v>
      </c>
      <c r="F39">
        <v>2.5430588954681599</v>
      </c>
      <c r="G39">
        <v>-436.10662342875264</v>
      </c>
      <c r="H39">
        <v>-383.04768785713372</v>
      </c>
      <c r="I39">
        <v>52.267089170683001</v>
      </c>
      <c r="J39">
        <v>30.9709530287289</v>
      </c>
      <c r="K39">
        <v>10.5292626075257</v>
      </c>
      <c r="L39">
        <v>0</v>
      </c>
      <c r="M39">
        <v>1.2382833910659956E-6</v>
      </c>
      <c r="N39">
        <v>0</v>
      </c>
      <c r="O39" s="1">
        <v>1.4970425496841599E-11</v>
      </c>
      <c r="P39">
        <v>0</v>
      </c>
      <c r="Q39">
        <v>100</v>
      </c>
      <c r="AJ39">
        <v>1</v>
      </c>
    </row>
    <row r="40" spans="1:36" x14ac:dyDescent="0.2">
      <c r="A40">
        <v>41</v>
      </c>
      <c r="B40">
        <v>741</v>
      </c>
      <c r="C40">
        <v>250</v>
      </c>
      <c r="D40">
        <v>0.31765567223783697</v>
      </c>
      <c r="E40">
        <v>29.325500433073401</v>
      </c>
      <c r="F40">
        <v>2.5430588954681599</v>
      </c>
      <c r="G40">
        <v>-477.56413192883088</v>
      </c>
      <c r="H40">
        <v>-419.54544685516771</v>
      </c>
      <c r="I40">
        <v>57.209175243961099</v>
      </c>
      <c r="J40">
        <v>33.914752361961703</v>
      </c>
      <c r="K40">
        <v>11.531585243791501</v>
      </c>
      <c r="L40">
        <v>0</v>
      </c>
      <c r="M40">
        <v>1.2382833910659956E-6</v>
      </c>
      <c r="N40">
        <v>0</v>
      </c>
      <c r="O40" s="1">
        <v>1.6395520198087799E-11</v>
      </c>
      <c r="P40">
        <v>0</v>
      </c>
      <c r="Q40">
        <v>100</v>
      </c>
      <c r="AJ40">
        <v>1</v>
      </c>
    </row>
    <row r="41" spans="1:36" x14ac:dyDescent="0.2">
      <c r="A41">
        <v>42</v>
      </c>
      <c r="B41">
        <v>740</v>
      </c>
      <c r="C41">
        <v>250</v>
      </c>
      <c r="D41">
        <v>0.31691309282929903</v>
      </c>
      <c r="E41">
        <v>30.518206784210101</v>
      </c>
      <c r="F41">
        <v>2.5430588954681599</v>
      </c>
      <c r="G41">
        <v>-496.92776950821502</v>
      </c>
      <c r="H41">
        <v>-436.64419917152821</v>
      </c>
      <c r="I41">
        <v>59.501130470993203</v>
      </c>
      <c r="J41">
        <v>35.289468780052097</v>
      </c>
      <c r="K41">
        <v>12.000589856017401</v>
      </c>
      <c r="L41">
        <v>0</v>
      </c>
      <c r="M41">
        <v>1.2382833910659952E-6</v>
      </c>
      <c r="N41">
        <v>0</v>
      </c>
      <c r="O41" s="1">
        <v>1.7062347388814701E-11</v>
      </c>
      <c r="P41">
        <v>0</v>
      </c>
      <c r="Q41">
        <v>100</v>
      </c>
      <c r="AJ41">
        <v>1</v>
      </c>
    </row>
    <row r="42" spans="1:36" x14ac:dyDescent="0.2">
      <c r="A42">
        <v>43</v>
      </c>
      <c r="B42">
        <v>739</v>
      </c>
      <c r="C42">
        <v>250</v>
      </c>
      <c r="D42">
        <v>0.31616904609000601</v>
      </c>
      <c r="E42">
        <v>31.232453779585999</v>
      </c>
      <c r="F42">
        <v>2.5430588954681599</v>
      </c>
      <c r="G42">
        <v>-508.49697298632628</v>
      </c>
      <c r="H42">
        <v>-446.89951704184369</v>
      </c>
      <c r="I42">
        <v>60.858030869419103</v>
      </c>
      <c r="J42">
        <v>36.110622315632902</v>
      </c>
      <c r="K42">
        <v>12.2814512220867</v>
      </c>
      <c r="L42">
        <v>0</v>
      </c>
      <c r="M42">
        <v>1.2382833910659954E-6</v>
      </c>
      <c r="N42">
        <v>0</v>
      </c>
      <c r="O42" s="1">
        <v>1.7461673943048199E-11</v>
      </c>
      <c r="P42">
        <v>0</v>
      </c>
      <c r="Q42">
        <v>100</v>
      </c>
      <c r="AJ42">
        <v>1</v>
      </c>
    </row>
    <row r="43" spans="1:36" x14ac:dyDescent="0.2">
      <c r="A43">
        <v>44</v>
      </c>
      <c r="B43">
        <v>738</v>
      </c>
      <c r="C43">
        <v>250</v>
      </c>
      <c r="D43">
        <v>0.31542352766652099</v>
      </c>
      <c r="E43">
        <v>31.7384443978988</v>
      </c>
      <c r="F43">
        <v>2.5430588954681599</v>
      </c>
      <c r="G43">
        <v>-516.67320296412186</v>
      </c>
      <c r="H43">
        <v>-454.17633825669361</v>
      </c>
      <c r="I43">
        <v>61.807708754811998</v>
      </c>
      <c r="J43">
        <v>36.690795434584999</v>
      </c>
      <c r="K43">
        <v>12.480420510298799</v>
      </c>
      <c r="L43">
        <v>0</v>
      </c>
      <c r="M43">
        <v>1.2382833910659954E-6</v>
      </c>
      <c r="N43">
        <v>0</v>
      </c>
      <c r="O43" s="1">
        <v>1.77445669638006E-11</v>
      </c>
      <c r="P43">
        <v>0</v>
      </c>
      <c r="Q43">
        <v>100</v>
      </c>
      <c r="AJ43">
        <v>1</v>
      </c>
    </row>
    <row r="44" spans="1:36" x14ac:dyDescent="0.2">
      <c r="A44">
        <v>45</v>
      </c>
      <c r="B44">
        <v>737</v>
      </c>
      <c r="C44">
        <v>250</v>
      </c>
      <c r="D44">
        <v>0.31467653318814098</v>
      </c>
      <c r="E44">
        <v>32.096926604328097</v>
      </c>
      <c r="F44">
        <v>2.5430588954681599</v>
      </c>
      <c r="G44">
        <v>-522.44648197291713</v>
      </c>
      <c r="H44">
        <v>-459.34331234076029</v>
      </c>
      <c r="I44">
        <v>62.469108184088299</v>
      </c>
      <c r="J44">
        <v>37.100300573502999</v>
      </c>
      <c r="K44">
        <v>12.6213854746055</v>
      </c>
      <c r="L44">
        <v>0</v>
      </c>
      <c r="M44">
        <v>1.2382833910659954E-6</v>
      </c>
      <c r="N44">
        <v>0</v>
      </c>
      <c r="O44" s="1">
        <v>1.79449898779664E-11</v>
      </c>
      <c r="P44">
        <v>0</v>
      </c>
      <c r="Q44">
        <v>100</v>
      </c>
      <c r="AJ44">
        <v>1</v>
      </c>
    </row>
    <row r="45" spans="1:36" x14ac:dyDescent="0.2">
      <c r="A45">
        <v>47</v>
      </c>
      <c r="B45">
        <v>756</v>
      </c>
      <c r="C45">
        <v>225</v>
      </c>
      <c r="D45">
        <v>0.35534227274935698</v>
      </c>
      <c r="E45">
        <v>6.4623075361701601E-2</v>
      </c>
      <c r="F45">
        <v>2.5422717692855801</v>
      </c>
      <c r="G45">
        <v>-1.0549178380802373</v>
      </c>
      <c r="H45">
        <v>-0.92404366541400995</v>
      </c>
      <c r="I45">
        <v>0.12716724740438901</v>
      </c>
      <c r="J45">
        <v>7.4881017508592496E-2</v>
      </c>
      <c r="K45">
        <v>2.5419420591631599E-2</v>
      </c>
      <c r="L45">
        <v>0</v>
      </c>
      <c r="M45">
        <v>1.2382554563563434E-6</v>
      </c>
      <c r="N45">
        <v>0</v>
      </c>
      <c r="O45" s="1">
        <v>3.6129952488735299E-14</v>
      </c>
      <c r="P45">
        <v>0</v>
      </c>
      <c r="Q45">
        <v>100</v>
      </c>
      <c r="AJ45">
        <v>1</v>
      </c>
    </row>
    <row r="46" spans="1:36" x14ac:dyDescent="0.2">
      <c r="A46">
        <v>48</v>
      </c>
      <c r="B46">
        <v>755</v>
      </c>
      <c r="C46">
        <v>225</v>
      </c>
      <c r="D46">
        <v>0.354647181831445</v>
      </c>
      <c r="E46">
        <v>0.26278476962051101</v>
      </c>
      <c r="F46">
        <v>2.5422717692855801</v>
      </c>
      <c r="G46">
        <v>-4.2892253493672614</v>
      </c>
      <c r="H46">
        <v>-3.7578570304458476</v>
      </c>
      <c r="I46">
        <v>0.51681984041376605</v>
      </c>
      <c r="J46">
        <v>0.30445923269737002</v>
      </c>
      <c r="K46">
        <v>0.103366120331957</v>
      </c>
      <c r="L46">
        <v>0</v>
      </c>
      <c r="M46">
        <v>1.2382554563563436E-6</v>
      </c>
      <c r="N46">
        <v>0</v>
      </c>
      <c r="O46" s="1">
        <v>1.4691967517811899E-13</v>
      </c>
      <c r="P46">
        <v>0</v>
      </c>
      <c r="Q46">
        <v>100</v>
      </c>
      <c r="AJ46">
        <v>1</v>
      </c>
    </row>
    <row r="47" spans="1:36" x14ac:dyDescent="0.2">
      <c r="A47">
        <v>49</v>
      </c>
      <c r="B47">
        <v>754</v>
      </c>
      <c r="C47">
        <v>225</v>
      </c>
      <c r="D47">
        <v>0.35395073747748601</v>
      </c>
      <c r="E47">
        <v>0.46001187677954097</v>
      </c>
      <c r="F47">
        <v>2.5422717692855801</v>
      </c>
      <c r="G47">
        <v>-7.50750102681529</v>
      </c>
      <c r="H47">
        <v>-6.5787637300809862</v>
      </c>
      <c r="I47">
        <v>0.90418857687222098</v>
      </c>
      <c r="J47">
        <v>0.53289631565958095</v>
      </c>
      <c r="K47">
        <v>0.180945201192558</v>
      </c>
      <c r="L47">
        <v>0</v>
      </c>
      <c r="M47">
        <v>1.2382554563563434E-6</v>
      </c>
      <c r="N47">
        <v>0</v>
      </c>
      <c r="O47" s="1">
        <v>2.5718688191909501E-13</v>
      </c>
      <c r="P47">
        <v>0</v>
      </c>
      <c r="Q47">
        <v>100</v>
      </c>
      <c r="AJ47">
        <v>1</v>
      </c>
    </row>
    <row r="48" spans="1:36" x14ac:dyDescent="0.2">
      <c r="A48">
        <v>50</v>
      </c>
      <c r="B48">
        <v>753</v>
      </c>
      <c r="C48">
        <v>225</v>
      </c>
      <c r="D48">
        <v>0.35325293573064698</v>
      </c>
      <c r="E48">
        <v>0.65631152627436995</v>
      </c>
      <c r="F48">
        <v>2.5422717692855801</v>
      </c>
      <c r="G48">
        <v>-10.709867390424845</v>
      </c>
      <c r="H48">
        <v>-9.3868623971396588</v>
      </c>
      <c r="I48">
        <v>1.28929005826164</v>
      </c>
      <c r="J48">
        <v>0.76020074784293001</v>
      </c>
      <c r="K48">
        <v>0.25815946752962698</v>
      </c>
      <c r="L48">
        <v>0</v>
      </c>
      <c r="M48">
        <v>1.2382554563563432E-6</v>
      </c>
      <c r="N48">
        <v>0</v>
      </c>
      <c r="O48" s="1">
        <v>3.6693555868985101E-13</v>
      </c>
      <c r="P48">
        <v>0</v>
      </c>
      <c r="Q48">
        <v>100</v>
      </c>
      <c r="AJ48">
        <v>1</v>
      </c>
    </row>
    <row r="49" spans="1:36" x14ac:dyDescent="0.2">
      <c r="A49">
        <v>51</v>
      </c>
      <c r="B49">
        <v>752</v>
      </c>
      <c r="C49">
        <v>225</v>
      </c>
      <c r="D49">
        <v>0.35255377261864101</v>
      </c>
      <c r="E49">
        <v>1.12196370213602</v>
      </c>
      <c r="F49">
        <v>2.5422717692855801</v>
      </c>
      <c r="G49">
        <v>-18.306300993997571</v>
      </c>
      <c r="H49">
        <v>-16.048128560923818</v>
      </c>
      <c r="I49">
        <v>2.2027726996768702</v>
      </c>
      <c r="J49">
        <v>1.29939600740635</v>
      </c>
      <c r="K49">
        <v>0.44132327459676601</v>
      </c>
      <c r="L49">
        <v>0</v>
      </c>
      <c r="M49">
        <v>1.2382554563563432E-6</v>
      </c>
      <c r="N49">
        <v>0</v>
      </c>
      <c r="O49" s="1">
        <v>6.2727586122098901E-13</v>
      </c>
      <c r="P49">
        <v>0</v>
      </c>
      <c r="Q49">
        <v>100</v>
      </c>
      <c r="AJ49">
        <v>1</v>
      </c>
    </row>
    <row r="50" spans="1:36" x14ac:dyDescent="0.2">
      <c r="A50">
        <v>52</v>
      </c>
      <c r="B50">
        <v>751</v>
      </c>
      <c r="C50">
        <v>225</v>
      </c>
      <c r="D50">
        <v>0.35185324415369101</v>
      </c>
      <c r="E50">
        <v>1.7752753768176399</v>
      </c>
      <c r="F50">
        <v>2.5422717692855801</v>
      </c>
      <c r="G50">
        <v>-28.962448545056997</v>
      </c>
      <c r="H50">
        <v>-25.394898303684055</v>
      </c>
      <c r="I50">
        <v>3.4834255151813101</v>
      </c>
      <c r="J50">
        <v>2.05576175604571</v>
      </c>
      <c r="K50">
        <v>0.69830275357088201</v>
      </c>
      <c r="L50">
        <v>0</v>
      </c>
      <c r="M50">
        <v>1.2382554563563432E-6</v>
      </c>
      <c r="N50">
        <v>0</v>
      </c>
      <c r="O50" s="1">
        <v>9.9253424043720893E-13</v>
      </c>
      <c r="P50">
        <v>0</v>
      </c>
      <c r="Q50">
        <v>100</v>
      </c>
      <c r="AJ50">
        <v>1</v>
      </c>
    </row>
    <row r="51" spans="1:36" x14ac:dyDescent="0.2">
      <c r="A51">
        <v>53</v>
      </c>
      <c r="B51">
        <v>750</v>
      </c>
      <c r="C51">
        <v>225</v>
      </c>
      <c r="D51">
        <v>0.35115134633240402</v>
      </c>
      <c r="E51">
        <v>2.4223350500027201</v>
      </c>
      <c r="F51">
        <v>2.5422717692855801</v>
      </c>
      <c r="G51">
        <v>-39.51404923920439</v>
      </c>
      <c r="H51">
        <v>-34.653740191311101</v>
      </c>
      <c r="I51">
        <v>4.7503387068301697</v>
      </c>
      <c r="J51">
        <v>2.8046938969965201</v>
      </c>
      <c r="K51">
        <v>0.95282301415140902</v>
      </c>
      <c r="L51">
        <v>0</v>
      </c>
      <c r="M51">
        <v>1.2382554563563434E-6</v>
      </c>
      <c r="N51">
        <v>0</v>
      </c>
      <c r="O51" s="1">
        <v>1.35429720387872E-12</v>
      </c>
      <c r="P51">
        <v>0</v>
      </c>
      <c r="Q51">
        <v>100</v>
      </c>
      <c r="AJ51">
        <v>1</v>
      </c>
    </row>
    <row r="52" spans="1:36" x14ac:dyDescent="0.2">
      <c r="A52">
        <v>54</v>
      </c>
      <c r="B52">
        <v>749</v>
      </c>
      <c r="C52">
        <v>225</v>
      </c>
      <c r="D52">
        <v>0.350448075135744</v>
      </c>
      <c r="E52">
        <v>3.0644613251720898</v>
      </c>
      <c r="F52">
        <v>2.5422717692855801</v>
      </c>
      <c r="G52">
        <v>-49.982649042086436</v>
      </c>
      <c r="H52">
        <v>-43.843497583675969</v>
      </c>
      <c r="I52">
        <v>6.0061159892485998</v>
      </c>
      <c r="J52">
        <v>3.5477211328296701</v>
      </c>
      <c r="K52">
        <v>1.20540272766874</v>
      </c>
      <c r="L52">
        <v>0</v>
      </c>
      <c r="M52">
        <v>1.2382554563563434E-6</v>
      </c>
      <c r="N52">
        <v>0</v>
      </c>
      <c r="O52" s="1">
        <v>1.7133019662455E-12</v>
      </c>
      <c r="P52">
        <v>0</v>
      </c>
      <c r="Q52">
        <v>100</v>
      </c>
      <c r="AJ52">
        <v>1</v>
      </c>
    </row>
    <row r="53" spans="1:36" x14ac:dyDescent="0.2">
      <c r="A53">
        <v>55</v>
      </c>
      <c r="B53">
        <v>748</v>
      </c>
      <c r="C53">
        <v>225</v>
      </c>
      <c r="D53">
        <v>0.34974342652891699</v>
      </c>
      <c r="E53">
        <v>3.7032859768812698</v>
      </c>
      <c r="F53">
        <v>2.5422717692855801</v>
      </c>
      <c r="G53">
        <v>-60.394890882822772</v>
      </c>
      <c r="H53">
        <v>-52.987500877769229</v>
      </c>
      <c r="I53">
        <v>7.2539685698022298</v>
      </c>
      <c r="J53">
        <v>4.2867338982705201</v>
      </c>
      <c r="K53">
        <v>1.45668375097519</v>
      </c>
      <c r="L53">
        <v>0</v>
      </c>
      <c r="M53">
        <v>1.2382554563563434E-6</v>
      </c>
      <c r="N53">
        <v>0</v>
      </c>
      <c r="O53" s="1">
        <v>2.0704608322651101E-12</v>
      </c>
      <c r="P53">
        <v>0</v>
      </c>
      <c r="Q53">
        <v>100</v>
      </c>
      <c r="AJ53">
        <v>1</v>
      </c>
    </row>
    <row r="54" spans="1:36" x14ac:dyDescent="0.2">
      <c r="A54">
        <v>56</v>
      </c>
      <c r="B54">
        <v>747</v>
      </c>
      <c r="C54">
        <v>225</v>
      </c>
      <c r="D54">
        <v>0.34903739646130499</v>
      </c>
      <c r="E54">
        <v>12.6896801469331</v>
      </c>
      <c r="F54">
        <v>2.5422717692855801</v>
      </c>
      <c r="G54">
        <v>-206.92429066987683</v>
      </c>
      <c r="H54">
        <v>-181.58166446960183</v>
      </c>
      <c r="I54">
        <v>24.8420587171249</v>
      </c>
      <c r="J54">
        <v>14.687022643467699</v>
      </c>
      <c r="K54">
        <v>4.9914727057285297</v>
      </c>
      <c r="L54">
        <v>0</v>
      </c>
      <c r="M54">
        <v>1.2382554563563432E-6</v>
      </c>
      <c r="N54">
        <v>0</v>
      </c>
      <c r="O54" s="1">
        <v>7.0946413218467202E-12</v>
      </c>
      <c r="P54">
        <v>0</v>
      </c>
      <c r="Q54">
        <v>100</v>
      </c>
      <c r="AJ54">
        <v>1</v>
      </c>
    </row>
    <row r="55" spans="1:36" x14ac:dyDescent="0.2">
      <c r="A55">
        <v>57</v>
      </c>
      <c r="B55">
        <v>746</v>
      </c>
      <c r="C55">
        <v>225</v>
      </c>
      <c r="D55">
        <v>0.34832998086640898</v>
      </c>
      <c r="E55">
        <v>26.209784424286099</v>
      </c>
      <c r="F55">
        <v>2.5422717692855801</v>
      </c>
      <c r="G55">
        <v>-427.33859888788493</v>
      </c>
      <c r="H55">
        <v>-375.07653028207369</v>
      </c>
      <c r="I55">
        <v>51.280055542178502</v>
      </c>
      <c r="J55">
        <v>30.331243921710399</v>
      </c>
      <c r="K55">
        <v>10.3095918937303</v>
      </c>
      <c r="L55">
        <v>0</v>
      </c>
      <c r="M55">
        <v>1.2382554563563432E-6</v>
      </c>
      <c r="N55">
        <v>0</v>
      </c>
      <c r="O55" s="1">
        <v>1.4653562379834601E-11</v>
      </c>
      <c r="P55">
        <v>0</v>
      </c>
      <c r="Q55">
        <v>100</v>
      </c>
      <c r="AJ55">
        <v>1</v>
      </c>
    </row>
    <row r="56" spans="1:36" x14ac:dyDescent="0.2">
      <c r="A56">
        <v>58</v>
      </c>
      <c r="B56">
        <v>745</v>
      </c>
      <c r="C56">
        <v>225</v>
      </c>
      <c r="D56">
        <v>0.347621175661739</v>
      </c>
      <c r="E56">
        <v>28.972530906949601</v>
      </c>
      <c r="F56">
        <v>2.5422717692855801</v>
      </c>
      <c r="G56">
        <v>-472.32725313068232</v>
      </c>
      <c r="H56">
        <v>-414.64648872946276</v>
      </c>
      <c r="I56">
        <v>56.652521142483401</v>
      </c>
      <c r="J56">
        <v>33.524071668135001</v>
      </c>
      <c r="K56">
        <v>11.396315396717499</v>
      </c>
      <c r="L56">
        <v>0</v>
      </c>
      <c r="M56">
        <v>1.2382554563563436E-6</v>
      </c>
      <c r="N56">
        <v>0</v>
      </c>
      <c r="O56" s="1">
        <v>1.61981793544735E-11</v>
      </c>
      <c r="P56">
        <v>0</v>
      </c>
      <c r="Q56">
        <v>100</v>
      </c>
      <c r="AJ56">
        <v>1</v>
      </c>
    </row>
    <row r="57" spans="1:36" x14ac:dyDescent="0.2">
      <c r="A57">
        <v>59</v>
      </c>
      <c r="B57">
        <v>744</v>
      </c>
      <c r="C57">
        <v>225</v>
      </c>
      <c r="D57">
        <v>0.34691097674876298</v>
      </c>
      <c r="E57">
        <v>30.255528208078299</v>
      </c>
      <c r="F57">
        <v>2.5422717692855801</v>
      </c>
      <c r="G57">
        <v>-493.18428627185563</v>
      </c>
      <c r="H57">
        <v>-433.0433816391477</v>
      </c>
      <c r="I57">
        <v>59.126878663626698</v>
      </c>
      <c r="J57">
        <v>35.004065383737299</v>
      </c>
      <c r="K57">
        <v>11.9009810727594</v>
      </c>
      <c r="L57">
        <v>0</v>
      </c>
      <c r="M57">
        <v>1.2382554563563436E-6</v>
      </c>
      <c r="N57">
        <v>0</v>
      </c>
      <c r="O57" s="1">
        <v>1.69154870850869E-11</v>
      </c>
      <c r="P57">
        <v>0</v>
      </c>
      <c r="Q57">
        <v>100</v>
      </c>
      <c r="AJ57">
        <v>1</v>
      </c>
    </row>
    <row r="58" spans="1:36" x14ac:dyDescent="0.2">
      <c r="A58">
        <v>60</v>
      </c>
      <c r="B58">
        <v>743</v>
      </c>
      <c r="C58">
        <v>225</v>
      </c>
      <c r="D58">
        <v>0.34619938001279399</v>
      </c>
      <c r="E58">
        <v>31.019497313371499</v>
      </c>
      <c r="F58">
        <v>2.5422717692855801</v>
      </c>
      <c r="G58">
        <v>-505.57686468587229</v>
      </c>
      <c r="H58">
        <v>-444.01385619808559</v>
      </c>
      <c r="I58">
        <v>60.584567719122802</v>
      </c>
      <c r="J58">
        <v>35.883251761451902</v>
      </c>
      <c r="K58">
        <v>12.2014875388749</v>
      </c>
      <c r="L58">
        <v>0</v>
      </c>
      <c r="M58">
        <v>1.2382554563563434E-6</v>
      </c>
      <c r="N58">
        <v>0</v>
      </c>
      <c r="O58" s="1">
        <v>1.7342612648558001E-11</v>
      </c>
      <c r="P58">
        <v>0</v>
      </c>
      <c r="Q58">
        <v>100</v>
      </c>
      <c r="AJ58">
        <v>1</v>
      </c>
    </row>
    <row r="59" spans="1:36" x14ac:dyDescent="0.2">
      <c r="A59">
        <v>61</v>
      </c>
      <c r="B59">
        <v>742</v>
      </c>
      <c r="C59">
        <v>225</v>
      </c>
      <c r="D59">
        <v>0.345486381322956</v>
      </c>
      <c r="E59">
        <v>31.536645255357801</v>
      </c>
      <c r="F59">
        <v>2.5422717692855801</v>
      </c>
      <c r="G59">
        <v>-513.94411691534617</v>
      </c>
      <c r="H59">
        <v>-451.45280380484888</v>
      </c>
      <c r="I59">
        <v>61.558698823323901</v>
      </c>
      <c r="J59">
        <v>36.476712210639498</v>
      </c>
      <c r="K59">
        <v>12.4049071528729</v>
      </c>
      <c r="L59">
        <v>0</v>
      </c>
      <c r="M59">
        <v>1.2382554563563434E-6</v>
      </c>
      <c r="N59">
        <v>0</v>
      </c>
      <c r="O59" s="1">
        <v>1.7631743589309899E-11</v>
      </c>
      <c r="P59">
        <v>0</v>
      </c>
      <c r="Q59">
        <v>100</v>
      </c>
      <c r="AJ59">
        <v>1</v>
      </c>
    </row>
    <row r="60" spans="1:36" x14ac:dyDescent="0.2">
      <c r="A60">
        <v>62</v>
      </c>
      <c r="B60">
        <v>741</v>
      </c>
      <c r="C60">
        <v>225</v>
      </c>
      <c r="D60">
        <v>0.34477197653207198</v>
      </c>
      <c r="E60">
        <v>31.915159110967299</v>
      </c>
      <c r="F60">
        <v>2.5422717692855801</v>
      </c>
      <c r="G60">
        <v>-520.05037474940013</v>
      </c>
      <c r="H60">
        <v>-456.90821048315149</v>
      </c>
      <c r="I60">
        <v>62.261168728736898</v>
      </c>
      <c r="J60">
        <v>36.909675942659597</v>
      </c>
      <c r="K60">
        <v>12.553795190801299</v>
      </c>
      <c r="L60">
        <v>0</v>
      </c>
      <c r="M60">
        <v>1.2382554563563434E-6</v>
      </c>
      <c r="N60">
        <v>0</v>
      </c>
      <c r="O60" s="1">
        <v>1.7843365947777998E-11</v>
      </c>
      <c r="P60">
        <v>0</v>
      </c>
      <c r="Q60">
        <v>100</v>
      </c>
      <c r="AJ60">
        <v>1</v>
      </c>
    </row>
    <row r="61" spans="1:36" x14ac:dyDescent="0.2">
      <c r="A61">
        <v>65</v>
      </c>
      <c r="B61">
        <v>758</v>
      </c>
      <c r="C61">
        <v>200</v>
      </c>
      <c r="D61">
        <v>0.383397662803666</v>
      </c>
      <c r="E61">
        <v>7.7562303642826694E-2</v>
      </c>
      <c r="F61">
        <v>2.5414849045122199</v>
      </c>
      <c r="G61">
        <v>-1.2672082320014411</v>
      </c>
      <c r="H61">
        <v>-1.1096444256973157</v>
      </c>
      <c r="I61">
        <v>0.15280396286100401</v>
      </c>
      <c r="J61">
        <v>8.9896907210975693E-2</v>
      </c>
      <c r="K61">
        <v>3.05184986560889E-2</v>
      </c>
      <c r="L61">
        <v>0</v>
      </c>
      <c r="M61">
        <v>1.2382274289707083E-6</v>
      </c>
      <c r="N61">
        <v>0</v>
      </c>
      <c r="O61" s="1">
        <v>4.3364113048586999E-14</v>
      </c>
      <c r="P61">
        <v>0</v>
      </c>
      <c r="Q61">
        <v>100</v>
      </c>
      <c r="AJ61">
        <v>1</v>
      </c>
    </row>
    <row r="62" spans="1:36" x14ac:dyDescent="0.2">
      <c r="A62">
        <v>66</v>
      </c>
      <c r="B62">
        <v>757</v>
      </c>
      <c r="C62">
        <v>200</v>
      </c>
      <c r="D62">
        <v>0.38273115565694399</v>
      </c>
      <c r="E62">
        <v>0.73614453274454295</v>
      </c>
      <c r="F62">
        <v>2.5414849045122199</v>
      </c>
      <c r="G62">
        <v>-12.02563506143586</v>
      </c>
      <c r="H62">
        <v>-10.532498544200372</v>
      </c>
      <c r="I62">
        <v>1.4494360211964099</v>
      </c>
      <c r="J62">
        <v>0.853104508767356</v>
      </c>
      <c r="K62">
        <v>0.28965134966474598</v>
      </c>
      <c r="L62">
        <v>0</v>
      </c>
      <c r="M62">
        <v>1.2382274289707083E-6</v>
      </c>
      <c r="N62">
        <v>0</v>
      </c>
      <c r="O62" s="1">
        <v>4.1156919326474898E-13</v>
      </c>
      <c r="P62">
        <v>0</v>
      </c>
      <c r="Q62">
        <v>100</v>
      </c>
      <c r="AJ62">
        <v>1</v>
      </c>
    </row>
    <row r="63" spans="1:36" x14ac:dyDescent="0.2">
      <c r="A63">
        <v>67</v>
      </c>
      <c r="B63">
        <v>756</v>
      </c>
      <c r="C63">
        <v>200</v>
      </c>
      <c r="D63">
        <v>0.38206335325268598</v>
      </c>
      <c r="E63">
        <v>1.38757163240195</v>
      </c>
      <c r="F63">
        <v>2.5414849045122199</v>
      </c>
      <c r="G63">
        <v>-22.664597384249635</v>
      </c>
      <c r="H63">
        <v>-19.854497611230247</v>
      </c>
      <c r="I63">
        <v>2.7305055366267101</v>
      </c>
      <c r="J63">
        <v>1.6078277785259001</v>
      </c>
      <c r="K63">
        <v>0.54596886644434595</v>
      </c>
      <c r="L63">
        <v>0</v>
      </c>
      <c r="M63">
        <v>1.2382274289707083E-6</v>
      </c>
      <c r="N63">
        <v>0</v>
      </c>
      <c r="O63" s="1">
        <v>7.7577393017588304E-13</v>
      </c>
      <c r="P63">
        <v>0</v>
      </c>
      <c r="Q63">
        <v>100</v>
      </c>
      <c r="AJ63">
        <v>1</v>
      </c>
    </row>
    <row r="64" spans="1:36" x14ac:dyDescent="0.2">
      <c r="A64">
        <v>68</v>
      </c>
      <c r="B64">
        <v>755</v>
      </c>
      <c r="C64">
        <v>200</v>
      </c>
      <c r="D64">
        <v>0.38139425181150599</v>
      </c>
      <c r="E64">
        <v>2.0329253178029401</v>
      </c>
      <c r="F64">
        <v>2.5414849045122199</v>
      </c>
      <c r="G64">
        <v>-33.201806262873895</v>
      </c>
      <c r="H64">
        <v>-29.091095774691116</v>
      </c>
      <c r="I64">
        <v>3.9981622216435002</v>
      </c>
      <c r="J64">
        <v>2.3553225070203201</v>
      </c>
      <c r="K64">
        <v>0.79989667229328298</v>
      </c>
      <c r="L64">
        <v>0</v>
      </c>
      <c r="M64">
        <v>1.2382274289707087E-6</v>
      </c>
      <c r="N64">
        <v>0</v>
      </c>
      <c r="O64" s="1">
        <v>1.13658309720271E-12</v>
      </c>
      <c r="P64">
        <v>0</v>
      </c>
      <c r="Q64">
        <v>100</v>
      </c>
      <c r="AJ64">
        <v>1</v>
      </c>
    </row>
    <row r="65" spans="1:36" x14ac:dyDescent="0.2">
      <c r="A65">
        <v>69</v>
      </c>
      <c r="B65">
        <v>754</v>
      </c>
      <c r="C65">
        <v>200</v>
      </c>
      <c r="D65">
        <v>0.38072384753930699</v>
      </c>
      <c r="E65">
        <v>2.6734942005245399</v>
      </c>
      <c r="F65">
        <v>2.5414849045122199</v>
      </c>
      <c r="G65">
        <v>-43.658342838816928</v>
      </c>
      <c r="H65">
        <v>-38.260713121052149</v>
      </c>
      <c r="I65">
        <v>5.2549576184245499</v>
      </c>
      <c r="J65">
        <v>3.0970835348226502</v>
      </c>
      <c r="K65">
        <v>1.0519417981896899</v>
      </c>
      <c r="L65">
        <v>0</v>
      </c>
      <c r="M65">
        <v>1.2382274289707085E-6</v>
      </c>
      <c r="N65">
        <v>0</v>
      </c>
      <c r="O65" s="1">
        <v>1.4947171409472399E-12</v>
      </c>
      <c r="P65">
        <v>0</v>
      </c>
      <c r="Q65">
        <v>100</v>
      </c>
      <c r="AJ65">
        <v>1</v>
      </c>
    </row>
    <row r="66" spans="1:36" x14ac:dyDescent="0.2">
      <c r="A66">
        <v>70</v>
      </c>
      <c r="B66">
        <v>753</v>
      </c>
      <c r="C66">
        <v>200</v>
      </c>
      <c r="D66">
        <v>0.380052136627202</v>
      </c>
      <c r="E66">
        <v>3.3108686539862999</v>
      </c>
      <c r="F66">
        <v>2.5414849045122199</v>
      </c>
      <c r="G66">
        <v>-54.060205284948907</v>
      </c>
      <c r="H66">
        <v>-47.386094613450325</v>
      </c>
      <c r="I66">
        <v>6.5040302796848204</v>
      </c>
      <c r="J66">
        <v>3.8349544781846601</v>
      </c>
      <c r="K66">
        <v>1.3027300095735701</v>
      </c>
      <c r="L66">
        <v>0</v>
      </c>
      <c r="M66">
        <v>1.2382274289707087E-6</v>
      </c>
      <c r="N66">
        <v>0</v>
      </c>
      <c r="O66" s="1">
        <v>1.8510652192801799E-12</v>
      </c>
      <c r="P66">
        <v>0</v>
      </c>
      <c r="Q66">
        <v>100</v>
      </c>
      <c r="AJ66">
        <v>1</v>
      </c>
    </row>
    <row r="67" spans="1:36" x14ac:dyDescent="0.2">
      <c r="A67">
        <v>71</v>
      </c>
      <c r="B67">
        <v>752</v>
      </c>
      <c r="C67">
        <v>200</v>
      </c>
      <c r="D67">
        <v>0.37937911525142798</v>
      </c>
      <c r="E67">
        <v>4.2684399050267396</v>
      </c>
      <c r="F67">
        <v>2.5414849045122199</v>
      </c>
      <c r="G67">
        <v>-69.687144837456685</v>
      </c>
      <c r="H67">
        <v>-61.096070716776516</v>
      </c>
      <c r="I67">
        <v>8.38030934076005</v>
      </c>
      <c r="J67">
        <v>4.9434698822130398</v>
      </c>
      <c r="K67">
        <v>1.67950629863999</v>
      </c>
      <c r="L67">
        <v>0</v>
      </c>
      <c r="M67">
        <v>1.2382274289707087E-6</v>
      </c>
      <c r="N67">
        <v>0</v>
      </c>
      <c r="O67" s="1">
        <v>2.3864313189439198E-12</v>
      </c>
      <c r="P67">
        <v>0</v>
      </c>
      <c r="Q67">
        <v>100</v>
      </c>
      <c r="AJ67">
        <v>1</v>
      </c>
    </row>
    <row r="68" spans="1:36" x14ac:dyDescent="0.2">
      <c r="A68">
        <v>72</v>
      </c>
      <c r="B68">
        <v>751</v>
      </c>
      <c r="C68">
        <v>200</v>
      </c>
      <c r="D68">
        <v>0.378704779573308</v>
      </c>
      <c r="E68">
        <v>21.2469378657823</v>
      </c>
      <c r="F68">
        <v>2.5414849045122199</v>
      </c>
      <c r="G68">
        <v>-346.83876654624322</v>
      </c>
      <c r="H68">
        <v>-304.14143671148486</v>
      </c>
      <c r="I68">
        <v>41.690504159310898</v>
      </c>
      <c r="J68">
        <v>24.603868711260599</v>
      </c>
      <c r="K68">
        <v>8.3600488155801997</v>
      </c>
      <c r="L68">
        <v>0</v>
      </c>
      <c r="M68">
        <v>1.238227428970708E-6</v>
      </c>
      <c r="N68">
        <v>0</v>
      </c>
      <c r="O68" s="1">
        <v>1.18788969934533E-11</v>
      </c>
      <c r="P68">
        <v>0</v>
      </c>
      <c r="Q68">
        <v>100</v>
      </c>
      <c r="AJ68">
        <v>1</v>
      </c>
    </row>
    <row r="69" spans="1:36" x14ac:dyDescent="0.2">
      <c r="A69">
        <v>73</v>
      </c>
      <c r="B69">
        <v>750</v>
      </c>
      <c r="C69">
        <v>200</v>
      </c>
      <c r="D69">
        <v>0.37802912573913899</v>
      </c>
      <c r="E69">
        <v>27.1715476040245</v>
      </c>
      <c r="F69">
        <v>2.5414849045122199</v>
      </c>
      <c r="G69">
        <v>-443.49984202958058</v>
      </c>
      <c r="H69">
        <v>-388.98132335275471</v>
      </c>
      <c r="I69">
        <v>53.284971584641397</v>
      </c>
      <c r="J69">
        <v>31.460500782859199</v>
      </c>
      <c r="K69">
        <v>10.6912095192001</v>
      </c>
      <c r="L69">
        <v>0</v>
      </c>
      <c r="M69">
        <v>1.2382274289707083E-6</v>
      </c>
      <c r="N69">
        <v>0</v>
      </c>
      <c r="O69" s="1">
        <v>1.5191272134359201E-11</v>
      </c>
      <c r="P69">
        <v>0</v>
      </c>
      <c r="Q69">
        <v>100</v>
      </c>
      <c r="AJ69">
        <v>1</v>
      </c>
    </row>
    <row r="70" spans="1:36" x14ac:dyDescent="0.2">
      <c r="A70">
        <v>74</v>
      </c>
      <c r="B70">
        <v>749</v>
      </c>
      <c r="C70">
        <v>200</v>
      </c>
      <c r="D70">
        <v>0.37735214988015597</v>
      </c>
      <c r="E70">
        <v>29.254027618173399</v>
      </c>
      <c r="F70">
        <v>2.5414849045122199</v>
      </c>
      <c r="G70">
        <v>-477.43317628789038</v>
      </c>
      <c r="H70">
        <v>-418.8274745806242</v>
      </c>
      <c r="I70">
        <v>57.335715606580401</v>
      </c>
      <c r="J70">
        <v>33.867332946532898</v>
      </c>
      <c r="K70">
        <v>11.5106045155865</v>
      </c>
      <c r="L70">
        <v>0</v>
      </c>
      <c r="M70">
        <v>1.2382274289707083E-6</v>
      </c>
      <c r="N70">
        <v>0</v>
      </c>
      <c r="O70" s="1">
        <v>1.6355560641967601E-11</v>
      </c>
      <c r="P70">
        <v>0</v>
      </c>
      <c r="Q70">
        <v>100</v>
      </c>
      <c r="AJ70">
        <v>1</v>
      </c>
    </row>
    <row r="71" spans="1:36" x14ac:dyDescent="0.2">
      <c r="A71">
        <v>75</v>
      </c>
      <c r="B71">
        <v>748</v>
      </c>
      <c r="C71">
        <v>200</v>
      </c>
      <c r="D71">
        <v>0.37667384811242399</v>
      </c>
      <c r="E71">
        <v>30.347171349295301</v>
      </c>
      <c r="F71">
        <v>2.5414849045122199</v>
      </c>
      <c r="G71">
        <v>-495.21409919489389</v>
      </c>
      <c r="H71">
        <v>-434.51305284369431</v>
      </c>
      <c r="I71">
        <v>59.4438097744695</v>
      </c>
      <c r="J71">
        <v>35.128328989921499</v>
      </c>
      <c r="K71">
        <v>11.940724611590699</v>
      </c>
      <c r="L71">
        <v>0</v>
      </c>
      <c r="M71">
        <v>1.2382274289707085E-6</v>
      </c>
      <c r="N71">
        <v>0</v>
      </c>
      <c r="O71" s="1">
        <v>1.6966723618160501E-11</v>
      </c>
      <c r="P71">
        <v>0</v>
      </c>
      <c r="Q71">
        <v>100</v>
      </c>
      <c r="AJ71">
        <v>1</v>
      </c>
    </row>
    <row r="72" spans="1:36" x14ac:dyDescent="0.2">
      <c r="A72">
        <v>76</v>
      </c>
      <c r="B72">
        <v>747</v>
      </c>
      <c r="C72">
        <v>200</v>
      </c>
      <c r="D72">
        <v>0.375994216536785</v>
      </c>
      <c r="E72">
        <v>31.0364030641678</v>
      </c>
      <c r="F72">
        <v>2.5414849045122199</v>
      </c>
      <c r="G72">
        <v>-506.40040947268301</v>
      </c>
      <c r="H72">
        <v>-444.41744754228591</v>
      </c>
      <c r="I72">
        <v>60.7586746364722</v>
      </c>
      <c r="J72">
        <v>35.921500723199003</v>
      </c>
      <c r="K72">
        <v>12.2119171390964</v>
      </c>
      <c r="L72">
        <v>0</v>
      </c>
      <c r="M72">
        <v>1.2382274289707085E-6</v>
      </c>
      <c r="N72">
        <v>0</v>
      </c>
      <c r="O72" s="1">
        <v>1.7352064442203501E-11</v>
      </c>
      <c r="P72">
        <v>0</v>
      </c>
      <c r="Q72">
        <v>100</v>
      </c>
      <c r="AJ72">
        <v>1</v>
      </c>
    </row>
    <row r="73" spans="1:36" x14ac:dyDescent="0.2">
      <c r="A73">
        <v>77</v>
      </c>
      <c r="B73">
        <v>746</v>
      </c>
      <c r="C73">
        <v>200</v>
      </c>
      <c r="D73">
        <v>0.37531325123877901</v>
      </c>
      <c r="E73">
        <v>31.518447366893799</v>
      </c>
      <c r="F73">
        <v>2.5414849045122199</v>
      </c>
      <c r="G73">
        <v>-514.20392226267813</v>
      </c>
      <c r="H73">
        <v>-451.35642867127984</v>
      </c>
      <c r="I73">
        <v>61.666578610997703</v>
      </c>
      <c r="J73">
        <v>36.474688217313897</v>
      </c>
      <c r="K73">
        <v>12.4015874778304</v>
      </c>
      <c r="L73">
        <v>0</v>
      </c>
      <c r="M73">
        <v>1.2382274289707085E-6</v>
      </c>
      <c r="N73">
        <v>0</v>
      </c>
      <c r="O73" s="1">
        <v>1.7621569377669301E-11</v>
      </c>
      <c r="P73">
        <v>0</v>
      </c>
      <c r="Q73">
        <v>100</v>
      </c>
      <c r="AJ73">
        <v>1</v>
      </c>
    </row>
    <row r="74" spans="1:36" x14ac:dyDescent="0.2">
      <c r="A74">
        <v>78</v>
      </c>
      <c r="B74">
        <v>745</v>
      </c>
      <c r="C74">
        <v>200</v>
      </c>
      <c r="D74">
        <v>0.37463094828856203</v>
      </c>
      <c r="E74">
        <v>31.878732745273201</v>
      </c>
      <c r="F74">
        <v>2.5414849045122199</v>
      </c>
      <c r="G74">
        <v>-520.01940139479268</v>
      </c>
      <c r="H74">
        <v>-456.55274469175419</v>
      </c>
      <c r="I74">
        <v>62.3352715248622</v>
      </c>
      <c r="J74">
        <v>36.886833417287399</v>
      </c>
      <c r="K74">
        <v>12.543349239916701</v>
      </c>
      <c r="L74">
        <v>0</v>
      </c>
      <c r="M74">
        <v>1.2382274289707083E-6</v>
      </c>
      <c r="N74">
        <v>0</v>
      </c>
      <c r="O74" s="1">
        <v>1.7823000422700401E-11</v>
      </c>
      <c r="P74">
        <v>0</v>
      </c>
      <c r="Q74">
        <v>100</v>
      </c>
      <c r="AJ74">
        <v>1</v>
      </c>
    </row>
    <row r="75" spans="1:36" x14ac:dyDescent="0.2">
      <c r="A75">
        <v>85</v>
      </c>
      <c r="B75">
        <v>763</v>
      </c>
      <c r="C75">
        <v>175</v>
      </c>
      <c r="D75">
        <v>0.41325145973073701</v>
      </c>
      <c r="E75">
        <v>0.26278324730702601</v>
      </c>
      <c r="F75">
        <v>2.5406983011149902</v>
      </c>
      <c r="G75">
        <v>-4.2985143675266464</v>
      </c>
      <c r="H75">
        <v>-3.7605682460458243</v>
      </c>
      <c r="I75">
        <v>0.51917784247533805</v>
      </c>
      <c r="J75">
        <v>0.304764497966034</v>
      </c>
      <c r="K75">
        <v>0.103429536356875</v>
      </c>
      <c r="L75">
        <v>0</v>
      </c>
      <c r="M75">
        <v>1.2381993090025817E-6</v>
      </c>
      <c r="N75">
        <v>0</v>
      </c>
      <c r="O75" s="1">
        <v>1.46918824071706E-13</v>
      </c>
      <c r="P75">
        <v>0</v>
      </c>
      <c r="Q75">
        <v>100</v>
      </c>
      <c r="AJ75">
        <v>1</v>
      </c>
    </row>
    <row r="76" spans="1:36" x14ac:dyDescent="0.2">
      <c r="A76">
        <v>86</v>
      </c>
      <c r="B76">
        <v>762</v>
      </c>
      <c r="C76">
        <v>175</v>
      </c>
      <c r="D76">
        <v>0.41261701202724399</v>
      </c>
      <c r="E76">
        <v>0.91020611288858799</v>
      </c>
      <c r="F76">
        <v>2.5406983011149902</v>
      </c>
      <c r="G76">
        <v>-14.887028259237873</v>
      </c>
      <c r="H76">
        <v>-13.02658986730216</v>
      </c>
      <c r="I76">
        <v>1.7972645432407901</v>
      </c>
      <c r="J76">
        <v>1.0554852450901899</v>
      </c>
      <c r="K76">
        <v>0.358250372540942</v>
      </c>
      <c r="L76">
        <v>0</v>
      </c>
      <c r="M76">
        <v>1.2381993090025817E-6</v>
      </c>
      <c r="N76">
        <v>0</v>
      </c>
      <c r="O76" s="1">
        <v>5.0888484383568298E-13</v>
      </c>
      <c r="P76">
        <v>0</v>
      </c>
      <c r="Q76">
        <v>100</v>
      </c>
      <c r="AJ76">
        <v>1</v>
      </c>
    </row>
    <row r="77" spans="1:36" x14ac:dyDescent="0.2">
      <c r="A77">
        <v>87</v>
      </c>
      <c r="B77">
        <v>761</v>
      </c>
      <c r="C77">
        <v>175</v>
      </c>
      <c r="D77">
        <v>0.411981337330175</v>
      </c>
      <c r="E77">
        <v>1.5515541025062201</v>
      </c>
      <c r="F77">
        <v>2.5406983011149902</v>
      </c>
      <c r="G77">
        <v>-25.373639751238436</v>
      </c>
      <c r="H77">
        <v>-22.207164074147588</v>
      </c>
      <c r="I77">
        <v>3.06191140268901</v>
      </c>
      <c r="J77">
        <v>1.79897421192956</v>
      </c>
      <c r="K77">
        <v>0.610680182619604</v>
      </c>
      <c r="L77">
        <v>0</v>
      </c>
      <c r="M77">
        <v>1.238199309002582E-6</v>
      </c>
      <c r="N77">
        <v>0</v>
      </c>
      <c r="O77" s="1">
        <v>8.6745447649299604E-13</v>
      </c>
      <c r="P77">
        <v>0</v>
      </c>
      <c r="Q77">
        <v>100</v>
      </c>
      <c r="AJ77">
        <v>1</v>
      </c>
    </row>
    <row r="78" spans="1:36" x14ac:dyDescent="0.2">
      <c r="A78">
        <v>88</v>
      </c>
      <c r="B78">
        <v>760</v>
      </c>
      <c r="C78">
        <v>175</v>
      </c>
      <c r="D78">
        <v>0.41134443207665999</v>
      </c>
      <c r="E78">
        <v>2.1880308980494099</v>
      </c>
      <c r="F78">
        <v>2.5406983011149902</v>
      </c>
      <c r="G78">
        <v>-35.778069246124652</v>
      </c>
      <c r="H78">
        <v>-31.319498970707574</v>
      </c>
      <c r="I78">
        <v>4.31551108301512</v>
      </c>
      <c r="J78">
        <v>2.5366288945723401</v>
      </c>
      <c r="K78">
        <v>0.86119272685355097</v>
      </c>
      <c r="L78">
        <v>0</v>
      </c>
      <c r="M78">
        <v>1.238199309002582E-6</v>
      </c>
      <c r="N78">
        <v>0</v>
      </c>
      <c r="O78" s="1">
        <v>1.2233006855204599E-12</v>
      </c>
      <c r="P78">
        <v>0</v>
      </c>
      <c r="Q78">
        <v>100</v>
      </c>
      <c r="AJ78">
        <v>1</v>
      </c>
    </row>
    <row r="79" spans="1:36" x14ac:dyDescent="0.2">
      <c r="A79">
        <v>89</v>
      </c>
      <c r="B79">
        <v>759</v>
      </c>
      <c r="C79">
        <v>175</v>
      </c>
      <c r="D79">
        <v>0.41070629269001901</v>
      </c>
      <c r="E79">
        <v>2.8211060721409602</v>
      </c>
      <c r="F79">
        <v>2.5406983011149902</v>
      </c>
      <c r="G79">
        <v>-46.124374861153484</v>
      </c>
      <c r="H79">
        <v>-40.384614518257344</v>
      </c>
      <c r="I79">
        <v>5.5609749967506001</v>
      </c>
      <c r="J79">
        <v>3.2701543093327299</v>
      </c>
      <c r="K79">
        <v>1.11036641812328</v>
      </c>
      <c r="L79">
        <v>0</v>
      </c>
      <c r="M79">
        <v>1.2381993090025822E-6</v>
      </c>
      <c r="N79">
        <v>0</v>
      </c>
      <c r="O79" s="1">
        <v>1.5772450905755201E-12</v>
      </c>
      <c r="P79">
        <v>0</v>
      </c>
      <c r="Q79">
        <v>100</v>
      </c>
      <c r="AJ79">
        <v>1</v>
      </c>
    </row>
    <row r="80" spans="1:36" x14ac:dyDescent="0.2">
      <c r="A80">
        <v>90</v>
      </c>
      <c r="B80">
        <v>758</v>
      </c>
      <c r="C80">
        <v>175</v>
      </c>
      <c r="D80">
        <v>0.41006691557969399</v>
      </c>
      <c r="E80">
        <v>3.4526401691125499</v>
      </c>
      <c r="F80">
        <v>2.5406983011149902</v>
      </c>
      <c r="G80">
        <v>-56.442994617835872</v>
      </c>
      <c r="H80">
        <v>-49.429134774927441</v>
      </c>
      <c r="I80">
        <v>6.8019782213144699</v>
      </c>
      <c r="J80">
        <v>4.00170776702174</v>
      </c>
      <c r="K80">
        <v>1.35893355287298</v>
      </c>
      <c r="L80">
        <v>0</v>
      </c>
      <c r="M80">
        <v>1.238199309002582E-6</v>
      </c>
      <c r="N80">
        <v>0</v>
      </c>
      <c r="O80" s="1">
        <v>1.9303278987038701E-12</v>
      </c>
      <c r="P80">
        <v>0</v>
      </c>
      <c r="Q80">
        <v>100</v>
      </c>
      <c r="AJ80">
        <v>1</v>
      </c>
    </row>
    <row r="81" spans="1:36" x14ac:dyDescent="0.2">
      <c r="A81">
        <v>91</v>
      </c>
      <c r="B81">
        <v>757</v>
      </c>
      <c r="C81">
        <v>175</v>
      </c>
      <c r="D81">
        <v>0.40942629714119499</v>
      </c>
      <c r="E81">
        <v>5.8458447656238999</v>
      </c>
      <c r="F81">
        <v>2.5406983011149902</v>
      </c>
      <c r="G81">
        <v>-95.555058309293869</v>
      </c>
      <c r="H81">
        <v>-83.697815736153714</v>
      </c>
      <c r="I81">
        <v>11.510209749201699</v>
      </c>
      <c r="J81">
        <v>6.7746431648612404</v>
      </c>
      <c r="K81">
        <v>2.3008811251058101</v>
      </c>
      <c r="L81">
        <v>0</v>
      </c>
      <c r="M81">
        <v>1.238199309002582E-6</v>
      </c>
      <c r="N81">
        <v>0</v>
      </c>
      <c r="O81" s="1">
        <v>3.2683386306880301E-12</v>
      </c>
      <c r="P81">
        <v>0</v>
      </c>
      <c r="Q81">
        <v>100</v>
      </c>
      <c r="AJ81">
        <v>1</v>
      </c>
    </row>
    <row r="82" spans="1:36" x14ac:dyDescent="0.2">
      <c r="A82">
        <v>92</v>
      </c>
      <c r="B82">
        <v>756</v>
      </c>
      <c r="C82">
        <v>175</v>
      </c>
      <c r="D82">
        <v>0.40878443375601398</v>
      </c>
      <c r="E82">
        <v>21.580004286605501</v>
      </c>
      <c r="F82">
        <v>2.5406983011149902</v>
      </c>
      <c r="G82">
        <v>-352.70013679615755</v>
      </c>
      <c r="H82">
        <v>-308.99647225627837</v>
      </c>
      <c r="I82">
        <v>42.465786853110899</v>
      </c>
      <c r="J82">
        <v>25.005505692452299</v>
      </c>
      <c r="K82">
        <v>8.4937295692034898</v>
      </c>
      <c r="L82">
        <v>0</v>
      </c>
      <c r="M82">
        <v>1.238199309002582E-6</v>
      </c>
      <c r="N82">
        <v>0</v>
      </c>
      <c r="O82" s="1">
        <v>1.20651102600393E-11</v>
      </c>
      <c r="P82">
        <v>0</v>
      </c>
      <c r="Q82">
        <v>100</v>
      </c>
      <c r="AJ82">
        <v>1</v>
      </c>
    </row>
    <row r="83" spans="1:36" x14ac:dyDescent="0.2">
      <c r="A83">
        <v>93</v>
      </c>
      <c r="B83">
        <v>755</v>
      </c>
      <c r="C83">
        <v>175</v>
      </c>
      <c r="D83">
        <v>0.40814132179156798</v>
      </c>
      <c r="E83">
        <v>26.943530481351399</v>
      </c>
      <c r="F83">
        <v>2.5406983011149902</v>
      </c>
      <c r="G83">
        <v>-440.30774551969023</v>
      </c>
      <c r="H83">
        <v>-385.82613108534247</v>
      </c>
      <c r="I83">
        <v>52.989947414625902</v>
      </c>
      <c r="J83">
        <v>31.216446175159799</v>
      </c>
      <c r="K83">
        <v>10.6047736834897</v>
      </c>
      <c r="L83">
        <v>0</v>
      </c>
      <c r="M83">
        <v>1.238199309002582E-6</v>
      </c>
      <c r="N83">
        <v>0</v>
      </c>
      <c r="O83" s="1">
        <v>1.5063790615371001E-11</v>
      </c>
      <c r="P83">
        <v>0</v>
      </c>
      <c r="Q83">
        <v>100</v>
      </c>
      <c r="AJ83">
        <v>1</v>
      </c>
    </row>
    <row r="84" spans="1:36" x14ac:dyDescent="0.2">
      <c r="A84">
        <v>94</v>
      </c>
      <c r="B84">
        <v>754</v>
      </c>
      <c r="C84">
        <v>175</v>
      </c>
      <c r="D84">
        <v>0.40749695760112897</v>
      </c>
      <c r="E84">
        <v>29.021162320726599</v>
      </c>
      <c r="F84">
        <v>2.5406983011149902</v>
      </c>
      <c r="G84">
        <v>-474.20308090170658</v>
      </c>
      <c r="H84">
        <v>-415.6110375168002</v>
      </c>
      <c r="I84">
        <v>57.043317319677101</v>
      </c>
      <c r="J84">
        <v>33.619285191381103</v>
      </c>
      <c r="K84">
        <v>11.422514159981301</v>
      </c>
      <c r="L84">
        <v>0</v>
      </c>
      <c r="M84">
        <v>1.2381993090025822E-6</v>
      </c>
      <c r="N84">
        <v>0</v>
      </c>
      <c r="O84" s="1">
        <v>1.62253685691525E-11</v>
      </c>
      <c r="P84">
        <v>0</v>
      </c>
      <c r="Q84">
        <v>100</v>
      </c>
      <c r="AJ84">
        <v>1</v>
      </c>
    </row>
    <row r="85" spans="1:36" x14ac:dyDescent="0.2">
      <c r="A85">
        <v>95</v>
      </c>
      <c r="B85">
        <v>753</v>
      </c>
      <c r="C85">
        <v>175</v>
      </c>
      <c r="D85">
        <v>0.40685133752375702</v>
      </c>
      <c r="E85">
        <v>30.1404363457324</v>
      </c>
      <c r="F85">
        <v>2.5406983011149902</v>
      </c>
      <c r="G85">
        <v>-492.43268756276359</v>
      </c>
      <c r="H85">
        <v>-431.67503484933519</v>
      </c>
      <c r="I85">
        <v>59.209328766192399</v>
      </c>
      <c r="J85">
        <v>34.911442711367698</v>
      </c>
      <c r="K85">
        <v>11.863052111502199</v>
      </c>
      <c r="L85">
        <v>0</v>
      </c>
      <c r="M85">
        <v>1.2381993090025822E-6</v>
      </c>
      <c r="N85">
        <v>0</v>
      </c>
      <c r="O85" s="1">
        <v>1.6851140665559099E-11</v>
      </c>
      <c r="P85">
        <v>0</v>
      </c>
      <c r="Q85">
        <v>100</v>
      </c>
      <c r="AJ85">
        <v>1</v>
      </c>
    </row>
    <row r="86" spans="1:36" x14ac:dyDescent="0.2">
      <c r="A86">
        <v>96</v>
      </c>
      <c r="B86">
        <v>752</v>
      </c>
      <c r="C86">
        <v>175</v>
      </c>
      <c r="D86">
        <v>0.406204457884214</v>
      </c>
      <c r="E86">
        <v>30.853224289132701</v>
      </c>
      <c r="F86">
        <v>2.5406983011149902</v>
      </c>
      <c r="G86">
        <v>-504.01758317987304</v>
      </c>
      <c r="H86">
        <v>-441.91940618135015</v>
      </c>
      <c r="I86">
        <v>60.574722722063001</v>
      </c>
      <c r="J86">
        <v>35.732489723674803</v>
      </c>
      <c r="K86">
        <v>12.143600157323901</v>
      </c>
      <c r="L86">
        <v>0</v>
      </c>
      <c r="M86">
        <v>1.238199309002582E-6</v>
      </c>
      <c r="N86">
        <v>0</v>
      </c>
      <c r="O86" s="1">
        <v>1.7249651482097199E-11</v>
      </c>
      <c r="P86">
        <v>0</v>
      </c>
      <c r="Q86">
        <v>100</v>
      </c>
      <c r="AJ86">
        <v>1</v>
      </c>
    </row>
    <row r="87" spans="1:36" x14ac:dyDescent="0.2">
      <c r="A87">
        <v>97</v>
      </c>
      <c r="B87">
        <v>751</v>
      </c>
      <c r="C87">
        <v>175</v>
      </c>
      <c r="D87">
        <v>0.40555631499292399</v>
      </c>
      <c r="E87">
        <v>31.354057706446</v>
      </c>
      <c r="F87">
        <v>2.5406983011149902</v>
      </c>
      <c r="G87">
        <v>-512.13764640118256</v>
      </c>
      <c r="H87">
        <v>-449.12929423264865</v>
      </c>
      <c r="I87">
        <v>61.522581817637899</v>
      </c>
      <c r="J87">
        <v>36.307872891983003</v>
      </c>
      <c r="K87">
        <v>12.340724474325</v>
      </c>
      <c r="L87">
        <v>0</v>
      </c>
      <c r="M87">
        <v>1.238199309002582E-6</v>
      </c>
      <c r="N87">
        <v>0</v>
      </c>
      <c r="O87" s="1">
        <v>1.7529661176328299E-11</v>
      </c>
      <c r="P87">
        <v>0</v>
      </c>
      <c r="Q87">
        <v>100</v>
      </c>
      <c r="AJ87">
        <v>1</v>
      </c>
    </row>
    <row r="88" spans="1:36" x14ac:dyDescent="0.2">
      <c r="A88">
        <v>98</v>
      </c>
      <c r="B88">
        <v>750</v>
      </c>
      <c r="C88">
        <v>175</v>
      </c>
      <c r="D88">
        <v>0.40490690514587502</v>
      </c>
      <c r="E88">
        <v>31.729276397104002</v>
      </c>
      <c r="F88">
        <v>2.5406983011149902</v>
      </c>
      <c r="G88">
        <v>-518.20423320422765</v>
      </c>
      <c r="H88">
        <v>-454.54083158033654</v>
      </c>
      <c r="I88">
        <v>62.222940550154902</v>
      </c>
      <c r="J88">
        <v>36.737654383101699</v>
      </c>
      <c r="K88">
        <v>12.488407766943199</v>
      </c>
      <c r="L88">
        <v>0</v>
      </c>
      <c r="M88">
        <v>1.2381993090025817E-6</v>
      </c>
      <c r="N88">
        <v>0</v>
      </c>
      <c r="O88" s="1">
        <v>1.7739441249320501E-11</v>
      </c>
      <c r="P88">
        <v>0</v>
      </c>
      <c r="Q88">
        <v>100</v>
      </c>
      <c r="AJ88">
        <v>1</v>
      </c>
    </row>
    <row r="89" spans="1:36" x14ac:dyDescent="0.2">
      <c r="A89">
        <v>109</v>
      </c>
      <c r="B89">
        <v>770</v>
      </c>
      <c r="C89">
        <v>150</v>
      </c>
      <c r="D89">
        <v>0.44402099410439499</v>
      </c>
      <c r="E89">
        <v>2.2095648259493401E-2</v>
      </c>
      <c r="F89">
        <v>2.53991195906073</v>
      </c>
      <c r="G89">
        <v>-0.3619563453907359</v>
      </c>
      <c r="H89">
        <v>-0.31623849010164251</v>
      </c>
      <c r="I89">
        <v>4.3826731811430097E-2</v>
      </c>
      <c r="J89">
        <v>2.5647791660525499E-2</v>
      </c>
      <c r="K89">
        <v>8.6993756538177192E-3</v>
      </c>
      <c r="L89">
        <v>0</v>
      </c>
      <c r="M89">
        <v>1.2381710965453891E-6</v>
      </c>
      <c r="N89">
        <v>0</v>
      </c>
      <c r="O89" s="1">
        <v>1.23534003504949E-14</v>
      </c>
      <c r="P89">
        <v>0</v>
      </c>
      <c r="Q89">
        <v>100</v>
      </c>
      <c r="AJ89">
        <v>1</v>
      </c>
    </row>
    <row r="90" spans="1:36" x14ac:dyDescent="0.2">
      <c r="A90">
        <v>110</v>
      </c>
      <c r="B90">
        <v>769</v>
      </c>
      <c r="C90">
        <v>150</v>
      </c>
      <c r="D90">
        <v>0.44342033296550898</v>
      </c>
      <c r="E90">
        <v>0.65996735086103697</v>
      </c>
      <c r="F90">
        <v>2.53991195906073</v>
      </c>
      <c r="G90">
        <v>-10.809841444488059</v>
      </c>
      <c r="H90">
        <v>-9.4463851780148946</v>
      </c>
      <c r="I90">
        <v>1.3083109595290101</v>
      </c>
      <c r="J90">
        <v>0.76597087394226504</v>
      </c>
      <c r="K90">
        <v>0.25983867216605999</v>
      </c>
      <c r="L90">
        <v>0</v>
      </c>
      <c r="M90">
        <v>1.2381710965453891E-6</v>
      </c>
      <c r="N90">
        <v>0</v>
      </c>
      <c r="O90" s="1">
        <v>3.6897948445296502E-13</v>
      </c>
      <c r="P90">
        <v>0</v>
      </c>
      <c r="Q90">
        <v>100</v>
      </c>
      <c r="AJ90">
        <v>1</v>
      </c>
    </row>
    <row r="91" spans="1:36" x14ac:dyDescent="0.2">
      <c r="A91">
        <v>111</v>
      </c>
      <c r="B91">
        <v>768</v>
      </c>
      <c r="C91">
        <v>150</v>
      </c>
      <c r="D91">
        <v>0.442818517984921</v>
      </c>
      <c r="E91">
        <v>1.29214192868107</v>
      </c>
      <c r="F91">
        <v>2.53991195906073</v>
      </c>
      <c r="G91">
        <v>-21.161894306041756</v>
      </c>
      <c r="H91">
        <v>-18.496460513011264</v>
      </c>
      <c r="I91">
        <v>2.5600862440863299</v>
      </c>
      <c r="J91">
        <v>1.4995000275035</v>
      </c>
      <c r="K91">
        <v>0.50873492841811396</v>
      </c>
      <c r="L91">
        <v>0</v>
      </c>
      <c r="M91">
        <v>1.2381710965453891E-6</v>
      </c>
      <c r="N91">
        <v>0</v>
      </c>
      <c r="O91" s="1">
        <v>7.2242037740620295E-13</v>
      </c>
      <c r="P91">
        <v>0</v>
      </c>
      <c r="Q91">
        <v>100</v>
      </c>
      <c r="AJ91">
        <v>1</v>
      </c>
    </row>
    <row r="92" spans="1:36" x14ac:dyDescent="0.2">
      <c r="A92">
        <v>112</v>
      </c>
      <c r="B92">
        <v>767</v>
      </c>
      <c r="C92">
        <v>150</v>
      </c>
      <c r="D92">
        <v>0.44221554583473799</v>
      </c>
      <c r="E92">
        <v>1.9197963620718199</v>
      </c>
      <c r="F92">
        <v>2.53991195906073</v>
      </c>
      <c r="G92">
        <v>-31.437424434757943</v>
      </c>
      <c r="H92">
        <v>-27.483293725509903</v>
      </c>
      <c r="I92">
        <v>3.8015004655559599</v>
      </c>
      <c r="J92">
        <v>2.2276028047934799</v>
      </c>
      <c r="K92">
        <v>0.75585153856347398</v>
      </c>
      <c r="L92">
        <v>0</v>
      </c>
      <c r="M92">
        <v>1.2381710965453893E-6</v>
      </c>
      <c r="N92">
        <v>0</v>
      </c>
      <c r="O92" s="1">
        <v>1.0733341141917899E-12</v>
      </c>
      <c r="P92">
        <v>0</v>
      </c>
      <c r="Q92">
        <v>100</v>
      </c>
      <c r="AJ92">
        <v>1</v>
      </c>
    </row>
    <row r="93" spans="1:36" x14ac:dyDescent="0.2">
      <c r="A93">
        <v>113</v>
      </c>
      <c r="B93">
        <v>766</v>
      </c>
      <c r="C93">
        <v>150</v>
      </c>
      <c r="D93">
        <v>0.44161141317423203</v>
      </c>
      <c r="E93">
        <v>2.5443647006064198</v>
      </c>
      <c r="F93">
        <v>2.53991195906073</v>
      </c>
      <c r="G93">
        <v>-41.659941081023007</v>
      </c>
      <c r="H93">
        <v>-36.427399945280058</v>
      </c>
      <c r="I93">
        <v>5.0354050288629502</v>
      </c>
      <c r="J93">
        <v>2.9519443386643598</v>
      </c>
      <c r="K93">
        <v>1.0017531086185101</v>
      </c>
      <c r="L93">
        <v>0</v>
      </c>
      <c r="M93">
        <v>1.2381710965453889E-6</v>
      </c>
      <c r="N93">
        <v>0</v>
      </c>
      <c r="O93" s="1">
        <v>1.42252245397478E-12</v>
      </c>
      <c r="P93">
        <v>0</v>
      </c>
      <c r="Q93">
        <v>100</v>
      </c>
      <c r="AJ93">
        <v>1</v>
      </c>
    </row>
    <row r="94" spans="1:36" x14ac:dyDescent="0.2">
      <c r="A94">
        <v>114</v>
      </c>
      <c r="B94">
        <v>765</v>
      </c>
      <c r="C94">
        <v>150</v>
      </c>
      <c r="D94">
        <v>0.44100611664981298</v>
      </c>
      <c r="E94">
        <v>3.16765390724923</v>
      </c>
      <c r="F94">
        <v>2.53991195906073</v>
      </c>
      <c r="G94">
        <v>-51.859047246526579</v>
      </c>
      <c r="H94">
        <v>-45.35464035402407</v>
      </c>
      <c r="I94">
        <v>6.2653825482854204</v>
      </c>
      <c r="J94">
        <v>3.6746215381410501</v>
      </c>
      <c r="K94">
        <v>1.24715106598444</v>
      </c>
      <c r="L94">
        <v>0</v>
      </c>
      <c r="M94">
        <v>1.2381710965453891E-6</v>
      </c>
      <c r="N94">
        <v>0</v>
      </c>
      <c r="O94" s="1">
        <v>1.7709956471291301E-12</v>
      </c>
      <c r="P94">
        <v>0</v>
      </c>
      <c r="Q94">
        <v>100</v>
      </c>
      <c r="AJ94">
        <v>1</v>
      </c>
    </row>
    <row r="95" spans="1:36" x14ac:dyDescent="0.2">
      <c r="A95">
        <v>115</v>
      </c>
      <c r="B95">
        <v>764</v>
      </c>
      <c r="C95">
        <v>150</v>
      </c>
      <c r="D95">
        <v>0.44039965289495597</v>
      </c>
      <c r="E95">
        <v>4.1915607596792004</v>
      </c>
      <c r="F95">
        <v>2.53991195906073</v>
      </c>
      <c r="G95">
        <v>-68.613585803717953</v>
      </c>
      <c r="H95">
        <v>-60.019856267716293</v>
      </c>
      <c r="I95">
        <v>8.2859080518745198</v>
      </c>
      <c r="J95">
        <v>4.8617947780309603</v>
      </c>
      <c r="K95">
        <v>1.65027797311102</v>
      </c>
      <c r="L95">
        <v>0</v>
      </c>
      <c r="M95">
        <v>1.2381710965453891E-6</v>
      </c>
      <c r="N95">
        <v>0</v>
      </c>
      <c r="O95" s="1">
        <v>2.3434491511465099E-12</v>
      </c>
      <c r="P95">
        <v>0</v>
      </c>
      <c r="Q95">
        <v>100</v>
      </c>
      <c r="AJ95">
        <v>1</v>
      </c>
    </row>
    <row r="96" spans="1:36" x14ac:dyDescent="0.2">
      <c r="A96">
        <v>116</v>
      </c>
      <c r="B96">
        <v>763</v>
      </c>
      <c r="C96">
        <v>150</v>
      </c>
      <c r="D96">
        <v>0.43979201853014099</v>
      </c>
      <c r="E96">
        <v>11.510248761242901</v>
      </c>
      <c r="F96">
        <v>2.53991195906073</v>
      </c>
      <c r="G96">
        <v>-188.3938085117442</v>
      </c>
      <c r="H96">
        <v>-164.83106719606326</v>
      </c>
      <c r="I96">
        <v>22.740666231415201</v>
      </c>
      <c r="J96">
        <v>13.349082261267</v>
      </c>
      <c r="K96">
        <v>4.5317510790804896</v>
      </c>
      <c r="L96">
        <v>0</v>
      </c>
      <c r="M96">
        <v>1.2381710965453891E-6</v>
      </c>
      <c r="N96">
        <v>0</v>
      </c>
      <c r="O96" s="1">
        <v>6.4352359981259897E-12</v>
      </c>
      <c r="P96">
        <v>0</v>
      </c>
      <c r="Q96">
        <v>100</v>
      </c>
      <c r="AJ96">
        <v>1</v>
      </c>
    </row>
    <row r="97" spans="1:36" x14ac:dyDescent="0.2">
      <c r="A97">
        <v>117</v>
      </c>
      <c r="B97">
        <v>762</v>
      </c>
      <c r="C97">
        <v>150</v>
      </c>
      <c r="D97">
        <v>0.439183210162781</v>
      </c>
      <c r="E97">
        <v>22.6809211683155</v>
      </c>
      <c r="F97">
        <v>2.53991195906073</v>
      </c>
      <c r="G97">
        <v>-371.18480885709323</v>
      </c>
      <c r="H97">
        <v>-324.82557669143694</v>
      </c>
      <c r="I97">
        <v>44.785038077241197</v>
      </c>
      <c r="J97">
        <v>26.301051266550999</v>
      </c>
      <c r="K97">
        <v>8.9298060459950008</v>
      </c>
      <c r="L97">
        <v>0</v>
      </c>
      <c r="M97">
        <v>1.2381710965453893E-6</v>
      </c>
      <c r="N97">
        <v>0</v>
      </c>
      <c r="O97" s="1">
        <v>1.26806191074224E-11</v>
      </c>
      <c r="P97">
        <v>0</v>
      </c>
      <c r="Q97">
        <v>100</v>
      </c>
      <c r="AJ97">
        <v>1</v>
      </c>
    </row>
    <row r="98" spans="1:36" x14ac:dyDescent="0.2">
      <c r="A98">
        <v>118</v>
      </c>
      <c r="B98">
        <v>761</v>
      </c>
      <c r="C98">
        <v>150</v>
      </c>
      <c r="D98">
        <v>0.43857322438717999</v>
      </c>
      <c r="E98">
        <v>26.994630919383301</v>
      </c>
      <c r="F98">
        <v>2.53991195906073</v>
      </c>
      <c r="G98">
        <v>-441.72757495567788</v>
      </c>
      <c r="H98">
        <v>-386.63581754921722</v>
      </c>
      <c r="I98">
        <v>53.272501480888302</v>
      </c>
      <c r="J98">
        <v>31.299356436288001</v>
      </c>
      <c r="K98">
        <v>10.6281758401445</v>
      </c>
      <c r="L98">
        <v>0</v>
      </c>
      <c r="M98">
        <v>1.2381710965453893E-6</v>
      </c>
      <c r="N98">
        <v>0</v>
      </c>
      <c r="O98" s="1">
        <v>1.5092360230603901E-11</v>
      </c>
      <c r="P98">
        <v>0</v>
      </c>
      <c r="Q98">
        <v>100</v>
      </c>
      <c r="AJ98">
        <v>1</v>
      </c>
    </row>
    <row r="99" spans="1:36" x14ac:dyDescent="0.2">
      <c r="A99">
        <v>119</v>
      </c>
      <c r="B99">
        <v>760</v>
      </c>
      <c r="C99">
        <v>150</v>
      </c>
      <c r="D99">
        <v>0.43796205778444602</v>
      </c>
      <c r="E99">
        <v>28.913534037023599</v>
      </c>
      <c r="F99">
        <v>2.53991195906073</v>
      </c>
      <c r="G99">
        <v>-473.07056922147183</v>
      </c>
      <c r="H99">
        <v>-414.15320039927769</v>
      </c>
      <c r="I99">
        <v>57.026926218065199</v>
      </c>
      <c r="J99">
        <v>33.5200503557326</v>
      </c>
      <c r="K99">
        <v>11.3836756954819</v>
      </c>
      <c r="L99">
        <v>0</v>
      </c>
      <c r="M99">
        <v>1.2381710965453891E-6</v>
      </c>
      <c r="N99">
        <v>0</v>
      </c>
      <c r="O99" s="1">
        <v>1.6165194943015601E-11</v>
      </c>
      <c r="P99">
        <v>0</v>
      </c>
      <c r="Q99">
        <v>100</v>
      </c>
      <c r="AJ99">
        <v>1</v>
      </c>
    </row>
    <row r="100" spans="1:36" x14ac:dyDescent="0.2">
      <c r="A100">
        <v>120</v>
      </c>
      <c r="B100">
        <v>759</v>
      </c>
      <c r="C100">
        <v>150</v>
      </c>
      <c r="D100">
        <v>0.43734970692244701</v>
      </c>
      <c r="E100">
        <v>30.001498854404201</v>
      </c>
      <c r="F100">
        <v>2.53991195906073</v>
      </c>
      <c r="G100">
        <v>-490.81221672680249</v>
      </c>
      <c r="H100">
        <v>-429.77182726662608</v>
      </c>
      <c r="I100">
        <v>59.139068410770101</v>
      </c>
      <c r="J100">
        <v>34.776973377223797</v>
      </c>
      <c r="K100">
        <v>11.812023148038101</v>
      </c>
      <c r="L100">
        <v>0</v>
      </c>
      <c r="M100">
        <v>1.2381710965453891E-6</v>
      </c>
      <c r="N100">
        <v>0</v>
      </c>
      <c r="O100" s="1">
        <v>1.67734624533648E-11</v>
      </c>
      <c r="P100">
        <v>0</v>
      </c>
      <c r="Q100">
        <v>100</v>
      </c>
      <c r="AJ100">
        <v>1</v>
      </c>
    </row>
    <row r="101" spans="1:36" x14ac:dyDescent="0.2">
      <c r="A101">
        <v>121</v>
      </c>
      <c r="B101">
        <v>758</v>
      </c>
      <c r="C101">
        <v>150</v>
      </c>
      <c r="D101">
        <v>0.43673616835572199</v>
      </c>
      <c r="E101">
        <v>30.711204223522198</v>
      </c>
      <c r="F101">
        <v>2.53991195906073</v>
      </c>
      <c r="G101">
        <v>-502.36218470162271</v>
      </c>
      <c r="H101">
        <v>-439.97396250640651</v>
      </c>
      <c r="I101">
        <v>60.503537017132402</v>
      </c>
      <c r="J101">
        <v>35.5951557232356</v>
      </c>
      <c r="K101">
        <v>12.0914443959228</v>
      </c>
      <c r="L101">
        <v>0</v>
      </c>
      <c r="M101">
        <v>1.2381710965453893E-6</v>
      </c>
      <c r="N101">
        <v>0</v>
      </c>
      <c r="O101" s="1">
        <v>1.71702498412091E-11</v>
      </c>
      <c r="P101">
        <v>0</v>
      </c>
      <c r="Q101">
        <v>100</v>
      </c>
      <c r="AJ101">
        <v>1</v>
      </c>
    </row>
    <row r="102" spans="1:36" x14ac:dyDescent="0.2">
      <c r="A102">
        <v>122</v>
      </c>
      <c r="B102">
        <v>757</v>
      </c>
      <c r="C102">
        <v>150</v>
      </c>
      <c r="D102">
        <v>0.436121438625445</v>
      </c>
      <c r="E102">
        <v>31.216516413877699</v>
      </c>
      <c r="F102">
        <v>2.53991195906073</v>
      </c>
      <c r="G102">
        <v>-510.56640760866372</v>
      </c>
      <c r="H102">
        <v>-447.24932988118906</v>
      </c>
      <c r="I102">
        <v>61.463939938333901</v>
      </c>
      <c r="J102">
        <v>36.176253053733802</v>
      </c>
      <c r="K102">
        <v>12.2903930990669</v>
      </c>
      <c r="L102">
        <v>0</v>
      </c>
      <c r="M102">
        <v>1.2381710965453893E-6</v>
      </c>
      <c r="N102">
        <v>0</v>
      </c>
      <c r="O102" s="1">
        <v>1.74527635613832E-11</v>
      </c>
      <c r="P102">
        <v>0</v>
      </c>
      <c r="Q102">
        <v>100</v>
      </c>
      <c r="AJ102">
        <v>1</v>
      </c>
    </row>
    <row r="103" spans="1:36" x14ac:dyDescent="0.2">
      <c r="A103">
        <v>123</v>
      </c>
      <c r="B103">
        <v>756</v>
      </c>
      <c r="C103">
        <v>150</v>
      </c>
      <c r="D103">
        <v>0.43550551425934297</v>
      </c>
      <c r="E103">
        <v>31.5981616060436</v>
      </c>
      <c r="F103">
        <v>2.53991195906073</v>
      </c>
      <c r="G103">
        <v>-516.7462650809149</v>
      </c>
      <c r="H103">
        <v>-452.7539026806644</v>
      </c>
      <c r="I103">
        <v>62.179820628917497</v>
      </c>
      <c r="J103">
        <v>36.613894947248802</v>
      </c>
      <c r="K103">
        <v>12.4406523199838</v>
      </c>
      <c r="L103">
        <v>0</v>
      </c>
      <c r="M103">
        <v>1.2381710965453893E-6</v>
      </c>
      <c r="N103">
        <v>0</v>
      </c>
      <c r="O103" s="1">
        <v>1.7666136610922101E-11</v>
      </c>
      <c r="P103">
        <v>0</v>
      </c>
      <c r="Q103">
        <v>100</v>
      </c>
      <c r="AJ103">
        <v>1</v>
      </c>
    </row>
    <row r="104" spans="1:36" x14ac:dyDescent="0.2">
      <c r="A104">
        <v>124</v>
      </c>
      <c r="B104">
        <v>755</v>
      </c>
      <c r="C104">
        <v>150</v>
      </c>
      <c r="D104">
        <v>0.43488839177162902</v>
      </c>
      <c r="E104">
        <v>31.8988182291402</v>
      </c>
      <c r="F104">
        <v>2.53991195906073</v>
      </c>
      <c r="G104">
        <v>-521.60035418150187</v>
      </c>
      <c r="H104">
        <v>-457.09881764848438</v>
      </c>
      <c r="I104">
        <v>62.735531326185303</v>
      </c>
      <c r="J104">
        <v>36.957582191775799</v>
      </c>
      <c r="K104">
        <v>12.559025172248999</v>
      </c>
      <c r="L104">
        <v>0</v>
      </c>
      <c r="M104">
        <v>1.2381710965453891E-6</v>
      </c>
      <c r="N104">
        <v>0</v>
      </c>
      <c r="O104" s="1">
        <v>1.78342299653021E-11</v>
      </c>
      <c r="P104">
        <v>0</v>
      </c>
      <c r="Q104">
        <v>100</v>
      </c>
      <c r="AJ104">
        <v>1</v>
      </c>
    </row>
    <row r="105" spans="1:36" x14ac:dyDescent="0.2">
      <c r="A105">
        <v>140</v>
      </c>
      <c r="B105">
        <v>778</v>
      </c>
      <c r="C105">
        <v>125</v>
      </c>
      <c r="D105">
        <v>0.47494696285021398</v>
      </c>
      <c r="E105">
        <v>0.49043584637077098</v>
      </c>
      <c r="F105">
        <v>2.5391258783161499</v>
      </c>
      <c r="G105">
        <v>-8.0466244653498347</v>
      </c>
      <c r="H105">
        <v>-7.0195130926871814</v>
      </c>
      <c r="I105">
        <v>0.97713111607539604</v>
      </c>
      <c r="J105">
        <v>0.56983421570155202</v>
      </c>
      <c r="K105">
        <v>0.193151450488941</v>
      </c>
      <c r="L105">
        <v>0</v>
      </c>
      <c r="M105">
        <v>1.2381427916924884E-6</v>
      </c>
      <c r="N105">
        <v>0</v>
      </c>
      <c r="O105" s="1">
        <v>2.7419654247296799E-13</v>
      </c>
      <c r="P105">
        <v>0</v>
      </c>
      <c r="Q105">
        <v>100</v>
      </c>
      <c r="AJ105">
        <v>1</v>
      </c>
    </row>
    <row r="106" spans="1:36" x14ac:dyDescent="0.2">
      <c r="A106">
        <v>141</v>
      </c>
      <c r="B106">
        <v>777</v>
      </c>
      <c r="C106">
        <v>125</v>
      </c>
      <c r="D106">
        <v>0.47438032662001101</v>
      </c>
      <c r="E106">
        <v>1.1097541406724301</v>
      </c>
      <c r="F106">
        <v>2.5391258783161499</v>
      </c>
      <c r="G106">
        <v>-18.205624263629232</v>
      </c>
      <c r="H106">
        <v>-15.884984989288794</v>
      </c>
      <c r="I106">
        <v>2.20981695409268</v>
      </c>
      <c r="J106">
        <v>1.2892603326671499</v>
      </c>
      <c r="K106">
        <v>0.43706149039305398</v>
      </c>
      <c r="L106">
        <v>0</v>
      </c>
      <c r="M106">
        <v>1.2381427916924881E-6</v>
      </c>
      <c r="N106">
        <v>0</v>
      </c>
      <c r="O106" s="1">
        <v>6.20449648244911E-13</v>
      </c>
      <c r="P106">
        <v>0</v>
      </c>
      <c r="Q106">
        <v>100</v>
      </c>
      <c r="AJ106">
        <v>1</v>
      </c>
    </row>
    <row r="107" spans="1:36" x14ac:dyDescent="0.2">
      <c r="A107">
        <v>142</v>
      </c>
      <c r="B107">
        <v>776</v>
      </c>
      <c r="C107">
        <v>125</v>
      </c>
      <c r="D107">
        <v>0.47381261020826598</v>
      </c>
      <c r="E107">
        <v>1.7250199711346099</v>
      </c>
      <c r="F107">
        <v>2.5391258783161499</v>
      </c>
      <c r="G107">
        <v>-28.29568583859302</v>
      </c>
      <c r="H107">
        <v>-24.693884175388529</v>
      </c>
      <c r="I107">
        <v>3.4330664473187702</v>
      </c>
      <c r="J107">
        <v>2.0038046747074598</v>
      </c>
      <c r="K107">
        <v>0.67937552283882197</v>
      </c>
      <c r="L107">
        <v>0</v>
      </c>
      <c r="M107">
        <v>1.2381427916924881E-6</v>
      </c>
      <c r="N107">
        <v>0</v>
      </c>
      <c r="O107" s="1">
        <v>9.64437072212594E-13</v>
      </c>
      <c r="P107">
        <v>0</v>
      </c>
      <c r="Q107">
        <v>100</v>
      </c>
      <c r="AJ107">
        <v>1</v>
      </c>
    </row>
    <row r="108" spans="1:36" x14ac:dyDescent="0.2">
      <c r="A108">
        <v>143</v>
      </c>
      <c r="B108">
        <v>775</v>
      </c>
      <c r="C108">
        <v>125</v>
      </c>
      <c r="D108">
        <v>0.473243810523307</v>
      </c>
      <c r="E108">
        <v>2.33763639518906</v>
      </c>
      <c r="F108">
        <v>2.5391258783161499</v>
      </c>
      <c r="G108">
        <v>-38.339847144805731</v>
      </c>
      <c r="H108">
        <v>-33.466282846345663</v>
      </c>
      <c r="I108">
        <v>4.6496821050995303</v>
      </c>
      <c r="J108">
        <v>2.7150980104072202</v>
      </c>
      <c r="K108">
        <v>0.92064612280636204</v>
      </c>
      <c r="L108">
        <v>0</v>
      </c>
      <c r="M108">
        <v>1.2381427916924881E-6</v>
      </c>
      <c r="N108">
        <v>0</v>
      </c>
      <c r="O108" s="1">
        <v>1.3069432462227401E-12</v>
      </c>
      <c r="P108">
        <v>0</v>
      </c>
      <c r="Q108">
        <v>100</v>
      </c>
      <c r="AJ108">
        <v>1</v>
      </c>
    </row>
    <row r="109" spans="1:36" x14ac:dyDescent="0.2">
      <c r="A109">
        <v>144</v>
      </c>
      <c r="B109">
        <v>774</v>
      </c>
      <c r="C109">
        <v>125</v>
      </c>
      <c r="D109">
        <v>0.47267392446163797</v>
      </c>
      <c r="E109">
        <v>2.9493622687958898</v>
      </c>
      <c r="F109">
        <v>2.5391258783161499</v>
      </c>
      <c r="G109">
        <v>-48.366969737916698</v>
      </c>
      <c r="H109">
        <v>-42.22735384674511</v>
      </c>
      <c r="I109">
        <v>5.8631675415858098</v>
      </c>
      <c r="J109">
        <v>3.4251835200555201</v>
      </c>
      <c r="K109">
        <v>1.1615659916600101</v>
      </c>
      <c r="L109">
        <v>0</v>
      </c>
      <c r="M109">
        <v>1.2381427916924884E-6</v>
      </c>
      <c r="N109">
        <v>0</v>
      </c>
      <c r="O109" s="1">
        <v>1.6489515246254601E-12</v>
      </c>
      <c r="P109">
        <v>0</v>
      </c>
      <c r="Q109">
        <v>100</v>
      </c>
      <c r="AJ109">
        <v>1</v>
      </c>
    </row>
    <row r="110" spans="1:36" x14ac:dyDescent="0.2">
      <c r="A110">
        <v>145</v>
      </c>
      <c r="B110">
        <v>773</v>
      </c>
      <c r="C110">
        <v>125</v>
      </c>
      <c r="D110">
        <v>0.472102948907902</v>
      </c>
      <c r="E110">
        <v>3.8911669117195502</v>
      </c>
      <c r="F110">
        <v>2.5391258783161499</v>
      </c>
      <c r="G110">
        <v>-63.804011483235982</v>
      </c>
      <c r="H110">
        <v>-55.7161156312388</v>
      </c>
      <c r="I110">
        <v>7.7311053405316503</v>
      </c>
      <c r="J110">
        <v>4.5183788436108001</v>
      </c>
      <c r="K110">
        <v>1.5324828693802299</v>
      </c>
      <c r="L110">
        <v>0</v>
      </c>
      <c r="M110">
        <v>1.2381427916924884E-6</v>
      </c>
      <c r="N110">
        <v>0</v>
      </c>
      <c r="O110" s="1">
        <v>2.17550271105612E-12</v>
      </c>
      <c r="P110">
        <v>0</v>
      </c>
      <c r="Q110">
        <v>100</v>
      </c>
      <c r="AJ110">
        <v>1</v>
      </c>
    </row>
    <row r="111" spans="1:36" x14ac:dyDescent="0.2">
      <c r="A111">
        <v>146</v>
      </c>
      <c r="B111">
        <v>772</v>
      </c>
      <c r="C111">
        <v>125</v>
      </c>
      <c r="D111">
        <v>0.47153088073482102</v>
      </c>
      <c r="E111">
        <v>4.6554323713325401</v>
      </c>
      <c r="F111">
        <v>2.5391258783161499</v>
      </c>
      <c r="G111">
        <v>-76.326532795002251</v>
      </c>
      <c r="H111">
        <v>-66.664742973602969</v>
      </c>
      <c r="I111">
        <v>9.2444049384291898</v>
      </c>
      <c r="J111">
        <v>5.4051747513666299</v>
      </c>
      <c r="K111">
        <v>1.83347836792551</v>
      </c>
      <c r="L111">
        <v>0</v>
      </c>
      <c r="M111">
        <v>1.2381427916924881E-6</v>
      </c>
      <c r="N111">
        <v>0</v>
      </c>
      <c r="O111" s="1">
        <v>2.6027939625177201E-12</v>
      </c>
      <c r="P111">
        <v>0</v>
      </c>
      <c r="Q111">
        <v>100</v>
      </c>
      <c r="AJ111">
        <v>1</v>
      </c>
    </row>
    <row r="112" spans="1:36" x14ac:dyDescent="0.2">
      <c r="A112">
        <v>147</v>
      </c>
      <c r="B112">
        <v>771</v>
      </c>
      <c r="C112">
        <v>125</v>
      </c>
      <c r="D112">
        <v>0.47095771680314102</v>
      </c>
      <c r="E112">
        <v>13.2079908719871</v>
      </c>
      <c r="F112">
        <v>2.5391258783161499</v>
      </c>
      <c r="G112">
        <v>-216.52083033169802</v>
      </c>
      <c r="H112">
        <v>-189.15078849184474</v>
      </c>
      <c r="I112">
        <v>26.212748972708201</v>
      </c>
      <c r="J112">
        <v>15.333217411279801</v>
      </c>
      <c r="K112">
        <v>5.2017865615808603</v>
      </c>
      <c r="L112">
        <v>0</v>
      </c>
      <c r="M112">
        <v>1.2381427916924884E-6</v>
      </c>
      <c r="N112">
        <v>0</v>
      </c>
      <c r="O112" s="1">
        <v>7.38442236005618E-12</v>
      </c>
      <c r="P112">
        <v>0</v>
      </c>
      <c r="Q112">
        <v>100</v>
      </c>
      <c r="AJ112">
        <v>1</v>
      </c>
    </row>
    <row r="113" spans="1:36" x14ac:dyDescent="0.2">
      <c r="A113">
        <v>148</v>
      </c>
      <c r="B113">
        <v>770</v>
      </c>
      <c r="C113">
        <v>125</v>
      </c>
      <c r="D113">
        <v>0.47038345396155901</v>
      </c>
      <c r="E113">
        <v>22.116449407250801</v>
      </c>
      <c r="F113">
        <v>2.5391258783161499</v>
      </c>
      <c r="G113">
        <v>-362.51481891159176</v>
      </c>
      <c r="H113">
        <v>-316.75392420352085</v>
      </c>
      <c r="I113">
        <v>43.867990900705401</v>
      </c>
      <c r="J113">
        <v>25.671936845030402</v>
      </c>
      <c r="K113">
        <v>8.7102611162852508</v>
      </c>
      <c r="L113">
        <v>0</v>
      </c>
      <c r="M113">
        <v>1.2381427916924879E-6</v>
      </c>
      <c r="N113">
        <v>0</v>
      </c>
      <c r="O113" s="1">
        <v>1.2365030011819099E-11</v>
      </c>
      <c r="P113">
        <v>0</v>
      </c>
      <c r="Q113">
        <v>100</v>
      </c>
      <c r="AJ113">
        <v>1</v>
      </c>
    </row>
    <row r="114" spans="1:36" x14ac:dyDescent="0.2">
      <c r="A114">
        <v>149</v>
      </c>
      <c r="B114">
        <v>769</v>
      </c>
      <c r="C114">
        <v>125</v>
      </c>
      <c r="D114">
        <v>0.46980808904668597</v>
      </c>
      <c r="E114">
        <v>26.399460798246199</v>
      </c>
      <c r="F114">
        <v>2.5391258783161499</v>
      </c>
      <c r="G114">
        <v>-432.66610331822761</v>
      </c>
      <c r="H114">
        <v>-378.12626856743162</v>
      </c>
      <c r="I114">
        <v>52.333958404064703</v>
      </c>
      <c r="J114">
        <v>30.639724878594802</v>
      </c>
      <c r="K114">
        <v>10.3970665746407</v>
      </c>
      <c r="L114">
        <v>0</v>
      </c>
      <c r="M114">
        <v>1.2381427916924884E-6</v>
      </c>
      <c r="N114">
        <v>0</v>
      </c>
      <c r="O114" s="1">
        <v>1.4759608066163501E-11</v>
      </c>
      <c r="P114">
        <v>0</v>
      </c>
      <c r="Q114">
        <v>100</v>
      </c>
      <c r="AJ114">
        <v>1</v>
      </c>
    </row>
    <row r="115" spans="1:36" x14ac:dyDescent="0.2">
      <c r="A115">
        <v>150</v>
      </c>
      <c r="B115">
        <v>768</v>
      </c>
      <c r="C115">
        <v>125</v>
      </c>
      <c r="D115">
        <v>0.46923161888296799</v>
      </c>
      <c r="E115">
        <v>28.448337113041401</v>
      </c>
      <c r="F115">
        <v>2.5391258783161499</v>
      </c>
      <c r="G115">
        <v>-466.18917192519382</v>
      </c>
      <c r="H115">
        <v>-407.50586677618202</v>
      </c>
      <c r="I115">
        <v>56.363929452059502</v>
      </c>
      <c r="J115">
        <v>33.013619739882003</v>
      </c>
      <c r="K115">
        <v>11.2039884891044</v>
      </c>
      <c r="L115">
        <v>0</v>
      </c>
      <c r="M115">
        <v>1.2381427916924881E-6</v>
      </c>
      <c r="N115">
        <v>0</v>
      </c>
      <c r="O115" s="1">
        <v>1.59051091661114E-11</v>
      </c>
      <c r="P115">
        <v>0</v>
      </c>
      <c r="Q115">
        <v>100</v>
      </c>
      <c r="AJ115">
        <v>1</v>
      </c>
    </row>
    <row r="116" spans="1:36" x14ac:dyDescent="0.2">
      <c r="A116">
        <v>151</v>
      </c>
      <c r="B116">
        <v>767</v>
      </c>
      <c r="C116">
        <v>125</v>
      </c>
      <c r="D116">
        <v>0.46865404028265401</v>
      </c>
      <c r="E116">
        <v>29.629796100198</v>
      </c>
      <c r="F116">
        <v>2.5391258783161499</v>
      </c>
      <c r="G116">
        <v>-485.49131260431005</v>
      </c>
      <c r="H116">
        <v>-424.46396148353119</v>
      </c>
      <c r="I116">
        <v>58.671683046463301</v>
      </c>
      <c r="J116">
        <v>34.3804260713516</v>
      </c>
      <c r="K116">
        <v>11.6692899525908</v>
      </c>
      <c r="L116">
        <v>0</v>
      </c>
      <c r="M116">
        <v>1.2381427916924881E-6</v>
      </c>
      <c r="N116">
        <v>0</v>
      </c>
      <c r="O116" s="1">
        <v>1.6565648096430699E-11</v>
      </c>
      <c r="P116">
        <v>0</v>
      </c>
      <c r="Q116">
        <v>100</v>
      </c>
      <c r="AJ116">
        <v>1</v>
      </c>
    </row>
    <row r="117" spans="1:36" x14ac:dyDescent="0.2">
      <c r="A117">
        <v>152</v>
      </c>
      <c r="B117">
        <v>766</v>
      </c>
      <c r="C117">
        <v>125</v>
      </c>
      <c r="D117">
        <v>0.46807535004571499</v>
      </c>
      <c r="E117">
        <v>30.4024844480989</v>
      </c>
      <c r="F117">
        <v>2.5391258783161499</v>
      </c>
      <c r="G117">
        <v>-498.09181166460235</v>
      </c>
      <c r="H117">
        <v>-435.56844366411605</v>
      </c>
      <c r="I117">
        <v>60.167798682082697</v>
      </c>
      <c r="J117">
        <v>35.272632821272303</v>
      </c>
      <c r="K117">
        <v>11.9736026904899</v>
      </c>
      <c r="L117">
        <v>0</v>
      </c>
      <c r="M117">
        <v>1.2381427916924884E-6</v>
      </c>
      <c r="N117">
        <v>0</v>
      </c>
      <c r="O117" s="1">
        <v>1.69976484792971E-11</v>
      </c>
      <c r="P117">
        <v>0</v>
      </c>
      <c r="Q117">
        <v>100</v>
      </c>
      <c r="AJ117">
        <v>1</v>
      </c>
    </row>
    <row r="118" spans="1:36" x14ac:dyDescent="0.2">
      <c r="A118">
        <v>153</v>
      </c>
      <c r="B118">
        <v>765</v>
      </c>
      <c r="C118">
        <v>125</v>
      </c>
      <c r="D118">
        <v>0.46749554495978501</v>
      </c>
      <c r="E118">
        <v>30.951857729015899</v>
      </c>
      <c r="F118">
        <v>2.5391258783161499</v>
      </c>
      <c r="G118">
        <v>-507.03109929252719</v>
      </c>
      <c r="H118">
        <v>-443.47507876653606</v>
      </c>
      <c r="I118">
        <v>61.220459977836597</v>
      </c>
      <c r="J118">
        <v>35.9055523067819</v>
      </c>
      <c r="K118">
        <v>12.189965843497999</v>
      </c>
      <c r="L118">
        <v>0</v>
      </c>
      <c r="M118">
        <v>1.2381427916924884E-6</v>
      </c>
      <c r="N118">
        <v>0</v>
      </c>
      <c r="O118" s="1">
        <v>1.7304796203651198E-11</v>
      </c>
      <c r="P118">
        <v>0</v>
      </c>
      <c r="Q118">
        <v>100</v>
      </c>
      <c r="AJ118">
        <v>1</v>
      </c>
    </row>
    <row r="119" spans="1:36" x14ac:dyDescent="0.2">
      <c r="A119">
        <v>154</v>
      </c>
      <c r="B119">
        <v>764</v>
      </c>
      <c r="C119">
        <v>125</v>
      </c>
      <c r="D119">
        <v>0.46691462180012799</v>
      </c>
      <c r="E119">
        <v>31.3657333124785</v>
      </c>
      <c r="F119">
        <v>2.5391258783161499</v>
      </c>
      <c r="G119">
        <v>-513.74889025078551</v>
      </c>
      <c r="H119">
        <v>-449.4414295600742</v>
      </c>
      <c r="I119">
        <v>62.004011657630301</v>
      </c>
      <c r="J119">
        <v>36.381139907271901</v>
      </c>
      <c r="K119">
        <v>12.352965081541701</v>
      </c>
      <c r="L119">
        <v>0</v>
      </c>
      <c r="M119">
        <v>1.2381427916924884E-6</v>
      </c>
      <c r="N119">
        <v>0</v>
      </c>
      <c r="O119" s="1">
        <v>1.75361888615068E-11</v>
      </c>
      <c r="P119">
        <v>0</v>
      </c>
      <c r="Q119">
        <v>100</v>
      </c>
      <c r="AJ119">
        <v>1</v>
      </c>
    </row>
    <row r="120" spans="1:36" x14ac:dyDescent="0.2">
      <c r="A120">
        <v>155</v>
      </c>
      <c r="B120">
        <v>763</v>
      </c>
      <c r="C120">
        <v>125</v>
      </c>
      <c r="D120">
        <v>0.46633257732954098</v>
      </c>
      <c r="E120">
        <v>31.690897059575999</v>
      </c>
      <c r="F120">
        <v>2.5391258783161499</v>
      </c>
      <c r="G120">
        <v>-519.01221713710083</v>
      </c>
      <c r="H120">
        <v>-454.13747594201743</v>
      </c>
      <c r="I120">
        <v>62.611341210329797</v>
      </c>
      <c r="J120">
        <v>36.753714064468497</v>
      </c>
      <c r="K120">
        <v>12.481026376129099</v>
      </c>
      <c r="L120">
        <v>0</v>
      </c>
      <c r="M120">
        <v>1.2381427916924881E-6</v>
      </c>
      <c r="N120">
        <v>0</v>
      </c>
      <c r="O120" s="1">
        <v>1.7717983842137799E-11</v>
      </c>
      <c r="P120">
        <v>0</v>
      </c>
      <c r="Q120">
        <v>100</v>
      </c>
      <c r="AJ120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26DAD-8552-48E4-A597-D55130CF3BFD}">
  <sheetPr codeName="Sheet13"/>
  <dimension ref="A1:AJ156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757</v>
      </c>
      <c r="C2">
        <v>275</v>
      </c>
      <c r="D2">
        <v>0.30264573120419402</v>
      </c>
      <c r="E2">
        <v>4.2770426247834701</v>
      </c>
      <c r="F2">
        <v>0.553927036865275</v>
      </c>
      <c r="G2">
        <v>-92.681095726211012</v>
      </c>
      <c r="H2">
        <v>-54.44654592516963</v>
      </c>
      <c r="I2">
        <v>37.117892916052703</v>
      </c>
      <c r="J2">
        <v>16.512718054317801</v>
      </c>
      <c r="K2">
        <v>7.7213104617309396</v>
      </c>
      <c r="L2">
        <v>1.1994105535029585E-3</v>
      </c>
      <c r="M2">
        <v>1.9425669200678954E-4</v>
      </c>
      <c r="N2" s="1">
        <v>6.01657991943369E-6</v>
      </c>
      <c r="O2" s="1">
        <v>1.2203206804037701E-6</v>
      </c>
      <c r="P2" s="1">
        <v>-4.52869864708366E-6</v>
      </c>
      <c r="AE2">
        <v>100</v>
      </c>
      <c r="AJ2">
        <v>1</v>
      </c>
    </row>
    <row r="3" spans="1:36" x14ac:dyDescent="0.2">
      <c r="A3">
        <v>2</v>
      </c>
      <c r="B3">
        <v>756</v>
      </c>
      <c r="C3">
        <v>275</v>
      </c>
      <c r="D3">
        <v>0.30190011174270298</v>
      </c>
      <c r="E3">
        <v>4.2789588182534102</v>
      </c>
      <c r="F3">
        <v>0.55459200373927897</v>
      </c>
      <c r="G3">
        <v>-92.685492055044136</v>
      </c>
      <c r="H3">
        <v>-54.487462603731807</v>
      </c>
      <c r="I3">
        <v>37.118474599724301</v>
      </c>
      <c r="J3">
        <v>16.527138694804901</v>
      </c>
      <c r="K3">
        <v>7.7155075973021097</v>
      </c>
      <c r="L3">
        <v>1.2000672419984479E-3</v>
      </c>
      <c r="M3">
        <v>1.9390280436198249E-4</v>
      </c>
      <c r="N3" s="1">
        <v>6.0656115650349201E-6</v>
      </c>
      <c r="O3" s="1">
        <v>1.21663485470559E-6</v>
      </c>
      <c r="P3" s="1">
        <v>-4.5285798789201702E-6</v>
      </c>
      <c r="AE3">
        <v>100</v>
      </c>
      <c r="AJ3">
        <v>1</v>
      </c>
    </row>
    <row r="4" spans="1:36" x14ac:dyDescent="0.2">
      <c r="A4">
        <v>3</v>
      </c>
      <c r="B4">
        <v>755</v>
      </c>
      <c r="C4">
        <v>275</v>
      </c>
      <c r="D4">
        <v>0.30115304187132302</v>
      </c>
      <c r="E4">
        <v>4.29140333982473</v>
      </c>
      <c r="F4">
        <v>0.55525813201767704</v>
      </c>
      <c r="G4">
        <v>-92.917831457102935</v>
      </c>
      <c r="H4">
        <v>-54.662507539297415</v>
      </c>
      <c r="I4">
        <v>37.210309509623002</v>
      </c>
      <c r="J4">
        <v>16.582236612598599</v>
      </c>
      <c r="K4">
        <v>7.7286636473576404</v>
      </c>
      <c r="L4">
        <v>1.2007185476741171E-3</v>
      </c>
      <c r="M4">
        <v>1.9354819573302138E-4</v>
      </c>
      <c r="N4" s="1">
        <v>6.1297765553517803E-6</v>
      </c>
      <c r="O4" s="1">
        <v>1.21592649021783E-6</v>
      </c>
      <c r="P4" s="1">
        <v>-4.5395447966086802E-6</v>
      </c>
      <c r="AE4">
        <v>100</v>
      </c>
      <c r="AJ4">
        <v>1</v>
      </c>
    </row>
    <row r="5" spans="1:36" x14ac:dyDescent="0.2">
      <c r="A5">
        <v>4</v>
      </c>
      <c r="B5">
        <v>754</v>
      </c>
      <c r="C5">
        <v>275</v>
      </c>
      <c r="D5">
        <v>0.30040451735384299</v>
      </c>
      <c r="E5">
        <v>4.3037771528634403</v>
      </c>
      <c r="F5">
        <v>0.55592542096507103</v>
      </c>
      <c r="G5">
        <v>-93.148440802912361</v>
      </c>
      <c r="H5">
        <v>-54.836754738186109</v>
      </c>
      <c r="I5">
        <v>37.301415518955601</v>
      </c>
      <c r="J5">
        <v>16.6370906115514</v>
      </c>
      <c r="K5">
        <v>7.7416448152203703</v>
      </c>
      <c r="L5">
        <v>1.2013644355344702E-3</v>
      </c>
      <c r="M5">
        <v>1.931928698912921E-4</v>
      </c>
      <c r="N5" s="1">
        <v>6.1941612037877702E-6</v>
      </c>
      <c r="O5" s="1">
        <v>1.2151717530371701E-6</v>
      </c>
      <c r="P5" s="1">
        <v>-4.5503702207826801E-6</v>
      </c>
      <c r="AE5">
        <v>100</v>
      </c>
      <c r="AJ5">
        <v>1</v>
      </c>
    </row>
    <row r="6" spans="1:36" x14ac:dyDescent="0.2">
      <c r="A6">
        <v>5</v>
      </c>
      <c r="B6">
        <v>753</v>
      </c>
      <c r="C6">
        <v>275</v>
      </c>
      <c r="D6">
        <v>0.29965453393753799</v>
      </c>
      <c r="E6">
        <v>4.3160808307607796</v>
      </c>
      <c r="F6">
        <v>0.55659386981720904</v>
      </c>
      <c r="G6">
        <v>-93.377334498748198</v>
      </c>
      <c r="H6">
        <v>-55.010210737940454</v>
      </c>
      <c r="I6">
        <v>37.3917981652748</v>
      </c>
      <c r="J6">
        <v>16.691702253674599</v>
      </c>
      <c r="K6">
        <v>7.7544526894955297</v>
      </c>
      <c r="L6">
        <v>1.2020048706808954E-3</v>
      </c>
      <c r="M6">
        <v>1.9283683065854625E-4</v>
      </c>
      <c r="N6" s="1">
        <v>6.2587624377430098E-6</v>
      </c>
      <c r="O6" s="1">
        <v>1.2143710767253999E-6</v>
      </c>
      <c r="P6" s="1">
        <v>-4.5610562559606197E-6</v>
      </c>
      <c r="AE6">
        <v>100</v>
      </c>
      <c r="AJ6">
        <v>1</v>
      </c>
    </row>
    <row r="7" spans="1:36" x14ac:dyDescent="0.2">
      <c r="A7">
        <v>6</v>
      </c>
      <c r="B7">
        <v>752</v>
      </c>
      <c r="C7">
        <v>275</v>
      </c>
      <c r="D7">
        <v>0.29890308735307097</v>
      </c>
      <c r="E7">
        <v>4.3283149407424997</v>
      </c>
      <c r="F7">
        <v>0.55726347778082896</v>
      </c>
      <c r="G7">
        <v>-93.604526796380057</v>
      </c>
      <c r="H7">
        <v>-55.182882005332878</v>
      </c>
      <c r="I7">
        <v>37.481462926054903</v>
      </c>
      <c r="J7">
        <v>16.746073079293101</v>
      </c>
      <c r="K7">
        <v>7.7670888427481302</v>
      </c>
      <c r="L7">
        <v>1.2026398183147557E-3</v>
      </c>
      <c r="M7">
        <v>1.924800819068232E-4</v>
      </c>
      <c r="N7" s="1">
        <v>6.3235771598821397E-6</v>
      </c>
      <c r="O7" s="1">
        <v>1.2135248925283899E-6</v>
      </c>
      <c r="P7" s="1">
        <v>-4.57160300580938E-6</v>
      </c>
      <c r="AE7">
        <v>100</v>
      </c>
      <c r="AJ7">
        <v>1</v>
      </c>
    </row>
    <row r="8" spans="1:36" x14ac:dyDescent="0.2">
      <c r="A8">
        <v>7</v>
      </c>
      <c r="B8">
        <v>751</v>
      </c>
      <c r="C8">
        <v>275</v>
      </c>
      <c r="D8">
        <v>0.29815017331445698</v>
      </c>
      <c r="E8">
        <v>4.34048004398106</v>
      </c>
      <c r="F8">
        <v>0.55793424403356595</v>
      </c>
      <c r="G8">
        <v>-93.830031795783455</v>
      </c>
      <c r="H8">
        <v>-55.354774937685654</v>
      </c>
      <c r="I8">
        <v>37.570415219757798</v>
      </c>
      <c r="J8">
        <v>16.800204607453601</v>
      </c>
      <c r="K8">
        <v>7.7795548317696204</v>
      </c>
      <c r="L8">
        <v>1.2032692437403826E-3</v>
      </c>
      <c r="M8">
        <v>1.9212262755833809E-4</v>
      </c>
      <c r="N8" s="1">
        <v>6.3886022484176904E-6</v>
      </c>
      <c r="O8" s="1">
        <v>1.2126336294256601E-6</v>
      </c>
      <c r="P8" s="1">
        <v>-4.5820105733309396E-6</v>
      </c>
      <c r="AE8">
        <v>100</v>
      </c>
      <c r="AJ8">
        <v>1</v>
      </c>
    </row>
    <row r="9" spans="1:36" x14ac:dyDescent="0.2">
      <c r="A9">
        <v>8</v>
      </c>
      <c r="B9">
        <v>750</v>
      </c>
      <c r="C9">
        <v>275</v>
      </c>
      <c r="D9">
        <v>0.29739578751893703</v>
      </c>
      <c r="E9">
        <v>4.3525766956014502</v>
      </c>
      <c r="F9">
        <v>0.55860616772383997</v>
      </c>
      <c r="G9">
        <v>-94.05386344554357</v>
      </c>
      <c r="H9">
        <v>-55.525895862835604</v>
      </c>
      <c r="I9">
        <v>37.658660405973698</v>
      </c>
      <c r="J9">
        <v>16.8540983359274</v>
      </c>
      <c r="K9">
        <v>7.7918521976528599</v>
      </c>
      <c r="L9">
        <v>1.2038931123682388E-3</v>
      </c>
      <c r="M9">
        <v>1.9176447158538007E-4</v>
      </c>
      <c r="N9" s="1">
        <v>6.45383455724078E-6</v>
      </c>
      <c r="O9" s="1">
        <v>1.2116977141493001E-6</v>
      </c>
      <c r="P9" s="1">
        <v>-4.5922790609353199E-6</v>
      </c>
      <c r="AE9">
        <v>100</v>
      </c>
      <c r="AJ9">
        <v>1</v>
      </c>
    </row>
    <row r="10" spans="1:36" x14ac:dyDescent="0.2">
      <c r="A10">
        <v>9</v>
      </c>
      <c r="B10">
        <v>749</v>
      </c>
      <c r="C10">
        <v>275</v>
      </c>
      <c r="D10">
        <v>0.29663992564692099</v>
      </c>
      <c r="E10">
        <v>4.36460544483079</v>
      </c>
      <c r="F10">
        <v>0.55927924797073003</v>
      </c>
      <c r="G10">
        <v>-94.276035546368135</v>
      </c>
      <c r="H10">
        <v>-55.696251040933774</v>
      </c>
      <c r="I10">
        <v>37.746203786809502</v>
      </c>
      <c r="J10">
        <v>16.907755741766898</v>
      </c>
      <c r="K10">
        <v>7.8039824661243502</v>
      </c>
      <c r="L10">
        <v>1.2045113897179512E-3</v>
      </c>
      <c r="M10">
        <v>1.9140561801019588E-4</v>
      </c>
      <c r="N10" s="1">
        <v>6.5192709162841799E-6</v>
      </c>
      <c r="O10" s="1">
        <v>1.21071757124299E-6</v>
      </c>
      <c r="P10" s="1">
        <v>-4.6024085706675803E-6</v>
      </c>
      <c r="AE10">
        <v>100</v>
      </c>
      <c r="AJ10">
        <v>1</v>
      </c>
    </row>
    <row r="11" spans="1:36" x14ac:dyDescent="0.2">
      <c r="A11">
        <v>10</v>
      </c>
      <c r="B11">
        <v>748</v>
      </c>
      <c r="C11">
        <v>275</v>
      </c>
      <c r="D11">
        <v>0.29588258336189799</v>
      </c>
      <c r="E11">
        <v>4.37656683501943</v>
      </c>
      <c r="F11">
        <v>0.55995348386390498</v>
      </c>
      <c r="G11">
        <v>-94.496561751814468</v>
      </c>
      <c r="H11">
        <v>-55.865846664608696</v>
      </c>
      <c r="I11">
        <v>37.833050607159301</v>
      </c>
      <c r="J11">
        <v>16.9611782813713</v>
      </c>
      <c r="K11">
        <v>7.8159471476440503</v>
      </c>
      <c r="L11">
        <v>1.2051240414215599E-3</v>
      </c>
      <c r="M11">
        <v>1.910460709048828E-4</v>
      </c>
      <c r="N11" s="1">
        <v>6.5849081316919397E-6</v>
      </c>
      <c r="O11" s="1">
        <v>1.2096936230841799E-6</v>
      </c>
      <c r="P11" s="1">
        <v>-4.6123992042966904E-6</v>
      </c>
      <c r="AE11">
        <v>100</v>
      </c>
      <c r="AJ11">
        <v>1</v>
      </c>
    </row>
    <row r="12" spans="1:36" x14ac:dyDescent="0.2">
      <c r="A12">
        <v>11</v>
      </c>
      <c r="B12">
        <v>747</v>
      </c>
      <c r="C12">
        <v>275</v>
      </c>
      <c r="D12">
        <v>0.29512375631034898</v>
      </c>
      <c r="E12">
        <v>4.3884614037413403</v>
      </c>
      <c r="F12">
        <v>0.56062887446346499</v>
      </c>
      <c r="G12">
        <v>-94.715455570727812</v>
      </c>
      <c r="H12">
        <v>-56.034688860141273</v>
      </c>
      <c r="I12">
        <v>37.919206055662499</v>
      </c>
      <c r="J12">
        <v>17.014367390849301</v>
      </c>
      <c r="K12">
        <v>7.8277477376476501</v>
      </c>
      <c r="L12">
        <v>1.2057310332263733E-3</v>
      </c>
      <c r="M12">
        <v>1.9068583439123632E-4</v>
      </c>
      <c r="N12" s="1">
        <v>6.6507429861179099E-6</v>
      </c>
      <c r="O12" s="1">
        <v>1.2086262899275201E-6</v>
      </c>
      <c r="P12" s="1">
        <v>-4.6222510634876502E-6</v>
      </c>
      <c r="AE12">
        <v>100</v>
      </c>
      <c r="AJ12">
        <v>1</v>
      </c>
    </row>
    <row r="13" spans="1:36" x14ac:dyDescent="0.2">
      <c r="A13">
        <v>12</v>
      </c>
      <c r="B13">
        <v>746</v>
      </c>
      <c r="C13">
        <v>275</v>
      </c>
      <c r="D13">
        <v>0.29436344012167098</v>
      </c>
      <c r="E13">
        <v>4.4002896829677702</v>
      </c>
      <c r="F13">
        <v>0.56130541879990004</v>
      </c>
      <c r="G13">
        <v>-94.932730371255388</v>
      </c>
      <c r="H13">
        <v>-56.202783689579142</v>
      </c>
      <c r="I13">
        <v>38.004675266291997</v>
      </c>
      <c r="J13">
        <v>17.0673244866801</v>
      </c>
      <c r="K13">
        <v>7.8393857169165004</v>
      </c>
      <c r="L13">
        <v>1.2063323309982942E-3</v>
      </c>
      <c r="M13">
        <v>1.9032491264064455E-4</v>
      </c>
      <c r="N13" s="1">
        <v>6.7167722391559502E-6</v>
      </c>
      <c r="O13" s="1">
        <v>1.20751598996827E-6</v>
      </c>
      <c r="P13" s="1">
        <v>-4.6319642500523801E-6</v>
      </c>
      <c r="AE13">
        <v>100</v>
      </c>
      <c r="AJ13">
        <v>1</v>
      </c>
    </row>
    <row r="14" spans="1:36" x14ac:dyDescent="0.2">
      <c r="A14">
        <v>13</v>
      </c>
      <c r="B14">
        <v>745</v>
      </c>
      <c r="C14">
        <v>275</v>
      </c>
      <c r="D14">
        <v>0.29360163040809401</v>
      </c>
      <c r="E14">
        <v>4.4120521989509296</v>
      </c>
      <c r="F14">
        <v>0.56198311587393401</v>
      </c>
      <c r="G14">
        <v>-95.148399378596281</v>
      </c>
      <c r="H14">
        <v>-56.370137149149187</v>
      </c>
      <c r="I14">
        <v>38.089463317434898</v>
      </c>
      <c r="J14">
        <v>17.1200509652401</v>
      </c>
      <c r="K14">
        <v>7.8508625514305601</v>
      </c>
      <c r="L14">
        <v>1.206927900724657E-3</v>
      </c>
      <c r="M14">
        <v>1.8996330987391317E-4</v>
      </c>
      <c r="N14" s="1">
        <v>6.7829926273230496E-6</v>
      </c>
      <c r="O14" s="1">
        <v>1.2063631393244501E-6</v>
      </c>
      <c r="P14" s="1">
        <v>-4.6415388658917802E-6</v>
      </c>
      <c r="AE14">
        <v>100</v>
      </c>
      <c r="AJ14">
        <v>1</v>
      </c>
    </row>
    <row r="15" spans="1:36" x14ac:dyDescent="0.2">
      <c r="A15">
        <v>14</v>
      </c>
      <c r="B15">
        <v>744</v>
      </c>
      <c r="C15">
        <v>275</v>
      </c>
      <c r="D15">
        <v>0.29283832276459099</v>
      </c>
      <c r="E15">
        <v>4.4237494724101003</v>
      </c>
      <c r="F15">
        <v>0.56266196465644502</v>
      </c>
      <c r="G15">
        <v>-95.362475679278248</v>
      </c>
      <c r="H15">
        <v>-56.536755171532498</v>
      </c>
      <c r="I15">
        <v>38.173575233587101</v>
      </c>
      <c r="J15">
        <v>17.172548203509699</v>
      </c>
      <c r="K15">
        <v>7.8621796927595602</v>
      </c>
      <c r="L15">
        <v>1.207517708517558E-3</v>
      </c>
      <c r="M15">
        <v>1.8960103036114447E-4</v>
      </c>
      <c r="N15" s="1">
        <v>6.8494008645193597E-6</v>
      </c>
      <c r="O15" s="1">
        <v>1.2051681521025501E-6</v>
      </c>
      <c r="P15" s="1">
        <v>-4.6509750132586499E-6</v>
      </c>
      <c r="AE15">
        <v>100</v>
      </c>
      <c r="AJ15">
        <v>1</v>
      </c>
    </row>
    <row r="16" spans="1:36" x14ac:dyDescent="0.2">
      <c r="A16">
        <v>15</v>
      </c>
      <c r="B16">
        <v>743</v>
      </c>
      <c r="C16">
        <v>275</v>
      </c>
      <c r="D16">
        <v>0.29207351276878402</v>
      </c>
      <c r="E16">
        <v>4.4353820186717501</v>
      </c>
      <c r="F16">
        <v>0.563341964088373</v>
      </c>
      <c r="G16">
        <v>-95.574972224431377</v>
      </c>
      <c r="H16">
        <v>-56.702643627555538</v>
      </c>
      <c r="I16">
        <v>38.257015986646202</v>
      </c>
      <c r="J16">
        <v>17.2248175595982</v>
      </c>
      <c r="K16">
        <v>7.87333857837005</v>
      </c>
      <c r="L16">
        <v>1.2081017206166231E-3</v>
      </c>
      <c r="M16">
        <v>1.8923807842155036E-4</v>
      </c>
      <c r="N16" s="1">
        <v>6.91599364242729E-6</v>
      </c>
      <c r="O16" s="1">
        <v>1.20393144044878E-6</v>
      </c>
      <c r="P16" s="1">
        <v>-4.6602727949688696E-6</v>
      </c>
      <c r="AE16">
        <v>100</v>
      </c>
      <c r="AJ16">
        <v>1</v>
      </c>
    </row>
    <row r="17" spans="1:36" x14ac:dyDescent="0.2">
      <c r="A17">
        <v>16</v>
      </c>
      <c r="B17">
        <v>742</v>
      </c>
      <c r="C17">
        <v>275</v>
      </c>
      <c r="D17">
        <v>0.291307195980888</v>
      </c>
      <c r="E17">
        <v>4.4469503475398202</v>
      </c>
      <c r="F17">
        <v>0.56402311308061603</v>
      </c>
      <c r="G17">
        <v>-95.785901827244061</v>
      </c>
      <c r="H17">
        <v>-56.867808324434264</v>
      </c>
      <c r="I17">
        <v>38.339790494875302</v>
      </c>
      <c r="J17">
        <v>17.2768603722261</v>
      </c>
      <c r="K17">
        <v>7.8843406314524902</v>
      </c>
      <c r="L17">
        <v>1.2086799033924219E-3</v>
      </c>
      <c r="M17">
        <v>1.8887445842331584E-4</v>
      </c>
      <c r="N17" s="1">
        <v>6.98276763049865E-6</v>
      </c>
      <c r="O17" s="1">
        <v>1.2026534145269899E-6</v>
      </c>
      <c r="P17" s="1">
        <v>-4.6694323143310398E-6</v>
      </c>
      <c r="AE17">
        <v>100</v>
      </c>
      <c r="AJ17">
        <v>1</v>
      </c>
    </row>
    <row r="18" spans="1:36" x14ac:dyDescent="0.2">
      <c r="A18">
        <v>17</v>
      </c>
      <c r="B18">
        <v>741</v>
      </c>
      <c r="C18">
        <v>275</v>
      </c>
      <c r="D18">
        <v>0.29053936794360102</v>
      </c>
      <c r="E18">
        <v>4.5560093785793603</v>
      </c>
      <c r="F18">
        <v>0.56470541051391998</v>
      </c>
      <c r="G18">
        <v>-98.095727478571519</v>
      </c>
      <c r="H18">
        <v>-58.280164502391663</v>
      </c>
      <c r="I18">
        <v>39.262604352923397</v>
      </c>
      <c r="J18">
        <v>17.707842729671299</v>
      </c>
      <c r="K18">
        <v>8.0679400157209091</v>
      </c>
      <c r="L18">
        <v>1.2092522233491975E-3</v>
      </c>
      <c r="M18">
        <v>1.8851017478340308E-4</v>
      </c>
      <c r="N18" s="1">
        <v>7.20397274708051E-6</v>
      </c>
      <c r="O18" s="1">
        <v>1.2276206027163299E-6</v>
      </c>
      <c r="P18" s="1">
        <v>-4.7808218311011401E-6</v>
      </c>
      <c r="AE18">
        <v>100</v>
      </c>
      <c r="AJ18">
        <v>1</v>
      </c>
    </row>
    <row r="19" spans="1:36" x14ac:dyDescent="0.2">
      <c r="A19">
        <v>18</v>
      </c>
      <c r="B19">
        <v>740</v>
      </c>
      <c r="C19">
        <v>275</v>
      </c>
      <c r="D19">
        <v>0.28977002418201098</v>
      </c>
      <c r="E19">
        <v>4.6785283880582504</v>
      </c>
      <c r="F19">
        <v>0.56538885523881099</v>
      </c>
      <c r="G19">
        <v>-100.69338258344388</v>
      </c>
      <c r="H19">
        <v>-59.865607170434195</v>
      </c>
      <c r="I19">
        <v>40.300501163942002</v>
      </c>
      <c r="J19">
        <v>18.1914942886823</v>
      </c>
      <c r="K19">
        <v>8.2748861154720093</v>
      </c>
      <c r="L19">
        <v>1.2098186471282176E-3</v>
      </c>
      <c r="M19">
        <v>1.8814523196739472E-4</v>
      </c>
      <c r="N19" s="1">
        <v>7.4490239627812596E-6</v>
      </c>
      <c r="O19" s="1">
        <v>1.2559837816382E-6</v>
      </c>
      <c r="P19" s="1">
        <v>-4.9061180273228896E-6</v>
      </c>
      <c r="AE19">
        <v>100</v>
      </c>
      <c r="AJ19">
        <v>1</v>
      </c>
    </row>
    <row r="20" spans="1:36" x14ac:dyDescent="0.2">
      <c r="A20">
        <v>19</v>
      </c>
      <c r="B20">
        <v>739</v>
      </c>
      <c r="C20">
        <v>275</v>
      </c>
      <c r="D20">
        <v>0.28899916020352701</v>
      </c>
      <c r="E20">
        <v>8.1679404770290596</v>
      </c>
      <c r="F20">
        <v>0.56607344607547905</v>
      </c>
      <c r="G20">
        <v>-175.72372944009894</v>
      </c>
      <c r="H20">
        <v>-104.54726205794981</v>
      </c>
      <c r="I20">
        <v>70.326672508283394</v>
      </c>
      <c r="J20">
        <v>31.772345619238401</v>
      </c>
      <c r="K20">
        <v>14.4291178709343</v>
      </c>
      <c r="L20">
        <v>1.2103791415105359E-3</v>
      </c>
      <c r="M20">
        <v>1.8777963448927701E-4</v>
      </c>
      <c r="N20" s="1">
        <v>1.30944103221795E-5</v>
      </c>
      <c r="O20" s="1">
        <v>2.18462233036293E-6</v>
      </c>
      <c r="P20" s="1">
        <v>-8.5594659208617103E-6</v>
      </c>
      <c r="AE20">
        <v>100</v>
      </c>
      <c r="AJ20">
        <v>1</v>
      </c>
    </row>
    <row r="21" spans="1:36" x14ac:dyDescent="0.2">
      <c r="A21">
        <v>20</v>
      </c>
      <c r="B21">
        <v>738</v>
      </c>
      <c r="C21">
        <v>275</v>
      </c>
      <c r="D21">
        <v>0.28822677149780002</v>
      </c>
      <c r="E21">
        <v>9.4220987138664292</v>
      </c>
      <c r="F21">
        <v>0.56675918181370799</v>
      </c>
      <c r="G21">
        <v>-202.6243767214518</v>
      </c>
      <c r="H21">
        <v>-120.63678101150801</v>
      </c>
      <c r="I21">
        <v>81.088846969698807</v>
      </c>
      <c r="J21">
        <v>36.665829729317601</v>
      </c>
      <c r="K21">
        <v>16.624518871867899</v>
      </c>
      <c r="L21">
        <v>1.21093367342011E-3</v>
      </c>
      <c r="M21">
        <v>1.8741338691124582E-4</v>
      </c>
      <c r="N21" s="1">
        <v>1.5208453610304699E-5</v>
      </c>
      <c r="O21" s="1">
        <v>2.5106970974645399E-6</v>
      </c>
      <c r="P21" s="1">
        <v>-9.8669225356814698E-6</v>
      </c>
      <c r="AE21">
        <v>100</v>
      </c>
      <c r="AJ21">
        <v>1</v>
      </c>
    </row>
    <row r="22" spans="1:36" x14ac:dyDescent="0.2">
      <c r="A22">
        <v>21</v>
      </c>
      <c r="B22">
        <v>737</v>
      </c>
      <c r="C22">
        <v>275</v>
      </c>
      <c r="D22">
        <v>0.28745285353660599</v>
      </c>
      <c r="E22">
        <v>9.8044579094155999</v>
      </c>
      <c r="F22">
        <v>0.56744606121277097</v>
      </c>
      <c r="G22">
        <v>-210.76273757591719</v>
      </c>
      <c r="H22">
        <v>-125.57051665876131</v>
      </c>
      <c r="I22">
        <v>84.341762738241201</v>
      </c>
      <c r="J22">
        <v>38.169295757980201</v>
      </c>
      <c r="K22">
        <v>17.278220045198701</v>
      </c>
      <c r="L22">
        <v>1.2114822099271985E-3</v>
      </c>
      <c r="M22">
        <v>1.8704649384357152E-4</v>
      </c>
      <c r="N22" s="1">
        <v>1.5933305491935901E-5</v>
      </c>
      <c r="O22" s="1">
        <v>2.6028367717318102E-6</v>
      </c>
      <c r="P22" s="1">
        <v>-1.0260113984884199E-5</v>
      </c>
      <c r="AE22">
        <v>100</v>
      </c>
      <c r="AJ22">
        <v>1</v>
      </c>
    </row>
    <row r="23" spans="1:36" x14ac:dyDescent="0.2">
      <c r="A23">
        <v>22</v>
      </c>
      <c r="B23">
        <v>736</v>
      </c>
      <c r="C23">
        <v>275</v>
      </c>
      <c r="D23">
        <v>0.28667740177377199</v>
      </c>
      <c r="E23">
        <v>10.003507612366199</v>
      </c>
      <c r="F23">
        <v>0.56813408300133506</v>
      </c>
      <c r="G23">
        <v>-214.95559926239559</v>
      </c>
      <c r="H23">
        <v>-128.15879625862223</v>
      </c>
      <c r="I23">
        <v>86.015485928865701</v>
      </c>
      <c r="J23">
        <v>38.960013240782501</v>
      </c>
      <c r="K23">
        <v>17.607652685647299</v>
      </c>
      <c r="L23">
        <v>1.2120247182506815E-3</v>
      </c>
      <c r="M23">
        <v>1.8667895994427741E-4</v>
      </c>
      <c r="N23" s="1">
        <v>1.6366675450024999E-5</v>
      </c>
      <c r="O23" s="1">
        <v>2.6457336894132399E-6</v>
      </c>
      <c r="P23" s="1">
        <v>-1.0460922406748699E-5</v>
      </c>
      <c r="AE23">
        <v>100</v>
      </c>
      <c r="AJ23">
        <v>1</v>
      </c>
    </row>
    <row r="24" spans="1:36" x14ac:dyDescent="0.2">
      <c r="A24">
        <v>23</v>
      </c>
      <c r="B24">
        <v>735</v>
      </c>
      <c r="C24">
        <v>275</v>
      </c>
      <c r="D24">
        <v>0.285900411645091</v>
      </c>
      <c r="E24">
        <v>10.1240179725131</v>
      </c>
      <c r="F24">
        <v>0.56882324587739896</v>
      </c>
      <c r="G24">
        <v>-217.45809647097821</v>
      </c>
      <c r="H24">
        <v>-129.74213832628126</v>
      </c>
      <c r="I24">
        <v>87.012599047231802</v>
      </c>
      <c r="J24">
        <v>39.445317347217298</v>
      </c>
      <c r="K24">
        <v>17.7981790404802</v>
      </c>
      <c r="L24">
        <v>1.2125611657616518E-3</v>
      </c>
      <c r="M24">
        <v>1.8631078991901111E-4</v>
      </c>
      <c r="N24" s="1">
        <v>1.6675083929486999E-5</v>
      </c>
      <c r="O24" s="1">
        <v>2.6675402690645398E-6</v>
      </c>
      <c r="P24" s="1">
        <v>-1.0579232931299899E-5</v>
      </c>
      <c r="AE24">
        <v>100</v>
      </c>
      <c r="AJ24">
        <v>1</v>
      </c>
    </row>
    <row r="25" spans="1:36" x14ac:dyDescent="0.2">
      <c r="A25">
        <v>24</v>
      </c>
      <c r="B25">
        <v>734</v>
      </c>
      <c r="C25">
        <v>275</v>
      </c>
      <c r="D25">
        <v>0.28512187856823701</v>
      </c>
      <c r="E25">
        <v>10.207005728371501</v>
      </c>
      <c r="F25">
        <v>0.56951354850820701</v>
      </c>
      <c r="G25">
        <v>-219.15291972631744</v>
      </c>
      <c r="H25">
        <v>-130.84542644839891</v>
      </c>
      <c r="I25">
        <v>87.6863767595474</v>
      </c>
      <c r="J25">
        <v>39.7847092455129</v>
      </c>
      <c r="K25">
        <v>17.922322928239101</v>
      </c>
      <c r="L25">
        <v>1.21309151998624E-3</v>
      </c>
      <c r="M25">
        <v>1.8594198852078293E-4</v>
      </c>
      <c r="N25" s="1">
        <v>1.6923946304585701E-5</v>
      </c>
      <c r="O25" s="1">
        <v>2.6792575370273599E-6</v>
      </c>
      <c r="P25" s="1">
        <v>-1.06580494733231E-5</v>
      </c>
      <c r="AE25">
        <v>100</v>
      </c>
      <c r="AJ25">
        <v>1</v>
      </c>
    </row>
    <row r="26" spans="1:36" x14ac:dyDescent="0.2">
      <c r="A26">
        <v>25</v>
      </c>
      <c r="B26">
        <v>757</v>
      </c>
      <c r="C26">
        <v>250</v>
      </c>
      <c r="D26">
        <v>0.32934087268844398</v>
      </c>
      <c r="E26">
        <v>4.6721348631726496</v>
      </c>
      <c r="F26">
        <v>0.52549226320365605</v>
      </c>
      <c r="G26">
        <v>-101.45888401170961</v>
      </c>
      <c r="H26">
        <v>-59.414604159934186</v>
      </c>
      <c r="I26">
        <v>40.816340857395602</v>
      </c>
      <c r="J26">
        <v>18.213985687123699</v>
      </c>
      <c r="K26">
        <v>8.89096793678568</v>
      </c>
      <c r="L26">
        <v>1.2950816462789501E-3</v>
      </c>
      <c r="M26">
        <v>2.2896420068120723E-4</v>
      </c>
      <c r="N26" s="1">
        <v>7.0445488049612203E-6</v>
      </c>
      <c r="O26" s="1">
        <v>1.8868459268785699E-6</v>
      </c>
      <c r="P26" s="1">
        <v>-6.3112471463321499E-6</v>
      </c>
      <c r="AE26">
        <v>100</v>
      </c>
      <c r="AJ26">
        <v>1</v>
      </c>
    </row>
    <row r="27" spans="1:36" x14ac:dyDescent="0.2">
      <c r="A27">
        <v>26</v>
      </c>
      <c r="B27">
        <v>756</v>
      </c>
      <c r="C27">
        <v>250</v>
      </c>
      <c r="D27">
        <v>0.32862119224602798</v>
      </c>
      <c r="E27">
        <v>4.6741207441477997</v>
      </c>
      <c r="F27">
        <v>0.52617349171939898</v>
      </c>
      <c r="G27">
        <v>-101.46118405309723</v>
      </c>
      <c r="H27">
        <v>-59.458084443115595</v>
      </c>
      <c r="I27">
        <v>40.815988367968998</v>
      </c>
      <c r="J27">
        <v>18.2307347939789</v>
      </c>
      <c r="K27">
        <v>8.88323113517934</v>
      </c>
      <c r="L27">
        <v>1.2959633878440581E-3</v>
      </c>
      <c r="M27">
        <v>2.2855032405439386E-4</v>
      </c>
      <c r="N27" s="1">
        <v>7.1150831821426201E-6</v>
      </c>
      <c r="O27" s="1">
        <v>1.8812383657793E-6</v>
      </c>
      <c r="P27" s="1">
        <v>-6.3126327887727798E-6</v>
      </c>
      <c r="AE27">
        <v>100</v>
      </c>
      <c r="AJ27">
        <v>1</v>
      </c>
    </row>
    <row r="28" spans="1:36" x14ac:dyDescent="0.2">
      <c r="A28">
        <v>27</v>
      </c>
      <c r="B28">
        <v>755</v>
      </c>
      <c r="C28">
        <v>250</v>
      </c>
      <c r="D28">
        <v>0.32790011185138401</v>
      </c>
      <c r="E28">
        <v>4.6858120770548801</v>
      </c>
      <c r="F28">
        <v>0.52685606622883996</v>
      </c>
      <c r="G28">
        <v>-101.67405873188898</v>
      </c>
      <c r="H28">
        <v>-59.625087218119297</v>
      </c>
      <c r="I28">
        <v>40.900309315938301</v>
      </c>
      <c r="J28">
        <v>18.285352223317702</v>
      </c>
      <c r="K28">
        <v>8.8939131148194708</v>
      </c>
      <c r="L28">
        <v>1.2968387578846609E-3</v>
      </c>
      <c r="M28">
        <v>2.2813534073467384E-4</v>
      </c>
      <c r="N28" s="1">
        <v>7.2007232681702702E-6</v>
      </c>
      <c r="O28" s="1">
        <v>1.8795113417823001E-6</v>
      </c>
      <c r="P28" s="1">
        <v>-6.3270414247510498E-6</v>
      </c>
      <c r="AE28">
        <v>100</v>
      </c>
      <c r="AJ28">
        <v>1</v>
      </c>
    </row>
    <row r="29" spans="1:36" x14ac:dyDescent="0.2">
      <c r="A29">
        <v>28</v>
      </c>
      <c r="B29">
        <v>754</v>
      </c>
      <c r="C29">
        <v>250</v>
      </c>
      <c r="D29">
        <v>0.32717762741566497</v>
      </c>
      <c r="E29">
        <v>4.69744161151909</v>
      </c>
      <c r="F29">
        <v>0.52753998630330401</v>
      </c>
      <c r="G29">
        <v>-101.88540671825386</v>
      </c>
      <c r="H29">
        <v>-59.791403647676205</v>
      </c>
      <c r="I29">
        <v>40.983976279144898</v>
      </c>
      <c r="J29">
        <v>18.3397602848977</v>
      </c>
      <c r="K29">
        <v>8.9044275950266005</v>
      </c>
      <c r="L29">
        <v>1.2977077046387243E-3</v>
      </c>
      <c r="M29">
        <v>2.2771925480444128E-4</v>
      </c>
      <c r="N29" s="1">
        <v>7.2867371286574103E-6</v>
      </c>
      <c r="O29" s="1">
        <v>1.87772065786414E-6</v>
      </c>
      <c r="P29" s="1">
        <v>-6.3412781777981097E-6</v>
      </c>
      <c r="AE29">
        <v>100</v>
      </c>
      <c r="AJ29">
        <v>1</v>
      </c>
    </row>
    <row r="30" spans="1:36" x14ac:dyDescent="0.2">
      <c r="A30">
        <v>29</v>
      </c>
      <c r="B30">
        <v>753</v>
      </c>
      <c r="C30">
        <v>250</v>
      </c>
      <c r="D30">
        <v>0.32645373483409301</v>
      </c>
      <c r="E30">
        <v>4.7090098684134603</v>
      </c>
      <c r="F30">
        <v>0.528225251476656</v>
      </c>
      <c r="G30">
        <v>-102.09524108165755</v>
      </c>
      <c r="H30">
        <v>-59.957039693924656</v>
      </c>
      <c r="I30">
        <v>41.066994272129698</v>
      </c>
      <c r="J30">
        <v>18.393960251787199</v>
      </c>
      <c r="K30">
        <v>8.9147761400072998</v>
      </c>
      <c r="L30">
        <v>1.2985701764441145E-3</v>
      </c>
      <c r="M30">
        <v>2.2730207043318774E-4</v>
      </c>
      <c r="N30" s="1">
        <v>7.37312042659722E-6</v>
      </c>
      <c r="O30" s="1">
        <v>1.8758668407523E-6</v>
      </c>
      <c r="P30" s="1">
        <v>-6.3553427499244296E-6</v>
      </c>
      <c r="AE30">
        <v>100</v>
      </c>
      <c r="AJ30">
        <v>1</v>
      </c>
    </row>
    <row r="31" spans="1:36" x14ac:dyDescent="0.2">
      <c r="A31">
        <v>30</v>
      </c>
      <c r="B31">
        <v>752</v>
      </c>
      <c r="C31">
        <v>250</v>
      </c>
      <c r="D31">
        <v>0.32572842998585799</v>
      </c>
      <c r="E31">
        <v>4.7205173636316999</v>
      </c>
      <c r="F31">
        <v>0.52891186124509804</v>
      </c>
      <c r="G31">
        <v>-102.30357476437467</v>
      </c>
      <c r="H31">
        <v>-60.122001262573825</v>
      </c>
      <c r="I31">
        <v>41.149368259970998</v>
      </c>
      <c r="J31">
        <v>18.447953378999301</v>
      </c>
      <c r="K31">
        <v>8.9249602996598494</v>
      </c>
      <c r="L31">
        <v>1.2994261217443427E-3</v>
      </c>
      <c r="M31">
        <v>2.268837918776033E-4</v>
      </c>
      <c r="N31" s="1">
        <v>7.45986877057205E-6</v>
      </c>
      <c r="O31" s="1">
        <v>1.87395041561118E-6</v>
      </c>
      <c r="P31" s="1">
        <v>-6.3692348433636798E-6</v>
      </c>
      <c r="AE31">
        <v>100</v>
      </c>
      <c r="AJ31">
        <v>1</v>
      </c>
    </row>
    <row r="32" spans="1:36" x14ac:dyDescent="0.2">
      <c r="A32">
        <v>31</v>
      </c>
      <c r="B32">
        <v>751</v>
      </c>
      <c r="C32">
        <v>250</v>
      </c>
      <c r="D32">
        <v>0.32500170873407402</v>
      </c>
      <c r="E32">
        <v>4.7319646078368898</v>
      </c>
      <c r="F32">
        <v>0.52959981506698395</v>
      </c>
      <c r="G32">
        <v>-102.51042057627738</v>
      </c>
      <c r="H32">
        <v>-60.286294199610488</v>
      </c>
      <c r="I32">
        <v>41.231103156169901</v>
      </c>
      <c r="J32">
        <v>18.501740902500998</v>
      </c>
      <c r="K32">
        <v>8.9349816091578393</v>
      </c>
      <c r="L32">
        <v>1.300275489094248E-3</v>
      </c>
      <c r="M32">
        <v>2.2646442348167077E-4</v>
      </c>
      <c r="N32" s="1">
        <v>7.5469777145777503E-6</v>
      </c>
      <c r="O32" s="1">
        <v>1.8719719059689799E-6</v>
      </c>
      <c r="P32" s="1">
        <v>-6.38295416039888E-6</v>
      </c>
      <c r="AE32">
        <v>100</v>
      </c>
      <c r="AJ32">
        <v>1</v>
      </c>
    </row>
    <row r="33" spans="1:36" x14ac:dyDescent="0.2">
      <c r="A33">
        <v>32</v>
      </c>
      <c r="B33">
        <v>750</v>
      </c>
      <c r="C33">
        <v>250</v>
      </c>
      <c r="D33">
        <v>0.324273566925672</v>
      </c>
      <c r="E33">
        <v>4.74335210683246</v>
      </c>
      <c r="F33">
        <v>0.53028911236263798</v>
      </c>
      <c r="G33">
        <v>-102.71579120311326</v>
      </c>
      <c r="H33">
        <v>-60.449924295933599</v>
      </c>
      <c r="I33">
        <v>41.312203825959401</v>
      </c>
      <c r="J33">
        <v>18.555324040660299</v>
      </c>
      <c r="K33">
        <v>8.9448415897113698</v>
      </c>
      <c r="L33">
        <v>1.3011182271658577E-3</v>
      </c>
      <c r="M33">
        <v>2.2604396967675723E-4</v>
      </c>
      <c r="N33" s="1">
        <v>7.6344427588406993E-6</v>
      </c>
      <c r="O33" s="1">
        <v>1.8699318338918201E-6</v>
      </c>
      <c r="P33" s="1">
        <v>-6.3965004040295596E-6</v>
      </c>
      <c r="AE33">
        <v>100</v>
      </c>
      <c r="AJ33">
        <v>1</v>
      </c>
    </row>
    <row r="34" spans="1:36" x14ac:dyDescent="0.2">
      <c r="A34">
        <v>33</v>
      </c>
      <c r="B34">
        <v>749</v>
      </c>
      <c r="C34">
        <v>250</v>
      </c>
      <c r="D34">
        <v>0.32354400039133302</v>
      </c>
      <c r="E34">
        <v>4.7546803614953301</v>
      </c>
      <c r="F34">
        <v>0.53097975251415996</v>
      </c>
      <c r="G34">
        <v>-102.91969920528754</v>
      </c>
      <c r="H34">
        <v>-60.612897286413251</v>
      </c>
      <c r="I34">
        <v>41.392675085797499</v>
      </c>
      <c r="J34">
        <v>18.608703993979301</v>
      </c>
      <c r="K34">
        <v>8.9545417484982899</v>
      </c>
      <c r="L34">
        <v>1.301954284753894E-3</v>
      </c>
      <c r="M34">
        <v>2.2562243498164988E-4</v>
      </c>
      <c r="N34" s="1">
        <v>7.7222593499783895E-6</v>
      </c>
      <c r="O34" s="1">
        <v>1.8678307199816799E-6</v>
      </c>
      <c r="P34" s="1">
        <v>-6.4098732780472798E-6</v>
      </c>
      <c r="AE34">
        <v>100</v>
      </c>
      <c r="AJ34">
        <v>1</v>
      </c>
    </row>
    <row r="35" spans="1:36" x14ac:dyDescent="0.2">
      <c r="A35">
        <v>34</v>
      </c>
      <c r="B35">
        <v>748</v>
      </c>
      <c r="C35">
        <v>250</v>
      </c>
      <c r="D35">
        <v>0.32281300494540499</v>
      </c>
      <c r="E35">
        <v>4.7659498677795602</v>
      </c>
      <c r="F35">
        <v>0.53167173486526598</v>
      </c>
      <c r="G35">
        <v>-103.12215701817036</v>
      </c>
      <c r="H35">
        <v>-60.775218849847924</v>
      </c>
      <c r="I35">
        <v>41.472521703471202</v>
      </c>
      <c r="J35">
        <v>18.661881945109901</v>
      </c>
      <c r="K35">
        <v>8.9640835787279993</v>
      </c>
      <c r="L35">
        <v>1.3027836107818854E-3</v>
      </c>
      <c r="M35">
        <v>2.2519982400264784E-4</v>
      </c>
      <c r="N35" s="1">
        <v>7.8104228812675007E-6</v>
      </c>
      <c r="O35" s="1">
        <v>1.86566908340273E-6</v>
      </c>
      <c r="P35" s="1">
        <v>-6.4230724872074801E-6</v>
      </c>
      <c r="AE35">
        <v>100</v>
      </c>
      <c r="AJ35">
        <v>1</v>
      </c>
    </row>
    <row r="36" spans="1:36" x14ac:dyDescent="0.2">
      <c r="A36">
        <v>35</v>
      </c>
      <c r="B36">
        <v>747</v>
      </c>
      <c r="C36">
        <v>250</v>
      </c>
      <c r="D36">
        <v>0.32208057638582899</v>
      </c>
      <c r="E36">
        <v>4.7869814515513598</v>
      </c>
      <c r="F36">
        <v>0.53236505872108797</v>
      </c>
      <c r="G36">
        <v>-103.53557677915062</v>
      </c>
      <c r="H36">
        <v>-61.062161622954797</v>
      </c>
      <c r="I36">
        <v>41.637165672633103</v>
      </c>
      <c r="J36">
        <v>18.753330899727199</v>
      </c>
      <c r="K36">
        <v>8.9919151776249606</v>
      </c>
      <c r="L36">
        <v>1.3036061543077364E-3</v>
      </c>
      <c r="M36">
        <v>2.2477614143356754E-4</v>
      </c>
      <c r="N36" s="1">
        <v>7.9151663961779893E-6</v>
      </c>
      <c r="O36" s="1">
        <v>1.86727810144954E-6</v>
      </c>
      <c r="P36" s="1">
        <v>-6.4493283221022803E-6</v>
      </c>
      <c r="AE36">
        <v>100</v>
      </c>
      <c r="AJ36">
        <v>1</v>
      </c>
    </row>
    <row r="37" spans="1:36" x14ac:dyDescent="0.2">
      <c r="A37">
        <v>36</v>
      </c>
      <c r="B37">
        <v>746</v>
      </c>
      <c r="C37">
        <v>250</v>
      </c>
      <c r="D37">
        <v>0.32134671049404001</v>
      </c>
      <c r="E37">
        <v>4.9004739291022901</v>
      </c>
      <c r="F37">
        <v>0.53305972334802598</v>
      </c>
      <c r="G37">
        <v>-105.94764218191652</v>
      </c>
      <c r="H37">
        <v>-62.529060657981617</v>
      </c>
      <c r="I37">
        <v>42.605490728588201</v>
      </c>
      <c r="J37">
        <v>19.2072411864503</v>
      </c>
      <c r="K37">
        <v>9.1931048519733007</v>
      </c>
      <c r="L37">
        <v>1.3044218645294641E-3</v>
      </c>
      <c r="M37">
        <v>2.2435139205577133E-4</v>
      </c>
      <c r="N37" s="1">
        <v>8.1748740649100296E-6</v>
      </c>
      <c r="O37" s="1">
        <v>1.9047614372658499E-6</v>
      </c>
      <c r="P37" s="1">
        <v>-6.6000060202278897E-6</v>
      </c>
      <c r="AE37">
        <v>100</v>
      </c>
      <c r="AJ37">
        <v>1</v>
      </c>
    </row>
    <row r="38" spans="1:36" x14ac:dyDescent="0.2">
      <c r="A38">
        <v>37</v>
      </c>
      <c r="B38">
        <v>745</v>
      </c>
      <c r="C38">
        <v>250</v>
      </c>
      <c r="D38">
        <v>0.32061140303491598</v>
      </c>
      <c r="E38">
        <v>5.0141906003044197</v>
      </c>
      <c r="F38">
        <v>0.53375572797354498</v>
      </c>
      <c r="G38">
        <v>-108.36259807870468</v>
      </c>
      <c r="H38">
        <v>-63.999720184890158</v>
      </c>
      <c r="I38">
        <v>43.574863548182996</v>
      </c>
      <c r="J38">
        <v>19.662444237206799</v>
      </c>
      <c r="K38">
        <v>9.3941672894851802</v>
      </c>
      <c r="L38">
        <v>1.3052306907911384E-3</v>
      </c>
      <c r="M38">
        <v>2.2392558073817519E-4</v>
      </c>
      <c r="N38" s="1">
        <v>8.4384020991912995E-6</v>
      </c>
      <c r="O38" s="1">
        <v>1.9420110768025101E-6</v>
      </c>
      <c r="P38" s="1">
        <v>-6.7507912464549698E-6</v>
      </c>
      <c r="AE38">
        <v>100</v>
      </c>
      <c r="AJ38">
        <v>1</v>
      </c>
    </row>
    <row r="39" spans="1:36" x14ac:dyDescent="0.2">
      <c r="A39">
        <v>38</v>
      </c>
      <c r="B39">
        <v>744</v>
      </c>
      <c r="C39">
        <v>250</v>
      </c>
      <c r="D39">
        <v>0.31987464975667701</v>
      </c>
      <c r="E39">
        <v>5.1283799727894301</v>
      </c>
      <c r="F39">
        <v>0.53445307178602697</v>
      </c>
      <c r="G39">
        <v>-110.78580834933643</v>
      </c>
      <c r="H39">
        <v>-65.477316325843432</v>
      </c>
      <c r="I39">
        <v>44.547438231757397</v>
      </c>
      <c r="J39">
        <v>20.119914789621099</v>
      </c>
      <c r="K39">
        <v>9.5955664650808092</v>
      </c>
      <c r="L39">
        <v>1.3060325825887276E-3</v>
      </c>
      <c r="M39">
        <v>2.2349871243725612E-4</v>
      </c>
      <c r="N39" s="1">
        <v>8.7061854289659892E-6</v>
      </c>
      <c r="O39" s="1">
        <v>1.9791217132193999E-6</v>
      </c>
      <c r="P39" s="1">
        <v>-6.9020114989816402E-6</v>
      </c>
      <c r="AE39">
        <v>100</v>
      </c>
      <c r="AJ39">
        <v>1</v>
      </c>
    </row>
    <row r="40" spans="1:36" x14ac:dyDescent="0.2">
      <c r="A40">
        <v>39</v>
      </c>
      <c r="B40">
        <v>743</v>
      </c>
      <c r="C40">
        <v>250</v>
      </c>
      <c r="D40">
        <v>0.31913644639078897</v>
      </c>
      <c r="E40">
        <v>6.7641454884310699</v>
      </c>
      <c r="F40">
        <v>0.53515175393459302</v>
      </c>
      <c r="G40">
        <v>-146.06368312836534</v>
      </c>
      <c r="H40">
        <v>-86.388727616363568</v>
      </c>
      <c r="I40">
        <v>58.7303315174102</v>
      </c>
      <c r="J40">
        <v>26.550192138051901</v>
      </c>
      <c r="K40">
        <v>12.639677322738899</v>
      </c>
      <c r="L40">
        <v>1.3068274895755598E-3</v>
      </c>
      <c r="M40">
        <v>2.2307079219698701E-4</v>
      </c>
      <c r="N40" s="1">
        <v>1.15830034280892E-5</v>
      </c>
      <c r="O40" s="1">
        <v>2.6009964239786398E-6</v>
      </c>
      <c r="P40" s="1">
        <v>-9.1000563986702605E-6</v>
      </c>
      <c r="AE40">
        <v>100</v>
      </c>
      <c r="AJ40">
        <v>1</v>
      </c>
    </row>
    <row r="41" spans="1:36" x14ac:dyDescent="0.2">
      <c r="A41">
        <v>40</v>
      </c>
      <c r="B41">
        <v>742</v>
      </c>
      <c r="C41">
        <v>250</v>
      </c>
      <c r="D41">
        <v>0.318396788651924</v>
      </c>
      <c r="E41">
        <v>9.3192914737310808</v>
      </c>
      <c r="F41">
        <v>0.53585177352894597</v>
      </c>
      <c r="G41">
        <v>-201.15812645618851</v>
      </c>
      <c r="H41">
        <v>-119.05853036806066</v>
      </c>
      <c r="I41">
        <v>80.879603170939404</v>
      </c>
      <c r="J41">
        <v>36.597036040849503</v>
      </c>
      <c r="K41">
        <v>17.391547316074401</v>
      </c>
      <c r="L41">
        <v>1.3076153615686316E-3</v>
      </c>
      <c r="M41">
        <v>2.2264182514884903E-4</v>
      </c>
      <c r="N41" s="1">
        <v>1.60962270168912E-5</v>
      </c>
      <c r="O41" s="1">
        <v>3.5705675782399099E-6</v>
      </c>
      <c r="P41" s="1">
        <v>-1.25326723120673E-5</v>
      </c>
      <c r="AE41">
        <v>100</v>
      </c>
      <c r="AJ41">
        <v>1</v>
      </c>
    </row>
    <row r="42" spans="1:36" x14ac:dyDescent="0.2">
      <c r="A42">
        <v>41</v>
      </c>
      <c r="B42">
        <v>741</v>
      </c>
      <c r="C42">
        <v>250</v>
      </c>
      <c r="D42">
        <v>0.31765567223783697</v>
      </c>
      <c r="E42">
        <v>9.7815095066961604</v>
      </c>
      <c r="F42">
        <v>0.53655312963919899</v>
      </c>
      <c r="G42">
        <v>-211.05029106763811</v>
      </c>
      <c r="H42">
        <v>-125.00201435620642</v>
      </c>
      <c r="I42">
        <v>84.853201490730996</v>
      </c>
      <c r="J42">
        <v>38.430557757888003</v>
      </c>
      <c r="K42">
        <v>18.230272020356399</v>
      </c>
      <c r="L42">
        <v>1.3083961485540511E-3</v>
      </c>
      <c r="M42">
        <v>2.2221181651174395E-4</v>
      </c>
      <c r="N42" s="1">
        <v>1.7039336255831699E-5</v>
      </c>
      <c r="O42" s="1">
        <v>3.7340558368781202E-6</v>
      </c>
      <c r="P42" s="1">
        <v>-1.31489256036445E-5</v>
      </c>
      <c r="AE42">
        <v>100</v>
      </c>
      <c r="AJ42">
        <v>1</v>
      </c>
    </row>
    <row r="43" spans="1:36" x14ac:dyDescent="0.2">
      <c r="A43">
        <v>42</v>
      </c>
      <c r="B43">
        <v>740</v>
      </c>
      <c r="C43">
        <v>250</v>
      </c>
      <c r="D43">
        <v>0.31691309282929903</v>
      </c>
      <c r="E43">
        <v>9.9966089127724995</v>
      </c>
      <c r="F43">
        <v>0.53725582129572502</v>
      </c>
      <c r="G43">
        <v>-215.60467374855835</v>
      </c>
      <c r="H43">
        <v>-127.79014496273656</v>
      </c>
      <c r="I43">
        <v>86.680402170758299</v>
      </c>
      <c r="J43">
        <v>39.294411269925803</v>
      </c>
      <c r="K43">
        <v>18.606794969039498</v>
      </c>
      <c r="L43">
        <v>1.3091698006928352E-3</v>
      </c>
      <c r="M43">
        <v>2.2178077159190821E-4</v>
      </c>
      <c r="N43" s="1">
        <v>1.7562161485670998E-5</v>
      </c>
      <c r="O43" s="1">
        <v>3.8022545439688799E-6</v>
      </c>
      <c r="P43" s="1">
        <v>-1.34324305962072E-5</v>
      </c>
      <c r="AE43">
        <v>100</v>
      </c>
      <c r="AJ43">
        <v>1</v>
      </c>
    </row>
    <row r="44" spans="1:36" x14ac:dyDescent="0.2">
      <c r="A44">
        <v>43</v>
      </c>
      <c r="B44">
        <v>739</v>
      </c>
      <c r="C44">
        <v>250</v>
      </c>
      <c r="D44">
        <v>0.31616904609000601</v>
      </c>
      <c r="E44">
        <v>10.1247589246817</v>
      </c>
      <c r="F44">
        <v>0.53795984748899806</v>
      </c>
      <c r="G44">
        <v>-218.28081322782393</v>
      </c>
      <c r="H44">
        <v>-129.46813896508843</v>
      </c>
      <c r="I44">
        <v>87.752278092697296</v>
      </c>
      <c r="J44">
        <v>39.817091898702799</v>
      </c>
      <c r="K44">
        <v>18.8206591475933</v>
      </c>
      <c r="L44">
        <v>1.3099362683270542E-3</v>
      </c>
      <c r="M44">
        <v>2.213486957828817E-4</v>
      </c>
      <c r="N44" s="1">
        <v>1.79374837470677E-5</v>
      </c>
      <c r="O44" s="1">
        <v>3.8368931767687903E-6</v>
      </c>
      <c r="P44" s="1">
        <v>-1.35987189327057E-5</v>
      </c>
      <c r="AE44">
        <v>100</v>
      </c>
      <c r="AJ44">
        <v>1</v>
      </c>
    </row>
    <row r="45" spans="1:36" x14ac:dyDescent="0.2">
      <c r="A45">
        <v>44</v>
      </c>
      <c r="B45">
        <v>738</v>
      </c>
      <c r="C45">
        <v>250</v>
      </c>
      <c r="D45">
        <v>0.31542352766652099</v>
      </c>
      <c r="E45">
        <v>10.2150933562188</v>
      </c>
      <c r="F45">
        <v>0.538665207169431</v>
      </c>
      <c r="G45">
        <v>-220.13982800831647</v>
      </c>
      <c r="H45">
        <v>-130.66345262822955</v>
      </c>
      <c r="I45">
        <v>88.495496300038397</v>
      </c>
      <c r="J45">
        <v>40.191426921617101</v>
      </c>
      <c r="K45">
        <v>18.963714790299701</v>
      </c>
      <c r="L45">
        <v>1.3106955019852842E-3</v>
      </c>
      <c r="M45">
        <v>2.2091559456536216E-4</v>
      </c>
      <c r="N45" s="1">
        <v>1.82492088822132E-5</v>
      </c>
      <c r="O45" s="1">
        <v>3.8568863168184797E-6</v>
      </c>
      <c r="P45" s="1">
        <v>-1.37138976359729E-5</v>
      </c>
      <c r="AE45">
        <v>100</v>
      </c>
      <c r="AJ45">
        <v>1</v>
      </c>
    </row>
    <row r="46" spans="1:36" x14ac:dyDescent="0.2">
      <c r="A46">
        <v>45</v>
      </c>
      <c r="B46">
        <v>737</v>
      </c>
      <c r="C46">
        <v>250</v>
      </c>
      <c r="D46">
        <v>0.31467653318814098</v>
      </c>
      <c r="E46">
        <v>10.27882991843</v>
      </c>
      <c r="F46">
        <v>0.53937189924725004</v>
      </c>
      <c r="G46">
        <v>-221.42435176280009</v>
      </c>
      <c r="H46">
        <v>-131.51917246471905</v>
      </c>
      <c r="I46">
        <v>89.007633990746697</v>
      </c>
      <c r="J46">
        <v>40.4613598439066</v>
      </c>
      <c r="K46">
        <v>19.057036402480701</v>
      </c>
      <c r="L46">
        <v>1.3114474523886444E-3</v>
      </c>
      <c r="M46">
        <v>2.2048147350710052E-4</v>
      </c>
      <c r="N46" s="1">
        <v>1.8515855093223999E-5</v>
      </c>
      <c r="O46" s="1">
        <v>3.8666119325080301E-6</v>
      </c>
      <c r="P46" s="1">
        <v>-1.3793082135008899E-5</v>
      </c>
      <c r="AE46">
        <v>100</v>
      </c>
      <c r="AJ46">
        <v>1</v>
      </c>
    </row>
    <row r="47" spans="1:36" x14ac:dyDescent="0.2">
      <c r="A47">
        <v>46</v>
      </c>
      <c r="B47">
        <v>757</v>
      </c>
      <c r="C47">
        <v>225</v>
      </c>
      <c r="D47">
        <v>0.35603601417269398</v>
      </c>
      <c r="E47">
        <v>5.06025632306104</v>
      </c>
      <c r="F47">
        <v>0.49351610243928701</v>
      </c>
      <c r="G47">
        <v>-110.13544526838517</v>
      </c>
      <c r="H47">
        <v>-64.253272999388358</v>
      </c>
      <c r="I47">
        <v>44.5421230484882</v>
      </c>
      <c r="J47">
        <v>19.9252679297668</v>
      </c>
      <c r="K47">
        <v>10.253477643484899</v>
      </c>
      <c r="L47">
        <v>1.4066547857104822E-3</v>
      </c>
      <c r="M47">
        <v>2.7568331144484353E-4</v>
      </c>
      <c r="N47" s="1">
        <v>7.6329545479073908E-6</v>
      </c>
      <c r="O47" s="1">
        <v>3.01193588676741E-6</v>
      </c>
      <c r="P47" s="1">
        <v>-8.8966127273408899E-6</v>
      </c>
      <c r="AE47">
        <v>100</v>
      </c>
      <c r="AJ47">
        <v>1</v>
      </c>
    </row>
    <row r="48" spans="1:36" x14ac:dyDescent="0.2">
      <c r="A48">
        <v>47</v>
      </c>
      <c r="B48">
        <v>756</v>
      </c>
      <c r="C48">
        <v>225</v>
      </c>
      <c r="D48">
        <v>0.35534227274935698</v>
      </c>
      <c r="E48">
        <v>5.06456758515223</v>
      </c>
      <c r="F48">
        <v>0.49421110210605401</v>
      </c>
      <c r="G48">
        <v>-110.18470861924943</v>
      </c>
      <c r="H48">
        <v>-64.327963946199219</v>
      </c>
      <c r="I48">
        <v>44.560698566411602</v>
      </c>
      <c r="J48">
        <v>19.954008044341201</v>
      </c>
      <c r="K48">
        <v>10.2477818963795</v>
      </c>
      <c r="L48">
        <v>1.4078854248212129E-3</v>
      </c>
      <c r="M48">
        <v>2.7520256945572118E-4</v>
      </c>
      <c r="N48" s="1">
        <v>7.7383901996834802E-6</v>
      </c>
      <c r="O48" s="1">
        <v>3.0047651957739201E-6</v>
      </c>
      <c r="P48" s="1">
        <v>-8.9059437611711095E-6</v>
      </c>
      <c r="AE48">
        <v>100</v>
      </c>
      <c r="AJ48">
        <v>1</v>
      </c>
    </row>
    <row r="49" spans="1:36" x14ac:dyDescent="0.2">
      <c r="A49">
        <v>48</v>
      </c>
      <c r="B49">
        <v>755</v>
      </c>
      <c r="C49">
        <v>225</v>
      </c>
      <c r="D49">
        <v>0.354647181831445</v>
      </c>
      <c r="E49">
        <v>5.0753740339607498</v>
      </c>
      <c r="F49">
        <v>0.49490768776852501</v>
      </c>
      <c r="G49">
        <v>-110.3751676096559</v>
      </c>
      <c r="H49">
        <v>-64.485225295408043</v>
      </c>
      <c r="I49">
        <v>44.636333954125099</v>
      </c>
      <c r="J49">
        <v>20.008361628903099</v>
      </c>
      <c r="K49">
        <v>10.255193361099201</v>
      </c>
      <c r="L49">
        <v>1.4091087850398633E-3</v>
      </c>
      <c r="M49">
        <v>2.7472009849557628E-4</v>
      </c>
      <c r="N49" s="1">
        <v>7.8543868723735004E-6</v>
      </c>
      <c r="O49" s="1">
        <v>3.0013999563786801E-6</v>
      </c>
      <c r="P49" s="1">
        <v>-8.9265818433512202E-6</v>
      </c>
      <c r="AE49">
        <v>100</v>
      </c>
      <c r="AJ49">
        <v>1</v>
      </c>
    </row>
    <row r="50" spans="1:36" x14ac:dyDescent="0.2">
      <c r="A50">
        <v>49</v>
      </c>
      <c r="B50">
        <v>754</v>
      </c>
      <c r="C50">
        <v>225</v>
      </c>
      <c r="D50">
        <v>0.35395073747748601</v>
      </c>
      <c r="E50">
        <v>5.0861270394935696</v>
      </c>
      <c r="F50">
        <v>0.49560585974538901</v>
      </c>
      <c r="G50">
        <v>-110.56429421031019</v>
      </c>
      <c r="H50">
        <v>-64.641904383714277</v>
      </c>
      <c r="I50">
        <v>44.711386283222403</v>
      </c>
      <c r="J50">
        <v>20.062541881730699</v>
      </c>
      <c r="K50">
        <v>10.262443309501</v>
      </c>
      <c r="L50">
        <v>1.4103247859760767E-3</v>
      </c>
      <c r="M50">
        <v>2.7423590143348011E-4</v>
      </c>
      <c r="N50" s="1">
        <v>7.97106042471916E-6</v>
      </c>
      <c r="O50" s="1">
        <v>2.9979426472128E-6</v>
      </c>
      <c r="P50" s="1">
        <v>-8.9470116305032393E-6</v>
      </c>
      <c r="AE50">
        <v>100</v>
      </c>
      <c r="AJ50">
        <v>1</v>
      </c>
    </row>
    <row r="51" spans="1:36" x14ac:dyDescent="0.2">
      <c r="A51">
        <v>50</v>
      </c>
      <c r="B51">
        <v>753</v>
      </c>
      <c r="C51">
        <v>225</v>
      </c>
      <c r="D51">
        <v>0.35325293573064698</v>
      </c>
      <c r="E51">
        <v>5.0968270644676803</v>
      </c>
      <c r="F51">
        <v>0.49630561830638598</v>
      </c>
      <c r="G51">
        <v>-110.75210003983764</v>
      </c>
      <c r="H51">
        <v>-64.798006523462291</v>
      </c>
      <c r="I51">
        <v>44.785859994935102</v>
      </c>
      <c r="J51">
        <v>20.116549711389901</v>
      </c>
      <c r="K51">
        <v>10.2695332804418</v>
      </c>
      <c r="L51">
        <v>1.4115333472314695E-3</v>
      </c>
      <c r="M51">
        <v>2.7374998128468052E-4</v>
      </c>
      <c r="N51" s="1">
        <v>8.0884053335913706E-6</v>
      </c>
      <c r="O51" s="1">
        <v>2.9943938616144802E-6</v>
      </c>
      <c r="P51" s="1">
        <v>-8.9672319705464794E-6</v>
      </c>
      <c r="AE51">
        <v>100</v>
      </c>
      <c r="AJ51">
        <v>1</v>
      </c>
    </row>
    <row r="52" spans="1:36" x14ac:dyDescent="0.2">
      <c r="A52">
        <v>51</v>
      </c>
      <c r="B52">
        <v>752</v>
      </c>
      <c r="C52">
        <v>225</v>
      </c>
      <c r="D52">
        <v>0.35255377261864101</v>
      </c>
      <c r="E52">
        <v>5.16253604183823</v>
      </c>
      <c r="F52">
        <v>0.49700696367191499</v>
      </c>
      <c r="G52">
        <v>-112.1345776399251</v>
      </c>
      <c r="H52">
        <v>-65.653772970739723</v>
      </c>
      <c r="I52">
        <v>45.3433731544891</v>
      </c>
      <c r="J52">
        <v>20.387834217662402</v>
      </c>
      <c r="K52">
        <v>10.387250922395699</v>
      </c>
      <c r="L52">
        <v>1.4127343884097433E-3</v>
      </c>
      <c r="M52">
        <v>2.7326234121145604E-4</v>
      </c>
      <c r="N52" s="1">
        <v>8.2948857746471394E-6</v>
      </c>
      <c r="O52" s="1">
        <v>3.0229962204230802E-6</v>
      </c>
      <c r="P52" s="1">
        <v>-9.0841292739475594E-6</v>
      </c>
      <c r="AE52">
        <v>100</v>
      </c>
      <c r="AJ52">
        <v>1</v>
      </c>
    </row>
    <row r="53" spans="1:36" x14ac:dyDescent="0.2">
      <c r="A53">
        <v>52</v>
      </c>
      <c r="B53">
        <v>751</v>
      </c>
      <c r="C53">
        <v>225</v>
      </c>
      <c r="D53">
        <v>0.35185324415369101</v>
      </c>
      <c r="E53">
        <v>5.2675778029889004</v>
      </c>
      <c r="F53">
        <v>0.497709896012688</v>
      </c>
      <c r="G53">
        <v>-114.36991625816975</v>
      </c>
      <c r="H53">
        <v>-67.010434464136338</v>
      </c>
      <c r="I53">
        <v>46.245663453125601</v>
      </c>
      <c r="J53">
        <v>20.814831665813099</v>
      </c>
      <c r="K53">
        <v>10.5836308363348</v>
      </c>
      <c r="L53">
        <v>1.413927829127015E-3</v>
      </c>
      <c r="M53">
        <v>2.7277298452397315E-4</v>
      </c>
      <c r="N53" s="1">
        <v>8.5682768926182496E-6</v>
      </c>
      <c r="O53" s="1">
        <v>3.0742804507199699E-6</v>
      </c>
      <c r="P53" s="1">
        <v>-9.2701511086490202E-6</v>
      </c>
      <c r="AE53">
        <v>100</v>
      </c>
      <c r="AJ53">
        <v>1</v>
      </c>
    </row>
    <row r="54" spans="1:36" x14ac:dyDescent="0.2">
      <c r="A54">
        <v>53</v>
      </c>
      <c r="B54">
        <v>750</v>
      </c>
      <c r="C54">
        <v>225</v>
      </c>
      <c r="D54">
        <v>0.35115134633240402</v>
      </c>
      <c r="E54">
        <v>5.3726442029916601</v>
      </c>
      <c r="F54">
        <v>0.49841441544936699</v>
      </c>
      <c r="G54">
        <v>-116.603965557406</v>
      </c>
      <c r="H54">
        <v>-68.368251798111004</v>
      </c>
      <c r="I54">
        <v>47.147327680424297</v>
      </c>
      <c r="J54">
        <v>21.242396443965902</v>
      </c>
      <c r="K54">
        <v>10.779471934309299</v>
      </c>
      <c r="L54">
        <v>1.4151135890225653E-3</v>
      </c>
      <c r="M54">
        <v>2.7228191468116423E-4</v>
      </c>
      <c r="N54" s="1">
        <v>8.8462142196593992E-6</v>
      </c>
      <c r="O54" s="1">
        <v>3.1251518156144199E-6</v>
      </c>
      <c r="P54" s="1">
        <v>-9.4561307916708208E-6</v>
      </c>
      <c r="AE54">
        <v>100</v>
      </c>
      <c r="AJ54">
        <v>1</v>
      </c>
    </row>
    <row r="55" spans="1:36" x14ac:dyDescent="0.2">
      <c r="A55">
        <v>54</v>
      </c>
      <c r="B55">
        <v>749</v>
      </c>
      <c r="C55">
        <v>225</v>
      </c>
      <c r="D55">
        <v>0.350448075135744</v>
      </c>
      <c r="E55">
        <v>5.4779327259366699</v>
      </c>
      <c r="F55">
        <v>0.49912052205220397</v>
      </c>
      <c r="G55">
        <v>-118.84101045654394</v>
      </c>
      <c r="H55">
        <v>-69.729739792417092</v>
      </c>
      <c r="I55">
        <v>48.050095850527001</v>
      </c>
      <c r="J55">
        <v>21.671308582935801</v>
      </c>
      <c r="K55">
        <v>10.975170292364201</v>
      </c>
      <c r="L55">
        <v>1.4162915877691444E-3</v>
      </c>
      <c r="M55">
        <v>2.7178913529151436E-4</v>
      </c>
      <c r="N55" s="1">
        <v>9.1290418875117106E-6</v>
      </c>
      <c r="O55" s="1">
        <v>3.1757236776141198E-6</v>
      </c>
      <c r="P55" s="1">
        <v>-9.6424069484314705E-6</v>
      </c>
      <c r="AE55">
        <v>100</v>
      </c>
      <c r="AJ55">
        <v>1</v>
      </c>
    </row>
    <row r="56" spans="1:36" x14ac:dyDescent="0.2">
      <c r="A56">
        <v>55</v>
      </c>
      <c r="B56">
        <v>748</v>
      </c>
      <c r="C56">
        <v>225</v>
      </c>
      <c r="D56">
        <v>0.34974342652891699</v>
      </c>
      <c r="E56">
        <v>5.5836993422308501</v>
      </c>
      <c r="F56">
        <v>0.49982821584070197</v>
      </c>
      <c r="G56">
        <v>-121.0865972686758</v>
      </c>
      <c r="H56">
        <v>-71.09816110727607</v>
      </c>
      <c r="I56">
        <v>48.956207704100002</v>
      </c>
      <c r="J56">
        <v>22.102581403127601</v>
      </c>
      <c r="K56">
        <v>11.1712367674945</v>
      </c>
      <c r="L56">
        <v>1.4174617450838844E-3</v>
      </c>
      <c r="M56">
        <v>2.7129465011387983E-4</v>
      </c>
      <c r="N56" s="1">
        <v>9.4172179555542596E-6</v>
      </c>
      <c r="O56" s="1">
        <v>3.2261416653384301E-6</v>
      </c>
      <c r="P56" s="1">
        <v>-9.8294211919951999E-6</v>
      </c>
      <c r="AE56">
        <v>100</v>
      </c>
      <c r="AJ56">
        <v>1</v>
      </c>
    </row>
    <row r="57" spans="1:36" x14ac:dyDescent="0.2">
      <c r="A57">
        <v>56</v>
      </c>
      <c r="B57">
        <v>747</v>
      </c>
      <c r="C57">
        <v>225</v>
      </c>
      <c r="D57">
        <v>0.34903739646130499</v>
      </c>
      <c r="E57">
        <v>7.0886280641600097</v>
      </c>
      <c r="F57">
        <v>0.50053749678325199</v>
      </c>
      <c r="G57">
        <v>-153.65993822611429</v>
      </c>
      <c r="H57">
        <v>-90.288733633655809</v>
      </c>
      <c r="I57">
        <v>62.123473156622502</v>
      </c>
      <c r="J57">
        <v>28.075998070043099</v>
      </c>
      <c r="K57">
        <v>14.1620320349937</v>
      </c>
      <c r="L57">
        <v>1.4186239807389418E-3</v>
      </c>
      <c r="M57">
        <v>2.7079846305825769E-4</v>
      </c>
      <c r="N57" s="1">
        <v>1.20978578036787E-5</v>
      </c>
      <c r="O57" s="1">
        <v>4.0817967844375499E-6</v>
      </c>
      <c r="P57" s="1">
        <v>-1.2479552138046801E-5</v>
      </c>
      <c r="AE57">
        <v>100</v>
      </c>
      <c r="AJ57">
        <v>1</v>
      </c>
    </row>
    <row r="58" spans="1:36" x14ac:dyDescent="0.2">
      <c r="A58">
        <v>57</v>
      </c>
      <c r="B58">
        <v>746</v>
      </c>
      <c r="C58">
        <v>225</v>
      </c>
      <c r="D58">
        <v>0.34832998086640898</v>
      </c>
      <c r="E58">
        <v>9.3565124841329599</v>
      </c>
      <c r="F58">
        <v>0.50124836479679802</v>
      </c>
      <c r="G58">
        <v>-202.73880743681244</v>
      </c>
      <c r="H58">
        <v>-119.21212755316535</v>
      </c>
      <c r="I58">
        <v>81.962453274440605</v>
      </c>
      <c r="J58">
        <v>37.079900145320799</v>
      </c>
      <c r="K58">
        <v>18.666419965132398</v>
      </c>
      <c r="L58">
        <v>1.4197782145724304E-3</v>
      </c>
      <c r="M58">
        <v>2.7030057818655599E-4</v>
      </c>
      <c r="N58" s="1">
        <v>1.61569803453756E-5</v>
      </c>
      <c r="O58" s="1">
        <v>5.3693698392087904E-6</v>
      </c>
      <c r="P58" s="1">
        <v>-1.6473101805557301E-5</v>
      </c>
      <c r="AE58">
        <v>100</v>
      </c>
      <c r="AJ58">
        <v>1</v>
      </c>
    </row>
    <row r="59" spans="1:36" x14ac:dyDescent="0.2">
      <c r="A59">
        <v>58</v>
      </c>
      <c r="B59">
        <v>745</v>
      </c>
      <c r="C59">
        <v>225</v>
      </c>
      <c r="D59">
        <v>0.347621175661739</v>
      </c>
      <c r="E59">
        <v>9.8147956639863292</v>
      </c>
      <c r="F59">
        <v>0.50196081974649398</v>
      </c>
      <c r="G59">
        <v>-212.58302229961865</v>
      </c>
      <c r="H59">
        <v>-125.090060155145</v>
      </c>
      <c r="I59">
        <v>85.938789739478494</v>
      </c>
      <c r="J59">
        <v>38.9185675932153</v>
      </c>
      <c r="K59">
        <v>19.552911856632701</v>
      </c>
      <c r="L59">
        <v>1.4209243664991033E-3</v>
      </c>
      <c r="M59">
        <v>2.698009997132519E-4</v>
      </c>
      <c r="N59" s="1">
        <v>1.7146764853487299E-5</v>
      </c>
      <c r="O59" s="1">
        <v>5.6131030872194598E-6</v>
      </c>
      <c r="P59" s="1">
        <v>-1.7280680592822101E-5</v>
      </c>
      <c r="AE59">
        <v>100</v>
      </c>
      <c r="AJ59">
        <v>1</v>
      </c>
    </row>
    <row r="60" spans="1:36" x14ac:dyDescent="0.2">
      <c r="A60">
        <v>59</v>
      </c>
      <c r="B60">
        <v>744</v>
      </c>
      <c r="C60">
        <v>225</v>
      </c>
      <c r="D60">
        <v>0.34691097674876298</v>
      </c>
      <c r="E60">
        <v>10.026309744921299</v>
      </c>
      <c r="F60">
        <v>0.502674861445363</v>
      </c>
      <c r="G60">
        <v>-217.07652852179316</v>
      </c>
      <c r="H60">
        <v>-127.82558642003093</v>
      </c>
      <c r="I60">
        <v>87.751737474201704</v>
      </c>
      <c r="J60">
        <v>39.780223043312297</v>
      </c>
      <c r="K60">
        <v>19.945914375133501</v>
      </c>
      <c r="L60">
        <v>1.4220623565214814E-3</v>
      </c>
      <c r="M60">
        <v>2.692997320061339E-4</v>
      </c>
      <c r="N60" s="1">
        <v>1.7719529815757799E-5</v>
      </c>
      <c r="O60" s="1">
        <v>5.7143598374002E-6</v>
      </c>
      <c r="P60" s="1">
        <v>-1.7653567158943699E-5</v>
      </c>
      <c r="AE60">
        <v>100</v>
      </c>
      <c r="AJ60">
        <v>1</v>
      </c>
    </row>
    <row r="61" spans="1:36" x14ac:dyDescent="0.2">
      <c r="A61">
        <v>60</v>
      </c>
      <c r="B61">
        <v>743</v>
      </c>
      <c r="C61">
        <v>225</v>
      </c>
      <c r="D61">
        <v>0.34619938001279399</v>
      </c>
      <c r="E61">
        <v>10.1515864951295</v>
      </c>
      <c r="F61">
        <v>0.50339048965396604</v>
      </c>
      <c r="G61">
        <v>-219.70002829097652</v>
      </c>
      <c r="H61">
        <v>-129.46303061841868</v>
      </c>
      <c r="I61">
        <v>88.808548967897593</v>
      </c>
      <c r="J61">
        <v>40.300459556100101</v>
      </c>
      <c r="K61">
        <v>20.166424880429901</v>
      </c>
      <c r="L61">
        <v>1.4231921047410103E-3</v>
      </c>
      <c r="M61">
        <v>2.6879677958699811E-4</v>
      </c>
      <c r="N61" s="1">
        <v>1.8147262696105501E-5</v>
      </c>
      <c r="O61" s="1">
        <v>5.7657702731468103E-6</v>
      </c>
      <c r="P61" s="1">
        <v>-1.7874363150466199E-5</v>
      </c>
      <c r="AE61">
        <v>100</v>
      </c>
      <c r="AJ61">
        <v>1</v>
      </c>
    </row>
    <row r="62" spans="1:36" x14ac:dyDescent="0.2">
      <c r="A62">
        <v>61</v>
      </c>
      <c r="B62">
        <v>742</v>
      </c>
      <c r="C62">
        <v>225</v>
      </c>
      <c r="D62">
        <v>0.345486381322956</v>
      </c>
      <c r="E62">
        <v>10.235970144523</v>
      </c>
      <c r="F62">
        <v>0.50410770408007599</v>
      </c>
      <c r="G62">
        <v>-221.43672743610563</v>
      </c>
      <c r="H62">
        <v>-130.57982116385054</v>
      </c>
      <c r="I62">
        <v>89.506736859510696</v>
      </c>
      <c r="J62">
        <v>40.658797874757198</v>
      </c>
      <c r="K62">
        <v>20.305125396173501</v>
      </c>
      <c r="L62">
        <v>1.4243135313688996E-3</v>
      </c>
      <c r="M62">
        <v>2.6829214713221033E-4</v>
      </c>
      <c r="N62" s="1">
        <v>1.85066957708071E-5</v>
      </c>
      <c r="O62" s="1">
        <v>5.793507497318E-6</v>
      </c>
      <c r="P62" s="1">
        <v>-1.8022890431303999E-5</v>
      </c>
      <c r="AE62">
        <v>100</v>
      </c>
      <c r="AJ62">
        <v>1</v>
      </c>
    </row>
    <row r="63" spans="1:36" x14ac:dyDescent="0.2">
      <c r="A63">
        <v>62</v>
      </c>
      <c r="B63">
        <v>741</v>
      </c>
      <c r="C63">
        <v>225</v>
      </c>
      <c r="D63">
        <v>0.34477197653207198</v>
      </c>
      <c r="E63">
        <v>10.297442078134299</v>
      </c>
      <c r="F63">
        <v>0.50482650437834198</v>
      </c>
      <c r="G63">
        <v>-222.67653758739331</v>
      </c>
      <c r="H63">
        <v>-131.40493061963159</v>
      </c>
      <c r="I63">
        <v>90.003943989009699</v>
      </c>
      <c r="J63">
        <v>40.926421988305599</v>
      </c>
      <c r="K63">
        <v>20.397982254942999</v>
      </c>
      <c r="L63">
        <v>1.4254265567376094E-3</v>
      </c>
      <c r="M63">
        <v>2.6778583947340196E-4</v>
      </c>
      <c r="N63" s="1">
        <v>1.8828207655013702E-5</v>
      </c>
      <c r="O63" s="1">
        <v>5.8079548418750902E-6</v>
      </c>
      <c r="P63" s="1">
        <v>-1.8130800754574899E-5</v>
      </c>
      <c r="AE63">
        <v>100</v>
      </c>
      <c r="AJ63">
        <v>1</v>
      </c>
    </row>
    <row r="64" spans="1:36" x14ac:dyDescent="0.2">
      <c r="A64">
        <v>63</v>
      </c>
      <c r="B64">
        <v>760</v>
      </c>
      <c r="C64">
        <v>200</v>
      </c>
      <c r="D64">
        <v>0.38472680636887402</v>
      </c>
      <c r="E64">
        <v>5.4448250336721697</v>
      </c>
      <c r="F64">
        <v>0.45505687206717499</v>
      </c>
      <c r="G64">
        <v>-118.93690671908482</v>
      </c>
      <c r="H64">
        <v>-68.924248985525452</v>
      </c>
      <c r="I64">
        <v>48.410950584904597</v>
      </c>
      <c r="J64">
        <v>21.591044743402001</v>
      </c>
      <c r="K64">
        <v>11.9651528586704</v>
      </c>
      <c r="L64">
        <v>1.5294024524042343E-3</v>
      </c>
      <c r="M64">
        <v>3.4182390521239175E-4</v>
      </c>
      <c r="N64" s="1">
        <v>6.4528012069628298E-6</v>
      </c>
      <c r="O64" s="1">
        <v>5.0466482791772302E-6</v>
      </c>
      <c r="P64" s="1">
        <v>-1.2654864658520699E-5</v>
      </c>
      <c r="AE64">
        <v>100</v>
      </c>
      <c r="AJ64">
        <v>1</v>
      </c>
    </row>
    <row r="65" spans="1:36" x14ac:dyDescent="0.2">
      <c r="A65">
        <v>64</v>
      </c>
      <c r="B65">
        <v>759</v>
      </c>
      <c r="C65">
        <v>200</v>
      </c>
      <c r="D65">
        <v>0.38406287845759102</v>
      </c>
      <c r="E65">
        <v>5.4529914002458204</v>
      </c>
      <c r="F65">
        <v>0.45575377923867499</v>
      </c>
      <c r="G65">
        <v>-119.06681996496674</v>
      </c>
      <c r="H65">
        <v>-69.049255595207796</v>
      </c>
      <c r="I65">
        <v>48.4626119326553</v>
      </c>
      <c r="J65">
        <v>21.6390949931527</v>
      </c>
      <c r="K65">
        <v>11.964774947900301</v>
      </c>
      <c r="L65">
        <v>1.5311987457172485E-3</v>
      </c>
      <c r="M65">
        <v>3.4128771137268039E-4</v>
      </c>
      <c r="N65" s="1">
        <v>6.6018743162958896E-6</v>
      </c>
      <c r="O65" s="1">
        <v>5.0396460100318203E-6</v>
      </c>
      <c r="P65" s="1">
        <v>-1.26839838527334E-5</v>
      </c>
      <c r="AE65">
        <v>100</v>
      </c>
      <c r="AJ65">
        <v>1</v>
      </c>
    </row>
    <row r="66" spans="1:36" x14ac:dyDescent="0.2">
      <c r="A66">
        <v>65</v>
      </c>
      <c r="B66">
        <v>758</v>
      </c>
      <c r="C66">
        <v>200</v>
      </c>
      <c r="D66">
        <v>0.383397662803666</v>
      </c>
      <c r="E66">
        <v>5.4878160750710796</v>
      </c>
      <c r="F66">
        <v>0.45645257202433998</v>
      </c>
      <c r="G66">
        <v>-119.77845999166354</v>
      </c>
      <c r="H66">
        <v>-69.512013014862532</v>
      </c>
      <c r="I66">
        <v>48.750993979682498</v>
      </c>
      <c r="J66">
        <v>21.7930542588491</v>
      </c>
      <c r="K66">
        <v>12.0227520040755</v>
      </c>
      <c r="L66">
        <v>1.5329879985900396E-3</v>
      </c>
      <c r="M66">
        <v>3.4074884165332135E-4</v>
      </c>
      <c r="N66" s="1">
        <v>6.7851703198865101E-6</v>
      </c>
      <c r="O66" s="1">
        <v>5.0571218034756596E-6</v>
      </c>
      <c r="P66" s="1">
        <v>-1.27750476642044E-5</v>
      </c>
      <c r="AE66">
        <v>100</v>
      </c>
      <c r="AJ66">
        <v>1</v>
      </c>
    </row>
    <row r="67" spans="1:36" x14ac:dyDescent="0.2">
      <c r="A67">
        <v>66</v>
      </c>
      <c r="B67">
        <v>757</v>
      </c>
      <c r="C67">
        <v>200</v>
      </c>
      <c r="D67">
        <v>0.38273115565694399</v>
      </c>
      <c r="E67">
        <v>5.5843268905510799</v>
      </c>
      <c r="F67">
        <v>0.45715325257592998</v>
      </c>
      <c r="G67">
        <v>-121.83533184279334</v>
      </c>
      <c r="H67">
        <v>-70.756661982135682</v>
      </c>
      <c r="I67">
        <v>49.586822846596498</v>
      </c>
      <c r="J67">
        <v>22.1923536485935</v>
      </c>
      <c r="K67">
        <v>12.2154372939161</v>
      </c>
      <c r="L67">
        <v>1.5347700870519451E-3</v>
      </c>
      <c r="M67">
        <v>3.4020729273536902E-4</v>
      </c>
      <c r="N67" s="1">
        <v>7.0489720278817901E-6</v>
      </c>
      <c r="O67" s="1">
        <v>5.1310450489865702E-6</v>
      </c>
      <c r="P67" s="1">
        <v>-1.30098016706785E-5</v>
      </c>
      <c r="AE67">
        <v>100</v>
      </c>
      <c r="AJ67">
        <v>1</v>
      </c>
    </row>
    <row r="68" spans="1:36" x14ac:dyDescent="0.2">
      <c r="A68">
        <v>67</v>
      </c>
      <c r="B68">
        <v>756</v>
      </c>
      <c r="C68">
        <v>200</v>
      </c>
      <c r="D68">
        <v>0.38206335325268598</v>
      </c>
      <c r="E68">
        <v>5.6806468360121203</v>
      </c>
      <c r="F68">
        <v>0.45785582298683303</v>
      </c>
      <c r="G68">
        <v>-123.8863486864835</v>
      </c>
      <c r="H68">
        <v>-71.99967486940777</v>
      </c>
      <c r="I68">
        <v>50.420176487418701</v>
      </c>
      <c r="J68">
        <v>22.5914442188399</v>
      </c>
      <c r="K68">
        <v>12.4070647370045</v>
      </c>
      <c r="L68">
        <v>1.5365448866216135E-3</v>
      </c>
      <c r="M68">
        <v>3.3966306150425685E-4</v>
      </c>
      <c r="N68" s="1">
        <v>7.3183900612683404E-6</v>
      </c>
      <c r="O68" s="1">
        <v>5.2042282892572004E-6</v>
      </c>
      <c r="P68" s="1">
        <v>-1.3244304812249801E-5</v>
      </c>
      <c r="AE68">
        <v>100</v>
      </c>
      <c r="AJ68">
        <v>1</v>
      </c>
    </row>
    <row r="69" spans="1:36" x14ac:dyDescent="0.2">
      <c r="A69">
        <v>68</v>
      </c>
      <c r="B69">
        <v>755</v>
      </c>
      <c r="C69">
        <v>200</v>
      </c>
      <c r="D69">
        <v>0.38139425181150599</v>
      </c>
      <c r="E69">
        <v>5.7769166800400997</v>
      </c>
      <c r="F69">
        <v>0.45856028529133602</v>
      </c>
      <c r="G69">
        <v>-125.93458546031144</v>
      </c>
      <c r="H69">
        <v>-73.242834964854453</v>
      </c>
      <c r="I69">
        <v>51.252304043111003</v>
      </c>
      <c r="J69">
        <v>22.990883621303698</v>
      </c>
      <c r="K69">
        <v>12.5979437499038</v>
      </c>
      <c r="L69">
        <v>1.5383122723209872E-3</v>
      </c>
      <c r="M69">
        <v>3.3911614505275191E-4</v>
      </c>
      <c r="N69" s="1">
        <v>7.5936331188566803E-6</v>
      </c>
      <c r="O69" s="1">
        <v>5.2767992999787603E-6</v>
      </c>
      <c r="P69" s="1">
        <v>-1.34788739388718E-5</v>
      </c>
      <c r="AE69">
        <v>100</v>
      </c>
      <c r="AJ69">
        <v>1</v>
      </c>
    </row>
    <row r="70" spans="1:36" x14ac:dyDescent="0.2">
      <c r="A70">
        <v>69</v>
      </c>
      <c r="B70">
        <v>754</v>
      </c>
      <c r="C70">
        <v>200</v>
      </c>
      <c r="D70">
        <v>0.38072384753930699</v>
      </c>
      <c r="E70">
        <v>5.8733125939570501</v>
      </c>
      <c r="F70">
        <v>0.45926664146385499</v>
      </c>
      <c r="G70">
        <v>-127.98388355771424</v>
      </c>
      <c r="H70">
        <v>-74.488376789786258</v>
      </c>
      <c r="I70">
        <v>52.084766429496099</v>
      </c>
      <c r="J70">
        <v>23.391372067643498</v>
      </c>
      <c r="K70">
        <v>12.7884589554264</v>
      </c>
      <c r="L70">
        <v>1.5400721186903535E-3</v>
      </c>
      <c r="M70">
        <v>3.3856654068413548E-4</v>
      </c>
      <c r="N70" s="1">
        <v>7.8749714259009398E-6</v>
      </c>
      <c r="O70" s="1">
        <v>5.3489165876040902E-6</v>
      </c>
      <c r="P70" s="1">
        <v>-1.3713909375159001E-5</v>
      </c>
      <c r="AE70">
        <v>100</v>
      </c>
      <c r="AJ70">
        <v>1</v>
      </c>
    </row>
    <row r="71" spans="1:36" x14ac:dyDescent="0.2">
      <c r="A71">
        <v>70</v>
      </c>
      <c r="B71">
        <v>753</v>
      </c>
      <c r="C71">
        <v>200</v>
      </c>
      <c r="D71">
        <v>0.380052136627202</v>
      </c>
      <c r="E71">
        <v>5.9700621834849903</v>
      </c>
      <c r="F71">
        <v>0.45997489341823899</v>
      </c>
      <c r="G71">
        <v>-130.03919846385173</v>
      </c>
      <c r="H71">
        <v>-75.739190193556212</v>
      </c>
      <c r="I71">
        <v>52.919577748361</v>
      </c>
      <c r="J71">
        <v>23.793816730067601</v>
      </c>
      <c r="K71">
        <v>12.9791044444171</v>
      </c>
      <c r="L71">
        <v>1.5418242998035522E-3</v>
      </c>
      <c r="M71">
        <v>3.3801424591524664E-4</v>
      </c>
      <c r="N71" s="1">
        <v>8.1627635342748606E-6</v>
      </c>
      <c r="O71" s="1">
        <v>5.4207834536131204E-6</v>
      </c>
      <c r="P71" s="1">
        <v>-1.3949932641107101E-5</v>
      </c>
      <c r="AE71">
        <v>100</v>
      </c>
      <c r="AJ71">
        <v>1</v>
      </c>
    </row>
    <row r="72" spans="1:36" x14ac:dyDescent="0.2">
      <c r="A72">
        <v>71</v>
      </c>
      <c r="B72">
        <v>752</v>
      </c>
      <c r="C72">
        <v>200</v>
      </c>
      <c r="D72">
        <v>0.37937911525142798</v>
      </c>
      <c r="E72">
        <v>6.1196329392444202</v>
      </c>
      <c r="F72">
        <v>0.46068504300701602</v>
      </c>
      <c r="G72">
        <v>-133.24289772243674</v>
      </c>
      <c r="H72">
        <v>-77.661118201870863</v>
      </c>
      <c r="I72">
        <v>54.221608106445103</v>
      </c>
      <c r="J72">
        <v>24.407480349244199</v>
      </c>
      <c r="K72">
        <v>13.2837673637066</v>
      </c>
      <c r="L72">
        <v>1.5435686892833393E-3</v>
      </c>
      <c r="M72">
        <v>3.3745925847954801E-4</v>
      </c>
      <c r="N72" s="1">
        <v>8.53020934619121E-6</v>
      </c>
      <c r="O72" s="1">
        <v>5.5398916751405902E-6</v>
      </c>
      <c r="P72" s="1">
        <v>-1.4309619783060201E-5</v>
      </c>
      <c r="AE72">
        <v>100</v>
      </c>
      <c r="AJ72">
        <v>1</v>
      </c>
    </row>
    <row r="73" spans="1:36" x14ac:dyDescent="0.2">
      <c r="A73">
        <v>72</v>
      </c>
      <c r="B73">
        <v>751</v>
      </c>
      <c r="C73">
        <v>200</v>
      </c>
      <c r="D73">
        <v>0.378704779573308</v>
      </c>
      <c r="E73">
        <v>8.7300938038961604</v>
      </c>
      <c r="F73">
        <v>0.46139709202066598</v>
      </c>
      <c r="G73">
        <v>-190.00318346269674</v>
      </c>
      <c r="H73">
        <v>-110.82396766328212</v>
      </c>
      <c r="I73">
        <v>77.317006000271803</v>
      </c>
      <c r="J73">
        <v>34.844034083477602</v>
      </c>
      <c r="K73">
        <v>18.920998755460602</v>
      </c>
      <c r="L73">
        <v>1.5453051603175102E-3</v>
      </c>
      <c r="M73">
        <v>3.3690157633022602E-4</v>
      </c>
      <c r="N73" s="1">
        <v>1.24026882624365E-5</v>
      </c>
      <c r="O73" s="1">
        <v>7.8791550917114193E-6</v>
      </c>
      <c r="P73" s="1">
        <v>-2.0427978301092899E-5</v>
      </c>
      <c r="AE73">
        <v>100</v>
      </c>
      <c r="AJ73">
        <v>1</v>
      </c>
    </row>
    <row r="74" spans="1:36" x14ac:dyDescent="0.2">
      <c r="A74">
        <v>73</v>
      </c>
      <c r="B74">
        <v>750</v>
      </c>
      <c r="C74">
        <v>200</v>
      </c>
      <c r="D74">
        <v>0.37802912573913899</v>
      </c>
      <c r="E74">
        <v>9.6328595277312896</v>
      </c>
      <c r="F74">
        <v>0.46211104218689197</v>
      </c>
      <c r="G74">
        <v>-209.5658302551752</v>
      </c>
      <c r="H74">
        <v>-122.32256662177191</v>
      </c>
      <c r="I74">
        <v>85.274667592386606</v>
      </c>
      <c r="J74">
        <v>38.474794246354001</v>
      </c>
      <c r="K74">
        <v>20.845335099859899</v>
      </c>
      <c r="L74">
        <v>1.5470335856745735E-3</v>
      </c>
      <c r="M74">
        <v>3.3634119764314386E-4</v>
      </c>
      <c r="N74" s="1">
        <v>1.3944547546727299E-5</v>
      </c>
      <c r="O74" s="1">
        <v>8.6674809108875101E-6</v>
      </c>
      <c r="P74" s="1">
        <v>-2.2555874879911799E-5</v>
      </c>
      <c r="AE74">
        <v>100</v>
      </c>
      <c r="AJ74">
        <v>1</v>
      </c>
    </row>
    <row r="75" spans="1:36" x14ac:dyDescent="0.2">
      <c r="A75">
        <v>74</v>
      </c>
      <c r="B75">
        <v>749</v>
      </c>
      <c r="C75">
        <v>200</v>
      </c>
      <c r="D75">
        <v>0.37735214988015597</v>
      </c>
      <c r="E75">
        <v>9.9474288129874608</v>
      </c>
      <c r="F75">
        <v>0.46282689516988901</v>
      </c>
      <c r="G75">
        <v>-216.32134212610254</v>
      </c>
      <c r="H75">
        <v>-126.35686035214577</v>
      </c>
      <c r="I75">
        <v>88.020519790212404</v>
      </c>
      <c r="J75">
        <v>39.759698134919802</v>
      </c>
      <c r="K75">
        <v>21.492763097390998</v>
      </c>
      <c r="L75">
        <v>1.5487538377205383E-3</v>
      </c>
      <c r="M75">
        <v>3.3577812081994103E-4</v>
      </c>
      <c r="N75" s="1">
        <v>1.4669148279605901E-5</v>
      </c>
      <c r="O75" s="1">
        <v>8.9231350420771596E-6</v>
      </c>
      <c r="P75" s="1">
        <v>-2.3308128274987201E-5</v>
      </c>
      <c r="AE75">
        <v>100</v>
      </c>
      <c r="AJ75">
        <v>1</v>
      </c>
    </row>
    <row r="76" spans="1:36" x14ac:dyDescent="0.2">
      <c r="A76">
        <v>75</v>
      </c>
      <c r="B76">
        <v>748</v>
      </c>
      <c r="C76">
        <v>200</v>
      </c>
      <c r="D76">
        <v>0.37667384811242399</v>
      </c>
      <c r="E76">
        <v>10.1115457613747</v>
      </c>
      <c r="F76">
        <v>0.46354465256962502</v>
      </c>
      <c r="G76">
        <v>-219.80085149971035</v>
      </c>
      <c r="H76">
        <v>-128.48198018273209</v>
      </c>
      <c r="I76">
        <v>89.433146711436095</v>
      </c>
      <c r="J76">
        <v>40.444599303705502</v>
      </c>
      <c r="K76">
        <v>21.8135312430467</v>
      </c>
      <c r="L76">
        <v>1.5504657884356863E-3</v>
      </c>
      <c r="M76">
        <v>3.3521234449100624E-4</v>
      </c>
      <c r="N76" s="1">
        <v>1.5186294207417001E-5</v>
      </c>
      <c r="O76" s="1">
        <v>9.0424290778933508E-6</v>
      </c>
      <c r="P76" s="1">
        <v>-2.37082927961197E-5</v>
      </c>
      <c r="AE76">
        <v>100</v>
      </c>
      <c r="AJ76">
        <v>1</v>
      </c>
    </row>
    <row r="77" spans="1:36" x14ac:dyDescent="0.2">
      <c r="A77">
        <v>76</v>
      </c>
      <c r="B77">
        <v>747</v>
      </c>
      <c r="C77">
        <v>200</v>
      </c>
      <c r="D77">
        <v>0.375994216536785</v>
      </c>
      <c r="E77">
        <v>10.214480464557001</v>
      </c>
      <c r="F77">
        <v>0.46426431592110301</v>
      </c>
      <c r="G77">
        <v>-221.94808251532854</v>
      </c>
      <c r="H77">
        <v>-129.8307870863047</v>
      </c>
      <c r="I77">
        <v>90.303524758110697</v>
      </c>
      <c r="J77">
        <v>40.885525855246101</v>
      </c>
      <c r="K77">
        <v>22.0014334814671</v>
      </c>
      <c r="L77">
        <v>1.5521693094315101E-3</v>
      </c>
      <c r="M77">
        <v>3.3464386751846063E-4</v>
      </c>
      <c r="N77" s="1">
        <v>1.5620276628074701E-5</v>
      </c>
      <c r="O77" s="1">
        <v>9.1061897014640004E-6</v>
      </c>
      <c r="P77" s="1">
        <v>-2.3965095650894701E-5</v>
      </c>
      <c r="AE77">
        <v>100</v>
      </c>
      <c r="AJ77">
        <v>1</v>
      </c>
    </row>
    <row r="78" spans="1:36" x14ac:dyDescent="0.2">
      <c r="A78">
        <v>77</v>
      </c>
      <c r="B78">
        <v>746</v>
      </c>
      <c r="C78">
        <v>200</v>
      </c>
      <c r="D78">
        <v>0.37531325123877901</v>
      </c>
      <c r="E78">
        <v>10.2861268437559</v>
      </c>
      <c r="F78">
        <v>0.46498588669365498</v>
      </c>
      <c r="G78">
        <v>-223.41395337035263</v>
      </c>
      <c r="H78">
        <v>-130.78263281665289</v>
      </c>
      <c r="I78">
        <v>90.896538200579101</v>
      </c>
      <c r="J78">
        <v>41.201692950173701</v>
      </c>
      <c r="K78">
        <v>22.121374299974701</v>
      </c>
      <c r="L78">
        <v>1.5538642719682026E-3</v>
      </c>
      <c r="M78">
        <v>3.3407268899913393E-4</v>
      </c>
      <c r="N78" s="1">
        <v>1.60126423095652E-5</v>
      </c>
      <c r="O78" s="1">
        <v>9.1414902317799897E-6</v>
      </c>
      <c r="P78" s="1">
        <v>-2.41484255132464E-5</v>
      </c>
      <c r="AE78">
        <v>100</v>
      </c>
      <c r="AJ78">
        <v>1</v>
      </c>
    </row>
    <row r="79" spans="1:36" x14ac:dyDescent="0.2">
      <c r="A79">
        <v>78</v>
      </c>
      <c r="B79">
        <v>745</v>
      </c>
      <c r="C79">
        <v>200</v>
      </c>
      <c r="D79">
        <v>0.37463094828856203</v>
      </c>
      <c r="E79">
        <v>10.3394336660308</v>
      </c>
      <c r="F79">
        <v>0.46570936629021398</v>
      </c>
      <c r="G79">
        <v>-224.48042653973042</v>
      </c>
      <c r="H79">
        <v>-131.50183069166158</v>
      </c>
      <c r="I79">
        <v>91.326928946546602</v>
      </c>
      <c r="J79">
        <v>41.444734619250397</v>
      </c>
      <c r="K79">
        <v>22.201472451356398</v>
      </c>
      <c r="L79">
        <v>1.5555505469725202E-3</v>
      </c>
      <c r="M79">
        <v>3.3349880826752588E-4</v>
      </c>
      <c r="N79" s="1">
        <v>1.6381342468794999E-5</v>
      </c>
      <c r="O79" s="1">
        <v>9.1600615598107805E-6</v>
      </c>
      <c r="P79" s="1">
        <v>-2.4288549692349902E-5</v>
      </c>
      <c r="AE79">
        <v>100</v>
      </c>
      <c r="AJ79">
        <v>1</v>
      </c>
    </row>
    <row r="80" spans="1:36" x14ac:dyDescent="0.2">
      <c r="A80">
        <v>79</v>
      </c>
      <c r="B80">
        <v>769</v>
      </c>
      <c r="C80">
        <v>175</v>
      </c>
      <c r="D80">
        <v>0.41703257688433099</v>
      </c>
      <c r="E80">
        <v>5.8343792313226599</v>
      </c>
      <c r="F80">
        <v>0.407205282041807</v>
      </c>
      <c r="G80">
        <v>-128.25476620608791</v>
      </c>
      <c r="H80">
        <v>-73.427968620406872</v>
      </c>
      <c r="I80">
        <v>52.612518712036703</v>
      </c>
      <c r="J80">
        <v>23.076632968095399</v>
      </c>
      <c r="K80">
        <v>14.3278574434691</v>
      </c>
      <c r="L80">
        <v>1.6440925085012053E-3</v>
      </c>
      <c r="M80">
        <v>4.3809291974000768E-4</v>
      </c>
      <c r="N80" s="1">
        <v>7.6708728554075702E-7</v>
      </c>
      <c r="O80" s="1">
        <v>8.9735279134141403E-6</v>
      </c>
      <c r="P80" s="1">
        <v>-1.79033179893064E-5</v>
      </c>
      <c r="AE80">
        <v>100</v>
      </c>
      <c r="AJ80">
        <v>1</v>
      </c>
    </row>
    <row r="81" spans="1:36" x14ac:dyDescent="0.2">
      <c r="A81">
        <v>80</v>
      </c>
      <c r="B81">
        <v>768</v>
      </c>
      <c r="C81">
        <v>175</v>
      </c>
      <c r="D81">
        <v>0.416405417086878</v>
      </c>
      <c r="E81">
        <v>5.8480372750860798</v>
      </c>
      <c r="F81">
        <v>0.407875855975387</v>
      </c>
      <c r="G81">
        <v>-128.50228080350712</v>
      </c>
      <c r="H81">
        <v>-73.62300152771374</v>
      </c>
      <c r="I81">
        <v>52.7134667260556</v>
      </c>
      <c r="J81">
        <v>23.151407274295501</v>
      </c>
      <c r="K81">
        <v>14.337787317911101</v>
      </c>
      <c r="L81">
        <v>1.6467405220001745E-3</v>
      </c>
      <c r="M81">
        <v>4.3756177529812295E-4</v>
      </c>
      <c r="N81" s="1">
        <v>9.3561945786003898E-7</v>
      </c>
      <c r="O81" s="1">
        <v>8.9737888633389202E-6</v>
      </c>
      <c r="P81" s="1">
        <v>-1.7973306186908498E-5</v>
      </c>
      <c r="AE81">
        <v>100</v>
      </c>
      <c r="AJ81">
        <v>1</v>
      </c>
    </row>
    <row r="82" spans="1:36" x14ac:dyDescent="0.2">
      <c r="A82">
        <v>81</v>
      </c>
      <c r="B82">
        <v>767</v>
      </c>
      <c r="C82">
        <v>175</v>
      </c>
      <c r="D82">
        <v>0.41577705138682203</v>
      </c>
      <c r="E82">
        <v>5.8711321229517903</v>
      </c>
      <c r="F82">
        <v>0.40854861540745302</v>
      </c>
      <c r="G82">
        <v>-128.95684668424786</v>
      </c>
      <c r="H82">
        <v>-73.93700396982176</v>
      </c>
      <c r="I82">
        <v>52.8992958099847</v>
      </c>
      <c r="J82">
        <v>23.263701000739001</v>
      </c>
      <c r="K82">
        <v>14.370706206154599</v>
      </c>
      <c r="L82">
        <v>1.6493854536155936E-3</v>
      </c>
      <c r="M82">
        <v>4.3702689054680901E-4</v>
      </c>
      <c r="N82" s="1">
        <v>1.10847623411777E-6</v>
      </c>
      <c r="O82" s="1">
        <v>8.98831783259936E-6</v>
      </c>
      <c r="P82" s="1">
        <v>-1.8072415910245401E-5</v>
      </c>
      <c r="AE82">
        <v>100</v>
      </c>
      <c r="AJ82">
        <v>1</v>
      </c>
    </row>
    <row r="83" spans="1:36" x14ac:dyDescent="0.2">
      <c r="A83">
        <v>82</v>
      </c>
      <c r="B83">
        <v>766</v>
      </c>
      <c r="C83">
        <v>175</v>
      </c>
      <c r="D83">
        <v>0.41514747630275201</v>
      </c>
      <c r="E83">
        <v>5.8942604069820899</v>
      </c>
      <c r="F83">
        <v>0.40922356621307199</v>
      </c>
      <c r="G83">
        <v>-129.41175286801877</v>
      </c>
      <c r="H83">
        <v>-74.251631517947104</v>
      </c>
      <c r="I83">
        <v>53.085208495236998</v>
      </c>
      <c r="J83">
        <v>23.3763210888849</v>
      </c>
      <c r="K83">
        <v>14.4035214333504</v>
      </c>
      <c r="L83">
        <v>1.6520271447197138E-3</v>
      </c>
      <c r="M83">
        <v>4.3648824607725808E-4</v>
      </c>
      <c r="N83" s="1">
        <v>1.28445065095659E-6</v>
      </c>
      <c r="O83" s="1">
        <v>9.00265013232444E-6</v>
      </c>
      <c r="P83" s="1">
        <v>-1.8171787999822599E-5</v>
      </c>
      <c r="AE83">
        <v>100</v>
      </c>
      <c r="AJ83">
        <v>1</v>
      </c>
    </row>
    <row r="84" spans="1:36" x14ac:dyDescent="0.2">
      <c r="A84">
        <v>83</v>
      </c>
      <c r="B84">
        <v>765</v>
      </c>
      <c r="C84">
        <v>175</v>
      </c>
      <c r="D84">
        <v>0.41451668833983701</v>
      </c>
      <c r="E84">
        <v>5.9174166588352204</v>
      </c>
      <c r="F84">
        <v>0.40990071422263102</v>
      </c>
      <c r="G84">
        <v>-129.86687874626674</v>
      </c>
      <c r="H84">
        <v>-74.56681593790303</v>
      </c>
      <c r="I84">
        <v>53.271154570675598</v>
      </c>
      <c r="J84">
        <v>23.4892457507937</v>
      </c>
      <c r="K84">
        <v>14.436219439279199</v>
      </c>
      <c r="L84">
        <v>1.6546654349248418E-3</v>
      </c>
      <c r="M84">
        <v>4.3594582259703305E-4</v>
      </c>
      <c r="N84" s="1">
        <v>1.4635706074446199E-6</v>
      </c>
      <c r="O84" s="1">
        <v>9.0167755191771693E-6</v>
      </c>
      <c r="P84" s="1">
        <v>-1.8271401367713599E-5</v>
      </c>
      <c r="AE84">
        <v>100</v>
      </c>
      <c r="AJ84">
        <v>1</v>
      </c>
    </row>
    <row r="85" spans="1:36" x14ac:dyDescent="0.2">
      <c r="A85">
        <v>84</v>
      </c>
      <c r="B85">
        <v>764</v>
      </c>
      <c r="C85">
        <v>175</v>
      </c>
      <c r="D85">
        <v>0.41388468398978101</v>
      </c>
      <c r="E85">
        <v>5.9405954037904696</v>
      </c>
      <c r="F85">
        <v>0.41058006522061502</v>
      </c>
      <c r="G85">
        <v>-130.32210376890308</v>
      </c>
      <c r="H85">
        <v>-74.88248882860664</v>
      </c>
      <c r="I85">
        <v>53.4570838487979</v>
      </c>
      <c r="J85">
        <v>23.602453071386002</v>
      </c>
      <c r="K85">
        <v>14.468786741018301</v>
      </c>
      <c r="L85">
        <v>1.6573001620850661E-3</v>
      </c>
      <c r="M85">
        <v>4.3539960093590097E-4</v>
      </c>
      <c r="N85" s="1">
        <v>1.64586322620867E-6</v>
      </c>
      <c r="O85" s="1">
        <v>9.0306838101458499E-6</v>
      </c>
      <c r="P85" s="1">
        <v>-1.8371234675791801E-5</v>
      </c>
      <c r="AE85">
        <v>100</v>
      </c>
      <c r="AJ85">
        <v>1</v>
      </c>
    </row>
    <row r="86" spans="1:36" x14ac:dyDescent="0.2">
      <c r="A86">
        <v>85</v>
      </c>
      <c r="B86">
        <v>763</v>
      </c>
      <c r="C86">
        <v>175</v>
      </c>
      <c r="D86">
        <v>0.41325145973073701</v>
      </c>
      <c r="E86">
        <v>5.9896638052118396</v>
      </c>
      <c r="F86">
        <v>0.41126162494439</v>
      </c>
      <c r="G86">
        <v>-131.34465708628593</v>
      </c>
      <c r="H86">
        <v>-75.524814736543121</v>
      </c>
      <c r="I86">
        <v>53.875664723427697</v>
      </c>
      <c r="J86">
        <v>23.818807506594499</v>
      </c>
      <c r="K86">
        <v>14.5641203601764</v>
      </c>
      <c r="L86">
        <v>1.6599311622991155E-3</v>
      </c>
      <c r="M86">
        <v>4.3484956205187603E-4</v>
      </c>
      <c r="N86" s="1">
        <v>1.8392997685776601E-6</v>
      </c>
      <c r="O86" s="1">
        <v>9.08360194463591E-6</v>
      </c>
      <c r="P86" s="1">
        <v>-1.85514000103951E-5</v>
      </c>
      <c r="AE86">
        <v>100</v>
      </c>
      <c r="AJ86">
        <v>1</v>
      </c>
    </row>
    <row r="87" spans="1:36" x14ac:dyDescent="0.2">
      <c r="A87">
        <v>86</v>
      </c>
      <c r="B87">
        <v>762</v>
      </c>
      <c r="C87">
        <v>175</v>
      </c>
      <c r="D87">
        <v>0.41261701202724399</v>
      </c>
      <c r="E87">
        <v>6.0769242915076003</v>
      </c>
      <c r="F87">
        <v>0.411945399082977</v>
      </c>
      <c r="G87">
        <v>-133.203504355029</v>
      </c>
      <c r="H87">
        <v>-76.649275552209289</v>
      </c>
      <c r="I87">
        <v>54.637208512838903</v>
      </c>
      <c r="J87">
        <v>24.1875529001567</v>
      </c>
      <c r="K87">
        <v>14.7517712420998</v>
      </c>
      <c r="L87">
        <v>1.6625582699135511E-3</v>
      </c>
      <c r="M87">
        <v>4.3429568703726645E-4</v>
      </c>
      <c r="N87" s="1">
        <v>2.0504127267077601E-6</v>
      </c>
      <c r="O87" s="1">
        <v>9.1938586811450092E-6</v>
      </c>
      <c r="P87" s="1">
        <v>-1.8850421563588898E-5</v>
      </c>
      <c r="AE87">
        <v>100</v>
      </c>
      <c r="AJ87">
        <v>1</v>
      </c>
    </row>
    <row r="88" spans="1:36" x14ac:dyDescent="0.2">
      <c r="A88">
        <v>87</v>
      </c>
      <c r="B88">
        <v>761</v>
      </c>
      <c r="C88">
        <v>175</v>
      </c>
      <c r="D88">
        <v>0.411981337330175</v>
      </c>
      <c r="E88">
        <v>6.1640563262029602</v>
      </c>
      <c r="F88">
        <v>0.412631393275806</v>
      </c>
      <c r="G88">
        <v>-135.05799143629167</v>
      </c>
      <c r="H88">
        <v>-77.772832062290661</v>
      </c>
      <c r="I88">
        <v>55.396883262145003</v>
      </c>
      <c r="J88">
        <v>24.556437667159301</v>
      </c>
      <c r="K88">
        <v>14.938408532776901</v>
      </c>
      <c r="L88">
        <v>1.6651813175267128E-3</v>
      </c>
      <c r="M88">
        <v>4.3373795712486928E-4</v>
      </c>
      <c r="N88" s="1">
        <v>2.2686579288494299E-6</v>
      </c>
      <c r="O88" s="1">
        <v>9.30319751101571E-6</v>
      </c>
      <c r="P88" s="1">
        <v>-1.9149783770908098E-5</v>
      </c>
      <c r="AE88">
        <v>100</v>
      </c>
      <c r="AJ88">
        <v>1</v>
      </c>
    </row>
    <row r="89" spans="1:36" x14ac:dyDescent="0.2">
      <c r="A89">
        <v>88</v>
      </c>
      <c r="B89">
        <v>760</v>
      </c>
      <c r="C89">
        <v>175</v>
      </c>
      <c r="D89">
        <v>0.41134443207665999</v>
      </c>
      <c r="E89">
        <v>6.2512086608777304</v>
      </c>
      <c r="F89">
        <v>0.41331961311145299</v>
      </c>
      <c r="G89">
        <v>-136.91138073945137</v>
      </c>
      <c r="H89">
        <v>-78.897361108773296</v>
      </c>
      <c r="I89">
        <v>56.156024736139003</v>
      </c>
      <c r="J89">
        <v>24.926053795811299</v>
      </c>
      <c r="K89">
        <v>15.124393961899999</v>
      </c>
      <c r="L89">
        <v>1.6678001359930624E-3</v>
      </c>
      <c r="M89">
        <v>4.331763536942093E-4</v>
      </c>
      <c r="N89" s="1">
        <v>2.4941670970102302E-6</v>
      </c>
      <c r="O89" s="1">
        <v>9.4118393982626999E-6</v>
      </c>
      <c r="P89" s="1">
        <v>-1.9449939483002901E-5</v>
      </c>
      <c r="AE89">
        <v>100</v>
      </c>
      <c r="AJ89">
        <v>1</v>
      </c>
    </row>
    <row r="90" spans="1:36" x14ac:dyDescent="0.2">
      <c r="A90">
        <v>89</v>
      </c>
      <c r="B90">
        <v>759</v>
      </c>
      <c r="C90">
        <v>175</v>
      </c>
      <c r="D90">
        <v>0.41070629269001901</v>
      </c>
      <c r="E90">
        <v>6.3385712780919299</v>
      </c>
      <c r="F90">
        <v>0.41401006412639402</v>
      </c>
      <c r="G90">
        <v>-138.76783198313191</v>
      </c>
      <c r="H90">
        <v>-80.025262451374644</v>
      </c>
      <c r="I90">
        <v>56.9163366288576</v>
      </c>
      <c r="J90">
        <v>25.297159896231001</v>
      </c>
      <c r="K90">
        <v>15.310186460000599</v>
      </c>
      <c r="L90">
        <v>1.6704145544284375E-3</v>
      </c>
      <c r="M90">
        <v>4.3261085827785297E-4</v>
      </c>
      <c r="N90" s="1">
        <v>2.7271079577346999E-6</v>
      </c>
      <c r="O90" s="1">
        <v>9.5200650281001196E-6</v>
      </c>
      <c r="P90" s="1">
        <v>-1.9751472512280199E-5</v>
      </c>
      <c r="AE90">
        <v>100</v>
      </c>
      <c r="AJ90">
        <v>1</v>
      </c>
    </row>
    <row r="91" spans="1:36" x14ac:dyDescent="0.2">
      <c r="A91">
        <v>90</v>
      </c>
      <c r="B91">
        <v>758</v>
      </c>
      <c r="C91">
        <v>175</v>
      </c>
      <c r="D91">
        <v>0.41006691557969399</v>
      </c>
      <c r="E91">
        <v>6.4263944778885502</v>
      </c>
      <c r="F91">
        <v>0.41470275180371802</v>
      </c>
      <c r="G91">
        <v>-140.63281803211657</v>
      </c>
      <c r="H91">
        <v>-81.159700641651852</v>
      </c>
      <c r="I91">
        <v>57.680061065810698</v>
      </c>
      <c r="J91">
        <v>25.6707581890272</v>
      </c>
      <c r="K91">
        <v>15.4963873519947</v>
      </c>
      <c r="L91">
        <v>1.6730244002158929E-3</v>
      </c>
      <c r="M91">
        <v>4.3204145256789731E-4</v>
      </c>
      <c r="N91" s="1">
        <v>2.9676999889477798E-6</v>
      </c>
      <c r="O91" s="1">
        <v>9.6282426204627896E-6</v>
      </c>
      <c r="P91" s="1">
        <v>-2.00551581325061E-5</v>
      </c>
      <c r="AE91">
        <v>100</v>
      </c>
      <c r="AJ91">
        <v>1</v>
      </c>
    </row>
    <row r="92" spans="1:36" x14ac:dyDescent="0.2">
      <c r="A92">
        <v>91</v>
      </c>
      <c r="B92">
        <v>757</v>
      </c>
      <c r="C92">
        <v>175</v>
      </c>
      <c r="D92">
        <v>0.40942629714119499</v>
      </c>
      <c r="E92">
        <v>6.7657048345989104</v>
      </c>
      <c r="F92">
        <v>0.41539768157183499</v>
      </c>
      <c r="G92">
        <v>-147.99744680117888</v>
      </c>
      <c r="H92">
        <v>-85.4719298465766</v>
      </c>
      <c r="I92">
        <v>60.699304670553303</v>
      </c>
      <c r="J92">
        <v>27.0505030192848</v>
      </c>
      <c r="K92">
        <v>16.287295607905101</v>
      </c>
      <c r="L92">
        <v>1.6756294990119024E-3</v>
      </c>
      <c r="M92">
        <v>4.3146811842239522E-4</v>
      </c>
      <c r="N92" s="1">
        <v>3.3399943783790802E-6</v>
      </c>
      <c r="O92" s="1">
        <v>1.01115285510442E-5</v>
      </c>
      <c r="P92" s="1">
        <v>-2.1145552797866901E-5</v>
      </c>
      <c r="AE92">
        <v>100</v>
      </c>
      <c r="AJ92">
        <v>1</v>
      </c>
    </row>
    <row r="93" spans="1:36" x14ac:dyDescent="0.2">
      <c r="A93">
        <v>92</v>
      </c>
      <c r="B93">
        <v>756</v>
      </c>
      <c r="C93">
        <v>175</v>
      </c>
      <c r="D93">
        <v>0.40878443375601398</v>
      </c>
      <c r="E93">
        <v>8.9696611079374708</v>
      </c>
      <c r="F93">
        <v>0.41609485880319902</v>
      </c>
      <c r="G93">
        <v>-196.12777097637363</v>
      </c>
      <c r="H93">
        <v>-113.35064221968339</v>
      </c>
      <c r="I93">
        <v>80.437508378347601</v>
      </c>
      <c r="J93">
        <v>35.894619628159397</v>
      </c>
      <c r="K93">
        <v>21.5567698522798</v>
      </c>
      <c r="L93">
        <v>1.6782296747537672E-3</v>
      </c>
      <c r="M93">
        <v>4.3089083787200741E-4</v>
      </c>
      <c r="N93" s="1">
        <v>4.7166156877243501E-6</v>
      </c>
      <c r="O93" s="1">
        <v>1.33720152047206E-5</v>
      </c>
      <c r="P93" s="1">
        <v>-2.8075396695774101E-5</v>
      </c>
      <c r="AE93">
        <v>100</v>
      </c>
      <c r="AJ93">
        <v>1</v>
      </c>
    </row>
    <row r="94" spans="1:36" x14ac:dyDescent="0.2">
      <c r="A94">
        <v>93</v>
      </c>
      <c r="B94">
        <v>755</v>
      </c>
      <c r="C94">
        <v>175</v>
      </c>
      <c r="D94">
        <v>0.40814132179156798</v>
      </c>
      <c r="E94">
        <v>9.71260144821305</v>
      </c>
      <c r="F94">
        <v>0.41679428881299901</v>
      </c>
      <c r="G94">
        <v>-212.28558822116642</v>
      </c>
      <c r="H94">
        <v>-122.77815021800967</v>
      </c>
      <c r="I94">
        <v>87.062195350996902</v>
      </c>
      <c r="J94">
        <v>38.902716893621701</v>
      </c>
      <c r="K94">
        <v>23.303105893974301</v>
      </c>
      <c r="L94">
        <v>1.6808247496673274E-3</v>
      </c>
      <c r="M94">
        <v>4.3030959312664792E-4</v>
      </c>
      <c r="N94" s="1">
        <v>5.4227964222585601E-6</v>
      </c>
      <c r="O94" s="1">
        <v>1.44432964302285E-5</v>
      </c>
      <c r="P94" s="1">
        <v>-3.0445688236618101E-5</v>
      </c>
      <c r="AE94">
        <v>100</v>
      </c>
      <c r="AJ94">
        <v>1</v>
      </c>
    </row>
    <row r="95" spans="1:36" x14ac:dyDescent="0.2">
      <c r="A95">
        <v>94</v>
      </c>
      <c r="B95">
        <v>754</v>
      </c>
      <c r="C95">
        <v>175</v>
      </c>
      <c r="D95">
        <v>0.40749695760112897</v>
      </c>
      <c r="E95">
        <v>9.9977534176452796</v>
      </c>
      <c r="F95">
        <v>0.41749597685781797</v>
      </c>
      <c r="G95">
        <v>-218.42847556025379</v>
      </c>
      <c r="H95">
        <v>-126.4228530770045</v>
      </c>
      <c r="I95">
        <v>89.579266720232894</v>
      </c>
      <c r="J95">
        <v>40.080934091056299</v>
      </c>
      <c r="K95">
        <v>23.946945532004701</v>
      </c>
      <c r="L95">
        <v>1.6834145442753243E-3</v>
      </c>
      <c r="M95">
        <v>4.2972436658222473E-4</v>
      </c>
      <c r="N95" s="1">
        <v>5.9098744054716298E-6</v>
      </c>
      <c r="O95" s="1">
        <v>1.4829820789120999E-5</v>
      </c>
      <c r="P95" s="1">
        <v>-3.1385525662853102E-5</v>
      </c>
      <c r="AE95">
        <v>100</v>
      </c>
      <c r="AJ95">
        <v>1</v>
      </c>
    </row>
    <row r="96" spans="1:36" x14ac:dyDescent="0.2">
      <c r="A96">
        <v>95</v>
      </c>
      <c r="B96">
        <v>753</v>
      </c>
      <c r="C96">
        <v>175</v>
      </c>
      <c r="D96">
        <v>0.40685133752375702</v>
      </c>
      <c r="E96">
        <v>10.1504027599533</v>
      </c>
      <c r="F96">
        <v>0.41819992813434598</v>
      </c>
      <c r="G96">
        <v>-221.67259394468971</v>
      </c>
      <c r="H96">
        <v>-128.39383449544533</v>
      </c>
      <c r="I96">
        <v>90.907341161632999</v>
      </c>
      <c r="J96">
        <v>40.729560470297898</v>
      </c>
      <c r="K96">
        <v>24.271651134030201</v>
      </c>
      <c r="L96">
        <v>1.6859988774069197E-3</v>
      </c>
      <c r="M96">
        <v>4.2913514082751185E-4</v>
      </c>
      <c r="N96" s="1">
        <v>6.3361298944216797E-6</v>
      </c>
      <c r="O96" s="1">
        <v>1.50180035756312E-5</v>
      </c>
      <c r="P96" s="1">
        <v>-3.1911213515644401E-5</v>
      </c>
      <c r="AE96">
        <v>100</v>
      </c>
      <c r="AJ96">
        <v>1</v>
      </c>
    </row>
    <row r="97" spans="1:36" x14ac:dyDescent="0.2">
      <c r="A97">
        <v>96</v>
      </c>
      <c r="B97">
        <v>752</v>
      </c>
      <c r="C97">
        <v>175</v>
      </c>
      <c r="D97">
        <v>0.406204457884214</v>
      </c>
      <c r="E97">
        <v>10.247102447012599</v>
      </c>
      <c r="F97">
        <v>0.41890614777802099</v>
      </c>
      <c r="G97">
        <v>-223.69264552295044</v>
      </c>
      <c r="H97">
        <v>-129.65813817254559</v>
      </c>
      <c r="I97">
        <v>91.733279394887703</v>
      </c>
      <c r="J97">
        <v>41.154613862896902</v>
      </c>
      <c r="K97">
        <v>24.461570930304202</v>
      </c>
      <c r="L97">
        <v>1.6885775662072329E-3</v>
      </c>
      <c r="M97">
        <v>4.2854189865096311E-4</v>
      </c>
      <c r="N97" s="1">
        <v>6.7388920690655797E-6</v>
      </c>
      <c r="O97" s="1">
        <v>1.51223087541032E-5</v>
      </c>
      <c r="P97" s="1">
        <v>-3.2261933163107497E-5</v>
      </c>
      <c r="AE97">
        <v>100</v>
      </c>
      <c r="AJ97">
        <v>1</v>
      </c>
    </row>
    <row r="98" spans="1:36" x14ac:dyDescent="0.2">
      <c r="A98">
        <v>97</v>
      </c>
      <c r="B98">
        <v>751</v>
      </c>
      <c r="C98">
        <v>175</v>
      </c>
      <c r="D98">
        <v>0.40555631499292399</v>
      </c>
      <c r="E98">
        <v>10.314725305993001</v>
      </c>
      <c r="F98">
        <v>0.41961464086169797</v>
      </c>
      <c r="G98">
        <v>-225.07652354015516</v>
      </c>
      <c r="H98">
        <v>-130.55522529632819</v>
      </c>
      <c r="I98">
        <v>92.298199446412895</v>
      </c>
      <c r="J98">
        <v>41.463511184033699</v>
      </c>
      <c r="K98">
        <v>24.5814237673195</v>
      </c>
      <c r="L98">
        <v>1.6911504261485468E-3</v>
      </c>
      <c r="M98">
        <v>4.2794462304784095E-4</v>
      </c>
      <c r="N98" s="1">
        <v>7.13122288346224E-6</v>
      </c>
      <c r="O98" s="1">
        <v>1.5182921855270701E-5</v>
      </c>
      <c r="P98" s="1">
        <v>-3.25216332498875E-5</v>
      </c>
      <c r="AE98">
        <v>100</v>
      </c>
      <c r="AJ98">
        <v>1</v>
      </c>
    </row>
    <row r="99" spans="1:36" x14ac:dyDescent="0.2">
      <c r="A99">
        <v>98</v>
      </c>
      <c r="B99">
        <v>750</v>
      </c>
      <c r="C99">
        <v>175</v>
      </c>
      <c r="D99">
        <v>0.40490690514587502</v>
      </c>
      <c r="E99">
        <v>10.3651635585982</v>
      </c>
      <c r="F99">
        <v>0.420325412394291</v>
      </c>
      <c r="G99">
        <v>-226.08440210794839</v>
      </c>
      <c r="H99">
        <v>-131.23531582469408</v>
      </c>
      <c r="I99">
        <v>92.708808939389598</v>
      </c>
      <c r="J99">
        <v>41.703783614682301</v>
      </c>
      <c r="K99">
        <v>24.6598546101587</v>
      </c>
      <c r="L99">
        <v>1.693717271041317E-3</v>
      </c>
      <c r="M99">
        <v>4.2734329722714248E-4</v>
      </c>
      <c r="N99" s="1">
        <v>7.5188710965644504E-6</v>
      </c>
      <c r="O99" s="1">
        <v>1.5217629804072701E-5</v>
      </c>
      <c r="P99" s="1">
        <v>-3.2727454148773303E-5</v>
      </c>
      <c r="AE99">
        <v>100</v>
      </c>
      <c r="AJ99">
        <v>1</v>
      </c>
    </row>
    <row r="100" spans="1:36" x14ac:dyDescent="0.2">
      <c r="A100">
        <v>99</v>
      </c>
      <c r="B100">
        <v>780</v>
      </c>
      <c r="C100">
        <v>150</v>
      </c>
      <c r="D100">
        <v>0.44996486730285301</v>
      </c>
      <c r="E100">
        <v>6.2465998732873897</v>
      </c>
      <c r="F100">
        <v>0.35254501917127701</v>
      </c>
      <c r="G100">
        <v>-138.35252268816603</v>
      </c>
      <c r="H100">
        <v>-78.028264134748866</v>
      </c>
      <c r="I100">
        <v>57.283229588804801</v>
      </c>
      <c r="J100">
        <v>24.314661488178601</v>
      </c>
      <c r="K100">
        <v>17.7185877933297</v>
      </c>
      <c r="L100">
        <v>1.7303613860593157E-3</v>
      </c>
      <c r="M100">
        <v>5.7371460056058565E-4</v>
      </c>
      <c r="N100" s="1">
        <v>-1.1434155359721699E-5</v>
      </c>
      <c r="O100" s="1">
        <v>1.6792347870999901E-5</v>
      </c>
      <c r="P100" s="1">
        <v>-2.4979537102421901E-5</v>
      </c>
      <c r="AE100">
        <v>100</v>
      </c>
      <c r="AJ100">
        <v>1</v>
      </c>
    </row>
    <row r="101" spans="1:36" x14ac:dyDescent="0.2">
      <c r="A101">
        <v>100</v>
      </c>
      <c r="B101">
        <v>779</v>
      </c>
      <c r="C101">
        <v>150</v>
      </c>
      <c r="D101">
        <v>0.44937556432067799</v>
      </c>
      <c r="E101">
        <v>6.2535288907059998</v>
      </c>
      <c r="F101">
        <v>0.35315622055781098</v>
      </c>
      <c r="G101">
        <v>-138.44865449722232</v>
      </c>
      <c r="H101">
        <v>-78.139171284957158</v>
      </c>
      <c r="I101">
        <v>57.323634334939896</v>
      </c>
      <c r="J101">
        <v>24.367565960247699</v>
      </c>
      <c r="K101">
        <v>17.7075428002614</v>
      </c>
      <c r="L101">
        <v>1.73400388696325E-3</v>
      </c>
      <c r="M101">
        <v>5.7329547476154966E-4</v>
      </c>
      <c r="N101" s="1">
        <v>-1.1310562543223401E-5</v>
      </c>
      <c r="O101" s="1">
        <v>1.6782631737939101E-5</v>
      </c>
      <c r="P101" s="1">
        <v>-2.5061406226611702E-5</v>
      </c>
      <c r="AE101">
        <v>100</v>
      </c>
      <c r="AJ101">
        <v>1</v>
      </c>
    </row>
    <row r="102" spans="1:36" x14ac:dyDescent="0.2">
      <c r="A102">
        <v>101</v>
      </c>
      <c r="B102">
        <v>778</v>
      </c>
      <c r="C102">
        <v>150</v>
      </c>
      <c r="D102">
        <v>0.44878514008467002</v>
      </c>
      <c r="E102">
        <v>6.2731972074718696</v>
      </c>
      <c r="F102">
        <v>0.353769771240103</v>
      </c>
      <c r="G102">
        <v>-138.82660465348687</v>
      </c>
      <c r="H102">
        <v>-78.409388330149369</v>
      </c>
      <c r="I102">
        <v>57.480669963371597</v>
      </c>
      <c r="J102">
        <v>24.470311517506701</v>
      </c>
      <c r="K102">
        <v>17.732428594681299</v>
      </c>
      <c r="L102">
        <v>1.7376523710728438E-3</v>
      </c>
      <c r="M102">
        <v>5.7287218953501972E-4</v>
      </c>
      <c r="N102" s="1">
        <v>-1.1206903754053699E-5</v>
      </c>
      <c r="O102" s="1">
        <v>1.68068765205347E-5</v>
      </c>
      <c r="P102" s="1">
        <v>-2.5194780759957699E-5</v>
      </c>
      <c r="AE102">
        <v>100</v>
      </c>
      <c r="AJ102">
        <v>1</v>
      </c>
    </row>
    <row r="103" spans="1:36" x14ac:dyDescent="0.2">
      <c r="A103">
        <v>102</v>
      </c>
      <c r="B103">
        <v>777</v>
      </c>
      <c r="C103">
        <v>150</v>
      </c>
      <c r="D103">
        <v>0.44819359139171</v>
      </c>
      <c r="E103">
        <v>6.2928899375555396</v>
      </c>
      <c r="F103">
        <v>0.35438568187631497</v>
      </c>
      <c r="G103">
        <v>-139.20475769778446</v>
      </c>
      <c r="H103">
        <v>-78.680090209707885</v>
      </c>
      <c r="I103">
        <v>57.637736195902001</v>
      </c>
      <c r="J103">
        <v>24.573406718284701</v>
      </c>
      <c r="K103">
        <v>17.757178857332701</v>
      </c>
      <c r="L103">
        <v>1.7413067193394396E-3</v>
      </c>
      <c r="M103">
        <v>5.7244470538355828E-4</v>
      </c>
      <c r="N103" s="1">
        <v>-1.10998503342248E-5</v>
      </c>
      <c r="O103" s="1">
        <v>1.6830898920780501E-5</v>
      </c>
      <c r="P103" s="1">
        <v>-2.53288160584351E-5</v>
      </c>
      <c r="AE103">
        <v>100</v>
      </c>
      <c r="AJ103">
        <v>1</v>
      </c>
    </row>
    <row r="104" spans="1:36" x14ac:dyDescent="0.2">
      <c r="A104">
        <v>103</v>
      </c>
      <c r="B104">
        <v>776</v>
      </c>
      <c r="C104">
        <v>150</v>
      </c>
      <c r="D104">
        <v>0.447600915026452</v>
      </c>
      <c r="E104">
        <v>6.3126028796100302</v>
      </c>
      <c r="F104">
        <v>0.35500396313718702</v>
      </c>
      <c r="G104">
        <v>-139.58302032645685</v>
      </c>
      <c r="H104">
        <v>-78.951225000544412</v>
      </c>
      <c r="I104">
        <v>57.794793675755002</v>
      </c>
      <c r="J104">
        <v>24.676835906904401</v>
      </c>
      <c r="K104">
        <v>17.7817814309035</v>
      </c>
      <c r="L104">
        <v>1.7449668098908991E-3</v>
      </c>
      <c r="M104">
        <v>5.7201298255247113E-4</v>
      </c>
      <c r="N104" s="1">
        <v>-1.09893398831273E-5</v>
      </c>
      <c r="O104" s="1">
        <v>1.6854685030036499E-5</v>
      </c>
      <c r="P104" s="1">
        <v>-2.54634959951738E-5</v>
      </c>
      <c r="AE104">
        <v>100</v>
      </c>
      <c r="AJ104">
        <v>1</v>
      </c>
    </row>
    <row r="105" spans="1:36" x14ac:dyDescent="0.2">
      <c r="A105">
        <v>104</v>
      </c>
      <c r="B105">
        <v>775</v>
      </c>
      <c r="C105">
        <v>150</v>
      </c>
      <c r="D105">
        <v>0.44700710776129698</v>
      </c>
      <c r="E105">
        <v>6.3323318300243896</v>
      </c>
      <c r="F105">
        <v>0.35562462570499698</v>
      </c>
      <c r="G105">
        <v>-139.96129934095021</v>
      </c>
      <c r="H105">
        <v>-79.222740686865535</v>
      </c>
      <c r="I105">
        <v>57.951803084680101</v>
      </c>
      <c r="J105">
        <v>24.7805833285429</v>
      </c>
      <c r="K105">
        <v>17.806224238467799</v>
      </c>
      <c r="L105">
        <v>1.7486325179944695E-3</v>
      </c>
      <c r="M105">
        <v>5.7157698103235146E-4</v>
      </c>
      <c r="N105" s="1">
        <v>-1.08753098672424E-5</v>
      </c>
      <c r="O105" s="1">
        <v>1.6878220976376601E-5</v>
      </c>
      <c r="P105" s="1">
        <v>-2.5598804171145799E-5</v>
      </c>
      <c r="AE105">
        <v>100</v>
      </c>
      <c r="AJ105">
        <v>1</v>
      </c>
    </row>
    <row r="106" spans="1:36" x14ac:dyDescent="0.2">
      <c r="A106">
        <v>105</v>
      </c>
      <c r="B106">
        <v>774</v>
      </c>
      <c r="C106">
        <v>150</v>
      </c>
      <c r="D106">
        <v>0.44641216635630598</v>
      </c>
      <c r="E106">
        <v>6.3520725921536298</v>
      </c>
      <c r="F106">
        <v>0.35624768027248299</v>
      </c>
      <c r="G106">
        <v>-140.339501851687</v>
      </c>
      <c r="H106">
        <v>-79.494585275438922</v>
      </c>
      <c r="I106">
        <v>58.108725227758399</v>
      </c>
      <c r="J106">
        <v>24.884633164195801</v>
      </c>
      <c r="K106">
        <v>17.830495309597801</v>
      </c>
      <c r="L106">
        <v>1.7523037160198554E-3</v>
      </c>
      <c r="M106">
        <v>5.7113666056184326E-4</v>
      </c>
      <c r="N106" s="1">
        <v>-1.0757697658813901E-5</v>
      </c>
      <c r="O106" s="1">
        <v>1.6901492949647101E-5</v>
      </c>
      <c r="P106" s="1">
        <v>-2.5734723947285601E-5</v>
      </c>
      <c r="AE106">
        <v>100</v>
      </c>
      <c r="AJ106">
        <v>1</v>
      </c>
    </row>
    <row r="107" spans="1:36" x14ac:dyDescent="0.2">
      <c r="A107">
        <v>106</v>
      </c>
      <c r="B107">
        <v>773</v>
      </c>
      <c r="C107">
        <v>150</v>
      </c>
      <c r="D107">
        <v>0.44581608755914398</v>
      </c>
      <c r="E107">
        <v>6.3718209850920502</v>
      </c>
      <c r="F107">
        <v>0.35687313754174299</v>
      </c>
      <c r="G107">
        <v>-140.71753547134796</v>
      </c>
      <c r="H107">
        <v>-79.766706905363037</v>
      </c>
      <c r="I107">
        <v>58.2655211138242</v>
      </c>
      <c r="J107">
        <v>24.988969564082499</v>
      </c>
      <c r="K107">
        <v>17.854582804923901</v>
      </c>
      <c r="L107">
        <v>1.7559802734019513E-3</v>
      </c>
      <c r="M107">
        <v>5.7069198063049414E-4</v>
      </c>
      <c r="N107" s="1">
        <v>-1.06364405732257E-5</v>
      </c>
      <c r="O107" s="1">
        <v>1.6924487225075798E-5</v>
      </c>
      <c r="P107" s="1">
        <v>-2.5871238475204499E-5</v>
      </c>
      <c r="AE107">
        <v>100</v>
      </c>
      <c r="AJ107">
        <v>1</v>
      </c>
    </row>
    <row r="108" spans="1:36" x14ac:dyDescent="0.2">
      <c r="A108">
        <v>107</v>
      </c>
      <c r="B108">
        <v>772</v>
      </c>
      <c r="C108">
        <v>150</v>
      </c>
      <c r="D108">
        <v>0.44521886810505501</v>
      </c>
      <c r="E108">
        <v>6.3915728528562497</v>
      </c>
      <c r="F108">
        <v>0.35750100822311298</v>
      </c>
      <c r="G108">
        <v>-141.0953085167173</v>
      </c>
      <c r="H108">
        <v>-80.039053963170588</v>
      </c>
      <c r="I108">
        <v>58.422152039439901</v>
      </c>
      <c r="J108">
        <v>25.093576682880599</v>
      </c>
      <c r="K108">
        <v>17.878475041578898</v>
      </c>
      <c r="L108">
        <v>1.7596620566039767E-3</v>
      </c>
      <c r="M108">
        <v>5.7024290048188772E-4</v>
      </c>
      <c r="N108" s="1">
        <v>-1.0511475906594901E-5</v>
      </c>
      <c r="O108" s="1">
        <v>1.6947190187750299E-5</v>
      </c>
      <c r="P108" s="1">
        <v>-2.60083307300044E-5</v>
      </c>
      <c r="AE108">
        <v>100</v>
      </c>
      <c r="AJ108">
        <v>1</v>
      </c>
    </row>
    <row r="109" spans="1:36" x14ac:dyDescent="0.2">
      <c r="A109">
        <v>108</v>
      </c>
      <c r="B109">
        <v>771</v>
      </c>
      <c r="C109">
        <v>150</v>
      </c>
      <c r="D109">
        <v>0.44462050471675502</v>
      </c>
      <c r="E109">
        <v>6.4113240729182301</v>
      </c>
      <c r="F109">
        <v>0.35813130303401502</v>
      </c>
      <c r="G109">
        <v>-141.47273019568135</v>
      </c>
      <c r="H109">
        <v>-80.31157519000746</v>
      </c>
      <c r="I109">
        <v>58.578579666722902</v>
      </c>
      <c r="J109">
        <v>25.198438712646901</v>
      </c>
      <c r="K109">
        <v>17.902160516555799</v>
      </c>
      <c r="L109">
        <v>1.7633489290803178E-3</v>
      </c>
      <c r="M109">
        <v>5.6978937911685359E-4</v>
      </c>
      <c r="N109" s="1">
        <v>-1.03827409716279E-5</v>
      </c>
      <c r="O109" s="1">
        <v>1.6969588355137599E-5</v>
      </c>
      <c r="P109" s="1">
        <v>-2.61459835409117E-5</v>
      </c>
      <c r="AE109">
        <v>100</v>
      </c>
      <c r="AJ109">
        <v>1</v>
      </c>
    </row>
    <row r="110" spans="1:36" x14ac:dyDescent="0.2">
      <c r="A110">
        <v>109</v>
      </c>
      <c r="B110">
        <v>770</v>
      </c>
      <c r="C110">
        <v>150</v>
      </c>
      <c r="D110">
        <v>0.44402099410439499</v>
      </c>
      <c r="E110">
        <v>6.4330722633333801</v>
      </c>
      <c r="F110">
        <v>0.35876403269776902</v>
      </c>
      <c r="G110">
        <v>-141.89386213123012</v>
      </c>
      <c r="H110">
        <v>-80.609301976789183</v>
      </c>
      <c r="I110">
        <v>58.753047551575399</v>
      </c>
      <c r="J110">
        <v>25.311415752463901</v>
      </c>
      <c r="K110">
        <v>17.931207359219101</v>
      </c>
      <c r="L110">
        <v>1.7670407512394336E-3</v>
      </c>
      <c r="M110">
        <v>5.6933137529686657E-4</v>
      </c>
      <c r="N110" s="1">
        <v>-1.02533635437328E-5</v>
      </c>
      <c r="O110" s="1">
        <v>1.69969571298384E-5</v>
      </c>
      <c r="P110" s="1">
        <v>-2.6292360687201801E-5</v>
      </c>
      <c r="AE110">
        <v>100</v>
      </c>
      <c r="AJ110">
        <v>1</v>
      </c>
    </row>
    <row r="111" spans="1:36" x14ac:dyDescent="0.2">
      <c r="A111">
        <v>110</v>
      </c>
      <c r="B111">
        <v>769</v>
      </c>
      <c r="C111">
        <v>150</v>
      </c>
      <c r="D111">
        <v>0.44342033296550898</v>
      </c>
      <c r="E111">
        <v>6.5107871230888499</v>
      </c>
      <c r="F111">
        <v>0.359399207942393</v>
      </c>
      <c r="G111">
        <v>-143.54856327846539</v>
      </c>
      <c r="H111">
        <v>-81.608735426280106</v>
      </c>
      <c r="I111">
        <v>59.4382322356524</v>
      </c>
      <c r="J111">
        <v>25.6451131681738</v>
      </c>
      <c r="K111">
        <v>18.1157525648538</v>
      </c>
      <c r="L111">
        <v>1.7707373804070827E-3</v>
      </c>
      <c r="M111">
        <v>5.6886884754770936E-4</v>
      </c>
      <c r="N111" s="1">
        <v>-1.02077458758119E-5</v>
      </c>
      <c r="O111" s="1">
        <v>1.7171605836649499E-5</v>
      </c>
      <c r="P111" s="1">
        <v>-2.6668578505505201E-5</v>
      </c>
      <c r="AE111">
        <v>100</v>
      </c>
      <c r="AJ111">
        <v>1</v>
      </c>
    </row>
    <row r="112" spans="1:36" x14ac:dyDescent="0.2">
      <c r="A112">
        <v>111</v>
      </c>
      <c r="B112">
        <v>768</v>
      </c>
      <c r="C112">
        <v>150</v>
      </c>
      <c r="D112">
        <v>0.442818517984921</v>
      </c>
      <c r="E112">
        <v>6.5883573951850698</v>
      </c>
      <c r="F112">
        <v>0.36003683949936299</v>
      </c>
      <c r="G112">
        <v>-145.19868356511404</v>
      </c>
      <c r="H112">
        <v>-82.606996172267458</v>
      </c>
      <c r="I112">
        <v>60.121459593257001</v>
      </c>
      <c r="J112">
        <v>25.978997594011702</v>
      </c>
      <c r="K112">
        <v>18.299120179885598</v>
      </c>
      <c r="L112">
        <v>1.774438670789342E-3</v>
      </c>
      <c r="M112">
        <v>5.6840175416322618E-4</v>
      </c>
      <c r="N112" s="1">
        <v>-1.01548955985306E-5</v>
      </c>
      <c r="O112" s="1">
        <v>1.7345014445796001E-5</v>
      </c>
      <c r="P112" s="1">
        <v>-2.7045810765459201E-5</v>
      </c>
      <c r="AE112">
        <v>100</v>
      </c>
      <c r="AJ112">
        <v>1</v>
      </c>
    </row>
    <row r="113" spans="1:36" x14ac:dyDescent="0.2">
      <c r="A113">
        <v>112</v>
      </c>
      <c r="B113">
        <v>767</v>
      </c>
      <c r="C113">
        <v>150</v>
      </c>
      <c r="D113">
        <v>0.44221554583473799</v>
      </c>
      <c r="E113">
        <v>6.6659157650446801</v>
      </c>
      <c r="F113">
        <v>0.36067693810235402</v>
      </c>
      <c r="G113">
        <v>-146.84715088222396</v>
      </c>
      <c r="H113">
        <v>-83.605747773275695</v>
      </c>
      <c r="I113">
        <v>60.803939581101901</v>
      </c>
      <c r="J113">
        <v>26.3135935554774</v>
      </c>
      <c r="K113">
        <v>18.481680032320199</v>
      </c>
      <c r="L113">
        <v>1.778144473435876E-3</v>
      </c>
      <c r="M113">
        <v>5.6793005320932509E-4</v>
      </c>
      <c r="N113" s="1">
        <v>-1.0094888868433E-5</v>
      </c>
      <c r="O113" s="1">
        <v>1.7517527657220799E-5</v>
      </c>
      <c r="P113" s="1">
        <v>-2.7424603835005601E-5</v>
      </c>
      <c r="AE113">
        <v>100</v>
      </c>
      <c r="AJ113">
        <v>1</v>
      </c>
    </row>
    <row r="114" spans="1:36" x14ac:dyDescent="0.2">
      <c r="A114">
        <v>113</v>
      </c>
      <c r="B114">
        <v>766</v>
      </c>
      <c r="C114">
        <v>150</v>
      </c>
      <c r="D114">
        <v>0.44161141317423203</v>
      </c>
      <c r="E114">
        <v>6.7436308327940599</v>
      </c>
      <c r="F114">
        <v>0.36131951448594002</v>
      </c>
      <c r="G114">
        <v>-148.49767913730858</v>
      </c>
      <c r="H114">
        <v>-84.60710647791808</v>
      </c>
      <c r="I114">
        <v>61.487207601462103</v>
      </c>
      <c r="J114">
        <v>26.649569744704099</v>
      </c>
      <c r="K114">
        <v>18.663898744545801</v>
      </c>
      <c r="L114">
        <v>1.7818546362032702E-3</v>
      </c>
      <c r="M114">
        <v>5.6745370252813732E-4</v>
      </c>
      <c r="N114" s="1">
        <v>-1.00278396162824E-5</v>
      </c>
      <c r="O114" s="1">
        <v>1.76895817767514E-5</v>
      </c>
      <c r="P114" s="1">
        <v>-2.7805656702690601E-5</v>
      </c>
      <c r="AE114">
        <v>100</v>
      </c>
      <c r="AJ114">
        <v>1</v>
      </c>
    </row>
    <row r="115" spans="1:36" x14ac:dyDescent="0.2">
      <c r="A115">
        <v>114</v>
      </c>
      <c r="B115">
        <v>765</v>
      </c>
      <c r="C115">
        <v>150</v>
      </c>
      <c r="D115">
        <v>0.44100611664981298</v>
      </c>
      <c r="E115">
        <v>6.8217229705417299</v>
      </c>
      <c r="F115">
        <v>0.36196457938427801</v>
      </c>
      <c r="G115">
        <v>-150.15511566201749</v>
      </c>
      <c r="H115">
        <v>-85.613840952283212</v>
      </c>
      <c r="I115">
        <v>62.173268331666698</v>
      </c>
      <c r="J115">
        <v>26.987802550753099</v>
      </c>
      <c r="K115">
        <v>18.846382654749899</v>
      </c>
      <c r="L115">
        <v>1.785569003718588E-3</v>
      </c>
      <c r="M115">
        <v>5.6697265974241619E-4</v>
      </c>
      <c r="N115" s="1">
        <v>-9.9539170839290706E-6</v>
      </c>
      <c r="O115" s="1">
        <v>1.7861745348808298E-5</v>
      </c>
      <c r="P115" s="1">
        <v>-2.81898881754564E-5</v>
      </c>
      <c r="AE115">
        <v>100</v>
      </c>
      <c r="AJ115">
        <v>1</v>
      </c>
    </row>
    <row r="116" spans="1:36" x14ac:dyDescent="0.2">
      <c r="A116">
        <v>115</v>
      </c>
      <c r="B116">
        <v>764</v>
      </c>
      <c r="C116">
        <v>150</v>
      </c>
      <c r="D116">
        <v>0.44039965289495597</v>
      </c>
      <c r="E116">
        <v>6.9533868107609402</v>
      </c>
      <c r="F116">
        <v>0.36261214352975601</v>
      </c>
      <c r="G116">
        <v>-152.98985036154048</v>
      </c>
      <c r="H116">
        <v>-87.293769472542323</v>
      </c>
      <c r="I116">
        <v>63.346729059362801</v>
      </c>
      <c r="J116">
        <v>27.538977400523699</v>
      </c>
      <c r="K116">
        <v>19.1758244582626</v>
      </c>
      <c r="L116">
        <v>1.7892874173430714E-3</v>
      </c>
      <c r="M116">
        <v>5.6648688226013013E-4</v>
      </c>
      <c r="N116" s="1">
        <v>-9.9490603855889894E-6</v>
      </c>
      <c r="O116" s="1">
        <v>1.8173033517212199E-5</v>
      </c>
      <c r="P116" s="1">
        <v>-2.8797619049653301E-5</v>
      </c>
      <c r="AE116">
        <v>100</v>
      </c>
      <c r="AJ116">
        <v>1</v>
      </c>
    </row>
    <row r="117" spans="1:36" x14ac:dyDescent="0.2">
      <c r="A117">
        <v>116</v>
      </c>
      <c r="B117">
        <v>763</v>
      </c>
      <c r="C117">
        <v>150</v>
      </c>
      <c r="D117">
        <v>0.43979201853014099</v>
      </c>
      <c r="E117">
        <v>7.8833307751367103</v>
      </c>
      <c r="F117">
        <v>0.36326221765161398</v>
      </c>
      <c r="G117">
        <v>-173.37886557492786</v>
      </c>
      <c r="H117">
        <v>-98.999652495703785</v>
      </c>
      <c r="I117">
        <v>71.788567683429505</v>
      </c>
      <c r="J117">
        <v>31.256480422286799</v>
      </c>
      <c r="K117">
        <v>21.701488324605201</v>
      </c>
      <c r="L117">
        <v>1.7930097151359569E-3</v>
      </c>
      <c r="M117">
        <v>5.6599632727922838E-4</v>
      </c>
      <c r="N117" s="1">
        <v>-1.1052594600664401E-5</v>
      </c>
      <c r="O117" s="1">
        <v>2.05653986747684E-5</v>
      </c>
      <c r="P117" s="1">
        <v>-3.27213947770727E-5</v>
      </c>
      <c r="AE117">
        <v>100</v>
      </c>
      <c r="AJ117">
        <v>1</v>
      </c>
    </row>
    <row r="118" spans="1:36" x14ac:dyDescent="0.2">
      <c r="A118">
        <v>117</v>
      </c>
      <c r="B118">
        <v>762</v>
      </c>
      <c r="C118">
        <v>150</v>
      </c>
      <c r="D118">
        <v>0.439183210162781</v>
      </c>
      <c r="E118">
        <v>9.2932368292838898</v>
      </c>
      <c r="F118">
        <v>0.363914812474528</v>
      </c>
      <c r="G118">
        <v>-204.30245755581433</v>
      </c>
      <c r="H118">
        <v>-116.74225999833733</v>
      </c>
      <c r="I118">
        <v>84.592103287698194</v>
      </c>
      <c r="J118">
        <v>36.887323718005</v>
      </c>
      <c r="K118">
        <v>25.5368468408643</v>
      </c>
      <c r="L118">
        <v>1.7967357318186274E-3</v>
      </c>
      <c r="M118">
        <v>5.6550095179265535E-4</v>
      </c>
      <c r="N118" s="1">
        <v>-1.2757210270691001E-5</v>
      </c>
      <c r="O118" s="1">
        <v>2.4198352048439501E-5</v>
      </c>
      <c r="P118" s="1">
        <v>-3.8659106047091197E-5</v>
      </c>
      <c r="AE118">
        <v>100</v>
      </c>
      <c r="AJ118">
        <v>1</v>
      </c>
    </row>
    <row r="119" spans="1:36" x14ac:dyDescent="0.2">
      <c r="A119">
        <v>118</v>
      </c>
      <c r="B119">
        <v>761</v>
      </c>
      <c r="C119">
        <v>150</v>
      </c>
      <c r="D119">
        <v>0.43857322438717999</v>
      </c>
      <c r="E119">
        <v>9.8311701031213197</v>
      </c>
      <c r="F119">
        <v>0.36456993871718202</v>
      </c>
      <c r="G119">
        <v>-216.03890931956607</v>
      </c>
      <c r="H119">
        <v>-123.5388577335751</v>
      </c>
      <c r="I119">
        <v>89.450928381015302</v>
      </c>
      <c r="J119">
        <v>39.065741296970302</v>
      </c>
      <c r="K119">
        <v>26.966485875698801</v>
      </c>
      <c r="L119">
        <v>1.8004652987390155E-3</v>
      </c>
      <c r="M119">
        <v>5.650007125935926E-4</v>
      </c>
      <c r="N119" s="1">
        <v>-1.32030525056407E-5</v>
      </c>
      <c r="O119" s="1">
        <v>2.5551146329950699E-5</v>
      </c>
      <c r="P119" s="1">
        <v>-4.0987701664679903E-5</v>
      </c>
      <c r="AE119">
        <v>100</v>
      </c>
      <c r="AJ119">
        <v>1</v>
      </c>
    </row>
    <row r="120" spans="1:36" x14ac:dyDescent="0.2">
      <c r="A120">
        <v>119</v>
      </c>
      <c r="B120">
        <v>760</v>
      </c>
      <c r="C120">
        <v>150</v>
      </c>
      <c r="D120">
        <v>0.43796205778444602</v>
      </c>
      <c r="E120">
        <v>10.0683541488236</v>
      </c>
      <c r="F120">
        <v>0.365227607090785</v>
      </c>
      <c r="G120">
        <v>-221.15941366328514</v>
      </c>
      <c r="H120">
        <v>-126.55935189509256</v>
      </c>
      <c r="I120">
        <v>91.570269078743905</v>
      </c>
      <c r="J120">
        <v>40.052621166383098</v>
      </c>
      <c r="K120">
        <v>27.567341442294001</v>
      </c>
      <c r="L120">
        <v>1.804198243836138E-3</v>
      </c>
      <c r="M120">
        <v>5.6449556628087639E-4</v>
      </c>
      <c r="N120" s="1">
        <v>-1.3217014908372201E-5</v>
      </c>
      <c r="O120" s="1">
        <v>2.6118304325331299E-5</v>
      </c>
      <c r="P120" s="1">
        <v>-4.2069866246649999E-5</v>
      </c>
      <c r="AE120">
        <v>100</v>
      </c>
      <c r="AJ120">
        <v>1</v>
      </c>
    </row>
    <row r="121" spans="1:36" x14ac:dyDescent="0.2">
      <c r="A121">
        <v>120</v>
      </c>
      <c r="B121">
        <v>759</v>
      </c>
      <c r="C121">
        <v>150</v>
      </c>
      <c r="D121">
        <v>0.43734970692244701</v>
      </c>
      <c r="E121">
        <v>10.201988796288299</v>
      </c>
      <c r="F121">
        <v>0.36588782829757399</v>
      </c>
      <c r="G121">
        <v>-224.00203907016919</v>
      </c>
      <c r="H121">
        <v>-128.27974804899287</v>
      </c>
      <c r="I121">
        <v>92.7463345692383</v>
      </c>
      <c r="J121">
        <v>40.629340236505698</v>
      </c>
      <c r="K121">
        <v>27.8828318606738</v>
      </c>
      <c r="L121">
        <v>1.8079343916051467E-3</v>
      </c>
      <c r="M121">
        <v>5.6398546926470167E-4</v>
      </c>
      <c r="N121" s="1">
        <v>-1.30788039530166E-5</v>
      </c>
      <c r="O121" s="1">
        <v>2.6414811025714701E-5</v>
      </c>
      <c r="P121" s="1">
        <v>-4.2723069560232097E-5</v>
      </c>
      <c r="AE121">
        <v>100</v>
      </c>
      <c r="AJ121">
        <v>1</v>
      </c>
    </row>
    <row r="122" spans="1:36" x14ac:dyDescent="0.2">
      <c r="A122">
        <v>121</v>
      </c>
      <c r="B122">
        <v>758</v>
      </c>
      <c r="C122">
        <v>150</v>
      </c>
      <c r="D122">
        <v>0.43673616835572199</v>
      </c>
      <c r="E122">
        <v>10.2887086155784</v>
      </c>
      <c r="F122">
        <v>0.36655061302928899</v>
      </c>
      <c r="G122">
        <v>-225.81260555362081</v>
      </c>
      <c r="H122">
        <v>-129.41116005770283</v>
      </c>
      <c r="I122">
        <v>93.494965161990805</v>
      </c>
      <c r="J122">
        <v>41.0203267257424</v>
      </c>
      <c r="K122">
        <v>28.068998522603199</v>
      </c>
      <c r="L122">
        <v>1.8116735630624762E-3</v>
      </c>
      <c r="M122">
        <v>5.6347037777246928E-4</v>
      </c>
      <c r="N122" s="1">
        <v>-1.28685597882412E-5</v>
      </c>
      <c r="O122" s="1">
        <v>2.6588540009782001E-5</v>
      </c>
      <c r="P122" s="1">
        <v>-4.31821263139119E-5</v>
      </c>
      <c r="AE122">
        <v>100</v>
      </c>
      <c r="AJ122">
        <v>1</v>
      </c>
    </row>
    <row r="123" spans="1:36" x14ac:dyDescent="0.2">
      <c r="A123">
        <v>122</v>
      </c>
      <c r="B123">
        <v>757</v>
      </c>
      <c r="C123">
        <v>150</v>
      </c>
      <c r="D123">
        <v>0.436121438625445</v>
      </c>
      <c r="E123">
        <v>10.3501668716133</v>
      </c>
      <c r="F123">
        <v>0.36721597196559402</v>
      </c>
      <c r="G123">
        <v>-227.06743421416246</v>
      </c>
      <c r="H123">
        <v>-130.22546906617444</v>
      </c>
      <c r="I123">
        <v>94.013384603256696</v>
      </c>
      <c r="J123">
        <v>41.311384850172303</v>
      </c>
      <c r="K123">
        <v>28.185502978566099</v>
      </c>
      <c r="L123">
        <v>1.8154155757115716E-3</v>
      </c>
      <c r="M123">
        <v>5.6295024785498046E-4</v>
      </c>
      <c r="N123" s="1">
        <v>-1.2616896973663501E-5</v>
      </c>
      <c r="O123" s="1">
        <v>2.6696027893923201E-5</v>
      </c>
      <c r="P123" s="1">
        <v>-4.3536806823586299E-5</v>
      </c>
      <c r="AE123">
        <v>100</v>
      </c>
      <c r="AJ123">
        <v>1</v>
      </c>
    </row>
    <row r="124" spans="1:36" x14ac:dyDescent="0.2">
      <c r="A124">
        <v>123</v>
      </c>
      <c r="B124">
        <v>756</v>
      </c>
      <c r="C124">
        <v>150</v>
      </c>
      <c r="D124">
        <v>0.43550551425934297</v>
      </c>
      <c r="E124">
        <v>10.3963848552711</v>
      </c>
      <c r="F124">
        <v>0.36788391577249802</v>
      </c>
      <c r="G124">
        <v>-227.9869757402532</v>
      </c>
      <c r="H124">
        <v>-130.84850128997849</v>
      </c>
      <c r="I124">
        <v>94.392871690326999</v>
      </c>
      <c r="J124">
        <v>41.542222040167701</v>
      </c>
      <c r="K124">
        <v>28.2599603014454</v>
      </c>
      <c r="L124">
        <v>1.8191602435088765E-3</v>
      </c>
      <c r="M124">
        <v>5.6242503539277288E-4</v>
      </c>
      <c r="N124" s="1">
        <v>-1.23379728829228E-5</v>
      </c>
      <c r="O124" s="1">
        <v>2.6763441654723401E-5</v>
      </c>
      <c r="P124" s="1">
        <v>-4.3828647871046397E-5</v>
      </c>
      <c r="AE124">
        <v>100</v>
      </c>
      <c r="AJ124">
        <v>1</v>
      </c>
    </row>
    <row r="125" spans="1:36" x14ac:dyDescent="0.2">
      <c r="A125">
        <v>124</v>
      </c>
      <c r="B125">
        <v>755</v>
      </c>
      <c r="C125">
        <v>150</v>
      </c>
      <c r="D125">
        <v>0.43488839177162902</v>
      </c>
      <c r="E125">
        <v>10.432647259081</v>
      </c>
      <c r="F125">
        <v>0.36855445510071999</v>
      </c>
      <c r="G125">
        <v>-228.68748837532618</v>
      </c>
      <c r="H125">
        <v>-131.34660895156216</v>
      </c>
      <c r="I125">
        <v>94.681563609554601</v>
      </c>
      <c r="J125">
        <v>41.733775192477701</v>
      </c>
      <c r="K125">
        <v>28.306935690764899</v>
      </c>
      <c r="L125">
        <v>1.822907376830324E-3</v>
      </c>
      <c r="M125">
        <v>5.6189469610277022E-4</v>
      </c>
      <c r="N125" s="1">
        <v>-1.2039241760208499E-5</v>
      </c>
      <c r="O125" s="1">
        <v>2.6804581221943299E-5</v>
      </c>
      <c r="P125" s="1">
        <v>-4.4079545849867397E-5</v>
      </c>
      <c r="AE125">
        <v>100</v>
      </c>
      <c r="AJ125">
        <v>1</v>
      </c>
    </row>
    <row r="126" spans="1:36" x14ac:dyDescent="0.2">
      <c r="A126">
        <v>125</v>
      </c>
      <c r="B126">
        <v>793</v>
      </c>
      <c r="C126">
        <v>125</v>
      </c>
      <c r="D126">
        <v>0.48331895136707098</v>
      </c>
      <c r="E126">
        <v>6.6962840993052097</v>
      </c>
      <c r="F126">
        <v>0.29197579710086402</v>
      </c>
      <c r="G126">
        <v>-149.63889654623759</v>
      </c>
      <c r="H126">
        <v>-82.868149628262373</v>
      </c>
      <c r="I126">
        <v>62.631504894185397</v>
      </c>
      <c r="J126">
        <v>25.132900191151499</v>
      </c>
      <c r="K126">
        <v>22.9343807459217</v>
      </c>
      <c r="L126">
        <v>1.7532576100027096E-3</v>
      </c>
      <c r="M126">
        <v>7.6281713453579445E-4</v>
      </c>
      <c r="N126" s="1">
        <v>-3.06006724141912E-5</v>
      </c>
      <c r="O126" s="1">
        <v>3.3492230631196802E-5</v>
      </c>
      <c r="P126" s="1">
        <v>-3.4502346531294602E-5</v>
      </c>
      <c r="AE126">
        <v>100</v>
      </c>
      <c r="AJ126">
        <v>1</v>
      </c>
    </row>
    <row r="127" spans="1:36" x14ac:dyDescent="0.2">
      <c r="A127">
        <v>126</v>
      </c>
      <c r="B127">
        <v>792</v>
      </c>
      <c r="C127">
        <v>125</v>
      </c>
      <c r="D127">
        <v>0.48276815471999501</v>
      </c>
      <c r="E127">
        <v>6.7015622608798697</v>
      </c>
      <c r="F127">
        <v>0.29248880042363901</v>
      </c>
      <c r="G127">
        <v>-149.69417621827535</v>
      </c>
      <c r="H127">
        <v>-82.958635305450173</v>
      </c>
      <c r="I127">
        <v>62.657255746396203</v>
      </c>
      <c r="J127">
        <v>25.181595082614098</v>
      </c>
      <c r="K127">
        <v>22.912201257529698</v>
      </c>
      <c r="L127">
        <v>1.7576744800185905E-3</v>
      </c>
      <c r="M127">
        <v>7.6264865575475474E-4</v>
      </c>
      <c r="N127" s="1">
        <v>-3.0613953361256503E-5</v>
      </c>
      <c r="O127" s="1">
        <v>3.3479030231390602E-5</v>
      </c>
      <c r="P127" s="1">
        <v>-3.4608272389407198E-5</v>
      </c>
      <c r="AE127">
        <v>100</v>
      </c>
      <c r="AJ127">
        <v>1</v>
      </c>
    </row>
    <row r="128" spans="1:36" x14ac:dyDescent="0.2">
      <c r="A128">
        <v>127</v>
      </c>
      <c r="B128">
        <v>791</v>
      </c>
      <c r="C128">
        <v>125</v>
      </c>
      <c r="D128">
        <v>0.48221632288681698</v>
      </c>
      <c r="E128">
        <v>6.7179537668777698</v>
      </c>
      <c r="F128">
        <v>0.29300400180150099</v>
      </c>
      <c r="G128">
        <v>-149.99751801039488</v>
      </c>
      <c r="H128">
        <v>-83.186803478654085</v>
      </c>
      <c r="I128">
        <v>62.786786597205101</v>
      </c>
      <c r="J128">
        <v>25.272298873294201</v>
      </c>
      <c r="K128">
        <v>22.927856703571202</v>
      </c>
      <c r="L128">
        <v>1.7621087417196374E-3</v>
      </c>
      <c r="M128">
        <v>7.6247714969804293E-4</v>
      </c>
      <c r="N128" s="1">
        <v>-3.0676070235352598E-5</v>
      </c>
      <c r="O128" s="1">
        <v>3.3521132388283997E-5</v>
      </c>
      <c r="P128" s="1">
        <v>-3.4772420229041701E-5</v>
      </c>
      <c r="AE128">
        <v>100</v>
      </c>
      <c r="AJ128">
        <v>1</v>
      </c>
    </row>
    <row r="129" spans="1:36" x14ac:dyDescent="0.2">
      <c r="A129">
        <v>128</v>
      </c>
      <c r="B129">
        <v>790</v>
      </c>
      <c r="C129">
        <v>125</v>
      </c>
      <c r="D129">
        <v>0.48166345294643498</v>
      </c>
      <c r="E129">
        <v>6.73435911344811</v>
      </c>
      <c r="F129">
        <v>0.29352141477889798</v>
      </c>
      <c r="G129">
        <v>-150.30088605850423</v>
      </c>
      <c r="H129">
        <v>-83.415295605065552</v>
      </c>
      <c r="I129">
        <v>62.9162811148571</v>
      </c>
      <c r="J129">
        <v>25.363354154955701</v>
      </c>
      <c r="K129">
        <v>22.943331472154799</v>
      </c>
      <c r="L129">
        <v>1.7665604202865047E-3</v>
      </c>
      <c r="M129">
        <v>7.6230257397057069E-4</v>
      </c>
      <c r="N129" s="1">
        <v>-3.0736246930975503E-5</v>
      </c>
      <c r="O129" s="1">
        <v>3.3563019496855197E-5</v>
      </c>
      <c r="P129" s="1">
        <v>-3.49376095013797E-5</v>
      </c>
      <c r="AE129">
        <v>100</v>
      </c>
      <c r="AJ129">
        <v>1</v>
      </c>
    </row>
    <row r="130" spans="1:36" x14ac:dyDescent="0.2">
      <c r="A130">
        <v>129</v>
      </c>
      <c r="B130">
        <v>789</v>
      </c>
      <c r="C130">
        <v>125</v>
      </c>
      <c r="D130">
        <v>0.48110954196676597</v>
      </c>
      <c r="E130">
        <v>6.7507751488415</v>
      </c>
      <c r="F130">
        <v>0.29404105298782102</v>
      </c>
      <c r="G130">
        <v>-150.60420988578477</v>
      </c>
      <c r="H130">
        <v>-83.64407316171183</v>
      </c>
      <c r="I130">
        <v>63.0457091109148</v>
      </c>
      <c r="J130">
        <v>25.454750968875899</v>
      </c>
      <c r="K130">
        <v>22.958614384778102</v>
      </c>
      <c r="L130">
        <v>1.7710295393128857E-3</v>
      </c>
      <c r="M130">
        <v>7.6212488559126935E-4</v>
      </c>
      <c r="N130" s="1">
        <v>-3.0794414390792002E-5</v>
      </c>
      <c r="O130" s="1">
        <v>3.3604673662333903E-5</v>
      </c>
      <c r="P130" s="1">
        <v>-3.5103833092620299E-5</v>
      </c>
      <c r="AE130">
        <v>100</v>
      </c>
      <c r="AJ130">
        <v>1</v>
      </c>
    </row>
    <row r="131" spans="1:36" x14ac:dyDescent="0.2">
      <c r="A131">
        <v>130</v>
      </c>
      <c r="B131">
        <v>788</v>
      </c>
      <c r="C131">
        <v>125</v>
      </c>
      <c r="D131">
        <v>0.48055458700466802</v>
      </c>
      <c r="E131">
        <v>6.7671987260731701</v>
      </c>
      <c r="F131">
        <v>0.29456293014801499</v>
      </c>
      <c r="G131">
        <v>-150.90741924040879</v>
      </c>
      <c r="H131">
        <v>-83.873097639602065</v>
      </c>
      <c r="I131">
        <v>63.1750404819972</v>
      </c>
      <c r="J131">
        <v>25.546479320082899</v>
      </c>
      <c r="K131">
        <v>22.973694356831299</v>
      </c>
      <c r="L131">
        <v>1.7755161207574585E-3</v>
      </c>
      <c r="M131">
        <v>7.6194404098586788E-4</v>
      </c>
      <c r="N131" s="1">
        <v>-3.0850502520638902E-5</v>
      </c>
      <c r="O131" s="1">
        <v>3.3646077049591102E-5</v>
      </c>
      <c r="P131" s="1">
        <v>-3.5271083816968802E-5</v>
      </c>
      <c r="AE131">
        <v>100</v>
      </c>
      <c r="AJ131">
        <v>1</v>
      </c>
    </row>
    <row r="132" spans="1:36" x14ac:dyDescent="0.2">
      <c r="A132">
        <v>131</v>
      </c>
      <c r="B132">
        <v>787</v>
      </c>
      <c r="C132">
        <v>125</v>
      </c>
      <c r="D132">
        <v>0.479998585105882</v>
      </c>
      <c r="E132">
        <v>6.7836267088942703</v>
      </c>
      <c r="F132">
        <v>0.29508706006717</v>
      </c>
      <c r="G132">
        <v>-151.21044422831275</v>
      </c>
      <c r="H132">
        <v>-84.102330617711985</v>
      </c>
      <c r="I132">
        <v>63.304245265637803</v>
      </c>
      <c r="J132">
        <v>25.638529198930598</v>
      </c>
      <c r="K132">
        <v>22.9885604178987</v>
      </c>
      <c r="L132">
        <v>1.7800201848946905E-3</v>
      </c>
      <c r="M132">
        <v>7.6175999597960379E-4</v>
      </c>
      <c r="N132" s="1">
        <v>-3.0904440208983002E-5</v>
      </c>
      <c r="O132" s="1">
        <v>3.3687211912225999E-5</v>
      </c>
      <c r="P132" s="1">
        <v>-3.54393544439984E-5</v>
      </c>
      <c r="AE132">
        <v>100</v>
      </c>
      <c r="AJ132">
        <v>1</v>
      </c>
    </row>
    <row r="133" spans="1:36" x14ac:dyDescent="0.2">
      <c r="A133">
        <v>132</v>
      </c>
      <c r="B133">
        <v>786</v>
      </c>
      <c r="C133">
        <v>125</v>
      </c>
      <c r="D133">
        <v>0.47944153330501299</v>
      </c>
      <c r="E133">
        <v>6.8000559780007999</v>
      </c>
      <c r="F133">
        <v>0.295613456641098</v>
      </c>
      <c r="G133">
        <v>-151.51321545093199</v>
      </c>
      <c r="H133">
        <v>-84.331733840050887</v>
      </c>
      <c r="I133">
        <v>63.433293698232497</v>
      </c>
      <c r="J133">
        <v>25.7308906037123</v>
      </c>
      <c r="K133">
        <v>23.003201732648701</v>
      </c>
      <c r="L133">
        <v>1.7845417502645995E-3</v>
      </c>
      <c r="M133">
        <v>7.6157270578989535E-4</v>
      </c>
      <c r="N133" s="1">
        <v>-3.0956155347578198E-5</v>
      </c>
      <c r="O133" s="1">
        <v>3.37280606226121E-5</v>
      </c>
      <c r="P133" s="1">
        <v>-3.5608637727579297E-5</v>
      </c>
      <c r="AE133">
        <v>100</v>
      </c>
      <c r="AJ133">
        <v>1</v>
      </c>
    </row>
    <row r="134" spans="1:36" x14ac:dyDescent="0.2">
      <c r="A134">
        <v>133</v>
      </c>
      <c r="B134">
        <v>785</v>
      </c>
      <c r="C134">
        <v>125</v>
      </c>
      <c r="D134">
        <v>0.47888342862543298</v>
      </c>
      <c r="E134">
        <v>6.8164834368462897</v>
      </c>
      <c r="F134">
        <v>0.29614213385389898</v>
      </c>
      <c r="G134">
        <v>-151.81566413376186</v>
      </c>
      <c r="H134">
        <v>-84.56126928795301</v>
      </c>
      <c r="I134">
        <v>63.5621562691598</v>
      </c>
      <c r="J134">
        <v>25.823553561927099</v>
      </c>
      <c r="K134">
        <v>23.017607620161101</v>
      </c>
      <c r="L134">
        <v>1.7890808336215283E-3</v>
      </c>
      <c r="M134">
        <v>7.6138212501897771E-4</v>
      </c>
      <c r="N134" s="1">
        <v>-3.1005574850438998E-5</v>
      </c>
      <c r="O134" s="1">
        <v>3.3768605699749003E-5</v>
      </c>
      <c r="P134" s="1">
        <v>-3.5778926433071298E-5</v>
      </c>
      <c r="AE134">
        <v>100</v>
      </c>
      <c r="AJ134">
        <v>1</v>
      </c>
    </row>
    <row r="135" spans="1:36" x14ac:dyDescent="0.2">
      <c r="A135">
        <v>134</v>
      </c>
      <c r="B135">
        <v>784</v>
      </c>
      <c r="C135">
        <v>125</v>
      </c>
      <c r="D135">
        <v>0.47832426807926898</v>
      </c>
      <c r="E135">
        <v>6.8329060175878</v>
      </c>
      <c r="F135">
        <v>0.29667310577810901</v>
      </c>
      <c r="G135">
        <v>-152.11772225756349</v>
      </c>
      <c r="H135">
        <v>-84.790899254154056</v>
      </c>
      <c r="I135">
        <v>63.690803776021497</v>
      </c>
      <c r="J135">
        <v>25.916508152203001</v>
      </c>
      <c r="K135">
        <v>23.031767573493202</v>
      </c>
      <c r="L135">
        <v>1.7936374498817903E-3</v>
      </c>
      <c r="M135">
        <v>7.6118820764652681E-4</v>
      </c>
      <c r="N135" s="1">
        <v>-3.1052624673486502E-5</v>
      </c>
      <c r="O135" s="1">
        <v>3.3808829837558999E-5</v>
      </c>
      <c r="P135" s="1">
        <v>-3.5950213365547499E-5</v>
      </c>
      <c r="AE135">
        <v>100</v>
      </c>
      <c r="AJ135">
        <v>1</v>
      </c>
    </row>
    <row r="136" spans="1:36" x14ac:dyDescent="0.2">
      <c r="A136">
        <v>135</v>
      </c>
      <c r="B136">
        <v>783</v>
      </c>
      <c r="C136">
        <v>125</v>
      </c>
      <c r="D136">
        <v>0.47776404866733202</v>
      </c>
      <c r="E136">
        <v>6.8493206867475704</v>
      </c>
      <c r="F136">
        <v>0.297206386574835</v>
      </c>
      <c r="G136">
        <v>-152.41932268290964</v>
      </c>
      <c r="H136">
        <v>-85.020586413475272</v>
      </c>
      <c r="I136">
        <v>63.819207377103403</v>
      </c>
      <c r="J136">
        <v>26.0097445252832</v>
      </c>
      <c r="K136">
        <v>23.045671278073002</v>
      </c>
      <c r="L136">
        <v>1.798211612070214E-3</v>
      </c>
      <c r="M136">
        <v>7.6099090702220931E-4</v>
      </c>
      <c r="N136" s="1">
        <v>-3.1097229832966498E-5</v>
      </c>
      <c r="O136" s="1">
        <v>3.3848715931548303E-5</v>
      </c>
      <c r="P136" s="1">
        <v>-3.6122491396856498E-5</v>
      </c>
      <c r="AE136">
        <v>100</v>
      </c>
      <c r="AJ136">
        <v>1</v>
      </c>
    </row>
    <row r="137" spans="1:36" x14ac:dyDescent="0.2">
      <c r="A137">
        <v>136</v>
      </c>
      <c r="B137">
        <v>782</v>
      </c>
      <c r="C137">
        <v>125</v>
      </c>
      <c r="D137">
        <v>0.47720276737904699</v>
      </c>
      <c r="E137">
        <v>6.8657244507247102</v>
      </c>
      <c r="F137">
        <v>0.29774199049387401</v>
      </c>
      <c r="G137">
        <v>-152.72039927107781</v>
      </c>
      <c r="H137">
        <v>-85.250293891769488</v>
      </c>
      <c r="I137">
        <v>63.947338642318897</v>
      </c>
      <c r="J137">
        <v>26.103252924601499</v>
      </c>
      <c r="K137">
        <v>23.0593086293817</v>
      </c>
      <c r="L137">
        <v>1.8028033312655959E-3</v>
      </c>
      <c r="M137">
        <v>7.6079017585822524E-4</v>
      </c>
      <c r="N137" s="1">
        <v>-3.1139314423218901E-5</v>
      </c>
      <c r="O137" s="1">
        <v>3.3888247104515802E-5</v>
      </c>
      <c r="P137" s="1">
        <v>-3.6295753492226299E-5</v>
      </c>
      <c r="AE137">
        <v>100</v>
      </c>
      <c r="AJ137">
        <v>1</v>
      </c>
    </row>
    <row r="138" spans="1:36" x14ac:dyDescent="0.2">
      <c r="A138">
        <v>137</v>
      </c>
      <c r="B138">
        <v>781</v>
      </c>
      <c r="C138">
        <v>125</v>
      </c>
      <c r="D138">
        <v>0.476640421192431</v>
      </c>
      <c r="E138">
        <v>6.8821143611192497</v>
      </c>
      <c r="F138">
        <v>0.29827993187381102</v>
      </c>
      <c r="G138">
        <v>-153.02088700046784</v>
      </c>
      <c r="H138">
        <v>-85.47998533266869</v>
      </c>
      <c r="I138">
        <v>64.075169602283097</v>
      </c>
      <c r="J138">
        <v>26.197023706279001</v>
      </c>
      <c r="K138">
        <v>23.072669749806501</v>
      </c>
      <c r="L138">
        <v>1.8074126165450435E-3</v>
      </c>
      <c r="M138">
        <v>7.6058596622182611E-4</v>
      </c>
      <c r="N138" s="1">
        <v>-3.1178801633610301E-5</v>
      </c>
      <c r="O138" s="1">
        <v>3.3927406731123102E-5</v>
      </c>
      <c r="P138" s="1">
        <v>-3.6469992736201999E-5</v>
      </c>
      <c r="AE138">
        <v>100</v>
      </c>
      <c r="AJ138">
        <v>1</v>
      </c>
    </row>
    <row r="139" spans="1:36" x14ac:dyDescent="0.2">
      <c r="A139">
        <v>138</v>
      </c>
      <c r="B139">
        <v>780</v>
      </c>
      <c r="C139">
        <v>125</v>
      </c>
      <c r="D139">
        <v>0.47607700707401701</v>
      </c>
      <c r="E139">
        <v>6.89848751989721</v>
      </c>
      <c r="F139">
        <v>0.29882022514210899</v>
      </c>
      <c r="G139">
        <v>-153.32072207918708</v>
      </c>
      <c r="H139">
        <v>-85.709624962475218</v>
      </c>
      <c r="I139">
        <v>64.202672795790093</v>
      </c>
      <c r="J139">
        <v>26.291047358663501</v>
      </c>
      <c r="K139">
        <v>23.085745004764998</v>
      </c>
      <c r="L139">
        <v>1.8120394749271231E-3</v>
      </c>
      <c r="M139">
        <v>7.6037822952778472E-4</v>
      </c>
      <c r="N139" s="1">
        <v>-3.1215613764724603E-5</v>
      </c>
      <c r="O139" s="1">
        <v>3.39661784614749E-5</v>
      </c>
      <c r="P139" s="1">
        <v>-3.6645202358062401E-5</v>
      </c>
      <c r="AE139">
        <v>100</v>
      </c>
      <c r="AJ139">
        <v>1</v>
      </c>
    </row>
    <row r="140" spans="1:36" x14ac:dyDescent="0.2">
      <c r="A140">
        <v>139</v>
      </c>
      <c r="B140">
        <v>779</v>
      </c>
      <c r="C140">
        <v>125</v>
      </c>
      <c r="D140">
        <v>0.475512521978807</v>
      </c>
      <c r="E140">
        <v>6.9148410842322798</v>
      </c>
      <c r="F140">
        <v>0.29936288481516998</v>
      </c>
      <c r="G140">
        <v>-153.6198420501687</v>
      </c>
      <c r="H140">
        <v>-85.939177651155262</v>
      </c>
      <c r="I140">
        <v>64.329821314167802</v>
      </c>
      <c r="J140">
        <v>26.385314520780302</v>
      </c>
      <c r="K140">
        <v>23.098525017560402</v>
      </c>
      <c r="L140">
        <v>1.8166839113140031E-3</v>
      </c>
      <c r="M140">
        <v>7.601669165309006E-4</v>
      </c>
      <c r="N140" s="1">
        <v>-3.1249672243087902E-5</v>
      </c>
      <c r="O140" s="1">
        <v>3.40045462429053E-5</v>
      </c>
      <c r="P140" s="1">
        <v>-3.6821375755828198E-5</v>
      </c>
      <c r="AE140">
        <v>100</v>
      </c>
      <c r="AJ140">
        <v>1</v>
      </c>
    </row>
    <row r="141" spans="1:36" x14ac:dyDescent="0.2">
      <c r="A141">
        <v>140</v>
      </c>
      <c r="B141">
        <v>778</v>
      </c>
      <c r="C141">
        <v>125</v>
      </c>
      <c r="D141">
        <v>0.47494696285021398</v>
      </c>
      <c r="E141">
        <v>6.9715310284119401</v>
      </c>
      <c r="F141">
        <v>0.29990792549838502</v>
      </c>
      <c r="G141">
        <v>-154.81441909138232</v>
      </c>
      <c r="H141">
        <v>-86.670350644257724</v>
      </c>
      <c r="I141">
        <v>64.831905993702193</v>
      </c>
      <c r="J141">
        <v>26.634002395252399</v>
      </c>
      <c r="K141">
        <v>23.245571175975702</v>
      </c>
      <c r="L141">
        <v>1.8213459284321181E-3</v>
      </c>
      <c r="M141">
        <v>7.5995197731837339E-4</v>
      </c>
      <c r="N141" s="1">
        <v>-3.1463039717826203E-5</v>
      </c>
      <c r="O141" s="1">
        <v>3.4240716619881997E-5</v>
      </c>
      <c r="P141" s="1">
        <v>-3.7213941035543703E-5</v>
      </c>
      <c r="AE141">
        <v>100</v>
      </c>
      <c r="AJ141">
        <v>1</v>
      </c>
    </row>
    <row r="142" spans="1:36" x14ac:dyDescent="0.2">
      <c r="A142">
        <v>141</v>
      </c>
      <c r="B142">
        <v>777</v>
      </c>
      <c r="C142">
        <v>125</v>
      </c>
      <c r="D142">
        <v>0.47438032662001101</v>
      </c>
      <c r="E142">
        <v>7.0390845104148498</v>
      </c>
      <c r="F142">
        <v>0.30045536188616701</v>
      </c>
      <c r="G142">
        <v>-156.24910897664319</v>
      </c>
      <c r="H142">
        <v>-87.537086714032824</v>
      </c>
      <c r="I142">
        <v>65.434509792902404</v>
      </c>
      <c r="J142">
        <v>26.924942083800001</v>
      </c>
      <c r="K142">
        <v>23.428054224846001</v>
      </c>
      <c r="L142">
        <v>1.8260255267720869E-3</v>
      </c>
      <c r="M142">
        <v>7.5973336130231159E-4</v>
      </c>
      <c r="N142" s="1">
        <v>-3.1722038020208102E-5</v>
      </c>
      <c r="O142" s="1">
        <v>3.4529370140240799E-5</v>
      </c>
      <c r="P142" s="1">
        <v>-3.7666781283784197E-5</v>
      </c>
      <c r="AE142">
        <v>100</v>
      </c>
      <c r="AJ142">
        <v>1</v>
      </c>
    </row>
    <row r="143" spans="1:36" x14ac:dyDescent="0.2">
      <c r="A143">
        <v>142</v>
      </c>
      <c r="B143">
        <v>776</v>
      </c>
      <c r="C143">
        <v>125</v>
      </c>
      <c r="D143">
        <v>0.47381261020826598</v>
      </c>
      <c r="E143">
        <v>7.1066172035927098</v>
      </c>
      <c r="F143">
        <v>0.30100520876195502</v>
      </c>
      <c r="G143">
        <v>-157.68210729877387</v>
      </c>
      <c r="H143">
        <v>-88.404113915327812</v>
      </c>
      <c r="I143">
        <v>66.036372516995797</v>
      </c>
      <c r="J143">
        <v>27.216606871131699</v>
      </c>
      <c r="K143">
        <v>23.609615371183899</v>
      </c>
      <c r="L143">
        <v>1.8307227045269471E-3</v>
      </c>
      <c r="M143">
        <v>7.5951101721206862E-4</v>
      </c>
      <c r="N143" s="1">
        <v>-3.1977350650631899E-5</v>
      </c>
      <c r="O143" s="1">
        <v>3.4816977185447502E-5</v>
      </c>
      <c r="P143" s="1">
        <v>-3.81219608398969E-5</v>
      </c>
      <c r="AE143">
        <v>100</v>
      </c>
      <c r="AJ143">
        <v>1</v>
      </c>
    </row>
    <row r="144" spans="1:36" x14ac:dyDescent="0.2">
      <c r="A144">
        <v>143</v>
      </c>
      <c r="B144">
        <v>775</v>
      </c>
      <c r="C144">
        <v>125</v>
      </c>
      <c r="D144">
        <v>0.473243810523307</v>
      </c>
      <c r="E144">
        <v>7.17427758301565</v>
      </c>
      <c r="F144">
        <v>0.301557480998209</v>
      </c>
      <c r="G144">
        <v>-159.11670842794021</v>
      </c>
      <c r="H144">
        <v>-89.273280686389967</v>
      </c>
      <c r="I144">
        <v>66.638871634531597</v>
      </c>
      <c r="J144">
        <v>27.509571255114899</v>
      </c>
      <c r="K144">
        <v>23.7907464914068</v>
      </c>
      <c r="L144">
        <v>1.8354374575295629E-3</v>
      </c>
      <c r="M144">
        <v>7.5928489308669817E-4</v>
      </c>
      <c r="N144" s="1">
        <v>-3.2229513983230799E-5</v>
      </c>
      <c r="O144" s="1">
        <v>3.5104259495718399E-5</v>
      </c>
      <c r="P144" s="1">
        <v>-3.8580301424142699E-5</v>
      </c>
      <c r="AE144">
        <v>100</v>
      </c>
      <c r="AJ144">
        <v>1</v>
      </c>
    </row>
    <row r="145" spans="1:36" x14ac:dyDescent="0.2">
      <c r="A145">
        <v>144</v>
      </c>
      <c r="B145">
        <v>774</v>
      </c>
      <c r="C145">
        <v>125</v>
      </c>
      <c r="D145">
        <v>0.47267392446163797</v>
      </c>
      <c r="E145">
        <v>7.2422579185465601</v>
      </c>
      <c r="F145">
        <v>0.30211219355637597</v>
      </c>
      <c r="G145">
        <v>-160.55717212913925</v>
      </c>
      <c r="H145">
        <v>-90.146982880206991</v>
      </c>
      <c r="I145">
        <v>67.243789059484101</v>
      </c>
      <c r="J145">
        <v>27.8045806913021</v>
      </c>
      <c r="K145">
        <v>23.9720808130675</v>
      </c>
      <c r="L145">
        <v>1.8401697791886687E-3</v>
      </c>
      <c r="M145">
        <v>7.5905493626736138E-4</v>
      </c>
      <c r="N145" s="1">
        <v>-3.2479253415856698E-5</v>
      </c>
      <c r="O145" s="1">
        <v>3.5392149060357898E-5</v>
      </c>
      <c r="P145" s="1">
        <v>-3.9042868948909399E-5</v>
      </c>
      <c r="AE145">
        <v>100</v>
      </c>
      <c r="AJ145">
        <v>1</v>
      </c>
    </row>
    <row r="146" spans="1:36" x14ac:dyDescent="0.2">
      <c r="A146">
        <v>145</v>
      </c>
      <c r="B146">
        <v>773</v>
      </c>
      <c r="C146">
        <v>125</v>
      </c>
      <c r="D146">
        <v>0.472102948907902</v>
      </c>
      <c r="E146">
        <v>7.3492698476207696</v>
      </c>
      <c r="F146">
        <v>0.30266936148683299</v>
      </c>
      <c r="G146">
        <v>-162.86134822935097</v>
      </c>
      <c r="H146">
        <v>-91.507231680038942</v>
      </c>
      <c r="I146">
        <v>68.210411750528706</v>
      </c>
      <c r="J146">
        <v>28.250452034541699</v>
      </c>
      <c r="K146">
        <v>24.281512378782601</v>
      </c>
      <c r="L146">
        <v>1.8449196604234804E-3</v>
      </c>
      <c r="M146">
        <v>7.5882109338966245E-4</v>
      </c>
      <c r="N146" s="1">
        <v>-3.2899720592942898E-5</v>
      </c>
      <c r="O146" s="1">
        <v>3.5869574425129301E-5</v>
      </c>
      <c r="P146" s="1">
        <v>-3.97189167363302E-5</v>
      </c>
      <c r="AE146">
        <v>100</v>
      </c>
      <c r="AJ146">
        <v>1</v>
      </c>
    </row>
    <row r="147" spans="1:36" x14ac:dyDescent="0.2">
      <c r="A147">
        <v>146</v>
      </c>
      <c r="B147">
        <v>772</v>
      </c>
      <c r="C147">
        <v>125</v>
      </c>
      <c r="D147">
        <v>0.47153088073482102</v>
      </c>
      <c r="E147">
        <v>7.4361389565792697</v>
      </c>
      <c r="F147">
        <v>0.30322899992881802</v>
      </c>
      <c r="G147">
        <v>-164.71738275583186</v>
      </c>
      <c r="H147">
        <v>-92.617458538158516</v>
      </c>
      <c r="I147">
        <v>68.989312187739102</v>
      </c>
      <c r="J147">
        <v>28.620003000574801</v>
      </c>
      <c r="K147">
        <v>24.5231787141891</v>
      </c>
      <c r="L147">
        <v>1.8496870895973506E-3</v>
      </c>
      <c r="M147">
        <v>7.5858331037610043E-4</v>
      </c>
      <c r="N147" s="1">
        <v>-3.3225382751815202E-5</v>
      </c>
      <c r="O147" s="1">
        <v>3.6247357755914202E-5</v>
      </c>
      <c r="P147" s="1">
        <v>-4.0289450157925699E-5</v>
      </c>
      <c r="AE147">
        <v>100</v>
      </c>
      <c r="AJ147">
        <v>1</v>
      </c>
    </row>
    <row r="148" spans="1:36" x14ac:dyDescent="0.2">
      <c r="A148">
        <v>147</v>
      </c>
      <c r="B148">
        <v>771</v>
      </c>
      <c r="C148">
        <v>125</v>
      </c>
      <c r="D148">
        <v>0.47095771680314102</v>
      </c>
      <c r="E148">
        <v>8.4034165887297494</v>
      </c>
      <c r="F148">
        <v>0.30379112411033399</v>
      </c>
      <c r="G148">
        <v>-186.06553266336502</v>
      </c>
      <c r="H148">
        <v>-104.69730974411429</v>
      </c>
      <c r="I148">
        <v>77.932319944693404</v>
      </c>
      <c r="J148">
        <v>32.383304788039901</v>
      </c>
      <c r="K148">
        <v>27.661823936889199</v>
      </c>
      <c r="L148">
        <v>1.8544720524500775E-3</v>
      </c>
      <c r="M148">
        <v>7.5834153242849002E-4</v>
      </c>
      <c r="N148" s="1">
        <v>-3.7472302120067099E-5</v>
      </c>
      <c r="O148" s="1">
        <v>4.0909982250044997E-5</v>
      </c>
      <c r="P148" s="1">
        <v>-4.5645247049791297E-5</v>
      </c>
      <c r="AE148">
        <v>100</v>
      </c>
      <c r="AJ148">
        <v>1</v>
      </c>
    </row>
    <row r="149" spans="1:36" x14ac:dyDescent="0.2">
      <c r="A149">
        <v>148</v>
      </c>
      <c r="B149">
        <v>770</v>
      </c>
      <c r="C149">
        <v>125</v>
      </c>
      <c r="D149">
        <v>0.47038345396155901</v>
      </c>
      <c r="E149">
        <v>9.4033215603704505</v>
      </c>
      <c r="F149">
        <v>0.30435574934801402</v>
      </c>
      <c r="G149">
        <v>-208.1178934460352</v>
      </c>
      <c r="H149">
        <v>-117.19128301665953</v>
      </c>
      <c r="I149">
        <v>87.170581016538904</v>
      </c>
      <c r="J149">
        <v>36.282046834207598</v>
      </c>
      <c r="K149">
        <v>30.8958236554232</v>
      </c>
      <c r="L149">
        <v>1.8592745320286451E-3</v>
      </c>
      <c r="M149">
        <v>7.5809570402031587E-4</v>
      </c>
      <c r="N149" s="1">
        <v>-4.1843135223510197E-5</v>
      </c>
      <c r="O149" s="1">
        <v>4.5719019145116902E-5</v>
      </c>
      <c r="P149" s="1">
        <v>-5.1206131524222602E-5</v>
      </c>
      <c r="AE149">
        <v>100</v>
      </c>
      <c r="AJ149">
        <v>1</v>
      </c>
    </row>
    <row r="150" spans="1:36" x14ac:dyDescent="0.2">
      <c r="A150">
        <v>149</v>
      </c>
      <c r="B150">
        <v>769</v>
      </c>
      <c r="C150">
        <v>125</v>
      </c>
      <c r="D150">
        <v>0.46980808904668597</v>
      </c>
      <c r="E150">
        <v>9.8787124059999307</v>
      </c>
      <c r="F150">
        <v>0.304922891046987</v>
      </c>
      <c r="G150">
        <v>-218.54786540330008</v>
      </c>
      <c r="H150">
        <v>-123.1541024827594</v>
      </c>
      <c r="I150">
        <v>91.540964473829902</v>
      </c>
      <c r="J150">
        <v>38.164376611763998</v>
      </c>
      <c r="K150">
        <v>32.3974115950437</v>
      </c>
      <c r="L150">
        <v>1.8640945086170371E-3</v>
      </c>
      <c r="M150">
        <v>7.5784576888920777E-4</v>
      </c>
      <c r="N150" s="1">
        <v>-4.38618667638164E-5</v>
      </c>
      <c r="O150" s="1">
        <v>4.7968465362847303E-5</v>
      </c>
      <c r="P150" s="1">
        <v>-5.3932086687035599E-5</v>
      </c>
      <c r="AE150">
        <v>100</v>
      </c>
      <c r="AJ150">
        <v>1</v>
      </c>
    </row>
    <row r="151" spans="1:36" x14ac:dyDescent="0.2">
      <c r="A151">
        <v>150</v>
      </c>
      <c r="B151">
        <v>768</v>
      </c>
      <c r="C151">
        <v>125</v>
      </c>
      <c r="D151">
        <v>0.46923161888296799</v>
      </c>
      <c r="E151">
        <v>10.104041390707</v>
      </c>
      <c r="F151">
        <v>0.30549256470070202</v>
      </c>
      <c r="G151">
        <v>-223.43923363912285</v>
      </c>
      <c r="H151">
        <v>-126.00225171920705</v>
      </c>
      <c r="I151">
        <v>93.591474881485595</v>
      </c>
      <c r="J151">
        <v>39.084305947819601</v>
      </c>
      <c r="K151">
        <v>33.074590213369497</v>
      </c>
      <c r="L151">
        <v>1.868931959664542E-3</v>
      </c>
      <c r="M151">
        <v>7.5759167002939129E-4</v>
      </c>
      <c r="N151" s="1">
        <v>-4.4758962062874902E-5</v>
      </c>
      <c r="O151" s="1">
        <v>4.8999096969329E-5</v>
      </c>
      <c r="P151" s="1">
        <v>-5.5303598873042603E-5</v>
      </c>
      <c r="AE151">
        <v>100</v>
      </c>
      <c r="AJ151">
        <v>1</v>
      </c>
    </row>
    <row r="152" spans="1:36" x14ac:dyDescent="0.2">
      <c r="A152">
        <v>151</v>
      </c>
      <c r="B152">
        <v>767</v>
      </c>
      <c r="C152">
        <v>125</v>
      </c>
      <c r="D152">
        <v>0.46865404028265401</v>
      </c>
      <c r="E152">
        <v>10.233130795267201</v>
      </c>
      <c r="F152">
        <v>0.306064785890727</v>
      </c>
      <c r="G152">
        <v>-226.19912890876589</v>
      </c>
      <c r="H152">
        <v>-127.65166740774956</v>
      </c>
      <c r="I152">
        <v>94.749139572988099</v>
      </c>
      <c r="J152">
        <v>39.633952559473002</v>
      </c>
      <c r="K152">
        <v>33.434525195331403</v>
      </c>
      <c r="L152">
        <v>1.873786859712785E-3</v>
      </c>
      <c r="M152">
        <v>7.5733334968416802E-4</v>
      </c>
      <c r="N152" s="1">
        <v>-4.5221470019690499E-5</v>
      </c>
      <c r="O152" s="1">
        <v>4.9560598143034201E-5</v>
      </c>
      <c r="P152" s="1">
        <v>-5.6154348566751903E-5</v>
      </c>
      <c r="AE152">
        <v>100</v>
      </c>
      <c r="AJ152">
        <v>1</v>
      </c>
    </row>
    <row r="153" spans="1:36" x14ac:dyDescent="0.2">
      <c r="A153">
        <v>152</v>
      </c>
      <c r="B153">
        <v>766</v>
      </c>
      <c r="C153">
        <v>125</v>
      </c>
      <c r="D153">
        <v>0.46807535004571499</v>
      </c>
      <c r="E153">
        <v>10.3171108006725</v>
      </c>
      <c r="F153">
        <v>0.306639570286528</v>
      </c>
      <c r="G153">
        <v>-227.95996474348814</v>
      </c>
      <c r="H153">
        <v>-128.73924817128992</v>
      </c>
      <c r="I153">
        <v>95.488255455460305</v>
      </c>
      <c r="J153">
        <v>40.010192397634199</v>
      </c>
      <c r="K153">
        <v>33.645725471869397</v>
      </c>
      <c r="L153">
        <v>1.8786591803212401E-3</v>
      </c>
      <c r="M153">
        <v>7.5707074933837367E-4</v>
      </c>
      <c r="N153" s="1">
        <v>-4.5477592463591802E-5</v>
      </c>
      <c r="O153" s="1">
        <v>4.9902086500067001E-5</v>
      </c>
      <c r="P153" s="1">
        <v>-5.67616159150565E-5</v>
      </c>
      <c r="AE153">
        <v>100</v>
      </c>
      <c r="AJ153">
        <v>1</v>
      </c>
    </row>
    <row r="154" spans="1:36" x14ac:dyDescent="0.2">
      <c r="A154">
        <v>153</v>
      </c>
      <c r="B154">
        <v>765</v>
      </c>
      <c r="C154">
        <v>125</v>
      </c>
      <c r="D154">
        <v>0.46749554495978501</v>
      </c>
      <c r="E154">
        <v>10.3765429114748</v>
      </c>
      <c r="F154">
        <v>0.30721693364521402</v>
      </c>
      <c r="G154">
        <v>-229.17711788430427</v>
      </c>
      <c r="H154">
        <v>-129.52112194385856</v>
      </c>
      <c r="I154">
        <v>95.999551158784698</v>
      </c>
      <c r="J154">
        <v>40.2922041590802</v>
      </c>
      <c r="K154">
        <v>33.7759471405247</v>
      </c>
      <c r="L154">
        <v>1.8835488899918425E-3</v>
      </c>
      <c r="M154">
        <v>7.5680380971101266E-4</v>
      </c>
      <c r="N154" s="1">
        <v>-4.5619027079905997E-5</v>
      </c>
      <c r="O154" s="1">
        <v>5.0123731794845798E-5</v>
      </c>
      <c r="P154" s="1">
        <v>-5.7236929339529701E-5</v>
      </c>
      <c r="AE154">
        <v>100</v>
      </c>
      <c r="AJ154">
        <v>1</v>
      </c>
    </row>
    <row r="155" spans="1:36" x14ac:dyDescent="0.2">
      <c r="A155">
        <v>154</v>
      </c>
      <c r="B155">
        <v>764</v>
      </c>
      <c r="C155">
        <v>125</v>
      </c>
      <c r="D155">
        <v>0.46691462180012799</v>
      </c>
      <c r="E155">
        <v>10.4211268414151</v>
      </c>
      <c r="F155">
        <v>0.30779689181125802</v>
      </c>
      <c r="G155">
        <v>-230.06540944041379</v>
      </c>
      <c r="H155">
        <v>-130.11811465073674</v>
      </c>
      <c r="I155">
        <v>96.373001396505998</v>
      </c>
      <c r="J155">
        <v>40.517339597830102</v>
      </c>
      <c r="K155">
        <v>33.857154242497501</v>
      </c>
      <c r="L155">
        <v>1.8884559540916428E-3</v>
      </c>
      <c r="M155">
        <v>7.56532470747768E-4</v>
      </c>
      <c r="N155" s="1">
        <v>-4.5688979651262401E-5</v>
      </c>
      <c r="O155" s="1">
        <v>5.0272787007383798E-5</v>
      </c>
      <c r="P155" s="1">
        <v>-5.7632903813059699E-5</v>
      </c>
      <c r="AE155">
        <v>100</v>
      </c>
      <c r="AJ155">
        <v>1</v>
      </c>
    </row>
    <row r="156" spans="1:36" x14ac:dyDescent="0.2">
      <c r="A156">
        <v>155</v>
      </c>
      <c r="B156">
        <v>763</v>
      </c>
      <c r="C156">
        <v>125</v>
      </c>
      <c r="D156">
        <v>0.46633257732954098</v>
      </c>
      <c r="E156">
        <v>10.4560153756772</v>
      </c>
      <c r="F156">
        <v>0.308379460716182</v>
      </c>
      <c r="G156">
        <v>-230.73896152678503</v>
      </c>
      <c r="H156">
        <v>-130.5944118292731</v>
      </c>
      <c r="I156">
        <v>96.656404257668001</v>
      </c>
      <c r="J156">
        <v>40.705440110483501</v>
      </c>
      <c r="K156">
        <v>33.906328752875098</v>
      </c>
      <c r="L156">
        <v>1.8933803347745367E-3</v>
      </c>
      <c r="M156">
        <v>7.562566716136568E-4</v>
      </c>
      <c r="N156" s="1">
        <v>-4.5710357601814901E-5</v>
      </c>
      <c r="O156" s="1">
        <v>5.0374354349103597E-5</v>
      </c>
      <c r="P156" s="1">
        <v>-5.7977489566782903E-5</v>
      </c>
      <c r="AE156">
        <v>100</v>
      </c>
      <c r="AJ156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A57C-4DF7-4674-9781-AF9CE2EDBBC5}">
  <sheetPr codeName="Sheet14"/>
  <dimension ref="A1:AU156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757</v>
      </c>
      <c r="C2">
        <v>275</v>
      </c>
      <c r="D2">
        <v>0.30264573120419402</v>
      </c>
      <c r="E2">
        <v>200.57173325113152</v>
      </c>
      <c r="F2">
        <v>55.565680535003224</v>
      </c>
      <c r="G2">
        <v>70.389830016248098</v>
      </c>
      <c r="H2">
        <v>65.790052922110718</v>
      </c>
      <c r="J2">
        <v>53.09341319430969</v>
      </c>
      <c r="L2">
        <v>3.5257533340517693</v>
      </c>
      <c r="M2">
        <v>13.706038147626504</v>
      </c>
      <c r="N2">
        <v>2.5856942190092447</v>
      </c>
      <c r="O2">
        <v>15.720571134008967</v>
      </c>
      <c r="P2">
        <v>9.0483862016506666</v>
      </c>
      <c r="Q2">
        <v>1.3574114871717351</v>
      </c>
      <c r="R2">
        <v>10.157541260708623</v>
      </c>
      <c r="S2">
        <v>32.286928171595484</v>
      </c>
      <c r="U2">
        <v>2.4571143042138828</v>
      </c>
      <c r="V2">
        <v>44.929355607646826</v>
      </c>
      <c r="W2">
        <v>21.733246210050307</v>
      </c>
      <c r="X2">
        <v>50.238651021685918</v>
      </c>
      <c r="Y2">
        <v>5.6352754863711665</v>
      </c>
      <c r="Z2">
        <v>28.378570651582681</v>
      </c>
      <c r="AA2">
        <v>2.5803170704265797</v>
      </c>
      <c r="AB2">
        <v>31.888852415980384</v>
      </c>
      <c r="AC2">
        <v>8.7512396891757833E-3</v>
      </c>
      <c r="AD2">
        <v>5.8868893110118083</v>
      </c>
      <c r="AE2">
        <v>12.134526605201895</v>
      </c>
      <c r="AF2">
        <v>13.388455083302832</v>
      </c>
      <c r="AG2">
        <v>17.362986162708708</v>
      </c>
      <c r="AH2">
        <v>3.6631907604914939</v>
      </c>
      <c r="AI2">
        <v>2.5336604550612316</v>
      </c>
      <c r="AK2">
        <v>48.350546516220241</v>
      </c>
    </row>
    <row r="3" spans="1:47" x14ac:dyDescent="0.2">
      <c r="A3">
        <v>2</v>
      </c>
      <c r="B3">
        <v>756</v>
      </c>
      <c r="C3">
        <v>275</v>
      </c>
      <c r="D3">
        <v>0.30190011174270298</v>
      </c>
      <c r="E3">
        <v>200.46878717829418</v>
      </c>
      <c r="F3">
        <v>55.256147920265008</v>
      </c>
      <c r="G3">
        <v>70.337796834451211</v>
      </c>
      <c r="H3">
        <v>65.735625407640882</v>
      </c>
      <c r="J3">
        <v>53.051825141500387</v>
      </c>
      <c r="L3">
        <v>3.4542628915873355</v>
      </c>
      <c r="M3">
        <v>13.658398777514289</v>
      </c>
      <c r="N3">
        <v>2.5785124634787078</v>
      </c>
      <c r="O3">
        <v>15.374019934587839</v>
      </c>
      <c r="P3">
        <v>8.9586270850776533</v>
      </c>
      <c r="Q3">
        <v>1.3083334379482083</v>
      </c>
      <c r="R3">
        <v>9.9837355044076794</v>
      </c>
      <c r="S3">
        <v>31.958189956431838</v>
      </c>
      <c r="U3">
        <v>2.3939076957599608</v>
      </c>
      <c r="V3">
        <v>44.85164559788597</v>
      </c>
      <c r="W3">
        <v>21.568258577571196</v>
      </c>
      <c r="X3">
        <v>50.09049451136778</v>
      </c>
      <c r="Y3">
        <v>5.5619405382753726</v>
      </c>
      <c r="Z3">
        <v>28.211616669587492</v>
      </c>
      <c r="AA3">
        <v>2.5062664002013335</v>
      </c>
      <c r="AB3">
        <v>31.778809220118294</v>
      </c>
      <c r="AD3">
        <v>5.794054367512695</v>
      </c>
      <c r="AE3">
        <v>12.057106957593243</v>
      </c>
      <c r="AF3">
        <v>13.330542184088056</v>
      </c>
      <c r="AG3">
        <v>17.228796082619681</v>
      </c>
      <c r="AH3">
        <v>3.559104277515226</v>
      </c>
      <c r="AI3">
        <v>2.5261915948353577</v>
      </c>
      <c r="AK3">
        <v>48.355817025656968</v>
      </c>
    </row>
    <row r="4" spans="1:47" x14ac:dyDescent="0.2">
      <c r="A4">
        <v>3</v>
      </c>
      <c r="B4">
        <v>755</v>
      </c>
      <c r="C4">
        <v>275</v>
      </c>
      <c r="D4">
        <v>0.30115304187132302</v>
      </c>
      <c r="E4">
        <v>200.34478227672042</v>
      </c>
      <c r="F4">
        <v>54.875477276338408</v>
      </c>
      <c r="G4">
        <v>70.275093465615143</v>
      </c>
      <c r="H4">
        <v>65.670540737153104</v>
      </c>
      <c r="J4">
        <v>52.97169838009853</v>
      </c>
      <c r="L4">
        <v>3.3713029665150533</v>
      </c>
      <c r="M4">
        <v>13.580922994167603</v>
      </c>
      <c r="N4">
        <v>2.5804855570653271</v>
      </c>
      <c r="O4">
        <v>14.998736719163075</v>
      </c>
      <c r="P4">
        <v>8.8566901918198866</v>
      </c>
      <c r="Q4">
        <v>1.0154143953728234</v>
      </c>
      <c r="R4">
        <v>9.7610597655653706</v>
      </c>
      <c r="S4">
        <v>31.483196127994084</v>
      </c>
      <c r="U4">
        <v>2.3052453725165911</v>
      </c>
      <c r="V4">
        <v>44.723831818145413</v>
      </c>
      <c r="W4">
        <v>21.347550959326096</v>
      </c>
      <c r="X4">
        <v>49.855324031144846</v>
      </c>
      <c r="Y4">
        <v>5.4730259067960914</v>
      </c>
      <c r="Z4">
        <v>28.004650658755683</v>
      </c>
      <c r="AA4">
        <v>2.4211557790619262</v>
      </c>
      <c r="AB4">
        <v>31.617859110137061</v>
      </c>
      <c r="AD4">
        <v>5.6751169999241027</v>
      </c>
      <c r="AE4">
        <v>11.964360953063364</v>
      </c>
      <c r="AF4">
        <v>13.251948017481855</v>
      </c>
      <c r="AG4">
        <v>17.052856458875223</v>
      </c>
      <c r="AH4">
        <v>3.4213659580583671</v>
      </c>
      <c r="AI4">
        <v>2.5278767528234565</v>
      </c>
      <c r="AK4">
        <v>48.347220122092565</v>
      </c>
    </row>
    <row r="5" spans="1:47" x14ac:dyDescent="0.2">
      <c r="A5">
        <v>4</v>
      </c>
      <c r="B5">
        <v>754</v>
      </c>
      <c r="C5">
        <v>275</v>
      </c>
      <c r="D5">
        <v>0.30040451735384299</v>
      </c>
      <c r="E5">
        <v>200.22093381896013</v>
      </c>
      <c r="F5">
        <v>54.49550580441268</v>
      </c>
      <c r="G5">
        <v>70.21247385786306</v>
      </c>
      <c r="H5">
        <v>65.605552879610286</v>
      </c>
      <c r="J5">
        <v>52.892174534876368</v>
      </c>
      <c r="L5">
        <v>3.2885551693299493</v>
      </c>
      <c r="M5">
        <v>13.503594712586432</v>
      </c>
      <c r="N5">
        <v>2.582458524367865</v>
      </c>
      <c r="O5">
        <v>14.624069578807928</v>
      </c>
      <c r="P5">
        <v>8.7549284654363166</v>
      </c>
      <c r="Q5">
        <v>0.93757946843681983</v>
      </c>
      <c r="R5">
        <v>9.5387434973666263</v>
      </c>
      <c r="S5">
        <v>31.009133866603531</v>
      </c>
      <c r="U5">
        <v>2.2166552721691208</v>
      </c>
      <c r="V5">
        <v>44.596238213764202</v>
      </c>
      <c r="W5">
        <v>21.127126944975057</v>
      </c>
      <c r="X5">
        <v>49.620588074198615</v>
      </c>
      <c r="Y5">
        <v>5.3842648358614786</v>
      </c>
      <c r="Z5">
        <v>27.797985076107324</v>
      </c>
      <c r="AA5">
        <v>2.3362134983540819</v>
      </c>
      <c r="AB5">
        <v>31.457187065164174</v>
      </c>
      <c r="AD5">
        <v>5.5562965749631648</v>
      </c>
      <c r="AE5">
        <v>11.871743322815755</v>
      </c>
      <c r="AF5">
        <v>13.173501528694898</v>
      </c>
      <c r="AG5">
        <v>16.877197301133876</v>
      </c>
      <c r="AH5">
        <v>3.283859703036812</v>
      </c>
      <c r="AI5">
        <v>2.5295609517860926</v>
      </c>
      <c r="AK5">
        <v>48.338939477893682</v>
      </c>
    </row>
    <row r="6" spans="1:47" x14ac:dyDescent="0.2">
      <c r="A6">
        <v>5</v>
      </c>
      <c r="B6">
        <v>753</v>
      </c>
      <c r="C6">
        <v>275</v>
      </c>
      <c r="D6">
        <v>0.29965453393753799</v>
      </c>
      <c r="E6">
        <v>200.09724136425848</v>
      </c>
      <c r="F6">
        <v>54.116231685124951</v>
      </c>
      <c r="G6">
        <v>70.149937838146073</v>
      </c>
      <c r="H6">
        <v>65.540661682842369</v>
      </c>
      <c r="J6">
        <v>52.8132530645073</v>
      </c>
      <c r="L6">
        <v>3.205923867074489</v>
      </c>
      <c r="M6">
        <v>13.426413443226421</v>
      </c>
      <c r="N6">
        <v>2.5844313659580376</v>
      </c>
      <c r="O6">
        <v>14.250017109251718</v>
      </c>
      <c r="P6">
        <v>8.6533415831770988</v>
      </c>
      <c r="Q6">
        <v>0.85981153195739557</v>
      </c>
      <c r="R6">
        <v>9.3167855347705633</v>
      </c>
      <c r="S6">
        <v>30.536000259772219</v>
      </c>
      <c r="U6">
        <v>2.1281370161073707</v>
      </c>
      <c r="V6">
        <v>44.468864034746616</v>
      </c>
      <c r="W6">
        <v>20.906985566436607</v>
      </c>
      <c r="X6">
        <v>49.386285099551507</v>
      </c>
      <c r="Y6">
        <v>5.2956569059952594</v>
      </c>
      <c r="Z6">
        <v>27.591618957621783</v>
      </c>
      <c r="AA6">
        <v>2.2514391529400819</v>
      </c>
      <c r="AB6">
        <v>31.296792151543396</v>
      </c>
      <c r="AD6">
        <v>5.4375930441306943</v>
      </c>
      <c r="AE6">
        <v>11.779253615553616</v>
      </c>
      <c r="AF6">
        <v>13.095202234376824</v>
      </c>
      <c r="AG6">
        <v>16.701817682262384</v>
      </c>
      <c r="AH6">
        <v>3.1465850732031937</v>
      </c>
      <c r="AI6">
        <v>2.5312441904551535</v>
      </c>
      <c r="AK6">
        <v>48.330974964166224</v>
      </c>
    </row>
    <row r="7" spans="1:47" x14ac:dyDescent="0.2">
      <c r="A7">
        <v>6</v>
      </c>
      <c r="B7">
        <v>752</v>
      </c>
      <c r="C7">
        <v>275</v>
      </c>
      <c r="D7">
        <v>0.29890308735307097</v>
      </c>
      <c r="E7">
        <v>199.97370447655234</v>
      </c>
      <c r="F7">
        <v>53.737653120139981</v>
      </c>
      <c r="G7">
        <v>70.087485235842152</v>
      </c>
      <c r="H7">
        <v>65.475866997146241</v>
      </c>
      <c r="J7">
        <v>52.734933437113909</v>
      </c>
      <c r="L7">
        <v>3.1234604214056052</v>
      </c>
      <c r="M7">
        <v>13.349378700873402</v>
      </c>
      <c r="N7">
        <v>2.5864040824201324</v>
      </c>
      <c r="O7">
        <v>13.87657792277216</v>
      </c>
      <c r="P7">
        <v>8.5519292272209544</v>
      </c>
      <c r="Q7">
        <v>0.78214642665472756</v>
      </c>
      <c r="R7">
        <v>9.0951847249907427</v>
      </c>
      <c r="S7">
        <v>30.063792420968735</v>
      </c>
      <c r="U7">
        <v>2.0396902302157982</v>
      </c>
      <c r="V7">
        <v>44.341708532499069</v>
      </c>
      <c r="W7">
        <v>20.687125864455595</v>
      </c>
      <c r="X7">
        <v>49.152413579208037</v>
      </c>
      <c r="Y7">
        <v>5.2072017030645066</v>
      </c>
      <c r="Z7">
        <v>27.38555134877679</v>
      </c>
      <c r="AA7">
        <v>2.1668323425326887</v>
      </c>
      <c r="AB7">
        <v>31.136673444150098</v>
      </c>
      <c r="AD7">
        <v>5.3190063594269832</v>
      </c>
      <c r="AE7">
        <v>11.686891384223834</v>
      </c>
      <c r="AF7">
        <v>13.017049655535393</v>
      </c>
      <c r="AG7">
        <v>16.526716683689848</v>
      </c>
      <c r="AH7">
        <v>3.0095416363435255</v>
      </c>
      <c r="AI7">
        <v>2.5329264675762637</v>
      </c>
      <c r="AK7">
        <v>48.323326456778844</v>
      </c>
    </row>
    <row r="8" spans="1:47" x14ac:dyDescent="0.2">
      <c r="A8">
        <v>7</v>
      </c>
      <c r="B8">
        <v>751</v>
      </c>
      <c r="C8">
        <v>275</v>
      </c>
      <c r="D8">
        <v>0.29815017331445698</v>
      </c>
      <c r="E8">
        <v>199.85032272438846</v>
      </c>
      <c r="F8">
        <v>53.359768331868011</v>
      </c>
      <c r="G8">
        <v>70.025115882722403</v>
      </c>
      <c r="H8">
        <v>65.411168675254302</v>
      </c>
      <c r="J8">
        <v>52.65721513010422</v>
      </c>
      <c r="L8">
        <v>3.0411635844133125</v>
      </c>
      <c r="M8">
        <v>13.272490004584245</v>
      </c>
      <c r="N8">
        <v>2.5883766743485666</v>
      </c>
      <c r="O8">
        <v>13.503750647980238</v>
      </c>
      <c r="P8">
        <v>8.4506910846076462</v>
      </c>
      <c r="Q8">
        <v>0.70457842405918425</v>
      </c>
      <c r="R8">
        <v>8.873939927354126</v>
      </c>
      <c r="S8">
        <v>29.592507489264964</v>
      </c>
      <c r="U8">
        <v>1.9513145448180789</v>
      </c>
      <c r="V8">
        <v>44.214770959567929</v>
      </c>
      <c r="W8">
        <v>20.467546888482353</v>
      </c>
      <c r="X8">
        <v>48.918971998785167</v>
      </c>
      <c r="Y8">
        <v>5.1188988182224486</v>
      </c>
      <c r="Z8">
        <v>27.179781304470954</v>
      </c>
      <c r="AA8">
        <v>2.0823926715936611</v>
      </c>
      <c r="AB8">
        <v>30.976830026302338</v>
      </c>
      <c r="AD8">
        <v>5.2005364734402004</v>
      </c>
      <c r="AE8">
        <v>11.594656185987532</v>
      </c>
      <c r="AF8">
        <v>12.939043317470599</v>
      </c>
      <c r="AG8">
        <v>16.351893395317596</v>
      </c>
      <c r="AH8">
        <v>2.872728967192673</v>
      </c>
      <c r="AI8">
        <v>2.5346077819040129</v>
      </c>
      <c r="AK8">
        <v>48.315993836257768</v>
      </c>
    </row>
    <row r="9" spans="1:47" x14ac:dyDescent="0.2">
      <c r="A9">
        <v>8</v>
      </c>
      <c r="B9">
        <v>750</v>
      </c>
      <c r="C9">
        <v>275</v>
      </c>
      <c r="D9">
        <v>0.29739578751893703</v>
      </c>
      <c r="E9">
        <v>199.72709568100285</v>
      </c>
      <c r="F9">
        <v>52.982575563642101</v>
      </c>
      <c r="G9">
        <v>69.962829612978027</v>
      </c>
      <c r="H9">
        <v>65.34656657235999</v>
      </c>
      <c r="J9">
        <v>52.580097630294361</v>
      </c>
      <c r="L9">
        <v>2.9590326521054924</v>
      </c>
      <c r="M9">
        <v>13.195746877753226</v>
      </c>
      <c r="N9">
        <v>2.590349142331354</v>
      </c>
      <c r="O9">
        <v>13.131533929864425</v>
      </c>
      <c r="P9">
        <v>8.3496268472721944</v>
      </c>
      <c r="Q9">
        <v>0.62710616674493658</v>
      </c>
      <c r="R9">
        <v>8.6530500134104784</v>
      </c>
      <c r="S9">
        <v>29.12214262963883</v>
      </c>
      <c r="U9">
        <v>1.863009594735241</v>
      </c>
      <c r="V9">
        <v>44.088050569615724</v>
      </c>
      <c r="W9">
        <v>20.248247696778506</v>
      </c>
      <c r="X9">
        <v>48.685958856387337</v>
      </c>
      <c r="Y9">
        <v>5.0307478479494092</v>
      </c>
      <c r="Z9">
        <v>26.974307889022654</v>
      </c>
      <c r="AA9">
        <v>1.9981197493185754</v>
      </c>
      <c r="AB9">
        <v>30.817260989803906</v>
      </c>
      <c r="AD9">
        <v>5.0821833394899736</v>
      </c>
      <c r="AE9">
        <v>11.50254758219317</v>
      </c>
      <c r="AF9">
        <v>12.861182749825195</v>
      </c>
      <c r="AG9">
        <v>16.17734691554482</v>
      </c>
      <c r="AH9">
        <v>2.7361466475021499</v>
      </c>
      <c r="AI9">
        <v>2.5362881321865864</v>
      </c>
      <c r="AK9">
        <v>48.308976987870579</v>
      </c>
    </row>
    <row r="10" spans="1:47" x14ac:dyDescent="0.2">
      <c r="A10">
        <v>9</v>
      </c>
      <c r="B10">
        <v>749</v>
      </c>
      <c r="C10">
        <v>275</v>
      </c>
      <c r="D10">
        <v>0.29663992564692099</v>
      </c>
      <c r="E10">
        <v>199.60402292418703</v>
      </c>
      <c r="F10">
        <v>52.606073079286979</v>
      </c>
      <c r="G10">
        <v>69.900626263176193</v>
      </c>
      <c r="H10">
        <v>65.282060546072302</v>
      </c>
      <c r="J10">
        <v>52.503580433691738</v>
      </c>
      <c r="L10">
        <v>2.8770675154656344</v>
      </c>
      <c r="M10">
        <v>13.119148848022151</v>
      </c>
      <c r="N10">
        <v>2.5923214869367177</v>
      </c>
      <c r="O10">
        <v>12.759926429500826</v>
      </c>
      <c r="P10">
        <v>8.2487362119508258</v>
      </c>
      <c r="Q10">
        <v>0.8150269200897744</v>
      </c>
      <c r="R10">
        <v>8.432513866698903</v>
      </c>
      <c r="S10">
        <v>28.652695032475002</v>
      </c>
      <c r="U10">
        <v>1.7747750192047318</v>
      </c>
      <c r="V10">
        <v>43.961546617104894</v>
      </c>
      <c r="W10">
        <v>20.029227356282881</v>
      </c>
      <c r="X10">
        <v>48.453372663505121</v>
      </c>
      <c r="Y10">
        <v>4.9427483939665002</v>
      </c>
      <c r="Z10">
        <v>26.769130176115002</v>
      </c>
      <c r="AA10">
        <v>1.9140131895085797</v>
      </c>
      <c r="AB10">
        <v>30.657965434868437</v>
      </c>
      <c r="AD10">
        <v>4.9639469117102157</v>
      </c>
      <c r="AE10">
        <v>11.410565138368177</v>
      </c>
      <c r="AF10">
        <v>12.78346748648527</v>
      </c>
      <c r="AG10">
        <v>16.003076351180553</v>
      </c>
      <c r="AH10">
        <v>2.5997942659331135</v>
      </c>
      <c r="AI10">
        <v>2.537967517152846</v>
      </c>
      <c r="AK10">
        <v>48.302275801476256</v>
      </c>
    </row>
    <row r="11" spans="1:47" x14ac:dyDescent="0.2">
      <c r="A11">
        <v>10</v>
      </c>
      <c r="B11">
        <v>748</v>
      </c>
      <c r="C11">
        <v>275</v>
      </c>
      <c r="D11">
        <v>0.29588258336189799</v>
      </c>
      <c r="E11">
        <v>199.48110403628905</v>
      </c>
      <c r="F11">
        <v>52.230259162963506</v>
      </c>
      <c r="G11">
        <v>69.838505672225494</v>
      </c>
      <c r="H11">
        <v>65.217650456384519</v>
      </c>
      <c r="J11">
        <v>52.427663045435303</v>
      </c>
      <c r="L11">
        <v>2.7952689541597211</v>
      </c>
      <c r="M11">
        <v>13.042695447158582</v>
      </c>
      <c r="N11">
        <v>2.5942937087820077</v>
      </c>
      <c r="O11">
        <v>12.388926823998652</v>
      </c>
      <c r="P11">
        <v>8.1480188801707172</v>
      </c>
      <c r="Q11">
        <v>0.47245143407170814</v>
      </c>
      <c r="R11">
        <v>8.2123303826284371</v>
      </c>
      <c r="S11">
        <v>28.184161912967365</v>
      </c>
      <c r="U11">
        <v>1.6866104617741231</v>
      </c>
      <c r="V11">
        <v>43.835258356962825</v>
      </c>
      <c r="W11">
        <v>19.810484942286575</v>
      </c>
      <c r="X11">
        <v>48.221211944177952</v>
      </c>
      <c r="Y11">
        <v>4.8549000632058279</v>
      </c>
      <c r="Z11">
        <v>26.564247248460184</v>
      </c>
      <c r="AA11">
        <v>1.8300726105225185</v>
      </c>
      <c r="AB11">
        <v>30.498942469762255</v>
      </c>
      <c r="AD11">
        <v>4.8458271449821186</v>
      </c>
      <c r="AE11">
        <v>11.318708424043038</v>
      </c>
      <c r="AF11">
        <v>12.705897065522509</v>
      </c>
      <c r="AG11">
        <v>15.829080817156818</v>
      </c>
      <c r="AH11">
        <v>2.4636714179173969</v>
      </c>
      <c r="AI11">
        <v>2.5396459355794989</v>
      </c>
      <c r="AK11">
        <v>48.295890171574598</v>
      </c>
    </row>
    <row r="12" spans="1:47" x14ac:dyDescent="0.2">
      <c r="A12">
        <v>11</v>
      </c>
      <c r="B12">
        <v>747</v>
      </c>
      <c r="C12">
        <v>275</v>
      </c>
      <c r="D12">
        <v>0.29512375631034898</v>
      </c>
      <c r="E12">
        <v>199.35833860421579</v>
      </c>
      <c r="F12">
        <v>51.855132119277165</v>
      </c>
      <c r="G12">
        <v>69.776467681421778</v>
      </c>
      <c r="H12">
        <v>65.153336165716752</v>
      </c>
      <c r="J12">
        <v>52.352344979846265</v>
      </c>
      <c r="L12">
        <v>2.7136394620094104</v>
      </c>
      <c r="M12">
        <v>12.966386211232562</v>
      </c>
      <c r="N12">
        <v>2.5962658084164723</v>
      </c>
      <c r="O12">
        <v>12.01853380640453</v>
      </c>
      <c r="P12">
        <v>8.0474745582337093</v>
      </c>
      <c r="Q12">
        <v>0.39522890829602803</v>
      </c>
      <c r="R12">
        <v>7.9924984686094298</v>
      </c>
      <c r="S12">
        <v>27.716540511910171</v>
      </c>
      <c r="U12">
        <v>1.5985155704517824</v>
      </c>
      <c r="V12">
        <v>43.709185044656081</v>
      </c>
      <c r="W12">
        <v>19.592019538869508</v>
      </c>
      <c r="X12">
        <v>47.989475235181693</v>
      </c>
      <c r="Y12">
        <v>4.76720246783949</v>
      </c>
      <c r="Z12">
        <v>26.359658198170916</v>
      </c>
      <c r="AA12">
        <v>1.7462120988475509</v>
      </c>
      <c r="AB12">
        <v>30.340191211245106</v>
      </c>
      <c r="AD12">
        <v>4.7278239952701284</v>
      </c>
      <c r="AE12">
        <v>11.226977012927655</v>
      </c>
      <c r="AF12">
        <v>12.628471029254966</v>
      </c>
      <c r="AG12">
        <v>15.65535943684622</v>
      </c>
      <c r="AH12">
        <v>2.3277777058364699</v>
      </c>
      <c r="AI12">
        <v>2.541323386176082</v>
      </c>
      <c r="AK12">
        <v>48.289819997226054</v>
      </c>
    </row>
    <row r="13" spans="1:47" x14ac:dyDescent="0.2">
      <c r="A13">
        <v>12</v>
      </c>
      <c r="B13">
        <v>746</v>
      </c>
      <c r="C13">
        <v>275</v>
      </c>
      <c r="D13">
        <v>0.29436344012167098</v>
      </c>
      <c r="E13">
        <v>199.23572621915852</v>
      </c>
      <c r="F13">
        <v>51.480690272235677</v>
      </c>
      <c r="G13">
        <v>69.714512134286593</v>
      </c>
      <c r="H13">
        <v>65.089117538757165</v>
      </c>
      <c r="J13">
        <v>52.277625759892892</v>
      </c>
      <c r="L13">
        <v>2.6321256293261066</v>
      </c>
      <c r="M13">
        <v>12.890220680164452</v>
      </c>
      <c r="N13">
        <v>2.5982377864759716</v>
      </c>
      <c r="O13">
        <v>11.648746085273135</v>
      </c>
      <c r="P13">
        <v>7.9471029570400438</v>
      </c>
      <c r="Q13">
        <v>0.31813597816110806</v>
      </c>
      <c r="R13">
        <v>7.7730170433537253</v>
      </c>
      <c r="S13">
        <v>27.249828093447281</v>
      </c>
      <c r="U13">
        <v>1.5104899973216888</v>
      </c>
      <c r="V13">
        <v>43.583325935277557</v>
      </c>
      <c r="W13">
        <v>19.373830237985828</v>
      </c>
      <c r="X13">
        <v>47.75816108544899</v>
      </c>
      <c r="Y13">
        <v>4.6796552250551029</v>
      </c>
      <c r="Z13">
        <v>26.155362126053539</v>
      </c>
      <c r="AA13">
        <v>1.6626018119723085</v>
      </c>
      <c r="AB13">
        <v>30.181710783710788</v>
      </c>
      <c r="AD13">
        <v>4.609937419289988</v>
      </c>
      <c r="AE13">
        <v>11.135370482611364</v>
      </c>
      <c r="AF13">
        <v>12.551188923955786</v>
      </c>
      <c r="AG13">
        <v>15.481911341364844</v>
      </c>
      <c r="AH13">
        <v>2.1921127385062502</v>
      </c>
      <c r="AI13">
        <v>2.542999867738045</v>
      </c>
      <c r="AK13">
        <v>48.284065181891599</v>
      </c>
    </row>
    <row r="14" spans="1:47" x14ac:dyDescent="0.2">
      <c r="A14">
        <v>13</v>
      </c>
      <c r="B14">
        <v>745</v>
      </c>
      <c r="C14">
        <v>275</v>
      </c>
      <c r="D14">
        <v>0.29360163040809401</v>
      </c>
      <c r="E14">
        <v>199.11326647691769</v>
      </c>
      <c r="F14">
        <v>51.106931966289309</v>
      </c>
      <c r="G14">
        <v>69.652638876729654</v>
      </c>
      <c r="H14">
        <v>65.024994442624518</v>
      </c>
      <c r="J14">
        <v>52.203504917773301</v>
      </c>
      <c r="L14">
        <v>2.5508311861161745</v>
      </c>
      <c r="M14">
        <v>12.814198398167777</v>
      </c>
      <c r="N14">
        <v>2.6002096435365285</v>
      </c>
      <c r="O14">
        <v>11.279562385003628</v>
      </c>
      <c r="P14">
        <v>7.8469037922764979</v>
      </c>
      <c r="Q14">
        <v>0.24110482184803886</v>
      </c>
      <c r="R14">
        <v>7.5538850375875004</v>
      </c>
      <c r="S14">
        <v>26.784021947245126</v>
      </c>
      <c r="U14">
        <v>1.4225333989131295</v>
      </c>
      <c r="V14">
        <v>43.457680284133446</v>
      </c>
      <c r="W14">
        <v>19.155916140277352</v>
      </c>
      <c r="X14">
        <v>47.527268056767277</v>
      </c>
      <c r="Y14">
        <v>4.592257957291511</v>
      </c>
      <c r="Z14">
        <v>25.951358142140958</v>
      </c>
      <c r="AA14">
        <v>1.5791563874413623</v>
      </c>
      <c r="AB14">
        <v>30.023500319907992</v>
      </c>
      <c r="AD14">
        <v>4.4921673749802178</v>
      </c>
      <c r="AE14">
        <v>11.043888414744531</v>
      </c>
      <c r="AF14">
        <v>12.47405030013633</v>
      </c>
      <c r="AG14">
        <v>15.308735670142227</v>
      </c>
      <c r="AH14">
        <v>2.0566761316850082</v>
      </c>
      <c r="AI14">
        <v>2.5446753790011178</v>
      </c>
      <c r="AK14">
        <v>48.278625633652496</v>
      </c>
    </row>
    <row r="15" spans="1:47" x14ac:dyDescent="0.2">
      <c r="A15">
        <v>14</v>
      </c>
      <c r="B15">
        <v>744</v>
      </c>
      <c r="C15">
        <v>275</v>
      </c>
      <c r="D15">
        <v>0.29283832276459099</v>
      </c>
      <c r="E15">
        <v>198.99095897767253</v>
      </c>
      <c r="F15">
        <v>50.733855565526191</v>
      </c>
      <c r="G15">
        <v>69.590847756940533</v>
      </c>
      <c r="H15">
        <v>64.960966746757421</v>
      </c>
      <c r="J15">
        <v>52.129981994493193</v>
      </c>
      <c r="L15">
        <v>2.4696560931584899</v>
      </c>
      <c r="M15">
        <v>12.738318913479612</v>
      </c>
      <c r="N15">
        <v>2.6021813801760287</v>
      </c>
      <c r="O15">
        <v>10.910981445454576</v>
      </c>
      <c r="P15">
        <v>7.7468767842529322</v>
      </c>
      <c r="Q15">
        <v>0.1641981521091222</v>
      </c>
      <c r="R15">
        <v>7.3351013935546092</v>
      </c>
      <c r="S15">
        <v>26.319119387103154</v>
      </c>
      <c r="U15">
        <v>1.3346454359765685</v>
      </c>
      <c r="V15">
        <v>43.332247346074759</v>
      </c>
      <c r="W15">
        <v>18.938276354584151</v>
      </c>
      <c r="X15">
        <v>47.296794723307222</v>
      </c>
      <c r="Y15">
        <v>4.5050102920652</v>
      </c>
      <c r="Z15">
        <v>25.747645365350795</v>
      </c>
      <c r="AA15">
        <v>1.4958754616568404</v>
      </c>
      <c r="AB15">
        <v>29.865558960508871</v>
      </c>
      <c r="AD15">
        <v>4.3745138213775245</v>
      </c>
      <c r="AE15">
        <v>10.952530394915152</v>
      </c>
      <c r="AF15">
        <v>12.397054712350368</v>
      </c>
      <c r="AG15">
        <v>15.135831570551385</v>
      </c>
      <c r="AH15">
        <v>1.9214675077453385</v>
      </c>
      <c r="AI15">
        <v>2.546349918702544</v>
      </c>
      <c r="AK15">
        <v>48.273501265018425</v>
      </c>
    </row>
    <row r="16" spans="1:47" x14ac:dyDescent="0.2">
      <c r="A16">
        <v>15</v>
      </c>
      <c r="B16">
        <v>743</v>
      </c>
      <c r="C16">
        <v>275</v>
      </c>
      <c r="D16">
        <v>0.29207351276878402</v>
      </c>
      <c r="E16">
        <v>198.86880332583343</v>
      </c>
      <c r="F16">
        <v>50.361459453209903</v>
      </c>
      <c r="G16">
        <v>69.529138625331015</v>
      </c>
      <c r="H16">
        <v>64.897034322859525</v>
      </c>
      <c r="J16">
        <v>52.057056539593674</v>
      </c>
      <c r="L16">
        <v>2.3886566295115843</v>
      </c>
      <c r="M16">
        <v>12.662581778212726</v>
      </c>
      <c r="N16">
        <v>2.6041529969944772</v>
      </c>
      <c r="O16">
        <v>10.543002021696687</v>
      </c>
      <c r="P16">
        <v>7.6470216578128856</v>
      </c>
      <c r="Q16">
        <v>8.7354004889296219E-2</v>
      </c>
      <c r="R16">
        <v>7.1166650647130201</v>
      </c>
      <c r="S16">
        <v>25.855117750194072</v>
      </c>
      <c r="U16">
        <v>1.2468257733527046</v>
      </c>
      <c r="V16">
        <v>43.207026375013939</v>
      </c>
      <c r="W16">
        <v>18.72090999770823</v>
      </c>
      <c r="X16">
        <v>47.066739670770247</v>
      </c>
      <c r="Y16">
        <v>4.4179118618745612</v>
      </c>
      <c r="Z16">
        <v>25.544222923321108</v>
      </c>
      <c r="AA16">
        <v>1.4127586752244534</v>
      </c>
      <c r="AB16">
        <v>29.707885853890645</v>
      </c>
      <c r="AD16">
        <v>4.2569767186041823</v>
      </c>
      <c r="AE16">
        <v>10.861296012588788</v>
      </c>
      <c r="AF16">
        <v>12.320201719066013</v>
      </c>
      <c r="AG16">
        <v>14.96319819771557</v>
      </c>
      <c r="AH16">
        <v>1.7864864955026207</v>
      </c>
      <c r="AI16">
        <v>2.5480234856025006</v>
      </c>
      <c r="AK16">
        <v>48.268691992790615</v>
      </c>
    </row>
    <row r="17" spans="1:37" x14ac:dyDescent="0.2">
      <c r="A17">
        <v>16</v>
      </c>
      <c r="B17">
        <v>742</v>
      </c>
      <c r="C17">
        <v>275</v>
      </c>
      <c r="D17">
        <v>0.291307195980888</v>
      </c>
      <c r="E17">
        <v>198.74679913030462</v>
      </c>
      <c r="F17">
        <v>49.989742032452384</v>
      </c>
      <c r="G17">
        <v>69.467511334623708</v>
      </c>
      <c r="H17">
        <v>64.833197044986804</v>
      </c>
      <c r="J17">
        <v>51.984728111602656</v>
      </c>
      <c r="L17">
        <v>2.3077873977974597</v>
      </c>
      <c r="M17">
        <v>12.58698654856723</v>
      </c>
      <c r="N17">
        <v>2.6061244945830304</v>
      </c>
      <c r="O17">
        <v>10.17562288425551</v>
      </c>
      <c r="P17">
        <v>7.5473381424763009</v>
      </c>
      <c r="Q17">
        <v>1.0635100190973162E-2</v>
      </c>
      <c r="R17">
        <v>6.8985750161834005</v>
      </c>
      <c r="S17">
        <v>25.392014398111741</v>
      </c>
      <c r="U17">
        <v>1.1590740801477886</v>
      </c>
      <c r="V17">
        <v>43.082016624182124</v>
      </c>
      <c r="W17">
        <v>18.503816194656661</v>
      </c>
      <c r="X17">
        <v>46.837101497856906</v>
      </c>
      <c r="Y17">
        <v>4.3309623043525933</v>
      </c>
      <c r="Z17">
        <v>25.341089952472082</v>
      </c>
      <c r="AA17">
        <v>1.3298056731022807</v>
      </c>
      <c r="AB17">
        <v>29.550480156319999</v>
      </c>
      <c r="AD17">
        <v>4.139556028050932</v>
      </c>
      <c r="AE17">
        <v>10.770184861071652</v>
      </c>
      <c r="AF17">
        <v>12.243490882836166</v>
      </c>
      <c r="AG17">
        <v>14.790834714654489</v>
      </c>
      <c r="AH17">
        <v>1.6517327304674985</v>
      </c>
      <c r="AI17">
        <v>2.5496960784509182</v>
      </c>
      <c r="AK17">
        <v>48.264197738326331</v>
      </c>
    </row>
    <row r="18" spans="1:37" x14ac:dyDescent="0.2">
      <c r="A18">
        <v>17</v>
      </c>
      <c r="B18">
        <v>741</v>
      </c>
      <c r="C18">
        <v>275</v>
      </c>
      <c r="D18">
        <v>0.29053936794360102</v>
      </c>
      <c r="E18">
        <v>198.55690900838633</v>
      </c>
      <c r="F18">
        <v>49.188842986209451</v>
      </c>
      <c r="G18">
        <v>69.33106081046634</v>
      </c>
      <c r="H18">
        <v>64.694549860161771</v>
      </c>
      <c r="J18">
        <v>51.839693343036544</v>
      </c>
      <c r="L18">
        <v>2.1056672873259124</v>
      </c>
      <c r="M18">
        <v>12.579424551502376</v>
      </c>
      <c r="N18">
        <v>2.6080888573329717</v>
      </c>
      <c r="O18">
        <v>9.3197288537712328</v>
      </c>
      <c r="P18">
        <v>7.2980090974816534</v>
      </c>
      <c r="R18">
        <v>6.6231916484906064</v>
      </c>
      <c r="S18">
        <v>25.06614714824163</v>
      </c>
      <c r="U18">
        <v>1.1115067761986235</v>
      </c>
      <c r="V18">
        <v>43.098234995368756</v>
      </c>
      <c r="W18">
        <v>18.283552223182465</v>
      </c>
      <c r="X18">
        <v>46.734703654217164</v>
      </c>
      <c r="Y18">
        <v>4.0987580211516308</v>
      </c>
      <c r="Z18">
        <v>24.923641964454937</v>
      </c>
      <c r="AA18">
        <v>1.1150689961855824</v>
      </c>
      <c r="AB18">
        <v>29.479163662728006</v>
      </c>
      <c r="AD18">
        <v>3.8864638309457087</v>
      </c>
      <c r="AE18">
        <v>10.610140610234474</v>
      </c>
      <c r="AF18">
        <v>12.234806520789745</v>
      </c>
      <c r="AG18">
        <v>14.704555906874482</v>
      </c>
      <c r="AH18">
        <v>1.3043871254272237</v>
      </c>
      <c r="AI18">
        <v>2.5513606797989046</v>
      </c>
      <c r="AK18">
        <v>48.159525956881417</v>
      </c>
    </row>
    <row r="19" spans="1:37" x14ac:dyDescent="0.2">
      <c r="A19">
        <v>18</v>
      </c>
      <c r="B19">
        <v>740</v>
      </c>
      <c r="C19">
        <v>275</v>
      </c>
      <c r="D19">
        <v>0.28977002418201098</v>
      </c>
      <c r="E19">
        <v>198.358170541573</v>
      </c>
      <c r="F19">
        <v>48.326432104116428</v>
      </c>
      <c r="G19">
        <v>69.183037809578749</v>
      </c>
      <c r="H19">
        <v>64.544343546522825</v>
      </c>
      <c r="J19">
        <v>51.680353220472547</v>
      </c>
      <c r="L19">
        <v>1.883835633914583</v>
      </c>
      <c r="M19">
        <v>12.581896904005474</v>
      </c>
      <c r="N19">
        <v>2.6100517891906438</v>
      </c>
      <c r="O19">
        <v>8.3897680950532791</v>
      </c>
      <c r="P19">
        <v>7.0255417638309892</v>
      </c>
      <c r="R19">
        <v>6.333692576999157</v>
      </c>
      <c r="S19">
        <v>24.748500143725842</v>
      </c>
      <c r="U19">
        <v>1.0715134676317335</v>
      </c>
      <c r="V19">
        <v>43.129718287883534</v>
      </c>
      <c r="W19">
        <v>18.064693575202202</v>
      </c>
      <c r="X19">
        <v>46.655809141983227</v>
      </c>
      <c r="Y19">
        <v>3.8441778231505737</v>
      </c>
      <c r="Z19">
        <v>24.475704573087881</v>
      </c>
      <c r="AA19">
        <v>0.87997060394565052</v>
      </c>
      <c r="AB19">
        <v>29.415412568435389</v>
      </c>
      <c r="AD19">
        <v>3.6133541730710941</v>
      </c>
      <c r="AE19">
        <v>10.440994175797924</v>
      </c>
      <c r="AF19">
        <v>12.236155459650208</v>
      </c>
      <c r="AG19">
        <v>14.625843679846389</v>
      </c>
      <c r="AH19">
        <v>0.9240854816915961</v>
      </c>
      <c r="AI19">
        <v>2.5530229917521594</v>
      </c>
      <c r="AK19">
        <v>48.039727048269654</v>
      </c>
    </row>
    <row r="20" spans="1:37" x14ac:dyDescent="0.2">
      <c r="A20">
        <v>19</v>
      </c>
      <c r="B20">
        <v>739</v>
      </c>
      <c r="C20">
        <v>275</v>
      </c>
      <c r="D20">
        <v>0.28899916020352701</v>
      </c>
      <c r="E20">
        <v>198.73340299414463</v>
      </c>
      <c r="F20">
        <v>47.65774479714328</v>
      </c>
      <c r="G20">
        <v>69.40589965281535</v>
      </c>
      <c r="H20">
        <v>64.765035446384388</v>
      </c>
      <c r="J20">
        <v>41.622282393079573</v>
      </c>
      <c r="L20">
        <v>1.5835977013763769</v>
      </c>
      <c r="M20">
        <v>12.08424061089292</v>
      </c>
      <c r="N20">
        <v>2.6120707920988977</v>
      </c>
      <c r="O20">
        <v>5.9269635405638921</v>
      </c>
      <c r="P20">
        <v>7.4949083088592712</v>
      </c>
      <c r="R20">
        <v>6.0385091385408263</v>
      </c>
      <c r="S20">
        <v>24.553041993502536</v>
      </c>
      <c r="U20">
        <v>0.98542291844036167</v>
      </c>
      <c r="V20">
        <v>44.047145116445854</v>
      </c>
      <c r="W20">
        <v>17.443632152288636</v>
      </c>
      <c r="X20">
        <v>46.443803933177577</v>
      </c>
      <c r="Y20">
        <v>3.7958140268463838</v>
      </c>
      <c r="Z20">
        <v>20.860769115225093</v>
      </c>
      <c r="AB20">
        <v>27.938158829414601</v>
      </c>
      <c r="AD20">
        <v>1.8841390773514732</v>
      </c>
      <c r="AE20">
        <v>8.2048554407286129</v>
      </c>
      <c r="AF20">
        <v>11.737432211981032</v>
      </c>
      <c r="AG20">
        <v>13.133687497708134</v>
      </c>
      <c r="AI20">
        <v>2.5547405144127739</v>
      </c>
      <c r="AK20">
        <v>41.102890990134526</v>
      </c>
    </row>
    <row r="21" spans="1:37" x14ac:dyDescent="0.2">
      <c r="A21">
        <v>20</v>
      </c>
      <c r="B21">
        <v>738</v>
      </c>
      <c r="C21">
        <v>275</v>
      </c>
      <c r="D21">
        <v>0.28822677149780002</v>
      </c>
      <c r="E21">
        <v>199.17836062838489</v>
      </c>
      <c r="F21">
        <v>47.643193627976011</v>
      </c>
      <c r="G21">
        <v>69.519676182993962</v>
      </c>
      <c r="H21">
        <v>64.876655424066172</v>
      </c>
      <c r="J21">
        <v>34.189973551539588</v>
      </c>
      <c r="L21">
        <v>1.6378883907782729</v>
      </c>
      <c r="M21">
        <v>11.318002695894133</v>
      </c>
      <c r="N21">
        <v>2.6140866440808304</v>
      </c>
      <c r="O21">
        <v>5.6973171004222207</v>
      </c>
      <c r="P21">
        <v>7.7461092199755948</v>
      </c>
      <c r="R21">
        <v>5.6999255893160248</v>
      </c>
      <c r="S21">
        <v>25.352196709506924</v>
      </c>
      <c r="U21">
        <v>0.94386029442754493</v>
      </c>
      <c r="V21">
        <v>45.211910339339838</v>
      </c>
      <c r="W21">
        <v>16.612710671332671</v>
      </c>
      <c r="X21">
        <v>46.358690572031819</v>
      </c>
      <c r="Y21">
        <v>3.8687020278293853</v>
      </c>
      <c r="Z21">
        <v>18.516249603705518</v>
      </c>
      <c r="AB21">
        <v>27.367442114978413</v>
      </c>
      <c r="AD21">
        <v>0.75221543704568328</v>
      </c>
      <c r="AE21">
        <v>6.8106573255534908</v>
      </c>
      <c r="AF21">
        <v>10.97012458535364</v>
      </c>
      <c r="AG21">
        <v>12.548067814040349</v>
      </c>
      <c r="AI21">
        <v>2.5564540239640183</v>
      </c>
      <c r="AK21">
        <v>35.89499713710903</v>
      </c>
    </row>
    <row r="22" spans="1:37" x14ac:dyDescent="0.2">
      <c r="A22">
        <v>21</v>
      </c>
      <c r="B22">
        <v>737</v>
      </c>
      <c r="C22">
        <v>275</v>
      </c>
      <c r="D22">
        <v>0.28745285353660599</v>
      </c>
      <c r="E22">
        <v>199.47841355554797</v>
      </c>
      <c r="F22">
        <v>47.956352659581363</v>
      </c>
      <c r="G22">
        <v>69.560525966719197</v>
      </c>
      <c r="H22">
        <v>64.915362067717069</v>
      </c>
      <c r="J22">
        <v>30.641950567982541</v>
      </c>
      <c r="L22">
        <v>1.6709556939041832</v>
      </c>
      <c r="M22">
        <v>10.724582653290385</v>
      </c>
      <c r="N22">
        <v>2.6160871206118115</v>
      </c>
      <c r="O22">
        <v>5.5911308197956302</v>
      </c>
      <c r="P22">
        <v>7.8514494296785635</v>
      </c>
      <c r="R22">
        <v>5.3629825367705442</v>
      </c>
      <c r="S22">
        <v>25.921205939745168</v>
      </c>
      <c r="U22">
        <v>0.91651482936637851</v>
      </c>
      <c r="V22">
        <v>46.063521246474643</v>
      </c>
      <c r="W22">
        <v>15.948324045467663</v>
      </c>
      <c r="X22">
        <v>46.314601318627439</v>
      </c>
      <c r="Y22">
        <v>3.8896267964755813</v>
      </c>
      <c r="Z22">
        <v>17.579067137442781</v>
      </c>
      <c r="AB22">
        <v>27.40340938814505</v>
      </c>
      <c r="AD22">
        <v>0.2855387066407658</v>
      </c>
      <c r="AE22">
        <v>6.2527823867377759</v>
      </c>
      <c r="AF22">
        <v>10.37561985535161</v>
      </c>
      <c r="AG22">
        <v>12.569119373597088</v>
      </c>
      <c r="AI22">
        <v>2.5581512940403859</v>
      </c>
      <c r="AK22">
        <v>33.353144079423728</v>
      </c>
    </row>
    <row r="23" spans="1:37" x14ac:dyDescent="0.2">
      <c r="A23">
        <v>22</v>
      </c>
      <c r="B23">
        <v>736</v>
      </c>
      <c r="C23">
        <v>275</v>
      </c>
      <c r="D23">
        <v>0.28667740177377199</v>
      </c>
      <c r="E23">
        <v>199.67482215497134</v>
      </c>
      <c r="F23">
        <v>48.546435267128643</v>
      </c>
      <c r="G23">
        <v>69.532193550090483</v>
      </c>
      <c r="H23">
        <v>64.88489994502504</v>
      </c>
      <c r="J23">
        <v>28.29491313637223</v>
      </c>
      <c r="L23">
        <v>1.6910917477659604</v>
      </c>
      <c r="M23">
        <v>10.206786958538018</v>
      </c>
      <c r="N23">
        <v>2.6180785430399736</v>
      </c>
      <c r="O23">
        <v>5.6093618995703585</v>
      </c>
      <c r="P23">
        <v>7.8184243754016531</v>
      </c>
      <c r="R23">
        <v>4.9925856856543342</v>
      </c>
      <c r="S23">
        <v>26.439533392724535</v>
      </c>
      <c r="U23">
        <v>0.89241018589633958</v>
      </c>
      <c r="V23">
        <v>46.781808868709867</v>
      </c>
      <c r="W23">
        <v>15.358148752184999</v>
      </c>
      <c r="X23">
        <v>46.280040809507859</v>
      </c>
      <c r="Y23">
        <v>3.859658817290863</v>
      </c>
      <c r="Z23">
        <v>17.822587321456709</v>
      </c>
      <c r="AB23">
        <v>28.042413995176172</v>
      </c>
      <c r="AE23">
        <v>6.3866769264555936</v>
      </c>
      <c r="AF23">
        <v>9.8567308246221863</v>
      </c>
      <c r="AG23">
        <v>13.193201850276322</v>
      </c>
      <c r="AI23">
        <v>2.559838644149484</v>
      </c>
      <c r="AK23">
        <v>31.641493894306237</v>
      </c>
    </row>
    <row r="24" spans="1:37" x14ac:dyDescent="0.2">
      <c r="A24">
        <v>23</v>
      </c>
      <c r="B24">
        <v>735</v>
      </c>
      <c r="C24">
        <v>275</v>
      </c>
      <c r="D24">
        <v>0.285900411645091</v>
      </c>
      <c r="E24">
        <v>199.84785159910368</v>
      </c>
      <c r="F24">
        <v>49.005097994462716</v>
      </c>
      <c r="G24">
        <v>69.514618302720308</v>
      </c>
      <c r="H24">
        <v>64.865208447232561</v>
      </c>
      <c r="J24">
        <v>26.633337697896703</v>
      </c>
      <c r="L24">
        <v>1.7088893015089852</v>
      </c>
      <c r="M24">
        <v>9.7590761349739239</v>
      </c>
      <c r="N24">
        <v>2.6200675412017138</v>
      </c>
      <c r="O24">
        <v>5.6011956133295824</v>
      </c>
      <c r="P24">
        <v>7.8069194501539156</v>
      </c>
      <c r="R24">
        <v>4.6746380272203156</v>
      </c>
      <c r="S24">
        <v>26.870199521886374</v>
      </c>
      <c r="U24">
        <v>0.86912958505831472</v>
      </c>
      <c r="V24">
        <v>47.395945709597854</v>
      </c>
      <c r="W24">
        <v>14.837663619195004</v>
      </c>
      <c r="X24">
        <v>46.24804829075714</v>
      </c>
      <c r="Y24">
        <v>3.8422087574426795</v>
      </c>
      <c r="Z24">
        <v>17.864968580918383</v>
      </c>
      <c r="AB24">
        <v>28.490849917871262</v>
      </c>
      <c r="AE24">
        <v>6.4036357416928675</v>
      </c>
      <c r="AF24">
        <v>9.4079246521972522</v>
      </c>
      <c r="AG24">
        <v>13.626715862014446</v>
      </c>
      <c r="AI24">
        <v>2.5615227022878813</v>
      </c>
      <c r="AK24">
        <v>30.411329006804383</v>
      </c>
    </row>
    <row r="25" spans="1:37" x14ac:dyDescent="0.2">
      <c r="A25">
        <v>24</v>
      </c>
      <c r="B25">
        <v>734</v>
      </c>
      <c r="C25">
        <v>275</v>
      </c>
      <c r="D25">
        <v>0.28512187856823701</v>
      </c>
      <c r="E25">
        <v>199.9987067792793</v>
      </c>
      <c r="F25">
        <v>49.415810992042196</v>
      </c>
      <c r="G25">
        <v>69.496700879709167</v>
      </c>
      <c r="H25">
        <v>64.845188251113356</v>
      </c>
      <c r="J25">
        <v>25.350075835988104</v>
      </c>
      <c r="L25">
        <v>1.7244615263777123</v>
      </c>
      <c r="M25">
        <v>9.3560093733170238</v>
      </c>
      <c r="N25">
        <v>2.6220543429894541</v>
      </c>
      <c r="O25">
        <v>5.590046747310498</v>
      </c>
      <c r="P25">
        <v>7.794736216047875</v>
      </c>
      <c r="R25">
        <v>4.3828919089987926</v>
      </c>
      <c r="S25">
        <v>27.251242542183604</v>
      </c>
      <c r="U25">
        <v>0.84626100347631938</v>
      </c>
      <c r="V25">
        <v>47.942780885470818</v>
      </c>
      <c r="W25">
        <v>14.36162475251419</v>
      </c>
      <c r="X25">
        <v>46.217442198682242</v>
      </c>
      <c r="Y25">
        <v>3.8270326573057356</v>
      </c>
      <c r="Z25">
        <v>17.902231423104737</v>
      </c>
      <c r="AB25">
        <v>28.890215408326675</v>
      </c>
      <c r="AE25">
        <v>6.4180167455962094</v>
      </c>
      <c r="AF25">
        <v>9.0037607625558405</v>
      </c>
      <c r="AG25">
        <v>14.01115989512682</v>
      </c>
      <c r="AI25">
        <v>2.5632036945079388</v>
      </c>
      <c r="AK25">
        <v>29.44883701978554</v>
      </c>
    </row>
    <row r="26" spans="1:37" x14ac:dyDescent="0.2">
      <c r="A26">
        <v>25</v>
      </c>
      <c r="B26">
        <v>757</v>
      </c>
      <c r="C26">
        <v>250</v>
      </c>
      <c r="D26">
        <v>0.32934087268844398</v>
      </c>
      <c r="E26">
        <v>185.99706280175042</v>
      </c>
      <c r="F26">
        <v>55.10783365693424</v>
      </c>
      <c r="G26">
        <v>70.397771621109612</v>
      </c>
      <c r="H26">
        <v>65.796827565645955</v>
      </c>
      <c r="J26">
        <v>52.653644255253745</v>
      </c>
      <c r="L26">
        <v>3.438385506129467</v>
      </c>
      <c r="M26">
        <v>13.687603751697875</v>
      </c>
      <c r="N26">
        <v>2.4938987517354718</v>
      </c>
      <c r="O26">
        <v>15.863035739864804</v>
      </c>
      <c r="P26">
        <v>8.8312917677555589</v>
      </c>
      <c r="Q26">
        <v>0.74330092300151618</v>
      </c>
      <c r="R26">
        <v>10.209182686037302</v>
      </c>
      <c r="S26">
        <v>31.878533042915652</v>
      </c>
      <c r="U26">
        <v>2.3303381514774659</v>
      </c>
      <c r="V26">
        <v>44.410267358579304</v>
      </c>
      <c r="W26">
        <v>22.284190826608338</v>
      </c>
      <c r="X26">
        <v>48.776016773207445</v>
      </c>
      <c r="Y26">
        <v>5.448391802086614</v>
      </c>
      <c r="Z26">
        <v>28.357382482320148</v>
      </c>
      <c r="AA26">
        <v>2.5198150397115895</v>
      </c>
      <c r="AB26">
        <v>31.931340674611356</v>
      </c>
      <c r="AC26">
        <v>8.5268770260910325E-3</v>
      </c>
      <c r="AD26">
        <v>5.8648305488942816</v>
      </c>
      <c r="AE26">
        <v>12.320171460973921</v>
      </c>
      <c r="AF26">
        <v>13.355301096357088</v>
      </c>
      <c r="AG26">
        <v>17.421718532305075</v>
      </c>
      <c r="AH26">
        <v>3.1841972095781172</v>
      </c>
      <c r="AI26">
        <v>2.4386565755626823</v>
      </c>
      <c r="AK26">
        <v>47.999753169253623</v>
      </c>
    </row>
    <row r="27" spans="1:37" x14ac:dyDescent="0.2">
      <c r="A27">
        <v>26</v>
      </c>
      <c r="B27">
        <v>756</v>
      </c>
      <c r="C27">
        <v>250</v>
      </c>
      <c r="D27">
        <v>0.32862119224602798</v>
      </c>
      <c r="E27">
        <v>185.89416080869901</v>
      </c>
      <c r="F27">
        <v>54.798509340290124</v>
      </c>
      <c r="G27">
        <v>70.345635236045268</v>
      </c>
      <c r="H27">
        <v>65.742286682374242</v>
      </c>
      <c r="J27">
        <v>52.611354916883634</v>
      </c>
      <c r="L27">
        <v>3.3670229341101221</v>
      </c>
      <c r="M27">
        <v>13.639877924942473</v>
      </c>
      <c r="N27">
        <v>2.4869594587750155</v>
      </c>
      <c r="O27">
        <v>15.516179480767653</v>
      </c>
      <c r="P27">
        <v>8.7415589046217992</v>
      </c>
      <c r="Q27">
        <v>0.68802120267721489</v>
      </c>
      <c r="R27">
        <v>10.035448342243354</v>
      </c>
      <c r="S27">
        <v>31.548474071347286</v>
      </c>
      <c r="U27">
        <v>2.2667230074305649</v>
      </c>
      <c r="V27">
        <v>44.332506705857632</v>
      </c>
      <c r="W27">
        <v>22.118436313879155</v>
      </c>
      <c r="X27">
        <v>48.628122170790029</v>
      </c>
      <c r="Y27">
        <v>5.3749344726820105</v>
      </c>
      <c r="Z27">
        <v>28.190664039056195</v>
      </c>
      <c r="AA27">
        <v>2.4459214448609128</v>
      </c>
      <c r="AB27">
        <v>31.82101302400612</v>
      </c>
      <c r="AD27">
        <v>5.7722853729070769</v>
      </c>
      <c r="AE27">
        <v>12.242783539961099</v>
      </c>
      <c r="AF27">
        <v>13.297540695929582</v>
      </c>
      <c r="AG27">
        <v>17.287519343051226</v>
      </c>
      <c r="AH27">
        <v>3.0797407663054868</v>
      </c>
      <c r="AI27">
        <v>2.4314313056576182</v>
      </c>
      <c r="AK27">
        <v>48.005003634875791</v>
      </c>
    </row>
    <row r="28" spans="1:37" x14ac:dyDescent="0.2">
      <c r="A28">
        <v>27</v>
      </c>
      <c r="B28">
        <v>755</v>
      </c>
      <c r="C28">
        <v>250</v>
      </c>
      <c r="D28">
        <v>0.32790011185138401</v>
      </c>
      <c r="E28">
        <v>185.77056545996018</v>
      </c>
      <c r="F28">
        <v>54.420102768773589</v>
      </c>
      <c r="G28">
        <v>70.283109239451989</v>
      </c>
      <c r="H28">
        <v>65.677369220964081</v>
      </c>
      <c r="J28">
        <v>52.53110585505658</v>
      </c>
      <c r="L28">
        <v>3.2845673025153994</v>
      </c>
      <c r="M28">
        <v>13.563136675411663</v>
      </c>
      <c r="N28">
        <v>2.4889349623777739</v>
      </c>
      <c r="O28">
        <v>15.141827540372635</v>
      </c>
      <c r="P28">
        <v>8.639969360179796</v>
      </c>
      <c r="Q28">
        <v>0.61055559449136743</v>
      </c>
      <c r="R28">
        <v>9.8141861621960338</v>
      </c>
      <c r="S28">
        <v>31.076246836080998</v>
      </c>
      <c r="U28">
        <v>2.1781521035000817</v>
      </c>
      <c r="V28">
        <v>44.20579974109841</v>
      </c>
      <c r="W28">
        <v>21.898623737762279</v>
      </c>
      <c r="X28">
        <v>48.395009412722708</v>
      </c>
      <c r="Y28">
        <v>5.2863790050232078</v>
      </c>
      <c r="Z28">
        <v>27.986014936762281</v>
      </c>
      <c r="AA28">
        <v>2.3613568421949238</v>
      </c>
      <c r="AB28">
        <v>31.661722549635765</v>
      </c>
      <c r="AD28">
        <v>5.6548255773864788</v>
      </c>
      <c r="AE28">
        <v>12.151032460269059</v>
      </c>
      <c r="AF28">
        <v>13.219679972049926</v>
      </c>
      <c r="AG28">
        <v>17.113274647940983</v>
      </c>
      <c r="AH28">
        <v>2.9426557614166331</v>
      </c>
      <c r="AI28">
        <v>2.4331200014127021</v>
      </c>
      <c r="AK28">
        <v>47.996445448634368</v>
      </c>
    </row>
    <row r="29" spans="1:37" x14ac:dyDescent="0.2">
      <c r="A29">
        <v>28</v>
      </c>
      <c r="B29">
        <v>754</v>
      </c>
      <c r="C29">
        <v>250</v>
      </c>
      <c r="D29">
        <v>0.32717762741566497</v>
      </c>
      <c r="E29">
        <v>185.64711996586229</v>
      </c>
      <c r="F29">
        <v>54.042373759474287</v>
      </c>
      <c r="G29">
        <v>70.220664313356096</v>
      </c>
      <c r="H29">
        <v>65.612545884279243</v>
      </c>
      <c r="J29">
        <v>52.451445362258553</v>
      </c>
      <c r="L29">
        <v>3.2022760541367497</v>
      </c>
      <c r="M29">
        <v>13.486538294675819</v>
      </c>
      <c r="N29">
        <v>2.4909103411848208</v>
      </c>
      <c r="O29">
        <v>14.768075176866459</v>
      </c>
      <c r="P29">
        <v>8.5385495998389835</v>
      </c>
      <c r="Q29">
        <v>0.53321907337410901</v>
      </c>
      <c r="R29">
        <v>9.5932708843902734</v>
      </c>
      <c r="S29">
        <v>30.604920470951118</v>
      </c>
      <c r="U29">
        <v>2.0896459200559336</v>
      </c>
      <c r="V29">
        <v>44.079304272786217</v>
      </c>
      <c r="W29">
        <v>21.679087723314009</v>
      </c>
      <c r="X29">
        <v>48.162312819995762</v>
      </c>
      <c r="Y29">
        <v>5.1979714379900432</v>
      </c>
      <c r="Z29">
        <v>27.781663452517833</v>
      </c>
      <c r="AA29">
        <v>2.276955525221005</v>
      </c>
      <c r="AB29">
        <v>31.502705124852326</v>
      </c>
      <c r="AD29">
        <v>5.5374770376395999</v>
      </c>
      <c r="AE29">
        <v>12.059409383648084</v>
      </c>
      <c r="AF29">
        <v>13.141962300541955</v>
      </c>
      <c r="AG29">
        <v>16.939305404901372</v>
      </c>
      <c r="AH29">
        <v>2.805795451485261</v>
      </c>
      <c r="AI29">
        <v>2.4348077396305761</v>
      </c>
      <c r="AK29">
        <v>47.9881952818168</v>
      </c>
    </row>
    <row r="30" spans="1:37" x14ac:dyDescent="0.2">
      <c r="A30">
        <v>29</v>
      </c>
      <c r="B30">
        <v>753</v>
      </c>
      <c r="C30">
        <v>250</v>
      </c>
      <c r="D30">
        <v>0.32645373483409301</v>
      </c>
      <c r="E30">
        <v>185.52382389732884</v>
      </c>
      <c r="F30">
        <v>53.665320606934749</v>
      </c>
      <c r="G30">
        <v>70.15830029359536</v>
      </c>
      <c r="H30">
        <v>65.547816529036794</v>
      </c>
      <c r="J30">
        <v>52.372372904900288</v>
      </c>
      <c r="L30">
        <v>3.1201472881287735</v>
      </c>
      <c r="M30">
        <v>13.410082322733768</v>
      </c>
      <c r="N30">
        <v>2.4928855957525053</v>
      </c>
      <c r="O30">
        <v>14.394921080300231</v>
      </c>
      <c r="P30">
        <v>8.4372993186131087</v>
      </c>
      <c r="Q30">
        <v>0.45593294804116191</v>
      </c>
      <c r="R30">
        <v>9.3727014072687922</v>
      </c>
      <c r="S30">
        <v>30.134492212204865</v>
      </c>
      <c r="U30">
        <v>2.0012041027521361</v>
      </c>
      <c r="V30">
        <v>43.953019581581707</v>
      </c>
      <c r="W30">
        <v>21.459827384200068</v>
      </c>
      <c r="X30">
        <v>47.930030906099674</v>
      </c>
      <c r="Y30">
        <v>5.1097113721778333</v>
      </c>
      <c r="Z30">
        <v>27.577608743522397</v>
      </c>
      <c r="AA30">
        <v>2.1927171137832921</v>
      </c>
      <c r="AB30">
        <v>31.343959908532756</v>
      </c>
      <c r="AD30">
        <v>5.4202398223029693</v>
      </c>
      <c r="AE30">
        <v>11.967913922725604</v>
      </c>
      <c r="AF30">
        <v>13.064387227582422</v>
      </c>
      <c r="AG30">
        <v>16.7656107793158</v>
      </c>
      <c r="AH30">
        <v>2.6691594329949635</v>
      </c>
      <c r="AI30">
        <v>2.4364945190278782</v>
      </c>
      <c r="AK30">
        <v>47.980252999263037</v>
      </c>
    </row>
    <row r="31" spans="1:37" x14ac:dyDescent="0.2">
      <c r="A31">
        <v>30</v>
      </c>
      <c r="B31">
        <v>752</v>
      </c>
      <c r="C31">
        <v>250</v>
      </c>
      <c r="D31">
        <v>0.32572842998585799</v>
      </c>
      <c r="E31">
        <v>185.40067682914358</v>
      </c>
      <c r="F31">
        <v>53.288941624060186</v>
      </c>
      <c r="G31">
        <v>70.096017018070867</v>
      </c>
      <c r="H31">
        <v>65.483181014058147</v>
      </c>
      <c r="J31">
        <v>52.293887957040539</v>
      </c>
      <c r="L31">
        <v>3.0381796715906493</v>
      </c>
      <c r="M31">
        <v>13.333768303256305</v>
      </c>
      <c r="N31">
        <v>2.4948607267228571</v>
      </c>
      <c r="O31">
        <v>14.022363955490377</v>
      </c>
      <c r="P31">
        <v>8.336218215787186</v>
      </c>
      <c r="Q31">
        <v>0.378742124451389</v>
      </c>
      <c r="R31">
        <v>9.1524766399273076</v>
      </c>
      <c r="S31">
        <v>29.664959318023328</v>
      </c>
      <c r="U31">
        <v>1.9128263009957358</v>
      </c>
      <c r="V31">
        <v>43.826944948501939</v>
      </c>
      <c r="W31">
        <v>21.240841841873483</v>
      </c>
      <c r="X31">
        <v>47.698162195124318</v>
      </c>
      <c r="Y31">
        <v>5.0215984128648969</v>
      </c>
      <c r="Z31">
        <v>27.373849975999299</v>
      </c>
      <c r="AA31">
        <v>2.1086412320046728</v>
      </c>
      <c r="AB31">
        <v>31.185486067301905</v>
      </c>
      <c r="AD31">
        <v>5.3031139985609039</v>
      </c>
      <c r="AE31">
        <v>11.876545694305804</v>
      </c>
      <c r="AF31">
        <v>12.986954303122266</v>
      </c>
      <c r="AG31">
        <v>16.592189944421978</v>
      </c>
      <c r="AH31">
        <v>2.5327473084694376</v>
      </c>
      <c r="AI31">
        <v>2.438180338407975</v>
      </c>
      <c r="AK31">
        <v>47.972618469597002</v>
      </c>
    </row>
    <row r="32" spans="1:37" x14ac:dyDescent="0.2">
      <c r="A32">
        <v>31</v>
      </c>
      <c r="B32">
        <v>751</v>
      </c>
      <c r="C32">
        <v>250</v>
      </c>
      <c r="D32">
        <v>0.32500170873407402</v>
      </c>
      <c r="E32">
        <v>185.27767834051085</v>
      </c>
      <c r="F32">
        <v>52.91323514385396</v>
      </c>
      <c r="G32">
        <v>70.03381432699733</v>
      </c>
      <c r="H32">
        <v>65.418639200517873</v>
      </c>
      <c r="J32">
        <v>52.215990001377413</v>
      </c>
      <c r="L32">
        <v>2.9564188010860342</v>
      </c>
      <c r="M32">
        <v>13.257595784264673</v>
      </c>
      <c r="N32">
        <v>2.4968357346404679</v>
      </c>
      <c r="O32">
        <v>13.650402522650149</v>
      </c>
      <c r="P32">
        <v>8.2353059952399903</v>
      </c>
      <c r="Q32">
        <v>0.30164552459640243</v>
      </c>
      <c r="R32">
        <v>8.9325955033153228</v>
      </c>
      <c r="S32">
        <v>29.196319071841558</v>
      </c>
      <c r="U32">
        <v>1.8245121685048993</v>
      </c>
      <c r="V32">
        <v>43.701079655982333</v>
      </c>
      <c r="W32">
        <v>21.022130226715529</v>
      </c>
      <c r="X32">
        <v>47.466705224284212</v>
      </c>
      <c r="Y32">
        <v>4.9336321703973081</v>
      </c>
      <c r="Z32">
        <v>27.170386325931826</v>
      </c>
      <c r="AA32">
        <v>2.0247275085396685</v>
      </c>
      <c r="AB32">
        <v>31.027282776556522</v>
      </c>
      <c r="AD32">
        <v>5.1860996328682116</v>
      </c>
      <c r="AE32">
        <v>11.785304319599536</v>
      </c>
      <c r="AF32">
        <v>12.909663081375788</v>
      </c>
      <c r="AG32">
        <v>16.419042082148476</v>
      </c>
      <c r="AH32">
        <v>2.3965586872488727</v>
      </c>
      <c r="AI32">
        <v>2.4398651964756297</v>
      </c>
      <c r="AK32">
        <v>47.965291565647512</v>
      </c>
    </row>
    <row r="33" spans="1:37" x14ac:dyDescent="0.2">
      <c r="A33">
        <v>32</v>
      </c>
      <c r="B33">
        <v>750</v>
      </c>
      <c r="C33">
        <v>250</v>
      </c>
      <c r="D33">
        <v>0.324273566925672</v>
      </c>
      <c r="E33">
        <v>185.15482801445762</v>
      </c>
      <c r="F33">
        <v>52.538199517485594</v>
      </c>
      <c r="G33">
        <v>69.97169206263203</v>
      </c>
      <c r="H33">
        <v>65.354190951676429</v>
      </c>
      <c r="J33">
        <v>52.138678528158486</v>
      </c>
      <c r="L33">
        <v>2.8747707538216054</v>
      </c>
      <c r="M33">
        <v>13.181564317415058</v>
      </c>
      <c r="N33">
        <v>2.4988106201274602</v>
      </c>
      <c r="O33">
        <v>13.279035516554297</v>
      </c>
      <c r="P33">
        <v>8.1345623650798924</v>
      </c>
      <c r="Q33">
        <v>0.22467306452180777</v>
      </c>
      <c r="R33">
        <v>8.7130569289343871</v>
      </c>
      <c r="S33">
        <v>28.72856877519752</v>
      </c>
      <c r="U33">
        <v>1.736261362714919</v>
      </c>
      <c r="V33">
        <v>43.575422986469775</v>
      </c>
      <c r="W33">
        <v>20.803691676818886</v>
      </c>
      <c r="X33">
        <v>47.235658541312162</v>
      </c>
      <c r="Y33">
        <v>4.8458122597687181</v>
      </c>
      <c r="Z33">
        <v>26.967216978240721</v>
      </c>
      <c r="AA33">
        <v>1.9409755762095302</v>
      </c>
      <c r="AB33">
        <v>30.869349219353953</v>
      </c>
      <c r="AD33">
        <v>5.0691967905797055</v>
      </c>
      <c r="AE33">
        <v>11.694189423940852</v>
      </c>
      <c r="AF33">
        <v>12.832513120282577</v>
      </c>
      <c r="AG33">
        <v>16.246166382183194</v>
      </c>
      <c r="AH33">
        <v>2.2605931846612921</v>
      </c>
      <c r="AI33">
        <v>2.4415490920132541</v>
      </c>
      <c r="AK33">
        <v>47.958272163975209</v>
      </c>
    </row>
    <row r="34" spans="1:37" x14ac:dyDescent="0.2">
      <c r="A34">
        <v>33</v>
      </c>
      <c r="B34">
        <v>749</v>
      </c>
      <c r="C34">
        <v>250</v>
      </c>
      <c r="D34">
        <v>0.32354400039133302</v>
      </c>
      <c r="E34">
        <v>185.03212543806296</v>
      </c>
      <c r="F34">
        <v>52.163833115001815</v>
      </c>
      <c r="G34">
        <v>69.90965006939004</v>
      </c>
      <c r="H34">
        <v>65.289836132989834</v>
      </c>
      <c r="J34">
        <v>52.061953035604994</v>
      </c>
      <c r="L34">
        <v>2.7932365241690604</v>
      </c>
      <c r="M34">
        <v>13.105673458317581</v>
      </c>
      <c r="N34">
        <v>2.5007853837789504</v>
      </c>
      <c r="O34">
        <v>12.908261686750894</v>
      </c>
      <c r="P34">
        <v>8.0339870377647689</v>
      </c>
      <c r="Q34">
        <v>0.14775560784864916</v>
      </c>
      <c r="R34">
        <v>8.4938598593622814</v>
      </c>
      <c r="S34">
        <v>28.261705763771733</v>
      </c>
      <c r="U34">
        <v>1.6480735450401729</v>
      </c>
      <c r="V34">
        <v>43.449974222818348</v>
      </c>
      <c r="W34">
        <v>20.58552533853171</v>
      </c>
      <c r="X34">
        <v>47.005020705520359</v>
      </c>
      <c r="Y34">
        <v>4.7581383007820204</v>
      </c>
      <c r="Z34">
        <v>26.764341127154676</v>
      </c>
      <c r="AA34">
        <v>1.8573850720877962</v>
      </c>
      <c r="AB34">
        <v>30.711684586928076</v>
      </c>
      <c r="AD34">
        <v>4.9524055363959434</v>
      </c>
      <c r="AE34">
        <v>11.603200636909586</v>
      </c>
      <c r="AF34">
        <v>12.755503981722653</v>
      </c>
      <c r="AG34">
        <v>16.073562042382189</v>
      </c>
      <c r="AH34">
        <v>2.1248504223819338</v>
      </c>
      <c r="AI34">
        <v>2.443232023776253</v>
      </c>
      <c r="AK34">
        <v>47.951560145027166</v>
      </c>
    </row>
    <row r="35" spans="1:37" x14ac:dyDescent="0.2">
      <c r="A35">
        <v>34</v>
      </c>
      <c r="B35">
        <v>748</v>
      </c>
      <c r="C35">
        <v>250</v>
      </c>
      <c r="D35">
        <v>0.32281300494540499</v>
      </c>
      <c r="E35">
        <v>184.90957020250514</v>
      </c>
      <c r="F35">
        <v>51.79013432536032</v>
      </c>
      <c r="G35">
        <v>69.847688193838792</v>
      </c>
      <c r="H35">
        <v>65.225574612110123</v>
      </c>
      <c r="J35">
        <v>51.985813029941752</v>
      </c>
      <c r="L35">
        <v>2.7119085909020213</v>
      </c>
      <c r="M35">
        <v>13.029922766524651</v>
      </c>
      <c r="N35">
        <v>2.502760026184581</v>
      </c>
      <c r="O35">
        <v>12.538079797580631</v>
      </c>
      <c r="P35">
        <v>7.933579730117148</v>
      </c>
      <c r="Q35">
        <v>7.0932268418163968E-2</v>
      </c>
      <c r="R35">
        <v>8.2750032482728049</v>
      </c>
      <c r="S35">
        <v>27.795727385286977</v>
      </c>
      <c r="U35">
        <v>1.5599483808551231</v>
      </c>
      <c r="V35">
        <v>43.324732648150516</v>
      </c>
      <c r="W35">
        <v>20.367630366370843</v>
      </c>
      <c r="X35">
        <v>46.774790287941492</v>
      </c>
      <c r="Y35">
        <v>4.6706099180588367</v>
      </c>
      <c r="Z35">
        <v>26.561757976081783</v>
      </c>
      <c r="AA35">
        <v>1.7739556374885652</v>
      </c>
      <c r="AB35">
        <v>30.554288078567097</v>
      </c>
      <c r="AD35">
        <v>4.8357259344771624</v>
      </c>
      <c r="AE35">
        <v>11.512337592249629</v>
      </c>
      <c r="AF35">
        <v>12.678635231525536</v>
      </c>
      <c r="AG35">
        <v>15.901228268671657</v>
      </c>
      <c r="AH35">
        <v>1.9893300284125723</v>
      </c>
      <c r="AI35">
        <v>2.4449139905140918</v>
      </c>
      <c r="AK35">
        <v>47.945155393190845</v>
      </c>
    </row>
    <row r="36" spans="1:37" x14ac:dyDescent="0.2">
      <c r="A36">
        <v>35</v>
      </c>
      <c r="B36">
        <v>747</v>
      </c>
      <c r="C36">
        <v>250</v>
      </c>
      <c r="D36">
        <v>0.32208057638582899</v>
      </c>
      <c r="E36">
        <v>184.77998193677669</v>
      </c>
      <c r="F36">
        <v>51.371285470923084</v>
      </c>
      <c r="G36">
        <v>69.777846833070029</v>
      </c>
      <c r="H36">
        <v>65.153446807254781</v>
      </c>
      <c r="J36">
        <v>51.902809200202725</v>
      </c>
      <c r="L36">
        <v>2.6178403772731071</v>
      </c>
      <c r="M36">
        <v>12.961617075259849</v>
      </c>
      <c r="N36">
        <v>2.5047338262441001</v>
      </c>
      <c r="O36">
        <v>12.116276689131594</v>
      </c>
      <c r="P36">
        <v>7.8174205383846331</v>
      </c>
      <c r="R36">
        <v>8.0505042298247869</v>
      </c>
      <c r="S36">
        <v>27.345693435802051</v>
      </c>
      <c r="U36">
        <v>1.4762379394338701</v>
      </c>
      <c r="V36">
        <v>43.214959766138129</v>
      </c>
      <c r="W36">
        <v>20.149478837574719</v>
      </c>
      <c r="X36">
        <v>46.55874156603349</v>
      </c>
      <c r="Y36">
        <v>4.5677546461057927</v>
      </c>
      <c r="Z36">
        <v>26.336244859307268</v>
      </c>
      <c r="AA36">
        <v>1.6766364462712227</v>
      </c>
      <c r="AB36">
        <v>30.406293172826842</v>
      </c>
      <c r="AD36">
        <v>4.7045523172620936</v>
      </c>
      <c r="AE36">
        <v>11.414023573167166</v>
      </c>
      <c r="AF36">
        <v>12.609210987513318</v>
      </c>
      <c r="AG36">
        <v>15.738297824570555</v>
      </c>
      <c r="AH36">
        <v>1.8314127949871586</v>
      </c>
      <c r="AI36">
        <v>2.4465942692864586</v>
      </c>
      <c r="AK36">
        <v>47.92852194522245</v>
      </c>
    </row>
    <row r="37" spans="1:37" x14ac:dyDescent="0.2">
      <c r="A37">
        <v>36</v>
      </c>
      <c r="B37">
        <v>746</v>
      </c>
      <c r="C37">
        <v>250</v>
      </c>
      <c r="D37">
        <v>0.32134671049404001</v>
      </c>
      <c r="E37">
        <v>184.58311457183774</v>
      </c>
      <c r="F37">
        <v>50.519962357189414</v>
      </c>
      <c r="G37">
        <v>69.632379063231284</v>
      </c>
      <c r="H37">
        <v>65.005705815737016</v>
      </c>
      <c r="J37">
        <v>51.747923009478811</v>
      </c>
      <c r="L37">
        <v>2.4004618051556208</v>
      </c>
      <c r="M37">
        <v>12.962669054425604</v>
      </c>
      <c r="N37">
        <v>2.5067005198228491</v>
      </c>
      <c r="O37">
        <v>11.199253079523357</v>
      </c>
      <c r="P37">
        <v>7.5500093739525855</v>
      </c>
      <c r="R37">
        <v>7.7666526435401213</v>
      </c>
      <c r="S37">
        <v>27.033072569258763</v>
      </c>
      <c r="U37">
        <v>1.4347284765531092</v>
      </c>
      <c r="V37">
        <v>43.247173388217348</v>
      </c>
      <c r="W37">
        <v>19.927532779992795</v>
      </c>
      <c r="X37">
        <v>46.476114382102985</v>
      </c>
      <c r="Y37">
        <v>4.3179385658178573</v>
      </c>
      <c r="Z37">
        <v>25.891684034784468</v>
      </c>
      <c r="AA37">
        <v>1.445848098697883</v>
      </c>
      <c r="AB37">
        <v>30.342561688928249</v>
      </c>
      <c r="AD37">
        <v>4.4351562935301674</v>
      </c>
      <c r="AE37">
        <v>11.244679790868899</v>
      </c>
      <c r="AF37">
        <v>12.609137661169878</v>
      </c>
      <c r="AG37">
        <v>15.6596262712517</v>
      </c>
      <c r="AH37">
        <v>1.4585386178468678</v>
      </c>
      <c r="AI37">
        <v>2.4482665941184005</v>
      </c>
      <c r="AK37">
        <v>47.812169397282581</v>
      </c>
    </row>
    <row r="38" spans="1:37" x14ac:dyDescent="0.2">
      <c r="A38">
        <v>37</v>
      </c>
      <c r="B38">
        <v>745</v>
      </c>
      <c r="C38">
        <v>250</v>
      </c>
      <c r="D38">
        <v>0.32061140303491598</v>
      </c>
      <c r="E38">
        <v>184.38661559247706</v>
      </c>
      <c r="F38">
        <v>49.665155128646084</v>
      </c>
      <c r="G38">
        <v>69.485427944229215</v>
      </c>
      <c r="H38">
        <v>64.856494718671541</v>
      </c>
      <c r="J38">
        <v>51.588797439583345</v>
      </c>
      <c r="L38">
        <v>2.1797461388497612</v>
      </c>
      <c r="M38">
        <v>12.964706305065242</v>
      </c>
      <c r="N38">
        <v>2.5086667204562842</v>
      </c>
      <c r="O38">
        <v>10.274011438487353</v>
      </c>
      <c r="P38">
        <v>7.2796389934632142</v>
      </c>
      <c r="R38">
        <v>7.4765855183543204</v>
      </c>
      <c r="S38">
        <v>26.71063086654738</v>
      </c>
      <c r="U38">
        <v>1.3954878260972376</v>
      </c>
      <c r="V38">
        <v>43.275833121396495</v>
      </c>
      <c r="W38">
        <v>19.707509313545774</v>
      </c>
      <c r="X38">
        <v>46.400211875877964</v>
      </c>
      <c r="Y38">
        <v>4.0653278212599986</v>
      </c>
      <c r="Z38">
        <v>25.445540360515331</v>
      </c>
      <c r="AA38">
        <v>1.2124664782381733</v>
      </c>
      <c r="AB38">
        <v>30.274930861439639</v>
      </c>
      <c r="AD38">
        <v>4.1640174104622449</v>
      </c>
      <c r="AE38">
        <v>11.07555898115622</v>
      </c>
      <c r="AF38">
        <v>12.610049472798023</v>
      </c>
      <c r="AG38">
        <v>15.57705746292311</v>
      </c>
      <c r="AH38">
        <v>1.081352663930488</v>
      </c>
      <c r="AI38">
        <v>2.4499375767051976</v>
      </c>
      <c r="AK38">
        <v>47.694329435069278</v>
      </c>
    </row>
    <row r="39" spans="1:37" x14ac:dyDescent="0.2">
      <c r="A39">
        <v>38</v>
      </c>
      <c r="B39">
        <v>744</v>
      </c>
      <c r="C39">
        <v>250</v>
      </c>
      <c r="D39">
        <v>0.31987464975667701</v>
      </c>
      <c r="E39">
        <v>184.19035753208354</v>
      </c>
      <c r="F39">
        <v>48.805535706820095</v>
      </c>
      <c r="G39">
        <v>69.336754384933172</v>
      </c>
      <c r="H39">
        <v>64.70557444617863</v>
      </c>
      <c r="J39">
        <v>51.424511784059021</v>
      </c>
      <c r="L39">
        <v>1.9552339806763339</v>
      </c>
      <c r="M39">
        <v>12.967762112188666</v>
      </c>
      <c r="N39">
        <v>2.5106323928875605</v>
      </c>
      <c r="O39">
        <v>9.3389501515555615</v>
      </c>
      <c r="P39">
        <v>7.0058312027547371</v>
      </c>
      <c r="R39">
        <v>7.1796290121594577</v>
      </c>
      <c r="S39">
        <v>26.376506713353479</v>
      </c>
      <c r="U39">
        <v>1.3586432909540196</v>
      </c>
      <c r="V39">
        <v>43.300423427771968</v>
      </c>
      <c r="W39">
        <v>19.489432127633776</v>
      </c>
      <c r="X39">
        <v>46.331411444422649</v>
      </c>
      <c r="Y39">
        <v>3.809449457010547</v>
      </c>
      <c r="Z39">
        <v>24.996903436678274</v>
      </c>
      <c r="AA39">
        <v>0.97604154975174606</v>
      </c>
      <c r="AB39">
        <v>30.202496149495094</v>
      </c>
      <c r="AD39">
        <v>3.8905860765764588</v>
      </c>
      <c r="AE39">
        <v>10.906305310265987</v>
      </c>
      <c r="AF39">
        <v>12.61197967788776</v>
      </c>
      <c r="AG39">
        <v>15.48968682958616</v>
      </c>
      <c r="AH39">
        <v>0.69913994354362718</v>
      </c>
      <c r="AI39">
        <v>2.4516071799490122</v>
      </c>
      <c r="AK39">
        <v>47.574571236888112</v>
      </c>
    </row>
    <row r="40" spans="1:37" x14ac:dyDescent="0.2">
      <c r="A40">
        <v>39</v>
      </c>
      <c r="B40">
        <v>743</v>
      </c>
      <c r="C40">
        <v>250</v>
      </c>
      <c r="D40">
        <v>0.31913644639078897</v>
      </c>
      <c r="E40">
        <v>184.38098223798156</v>
      </c>
      <c r="F40">
        <v>49.33519711433015</v>
      </c>
      <c r="G40">
        <v>69.502858367635412</v>
      </c>
      <c r="H40">
        <v>64.869445001841072</v>
      </c>
      <c r="J40">
        <v>47.370921922886161</v>
      </c>
      <c r="L40">
        <v>1.1751243563892604</v>
      </c>
      <c r="M40">
        <v>12.827084962232083</v>
      </c>
      <c r="N40">
        <v>2.5126305894366867</v>
      </c>
      <c r="O40">
        <v>4.6998436017456608</v>
      </c>
      <c r="P40">
        <v>7.3616190421550858</v>
      </c>
      <c r="R40">
        <v>6.567023477377659</v>
      </c>
      <c r="S40">
        <v>24.367907510342832</v>
      </c>
      <c r="U40">
        <v>1.3221620500316662</v>
      </c>
      <c r="V40">
        <v>43.488693477119327</v>
      </c>
      <c r="W40">
        <v>19.152745138068166</v>
      </c>
      <c r="X40">
        <v>46.26341749780125</v>
      </c>
      <c r="Y40">
        <v>3.4346647368017607</v>
      </c>
      <c r="Z40">
        <v>24.377384830347086</v>
      </c>
      <c r="AA40">
        <v>1.5774378584057558E-2</v>
      </c>
      <c r="AB40">
        <v>29.937837585064667</v>
      </c>
      <c r="AD40">
        <v>3.5617466229223274</v>
      </c>
      <c r="AE40">
        <v>10.408162022108106</v>
      </c>
      <c r="AF40">
        <v>12.470209820950528</v>
      </c>
      <c r="AG40">
        <v>15.210127461676832</v>
      </c>
      <c r="AI40">
        <v>2.4533084543303758</v>
      </c>
      <c r="AK40">
        <v>44.816342177647343</v>
      </c>
    </row>
    <row r="41" spans="1:37" x14ac:dyDescent="0.2">
      <c r="A41">
        <v>40</v>
      </c>
      <c r="B41">
        <v>742</v>
      </c>
      <c r="C41">
        <v>250</v>
      </c>
      <c r="D41">
        <v>0.318396788651924</v>
      </c>
      <c r="E41">
        <v>185.01191844551082</v>
      </c>
      <c r="F41">
        <v>48.521302732391419</v>
      </c>
      <c r="G41">
        <v>69.714748704328684</v>
      </c>
      <c r="H41">
        <v>65.079115218985365</v>
      </c>
      <c r="J41">
        <v>35.532282889448283</v>
      </c>
      <c r="L41">
        <v>1.598895654007898</v>
      </c>
      <c r="M41">
        <v>11.923563639097189</v>
      </c>
      <c r="N41">
        <v>2.5146608198858451</v>
      </c>
      <c r="O41">
        <v>6.0711392054325604</v>
      </c>
      <c r="P41">
        <v>7.8090196689199489</v>
      </c>
      <c r="R41">
        <v>6.5388778002839887</v>
      </c>
      <c r="S41">
        <v>26.044425879260192</v>
      </c>
      <c r="U41">
        <v>1.2994489846280131</v>
      </c>
      <c r="V41">
        <v>44.870916140873383</v>
      </c>
      <c r="W41">
        <v>18.174878363681966</v>
      </c>
      <c r="X41">
        <v>46.233151831444744</v>
      </c>
      <c r="Y41">
        <v>3.8091799175373851</v>
      </c>
      <c r="Z41">
        <v>19.638982940881561</v>
      </c>
      <c r="AB41">
        <v>27.961549260637341</v>
      </c>
      <c r="AD41">
        <v>1.3372707687631908</v>
      </c>
      <c r="AE41">
        <v>7.548409539030529</v>
      </c>
      <c r="AF41">
        <v>11.565628201432176</v>
      </c>
      <c r="AG41">
        <v>13.218972967627334</v>
      </c>
      <c r="AI41">
        <v>2.4550409077902446</v>
      </c>
      <c r="AK41">
        <v>36.651374621214543</v>
      </c>
    </row>
    <row r="42" spans="1:37" x14ac:dyDescent="0.2">
      <c r="A42">
        <v>41</v>
      </c>
      <c r="B42">
        <v>741</v>
      </c>
      <c r="C42">
        <v>250</v>
      </c>
      <c r="D42">
        <v>0.31765567223783697</v>
      </c>
      <c r="E42">
        <v>185.34941070272356</v>
      </c>
      <c r="F42">
        <v>48.783890255820609</v>
      </c>
      <c r="G42">
        <v>69.769935092977619</v>
      </c>
      <c r="H42">
        <v>65.132094816950982</v>
      </c>
      <c r="J42">
        <v>31.379936291812079</v>
      </c>
      <c r="L42">
        <v>1.6338261000692291</v>
      </c>
      <c r="M42">
        <v>11.297141447925977</v>
      </c>
      <c r="N42">
        <v>2.5166653621397517</v>
      </c>
      <c r="O42">
        <v>5.9411087872550068</v>
      </c>
      <c r="P42">
        <v>7.9429947804354484</v>
      </c>
      <c r="R42">
        <v>6.1862140144008348</v>
      </c>
      <c r="S42">
        <v>26.586866376896058</v>
      </c>
      <c r="U42">
        <v>1.2784327158977116</v>
      </c>
      <c r="V42">
        <v>45.754954543867839</v>
      </c>
      <c r="W42">
        <v>17.473369012015706</v>
      </c>
      <c r="X42">
        <v>46.208054670773208</v>
      </c>
      <c r="Y42">
        <v>3.83684307113846</v>
      </c>
      <c r="Z42">
        <v>18.422672232679929</v>
      </c>
      <c r="AB42">
        <v>27.834814185739813</v>
      </c>
      <c r="AD42">
        <v>0.7385033495530765</v>
      </c>
      <c r="AE42">
        <v>6.8221827772868711</v>
      </c>
      <c r="AF42">
        <v>10.938120408159094</v>
      </c>
      <c r="AG42">
        <v>13.077348641052485</v>
      </c>
      <c r="AI42">
        <v>2.4567468163929251</v>
      </c>
      <c r="AK42">
        <v>33.705232917397495</v>
      </c>
    </row>
    <row r="43" spans="1:37" x14ac:dyDescent="0.2">
      <c r="A43">
        <v>42</v>
      </c>
      <c r="B43">
        <v>740</v>
      </c>
      <c r="C43">
        <v>250</v>
      </c>
      <c r="D43">
        <v>0.31691309282929903</v>
      </c>
      <c r="E43">
        <v>185.60381663028352</v>
      </c>
      <c r="F43">
        <v>49.108634884087742</v>
      </c>
      <c r="G43">
        <v>69.795309908361659</v>
      </c>
      <c r="H43">
        <v>65.155276191936352</v>
      </c>
      <c r="J43">
        <v>28.860856410904791</v>
      </c>
      <c r="L43">
        <v>1.6595160170331691</v>
      </c>
      <c r="M43">
        <v>10.776601954613612</v>
      </c>
      <c r="N43">
        <v>2.518662594906103</v>
      </c>
      <c r="O43">
        <v>5.8529490164018521</v>
      </c>
      <c r="P43">
        <v>8.0173475285912836</v>
      </c>
      <c r="R43">
        <v>5.8649372553590533</v>
      </c>
      <c r="S43">
        <v>27.040735530186073</v>
      </c>
      <c r="U43">
        <v>1.2570061632507672</v>
      </c>
      <c r="V43">
        <v>46.478494249435848</v>
      </c>
      <c r="W43">
        <v>16.877919649856288</v>
      </c>
      <c r="X43">
        <v>46.182011729776818</v>
      </c>
      <c r="Y43">
        <v>3.8465434527145392</v>
      </c>
      <c r="Z43">
        <v>17.740662216756878</v>
      </c>
      <c r="AB43">
        <v>27.92144187573119</v>
      </c>
      <c r="AD43">
        <v>0.39415866297563318</v>
      </c>
      <c r="AE43">
        <v>6.4137277803809996</v>
      </c>
      <c r="AF43">
        <v>10.416488391521957</v>
      </c>
      <c r="AG43">
        <v>13.14908238222484</v>
      </c>
      <c r="AI43">
        <v>2.4584445570055884</v>
      </c>
      <c r="AK43">
        <v>31.882706038058949</v>
      </c>
    </row>
    <row r="44" spans="1:37" x14ac:dyDescent="0.2">
      <c r="A44">
        <v>43</v>
      </c>
      <c r="B44">
        <v>739</v>
      </c>
      <c r="C44">
        <v>250</v>
      </c>
      <c r="D44">
        <v>0.31616904609000601</v>
      </c>
      <c r="E44">
        <v>185.81237939362418</v>
      </c>
      <c r="F44">
        <v>49.428799308732991</v>
      </c>
      <c r="G44">
        <v>69.807945703780661</v>
      </c>
      <c r="H44">
        <v>65.165731918699947</v>
      </c>
      <c r="J44">
        <v>27.084293206665638</v>
      </c>
      <c r="L44">
        <v>1.6803945287419593</v>
      </c>
      <c r="M44">
        <v>10.32184368743145</v>
      </c>
      <c r="N44">
        <v>2.5206557414652053</v>
      </c>
      <c r="O44">
        <v>5.7808623752240926</v>
      </c>
      <c r="P44">
        <v>8.0662262669499079</v>
      </c>
      <c r="R44">
        <v>5.5699129002870373</v>
      </c>
      <c r="S44">
        <v>27.43611552231657</v>
      </c>
      <c r="U44">
        <v>1.2352909153198799</v>
      </c>
      <c r="V44">
        <v>47.103376232151419</v>
      </c>
      <c r="W44">
        <v>16.348371160829505</v>
      </c>
      <c r="X44">
        <v>46.155359058966077</v>
      </c>
      <c r="Y44">
        <v>3.8499355003435607</v>
      </c>
      <c r="Z44">
        <v>17.269885983387727</v>
      </c>
      <c r="AB44">
        <v>28.06858675498756</v>
      </c>
      <c r="AD44">
        <v>0.15164914459929915</v>
      </c>
      <c r="AE44">
        <v>6.1305967695454759</v>
      </c>
      <c r="AF44">
        <v>9.9606339088779503</v>
      </c>
      <c r="AG44">
        <v>13.28133184502261</v>
      </c>
      <c r="AI44">
        <v>2.460137351067897</v>
      </c>
      <c r="AK44">
        <v>30.576758882115815</v>
      </c>
    </row>
    <row r="45" spans="1:37" x14ac:dyDescent="0.2">
      <c r="A45">
        <v>44</v>
      </c>
      <c r="B45">
        <v>738</v>
      </c>
      <c r="C45">
        <v>250</v>
      </c>
      <c r="D45">
        <v>0.31542352766652099</v>
      </c>
      <c r="E45">
        <v>185.95112076393832</v>
      </c>
      <c r="F45">
        <v>50.000460569164851</v>
      </c>
      <c r="G45">
        <v>69.763900103869645</v>
      </c>
      <c r="H45">
        <v>65.119519643380571</v>
      </c>
      <c r="J45">
        <v>25.652008233250413</v>
      </c>
      <c r="L45">
        <v>1.69365353755634</v>
      </c>
      <c r="M45">
        <v>9.8939222437937531</v>
      </c>
      <c r="N45">
        <v>2.5226437555526302</v>
      </c>
      <c r="O45">
        <v>5.8129888680412947</v>
      </c>
      <c r="P45">
        <v>8.0017452222737653</v>
      </c>
      <c r="R45">
        <v>5.231981614036374</v>
      </c>
      <c r="S45">
        <v>27.84722814914636</v>
      </c>
      <c r="U45">
        <v>1.2137739505310776</v>
      </c>
      <c r="V45">
        <v>47.678826032418108</v>
      </c>
      <c r="W45">
        <v>15.84559821333341</v>
      </c>
      <c r="X45">
        <v>46.129500241707198</v>
      </c>
      <c r="Y45">
        <v>3.8129250134223343</v>
      </c>
      <c r="Z45">
        <v>17.758507143737766</v>
      </c>
      <c r="AB45">
        <v>28.749203904562709</v>
      </c>
      <c r="AE45">
        <v>6.4086524273243421</v>
      </c>
      <c r="AF45">
        <v>9.5316115171947544</v>
      </c>
      <c r="AG45">
        <v>13.947051070478384</v>
      </c>
      <c r="AI45">
        <v>2.4618241504752465</v>
      </c>
      <c r="AK45">
        <v>29.509535436275637</v>
      </c>
    </row>
    <row r="46" spans="1:37" x14ac:dyDescent="0.2">
      <c r="A46">
        <v>45</v>
      </c>
      <c r="B46">
        <v>737</v>
      </c>
      <c r="C46">
        <v>250</v>
      </c>
      <c r="D46">
        <v>0.31467653318814098</v>
      </c>
      <c r="E46">
        <v>186.09196750389205</v>
      </c>
      <c r="F46">
        <v>50.389359653861632</v>
      </c>
      <c r="G46">
        <v>69.745721499781382</v>
      </c>
      <c r="H46">
        <v>65.099187778674334</v>
      </c>
      <c r="J46">
        <v>24.543404423313365</v>
      </c>
      <c r="L46">
        <v>1.7076523093006217</v>
      </c>
      <c r="M46">
        <v>9.512755714296155</v>
      </c>
      <c r="N46">
        <v>2.5246313783631531</v>
      </c>
      <c r="O46">
        <v>5.7929229021201367</v>
      </c>
      <c r="P46">
        <v>7.989005941880662</v>
      </c>
      <c r="R46">
        <v>4.9501868645720721</v>
      </c>
      <c r="S46">
        <v>28.191647230783222</v>
      </c>
      <c r="U46">
        <v>1.1918024431748286</v>
      </c>
      <c r="V46">
        <v>48.190541292299876</v>
      </c>
      <c r="W46">
        <v>15.389753007142753</v>
      </c>
      <c r="X46">
        <v>46.102539536997661</v>
      </c>
      <c r="Y46">
        <v>3.7978498654225454</v>
      </c>
      <c r="Z46">
        <v>17.793749515140604</v>
      </c>
      <c r="AB46">
        <v>29.120067328769327</v>
      </c>
      <c r="AE46">
        <v>6.4221275277900434</v>
      </c>
      <c r="AF46">
        <v>9.1493440540904167</v>
      </c>
      <c r="AG46">
        <v>14.303018810362426</v>
      </c>
      <c r="AI46">
        <v>2.4635096945818851</v>
      </c>
      <c r="AK46">
        <v>28.673122399369479</v>
      </c>
    </row>
    <row r="47" spans="1:37" x14ac:dyDescent="0.2">
      <c r="A47">
        <v>46</v>
      </c>
      <c r="B47">
        <v>757</v>
      </c>
      <c r="C47">
        <v>225</v>
      </c>
      <c r="D47">
        <v>0.35603601417269398</v>
      </c>
      <c r="E47">
        <v>171.41423055466734</v>
      </c>
      <c r="F47">
        <v>54.625462145658133</v>
      </c>
      <c r="G47">
        <v>70.404419670917122</v>
      </c>
      <c r="H47">
        <v>65.802319199005169</v>
      </c>
      <c r="J47">
        <v>52.225173698779344</v>
      </c>
      <c r="L47">
        <v>3.3430915811155391</v>
      </c>
      <c r="M47">
        <v>13.666428985323126</v>
      </c>
      <c r="N47">
        <v>2.3997740850957765</v>
      </c>
      <c r="O47">
        <v>16.026133625456158</v>
      </c>
      <c r="P47">
        <v>8.6092793445154179</v>
      </c>
      <c r="Q47">
        <v>0.32404273389315652</v>
      </c>
      <c r="R47">
        <v>10.246679411672295</v>
      </c>
      <c r="S47">
        <v>31.486573232879145</v>
      </c>
      <c r="U47">
        <v>2.2324396428685618</v>
      </c>
      <c r="V47">
        <v>43.878815760031458</v>
      </c>
      <c r="W47">
        <v>22.874154779476754</v>
      </c>
      <c r="X47">
        <v>47.287738594925138</v>
      </c>
      <c r="Y47">
        <v>5.256308320951173</v>
      </c>
      <c r="Z47">
        <v>28.325488270779278</v>
      </c>
      <c r="AA47">
        <v>2.4518361981679626</v>
      </c>
      <c r="AB47">
        <v>31.97098334594661</v>
      </c>
      <c r="AC47">
        <v>5.9734282599952703E-3</v>
      </c>
      <c r="AD47">
        <v>5.8366054155852378</v>
      </c>
      <c r="AE47">
        <v>12.505627518178088</v>
      </c>
      <c r="AF47">
        <v>13.317087246733172</v>
      </c>
      <c r="AG47">
        <v>17.475253873207237</v>
      </c>
      <c r="AH47">
        <v>2.6983941410962915</v>
      </c>
      <c r="AI47">
        <v>2.3413830711045724</v>
      </c>
      <c r="AK47">
        <v>47.640924928708145</v>
      </c>
    </row>
    <row r="48" spans="1:37" x14ac:dyDescent="0.2">
      <c r="A48">
        <v>47</v>
      </c>
      <c r="B48">
        <v>756</v>
      </c>
      <c r="C48">
        <v>225</v>
      </c>
      <c r="D48">
        <v>0.35534227274935698</v>
      </c>
      <c r="E48">
        <v>171.30608475705611</v>
      </c>
      <c r="F48">
        <v>54.298762421705213</v>
      </c>
      <c r="G48">
        <v>70.349511874668792</v>
      </c>
      <c r="H48">
        <v>65.744996739015946</v>
      </c>
      <c r="J48">
        <v>52.172320476512077</v>
      </c>
      <c r="L48">
        <v>3.269074393057108</v>
      </c>
      <c r="M48">
        <v>13.6111502611838</v>
      </c>
      <c r="N48">
        <v>2.3954073880340805</v>
      </c>
      <c r="O48">
        <v>15.672011882291873</v>
      </c>
      <c r="P48">
        <v>8.5165665043257395</v>
      </c>
      <c r="Q48">
        <v>0.26325574395066487</v>
      </c>
      <c r="R48">
        <v>10.060877758561224</v>
      </c>
      <c r="S48">
        <v>31.11858084797765</v>
      </c>
      <c r="U48">
        <v>2.1619756427563979</v>
      </c>
      <c r="V48">
        <v>43.788424542948796</v>
      </c>
      <c r="W48">
        <v>22.693597674021614</v>
      </c>
      <c r="X48">
        <v>47.118238014684003</v>
      </c>
      <c r="Y48">
        <v>5.1788953694716504</v>
      </c>
      <c r="Z48">
        <v>28.149335989274103</v>
      </c>
      <c r="AA48">
        <v>2.3754222125417872</v>
      </c>
      <c r="AB48">
        <v>31.847773917793376</v>
      </c>
      <c r="AD48">
        <v>5.7380496765023201</v>
      </c>
      <c r="AE48">
        <v>12.424607744140674</v>
      </c>
      <c r="AF48">
        <v>13.254343037681107</v>
      </c>
      <c r="AG48">
        <v>17.330778385311227</v>
      </c>
      <c r="AH48">
        <v>2.5852018326472601</v>
      </c>
      <c r="AI48">
        <v>2.3367315248489979</v>
      </c>
      <c r="AK48">
        <v>47.642609421528093</v>
      </c>
    </row>
    <row r="49" spans="1:37" x14ac:dyDescent="0.2">
      <c r="A49">
        <v>48</v>
      </c>
      <c r="B49">
        <v>755</v>
      </c>
      <c r="C49">
        <v>225</v>
      </c>
      <c r="D49">
        <v>0.354647181831445</v>
      </c>
      <c r="E49">
        <v>171.18313409258266</v>
      </c>
      <c r="F49">
        <v>53.923251331953018</v>
      </c>
      <c r="G49">
        <v>70.287237151776012</v>
      </c>
      <c r="H49">
        <v>65.680320388139734</v>
      </c>
      <c r="J49">
        <v>52.092335148778716</v>
      </c>
      <c r="L49">
        <v>3.1872670922359685</v>
      </c>
      <c r="M49">
        <v>13.535294707161437</v>
      </c>
      <c r="N49">
        <v>2.3973853145932398</v>
      </c>
      <c r="O49">
        <v>15.298845945412602</v>
      </c>
      <c r="P49">
        <v>8.4154721765420764</v>
      </c>
      <c r="Q49">
        <v>0.18654666387224211</v>
      </c>
      <c r="R49">
        <v>9.8414048046427567</v>
      </c>
      <c r="S49">
        <v>30.649875926958149</v>
      </c>
      <c r="U49">
        <v>2.0736615124891355</v>
      </c>
      <c r="V49">
        <v>43.663163658327761</v>
      </c>
      <c r="W49">
        <v>22.474795721979234</v>
      </c>
      <c r="X49">
        <v>46.887894412744998</v>
      </c>
      <c r="Y49">
        <v>5.0908358697856668</v>
      </c>
      <c r="Z49">
        <v>27.946985338094507</v>
      </c>
      <c r="AA49">
        <v>2.2915338515526238</v>
      </c>
      <c r="AB49">
        <v>31.69022336014531</v>
      </c>
      <c r="AD49">
        <v>5.6221444550055839</v>
      </c>
      <c r="AE49">
        <v>12.333791005525164</v>
      </c>
      <c r="AF49">
        <v>13.177366931160595</v>
      </c>
      <c r="AG49">
        <v>17.158308912887566</v>
      </c>
      <c r="AH49">
        <v>2.4489552424604444</v>
      </c>
      <c r="AI49">
        <v>2.3384237713112115</v>
      </c>
      <c r="AK49">
        <v>47.634351392926796</v>
      </c>
    </row>
    <row r="50" spans="1:37" x14ac:dyDescent="0.2">
      <c r="A50">
        <v>49</v>
      </c>
      <c r="B50">
        <v>754</v>
      </c>
      <c r="C50">
        <v>225</v>
      </c>
      <c r="D50">
        <v>0.35395073747748601</v>
      </c>
      <c r="E50">
        <v>171.06032692956344</v>
      </c>
      <c r="F50">
        <v>53.548395122463027</v>
      </c>
      <c r="G50">
        <v>70.225040825526619</v>
      </c>
      <c r="H50">
        <v>65.615735490503184</v>
      </c>
      <c r="J50">
        <v>52.012925119240563</v>
      </c>
      <c r="L50">
        <v>3.1056171386334901</v>
      </c>
      <c r="M50">
        <v>13.45957699058863</v>
      </c>
      <c r="N50">
        <v>2.3993631177593757</v>
      </c>
      <c r="O50">
        <v>14.926261871809841</v>
      </c>
      <c r="P50">
        <v>8.3145422834458778</v>
      </c>
      <c r="Q50">
        <v>0.10992933041100372</v>
      </c>
      <c r="R50">
        <v>9.6222657056470808</v>
      </c>
      <c r="S50">
        <v>30.182039543926617</v>
      </c>
      <c r="U50">
        <v>1.9854042841133717</v>
      </c>
      <c r="V50">
        <v>43.538105394490856</v>
      </c>
      <c r="W50">
        <v>22.256261942954271</v>
      </c>
      <c r="X50">
        <v>46.657948650832253</v>
      </c>
      <c r="Y50">
        <v>5.0029185483447529</v>
      </c>
      <c r="Z50">
        <v>27.744926760235266</v>
      </c>
      <c r="AA50">
        <v>2.2078034455881861</v>
      </c>
      <c r="AB50">
        <v>31.532938875114858</v>
      </c>
      <c r="AD50">
        <v>5.5063423901029553</v>
      </c>
      <c r="AE50">
        <v>12.243100304603118</v>
      </c>
      <c r="AF50">
        <v>13.100528853103199</v>
      </c>
      <c r="AG50">
        <v>16.986107916967576</v>
      </c>
      <c r="AH50">
        <v>2.3129255949213587</v>
      </c>
      <c r="AI50">
        <v>2.3401150616389037</v>
      </c>
      <c r="AK50">
        <v>47.626393973666389</v>
      </c>
    </row>
    <row r="51" spans="1:37" x14ac:dyDescent="0.2">
      <c r="A51">
        <v>50</v>
      </c>
      <c r="B51">
        <v>753</v>
      </c>
      <c r="C51">
        <v>225</v>
      </c>
      <c r="D51">
        <v>0.35325293573064698</v>
      </c>
      <c r="E51">
        <v>170.93766285944594</v>
      </c>
      <c r="F51">
        <v>53.174192219804652</v>
      </c>
      <c r="G51">
        <v>70.162922744080475</v>
      </c>
      <c r="H51">
        <v>65.551241915145482</v>
      </c>
      <c r="J51">
        <v>51.934089887063543</v>
      </c>
      <c r="L51">
        <v>3.0241664839167059</v>
      </c>
      <c r="M51">
        <v>13.383996683305657</v>
      </c>
      <c r="N51">
        <v>2.401340798087789</v>
      </c>
      <c r="O51">
        <v>14.554258459681762</v>
      </c>
      <c r="P51">
        <v>8.2137765446960156</v>
      </c>
      <c r="Q51">
        <v>3.3403358746714899E-2</v>
      </c>
      <c r="R51">
        <v>9.4034594346822669</v>
      </c>
      <c r="S51">
        <v>29.715069109807665</v>
      </c>
      <c r="U51">
        <v>1.8972036362755018</v>
      </c>
      <c r="V51">
        <v>43.413249070150314</v>
      </c>
      <c r="W51">
        <v>22.03799553285592</v>
      </c>
      <c r="X51">
        <v>46.428399315865967</v>
      </c>
      <c r="Y51">
        <v>4.9151430324701808</v>
      </c>
      <c r="Z51">
        <v>27.543159517208288</v>
      </c>
      <c r="AA51">
        <v>2.124230643444418</v>
      </c>
      <c r="AB51">
        <v>31.375919706831066</v>
      </c>
      <c r="AD51">
        <v>5.3906436865039193</v>
      </c>
      <c r="AE51">
        <v>12.152535308014842</v>
      </c>
      <c r="AF51">
        <v>13.023828381526663</v>
      </c>
      <c r="AG51">
        <v>16.814174648186292</v>
      </c>
      <c r="AH51">
        <v>2.1771125290709277</v>
      </c>
      <c r="AI51">
        <v>2.3418053945478969</v>
      </c>
      <c r="AK51">
        <v>47.618737037455816</v>
      </c>
    </row>
    <row r="52" spans="1:37" x14ac:dyDescent="0.2">
      <c r="A52">
        <v>51</v>
      </c>
      <c r="B52">
        <v>752</v>
      </c>
      <c r="C52">
        <v>225</v>
      </c>
      <c r="D52">
        <v>0.35255377261864101</v>
      </c>
      <c r="E52">
        <v>170.77297332750521</v>
      </c>
      <c r="F52">
        <v>52.527081198019353</v>
      </c>
      <c r="G52">
        <v>70.05319183168659</v>
      </c>
      <c r="H52">
        <v>65.439148607234998</v>
      </c>
      <c r="J52">
        <v>51.811929422238634</v>
      </c>
      <c r="L52">
        <v>2.8649511961962197</v>
      </c>
      <c r="M52">
        <v>13.352638961667953</v>
      </c>
      <c r="N52">
        <v>2.4033140906747601</v>
      </c>
      <c r="O52">
        <v>13.869209799228489</v>
      </c>
      <c r="P52">
        <v>8.0177885667314577</v>
      </c>
      <c r="R52">
        <v>9.1480348913248655</v>
      </c>
      <c r="S52">
        <v>29.337784541869752</v>
      </c>
      <c r="U52">
        <v>1.8361114116394235</v>
      </c>
      <c r="V52">
        <v>43.379243169705035</v>
      </c>
      <c r="W52">
        <v>21.816537493263898</v>
      </c>
      <c r="X52">
        <v>46.284749989677792</v>
      </c>
      <c r="Y52">
        <v>4.7347272404206944</v>
      </c>
      <c r="Z52">
        <v>27.20124093001872</v>
      </c>
      <c r="AA52">
        <v>1.9564828437327597</v>
      </c>
      <c r="AB52">
        <v>31.271969370832981</v>
      </c>
      <c r="AD52">
        <v>5.1869336737824598</v>
      </c>
      <c r="AE52">
        <v>12.015953424767947</v>
      </c>
      <c r="AF52">
        <v>12.99134643352046</v>
      </c>
      <c r="AG52">
        <v>16.695308363148808</v>
      </c>
      <c r="AH52">
        <v>1.9059770444030188</v>
      </c>
      <c r="AI52">
        <v>2.3434905032952251</v>
      </c>
      <c r="AK52">
        <v>47.549133350608095</v>
      </c>
    </row>
    <row r="53" spans="1:37" x14ac:dyDescent="0.2">
      <c r="A53">
        <v>52</v>
      </c>
      <c r="B53">
        <v>751</v>
      </c>
      <c r="C53">
        <v>225</v>
      </c>
      <c r="D53">
        <v>0.35185324415369101</v>
      </c>
      <c r="E53">
        <v>170.57856743096855</v>
      </c>
      <c r="F53">
        <v>51.682741405781506</v>
      </c>
      <c r="G53">
        <v>69.908403397636206</v>
      </c>
      <c r="H53">
        <v>65.292010897023786</v>
      </c>
      <c r="J53">
        <v>51.655834165680545</v>
      </c>
      <c r="L53">
        <v>2.6478373981683143</v>
      </c>
      <c r="M53">
        <v>13.353574000632451</v>
      </c>
      <c r="N53">
        <v>2.4052839462972595</v>
      </c>
      <c r="O53">
        <v>12.954763255861202</v>
      </c>
      <c r="P53">
        <v>7.751689941820783</v>
      </c>
      <c r="R53">
        <v>8.8619804120342351</v>
      </c>
      <c r="S53">
        <v>29.01761900306164</v>
      </c>
      <c r="U53">
        <v>1.7960628640832654</v>
      </c>
      <c r="V53">
        <v>43.407640938970964</v>
      </c>
      <c r="W53">
        <v>21.594139621224897</v>
      </c>
      <c r="X53">
        <v>46.207340713698109</v>
      </c>
      <c r="Y53">
        <v>4.486173040576694</v>
      </c>
      <c r="Z53">
        <v>26.758219221554636</v>
      </c>
      <c r="AA53">
        <v>1.7267736374847882</v>
      </c>
      <c r="AB53">
        <v>31.203222335781749</v>
      </c>
      <c r="AD53">
        <v>4.9191934567091451</v>
      </c>
      <c r="AE53">
        <v>11.84674794800045</v>
      </c>
      <c r="AF53">
        <v>12.9911541404672</v>
      </c>
      <c r="AG53">
        <v>16.611644487282362</v>
      </c>
      <c r="AH53">
        <v>1.5351265895667459</v>
      </c>
      <c r="AI53">
        <v>2.3451713368184981</v>
      </c>
      <c r="AK53">
        <v>47.434262565013171</v>
      </c>
    </row>
    <row r="54" spans="1:37" x14ac:dyDescent="0.2">
      <c r="A54">
        <v>53</v>
      </c>
      <c r="B54">
        <v>750</v>
      </c>
      <c r="C54">
        <v>225</v>
      </c>
      <c r="D54">
        <v>0.35115134633240402</v>
      </c>
      <c r="E54">
        <v>170.3846605140395</v>
      </c>
      <c r="F54">
        <v>50.835782101511406</v>
      </c>
      <c r="G54">
        <v>69.762312495545203</v>
      </c>
      <c r="H54">
        <v>65.143583859129549</v>
      </c>
      <c r="J54">
        <v>51.495861556860156</v>
      </c>
      <c r="L54">
        <v>2.4277503080492462</v>
      </c>
      <c r="M54">
        <v>13.355402021816523</v>
      </c>
      <c r="N54">
        <v>2.4072533292963705</v>
      </c>
      <c r="O54">
        <v>12.033159038994606</v>
      </c>
      <c r="P54">
        <v>7.4829937645095592</v>
      </c>
      <c r="R54">
        <v>8.5701821274432728</v>
      </c>
      <c r="S54">
        <v>28.687813829942634</v>
      </c>
      <c r="U54">
        <v>1.7581856487595056</v>
      </c>
      <c r="V54">
        <v>43.432460686690142</v>
      </c>
      <c r="W54">
        <v>21.3736283595888</v>
      </c>
      <c r="X54">
        <v>46.136377675011524</v>
      </c>
      <c r="Y54">
        <v>4.2351645138397664</v>
      </c>
      <c r="Z54">
        <v>26.313915079754839</v>
      </c>
      <c r="AA54">
        <v>1.4947786613360077</v>
      </c>
      <c r="AB54">
        <v>31.130510291849809</v>
      </c>
      <c r="AD54">
        <v>4.649931229264519</v>
      </c>
      <c r="AE54">
        <v>11.677826326436023</v>
      </c>
      <c r="AF54">
        <v>12.991854693985454</v>
      </c>
      <c r="AG54">
        <v>16.524017681107491</v>
      </c>
      <c r="AH54">
        <v>1.1604543879967348</v>
      </c>
      <c r="AI54">
        <v>2.3468508576189704</v>
      </c>
      <c r="AK54">
        <v>47.318187304992378</v>
      </c>
    </row>
    <row r="55" spans="1:37" x14ac:dyDescent="0.2">
      <c r="A55">
        <v>54</v>
      </c>
      <c r="B55">
        <v>749</v>
      </c>
      <c r="C55">
        <v>225</v>
      </c>
      <c r="D55">
        <v>0.350448075135744</v>
      </c>
      <c r="E55">
        <v>170.19114717221217</v>
      </c>
      <c r="F55">
        <v>49.985073670817222</v>
      </c>
      <c r="G55">
        <v>69.614717501917937</v>
      </c>
      <c r="H55">
        <v>64.99366589109934</v>
      </c>
      <c r="J55">
        <v>51.331209020485723</v>
      </c>
      <c r="L55">
        <v>2.204328981959141</v>
      </c>
      <c r="M55">
        <v>13.358145087270822</v>
      </c>
      <c r="N55">
        <v>2.4092222099787342</v>
      </c>
      <c r="O55">
        <v>11.103037198769044</v>
      </c>
      <c r="P55">
        <v>7.2112967811533153</v>
      </c>
      <c r="R55">
        <v>8.2720713699991322</v>
      </c>
      <c r="S55">
        <v>28.346717790100506</v>
      </c>
      <c r="U55">
        <v>1.7225861958412254</v>
      </c>
      <c r="V55">
        <v>43.453241103030884</v>
      </c>
      <c r="W55">
        <v>21.155021762661871</v>
      </c>
      <c r="X55">
        <v>46.07217678089637</v>
      </c>
      <c r="Y55">
        <v>3.9813017200580045</v>
      </c>
      <c r="Z55">
        <v>25.86754062509937</v>
      </c>
      <c r="AA55">
        <v>1.2601154811389059</v>
      </c>
      <c r="AB55">
        <v>31.053021855379303</v>
      </c>
      <c r="AD55">
        <v>4.3786749920765891</v>
      </c>
      <c r="AE55">
        <v>11.508874652687004</v>
      </c>
      <c r="AF55">
        <v>12.993470132108685</v>
      </c>
      <c r="AG55">
        <v>16.431616537300041</v>
      </c>
      <c r="AH55">
        <v>0.78135662558121077</v>
      </c>
      <c r="AI55">
        <v>2.3485290341635721</v>
      </c>
      <c r="AK55">
        <v>47.200538422172116</v>
      </c>
    </row>
    <row r="56" spans="1:37" x14ac:dyDescent="0.2">
      <c r="A56">
        <v>55</v>
      </c>
      <c r="B56">
        <v>748</v>
      </c>
      <c r="C56">
        <v>225</v>
      </c>
      <c r="D56">
        <v>0.34974342652891699</v>
      </c>
      <c r="E56">
        <v>169.99789173192673</v>
      </c>
      <c r="F56">
        <v>49.129153899362215</v>
      </c>
      <c r="G56">
        <v>69.465358405321012</v>
      </c>
      <c r="H56">
        <v>64.841997002583099</v>
      </c>
      <c r="J56">
        <v>51.160859717470942</v>
      </c>
      <c r="L56">
        <v>1.9770363748702111</v>
      </c>
      <c r="M56">
        <v>13.361823809093853</v>
      </c>
      <c r="N56">
        <v>2.4111905522228887</v>
      </c>
      <c r="O56">
        <v>10.162645875032418</v>
      </c>
      <c r="P56">
        <v>6.9360789558611886</v>
      </c>
      <c r="R56">
        <v>7.9668974180763428</v>
      </c>
      <c r="S56">
        <v>27.99228855152468</v>
      </c>
      <c r="U56">
        <v>1.6893981375813163</v>
      </c>
      <c r="V56">
        <v>43.469423646535013</v>
      </c>
      <c r="W56">
        <v>20.938338858666192</v>
      </c>
      <c r="X56">
        <v>46.015132925167336</v>
      </c>
      <c r="Y56">
        <v>3.7240694780287584</v>
      </c>
      <c r="Z56">
        <v>25.418068280893433</v>
      </c>
      <c r="AA56">
        <v>1.022289004015809</v>
      </c>
      <c r="AB56">
        <v>30.969753009378991</v>
      </c>
      <c r="AD56">
        <v>4.1048077698598728</v>
      </c>
      <c r="AE56">
        <v>11.3394821341117</v>
      </c>
      <c r="AF56">
        <v>12.996021036501183</v>
      </c>
      <c r="AG56">
        <v>16.333437008795197</v>
      </c>
      <c r="AH56">
        <v>0.39705124395108765</v>
      </c>
      <c r="AI56">
        <v>2.3502058284907803</v>
      </c>
      <c r="AK56">
        <v>47.080835843671274</v>
      </c>
    </row>
    <row r="57" spans="1:37" x14ac:dyDescent="0.2">
      <c r="A57">
        <v>56</v>
      </c>
      <c r="B57">
        <v>747</v>
      </c>
      <c r="C57">
        <v>225</v>
      </c>
      <c r="D57">
        <v>0.34903739646130499</v>
      </c>
      <c r="E57">
        <v>170.30460566337516</v>
      </c>
      <c r="F57">
        <v>50.236500804013943</v>
      </c>
      <c r="G57">
        <v>69.727100339272141</v>
      </c>
      <c r="H57">
        <v>65.10144234822468</v>
      </c>
      <c r="J57">
        <v>47.072138601459855</v>
      </c>
      <c r="L57">
        <v>1.3052629594795435</v>
      </c>
      <c r="M57">
        <v>13.228739278706078</v>
      </c>
      <c r="N57">
        <v>2.4131956237938645</v>
      </c>
      <c r="O57">
        <v>5.8469817873154009</v>
      </c>
      <c r="P57">
        <v>7.4831078466024739</v>
      </c>
      <c r="R57">
        <v>7.5017996098123154</v>
      </c>
      <c r="S57">
        <v>26.021425790938025</v>
      </c>
      <c r="U57">
        <v>1.6765497791670205</v>
      </c>
      <c r="V57">
        <v>43.608659008155954</v>
      </c>
      <c r="W57">
        <v>20.589387521667526</v>
      </c>
      <c r="X57">
        <v>46.016312031691143</v>
      </c>
      <c r="Y57">
        <v>3.4908721718160898</v>
      </c>
      <c r="Z57">
        <v>25.037862078154848</v>
      </c>
      <c r="AA57">
        <v>0.16833185387690172</v>
      </c>
      <c r="AB57">
        <v>30.666901810393515</v>
      </c>
      <c r="AD57">
        <v>3.9320531854987486</v>
      </c>
      <c r="AE57">
        <v>10.900033879011181</v>
      </c>
      <c r="AF57">
        <v>12.861845772046266</v>
      </c>
      <c r="AG57">
        <v>16.01571442596811</v>
      </c>
      <c r="AI57">
        <v>2.3519185065253327</v>
      </c>
      <c r="AK57">
        <v>44.332012866164725</v>
      </c>
    </row>
    <row r="58" spans="1:37" x14ac:dyDescent="0.2">
      <c r="A58">
        <v>57</v>
      </c>
      <c r="B58">
        <v>746</v>
      </c>
      <c r="C58">
        <v>225</v>
      </c>
      <c r="D58">
        <v>0.34832998086640898</v>
      </c>
      <c r="E58">
        <v>170.9358880214015</v>
      </c>
      <c r="F58">
        <v>49.472537098105441</v>
      </c>
      <c r="G58">
        <v>69.929914904990554</v>
      </c>
      <c r="H58">
        <v>65.301973550408931</v>
      </c>
      <c r="J58">
        <v>35.848643818371961</v>
      </c>
      <c r="L58">
        <v>1.5685261012211014</v>
      </c>
      <c r="M58">
        <v>12.386396891851261</v>
      </c>
      <c r="N58">
        <v>2.4152219930926675</v>
      </c>
      <c r="O58">
        <v>6.4966605703144777</v>
      </c>
      <c r="P58">
        <v>7.9123112474443857</v>
      </c>
      <c r="R58">
        <v>7.3089644695977345</v>
      </c>
      <c r="S58">
        <v>26.958706571636991</v>
      </c>
      <c r="U58">
        <v>1.6931597223658283</v>
      </c>
      <c r="V58">
        <v>44.748591132747499</v>
      </c>
      <c r="W58">
        <v>19.652565732155114</v>
      </c>
      <c r="X58">
        <v>46.099838911664527</v>
      </c>
      <c r="Y58">
        <v>3.7579807392844606</v>
      </c>
      <c r="Z58">
        <v>20.469918314844026</v>
      </c>
      <c r="AB58">
        <v>28.542844861669082</v>
      </c>
      <c r="AD58">
        <v>1.7779892878569981</v>
      </c>
      <c r="AE58">
        <v>8.1168705183712433</v>
      </c>
      <c r="AF58">
        <v>12.018434308606329</v>
      </c>
      <c r="AG58">
        <v>13.876809966551473</v>
      </c>
      <c r="AI58">
        <v>2.3536516348279419</v>
      </c>
      <c r="AK58">
        <v>36.65246147284676</v>
      </c>
    </row>
    <row r="59" spans="1:37" x14ac:dyDescent="0.2">
      <c r="A59">
        <v>58</v>
      </c>
      <c r="B59">
        <v>745</v>
      </c>
      <c r="C59">
        <v>225</v>
      </c>
      <c r="D59">
        <v>0.347621175661739</v>
      </c>
      <c r="E59">
        <v>171.28750634626849</v>
      </c>
      <c r="F59">
        <v>49.699817522541764</v>
      </c>
      <c r="G59">
        <v>69.990540854447374</v>
      </c>
      <c r="H59">
        <v>65.360329382316081</v>
      </c>
      <c r="J59">
        <v>31.580451796958748</v>
      </c>
      <c r="L59">
        <v>1.6023057198890491</v>
      </c>
      <c r="M59">
        <v>11.759866887599275</v>
      </c>
      <c r="N59">
        <v>2.4172283644473467</v>
      </c>
      <c r="O59">
        <v>6.3572182337084753</v>
      </c>
      <c r="P59">
        <v>8.0571253899551518</v>
      </c>
      <c r="R59">
        <v>6.9480573293132402</v>
      </c>
      <c r="S59">
        <v>27.432178716562259</v>
      </c>
      <c r="U59">
        <v>1.6804123017033896</v>
      </c>
      <c r="V59">
        <v>45.608375745949949</v>
      </c>
      <c r="W59">
        <v>18.945555154272476</v>
      </c>
      <c r="X59">
        <v>46.09946885784106</v>
      </c>
      <c r="Y59">
        <v>3.7865572707154218</v>
      </c>
      <c r="Z59">
        <v>19.12644800010786</v>
      </c>
      <c r="AB59">
        <v>28.301028392150844</v>
      </c>
      <c r="AD59">
        <v>1.1198348376091547</v>
      </c>
      <c r="AE59">
        <v>7.3108780156845592</v>
      </c>
      <c r="AF59">
        <v>11.390815595301458</v>
      </c>
      <c r="AG59">
        <v>13.620128569922045</v>
      </c>
      <c r="AI59">
        <v>2.3553639158868287</v>
      </c>
      <c r="AK59">
        <v>33.641393025624765</v>
      </c>
    </row>
    <row r="60" spans="1:37" x14ac:dyDescent="0.2">
      <c r="A60">
        <v>59</v>
      </c>
      <c r="B60">
        <v>744</v>
      </c>
      <c r="C60">
        <v>225</v>
      </c>
      <c r="D60">
        <v>0.34691097674876298</v>
      </c>
      <c r="E60">
        <v>171.55031951701866</v>
      </c>
      <c r="F60">
        <v>50.00944514801391</v>
      </c>
      <c r="G60">
        <v>70.018994895142143</v>
      </c>
      <c r="H60">
        <v>65.386526572694166</v>
      </c>
      <c r="J60">
        <v>28.998819125014851</v>
      </c>
      <c r="L60">
        <v>1.6272851165233042</v>
      </c>
      <c r="M60">
        <v>11.236600799111459</v>
      </c>
      <c r="N60">
        <v>2.4192277695998556</v>
      </c>
      <c r="O60">
        <v>6.2604040829492975</v>
      </c>
      <c r="P60">
        <v>8.1375967442334307</v>
      </c>
      <c r="R60">
        <v>6.6211101532103784</v>
      </c>
      <c r="S60">
        <v>27.853478196941001</v>
      </c>
      <c r="U60">
        <v>1.6626332861052844</v>
      </c>
      <c r="V60">
        <v>46.325662824410493</v>
      </c>
      <c r="W60">
        <v>18.344173636119873</v>
      </c>
      <c r="X60">
        <v>46.084908377471713</v>
      </c>
      <c r="Y60">
        <v>3.7960030851229472</v>
      </c>
      <c r="Z60">
        <v>18.378091715245713</v>
      </c>
      <c r="AB60">
        <v>28.332631059170083</v>
      </c>
      <c r="AD60">
        <v>0.74421320139004243</v>
      </c>
      <c r="AE60">
        <v>6.8613654651600076</v>
      </c>
      <c r="AF60">
        <v>10.86645420277317</v>
      </c>
      <c r="AG60">
        <v>13.636861931277769</v>
      </c>
      <c r="AI60">
        <v>2.3570683796027216</v>
      </c>
      <c r="AK60">
        <v>31.78235111727027</v>
      </c>
    </row>
    <row r="61" spans="1:37" x14ac:dyDescent="0.2">
      <c r="A61">
        <v>60</v>
      </c>
      <c r="B61">
        <v>743</v>
      </c>
      <c r="C61">
        <v>225</v>
      </c>
      <c r="D61">
        <v>0.34619938001279399</v>
      </c>
      <c r="E61">
        <v>171.7646272667784</v>
      </c>
      <c r="F61">
        <v>50.321551618023456</v>
      </c>
      <c r="G61">
        <v>70.03360631468216</v>
      </c>
      <c r="H61">
        <v>65.398894430443406</v>
      </c>
      <c r="J61">
        <v>27.18321785838285</v>
      </c>
      <c r="L61">
        <v>1.6476390939873564</v>
      </c>
      <c r="M61">
        <v>10.7788590651574</v>
      </c>
      <c r="N61">
        <v>2.4212232132877411</v>
      </c>
      <c r="O61">
        <v>6.1804517849139575</v>
      </c>
      <c r="P61">
        <v>8.1903869136610759</v>
      </c>
      <c r="R61">
        <v>6.3215204285781867</v>
      </c>
      <c r="S61">
        <v>28.228985271405975</v>
      </c>
      <c r="U61">
        <v>1.6428939166001915</v>
      </c>
      <c r="V61">
        <v>46.949572112025081</v>
      </c>
      <c r="W61">
        <v>17.809226299676816</v>
      </c>
      <c r="X61">
        <v>46.06495175750478</v>
      </c>
      <c r="Y61">
        <v>3.7987247100808879</v>
      </c>
      <c r="Z61">
        <v>17.866146858069644</v>
      </c>
      <c r="AB61">
        <v>28.447428681799057</v>
      </c>
      <c r="AD61">
        <v>0.48213586231209099</v>
      </c>
      <c r="AE61">
        <v>6.5528711391996035</v>
      </c>
      <c r="AF61">
        <v>10.407613580283591</v>
      </c>
      <c r="AG61">
        <v>13.736788880573915</v>
      </c>
      <c r="AI61">
        <v>2.3587680288735733</v>
      </c>
      <c r="AK61">
        <v>30.453237000371537</v>
      </c>
    </row>
    <row r="62" spans="1:37" x14ac:dyDescent="0.2">
      <c r="A62">
        <v>61</v>
      </c>
      <c r="B62">
        <v>742</v>
      </c>
      <c r="C62">
        <v>225</v>
      </c>
      <c r="D62">
        <v>0.345486381322956</v>
      </c>
      <c r="E62">
        <v>171.94762866828802</v>
      </c>
      <c r="F62">
        <v>50.620698024739426</v>
      </c>
      <c r="G62">
        <v>70.040727161232724</v>
      </c>
      <c r="H62">
        <v>65.403785025060984</v>
      </c>
      <c r="J62">
        <v>25.79894080685856</v>
      </c>
      <c r="L62">
        <v>1.6650628056232382</v>
      </c>
      <c r="M62">
        <v>10.366854900392275</v>
      </c>
      <c r="N62">
        <v>2.4232159923310066</v>
      </c>
      <c r="O62">
        <v>6.1090114560070266</v>
      </c>
      <c r="P62">
        <v>8.2282013148760278</v>
      </c>
      <c r="R62">
        <v>6.0431528552757339</v>
      </c>
      <c r="S62">
        <v>28.568697528180156</v>
      </c>
      <c r="U62">
        <v>1.622139181211806</v>
      </c>
      <c r="V62">
        <v>47.507433929385932</v>
      </c>
      <c r="W62">
        <v>17.320481103940171</v>
      </c>
      <c r="X62">
        <v>46.042303197199011</v>
      </c>
      <c r="Y62">
        <v>3.7985084557460165</v>
      </c>
      <c r="Z62">
        <v>17.475242148812669</v>
      </c>
      <c r="AB62">
        <v>28.592491341354172</v>
      </c>
      <c r="AD62">
        <v>0.27885913969021048</v>
      </c>
      <c r="AE62">
        <v>6.3164992137174272</v>
      </c>
      <c r="AF62">
        <v>9.994508245069877</v>
      </c>
      <c r="AG62">
        <v>13.866980802108165</v>
      </c>
      <c r="AI62">
        <v>2.360464158678278</v>
      </c>
      <c r="AK62">
        <v>29.425590212961868</v>
      </c>
    </row>
    <row r="63" spans="1:37" x14ac:dyDescent="0.2">
      <c r="A63">
        <v>62</v>
      </c>
      <c r="B63">
        <v>741</v>
      </c>
      <c r="C63">
        <v>225</v>
      </c>
      <c r="D63">
        <v>0.34477197653207198</v>
      </c>
      <c r="E63">
        <v>172.10839569277772</v>
      </c>
      <c r="F63">
        <v>50.904150480331531</v>
      </c>
      <c r="G63">
        <v>70.043218738276863</v>
      </c>
      <c r="H63">
        <v>65.404059681406579</v>
      </c>
      <c r="J63">
        <v>24.689244644532533</v>
      </c>
      <c r="L63">
        <v>1.6803960905671447</v>
      </c>
      <c r="M63">
        <v>9.988968306600615</v>
      </c>
      <c r="N63">
        <v>2.4252067967934621</v>
      </c>
      <c r="O63">
        <v>6.0425455694577686</v>
      </c>
      <c r="P63">
        <v>8.2567632684674521</v>
      </c>
      <c r="R63">
        <v>5.7816496006215985</v>
      </c>
      <c r="S63">
        <v>28.88012736487125</v>
      </c>
      <c r="U63">
        <v>1.6007663244670511</v>
      </c>
      <c r="V63">
        <v>48.015653867469773</v>
      </c>
      <c r="W63">
        <v>16.86613184380322</v>
      </c>
      <c r="X63">
        <v>46.018098687582096</v>
      </c>
      <c r="Y63">
        <v>3.7968656701482275</v>
      </c>
      <c r="Z63">
        <v>17.155921034197387</v>
      </c>
      <c r="AB63">
        <v>28.748377608116332</v>
      </c>
      <c r="AD63">
        <v>0.11074763248099068</v>
      </c>
      <c r="AE63">
        <v>6.1227865350854263</v>
      </c>
      <c r="AF63">
        <v>9.6155188947598127</v>
      </c>
      <c r="AG63">
        <v>14.007996962409329</v>
      </c>
      <c r="AI63">
        <v>2.3621574572401212</v>
      </c>
      <c r="AK63">
        <v>28.591574465428693</v>
      </c>
    </row>
    <row r="64" spans="1:37" x14ac:dyDescent="0.2">
      <c r="A64">
        <v>63</v>
      </c>
      <c r="B64">
        <v>760</v>
      </c>
      <c r="C64">
        <v>200</v>
      </c>
      <c r="D64">
        <v>0.38472680636887402</v>
      </c>
      <c r="E64">
        <v>157.11580027697599</v>
      </c>
      <c r="F64">
        <v>55.00031789913394</v>
      </c>
      <c r="G64">
        <v>70.56165603946009</v>
      </c>
      <c r="H64">
        <v>65.96576223142398</v>
      </c>
      <c r="J64">
        <v>51.919138979260197</v>
      </c>
      <c r="L64">
        <v>3.4438448101135437</v>
      </c>
      <c r="M64">
        <v>13.773893608191822</v>
      </c>
      <c r="N64">
        <v>2.3235344752784255</v>
      </c>
      <c r="O64">
        <v>17.239505760097011</v>
      </c>
      <c r="P64">
        <v>8.6419940701154445</v>
      </c>
      <c r="Q64">
        <v>3.9129997950395193E-2</v>
      </c>
      <c r="R64">
        <v>10.762664727880878</v>
      </c>
      <c r="S64">
        <v>32.054107814810564</v>
      </c>
      <c r="U64">
        <v>2.3506319551978967</v>
      </c>
      <c r="V64">
        <v>43.542706397542347</v>
      </c>
      <c r="W64">
        <v>23.996980091683973</v>
      </c>
      <c r="X64">
        <v>46.163935973202527</v>
      </c>
      <c r="Y64">
        <v>5.2705099263314468</v>
      </c>
      <c r="Z64">
        <v>28.774430733598411</v>
      </c>
      <c r="AA64">
        <v>2.5878718698239753</v>
      </c>
      <c r="AB64">
        <v>32.328716284872804</v>
      </c>
      <c r="AC64">
        <v>2.7247114225141259E-2</v>
      </c>
      <c r="AD64">
        <v>6.0703107164287209</v>
      </c>
      <c r="AE64">
        <v>12.923347591672563</v>
      </c>
      <c r="AF64">
        <v>13.434716770519897</v>
      </c>
      <c r="AG64">
        <v>17.915357276756172</v>
      </c>
      <c r="AH64">
        <v>2.5066180943339189</v>
      </c>
      <c r="AI64">
        <v>2.2629005479168511</v>
      </c>
      <c r="AK64">
        <v>47.243802235139675</v>
      </c>
    </row>
    <row r="65" spans="1:37" x14ac:dyDescent="0.2">
      <c r="A65">
        <v>64</v>
      </c>
      <c r="B65">
        <v>759</v>
      </c>
      <c r="C65">
        <v>200</v>
      </c>
      <c r="D65">
        <v>0.38406287845759102</v>
      </c>
      <c r="E65">
        <v>157.01336840518996</v>
      </c>
      <c r="F65">
        <v>54.666454183693901</v>
      </c>
      <c r="G65">
        <v>70.504301398891144</v>
      </c>
      <c r="H65">
        <v>65.90594377183227</v>
      </c>
      <c r="J65">
        <v>51.881661498345025</v>
      </c>
      <c r="L65">
        <v>3.3624204113124398</v>
      </c>
      <c r="M65">
        <v>13.745182815105727</v>
      </c>
      <c r="N65">
        <v>2.3138467028770444</v>
      </c>
      <c r="O65">
        <v>16.843109108403709</v>
      </c>
      <c r="P65">
        <v>8.5390336864008152</v>
      </c>
      <c r="R65">
        <v>10.600375622349434</v>
      </c>
      <c r="S65">
        <v>31.791503884648861</v>
      </c>
      <c r="U65">
        <v>2.3011172205376877</v>
      </c>
      <c r="V65">
        <v>43.500721946553028</v>
      </c>
      <c r="W65">
        <v>23.848557754337204</v>
      </c>
      <c r="X65">
        <v>46.06599422560533</v>
      </c>
      <c r="Y65">
        <v>5.185232907135962</v>
      </c>
      <c r="Z65">
        <v>28.594565029038389</v>
      </c>
      <c r="AA65">
        <v>2.5026083643890598</v>
      </c>
      <c r="AB65">
        <v>32.245122263234187</v>
      </c>
      <c r="AC65">
        <v>1.5578682981509339E-2</v>
      </c>
      <c r="AD65">
        <v>5.9708354982569389</v>
      </c>
      <c r="AE65">
        <v>12.841825995861674</v>
      </c>
      <c r="AF65">
        <v>13.393214999093603</v>
      </c>
      <c r="AG65">
        <v>17.805201474407543</v>
      </c>
      <c r="AH65">
        <v>2.3882819722532092</v>
      </c>
      <c r="AI65">
        <v>2.252931535750589</v>
      </c>
      <c r="AK65">
        <v>47.242934257670441</v>
      </c>
    </row>
    <row r="66" spans="1:37" x14ac:dyDescent="0.2">
      <c r="A66">
        <v>65</v>
      </c>
      <c r="B66">
        <v>758</v>
      </c>
      <c r="C66">
        <v>200</v>
      </c>
      <c r="D66">
        <v>0.383397662803666</v>
      </c>
      <c r="E66">
        <v>156.89637292751766</v>
      </c>
      <c r="F66">
        <v>54.20287123850143</v>
      </c>
      <c r="G66">
        <v>70.423458348072842</v>
      </c>
      <c r="H66">
        <v>65.822649877842295</v>
      </c>
      <c r="J66">
        <v>51.837472317720184</v>
      </c>
      <c r="L66">
        <v>3.2395048704814182</v>
      </c>
      <c r="M66">
        <v>13.756983076480987</v>
      </c>
      <c r="N66">
        <v>2.2998904727045004</v>
      </c>
      <c r="O66">
        <v>16.271861411752983</v>
      </c>
      <c r="P66">
        <v>8.3848356955612271</v>
      </c>
      <c r="R66">
        <v>10.438309433085584</v>
      </c>
      <c r="S66">
        <v>31.649649629450241</v>
      </c>
      <c r="U66">
        <v>2.2803972232074665</v>
      </c>
      <c r="V66">
        <v>43.536181090330196</v>
      </c>
      <c r="W66">
        <v>23.723734696429748</v>
      </c>
      <c r="X66">
        <v>46.062370407830052</v>
      </c>
      <c r="Y66">
        <v>5.0516625809291167</v>
      </c>
      <c r="Z66">
        <v>28.347374583111343</v>
      </c>
      <c r="AA66">
        <v>2.371957328760538</v>
      </c>
      <c r="AB66">
        <v>32.215060979950785</v>
      </c>
      <c r="AD66">
        <v>5.8297669013440974</v>
      </c>
      <c r="AE66">
        <v>12.738707747970832</v>
      </c>
      <c r="AF66">
        <v>13.387956122428106</v>
      </c>
      <c r="AG66">
        <v>17.744312456305693</v>
      </c>
      <c r="AH66">
        <v>2.2045389443499515</v>
      </c>
      <c r="AI66">
        <v>2.238693240425389</v>
      </c>
      <c r="AK66">
        <v>47.212512499734899</v>
      </c>
    </row>
    <row r="67" spans="1:37" x14ac:dyDescent="0.2">
      <c r="A67">
        <v>66</v>
      </c>
      <c r="B67">
        <v>757</v>
      </c>
      <c r="C67">
        <v>200</v>
      </c>
      <c r="D67">
        <v>0.38273115565694399</v>
      </c>
      <c r="E67">
        <v>156.70446578280061</v>
      </c>
      <c r="F67">
        <v>53.367965582194422</v>
      </c>
      <c r="G67">
        <v>70.280159583230628</v>
      </c>
      <c r="H67">
        <v>65.676913266398614</v>
      </c>
      <c r="J67">
        <v>51.681971470154096</v>
      </c>
      <c r="L67">
        <v>3.0245493367886191</v>
      </c>
      <c r="M67">
        <v>13.757328810718214</v>
      </c>
      <c r="N67">
        <v>2.301863792959435</v>
      </c>
      <c r="O67">
        <v>15.3644794706619</v>
      </c>
      <c r="P67">
        <v>8.121663520788065</v>
      </c>
      <c r="R67">
        <v>10.153277554715887</v>
      </c>
      <c r="S67">
        <v>31.32638890606518</v>
      </c>
      <c r="U67">
        <v>2.2407942898034814</v>
      </c>
      <c r="V67">
        <v>43.562326588608386</v>
      </c>
      <c r="W67">
        <v>23.500100827994988</v>
      </c>
      <c r="X67">
        <v>45.987291384453194</v>
      </c>
      <c r="Y67">
        <v>4.8059314518961491</v>
      </c>
      <c r="Z67">
        <v>27.906950144648047</v>
      </c>
      <c r="AA67">
        <v>2.1447941978916569</v>
      </c>
      <c r="AB67">
        <v>32.142918800918928</v>
      </c>
      <c r="AD67">
        <v>5.5648393636792992</v>
      </c>
      <c r="AE67">
        <v>12.569591352868484</v>
      </c>
      <c r="AF67">
        <v>13.387172572697438</v>
      </c>
      <c r="AG67">
        <v>17.657274602421413</v>
      </c>
      <c r="AH67">
        <v>1.8381282813916289</v>
      </c>
      <c r="AI67">
        <v>2.2403836683015781</v>
      </c>
      <c r="AK67">
        <v>47.099876369798693</v>
      </c>
    </row>
    <row r="68" spans="1:37" x14ac:dyDescent="0.2">
      <c r="A68">
        <v>67</v>
      </c>
      <c r="B68">
        <v>756</v>
      </c>
      <c r="C68">
        <v>200</v>
      </c>
      <c r="D68">
        <v>0.38206335325268598</v>
      </c>
      <c r="E68">
        <v>156.51320162927175</v>
      </c>
      <c r="F68">
        <v>52.531626022653576</v>
      </c>
      <c r="G68">
        <v>70.135801474008161</v>
      </c>
      <c r="H68">
        <v>65.530130327900778</v>
      </c>
      <c r="J68">
        <v>51.523244664099273</v>
      </c>
      <c r="L68">
        <v>2.8070313262775817</v>
      </c>
      <c r="M68">
        <v>13.758469827052508</v>
      </c>
      <c r="N68">
        <v>2.3038366719557128</v>
      </c>
      <c r="O68">
        <v>14.451432268367526</v>
      </c>
      <c r="P68">
        <v>7.8563799322748169</v>
      </c>
      <c r="R68">
        <v>9.8631784133626859</v>
      </c>
      <c r="S68">
        <v>30.994389301728852</v>
      </c>
      <c r="U68">
        <v>2.2032135093632124</v>
      </c>
      <c r="V68">
        <v>43.585099062623286</v>
      </c>
      <c r="W68">
        <v>23.27830246140412</v>
      </c>
      <c r="X68">
        <v>45.918228875060201</v>
      </c>
      <c r="Y68">
        <v>4.5582117516367351</v>
      </c>
      <c r="Z68">
        <v>27.46580515218935</v>
      </c>
      <c r="AA68">
        <v>1.915859398488603</v>
      </c>
      <c r="AB68">
        <v>32.067116737844501</v>
      </c>
      <c r="AD68">
        <v>5.298762090083196</v>
      </c>
      <c r="AE68">
        <v>12.400927145297647</v>
      </c>
      <c r="AF68">
        <v>13.387184173036756</v>
      </c>
      <c r="AG68">
        <v>17.566578938669615</v>
      </c>
      <c r="AH68">
        <v>1.46857529633114</v>
      </c>
      <c r="AI68">
        <v>2.242072825854823</v>
      </c>
      <c r="AK68">
        <v>46.986423806603206</v>
      </c>
    </row>
    <row r="69" spans="1:37" x14ac:dyDescent="0.2">
      <c r="A69">
        <v>68</v>
      </c>
      <c r="B69">
        <v>755</v>
      </c>
      <c r="C69">
        <v>200</v>
      </c>
      <c r="D69">
        <v>0.38139425181150599</v>
      </c>
      <c r="E69">
        <v>156.32250154074842</v>
      </c>
      <c r="F69">
        <v>51.692991846122702</v>
      </c>
      <c r="G69">
        <v>69.990231913283736</v>
      </c>
      <c r="H69">
        <v>65.382148976027295</v>
      </c>
      <c r="J69">
        <v>51.360660288956858</v>
      </c>
      <c r="L69">
        <v>2.5867313501878417</v>
      </c>
      <c r="M69">
        <v>13.760420060510816</v>
      </c>
      <c r="N69">
        <v>2.3058090867229613</v>
      </c>
      <c r="O69">
        <v>13.531685658265015</v>
      </c>
      <c r="P69">
        <v>7.5886807154699021</v>
      </c>
      <c r="R69">
        <v>9.5675899027503526</v>
      </c>
      <c r="S69">
        <v>30.652318261499428</v>
      </c>
      <c r="U69">
        <v>2.1677343936220033</v>
      </c>
      <c r="V69">
        <v>43.604120433340036</v>
      </c>
      <c r="W69">
        <v>23.058352286413022</v>
      </c>
      <c r="X69">
        <v>45.855419854176404</v>
      </c>
      <c r="Y69">
        <v>4.3082007074693598</v>
      </c>
      <c r="Z69">
        <v>27.02333257825299</v>
      </c>
      <c r="AA69">
        <v>1.6846886918730888</v>
      </c>
      <c r="AB69">
        <v>31.986993566209996</v>
      </c>
      <c r="AD69">
        <v>5.0311753512607398</v>
      </c>
      <c r="AE69">
        <v>12.232468599939843</v>
      </c>
      <c r="AF69">
        <v>13.388004841099882</v>
      </c>
      <c r="AG69">
        <v>17.471564223475148</v>
      </c>
      <c r="AH69">
        <v>1.0954251999183944</v>
      </c>
      <c r="AI69">
        <v>2.2437606882757382</v>
      </c>
      <c r="AK69">
        <v>46.871872040944318</v>
      </c>
    </row>
    <row r="70" spans="1:37" x14ac:dyDescent="0.2">
      <c r="A70">
        <v>69</v>
      </c>
      <c r="B70">
        <v>754</v>
      </c>
      <c r="C70">
        <v>200</v>
      </c>
      <c r="D70">
        <v>0.38072384753930699</v>
      </c>
      <c r="E70">
        <v>156.13226737563838</v>
      </c>
      <c r="F70">
        <v>50.850982964440171</v>
      </c>
      <c r="G70">
        <v>69.843260300774176</v>
      </c>
      <c r="H70">
        <v>65.232778631332849</v>
      </c>
      <c r="J70">
        <v>51.193443461626387</v>
      </c>
      <c r="L70">
        <v>2.3632999983905356</v>
      </c>
      <c r="M70">
        <v>13.763191479070645</v>
      </c>
      <c r="N70">
        <v>2.3077810101820444</v>
      </c>
      <c r="O70">
        <v>12.603946292790514</v>
      </c>
      <c r="P70">
        <v>7.3181846654490066</v>
      </c>
      <c r="R70">
        <v>9.2659686164460577</v>
      </c>
      <c r="S70">
        <v>30.298580763784674</v>
      </c>
      <c r="U70">
        <v>2.1344546173032959</v>
      </c>
      <c r="V70">
        <v>43.618947468859538</v>
      </c>
      <c r="W70">
        <v>22.840263387606537</v>
      </c>
      <c r="X70">
        <v>45.799153981791953</v>
      </c>
      <c r="Y70">
        <v>4.0555194716829845</v>
      </c>
      <c r="Z70">
        <v>26.578765312720986</v>
      </c>
      <c r="AA70">
        <v>1.4510050373793637</v>
      </c>
      <c r="AB70">
        <v>31.901757764663859</v>
      </c>
      <c r="AD70">
        <v>4.7616227824372883</v>
      </c>
      <c r="AE70">
        <v>12.063903735505541</v>
      </c>
      <c r="AF70">
        <v>13.389646523397337</v>
      </c>
      <c r="AG70">
        <v>17.371438914340079</v>
      </c>
      <c r="AH70">
        <v>0.71810541360687752</v>
      </c>
      <c r="AI70">
        <v>2.2454472266472236</v>
      </c>
      <c r="AK70">
        <v>46.755864403470568</v>
      </c>
    </row>
    <row r="71" spans="1:37" x14ac:dyDescent="0.2">
      <c r="A71">
        <v>70</v>
      </c>
      <c r="B71">
        <v>753</v>
      </c>
      <c r="C71">
        <v>200</v>
      </c>
      <c r="D71">
        <v>0.380052136627202</v>
      </c>
      <c r="E71">
        <v>155.94237296026145</v>
      </c>
      <c r="F71">
        <v>50.004204315498392</v>
      </c>
      <c r="G71">
        <v>69.694640833843323</v>
      </c>
      <c r="H71">
        <v>65.081773512059641</v>
      </c>
      <c r="J71">
        <v>51.020614453405635</v>
      </c>
      <c r="L71">
        <v>2.1362838638250943</v>
      </c>
      <c r="M71">
        <v>13.76679313338415</v>
      </c>
      <c r="N71">
        <v>2.3097524094480795</v>
      </c>
      <c r="O71">
        <v>11.666549683164137</v>
      </c>
      <c r="P71">
        <v>7.0444001668436131</v>
      </c>
      <c r="R71">
        <v>8.9575962136343676</v>
      </c>
      <c r="S71">
        <v>29.931205984455772</v>
      </c>
      <c r="U71">
        <v>2.1034973816626992</v>
      </c>
      <c r="V71">
        <v>43.629042751188003</v>
      </c>
      <c r="W71">
        <v>22.624049040101877</v>
      </c>
      <c r="X71">
        <v>45.749794904991688</v>
      </c>
      <c r="Y71">
        <v>3.799680177969643</v>
      </c>
      <c r="Z71">
        <v>26.131107837576149</v>
      </c>
      <c r="AA71">
        <v>1.2143367285073401</v>
      </c>
      <c r="AB71">
        <v>31.810431978515663</v>
      </c>
      <c r="AD71">
        <v>4.489510171232026</v>
      </c>
      <c r="AE71">
        <v>11.894827279482975</v>
      </c>
      <c r="AF71">
        <v>13.39211824331797</v>
      </c>
      <c r="AG71">
        <v>17.265225629639438</v>
      </c>
      <c r="AH71">
        <v>0.33587480188439067</v>
      </c>
      <c r="AI71">
        <v>2.2471324062444511</v>
      </c>
      <c r="AK71">
        <v>46.637938510259758</v>
      </c>
    </row>
    <row r="72" spans="1:37" x14ac:dyDescent="0.2">
      <c r="A72">
        <v>71</v>
      </c>
      <c r="B72">
        <v>752</v>
      </c>
      <c r="C72">
        <v>200</v>
      </c>
      <c r="D72">
        <v>0.37937911525142798</v>
      </c>
      <c r="E72">
        <v>156.09502795496866</v>
      </c>
      <c r="F72">
        <v>51.347877279562788</v>
      </c>
      <c r="G72">
        <v>69.899551141434742</v>
      </c>
      <c r="H72">
        <v>65.284311268072045</v>
      </c>
      <c r="J72">
        <v>50.732347769077748</v>
      </c>
      <c r="L72">
        <v>2.3126253292046495</v>
      </c>
      <c r="M72">
        <v>13.787843111121859</v>
      </c>
      <c r="N72">
        <v>2.3117462066205174</v>
      </c>
      <c r="O72">
        <v>11.763847078569063</v>
      </c>
      <c r="P72">
        <v>7.4777054224855384</v>
      </c>
      <c r="R72">
        <v>9.3552243232744487</v>
      </c>
      <c r="S72">
        <v>30.318918413103255</v>
      </c>
      <c r="U72">
        <v>2.0698982060769144</v>
      </c>
      <c r="V72">
        <v>43.773487429670396</v>
      </c>
      <c r="W72">
        <v>22.378130293848635</v>
      </c>
      <c r="X72">
        <v>45.694012173802179</v>
      </c>
      <c r="Y72">
        <v>4.0778327349354635</v>
      </c>
      <c r="Z72">
        <v>26.888944656954077</v>
      </c>
      <c r="AA72">
        <v>1.3459968655100893</v>
      </c>
      <c r="AB72">
        <v>32.190100370653752</v>
      </c>
      <c r="AD72">
        <v>4.9401492168445662</v>
      </c>
      <c r="AE72">
        <v>12.170462528860902</v>
      </c>
      <c r="AF72">
        <v>13.412061016270112</v>
      </c>
      <c r="AG72">
        <v>17.630031460330912</v>
      </c>
      <c r="AI72">
        <v>2.2488391473280922</v>
      </c>
      <c r="AK72">
        <v>46.434249498558373</v>
      </c>
    </row>
    <row r="73" spans="1:37" x14ac:dyDescent="0.2">
      <c r="A73">
        <v>72</v>
      </c>
      <c r="B73">
        <v>751</v>
      </c>
      <c r="C73">
        <v>200</v>
      </c>
      <c r="D73">
        <v>0.378704779573308</v>
      </c>
      <c r="E73">
        <v>156.57485485239934</v>
      </c>
      <c r="F73">
        <v>50.574419890897964</v>
      </c>
      <c r="G73">
        <v>70.074116066090227</v>
      </c>
      <c r="H73">
        <v>65.456516762872624</v>
      </c>
      <c r="J73">
        <v>40.775494818436158</v>
      </c>
      <c r="L73">
        <v>1.5109735152309622</v>
      </c>
      <c r="M73">
        <v>13.289296609032263</v>
      </c>
      <c r="N73">
        <v>2.3137595061030378</v>
      </c>
      <c r="O73">
        <v>7.1818458331468351</v>
      </c>
      <c r="P73">
        <v>7.8503472447777751</v>
      </c>
      <c r="R73">
        <v>8.3237493848449002</v>
      </c>
      <c r="S73">
        <v>27.814877819545316</v>
      </c>
      <c r="U73">
        <v>2.1341388335450451</v>
      </c>
      <c r="V73">
        <v>44.090678322084962</v>
      </c>
      <c r="W73">
        <v>21.733947207738879</v>
      </c>
      <c r="X73">
        <v>45.915750981571762</v>
      </c>
      <c r="Y73">
        <v>3.6607683486391167</v>
      </c>
      <c r="Z73">
        <v>23.068878781661816</v>
      </c>
      <c r="AB73">
        <v>29.903810565839834</v>
      </c>
      <c r="AD73">
        <v>3.0623615023986801</v>
      </c>
      <c r="AE73">
        <v>9.765613764537159</v>
      </c>
      <c r="AF73">
        <v>12.912427149054508</v>
      </c>
      <c r="AG73">
        <v>15.328901141569345</v>
      </c>
      <c r="AI73">
        <v>2.2505645524622313</v>
      </c>
      <c r="AK73">
        <v>39.779951555388216</v>
      </c>
    </row>
    <row r="74" spans="1:37" x14ac:dyDescent="0.2">
      <c r="A74">
        <v>73</v>
      </c>
      <c r="B74">
        <v>750</v>
      </c>
      <c r="C74">
        <v>200</v>
      </c>
      <c r="D74">
        <v>0.37802912573913899</v>
      </c>
      <c r="E74">
        <v>157.04143312895278</v>
      </c>
      <c r="F74">
        <v>50.500023003545742</v>
      </c>
      <c r="G74">
        <v>70.186697258722091</v>
      </c>
      <c r="H74">
        <v>65.566751668375048</v>
      </c>
      <c r="J74">
        <v>34.111487004951343</v>
      </c>
      <c r="L74">
        <v>1.5517987803956785</v>
      </c>
      <c r="M74">
        <v>12.590300941852679</v>
      </c>
      <c r="N74">
        <v>2.3157741439005219</v>
      </c>
      <c r="O74">
        <v>6.9733134162148271</v>
      </c>
      <c r="P74">
        <v>8.0990307945244151</v>
      </c>
      <c r="R74">
        <v>7.9379867827846251</v>
      </c>
      <c r="S74">
        <v>28.138905674436092</v>
      </c>
      <c r="U74">
        <v>2.147586932469542</v>
      </c>
      <c r="V74">
        <v>44.982116062423408</v>
      </c>
      <c r="W74">
        <v>20.939772784922621</v>
      </c>
      <c r="X74">
        <v>45.991490380535453</v>
      </c>
      <c r="Y74">
        <v>3.7224348025794556</v>
      </c>
      <c r="Z74">
        <v>20.608556943645976</v>
      </c>
      <c r="AB74">
        <v>28.93732272518341</v>
      </c>
      <c r="AD74">
        <v>1.8810122528677249</v>
      </c>
      <c r="AE74">
        <v>8.2722642312487693</v>
      </c>
      <c r="AF74">
        <v>12.212345798073246</v>
      </c>
      <c r="AG74">
        <v>14.347576676475208</v>
      </c>
      <c r="AI74">
        <v>2.2522904558116892</v>
      </c>
      <c r="AK74">
        <v>35.184746095398623</v>
      </c>
    </row>
    <row r="75" spans="1:37" x14ac:dyDescent="0.2">
      <c r="A75">
        <v>74</v>
      </c>
      <c r="B75">
        <v>749</v>
      </c>
      <c r="C75">
        <v>200</v>
      </c>
      <c r="D75">
        <v>0.37735214988015597</v>
      </c>
      <c r="E75">
        <v>157.35856555101245</v>
      </c>
      <c r="F75">
        <v>50.751761602821212</v>
      </c>
      <c r="G75">
        <v>70.234250400525454</v>
      </c>
      <c r="H75">
        <v>65.611971686816247</v>
      </c>
      <c r="J75">
        <v>30.644721996533772</v>
      </c>
      <c r="L75">
        <v>1.5801363363302372</v>
      </c>
      <c r="M75">
        <v>12.014452068432755</v>
      </c>
      <c r="N75">
        <v>2.3177791383469284</v>
      </c>
      <c r="O75">
        <v>6.8485657137014231</v>
      </c>
      <c r="P75">
        <v>8.2176564754909585</v>
      </c>
      <c r="R75">
        <v>7.586280750827644</v>
      </c>
      <c r="S75">
        <v>28.534990888215216</v>
      </c>
      <c r="U75">
        <v>2.1383627754901351</v>
      </c>
      <c r="V75">
        <v>45.754029130148894</v>
      </c>
      <c r="W75">
        <v>20.279878576321181</v>
      </c>
      <c r="X75">
        <v>46.002466275975912</v>
      </c>
      <c r="Y75">
        <v>3.7405295898546091</v>
      </c>
      <c r="Z75">
        <v>19.491817060087499</v>
      </c>
      <c r="AB75">
        <v>28.761218003926878</v>
      </c>
      <c r="AD75">
        <v>1.3311241440169641</v>
      </c>
      <c r="AE75">
        <v>7.5990382694128318</v>
      </c>
      <c r="AF75">
        <v>11.63540194618669</v>
      </c>
      <c r="AG75">
        <v>14.156628244653666</v>
      </c>
      <c r="AI75">
        <v>2.2540058738711797</v>
      </c>
      <c r="AK75">
        <v>32.73091634920258</v>
      </c>
    </row>
    <row r="76" spans="1:37" x14ac:dyDescent="0.2">
      <c r="A76">
        <v>75</v>
      </c>
      <c r="B76">
        <v>748</v>
      </c>
      <c r="C76">
        <v>200</v>
      </c>
      <c r="D76">
        <v>0.37667384811242399</v>
      </c>
      <c r="E76">
        <v>157.60524582895442</v>
      </c>
      <c r="F76">
        <v>51.051287622539249</v>
      </c>
      <c r="G76">
        <v>70.258434078474011</v>
      </c>
      <c r="H76">
        <v>65.63383542625553</v>
      </c>
      <c r="J76">
        <v>28.382967635110166</v>
      </c>
      <c r="L76">
        <v>1.6022962220788468</v>
      </c>
      <c r="M76">
        <v>11.519884098049538</v>
      </c>
      <c r="N76">
        <v>2.3197790597008066</v>
      </c>
      <c r="O76">
        <v>6.7521095754559299</v>
      </c>
      <c r="P76">
        <v>8.2895460549877793</v>
      </c>
      <c r="R76">
        <v>7.2671053555550831</v>
      </c>
      <c r="S76">
        <v>28.906249232286449</v>
      </c>
      <c r="U76">
        <v>2.1226862701099996</v>
      </c>
      <c r="V76">
        <v>46.421909824562633</v>
      </c>
      <c r="W76">
        <v>19.704391798727858</v>
      </c>
      <c r="X76">
        <v>45.995178452731786</v>
      </c>
      <c r="Y76">
        <v>3.7459850207463248</v>
      </c>
      <c r="Z76">
        <v>18.804946183939037</v>
      </c>
      <c r="AB76">
        <v>28.788588104004816</v>
      </c>
      <c r="AD76">
        <v>0.98551569385238991</v>
      </c>
      <c r="AE76">
        <v>7.184615458680562</v>
      </c>
      <c r="AF76">
        <v>11.139734278617791</v>
      </c>
      <c r="AG76">
        <v>14.169152124344926</v>
      </c>
      <c r="AI76">
        <v>2.2557153750587244</v>
      </c>
      <c r="AK76">
        <v>31.098835376640043</v>
      </c>
    </row>
    <row r="77" spans="1:37" x14ac:dyDescent="0.2">
      <c r="A77">
        <v>76</v>
      </c>
      <c r="B77">
        <v>747</v>
      </c>
      <c r="C77">
        <v>200</v>
      </c>
      <c r="D77">
        <v>0.375994216536785</v>
      </c>
      <c r="E77">
        <v>157.81016397824106</v>
      </c>
      <c r="F77">
        <v>51.350245490332284</v>
      </c>
      <c r="G77">
        <v>70.271250224257884</v>
      </c>
      <c r="H77">
        <v>65.644344839506374</v>
      </c>
      <c r="J77">
        <v>26.732360672582725</v>
      </c>
      <c r="L77">
        <v>1.6207291433608626</v>
      </c>
      <c r="M77">
        <v>11.080596573924925</v>
      </c>
      <c r="N77">
        <v>2.3217757754605435</v>
      </c>
      <c r="O77">
        <v>6.6686535077986253</v>
      </c>
      <c r="P77">
        <v>8.3387052870612504</v>
      </c>
      <c r="R77">
        <v>6.9731094476992412</v>
      </c>
      <c r="S77">
        <v>29.24672136701319</v>
      </c>
      <c r="U77">
        <v>2.1042050015049436</v>
      </c>
      <c r="V77">
        <v>47.014496952974049</v>
      </c>
      <c r="W77">
        <v>19.18553007871105</v>
      </c>
      <c r="X77">
        <v>45.980079009090197</v>
      </c>
      <c r="Y77">
        <v>3.7464641301613271</v>
      </c>
      <c r="Z77">
        <v>18.313306950650414</v>
      </c>
      <c r="AB77">
        <v>28.888802227444092</v>
      </c>
      <c r="AD77">
        <v>0.73370603573362625</v>
      </c>
      <c r="AE77">
        <v>6.8872506336000638</v>
      </c>
      <c r="AF77">
        <v>10.699344211784318</v>
      </c>
      <c r="AG77">
        <v>14.254519391138892</v>
      </c>
      <c r="AI77">
        <v>2.257420825032884</v>
      </c>
      <c r="AK77">
        <v>29.88888899673448</v>
      </c>
    </row>
    <row r="78" spans="1:37" x14ac:dyDescent="0.2">
      <c r="A78">
        <v>77</v>
      </c>
      <c r="B78">
        <v>746</v>
      </c>
      <c r="C78">
        <v>200</v>
      </c>
      <c r="D78">
        <v>0.37531325123877901</v>
      </c>
      <c r="E78">
        <v>157.98697147978868</v>
      </c>
      <c r="F78">
        <v>51.637470944977984</v>
      </c>
      <c r="G78">
        <v>70.277502492421959</v>
      </c>
      <c r="H78">
        <v>65.648303602282141</v>
      </c>
      <c r="J78">
        <v>25.446202556082717</v>
      </c>
      <c r="L78">
        <v>1.6367202708877011</v>
      </c>
      <c r="M78">
        <v>10.681496400720018</v>
      </c>
      <c r="N78">
        <v>2.3237702132427489</v>
      </c>
      <c r="O78">
        <v>6.5923578182721938</v>
      </c>
      <c r="P78">
        <v>8.3747424316546883</v>
      </c>
      <c r="R78">
        <v>6.698767910023343</v>
      </c>
      <c r="S78">
        <v>29.560106075921855</v>
      </c>
      <c r="U78">
        <v>2.0842063397594845</v>
      </c>
      <c r="V78">
        <v>47.550837228451236</v>
      </c>
      <c r="W78">
        <v>18.70757494948694</v>
      </c>
      <c r="X78">
        <v>45.960855390819816</v>
      </c>
      <c r="Y78">
        <v>3.7446589554910572</v>
      </c>
      <c r="Z78">
        <v>17.928856160222555</v>
      </c>
      <c r="AB78">
        <v>29.018866748340038</v>
      </c>
      <c r="AD78">
        <v>0.53394821432222894</v>
      </c>
      <c r="AE78">
        <v>6.6540637200407353</v>
      </c>
      <c r="AF78">
        <v>10.299139583680436</v>
      </c>
      <c r="AG78">
        <v>14.369737352833239</v>
      </c>
      <c r="AI78">
        <v>2.2591231495696245</v>
      </c>
      <c r="AK78">
        <v>28.933315778307819</v>
      </c>
    </row>
    <row r="79" spans="1:37" x14ac:dyDescent="0.2">
      <c r="A79">
        <v>78</v>
      </c>
      <c r="B79">
        <v>745</v>
      </c>
      <c r="C79">
        <v>200</v>
      </c>
      <c r="D79">
        <v>0.37463094828856203</v>
      </c>
      <c r="E79">
        <v>158.14330667810563</v>
      </c>
      <c r="F79">
        <v>51.910694089811216</v>
      </c>
      <c r="G79">
        <v>70.27953389423557</v>
      </c>
      <c r="H79">
        <v>65.648054747058382</v>
      </c>
      <c r="J79">
        <v>24.400309432636799</v>
      </c>
      <c r="L79">
        <v>1.6510115619779899</v>
      </c>
      <c r="M79">
        <v>10.31316245483751</v>
      </c>
      <c r="N79">
        <v>2.3257629060339022</v>
      </c>
      <c r="O79">
        <v>6.5205013024446075</v>
      </c>
      <c r="P79">
        <v>8.4023440675894818</v>
      </c>
      <c r="R79">
        <v>6.440203803037388</v>
      </c>
      <c r="S79">
        <v>29.850687369221205</v>
      </c>
      <c r="U79">
        <v>2.0632689853377841</v>
      </c>
      <c r="V79">
        <v>48.043443296143032</v>
      </c>
      <c r="W79">
        <v>18.260825396239412</v>
      </c>
      <c r="X79">
        <v>45.939164451372704</v>
      </c>
      <c r="Y79">
        <v>3.7417269056795623</v>
      </c>
      <c r="Z79">
        <v>17.61056152187097</v>
      </c>
      <c r="AB79">
        <v>29.161299791784103</v>
      </c>
      <c r="AD79">
        <v>0.36665300581044447</v>
      </c>
      <c r="AE79">
        <v>6.46047800022854</v>
      </c>
      <c r="AF79">
        <v>9.9296998094193416</v>
      </c>
      <c r="AG79">
        <v>14.497324673610128</v>
      </c>
      <c r="AI79">
        <v>2.2608228798157142</v>
      </c>
      <c r="AK79">
        <v>28.146961423054542</v>
      </c>
    </row>
    <row r="80" spans="1:37" x14ac:dyDescent="0.2">
      <c r="A80">
        <v>79</v>
      </c>
      <c r="B80">
        <v>769</v>
      </c>
      <c r="C80">
        <v>175</v>
      </c>
      <c r="D80">
        <v>0.41703257688433099</v>
      </c>
      <c r="E80">
        <v>143.38473473779803</v>
      </c>
      <c r="F80">
        <v>57.092113481844244</v>
      </c>
      <c r="G80">
        <v>71.021127040176225</v>
      </c>
      <c r="H80">
        <v>66.44697504239906</v>
      </c>
      <c r="J80">
        <v>51.861788332117172</v>
      </c>
      <c r="L80">
        <v>3.9376150382051711</v>
      </c>
      <c r="M80">
        <v>14.138013665545586</v>
      </c>
      <c r="N80">
        <v>2.2815699849300253</v>
      </c>
      <c r="O80">
        <v>20.538677983203875</v>
      </c>
      <c r="P80">
        <v>9.1853118957581845</v>
      </c>
      <c r="Q80">
        <v>2.2942185976294296E-2</v>
      </c>
      <c r="R80">
        <v>12.235354426586536</v>
      </c>
      <c r="S80">
        <v>34.525677533112571</v>
      </c>
      <c r="U80">
        <v>2.8711752132454835</v>
      </c>
      <c r="V80">
        <v>43.597273478958101</v>
      </c>
      <c r="W80">
        <v>26.161321931663373</v>
      </c>
      <c r="X80">
        <v>45.76272337156589</v>
      </c>
      <c r="Y80">
        <v>5.6987956170311449</v>
      </c>
      <c r="Z80">
        <v>30.196781298939573</v>
      </c>
      <c r="AA80">
        <v>3.1332279124725537</v>
      </c>
      <c r="AB80">
        <v>33.330376086401593</v>
      </c>
      <c r="AC80">
        <v>9.4713928416760837E-2</v>
      </c>
      <c r="AD80">
        <v>6.8231959623746095</v>
      </c>
      <c r="AE80">
        <v>13.809897549562161</v>
      </c>
      <c r="AF80">
        <v>13.861962751412481</v>
      </c>
      <c r="AG80">
        <v>19.134610039861244</v>
      </c>
      <c r="AH80">
        <v>2.9088730826832871</v>
      </c>
      <c r="AI80">
        <v>2.2203876123225017</v>
      </c>
      <c r="AK80">
        <v>46.776942652763914</v>
      </c>
    </row>
    <row r="81" spans="1:37" x14ac:dyDescent="0.2">
      <c r="A81">
        <v>80</v>
      </c>
      <c r="B81">
        <v>768</v>
      </c>
      <c r="C81">
        <v>175</v>
      </c>
      <c r="D81">
        <v>0.416405417086878</v>
      </c>
      <c r="E81">
        <v>143.28129067923049</v>
      </c>
      <c r="F81">
        <v>56.72734519866242</v>
      </c>
      <c r="G81">
        <v>70.957741457525572</v>
      </c>
      <c r="H81">
        <v>66.380999589822181</v>
      </c>
      <c r="J81">
        <v>51.825792532748046</v>
      </c>
      <c r="L81">
        <v>3.8451783041315504</v>
      </c>
      <c r="M81">
        <v>14.126195341115903</v>
      </c>
      <c r="N81">
        <v>2.2695787521041111</v>
      </c>
      <c r="O81">
        <v>20.089542896253743</v>
      </c>
      <c r="P81">
        <v>9.0679085229782448</v>
      </c>
      <c r="R81">
        <v>12.080716059425903</v>
      </c>
      <c r="S81">
        <v>34.320817271007897</v>
      </c>
      <c r="U81">
        <v>2.8349998556925389</v>
      </c>
      <c r="V81">
        <v>43.587684680733375</v>
      </c>
      <c r="W81">
        <v>26.026348578370698</v>
      </c>
      <c r="X81">
        <v>45.708835792471845</v>
      </c>
      <c r="Y81">
        <v>5.6006399965752056</v>
      </c>
      <c r="Z81">
        <v>29.999260546474193</v>
      </c>
      <c r="AA81">
        <v>3.0354768470253037</v>
      </c>
      <c r="AB81">
        <v>33.269338188462498</v>
      </c>
      <c r="AC81">
        <v>8.0738544260535519E-2</v>
      </c>
      <c r="AD81">
        <v>6.71458744263031</v>
      </c>
      <c r="AE81">
        <v>13.722342158020478</v>
      </c>
      <c r="AF81">
        <v>13.835043974744103</v>
      </c>
      <c r="AG81">
        <v>19.04471751219484</v>
      </c>
      <c r="AH81">
        <v>2.7744253414110376</v>
      </c>
      <c r="AI81">
        <v>2.2081236133195108</v>
      </c>
      <c r="AK81">
        <v>46.76841512204625</v>
      </c>
    </row>
    <row r="82" spans="1:37" x14ac:dyDescent="0.2">
      <c r="A82">
        <v>81</v>
      </c>
      <c r="B82">
        <v>767</v>
      </c>
      <c r="C82">
        <v>175</v>
      </c>
      <c r="D82">
        <v>0.41577705138682203</v>
      </c>
      <c r="E82">
        <v>143.17576156279563</v>
      </c>
      <c r="F82">
        <v>56.318143104750831</v>
      </c>
      <c r="G82">
        <v>70.885837188832866</v>
      </c>
      <c r="H82">
        <v>66.306518244755864</v>
      </c>
      <c r="J82">
        <v>51.795037632312074</v>
      </c>
      <c r="L82">
        <v>3.7361583432982117</v>
      </c>
      <c r="M82">
        <v>14.138385420002594</v>
      </c>
      <c r="N82">
        <v>2.2539414057772662</v>
      </c>
      <c r="O82">
        <v>19.56688134962814</v>
      </c>
      <c r="P82">
        <v>8.9298291325281092</v>
      </c>
      <c r="R82">
        <v>11.935258518068299</v>
      </c>
      <c r="S82">
        <v>34.197812632416039</v>
      </c>
      <c r="U82">
        <v>2.8170337982211269</v>
      </c>
      <c r="V82">
        <v>43.62242228554441</v>
      </c>
      <c r="W82">
        <v>25.912486826063073</v>
      </c>
      <c r="X82">
        <v>45.71537242753935</v>
      </c>
      <c r="Y82">
        <v>5.4837024485241761</v>
      </c>
      <c r="Z82">
        <v>29.777968048885171</v>
      </c>
      <c r="AA82">
        <v>2.9193795292877693</v>
      </c>
      <c r="AB82">
        <v>33.241087502467053</v>
      </c>
      <c r="AC82">
        <v>6.3117194589256242E-2</v>
      </c>
      <c r="AD82">
        <v>6.5915971951158827</v>
      </c>
      <c r="AE82">
        <v>13.62736484206771</v>
      </c>
      <c r="AF82">
        <v>13.828487742402071</v>
      </c>
      <c r="AG82">
        <v>18.98396853458004</v>
      </c>
      <c r="AH82">
        <v>2.6169137525326938</v>
      </c>
      <c r="AI82">
        <v>2.1922126919540164</v>
      </c>
      <c r="AK82">
        <v>46.749941213266112</v>
      </c>
    </row>
    <row r="83" spans="1:37" x14ac:dyDescent="0.2">
      <c r="A83">
        <v>82</v>
      </c>
      <c r="B83">
        <v>766</v>
      </c>
      <c r="C83">
        <v>175</v>
      </c>
      <c r="D83">
        <v>0.41514747630275201</v>
      </c>
      <c r="E83">
        <v>143.07063554188343</v>
      </c>
      <c r="F83">
        <v>55.909949688858518</v>
      </c>
      <c r="G83">
        <v>70.813925521987542</v>
      </c>
      <c r="H83">
        <v>66.232042315450087</v>
      </c>
      <c r="J83">
        <v>51.764090108376401</v>
      </c>
      <c r="L83">
        <v>3.6268077767019387</v>
      </c>
      <c r="M83">
        <v>14.150746402955697</v>
      </c>
      <c r="N83">
        <v>2.2382934418490854</v>
      </c>
      <c r="O83">
        <v>19.044335156138349</v>
      </c>
      <c r="P83">
        <v>8.7917318180751387</v>
      </c>
      <c r="R83">
        <v>11.789068440111143</v>
      </c>
      <c r="S83">
        <v>34.073446251347811</v>
      </c>
      <c r="U83">
        <v>2.7994840949782578</v>
      </c>
      <c r="V83">
        <v>43.656380787236102</v>
      </c>
      <c r="W83">
        <v>25.799107221152688</v>
      </c>
      <c r="X83">
        <v>45.723309275240382</v>
      </c>
      <c r="Y83">
        <v>5.3666953169973137</v>
      </c>
      <c r="Z83">
        <v>29.557039450522851</v>
      </c>
      <c r="AA83">
        <v>2.8032109955390334</v>
      </c>
      <c r="AB83">
        <v>33.212074926204821</v>
      </c>
      <c r="AC83">
        <v>4.5485374861769103E-2</v>
      </c>
      <c r="AD83">
        <v>6.4686263074226256</v>
      </c>
      <c r="AE83">
        <v>13.532626898127845</v>
      </c>
      <c r="AF83">
        <v>13.822092056495084</v>
      </c>
      <c r="AG83">
        <v>18.922449506415127</v>
      </c>
      <c r="AH83">
        <v>2.4592896399491808</v>
      </c>
      <c r="AI83">
        <v>2.1762903422905597</v>
      </c>
      <c r="AK83">
        <v>46.731635315993927</v>
      </c>
    </row>
    <row r="84" spans="1:37" x14ac:dyDescent="0.2">
      <c r="A84">
        <v>83</v>
      </c>
      <c r="B84">
        <v>765</v>
      </c>
      <c r="C84">
        <v>175</v>
      </c>
      <c r="D84">
        <v>0.41451668833983701</v>
      </c>
      <c r="E84">
        <v>142.96591570742129</v>
      </c>
      <c r="F84">
        <v>55.502783421834636</v>
      </c>
      <c r="G84">
        <v>70.742010986550667</v>
      </c>
      <c r="H84">
        <v>66.157576351865615</v>
      </c>
      <c r="J84">
        <v>51.732942179013627</v>
      </c>
      <c r="L84">
        <v>3.5172396047181973</v>
      </c>
      <c r="M84">
        <v>14.163273545066211</v>
      </c>
      <c r="N84">
        <v>2.222635260236816</v>
      </c>
      <c r="O84">
        <v>18.521928955747661</v>
      </c>
      <c r="P84">
        <v>8.6536260607008373</v>
      </c>
      <c r="R84">
        <v>11.642159046930455</v>
      </c>
      <c r="S84">
        <v>33.947673814875245</v>
      </c>
      <c r="U84">
        <v>2.7823471266235011</v>
      </c>
      <c r="V84">
        <v>43.689541538666276</v>
      </c>
      <c r="W84">
        <v>25.686210537359056</v>
      </c>
      <c r="X84">
        <v>45.732635964029186</v>
      </c>
      <c r="Y84">
        <v>5.2496266557938274</v>
      </c>
      <c r="Z84">
        <v>29.336478062007522</v>
      </c>
      <c r="AA84">
        <v>2.6869791602319091</v>
      </c>
      <c r="AB84">
        <v>33.182273872572537</v>
      </c>
      <c r="AC84">
        <v>2.7843484554922665E-2</v>
      </c>
      <c r="AD84">
        <v>6.3456798917257746</v>
      </c>
      <c r="AE84">
        <v>13.438126196502013</v>
      </c>
      <c r="AF84">
        <v>13.815852577507206</v>
      </c>
      <c r="AG84">
        <v>18.860134246245799</v>
      </c>
      <c r="AH84">
        <v>2.3015662153497147</v>
      </c>
      <c r="AI84">
        <v>2.1603569624121475</v>
      </c>
      <c r="AK84">
        <v>46.713500455517448</v>
      </c>
    </row>
    <row r="85" spans="1:37" x14ac:dyDescent="0.2">
      <c r="A85">
        <v>84</v>
      </c>
      <c r="B85">
        <v>764</v>
      </c>
      <c r="C85">
        <v>175</v>
      </c>
      <c r="D85">
        <v>0.41388468398978101</v>
      </c>
      <c r="E85">
        <v>142.86160502969116</v>
      </c>
      <c r="F85">
        <v>55.096662583041869</v>
      </c>
      <c r="G85">
        <v>70.670098172758543</v>
      </c>
      <c r="H85">
        <v>66.083124964678504</v>
      </c>
      <c r="J85">
        <v>51.701586526288125</v>
      </c>
      <c r="L85">
        <v>3.4074225299390637</v>
      </c>
      <c r="M85">
        <v>14.175961899094133</v>
      </c>
      <c r="N85">
        <v>2.2069672759630596</v>
      </c>
      <c r="O85">
        <v>17.999687720654595</v>
      </c>
      <c r="P85">
        <v>8.5155214780099833</v>
      </c>
      <c r="R85">
        <v>11.494543995471449</v>
      </c>
      <c r="S85">
        <v>33.820452673362155</v>
      </c>
      <c r="U85">
        <v>2.7656189910215434</v>
      </c>
      <c r="V85">
        <v>43.721886676679837</v>
      </c>
      <c r="W85">
        <v>25.573797306614516</v>
      </c>
      <c r="X85">
        <v>45.743341266532525</v>
      </c>
      <c r="Y85">
        <v>5.1325046534705088</v>
      </c>
      <c r="Z85">
        <v>29.116286995936225</v>
      </c>
      <c r="AA85">
        <v>2.5706919813035203</v>
      </c>
      <c r="AB85">
        <v>33.151658558970624</v>
      </c>
      <c r="AC85">
        <v>1.0191938250337051E-2</v>
      </c>
      <c r="AD85">
        <v>6.2227629692659887</v>
      </c>
      <c r="AE85">
        <v>13.343860444951458</v>
      </c>
      <c r="AF85">
        <v>13.809764778704791</v>
      </c>
      <c r="AG85">
        <v>18.796997392242385</v>
      </c>
      <c r="AH85">
        <v>2.143756822905253</v>
      </c>
      <c r="AI85">
        <v>2.1444129655053952</v>
      </c>
      <c r="AK85">
        <v>46.695539643941572</v>
      </c>
    </row>
    <row r="86" spans="1:37" x14ac:dyDescent="0.2">
      <c r="A86">
        <v>85</v>
      </c>
      <c r="B86">
        <v>763</v>
      </c>
      <c r="C86">
        <v>175</v>
      </c>
      <c r="D86">
        <v>0.41325145973073701</v>
      </c>
      <c r="E86">
        <v>142.72366615476835</v>
      </c>
      <c r="F86">
        <v>54.522304349289207</v>
      </c>
      <c r="G86">
        <v>70.569686313144601</v>
      </c>
      <c r="H86">
        <v>65.980187406900541</v>
      </c>
      <c r="J86">
        <v>51.619003012150614</v>
      </c>
      <c r="L86">
        <v>3.2550662633568317</v>
      </c>
      <c r="M86">
        <v>14.183841095949838</v>
      </c>
      <c r="N86">
        <v>2.1984033001138656</v>
      </c>
      <c r="O86">
        <v>17.323459594622928</v>
      </c>
      <c r="P86">
        <v>8.3275303683209998</v>
      </c>
      <c r="R86">
        <v>11.28969048118115</v>
      </c>
      <c r="S86">
        <v>33.608490392330616</v>
      </c>
      <c r="U86">
        <v>2.7409633488252849</v>
      </c>
      <c r="V86">
        <v>43.748885211686954</v>
      </c>
      <c r="W86">
        <v>25.417178979566668</v>
      </c>
      <c r="X86">
        <v>45.723841789749748</v>
      </c>
      <c r="Y86">
        <v>4.9640638231235785</v>
      </c>
      <c r="Z86">
        <v>28.808638573216982</v>
      </c>
      <c r="AA86">
        <v>2.4101622260282749</v>
      </c>
      <c r="AB86">
        <v>33.100865272005628</v>
      </c>
      <c r="AD86">
        <v>6.0435889120240534</v>
      </c>
      <c r="AE86">
        <v>13.219896177979075</v>
      </c>
      <c r="AF86">
        <v>13.805972107584298</v>
      </c>
      <c r="AG86">
        <v>18.720789047861317</v>
      </c>
      <c r="AH86">
        <v>1.9026644047384156</v>
      </c>
      <c r="AI86">
        <v>2.1355721608204825</v>
      </c>
      <c r="AK86">
        <v>46.640217384526629</v>
      </c>
    </row>
    <row r="87" spans="1:37" x14ac:dyDescent="0.2">
      <c r="A87">
        <v>86</v>
      </c>
      <c r="B87">
        <v>762</v>
      </c>
      <c r="C87">
        <v>175</v>
      </c>
      <c r="D87">
        <v>0.41261701202724399</v>
      </c>
      <c r="E87">
        <v>142.53588133569366</v>
      </c>
      <c r="F87">
        <v>53.696525822397945</v>
      </c>
      <c r="G87">
        <v>70.426346532236749</v>
      </c>
      <c r="H87">
        <v>65.834334823578104</v>
      </c>
      <c r="J87">
        <v>51.458503097277514</v>
      </c>
      <c r="L87">
        <v>3.0384602489407406</v>
      </c>
      <c r="M87">
        <v>14.184906742806394</v>
      </c>
      <c r="N87">
        <v>2.2003794133348866</v>
      </c>
      <c r="O87">
        <v>16.415116126722097</v>
      </c>
      <c r="P87">
        <v>8.0642310835664635</v>
      </c>
      <c r="R87">
        <v>10.997463050170371</v>
      </c>
      <c r="S87">
        <v>33.266326647287393</v>
      </c>
      <c r="U87">
        <v>2.7054363970989552</v>
      </c>
      <c r="V87">
        <v>43.766490343892166</v>
      </c>
      <c r="W87">
        <v>25.195723128974027</v>
      </c>
      <c r="X87">
        <v>45.662008557719126</v>
      </c>
      <c r="Y87">
        <v>4.7183315453179926</v>
      </c>
      <c r="Z87">
        <v>28.370385401562764</v>
      </c>
      <c r="AA87">
        <v>2.1829903811331461</v>
      </c>
      <c r="AB87">
        <v>33.018381732200581</v>
      </c>
      <c r="AD87">
        <v>5.7801911775486898</v>
      </c>
      <c r="AE87">
        <v>13.051900425962295</v>
      </c>
      <c r="AF87">
        <v>13.805906257473104</v>
      </c>
      <c r="AG87">
        <v>18.623433020055369</v>
      </c>
      <c r="AH87">
        <v>1.5361712201424327</v>
      </c>
      <c r="AI87">
        <v>2.1372706271663784</v>
      </c>
      <c r="AK87">
        <v>46.528801755464769</v>
      </c>
    </row>
    <row r="88" spans="1:37" x14ac:dyDescent="0.2">
      <c r="A88">
        <v>87</v>
      </c>
      <c r="B88">
        <v>761</v>
      </c>
      <c r="C88">
        <v>175</v>
      </c>
      <c r="D88">
        <v>0.411981337330175</v>
      </c>
      <c r="E88">
        <v>142.34872737710461</v>
      </c>
      <c r="F88">
        <v>52.868942146031344</v>
      </c>
      <c r="G88">
        <v>70.281922470254926</v>
      </c>
      <c r="H88">
        <v>65.687410875488169</v>
      </c>
      <c r="J88">
        <v>51.294327907367432</v>
      </c>
      <c r="L88">
        <v>2.819333526848379</v>
      </c>
      <c r="M88">
        <v>14.186689795244797</v>
      </c>
      <c r="N88">
        <v>2.2023550773879936</v>
      </c>
      <c r="O88">
        <v>15.500777571204779</v>
      </c>
      <c r="P88">
        <v>7.7987703882361945</v>
      </c>
      <c r="R88">
        <v>10.700131189900215</v>
      </c>
      <c r="S88">
        <v>32.914089960756819</v>
      </c>
      <c r="U88">
        <v>2.6719023683516179</v>
      </c>
      <c r="V88">
        <v>43.780316819691798</v>
      </c>
      <c r="W88">
        <v>24.976061194030446</v>
      </c>
      <c r="X88">
        <v>45.606123665253875</v>
      </c>
      <c r="Y88">
        <v>4.4705434113686202</v>
      </c>
      <c r="Z88">
        <v>27.930899580171463</v>
      </c>
      <c r="AA88">
        <v>1.9537894143306984</v>
      </c>
      <c r="AB88">
        <v>32.931440705353005</v>
      </c>
      <c r="AD88">
        <v>5.5153769613726684</v>
      </c>
      <c r="AE88">
        <v>12.884084848510224</v>
      </c>
      <c r="AF88">
        <v>13.806557651237988</v>
      </c>
      <c r="AG88">
        <v>18.521621542185621</v>
      </c>
      <c r="AH88">
        <v>1.166415544261552</v>
      </c>
      <c r="AI88">
        <v>2.1389678244687342</v>
      </c>
      <c r="AK88">
        <v>46.416444908237217</v>
      </c>
    </row>
    <row r="89" spans="1:37" x14ac:dyDescent="0.2">
      <c r="A89">
        <v>88</v>
      </c>
      <c r="B89">
        <v>760</v>
      </c>
      <c r="C89">
        <v>175</v>
      </c>
      <c r="D89">
        <v>0.41134443207665999</v>
      </c>
      <c r="E89">
        <v>142.16211681384456</v>
      </c>
      <c r="F89">
        <v>52.038571541736758</v>
      </c>
      <c r="G89">
        <v>70.136242839739296</v>
      </c>
      <c r="H89">
        <v>65.539244295769478</v>
      </c>
      <c r="J89">
        <v>51.125766466002418</v>
      </c>
      <c r="L89">
        <v>2.5973080508334823</v>
      </c>
      <c r="M89">
        <v>14.189193771896729</v>
      </c>
      <c r="N89">
        <v>2.204330268716896</v>
      </c>
      <c r="O89">
        <v>14.579274957675027</v>
      </c>
      <c r="P89">
        <v>7.5308057062085156</v>
      </c>
      <c r="R89">
        <v>10.397203983451764</v>
      </c>
      <c r="S89">
        <v>32.550316003385397</v>
      </c>
      <c r="U89">
        <v>2.6404461457213229</v>
      </c>
      <c r="V89">
        <v>43.789959521308155</v>
      </c>
      <c r="W89">
        <v>24.758201203366859</v>
      </c>
      <c r="X89">
        <v>45.55643883940558</v>
      </c>
      <c r="Y89">
        <v>4.2203582663066879</v>
      </c>
      <c r="Z89">
        <v>27.489474693383301</v>
      </c>
      <c r="AA89">
        <v>1.7223163137106168</v>
      </c>
      <c r="AB89">
        <v>32.839309508435271</v>
      </c>
      <c r="AD89">
        <v>5.2487297922247516</v>
      </c>
      <c r="AE89">
        <v>12.716156476284848</v>
      </c>
      <c r="AF89">
        <v>13.807929789490238</v>
      </c>
      <c r="AG89">
        <v>18.414621913488563</v>
      </c>
      <c r="AH89">
        <v>0.79288209247909802</v>
      </c>
      <c r="AI89">
        <v>2.1406637273336435</v>
      </c>
      <c r="AK89">
        <v>46.302819497935602</v>
      </c>
    </row>
    <row r="90" spans="1:37" x14ac:dyDescent="0.2">
      <c r="A90">
        <v>89</v>
      </c>
      <c r="B90">
        <v>759</v>
      </c>
      <c r="C90">
        <v>175</v>
      </c>
      <c r="D90">
        <v>0.41070629269001901</v>
      </c>
      <c r="E90">
        <v>141.97593833051147</v>
      </c>
      <c r="F90">
        <v>51.204157861893457</v>
      </c>
      <c r="G90">
        <v>69.989088311253809</v>
      </c>
      <c r="H90">
        <v>65.389615775623582</v>
      </c>
      <c r="J90">
        <v>50.951927726976514</v>
      </c>
      <c r="L90">
        <v>2.3720397438013276</v>
      </c>
      <c r="M90">
        <v>14.192418397399209</v>
      </c>
      <c r="N90">
        <v>2.2063049589432633</v>
      </c>
      <c r="O90">
        <v>13.649115837915154</v>
      </c>
      <c r="P90">
        <v>7.2598983726449848</v>
      </c>
      <c r="R90">
        <v>10.088036080166946</v>
      </c>
      <c r="S90">
        <v>32.173208892600641</v>
      </c>
      <c r="U90">
        <v>2.6111747388265054</v>
      </c>
      <c r="V90">
        <v>43.794929822628418</v>
      </c>
      <c r="W90">
        <v>24.542150785040693</v>
      </c>
      <c r="X90">
        <v>45.513269835896892</v>
      </c>
      <c r="Y90">
        <v>3.967340024988983</v>
      </c>
      <c r="Z90">
        <v>27.04520435632816</v>
      </c>
      <c r="AA90">
        <v>1.4882285404878786</v>
      </c>
      <c r="AB90">
        <v>32.741090912638079</v>
      </c>
      <c r="AD90">
        <v>4.9797128586478685</v>
      </c>
      <c r="AE90">
        <v>12.547739806733682</v>
      </c>
      <c r="AF90">
        <v>13.810022374037358</v>
      </c>
      <c r="AG90">
        <v>18.301536882617359</v>
      </c>
      <c r="AH90">
        <v>0.41490886620498668</v>
      </c>
      <c r="AI90">
        <v>2.142358305545859</v>
      </c>
      <c r="AK90">
        <v>46.187505472058561</v>
      </c>
    </row>
    <row r="91" spans="1:37" x14ac:dyDescent="0.2">
      <c r="A91">
        <v>90</v>
      </c>
      <c r="B91">
        <v>758</v>
      </c>
      <c r="C91">
        <v>175</v>
      </c>
      <c r="D91">
        <v>0.41006691557969399</v>
      </c>
      <c r="E91">
        <v>141.79004550439774</v>
      </c>
      <c r="F91">
        <v>50.364045973604703</v>
      </c>
      <c r="G91">
        <v>69.840169810007339</v>
      </c>
      <c r="H91">
        <v>65.238236260936134</v>
      </c>
      <c r="J91">
        <v>50.771658836101942</v>
      </c>
      <c r="L91">
        <v>2.1430298730775066</v>
      </c>
      <c r="M91">
        <v>14.196357591239812</v>
      </c>
      <c r="N91">
        <v>2.2082791128284107</v>
      </c>
      <c r="O91">
        <v>12.708338543343885</v>
      </c>
      <c r="P91">
        <v>6.9854702252009675</v>
      </c>
      <c r="R91">
        <v>9.7717567743516494</v>
      </c>
      <c r="S91">
        <v>31.780488629269271</v>
      </c>
      <c r="U91">
        <v>2.5842266553303186</v>
      </c>
      <c r="V91">
        <v>43.79461597714409</v>
      </c>
      <c r="W91">
        <v>24.327916775467223</v>
      </c>
      <c r="X91">
        <v>45.477023464020007</v>
      </c>
      <c r="Y91">
        <v>3.7109148380064987</v>
      </c>
      <c r="Z91">
        <v>26.596892551430116</v>
      </c>
      <c r="AA91">
        <v>1.2507996998699964</v>
      </c>
      <c r="AB91">
        <v>32.635648068120311</v>
      </c>
      <c r="AD91">
        <v>4.7076151364494834</v>
      </c>
      <c r="AE91">
        <v>12.378339816315222</v>
      </c>
      <c r="AF91">
        <v>13.812829294686839</v>
      </c>
      <c r="AG91">
        <v>18.181229570346499</v>
      </c>
      <c r="AH91">
        <v>3.1621139526708066E-2</v>
      </c>
      <c r="AI91">
        <v>2.1440515220290792</v>
      </c>
      <c r="AK91">
        <v>46.069948274920833</v>
      </c>
    </row>
    <row r="92" spans="1:37" x14ac:dyDescent="0.2">
      <c r="A92">
        <v>91</v>
      </c>
      <c r="B92">
        <v>757</v>
      </c>
      <c r="C92">
        <v>175</v>
      </c>
      <c r="D92">
        <v>0.40942629714119499</v>
      </c>
      <c r="E92">
        <v>142.0743581562804</v>
      </c>
      <c r="F92">
        <v>52.259995343168889</v>
      </c>
      <c r="G92">
        <v>70.15397769585357</v>
      </c>
      <c r="H92">
        <v>65.549596132279021</v>
      </c>
      <c r="J92">
        <v>49.858612024902072</v>
      </c>
      <c r="L92">
        <v>2.311396167930059</v>
      </c>
      <c r="M92">
        <v>14.20333028866661</v>
      </c>
      <c r="N92">
        <v>2.2102821736180682</v>
      </c>
      <c r="O92">
        <v>12.456987130115245</v>
      </c>
      <c r="P92">
        <v>7.6365314493674958</v>
      </c>
      <c r="R92">
        <v>10.224599683401673</v>
      </c>
      <c r="S92">
        <v>31.946565919895004</v>
      </c>
      <c r="U92">
        <v>2.5656873377789702</v>
      </c>
      <c r="V92">
        <v>43.929222120400652</v>
      </c>
      <c r="W92">
        <v>24.060287086455268</v>
      </c>
      <c r="X92">
        <v>45.466338696261907</v>
      </c>
      <c r="Y92">
        <v>4.0670994715149771</v>
      </c>
      <c r="Z92">
        <v>27.441015655184906</v>
      </c>
      <c r="AA92">
        <v>1.344334633122773</v>
      </c>
      <c r="AB92">
        <v>32.93341440216529</v>
      </c>
      <c r="AD92">
        <v>5.23400531096327</v>
      </c>
      <c r="AE92">
        <v>12.616346332716178</v>
      </c>
      <c r="AF92">
        <v>13.818698935506099</v>
      </c>
      <c r="AG92">
        <v>18.464162853081326</v>
      </c>
      <c r="AI92">
        <v>2.1457728181907201</v>
      </c>
      <c r="AK92">
        <v>45.465225106339112</v>
      </c>
    </row>
    <row r="93" spans="1:37" x14ac:dyDescent="0.2">
      <c r="A93">
        <v>92</v>
      </c>
      <c r="B93">
        <v>756</v>
      </c>
      <c r="C93">
        <v>175</v>
      </c>
      <c r="D93">
        <v>0.40878443375601398</v>
      </c>
      <c r="E93">
        <v>142.59994989948012</v>
      </c>
      <c r="F93">
        <v>51.573053033406772</v>
      </c>
      <c r="G93">
        <v>70.327610631984314</v>
      </c>
      <c r="H93">
        <v>65.720794073600899</v>
      </c>
      <c r="J93">
        <v>40.151510139047197</v>
      </c>
      <c r="L93">
        <v>1.4853484955947096</v>
      </c>
      <c r="M93">
        <v>13.684003916471106</v>
      </c>
      <c r="N93">
        <v>2.2122961473727774</v>
      </c>
      <c r="O93">
        <v>7.8693948385183798</v>
      </c>
      <c r="P93">
        <v>8.0072614001901528</v>
      </c>
      <c r="R93">
        <v>9.0928813147730381</v>
      </c>
      <c r="S93">
        <v>29.105299975544021</v>
      </c>
      <c r="U93">
        <v>2.6654886214010385</v>
      </c>
      <c r="V93">
        <v>44.125360839010817</v>
      </c>
      <c r="W93">
        <v>23.397508569239523</v>
      </c>
      <c r="X93">
        <v>45.790974975161284</v>
      </c>
      <c r="Y93">
        <v>3.6202794852913285</v>
      </c>
      <c r="Z93">
        <v>23.662645306093051</v>
      </c>
      <c r="AB93">
        <v>30.487430086744329</v>
      </c>
      <c r="AD93">
        <v>3.3824362876685585</v>
      </c>
      <c r="AE93">
        <v>10.20939915930143</v>
      </c>
      <c r="AF93">
        <v>13.298280734934307</v>
      </c>
      <c r="AG93">
        <v>16.003358914748848</v>
      </c>
      <c r="AI93">
        <v>2.1475041982531256</v>
      </c>
      <c r="AK93">
        <v>39.030690464789203</v>
      </c>
    </row>
    <row r="94" spans="1:37" x14ac:dyDescent="0.2">
      <c r="A94">
        <v>93</v>
      </c>
      <c r="B94">
        <v>755</v>
      </c>
      <c r="C94">
        <v>175</v>
      </c>
      <c r="D94">
        <v>0.40814132179156798</v>
      </c>
      <c r="E94">
        <v>143.04821604257558</v>
      </c>
      <c r="F94">
        <v>51.506787667127483</v>
      </c>
      <c r="G94">
        <v>70.431401730618333</v>
      </c>
      <c r="H94">
        <v>65.82216321791978</v>
      </c>
      <c r="J94">
        <v>34.078776939658681</v>
      </c>
      <c r="L94">
        <v>1.521005357277776</v>
      </c>
      <c r="M94">
        <v>13.028196055610499</v>
      </c>
      <c r="N94">
        <v>2.2143099763178857</v>
      </c>
      <c r="O94">
        <v>7.6759889927154505</v>
      </c>
      <c r="P94">
        <v>8.2383152669928688</v>
      </c>
      <c r="R94">
        <v>8.7067156043876945</v>
      </c>
      <c r="S94">
        <v>29.298920083045147</v>
      </c>
      <c r="U94">
        <v>2.6904535711028568</v>
      </c>
      <c r="V94">
        <v>44.913142692561067</v>
      </c>
      <c r="W94">
        <v>22.638045850279973</v>
      </c>
      <c r="X94">
        <v>45.901034882381886</v>
      </c>
      <c r="Y94">
        <v>3.6731928778786469</v>
      </c>
      <c r="Z94">
        <v>21.338272393655192</v>
      </c>
      <c r="AB94">
        <v>29.498610146125621</v>
      </c>
      <c r="AD94">
        <v>2.2684697610720148</v>
      </c>
      <c r="AE94">
        <v>8.7872990493865313</v>
      </c>
      <c r="AF94">
        <v>12.641381221751139</v>
      </c>
      <c r="AG94">
        <v>14.999721727755466</v>
      </c>
      <c r="AI94">
        <v>2.1492346026027467</v>
      </c>
      <c r="AK94">
        <v>34.861592512664551</v>
      </c>
    </row>
    <row r="95" spans="1:37" x14ac:dyDescent="0.2">
      <c r="A95">
        <v>94</v>
      </c>
      <c r="B95">
        <v>754</v>
      </c>
      <c r="C95">
        <v>175</v>
      </c>
      <c r="D95">
        <v>0.40749695760112897</v>
      </c>
      <c r="E95">
        <v>143.36392634345978</v>
      </c>
      <c r="F95">
        <v>51.734410776409014</v>
      </c>
      <c r="G95">
        <v>70.479270724982499</v>
      </c>
      <c r="H95">
        <v>65.867623319300378</v>
      </c>
      <c r="J95">
        <v>30.708848605870735</v>
      </c>
      <c r="L95">
        <v>1.5473497898055029</v>
      </c>
      <c r="M95">
        <v>12.467903645029356</v>
      </c>
      <c r="N95">
        <v>2.2163165648071637</v>
      </c>
      <c r="O95">
        <v>7.5476278940055304</v>
      </c>
      <c r="P95">
        <v>8.3575254433105961</v>
      </c>
      <c r="R95">
        <v>8.3554822453596689</v>
      </c>
      <c r="S95">
        <v>29.631212605323839</v>
      </c>
      <c r="U95">
        <v>2.6868218445242276</v>
      </c>
      <c r="V95">
        <v>45.644625582175927</v>
      </c>
      <c r="W95">
        <v>21.988672211357159</v>
      </c>
      <c r="X95">
        <v>45.929314327281141</v>
      </c>
      <c r="Y95">
        <v>3.6893455856474455</v>
      </c>
      <c r="Z95">
        <v>20.191574458695893</v>
      </c>
      <c r="AB95">
        <v>29.260031254089981</v>
      </c>
      <c r="AD95">
        <v>1.7058492720620542</v>
      </c>
      <c r="AE95">
        <v>8.0919729795494462</v>
      </c>
      <c r="AF95">
        <v>12.079990244866266</v>
      </c>
      <c r="AG95">
        <v>14.746320876168401</v>
      </c>
      <c r="AI95">
        <v>2.1509569337551557</v>
      </c>
      <c r="AK95">
        <v>32.486507894830019</v>
      </c>
    </row>
    <row r="96" spans="1:37" x14ac:dyDescent="0.2">
      <c r="A96">
        <v>95</v>
      </c>
      <c r="B96">
        <v>753</v>
      </c>
      <c r="C96">
        <v>175</v>
      </c>
      <c r="D96">
        <v>0.40685133752375702</v>
      </c>
      <c r="E96">
        <v>143.61166243181731</v>
      </c>
      <c r="F96">
        <v>52.016884714075758</v>
      </c>
      <c r="G96">
        <v>70.504566657060778</v>
      </c>
      <c r="H96">
        <v>65.890523440606913</v>
      </c>
      <c r="J96">
        <v>28.467309209554251</v>
      </c>
      <c r="L96">
        <v>1.5683031276704968</v>
      </c>
      <c r="M96">
        <v>11.980233409498878</v>
      </c>
      <c r="N96">
        <v>2.2183187046284578</v>
      </c>
      <c r="O96">
        <v>7.4448363010273884</v>
      </c>
      <c r="P96">
        <v>8.4315928276891228</v>
      </c>
      <c r="R96">
        <v>8.0358928473314624</v>
      </c>
      <c r="S96">
        <v>29.965439675330369</v>
      </c>
      <c r="U96">
        <v>2.6741292784668973</v>
      </c>
      <c r="V96">
        <v>46.293464703128862</v>
      </c>
      <c r="W96">
        <v>21.416464683352853</v>
      </c>
      <c r="X96">
        <v>45.931852344972576</v>
      </c>
      <c r="Y96">
        <v>3.693609490074913</v>
      </c>
      <c r="Z96">
        <v>19.470719213781837</v>
      </c>
      <c r="AB96">
        <v>29.243963542500122</v>
      </c>
      <c r="AD96">
        <v>1.3448474173845353</v>
      </c>
      <c r="AE96">
        <v>7.6551673022782305</v>
      </c>
      <c r="AF96">
        <v>11.591217326461249</v>
      </c>
      <c r="AG96">
        <v>14.715429289588551</v>
      </c>
      <c r="AI96">
        <v>2.1526739816583715</v>
      </c>
      <c r="AK96">
        <v>30.875650527830413</v>
      </c>
    </row>
    <row r="97" spans="1:37" x14ac:dyDescent="0.2">
      <c r="A97">
        <v>96</v>
      </c>
      <c r="B97">
        <v>752</v>
      </c>
      <c r="C97">
        <v>175</v>
      </c>
      <c r="D97">
        <v>0.406204457884214</v>
      </c>
      <c r="E97">
        <v>143.81800410079634</v>
      </c>
      <c r="F97">
        <v>52.304052326610005</v>
      </c>
      <c r="G97">
        <v>70.518415487245676</v>
      </c>
      <c r="H97">
        <v>65.901989563150352</v>
      </c>
      <c r="J97">
        <v>26.818092636130924</v>
      </c>
      <c r="L97">
        <v>1.585956372871351</v>
      </c>
      <c r="M97">
        <v>11.544433160949323</v>
      </c>
      <c r="N97">
        <v>2.2203178789613975</v>
      </c>
      <c r="O97">
        <v>7.3545737139399252</v>
      </c>
      <c r="P97">
        <v>8.4827708469433674</v>
      </c>
      <c r="R97">
        <v>7.74101196614229</v>
      </c>
      <c r="S97">
        <v>30.281067363577733</v>
      </c>
      <c r="U97">
        <v>2.6573899966460939</v>
      </c>
      <c r="V97">
        <v>46.875881849159768</v>
      </c>
      <c r="W97">
        <v>20.898133823446639</v>
      </c>
      <c r="X97">
        <v>45.923025934228669</v>
      </c>
      <c r="Y97">
        <v>3.6930311623815664</v>
      </c>
      <c r="Z97">
        <v>18.951672963567134</v>
      </c>
      <c r="AB97">
        <v>29.31387821275958</v>
      </c>
      <c r="AD97">
        <v>1.0804105165342739</v>
      </c>
      <c r="AE97">
        <v>7.3401843986779101</v>
      </c>
      <c r="AF97">
        <v>11.154311767284435</v>
      </c>
      <c r="AG97">
        <v>14.770519658569791</v>
      </c>
      <c r="AI97">
        <v>2.1543872276532436</v>
      </c>
      <c r="AK97">
        <v>29.671586293095906</v>
      </c>
    </row>
    <row r="98" spans="1:37" x14ac:dyDescent="0.2">
      <c r="A98">
        <v>97</v>
      </c>
      <c r="B98">
        <v>751</v>
      </c>
      <c r="C98">
        <v>175</v>
      </c>
      <c r="D98">
        <v>0.40555631499292399</v>
      </c>
      <c r="E98">
        <v>143.99617096850045</v>
      </c>
      <c r="F98">
        <v>52.582718646808225</v>
      </c>
      <c r="G98">
        <v>70.525524838901731</v>
      </c>
      <c r="H98">
        <v>65.906729331256969</v>
      </c>
      <c r="J98">
        <v>25.527580698441831</v>
      </c>
      <c r="L98">
        <v>1.6012684224757068</v>
      </c>
      <c r="M98">
        <v>11.147214609721964</v>
      </c>
      <c r="N98">
        <v>2.2223148928810299</v>
      </c>
      <c r="O98">
        <v>7.271470837939269</v>
      </c>
      <c r="P98">
        <v>8.5204755757951691</v>
      </c>
      <c r="R98">
        <v>7.4655566768486832</v>
      </c>
      <c r="S98">
        <v>30.576101639934212</v>
      </c>
      <c r="U98">
        <v>2.6384487226769191</v>
      </c>
      <c r="V98">
        <v>47.406432826861575</v>
      </c>
      <c r="W98">
        <v>20.41946465444105</v>
      </c>
      <c r="X98">
        <v>45.9081227044854</v>
      </c>
      <c r="Y98">
        <v>3.6902064140209498</v>
      </c>
      <c r="Z98">
        <v>18.545650033568055</v>
      </c>
      <c r="AB98">
        <v>29.421828897373828</v>
      </c>
      <c r="AD98">
        <v>0.87060891969110032</v>
      </c>
      <c r="AE98">
        <v>7.0932655534378837</v>
      </c>
      <c r="AF98">
        <v>10.755986088399911</v>
      </c>
      <c r="AG98">
        <v>14.863646426680342</v>
      </c>
      <c r="AI98">
        <v>2.1560974749752244</v>
      </c>
      <c r="AK98">
        <v>28.716632073470581</v>
      </c>
    </row>
    <row r="99" spans="1:37" x14ac:dyDescent="0.2">
      <c r="A99">
        <v>98</v>
      </c>
      <c r="B99">
        <v>750</v>
      </c>
      <c r="C99">
        <v>175</v>
      </c>
      <c r="D99">
        <v>0.40490690514587502</v>
      </c>
      <c r="E99">
        <v>144.15371026990624</v>
      </c>
      <c r="F99">
        <v>52.849428396722928</v>
      </c>
      <c r="G99">
        <v>70.528254569434012</v>
      </c>
      <c r="H99">
        <v>65.907102623332676</v>
      </c>
      <c r="J99">
        <v>24.475477005274179</v>
      </c>
      <c r="L99">
        <v>1.6149198945157368</v>
      </c>
      <c r="M99">
        <v>10.779910180446745</v>
      </c>
      <c r="N99">
        <v>2.2243102289758965</v>
      </c>
      <c r="O99">
        <v>7.1929169751995818</v>
      </c>
      <c r="P99">
        <v>8.5494272346205697</v>
      </c>
      <c r="R99">
        <v>7.2057675635288811</v>
      </c>
      <c r="S99">
        <v>30.852202336276438</v>
      </c>
      <c r="U99">
        <v>2.6181486515542587</v>
      </c>
      <c r="V99">
        <v>47.895686338984746</v>
      </c>
      <c r="W99">
        <v>19.971368138285879</v>
      </c>
      <c r="X99">
        <v>45.88955870983083</v>
      </c>
      <c r="Y99">
        <v>3.6862748318121983</v>
      </c>
      <c r="Z99">
        <v>18.210155820894663</v>
      </c>
      <c r="AB99">
        <v>29.547463745313308</v>
      </c>
      <c r="AD99">
        <v>0.69523922395823956</v>
      </c>
      <c r="AE99">
        <v>6.8887804495057905</v>
      </c>
      <c r="AF99">
        <v>10.387573202686983</v>
      </c>
      <c r="AG99">
        <v>14.974458231488086</v>
      </c>
      <c r="AI99">
        <v>2.1578052043729103</v>
      </c>
      <c r="AK99">
        <v>27.928830683939349</v>
      </c>
    </row>
    <row r="100" spans="1:37" x14ac:dyDescent="0.2">
      <c r="A100">
        <v>99</v>
      </c>
      <c r="B100">
        <v>780</v>
      </c>
      <c r="C100">
        <v>150</v>
      </c>
      <c r="D100">
        <v>0.44996486730285301</v>
      </c>
      <c r="E100">
        <v>129.79416114831662</v>
      </c>
      <c r="F100">
        <v>59.631283481969916</v>
      </c>
      <c r="G100">
        <v>71.574109371809598</v>
      </c>
      <c r="H100">
        <v>67.028394372277262</v>
      </c>
      <c r="J100">
        <v>51.900065961231654</v>
      </c>
      <c r="L100">
        <v>4.5279881110238671</v>
      </c>
      <c r="M100">
        <v>14.568151916687247</v>
      </c>
      <c r="N100">
        <v>2.2386368191859298</v>
      </c>
      <c r="O100">
        <v>24.548261107197661</v>
      </c>
      <c r="P100">
        <v>9.8729127182225831</v>
      </c>
      <c r="Q100">
        <v>3.4331339781025462E-2</v>
      </c>
      <c r="R100">
        <v>13.952239143692411</v>
      </c>
      <c r="S100">
        <v>37.608771065861376</v>
      </c>
      <c r="U100">
        <v>3.5492342941818866</v>
      </c>
      <c r="V100">
        <v>43.719748018206005</v>
      </c>
      <c r="W100">
        <v>28.748169923571687</v>
      </c>
      <c r="X100">
        <v>45.455183761281432</v>
      </c>
      <c r="Y100">
        <v>6.2408041863748158</v>
      </c>
      <c r="Z100">
        <v>31.943090708940126</v>
      </c>
      <c r="AA100">
        <v>3.7819505562507474</v>
      </c>
      <c r="AB100">
        <v>34.554855866166371</v>
      </c>
      <c r="AC100">
        <v>0.16524045534979848</v>
      </c>
      <c r="AD100">
        <v>7.713022875902718</v>
      </c>
      <c r="AE100">
        <v>14.868941361163861</v>
      </c>
      <c r="AF100">
        <v>14.360584545995312</v>
      </c>
      <c r="AG100">
        <v>20.609011344566763</v>
      </c>
      <c r="AH100">
        <v>3.487113867651439</v>
      </c>
      <c r="AI100">
        <v>2.177406877508977</v>
      </c>
      <c r="AK100">
        <v>46.251383446639501</v>
      </c>
    </row>
    <row r="101" spans="1:37" x14ac:dyDescent="0.2">
      <c r="A101">
        <v>100</v>
      </c>
      <c r="B101">
        <v>779</v>
      </c>
      <c r="C101">
        <v>150</v>
      </c>
      <c r="D101">
        <v>0.44937556432067799</v>
      </c>
      <c r="E101">
        <v>129.69284965696457</v>
      </c>
      <c r="F101">
        <v>59.29370061136288</v>
      </c>
      <c r="G101">
        <v>71.515603365173305</v>
      </c>
      <c r="H101">
        <v>66.967148879360607</v>
      </c>
      <c r="J101">
        <v>51.858105893743108</v>
      </c>
      <c r="L101">
        <v>4.4455216526145707</v>
      </c>
      <c r="M101">
        <v>14.542565111915449</v>
      </c>
      <c r="N101">
        <v>2.2290440637246962</v>
      </c>
      <c r="O101">
        <v>24.140565698668258</v>
      </c>
      <c r="P101">
        <v>9.7675767420450033</v>
      </c>
      <c r="R101">
        <v>13.792792275314147</v>
      </c>
      <c r="S101">
        <v>37.354878113695968</v>
      </c>
      <c r="U101">
        <v>3.50363319870445</v>
      </c>
      <c r="V101">
        <v>43.684915403768422</v>
      </c>
      <c r="W101">
        <v>28.599702770419121</v>
      </c>
      <c r="X101">
        <v>45.36939068515666</v>
      </c>
      <c r="Y101">
        <v>6.1538441452883799</v>
      </c>
      <c r="Z101">
        <v>31.75864852650113</v>
      </c>
      <c r="AA101">
        <v>3.695238495668149</v>
      </c>
      <c r="AB101">
        <v>34.473386660788748</v>
      </c>
      <c r="AC101">
        <v>0.15365971523034591</v>
      </c>
      <c r="AD101">
        <v>7.6146959818418658</v>
      </c>
      <c r="AE101">
        <v>14.785027368900833</v>
      </c>
      <c r="AF101">
        <v>14.322289677736086</v>
      </c>
      <c r="AG101">
        <v>20.501092273993006</v>
      </c>
      <c r="AH101">
        <v>3.3661011924954729</v>
      </c>
      <c r="AI101">
        <v>2.1675512601489921</v>
      </c>
      <c r="AK101">
        <v>46.247983318475171</v>
      </c>
    </row>
    <row r="102" spans="1:37" x14ac:dyDescent="0.2">
      <c r="A102">
        <v>101</v>
      </c>
      <c r="B102">
        <v>778</v>
      </c>
      <c r="C102">
        <v>150</v>
      </c>
      <c r="D102">
        <v>0.44878514008467002</v>
      </c>
      <c r="E102">
        <v>129.58861297435212</v>
      </c>
      <c r="F102">
        <v>58.889113225330085</v>
      </c>
      <c r="G102">
        <v>71.444380733102065</v>
      </c>
      <c r="H102">
        <v>66.893199335515007</v>
      </c>
      <c r="J102">
        <v>51.825549476849261</v>
      </c>
      <c r="L102">
        <v>4.3385180412255506</v>
      </c>
      <c r="M102">
        <v>14.553461545184588</v>
      </c>
      <c r="N102">
        <v>2.2138758523189428</v>
      </c>
      <c r="O102">
        <v>23.621804682968243</v>
      </c>
      <c r="P102">
        <v>9.6312392858112172</v>
      </c>
      <c r="R102">
        <v>13.648286310526172</v>
      </c>
      <c r="S102">
        <v>37.227191620686433</v>
      </c>
      <c r="U102">
        <v>3.4857074231305374</v>
      </c>
      <c r="V102">
        <v>43.718154699383646</v>
      </c>
      <c r="W102">
        <v>28.483030785233883</v>
      </c>
      <c r="X102">
        <v>45.375603773353006</v>
      </c>
      <c r="Y102">
        <v>6.038808958252373</v>
      </c>
      <c r="Z102">
        <v>31.53744329483694</v>
      </c>
      <c r="AA102">
        <v>3.581064708112077</v>
      </c>
      <c r="AB102">
        <v>34.44177567417205</v>
      </c>
      <c r="AC102">
        <v>0.1365036719795279</v>
      </c>
      <c r="AD102">
        <v>7.494164009332124</v>
      </c>
      <c r="AE102">
        <v>14.689253833041063</v>
      </c>
      <c r="AF102">
        <v>14.314902792852807</v>
      </c>
      <c r="AG102">
        <v>20.43745835619006</v>
      </c>
      <c r="AH102">
        <v>3.210862188171733</v>
      </c>
      <c r="AI102">
        <v>2.1521193981316138</v>
      </c>
      <c r="AK102">
        <v>46.230241960450179</v>
      </c>
    </row>
    <row r="103" spans="1:37" x14ac:dyDescent="0.2">
      <c r="A103">
        <v>102</v>
      </c>
      <c r="B103">
        <v>777</v>
      </c>
      <c r="C103">
        <v>150</v>
      </c>
      <c r="D103">
        <v>0.44819359139171</v>
      </c>
      <c r="E103">
        <v>129.48476093767098</v>
      </c>
      <c r="F103">
        <v>58.485525583371469</v>
      </c>
      <c r="G103">
        <v>71.37316131818524</v>
      </c>
      <c r="H103">
        <v>66.819265603266629</v>
      </c>
      <c r="J103">
        <v>51.792860245128161</v>
      </c>
      <c r="L103">
        <v>4.2312183896601487</v>
      </c>
      <c r="M103">
        <v>14.564506987819549</v>
      </c>
      <c r="N103">
        <v>2.1987010432715666</v>
      </c>
      <c r="O103">
        <v>23.10323456728575</v>
      </c>
      <c r="P103">
        <v>9.4949089143366177</v>
      </c>
      <c r="R103">
        <v>13.503117692850513</v>
      </c>
      <c r="S103">
        <v>37.098266895543993</v>
      </c>
      <c r="U103">
        <v>3.4681524667461994</v>
      </c>
      <c r="V103">
        <v>43.750678497046906</v>
      </c>
      <c r="W103">
        <v>28.366797468268771</v>
      </c>
      <c r="X103">
        <v>45.383096943115063</v>
      </c>
      <c r="Y103">
        <v>5.9237292897375768</v>
      </c>
      <c r="Z103">
        <v>31.316590814420589</v>
      </c>
      <c r="AA103">
        <v>3.4669285673205739</v>
      </c>
      <c r="AB103">
        <v>34.409457995520278</v>
      </c>
      <c r="AC103">
        <v>0.11934118346217065</v>
      </c>
      <c r="AD103">
        <v>7.3736185909968093</v>
      </c>
      <c r="AE103">
        <v>14.593708065345652</v>
      </c>
      <c r="AF103">
        <v>14.307658526299955</v>
      </c>
      <c r="AG103">
        <v>20.373113544183607</v>
      </c>
      <c r="AH103">
        <v>3.055531969267324</v>
      </c>
      <c r="AI103">
        <v>2.1366801479305044</v>
      </c>
      <c r="AK103">
        <v>46.212685667200113</v>
      </c>
    </row>
    <row r="104" spans="1:37" x14ac:dyDescent="0.2">
      <c r="A104">
        <v>103</v>
      </c>
      <c r="B104">
        <v>776</v>
      </c>
      <c r="C104">
        <v>150</v>
      </c>
      <c r="D104">
        <v>0.447600915026452</v>
      </c>
      <c r="E104">
        <v>129.38129580646</v>
      </c>
      <c r="F104">
        <v>58.082952860516443</v>
      </c>
      <c r="G104">
        <v>71.301949010766677</v>
      </c>
      <c r="H104">
        <v>66.745351592934796</v>
      </c>
      <c r="J104">
        <v>51.760031361390574</v>
      </c>
      <c r="L104">
        <v>4.123736940965733</v>
      </c>
      <c r="M104">
        <v>14.57569729855131</v>
      </c>
      <c r="N104">
        <v>2.1835200119418867</v>
      </c>
      <c r="O104">
        <v>22.584876593042861</v>
      </c>
      <c r="P104">
        <v>9.3585938050643769</v>
      </c>
      <c r="R104">
        <v>13.35729859337599</v>
      </c>
      <c r="S104">
        <v>36.968065954723933</v>
      </c>
      <c r="U104">
        <v>3.4509648179090884</v>
      </c>
      <c r="V104">
        <v>43.782470930617784</v>
      </c>
      <c r="W104">
        <v>28.251003257527824</v>
      </c>
      <c r="X104">
        <v>45.391860103381987</v>
      </c>
      <c r="Y104">
        <v>5.8086120396164418</v>
      </c>
      <c r="Z104">
        <v>31.096094205112081</v>
      </c>
      <c r="AA104">
        <v>3.3526636059949597</v>
      </c>
      <c r="AB104">
        <v>34.376411114144908</v>
      </c>
      <c r="AC104">
        <v>0.10217262460045379</v>
      </c>
      <c r="AD104">
        <v>7.2530664804708538</v>
      </c>
      <c r="AE104">
        <v>14.498388270945988</v>
      </c>
      <c r="AF104">
        <v>14.300553117508034</v>
      </c>
      <c r="AG104">
        <v>20.308035708177893</v>
      </c>
      <c r="AH104">
        <v>2.9001221804456621</v>
      </c>
      <c r="AI104">
        <v>2.1212338830755169</v>
      </c>
      <c r="AK104">
        <v>46.195316844863918</v>
      </c>
    </row>
    <row r="105" spans="1:37" x14ac:dyDescent="0.2">
      <c r="A105">
        <v>104</v>
      </c>
      <c r="B105">
        <v>775</v>
      </c>
      <c r="C105">
        <v>150</v>
      </c>
      <c r="D105">
        <v>0.44700710776129698</v>
      </c>
      <c r="E105">
        <v>129.27821973088794</v>
      </c>
      <c r="F105">
        <v>57.681410044507075</v>
      </c>
      <c r="G105">
        <v>71.230747744701318</v>
      </c>
      <c r="H105">
        <v>66.671461258387183</v>
      </c>
      <c r="J105">
        <v>51.72705638643037</v>
      </c>
      <c r="L105">
        <v>4.0159814475712521</v>
      </c>
      <c r="M105">
        <v>14.587028175095893</v>
      </c>
      <c r="N105">
        <v>2.1683331467149332</v>
      </c>
      <c r="O105">
        <v>22.066752244207258</v>
      </c>
      <c r="P105">
        <v>9.22230223554274</v>
      </c>
      <c r="R105">
        <v>13.210841532120416</v>
      </c>
      <c r="S105">
        <v>36.836552264255424</v>
      </c>
      <c r="U105">
        <v>3.4341407310588461</v>
      </c>
      <c r="V105">
        <v>43.813516809167432</v>
      </c>
      <c r="W105">
        <v>28.135648383805172</v>
      </c>
      <c r="X105">
        <v>45.401882453609602</v>
      </c>
      <c r="Y105">
        <v>5.6934642077591153</v>
      </c>
      <c r="Z105">
        <v>30.875956434054036</v>
      </c>
      <c r="AA105">
        <v>3.2383639198928433</v>
      </c>
      <c r="AB105">
        <v>34.342613238136821</v>
      </c>
      <c r="AC105">
        <v>8.4998383340753894E-2</v>
      </c>
      <c r="AD105">
        <v>7.1325141094588584</v>
      </c>
      <c r="AE105">
        <v>14.403292529732806</v>
      </c>
      <c r="AF105">
        <v>14.29358265792901</v>
      </c>
      <c r="AG105">
        <v>20.242203450201369</v>
      </c>
      <c r="AH105">
        <v>2.7446445625484772</v>
      </c>
      <c r="AI105">
        <v>2.105780990121632</v>
      </c>
      <c r="AK105">
        <v>46.178137883354083</v>
      </c>
    </row>
    <row r="106" spans="1:37" x14ac:dyDescent="0.2">
      <c r="A106">
        <v>105</v>
      </c>
      <c r="B106">
        <v>774</v>
      </c>
      <c r="C106">
        <v>150</v>
      </c>
      <c r="D106">
        <v>0.44641216635630598</v>
      </c>
      <c r="E106">
        <v>129.1755347503148</v>
      </c>
      <c r="F106">
        <v>57.280911906147317</v>
      </c>
      <c r="G106">
        <v>71.159561490063211</v>
      </c>
      <c r="H106">
        <v>66.597598589749197</v>
      </c>
      <c r="J106">
        <v>51.693929281035324</v>
      </c>
      <c r="L106">
        <v>3.9080688233491201</v>
      </c>
      <c r="M106">
        <v>14.598495161403999</v>
      </c>
      <c r="N106">
        <v>2.1531408471440394</v>
      </c>
      <c r="O106">
        <v>21.548883199056505</v>
      </c>
      <c r="P106">
        <v>9.0860425669839184</v>
      </c>
      <c r="R106">
        <v>13.063759347261428</v>
      </c>
      <c r="S106">
        <v>36.703690784449222</v>
      </c>
      <c r="U106">
        <v>3.4176762362133974</v>
      </c>
      <c r="V106">
        <v>43.843801631683057</v>
      </c>
      <c r="W106">
        <v>28.020732876362914</v>
      </c>
      <c r="X106">
        <v>45.413152514227235</v>
      </c>
      <c r="Y106">
        <v>5.5782928799730547</v>
      </c>
      <c r="Z106">
        <v>30.656180303369251</v>
      </c>
      <c r="AA106">
        <v>3.1240364970541776</v>
      </c>
      <c r="AB106">
        <v>34.30804332037301</v>
      </c>
      <c r="AC106">
        <v>6.7818858798566334E-2</v>
      </c>
      <c r="AD106">
        <v>7.0119676210819533</v>
      </c>
      <c r="AE106">
        <v>14.308418795186096</v>
      </c>
      <c r="AF106">
        <v>14.286743096430284</v>
      </c>
      <c r="AG106">
        <v>20.175596128254256</v>
      </c>
      <c r="AH106">
        <v>2.5891109333808662</v>
      </c>
      <c r="AI106">
        <v>2.0903218667914358</v>
      </c>
      <c r="AK106">
        <v>46.161151148588502</v>
      </c>
    </row>
    <row r="107" spans="1:37" x14ac:dyDescent="0.2">
      <c r="A107">
        <v>106</v>
      </c>
      <c r="B107">
        <v>773</v>
      </c>
      <c r="C107">
        <v>150</v>
      </c>
      <c r="D107">
        <v>0.44581608755914398</v>
      </c>
      <c r="E107">
        <v>129.07324279260453</v>
      </c>
      <c r="F107">
        <v>56.881472972480758</v>
      </c>
      <c r="G107">
        <v>71.088394246127805</v>
      </c>
      <c r="H107">
        <v>66.523767606386329</v>
      </c>
      <c r="J107">
        <v>51.660644406149629</v>
      </c>
      <c r="L107">
        <v>3.7998981403836005</v>
      </c>
      <c r="M107">
        <v>14.61009365460426</v>
      </c>
      <c r="N107">
        <v>2.1379435221578134</v>
      </c>
      <c r="O107">
        <v>21.031291283971761</v>
      </c>
      <c r="P107">
        <v>8.9498232284402182</v>
      </c>
      <c r="R107">
        <v>12.916065163491863</v>
      </c>
      <c r="S107">
        <v>36.569448005715856</v>
      </c>
      <c r="U107">
        <v>3.40156714863256</v>
      </c>
      <c r="V107">
        <v>43.873311597671972</v>
      </c>
      <c r="W107">
        <v>27.906256568805308</v>
      </c>
      <c r="X107">
        <v>45.425658155532034</v>
      </c>
      <c r="Y107">
        <v>5.4631052144743828</v>
      </c>
      <c r="Z107">
        <v>30.436768438829493</v>
      </c>
      <c r="AA107">
        <v>3.009688325737319</v>
      </c>
      <c r="AB107">
        <v>34.272681079930699</v>
      </c>
      <c r="AC107">
        <v>5.0634459463963138E-2</v>
      </c>
      <c r="AD107">
        <v>6.8914328941636622</v>
      </c>
      <c r="AE107">
        <v>14.213764893564282</v>
      </c>
      <c r="AF107">
        <v>14.280030244443061</v>
      </c>
      <c r="AG107">
        <v>20.108193875931029</v>
      </c>
      <c r="AH107">
        <v>2.4335331691802899</v>
      </c>
      <c r="AI107">
        <v>2.0748569201826723</v>
      </c>
      <c r="AK107">
        <v>46.144358975226169</v>
      </c>
    </row>
    <row r="108" spans="1:37" x14ac:dyDescent="0.2">
      <c r="A108">
        <v>107</v>
      </c>
      <c r="B108">
        <v>772</v>
      </c>
      <c r="C108">
        <v>150</v>
      </c>
      <c r="D108">
        <v>0.44521886810505501</v>
      </c>
      <c r="E108">
        <v>128.97134567383623</v>
      </c>
      <c r="F108">
        <v>56.48310749852628</v>
      </c>
      <c r="G108">
        <v>71.017250033895735</v>
      </c>
      <c r="H108">
        <v>66.449972349426957</v>
      </c>
      <c r="J108">
        <v>51.627196520796659</v>
      </c>
      <c r="L108">
        <v>3.691540624432335</v>
      </c>
      <c r="M108">
        <v>14.621818913284088</v>
      </c>
      <c r="N108">
        <v>2.1227415879948142</v>
      </c>
      <c r="O108">
        <v>20.513998423162842</v>
      </c>
      <c r="P108">
        <v>8.8136526997780749</v>
      </c>
      <c r="R108">
        <v>12.767772359509808</v>
      </c>
      <c r="S108">
        <v>36.433791979948118</v>
      </c>
      <c r="U108">
        <v>3.3858090800981784</v>
      </c>
      <c r="V108">
        <v>43.902033616267879</v>
      </c>
      <c r="W108">
        <v>27.792219106996249</v>
      </c>
      <c r="X108">
        <v>45.439386632810425</v>
      </c>
      <c r="Y108">
        <v>5.347908427251399</v>
      </c>
      <c r="Z108">
        <v>30.217723277411586</v>
      </c>
      <c r="AA108">
        <v>2.8953263848749629</v>
      </c>
      <c r="AB108">
        <v>34.23650702066471</v>
      </c>
      <c r="AC108">
        <v>3.3445601136268696E-2</v>
      </c>
      <c r="AD108">
        <v>6.7709155597813409</v>
      </c>
      <c r="AE108">
        <v>14.119328522781261</v>
      </c>
      <c r="AF108">
        <v>14.273439782183344</v>
      </c>
      <c r="AG108">
        <v>20.039977618926265</v>
      </c>
      <c r="AH108">
        <v>2.277923184773686</v>
      </c>
      <c r="AI108">
        <v>2.0593865647017568</v>
      </c>
      <c r="AK108">
        <v>46.127763658684785</v>
      </c>
    </row>
    <row r="109" spans="1:37" x14ac:dyDescent="0.2">
      <c r="A109">
        <v>108</v>
      </c>
      <c r="B109">
        <v>771</v>
      </c>
      <c r="C109">
        <v>150</v>
      </c>
      <c r="D109">
        <v>0.44462050471675502</v>
      </c>
      <c r="E109">
        <v>128.86984509867142</v>
      </c>
      <c r="F109">
        <v>56.085829442716609</v>
      </c>
      <c r="G109">
        <v>70.946132889140998</v>
      </c>
      <c r="H109">
        <v>66.376216874811931</v>
      </c>
      <c r="J109">
        <v>51.593580777761261</v>
      </c>
      <c r="L109">
        <v>3.583058545443615</v>
      </c>
      <c r="M109">
        <v>14.633666064680648</v>
      </c>
      <c r="N109">
        <v>2.1075354662752503</v>
      </c>
      <c r="O109">
        <v>19.997026592488783</v>
      </c>
      <c r="P109">
        <v>8.6775394958592944</v>
      </c>
      <c r="R109">
        <v>12.618894534501065</v>
      </c>
      <c r="S109">
        <v>36.296692340281467</v>
      </c>
      <c r="U109">
        <v>3.3703974497555369</v>
      </c>
      <c r="V109">
        <v>43.929955309909893</v>
      </c>
      <c r="W109">
        <v>27.678619956660018</v>
      </c>
      <c r="X109">
        <v>45.454324619820653</v>
      </c>
      <c r="Y109">
        <v>5.2327097784938346</v>
      </c>
      <c r="Z109">
        <v>29.999047056462917</v>
      </c>
      <c r="AA109">
        <v>2.7809576358148771</v>
      </c>
      <c r="AB109">
        <v>34.199502444156515</v>
      </c>
      <c r="AC109">
        <v>1.6252704996687746E-2</v>
      </c>
      <c r="AD109">
        <v>6.6504210135559303</v>
      </c>
      <c r="AE109">
        <v>14.025107251814337</v>
      </c>
      <c r="AF109">
        <v>14.266967263905757</v>
      </c>
      <c r="AG109">
        <v>19.970929086065681</v>
      </c>
      <c r="AH109">
        <v>2.1222929151039458</v>
      </c>
      <c r="AI109">
        <v>2.0439112201366365</v>
      </c>
      <c r="AK109">
        <v>46.111367447769382</v>
      </c>
    </row>
    <row r="110" spans="1:37" x14ac:dyDescent="0.2">
      <c r="A110">
        <v>109</v>
      </c>
      <c r="B110">
        <v>770</v>
      </c>
      <c r="C110">
        <v>150</v>
      </c>
      <c r="D110">
        <v>0.44402099410439499</v>
      </c>
      <c r="E110">
        <v>128.76587783357434</v>
      </c>
      <c r="F110">
        <v>55.675267109244075</v>
      </c>
      <c r="G110">
        <v>70.872608873613913</v>
      </c>
      <c r="H110">
        <v>66.30006726449615</v>
      </c>
      <c r="J110">
        <v>51.555387527419285</v>
      </c>
      <c r="L110">
        <v>3.4707019139368787</v>
      </c>
      <c r="M110">
        <v>14.645241813444162</v>
      </c>
      <c r="N110">
        <v>2.0929180056909762</v>
      </c>
      <c r="O110">
        <v>19.467149665517969</v>
      </c>
      <c r="P110">
        <v>8.5372086106217591</v>
      </c>
      <c r="R110">
        <v>12.464521302342268</v>
      </c>
      <c r="S110">
        <v>36.150838021687299</v>
      </c>
      <c r="U110">
        <v>3.3546758039889437</v>
      </c>
      <c r="V110">
        <v>43.956592219938386</v>
      </c>
      <c r="W110">
        <v>27.561719204791405</v>
      </c>
      <c r="X110">
        <v>45.467965239759465</v>
      </c>
      <c r="Y110">
        <v>5.1131212406704298</v>
      </c>
      <c r="Z110">
        <v>29.773286611269846</v>
      </c>
      <c r="AA110">
        <v>2.6627924689461797</v>
      </c>
      <c r="AB110">
        <v>34.159913187623332</v>
      </c>
      <c r="AD110">
        <v>6.5251610764321528</v>
      </c>
      <c r="AE110">
        <v>13.928571939614256</v>
      </c>
      <c r="AF110">
        <v>14.260812248365447</v>
      </c>
      <c r="AG110">
        <v>19.899886968898649</v>
      </c>
      <c r="AH110">
        <v>1.9595488167078932</v>
      </c>
      <c r="AI110">
        <v>2.0290237333469059</v>
      </c>
      <c r="AK110">
        <v>46.091972403674497</v>
      </c>
    </row>
    <row r="111" spans="1:37" x14ac:dyDescent="0.2">
      <c r="A111">
        <v>110</v>
      </c>
      <c r="B111">
        <v>769</v>
      </c>
      <c r="C111">
        <v>150</v>
      </c>
      <c r="D111">
        <v>0.44342033296550898</v>
      </c>
      <c r="E111">
        <v>128.58220159668281</v>
      </c>
      <c r="F111">
        <v>54.861641325985723</v>
      </c>
      <c r="G111">
        <v>70.730324172317196</v>
      </c>
      <c r="H111">
        <v>66.155169723726488</v>
      </c>
      <c r="J111">
        <v>51.391999645724866</v>
      </c>
      <c r="L111">
        <v>3.254969274668678</v>
      </c>
      <c r="M111">
        <v>14.646314835476316</v>
      </c>
      <c r="N111">
        <v>2.0948974018201145</v>
      </c>
      <c r="O111">
        <v>18.563700480586448</v>
      </c>
      <c r="P111">
        <v>8.2759606314583518</v>
      </c>
      <c r="R111">
        <v>12.169555926276418</v>
      </c>
      <c r="S111">
        <v>35.795316898479534</v>
      </c>
      <c r="U111">
        <v>3.321810403150748</v>
      </c>
      <c r="V111">
        <v>43.967714708822257</v>
      </c>
      <c r="W111">
        <v>27.341155539094</v>
      </c>
      <c r="X111">
        <v>45.415183433492601</v>
      </c>
      <c r="Y111">
        <v>4.8694994561386897</v>
      </c>
      <c r="Z111">
        <v>29.338346238390237</v>
      </c>
      <c r="AA111">
        <v>2.4374898471652995</v>
      </c>
      <c r="AB111">
        <v>34.069040465621583</v>
      </c>
      <c r="AD111">
        <v>6.2649869825985123</v>
      </c>
      <c r="AE111">
        <v>13.761473001853799</v>
      </c>
      <c r="AF111">
        <v>14.260751612467415</v>
      </c>
      <c r="AG111">
        <v>19.794160683216589</v>
      </c>
      <c r="AH111">
        <v>1.5962855662841404</v>
      </c>
      <c r="AI111">
        <v>2.0307322980769125</v>
      </c>
      <c r="AK111">
        <v>45.982652880700421</v>
      </c>
    </row>
    <row r="112" spans="1:37" x14ac:dyDescent="0.2">
      <c r="A112">
        <v>111</v>
      </c>
      <c r="B112">
        <v>768</v>
      </c>
      <c r="C112">
        <v>150</v>
      </c>
      <c r="D112">
        <v>0.442818517984921</v>
      </c>
      <c r="E112">
        <v>128.39918536540449</v>
      </c>
      <c r="F112">
        <v>54.046417339654582</v>
      </c>
      <c r="G112">
        <v>70.587039794071501</v>
      </c>
      <c r="H112">
        <v>66.00928528160641</v>
      </c>
      <c r="J112">
        <v>51.224956998452484</v>
      </c>
      <c r="L112">
        <v>3.0369537206470523</v>
      </c>
      <c r="M112">
        <v>14.648009013636363</v>
      </c>
      <c r="N112">
        <v>2.0968763586871191</v>
      </c>
      <c r="O112">
        <v>17.65466994648024</v>
      </c>
      <c r="P112">
        <v>8.0127203019052295</v>
      </c>
      <c r="R112">
        <v>11.869774998450312</v>
      </c>
      <c r="S112">
        <v>35.429477106028969</v>
      </c>
      <c r="U112">
        <v>3.2908304790217637</v>
      </c>
      <c r="V112">
        <v>43.97498936073589</v>
      </c>
      <c r="W112">
        <v>27.122320028314306</v>
      </c>
      <c r="X112">
        <v>45.368053542086038</v>
      </c>
      <c r="Y112">
        <v>4.623973073646849</v>
      </c>
      <c r="Z112">
        <v>28.902088778793999</v>
      </c>
      <c r="AA112">
        <v>2.2102854011837625</v>
      </c>
      <c r="AB112">
        <v>33.973456610826148</v>
      </c>
      <c r="AD112">
        <v>6.0033718586272995</v>
      </c>
      <c r="AE112">
        <v>13.594449266034532</v>
      </c>
      <c r="AF112">
        <v>14.2613119485301</v>
      </c>
      <c r="AG112">
        <v>19.683725271394309</v>
      </c>
      <c r="AH112">
        <v>1.2299672101032666</v>
      </c>
      <c r="AI112">
        <v>2.0324396165174528</v>
      </c>
      <c r="AK112">
        <v>45.872455035233983</v>
      </c>
    </row>
    <row r="113" spans="1:37" x14ac:dyDescent="0.2">
      <c r="A113">
        <v>112</v>
      </c>
      <c r="B113">
        <v>767</v>
      </c>
      <c r="C113">
        <v>150</v>
      </c>
      <c r="D113">
        <v>0.44221554583473799</v>
      </c>
      <c r="E113">
        <v>128.21674569294709</v>
      </c>
      <c r="F113">
        <v>53.228642871233333</v>
      </c>
      <c r="G113">
        <v>70.442591427544883</v>
      </c>
      <c r="H113">
        <v>65.862249647125424</v>
      </c>
      <c r="J113">
        <v>51.053571075744372</v>
      </c>
      <c r="L113">
        <v>2.8162311359170236</v>
      </c>
      <c r="M113">
        <v>14.650319606496344</v>
      </c>
      <c r="N113">
        <v>2.0988548549516639</v>
      </c>
      <c r="O113">
        <v>16.738932124337062</v>
      </c>
      <c r="P113">
        <v>7.7471589998827053</v>
      </c>
      <c r="R113">
        <v>11.564701195975005</v>
      </c>
      <c r="S113">
        <v>35.05191496543496</v>
      </c>
      <c r="U113">
        <v>3.2618138301207784</v>
      </c>
      <c r="V113">
        <v>43.978032771344708</v>
      </c>
      <c r="W113">
        <v>26.905215586302216</v>
      </c>
      <c r="X113">
        <v>45.326805931663046</v>
      </c>
      <c r="Y113">
        <v>4.3762144426953249</v>
      </c>
      <c r="Z113">
        <v>28.46382211395483</v>
      </c>
      <c r="AA113">
        <v>1.9809444578528055</v>
      </c>
      <c r="AB113">
        <v>33.872454742961871</v>
      </c>
      <c r="AD113">
        <v>5.7399132637933459</v>
      </c>
      <c r="AE113">
        <v>13.427208293439358</v>
      </c>
      <c r="AF113">
        <v>14.262488499235316</v>
      </c>
      <c r="AG113">
        <v>19.567873837508792</v>
      </c>
      <c r="AH113">
        <v>0.86009873979328955</v>
      </c>
      <c r="AI113">
        <v>2.0341456654940777</v>
      </c>
      <c r="AK113">
        <v>45.761058072243934</v>
      </c>
    </row>
    <row r="114" spans="1:37" x14ac:dyDescent="0.2">
      <c r="A114">
        <v>113</v>
      </c>
      <c r="B114">
        <v>766</v>
      </c>
      <c r="C114">
        <v>150</v>
      </c>
      <c r="D114">
        <v>0.44161141317423203</v>
      </c>
      <c r="E114">
        <v>128.03477675204877</v>
      </c>
      <c r="F114">
        <v>52.407103361779527</v>
      </c>
      <c r="G114">
        <v>70.296768885644795</v>
      </c>
      <c r="H114">
        <v>65.713852653552024</v>
      </c>
      <c r="J114">
        <v>50.876979790049809</v>
      </c>
      <c r="L114">
        <v>2.5924708668079219</v>
      </c>
      <c r="M114">
        <v>14.653237031670844</v>
      </c>
      <c r="N114">
        <v>2.1008328648538321</v>
      </c>
      <c r="O114">
        <v>15.815051912518509</v>
      </c>
      <c r="P114">
        <v>7.4788563474377989</v>
      </c>
      <c r="R114">
        <v>11.253707470267813</v>
      </c>
      <c r="S114">
        <v>34.660905811781291</v>
      </c>
      <c r="U114">
        <v>3.2348591582046446</v>
      </c>
      <c r="V114">
        <v>43.976380179107082</v>
      </c>
      <c r="W114">
        <v>26.689844184008017</v>
      </c>
      <c r="X114">
        <v>45.291731351885275</v>
      </c>
      <c r="Y114">
        <v>4.1258052357137966</v>
      </c>
      <c r="Z114">
        <v>28.022662619700853</v>
      </c>
      <c r="AA114">
        <v>1.7491348576348538</v>
      </c>
      <c r="AB114">
        <v>33.765168359221498</v>
      </c>
      <c r="AD114">
        <v>5.4740941228238391</v>
      </c>
      <c r="AE114">
        <v>13.259377762362249</v>
      </c>
      <c r="AF114">
        <v>14.264271661896677</v>
      </c>
      <c r="AG114">
        <v>19.445739858704453</v>
      </c>
      <c r="AH114">
        <v>0.48604514929506165</v>
      </c>
      <c r="AI114">
        <v>2.0358504174119325</v>
      </c>
      <c r="AK114">
        <v>45.648052059318054</v>
      </c>
    </row>
    <row r="115" spans="1:37" x14ac:dyDescent="0.2">
      <c r="A115">
        <v>114</v>
      </c>
      <c r="B115">
        <v>765</v>
      </c>
      <c r="C115">
        <v>150</v>
      </c>
      <c r="D115">
        <v>0.44100611664981298</v>
      </c>
      <c r="E115">
        <v>127.85314020837613</v>
      </c>
      <c r="F115">
        <v>51.580207484976555</v>
      </c>
      <c r="G115">
        <v>70.149296204236762</v>
      </c>
      <c r="H115">
        <v>65.563818357151888</v>
      </c>
      <c r="J115">
        <v>50.694071347269521</v>
      </c>
      <c r="L115">
        <v>2.3651477957237619</v>
      </c>
      <c r="M115">
        <v>14.656744447246982</v>
      </c>
      <c r="N115">
        <v>2.102810356556013</v>
      </c>
      <c r="O115">
        <v>14.881151161454847</v>
      </c>
      <c r="P115">
        <v>7.2072604065131021</v>
      </c>
      <c r="R115">
        <v>10.935951147252705</v>
      </c>
      <c r="S115">
        <v>34.254260689848664</v>
      </c>
      <c r="U115">
        <v>3.210094567264878</v>
      </c>
      <c r="V115">
        <v>43.969448031901287</v>
      </c>
      <c r="W115">
        <v>26.476206357054174</v>
      </c>
      <c r="X115">
        <v>45.263205398097739</v>
      </c>
      <c r="Y115">
        <v>3.8721971405757514</v>
      </c>
      <c r="Z115">
        <v>27.577452448552883</v>
      </c>
      <c r="AA115">
        <v>1.5141639199318888</v>
      </c>
      <c r="AB115">
        <v>33.650500568956907</v>
      </c>
      <c r="AD115">
        <v>5.2052333982943191</v>
      </c>
      <c r="AE115">
        <v>13.090470941055802</v>
      </c>
      <c r="AF115">
        <v>14.266644568240222</v>
      </c>
      <c r="AG115">
        <v>19.31622641822516</v>
      </c>
      <c r="AH115">
        <v>0.10697088869548146</v>
      </c>
      <c r="AI115">
        <v>2.037553838598583</v>
      </c>
      <c r="AK115">
        <v>45.532899254113552</v>
      </c>
    </row>
    <row r="116" spans="1:37" x14ac:dyDescent="0.2">
      <c r="A116">
        <v>115</v>
      </c>
      <c r="B116">
        <v>764</v>
      </c>
      <c r="C116">
        <v>150</v>
      </c>
      <c r="D116">
        <v>0.44039965289495597</v>
      </c>
      <c r="E116">
        <v>128.07744230011585</v>
      </c>
      <c r="F116">
        <v>53.280819409277925</v>
      </c>
      <c r="G116">
        <v>70.417755132756156</v>
      </c>
      <c r="H116">
        <v>65.829728527798736</v>
      </c>
      <c r="J116">
        <v>50.365713902734136</v>
      </c>
      <c r="L116">
        <v>2.6122330370275084</v>
      </c>
      <c r="M116">
        <v>14.681456163188765</v>
      </c>
      <c r="N116">
        <v>2.1048118838613514</v>
      </c>
      <c r="O116">
        <v>15.157121189638781</v>
      </c>
      <c r="P116">
        <v>7.7675592518896819</v>
      </c>
      <c r="R116">
        <v>11.442434755544442</v>
      </c>
      <c r="S116">
        <v>34.71084790437645</v>
      </c>
      <c r="U116">
        <v>3.185344499891936</v>
      </c>
      <c r="V116">
        <v>44.109014560698526</v>
      </c>
      <c r="W116">
        <v>26.22691459918342</v>
      </c>
      <c r="X116">
        <v>45.236539549664812</v>
      </c>
      <c r="Y116">
        <v>4.2418740627764819</v>
      </c>
      <c r="Z116">
        <v>28.457416559883697</v>
      </c>
      <c r="AA116">
        <v>1.7104238493246375</v>
      </c>
      <c r="AB116">
        <v>34.023483175363467</v>
      </c>
      <c r="AD116">
        <v>5.7449803708939564</v>
      </c>
      <c r="AE116">
        <v>13.389345135410203</v>
      </c>
      <c r="AF116">
        <v>14.290246087516609</v>
      </c>
      <c r="AG116">
        <v>19.674389878816736</v>
      </c>
      <c r="AI116">
        <v>2.0392804810217711</v>
      </c>
      <c r="AK116">
        <v>45.314112132988065</v>
      </c>
    </row>
    <row r="117" spans="1:37" x14ac:dyDescent="0.2">
      <c r="A117">
        <v>116</v>
      </c>
      <c r="B117">
        <v>763</v>
      </c>
      <c r="C117">
        <v>150</v>
      </c>
      <c r="D117">
        <v>0.43979201853014099</v>
      </c>
      <c r="E117">
        <v>128.22590715419807</v>
      </c>
      <c r="F117">
        <v>53.130847510265355</v>
      </c>
      <c r="G117">
        <v>70.468534462704739</v>
      </c>
      <c r="H117">
        <v>65.877971977474587</v>
      </c>
      <c r="J117">
        <v>46.910604044658626</v>
      </c>
      <c r="L117">
        <v>1.8498059367821953</v>
      </c>
      <c r="M117">
        <v>14.563981555426349</v>
      </c>
      <c r="N117">
        <v>2.1068055364801856</v>
      </c>
      <c r="O117">
        <v>11.068401044270971</v>
      </c>
      <c r="P117">
        <v>7.8924985784567978</v>
      </c>
      <c r="R117">
        <v>10.598155876941206</v>
      </c>
      <c r="S117">
        <v>32.211898183122102</v>
      </c>
      <c r="U117">
        <v>3.2312611853361934</v>
      </c>
      <c r="V117">
        <v>43.938932601713638</v>
      </c>
      <c r="W117">
        <v>25.906953434154619</v>
      </c>
      <c r="X117">
        <v>45.410184576174508</v>
      </c>
      <c r="Y117">
        <v>3.7816589743608118</v>
      </c>
      <c r="Z117">
        <v>27.357688842800378</v>
      </c>
      <c r="AA117">
        <v>0.82259757589884253</v>
      </c>
      <c r="AB117">
        <v>33.10278814247863</v>
      </c>
      <c r="AD117">
        <v>5.185160255602538</v>
      </c>
      <c r="AE117">
        <v>12.642357882829854</v>
      </c>
      <c r="AF117">
        <v>14.171653690865678</v>
      </c>
      <c r="AG117">
        <v>18.738870299991056</v>
      </c>
      <c r="AI117">
        <v>2.0409984325554995</v>
      </c>
      <c r="AK117">
        <v>43.09339430563351</v>
      </c>
    </row>
    <row r="118" spans="1:37" x14ac:dyDescent="0.2">
      <c r="A118">
        <v>117</v>
      </c>
      <c r="B118">
        <v>762</v>
      </c>
      <c r="C118">
        <v>150</v>
      </c>
      <c r="D118">
        <v>0.439183210162781</v>
      </c>
      <c r="E118">
        <v>128.72488568912974</v>
      </c>
      <c r="F118">
        <v>52.585658350984964</v>
      </c>
      <c r="G118">
        <v>70.615501498384702</v>
      </c>
      <c r="H118">
        <v>66.022416030998187</v>
      </c>
      <c r="J118">
        <v>38.817744429721643</v>
      </c>
      <c r="L118">
        <v>1.4601332421248807</v>
      </c>
      <c r="M118">
        <v>14.040547372037629</v>
      </c>
      <c r="N118">
        <v>2.1088186847910078</v>
      </c>
      <c r="O118">
        <v>8.7964600902165788</v>
      </c>
      <c r="P118">
        <v>8.2098403874280503</v>
      </c>
      <c r="R118">
        <v>9.8487481734639584</v>
      </c>
      <c r="S118">
        <v>30.572552553884126</v>
      </c>
      <c r="U118">
        <v>3.3284979450859087</v>
      </c>
      <c r="V118">
        <v>44.210195510269507</v>
      </c>
      <c r="W118">
        <v>25.236713240327717</v>
      </c>
      <c r="X118">
        <v>45.728926996452103</v>
      </c>
      <c r="Y118">
        <v>3.5863025923774798</v>
      </c>
      <c r="Z118">
        <v>24.018305208476075</v>
      </c>
      <c r="AB118">
        <v>30.944523125698396</v>
      </c>
      <c r="AD118">
        <v>3.5844490945893992</v>
      </c>
      <c r="AE118">
        <v>10.510517225202296</v>
      </c>
      <c r="AF118">
        <v>13.647121502253171</v>
      </c>
      <c r="AG118">
        <v>16.565802713307388</v>
      </c>
      <c r="AI118">
        <v>2.0427350617419258</v>
      </c>
      <c r="AK118">
        <v>37.731705271267479</v>
      </c>
    </row>
    <row r="119" spans="1:37" x14ac:dyDescent="0.2">
      <c r="A119">
        <v>118</v>
      </c>
      <c r="B119">
        <v>761</v>
      </c>
      <c r="C119">
        <v>150</v>
      </c>
      <c r="D119">
        <v>0.43857322438717999</v>
      </c>
      <c r="E119">
        <v>129.13336470164583</v>
      </c>
      <c r="F119">
        <v>52.573176847175866</v>
      </c>
      <c r="G119">
        <v>70.7026252971567</v>
      </c>
      <c r="H119">
        <v>66.107029766289131</v>
      </c>
      <c r="J119">
        <v>33.679668471127776</v>
      </c>
      <c r="L119">
        <v>1.4901731011304873</v>
      </c>
      <c r="M119">
        <v>13.43837062571229</v>
      </c>
      <c r="N119">
        <v>2.1108317782600854</v>
      </c>
      <c r="O119">
        <v>8.6238938963571226</v>
      </c>
      <c r="P119">
        <v>8.407503265281548</v>
      </c>
      <c r="R119">
        <v>9.4721772337049419</v>
      </c>
      <c r="S119">
        <v>30.689410295574522</v>
      </c>
      <c r="U119">
        <v>3.3566627765588337</v>
      </c>
      <c r="V119">
        <v>44.904993144431096</v>
      </c>
      <c r="W119">
        <v>24.525919050886934</v>
      </c>
      <c r="X119">
        <v>45.849502107045907</v>
      </c>
      <c r="Y119">
        <v>3.625698021772767</v>
      </c>
      <c r="Z119">
        <v>22.008489729715237</v>
      </c>
      <c r="AB119">
        <v>30.070074952616896</v>
      </c>
      <c r="AD119">
        <v>2.6220557043434285</v>
      </c>
      <c r="AE119">
        <v>9.2719063831861224</v>
      </c>
      <c r="AF119">
        <v>13.043846989359645</v>
      </c>
      <c r="AG119">
        <v>15.676554401627113</v>
      </c>
      <c r="AI119">
        <v>2.0444708162110974</v>
      </c>
      <c r="AK119">
        <v>34.209639342440447</v>
      </c>
    </row>
    <row r="120" spans="1:37" x14ac:dyDescent="0.2">
      <c r="A120">
        <v>119</v>
      </c>
      <c r="B120">
        <v>760</v>
      </c>
      <c r="C120">
        <v>150</v>
      </c>
      <c r="D120">
        <v>0.43796205778444602</v>
      </c>
      <c r="E120">
        <v>129.43657623918637</v>
      </c>
      <c r="F120">
        <v>52.784663151527688</v>
      </c>
      <c r="G120">
        <v>70.747250858945492</v>
      </c>
      <c r="H120">
        <v>66.149158203869789</v>
      </c>
      <c r="J120">
        <v>30.567997411480377</v>
      </c>
      <c r="L120">
        <v>1.5138671091067044</v>
      </c>
      <c r="M120">
        <v>12.905180341418209</v>
      </c>
      <c r="N120">
        <v>2.112839858764449</v>
      </c>
      <c r="O120">
        <v>8.4955642914833298</v>
      </c>
      <c r="P120">
        <v>8.5201722761037502</v>
      </c>
      <c r="R120">
        <v>9.1275617521627233</v>
      </c>
      <c r="S120">
        <v>30.960507639639015</v>
      </c>
      <c r="U120">
        <v>3.3568785715155962</v>
      </c>
      <c r="V120">
        <v>45.583843157310731</v>
      </c>
      <c r="W120">
        <v>23.898909631324056</v>
      </c>
      <c r="X120">
        <v>45.890103026203739</v>
      </c>
      <c r="Y120">
        <v>3.6381317430764755</v>
      </c>
      <c r="Z120">
        <v>20.900069597899385</v>
      </c>
      <c r="AB120">
        <v>29.805497301090814</v>
      </c>
      <c r="AD120">
        <v>2.0795446278666612</v>
      </c>
      <c r="AE120">
        <v>8.5952963003661811</v>
      </c>
      <c r="AF120">
        <v>12.509554224564161</v>
      </c>
      <c r="AG120">
        <v>15.397174090505182</v>
      </c>
      <c r="AI120">
        <v>2.0462007360021977</v>
      </c>
      <c r="AK120">
        <v>32.022518144397225</v>
      </c>
    </row>
    <row r="121" spans="1:37" x14ac:dyDescent="0.2">
      <c r="A121">
        <v>120</v>
      </c>
      <c r="B121">
        <v>759</v>
      </c>
      <c r="C121">
        <v>150</v>
      </c>
      <c r="D121">
        <v>0.43734970692244701</v>
      </c>
      <c r="E121">
        <v>129.67922470367364</v>
      </c>
      <c r="F121">
        <v>53.049137627034845</v>
      </c>
      <c r="G121">
        <v>70.772043564146003</v>
      </c>
      <c r="H121">
        <v>66.171466744771777</v>
      </c>
      <c r="J121">
        <v>28.423735231373836</v>
      </c>
      <c r="L121">
        <v>1.5332235100986655</v>
      </c>
      <c r="M121">
        <v>12.432527014400184</v>
      </c>
      <c r="N121">
        <v>2.1148442676955712</v>
      </c>
      <c r="O121">
        <v>8.3880617025091055</v>
      </c>
      <c r="P121">
        <v>8.593179544491349</v>
      </c>
      <c r="R121">
        <v>8.8118496657210272</v>
      </c>
      <c r="S121">
        <v>31.25367203406504</v>
      </c>
      <c r="U121">
        <v>3.3466958774400961</v>
      </c>
      <c r="V121">
        <v>46.202844058150966</v>
      </c>
      <c r="W121">
        <v>23.337842975428732</v>
      </c>
      <c r="X121">
        <v>45.901119007530966</v>
      </c>
      <c r="Y121">
        <v>3.640548581282725</v>
      </c>
      <c r="Z121">
        <v>20.172935290662767</v>
      </c>
      <c r="AB121">
        <v>29.756078765301339</v>
      </c>
      <c r="AD121">
        <v>1.716773433896267</v>
      </c>
      <c r="AE121">
        <v>8.1522996811308062</v>
      </c>
      <c r="AF121">
        <v>12.035795050052622</v>
      </c>
      <c r="AG121">
        <v>15.332951721353059</v>
      </c>
      <c r="AI121">
        <v>2.0479261606700128</v>
      </c>
      <c r="AK121">
        <v>30.48645197582168</v>
      </c>
    </row>
    <row r="122" spans="1:37" x14ac:dyDescent="0.2">
      <c r="A122">
        <v>121</v>
      </c>
      <c r="B122">
        <v>758</v>
      </c>
      <c r="C122">
        <v>150</v>
      </c>
      <c r="D122">
        <v>0.43673616835572199</v>
      </c>
      <c r="E122">
        <v>129.88311494447677</v>
      </c>
      <c r="F122">
        <v>53.3217686875292</v>
      </c>
      <c r="G122">
        <v>70.786085239192204</v>
      </c>
      <c r="H122">
        <v>66.183037236107722</v>
      </c>
      <c r="J122">
        <v>26.818173294614361</v>
      </c>
      <c r="L122">
        <v>1.549700123180126</v>
      </c>
      <c r="M122">
        <v>12.006017669047298</v>
      </c>
      <c r="N122">
        <v>2.1168460369109003</v>
      </c>
      <c r="O122">
        <v>8.2917325423691874</v>
      </c>
      <c r="P122">
        <v>8.6446897776484395</v>
      </c>
      <c r="R122">
        <v>8.5192679053670659</v>
      </c>
      <c r="S122">
        <v>31.53990156117672</v>
      </c>
      <c r="U122">
        <v>3.331559837630901</v>
      </c>
      <c r="V122">
        <v>46.766836824668772</v>
      </c>
      <c r="W122">
        <v>22.825462695215126</v>
      </c>
      <c r="X122">
        <v>45.898177142138429</v>
      </c>
      <c r="Y122">
        <v>3.638642124022553</v>
      </c>
      <c r="Z122">
        <v>19.639617490860488</v>
      </c>
      <c r="AB122">
        <v>29.798055584615867</v>
      </c>
      <c r="AD122">
        <v>1.4463300436159119</v>
      </c>
      <c r="AE122">
        <v>7.8272276666421776</v>
      </c>
      <c r="AF122">
        <v>11.608177527629927</v>
      </c>
      <c r="AG122">
        <v>15.360124571252449</v>
      </c>
      <c r="AI122">
        <v>2.049648120234028</v>
      </c>
      <c r="AK122">
        <v>29.318326424478723</v>
      </c>
    </row>
    <row r="123" spans="1:37" x14ac:dyDescent="0.2">
      <c r="A123">
        <v>122</v>
      </c>
      <c r="B123">
        <v>757</v>
      </c>
      <c r="C123">
        <v>150</v>
      </c>
      <c r="D123">
        <v>0.436121438625445</v>
      </c>
      <c r="E123">
        <v>130.05995705188067</v>
      </c>
      <c r="F123">
        <v>53.588944680974528</v>
      </c>
      <c r="G123">
        <v>70.793568677196944</v>
      </c>
      <c r="H123">
        <v>66.188062491707242</v>
      </c>
      <c r="J123">
        <v>25.549008782513468</v>
      </c>
      <c r="L123">
        <v>1.564133488456293</v>
      </c>
      <c r="M123">
        <v>11.615032199713234</v>
      </c>
      <c r="N123">
        <v>2.1188458075451209</v>
      </c>
      <c r="O123">
        <v>8.20214069729413</v>
      </c>
      <c r="P123">
        <v>8.6830892254762819</v>
      </c>
      <c r="R123">
        <v>8.2451861263128379</v>
      </c>
      <c r="S123">
        <v>31.812469959938774</v>
      </c>
      <c r="U123">
        <v>3.3136454233727921</v>
      </c>
      <c r="V123">
        <v>47.285233182185785</v>
      </c>
      <c r="W123">
        <v>22.350015368892517</v>
      </c>
      <c r="X123">
        <v>45.887517476686163</v>
      </c>
      <c r="Y123">
        <v>3.6346807034617732</v>
      </c>
      <c r="Z123">
        <v>19.218954202203683</v>
      </c>
      <c r="AB123">
        <v>29.883607855199678</v>
      </c>
      <c r="AD123">
        <v>1.2300827061784512</v>
      </c>
      <c r="AE123">
        <v>7.5704687316827579</v>
      </c>
      <c r="AF123">
        <v>11.216082198359224</v>
      </c>
      <c r="AG123">
        <v>15.430873383378442</v>
      </c>
      <c r="AI123">
        <v>2.0513672539910774</v>
      </c>
      <c r="AK123">
        <v>28.382675578453753</v>
      </c>
    </row>
    <row r="124" spans="1:37" x14ac:dyDescent="0.2">
      <c r="A124">
        <v>123</v>
      </c>
      <c r="B124">
        <v>756</v>
      </c>
      <c r="C124">
        <v>150</v>
      </c>
      <c r="D124">
        <v>0.43550551425934297</v>
      </c>
      <c r="E124">
        <v>130.21671307180068</v>
      </c>
      <c r="F124">
        <v>53.846412676147828</v>
      </c>
      <c r="G124">
        <v>70.796698990484913</v>
      </c>
      <c r="H124">
        <v>66.188747644652366</v>
      </c>
      <c r="J124">
        <v>24.507510518620226</v>
      </c>
      <c r="L124">
        <v>1.5770477881980041</v>
      </c>
      <c r="M124">
        <v>11.252161942386598</v>
      </c>
      <c r="N124">
        <v>2.1208439907610841</v>
      </c>
      <c r="O124">
        <v>8.1169848570538718</v>
      </c>
      <c r="P124">
        <v>8.7127885463921455</v>
      </c>
      <c r="R124">
        <v>7.9861953597761515</v>
      </c>
      <c r="S124">
        <v>32.070501806642596</v>
      </c>
      <c r="U124">
        <v>3.2939900068136274</v>
      </c>
      <c r="V124">
        <v>47.766089392714235</v>
      </c>
      <c r="W124">
        <v>21.903555051144327</v>
      </c>
      <c r="X124">
        <v>45.87211535299258</v>
      </c>
      <c r="Y124">
        <v>3.6297015500543526</v>
      </c>
      <c r="Z124">
        <v>18.870178586865993</v>
      </c>
      <c r="AB124">
        <v>29.991184171757034</v>
      </c>
      <c r="AD124">
        <v>1.0487472839365002</v>
      </c>
      <c r="AE124">
        <v>7.3572296627796128</v>
      </c>
      <c r="AF124">
        <v>10.852100814977577</v>
      </c>
      <c r="AG124">
        <v>15.523647169492738</v>
      </c>
      <c r="AI124">
        <v>2.0530839712654667</v>
      </c>
      <c r="AK124">
        <v>27.605931301852866</v>
      </c>
    </row>
    <row r="125" spans="1:37" x14ac:dyDescent="0.2">
      <c r="A125">
        <v>124</v>
      </c>
      <c r="B125">
        <v>755</v>
      </c>
      <c r="C125">
        <v>150</v>
      </c>
      <c r="D125">
        <v>0.43488839177162902</v>
      </c>
      <c r="E125">
        <v>130.35786319897932</v>
      </c>
      <c r="F125">
        <v>54.09313507719402</v>
      </c>
      <c r="G125">
        <v>70.796756090104793</v>
      </c>
      <c r="H125">
        <v>66.186372626791467</v>
      </c>
      <c r="J125">
        <v>23.629323905019497</v>
      </c>
      <c r="L125">
        <v>1.5887903960527947</v>
      </c>
      <c r="M125">
        <v>10.912142285240641</v>
      </c>
      <c r="N125">
        <v>2.1228408645718502</v>
      </c>
      <c r="O125">
        <v>8.034952089984122</v>
      </c>
      <c r="P125">
        <v>8.7363478631732701</v>
      </c>
      <c r="R125">
        <v>7.739778646534309</v>
      </c>
      <c r="S125">
        <v>32.314787225124867</v>
      </c>
      <c r="U125">
        <v>3.2731534755095155</v>
      </c>
      <c r="V125">
        <v>48.21567257864529</v>
      </c>
      <c r="W125">
        <v>21.480528503648525</v>
      </c>
      <c r="X125">
        <v>45.853576056199799</v>
      </c>
      <c r="Y125">
        <v>3.6242275735818303</v>
      </c>
      <c r="Z125">
        <v>18.57046695035903</v>
      </c>
      <c r="AB125">
        <v>30.109979123147045</v>
      </c>
      <c r="AD125">
        <v>0.89145814573112514</v>
      </c>
      <c r="AE125">
        <v>7.1736721541896804</v>
      </c>
      <c r="AF125">
        <v>10.510969049269013</v>
      </c>
      <c r="AG125">
        <v>15.62764080238116</v>
      </c>
      <c r="AI125">
        <v>2.0547985482314743</v>
      </c>
      <c r="AK125">
        <v>26.944179526219322</v>
      </c>
    </row>
    <row r="126" spans="1:37" x14ac:dyDescent="0.2">
      <c r="A126">
        <v>125</v>
      </c>
      <c r="B126">
        <v>793</v>
      </c>
      <c r="C126">
        <v>125</v>
      </c>
      <c r="D126">
        <v>0.48331895136707098</v>
      </c>
      <c r="E126">
        <v>116.31306266859957</v>
      </c>
      <c r="F126">
        <v>62.536949984119701</v>
      </c>
      <c r="G126">
        <v>72.216022723586633</v>
      </c>
      <c r="H126">
        <v>67.706309888616076</v>
      </c>
      <c r="J126">
        <v>52.044424540801664</v>
      </c>
      <c r="L126">
        <v>5.1934878403674736</v>
      </c>
      <c r="M126">
        <v>15.05127140765952</v>
      </c>
      <c r="N126">
        <v>2.1869948466698261</v>
      </c>
      <c r="O126">
        <v>29.282475734925232</v>
      </c>
      <c r="P126">
        <v>10.688403709786861</v>
      </c>
      <c r="Q126">
        <v>3.4397904744438733E-2</v>
      </c>
      <c r="R126">
        <v>15.865921350212016</v>
      </c>
      <c r="S126">
        <v>41.293388719006785</v>
      </c>
      <c r="U126">
        <v>4.3936019633275407</v>
      </c>
      <c r="V126">
        <v>43.871574416002822</v>
      </c>
      <c r="W126">
        <v>31.808054542126765</v>
      </c>
      <c r="X126">
        <v>45.148959459957339</v>
      </c>
      <c r="Y126">
        <v>6.8813519476086489</v>
      </c>
      <c r="Z126">
        <v>34.016106815581466</v>
      </c>
      <c r="AA126">
        <v>4.5137098331796803</v>
      </c>
      <c r="AB126">
        <v>36.006689603447981</v>
      </c>
      <c r="AC126">
        <v>0.23111060965991048</v>
      </c>
      <c r="AD126">
        <v>8.6164813506968745</v>
      </c>
      <c r="AE126">
        <v>16.109952666701513</v>
      </c>
      <c r="AF126">
        <v>14.909836692893176</v>
      </c>
      <c r="AG126">
        <v>22.33530984411648</v>
      </c>
      <c r="AH126">
        <v>4.2274282601558983</v>
      </c>
      <c r="AI126">
        <v>2.1261615559756608</v>
      </c>
      <c r="AK126">
        <v>45.644942589334285</v>
      </c>
    </row>
    <row r="127" spans="1:37" x14ac:dyDescent="0.2">
      <c r="A127">
        <v>126</v>
      </c>
      <c r="B127">
        <v>792</v>
      </c>
      <c r="C127">
        <v>125</v>
      </c>
      <c r="D127">
        <v>0.48276815471999501</v>
      </c>
      <c r="E127">
        <v>116.21260077639043</v>
      </c>
      <c r="F127">
        <v>62.202593848668698</v>
      </c>
      <c r="G127">
        <v>72.157846394089617</v>
      </c>
      <c r="H127">
        <v>67.645222150674655</v>
      </c>
      <c r="J127">
        <v>51.998256707961517</v>
      </c>
      <c r="L127">
        <v>5.1123727600370508</v>
      </c>
      <c r="M127">
        <v>15.024413249292996</v>
      </c>
      <c r="N127">
        <v>2.1779251761167342</v>
      </c>
      <c r="O127">
        <v>28.876877746084901</v>
      </c>
      <c r="P127">
        <v>10.584148716794259</v>
      </c>
      <c r="R127">
        <v>15.706576823652908</v>
      </c>
      <c r="S127">
        <v>41.032959431711404</v>
      </c>
      <c r="U127">
        <v>4.3482717842228018</v>
      </c>
      <c r="V127">
        <v>43.834906280586686</v>
      </c>
      <c r="W127">
        <v>31.656590913617798</v>
      </c>
      <c r="X127">
        <v>45.062485383669198</v>
      </c>
      <c r="Y127">
        <v>6.7956683092543964</v>
      </c>
      <c r="Z127">
        <v>33.832037127322799</v>
      </c>
      <c r="AA127">
        <v>4.4283713290571107</v>
      </c>
      <c r="AB127">
        <v>35.922102181192322</v>
      </c>
      <c r="AC127">
        <v>0.22004875172067279</v>
      </c>
      <c r="AD127">
        <v>8.5224008473120936</v>
      </c>
      <c r="AE127">
        <v>16.025696213573681</v>
      </c>
      <c r="AF127">
        <v>14.870787694251625</v>
      </c>
      <c r="AG127">
        <v>22.224797949540463</v>
      </c>
      <c r="AH127">
        <v>4.1076799417495931</v>
      </c>
      <c r="AI127">
        <v>2.1168402384152669</v>
      </c>
      <c r="AK127">
        <v>45.640970377099777</v>
      </c>
    </row>
    <row r="128" spans="1:37" x14ac:dyDescent="0.2">
      <c r="A128">
        <v>127</v>
      </c>
      <c r="B128">
        <v>791</v>
      </c>
      <c r="C128">
        <v>125</v>
      </c>
      <c r="D128">
        <v>0.48221632288681698</v>
      </c>
      <c r="E128">
        <v>116.10974269827085</v>
      </c>
      <c r="F128">
        <v>61.802467019927185</v>
      </c>
      <c r="G128">
        <v>72.087183721926166</v>
      </c>
      <c r="H128">
        <v>67.571660391165508</v>
      </c>
      <c r="J128">
        <v>51.962659430963505</v>
      </c>
      <c r="L128">
        <v>5.007200358659782</v>
      </c>
      <c r="M128">
        <v>15.034094582242544</v>
      </c>
      <c r="N128">
        <v>2.1632413203386562</v>
      </c>
      <c r="O128">
        <v>28.361031795809495</v>
      </c>
      <c r="P128">
        <v>10.449313804522102</v>
      </c>
      <c r="R128">
        <v>15.562557322213774</v>
      </c>
      <c r="S128">
        <v>40.899177102924035</v>
      </c>
      <c r="U128">
        <v>4.3308618722253875</v>
      </c>
      <c r="V128">
        <v>43.866231862351064</v>
      </c>
      <c r="W128">
        <v>31.536895830200798</v>
      </c>
      <c r="X128">
        <v>45.069072376208013</v>
      </c>
      <c r="Y128">
        <v>6.6823656667896163</v>
      </c>
      <c r="Z128">
        <v>33.610840488686634</v>
      </c>
      <c r="AA128">
        <v>4.3159829811628301</v>
      </c>
      <c r="AB128">
        <v>35.886658937278966</v>
      </c>
      <c r="AC128">
        <v>0.20337286702831936</v>
      </c>
      <c r="AD128">
        <v>8.4053609202621633</v>
      </c>
      <c r="AE128">
        <v>15.929142998000605</v>
      </c>
      <c r="AF128">
        <v>14.862664140850532</v>
      </c>
      <c r="AG128">
        <v>22.157818367845881</v>
      </c>
      <c r="AH128">
        <v>3.954551164923044</v>
      </c>
      <c r="AI128">
        <v>2.1019039706315121</v>
      </c>
      <c r="AK128">
        <v>45.623526849932112</v>
      </c>
    </row>
    <row r="129" spans="1:37" x14ac:dyDescent="0.2">
      <c r="A129">
        <v>128</v>
      </c>
      <c r="B129">
        <v>790</v>
      </c>
      <c r="C129">
        <v>125</v>
      </c>
      <c r="D129">
        <v>0.48166345294643498</v>
      </c>
      <c r="E129">
        <v>116.00725317889432</v>
      </c>
      <c r="F129">
        <v>61.403341519455388</v>
      </c>
      <c r="G129">
        <v>72.016536541185459</v>
      </c>
      <c r="H129">
        <v>67.49812646363128</v>
      </c>
      <c r="J129">
        <v>51.926980540115061</v>
      </c>
      <c r="L129">
        <v>4.901771805473345</v>
      </c>
      <c r="M129">
        <v>15.043900538442308</v>
      </c>
      <c r="N129">
        <v>2.148555291852067</v>
      </c>
      <c r="O129">
        <v>27.845463220588929</v>
      </c>
      <c r="P129">
        <v>10.314514674264432</v>
      </c>
      <c r="R129">
        <v>15.417946756439747</v>
      </c>
      <c r="S129">
        <v>40.764251686550146</v>
      </c>
      <c r="U129">
        <v>4.3137746476943146</v>
      </c>
      <c r="V129">
        <v>43.896894196305851</v>
      </c>
      <c r="W129">
        <v>31.417596974818956</v>
      </c>
      <c r="X129">
        <v>45.0768177719671</v>
      </c>
      <c r="Y129">
        <v>6.5690469276326873</v>
      </c>
      <c r="Z129">
        <v>33.389989305047656</v>
      </c>
      <c r="AA129">
        <v>4.2035718041324799</v>
      </c>
      <c r="AB129">
        <v>35.850548940963641</v>
      </c>
      <c r="AC129">
        <v>0.18669496766567772</v>
      </c>
      <c r="AD129">
        <v>8.2883907798814835</v>
      </c>
      <c r="AE129">
        <v>15.832805997190064</v>
      </c>
      <c r="AF129">
        <v>14.854663182311684</v>
      </c>
      <c r="AG129">
        <v>22.090172186106713</v>
      </c>
      <c r="AH129">
        <v>3.8013551395780394</v>
      </c>
      <c r="AI129">
        <v>2.0869647633208341</v>
      </c>
      <c r="AK129">
        <v>45.606285051466976</v>
      </c>
    </row>
    <row r="130" spans="1:37" x14ac:dyDescent="0.2">
      <c r="A130">
        <v>129</v>
      </c>
      <c r="B130">
        <v>789</v>
      </c>
      <c r="C130">
        <v>125</v>
      </c>
      <c r="D130">
        <v>0.48110954196676597</v>
      </c>
      <c r="E130">
        <v>115.90513370491894</v>
      </c>
      <c r="F130">
        <v>61.005229512615792</v>
      </c>
      <c r="G130">
        <v>71.945908202009747</v>
      </c>
      <c r="H130">
        <v>67.424623737702618</v>
      </c>
      <c r="J130">
        <v>51.891214317518369</v>
      </c>
      <c r="L130">
        <v>4.796202552463801</v>
      </c>
      <c r="M130">
        <v>15.053827436271007</v>
      </c>
      <c r="N130">
        <v>2.1338674450820165</v>
      </c>
      <c r="O130">
        <v>27.330190341176152</v>
      </c>
      <c r="P130">
        <v>10.179758401386412</v>
      </c>
      <c r="R130">
        <v>15.272756530352641</v>
      </c>
      <c r="S130">
        <v>40.628151659462112</v>
      </c>
      <c r="U130">
        <v>4.2970065840087468</v>
      </c>
      <c r="V130">
        <v>43.926880277608596</v>
      </c>
      <c r="W130">
        <v>31.298694387156853</v>
      </c>
      <c r="X130">
        <v>45.085711427463238</v>
      </c>
      <c r="Y130">
        <v>6.4557180188576382</v>
      </c>
      <c r="Z130">
        <v>33.169486375441814</v>
      </c>
      <c r="AA130">
        <v>4.0911439383508474</v>
      </c>
      <c r="AB130">
        <v>35.813753676287661</v>
      </c>
      <c r="AC130">
        <v>0.17001540762415118</v>
      </c>
      <c r="AD130">
        <v>8.1714949434466035</v>
      </c>
      <c r="AE130">
        <v>15.736683616076128</v>
      </c>
      <c r="AF130">
        <v>14.846781496623288</v>
      </c>
      <c r="AG130">
        <v>22.021841248103918</v>
      </c>
      <c r="AH130">
        <v>3.6481022155317651</v>
      </c>
      <c r="AI130">
        <v>2.0720229690877807</v>
      </c>
      <c r="AK130">
        <v>45.589246870474035</v>
      </c>
    </row>
    <row r="131" spans="1:37" x14ac:dyDescent="0.2">
      <c r="A131">
        <v>130</v>
      </c>
      <c r="B131">
        <v>788</v>
      </c>
      <c r="C131">
        <v>125</v>
      </c>
      <c r="D131">
        <v>0.48055458700466802</v>
      </c>
      <c r="E131">
        <v>115.80338566445411</v>
      </c>
      <c r="F131">
        <v>60.608142970100239</v>
      </c>
      <c r="G131">
        <v>71.875302080556182</v>
      </c>
      <c r="H131">
        <v>67.351155609064634</v>
      </c>
      <c r="J131">
        <v>51.855355387059731</v>
      </c>
      <c r="L131">
        <v>4.690389035068514</v>
      </c>
      <c r="M131">
        <v>15.063871471921098</v>
      </c>
      <c r="N131">
        <v>2.1191781445128872</v>
      </c>
      <c r="O131">
        <v>26.81523162272131</v>
      </c>
      <c r="P131">
        <v>10.045052123398042</v>
      </c>
      <c r="R131">
        <v>15.126998308071546</v>
      </c>
      <c r="S131">
        <v>40.490846783071085</v>
      </c>
      <c r="U131">
        <v>4.2805539679537281</v>
      </c>
      <c r="V131">
        <v>43.956177686777643</v>
      </c>
      <c r="W131">
        <v>31.18018793392995</v>
      </c>
      <c r="X131">
        <v>45.095742633787331</v>
      </c>
      <c r="Y131">
        <v>6.3423849320324317</v>
      </c>
      <c r="Z131">
        <v>32.94933437550565</v>
      </c>
      <c r="AA131">
        <v>3.97870551424726</v>
      </c>
      <c r="AB131">
        <v>35.776255278087518</v>
      </c>
      <c r="AC131">
        <v>0.15333455095424162</v>
      </c>
      <c r="AD131">
        <v>8.0546779167017188</v>
      </c>
      <c r="AE131">
        <v>15.640774163756866</v>
      </c>
      <c r="AF131">
        <v>14.839015649659547</v>
      </c>
      <c r="AG131">
        <v>21.952808058491478</v>
      </c>
      <c r="AH131">
        <v>3.4948027932659218</v>
      </c>
      <c r="AI131">
        <v>2.057078950595649</v>
      </c>
      <c r="AK131">
        <v>45.572414174404074</v>
      </c>
    </row>
    <row r="132" spans="1:37" x14ac:dyDescent="0.2">
      <c r="A132">
        <v>131</v>
      </c>
      <c r="B132">
        <v>787</v>
      </c>
      <c r="C132">
        <v>125</v>
      </c>
      <c r="D132">
        <v>0.479998585105882</v>
      </c>
      <c r="E132">
        <v>115.70201034672084</v>
      </c>
      <c r="F132">
        <v>60.212093647696044</v>
      </c>
      <c r="G132">
        <v>71.804721573523139</v>
      </c>
      <c r="H132">
        <v>67.277725493978608</v>
      </c>
      <c r="J132">
        <v>51.819398715547422</v>
      </c>
      <c r="L132">
        <v>4.5844020440793249</v>
      </c>
      <c r="M132">
        <v>15.074028725040026</v>
      </c>
      <c r="N132">
        <v>2.1044877633157393</v>
      </c>
      <c r="O132">
        <v>26.300605638852655</v>
      </c>
      <c r="P132">
        <v>9.9104030276346045</v>
      </c>
      <c r="R132">
        <v>14.980683988728893</v>
      </c>
      <c r="S132">
        <v>40.352308128259168</v>
      </c>
      <c r="U132">
        <v>4.2644129075430719</v>
      </c>
      <c r="V132">
        <v>43.984774598304746</v>
      </c>
      <c r="W132">
        <v>31.062077313173145</v>
      </c>
      <c r="X132">
        <v>45.106900140565131</v>
      </c>
      <c r="Y132">
        <v>6.2290537127317656</v>
      </c>
      <c r="Z132">
        <v>32.729535848853267</v>
      </c>
      <c r="AA132">
        <v>3.8662626459080056</v>
      </c>
      <c r="AB132">
        <v>35.738036549191285</v>
      </c>
      <c r="AC132">
        <v>0.13665277039231463</v>
      </c>
      <c r="AD132">
        <v>7.9379441862933566</v>
      </c>
      <c r="AE132">
        <v>15.545075853123096</v>
      </c>
      <c r="AF132">
        <v>14.831362099445181</v>
      </c>
      <c r="AG132">
        <v>21.883055798616301</v>
      </c>
      <c r="AH132">
        <v>3.3414673096252825</v>
      </c>
      <c r="AI132">
        <v>2.0421330791926682</v>
      </c>
      <c r="AK132">
        <v>45.555788804328152</v>
      </c>
    </row>
    <row r="133" spans="1:37" x14ac:dyDescent="0.2">
      <c r="A133">
        <v>132</v>
      </c>
      <c r="B133">
        <v>786</v>
      </c>
      <c r="C133">
        <v>125</v>
      </c>
      <c r="D133">
        <v>0.47944153330501299</v>
      </c>
      <c r="E133">
        <v>115.601008941929</v>
      </c>
      <c r="F133">
        <v>59.817093065219431</v>
      </c>
      <c r="G133">
        <v>71.734170092392503</v>
      </c>
      <c r="H133">
        <v>67.204336823525637</v>
      </c>
      <c r="J133">
        <v>51.783339612329236</v>
      </c>
      <c r="L133">
        <v>4.4783070429353504</v>
      </c>
      <c r="M133">
        <v>15.084295165201997</v>
      </c>
      <c r="N133">
        <v>2.0897966817956797</v>
      </c>
      <c r="O133">
        <v>25.78633103339422</v>
      </c>
      <c r="P133">
        <v>9.775818338187193</v>
      </c>
      <c r="R133">
        <v>14.833825680790019</v>
      </c>
      <c r="S133">
        <v>40.212508100891213</v>
      </c>
      <c r="U133">
        <v>4.2485793409137012</v>
      </c>
      <c r="V133">
        <v>44.01265978797268</v>
      </c>
      <c r="W133">
        <v>30.944362059851109</v>
      </c>
      <c r="X133">
        <v>45.119172183073715</v>
      </c>
      <c r="Y133">
        <v>6.1157304493755733</v>
      </c>
      <c r="Z133">
        <v>32.510093197920469</v>
      </c>
      <c r="AA133">
        <v>3.7539065237084071</v>
      </c>
      <c r="AB133">
        <v>35.699080975526314</v>
      </c>
      <c r="AC133">
        <v>0.11997044580901589</v>
      </c>
      <c r="AD133">
        <v>7.8212982117402756</v>
      </c>
      <c r="AE133">
        <v>15.449586800397373</v>
      </c>
      <c r="AF133">
        <v>14.823817201080486</v>
      </c>
      <c r="AG133">
        <v>21.812568340077107</v>
      </c>
      <c r="AH133">
        <v>3.1881062227128707</v>
      </c>
      <c r="AI133">
        <v>2.0271857333613474</v>
      </c>
      <c r="AK133">
        <v>45.539372569440943</v>
      </c>
    </row>
    <row r="134" spans="1:37" x14ac:dyDescent="0.2">
      <c r="A134">
        <v>133</v>
      </c>
      <c r="B134">
        <v>785</v>
      </c>
      <c r="C134">
        <v>125</v>
      </c>
      <c r="D134">
        <v>0.47888342862543298</v>
      </c>
      <c r="E134">
        <v>115.50038254175175</v>
      </c>
      <c r="F134">
        <v>59.423152487920788</v>
      </c>
      <c r="G134">
        <v>71.663651057972373</v>
      </c>
      <c r="H134">
        <v>67.130993038152141</v>
      </c>
      <c r="J134">
        <v>51.747173727372193</v>
      </c>
      <c r="L134">
        <v>4.371992279521157</v>
      </c>
      <c r="M134">
        <v>15.094666657964114</v>
      </c>
      <c r="N134">
        <v>2.0751052859186285</v>
      </c>
      <c r="O134">
        <v>25.272426484194416</v>
      </c>
      <c r="P134">
        <v>9.6413053035205518</v>
      </c>
      <c r="R134">
        <v>14.686435675922846</v>
      </c>
      <c r="S134">
        <v>40.071420459764873</v>
      </c>
      <c r="U134">
        <v>4.233049045146716</v>
      </c>
      <c r="V134">
        <v>44.039822636791548</v>
      </c>
      <c r="W134">
        <v>30.827041551479827</v>
      </c>
      <c r="X134">
        <v>45.132546510041387</v>
      </c>
      <c r="Y134">
        <v>6.002421262648701</v>
      </c>
      <c r="Z134">
        <v>32.291008675638935</v>
      </c>
      <c r="AA134">
        <v>3.6414707629089609</v>
      </c>
      <c r="AB134">
        <v>35.6593727373237</v>
      </c>
      <c r="AC134">
        <v>0.10328796273510403</v>
      </c>
      <c r="AD134">
        <v>7.7047444178894855</v>
      </c>
      <c r="AE134">
        <v>15.354305024912581</v>
      </c>
      <c r="AF134">
        <v>14.816377211318802</v>
      </c>
      <c r="AG134">
        <v>21.741330254451878</v>
      </c>
      <c r="AH134">
        <v>3.0347299975335531</v>
      </c>
      <c r="AI134">
        <v>2.0122372972444253</v>
      </c>
      <c r="AK134">
        <v>45.523167242013002</v>
      </c>
    </row>
    <row r="135" spans="1:37" x14ac:dyDescent="0.2">
      <c r="A135">
        <v>134</v>
      </c>
      <c r="B135">
        <v>784</v>
      </c>
      <c r="C135">
        <v>125</v>
      </c>
      <c r="D135">
        <v>0.47832426807926898</v>
      </c>
      <c r="E135">
        <v>115.40013214008117</v>
      </c>
      <c r="F135">
        <v>59.030282907546685</v>
      </c>
      <c r="G135">
        <v>71.593167894770673</v>
      </c>
      <c r="H135">
        <v>67.057697582039793</v>
      </c>
      <c r="J135">
        <v>51.710897047815408</v>
      </c>
      <c r="L135">
        <v>4.2655317659831633</v>
      </c>
      <c r="M135">
        <v>15.105138971581237</v>
      </c>
      <c r="N135">
        <v>2.0604139656874381</v>
      </c>
      <c r="O135">
        <v>24.758910665292269</v>
      </c>
      <c r="P135">
        <v>9.5068711835898423</v>
      </c>
      <c r="R135">
        <v>14.538526422514453</v>
      </c>
      <c r="S135">
        <v>39.929020330670149</v>
      </c>
      <c r="U135">
        <v>4.2178176459839838</v>
      </c>
      <c r="V135">
        <v>44.066253133494556</v>
      </c>
      <c r="W135">
        <v>30.710115014939909</v>
      </c>
      <c r="X135">
        <v>45.147010412539117</v>
      </c>
      <c r="Y135">
        <v>5.889132294457764</v>
      </c>
      <c r="Z135">
        <v>32.072284376731666</v>
      </c>
      <c r="AA135">
        <v>3.5290485677729668</v>
      </c>
      <c r="AB135">
        <v>35.618896718010369</v>
      </c>
      <c r="AC135">
        <v>8.660571073838827E-2</v>
      </c>
      <c r="AD135">
        <v>7.588287187056312</v>
      </c>
      <c r="AE135">
        <v>15.259228448799695</v>
      </c>
      <c r="AF135">
        <v>14.809038293662699</v>
      </c>
      <c r="AG135">
        <v>21.66932682056985</v>
      </c>
      <c r="AH135">
        <v>2.8813490911194584</v>
      </c>
      <c r="AI135">
        <v>1.9972881590198293</v>
      </c>
      <c r="AK135">
        <v>45.507174552002077</v>
      </c>
    </row>
    <row r="136" spans="1:37" x14ac:dyDescent="0.2">
      <c r="A136">
        <v>135</v>
      </c>
      <c r="B136">
        <v>783</v>
      </c>
      <c r="C136">
        <v>125</v>
      </c>
      <c r="D136">
        <v>0.47776404866733202</v>
      </c>
      <c r="E136">
        <v>115.30025863422853</v>
      </c>
      <c r="F136">
        <v>58.63849502516301</v>
      </c>
      <c r="G136">
        <v>71.522724025576068</v>
      </c>
      <c r="H136">
        <v>66.984453897689164</v>
      </c>
      <c r="J136">
        <v>51.674505892972405</v>
      </c>
      <c r="L136">
        <v>4.1589342726687644</v>
      </c>
      <c r="M136">
        <v>15.115707783472836</v>
      </c>
      <c r="N136">
        <v>2.0457231135530605</v>
      </c>
      <c r="O136">
        <v>24.245802210566456</v>
      </c>
      <c r="P136">
        <v>9.3725232374165763</v>
      </c>
      <c r="R136">
        <v>14.390110498898455</v>
      </c>
      <c r="S136">
        <v>39.785284213666628</v>
      </c>
      <c r="U136">
        <v>4.2028806276150084</v>
      </c>
      <c r="V136">
        <v>44.091941874096001</v>
      </c>
      <c r="W136">
        <v>30.593581533562091</v>
      </c>
      <c r="X136">
        <v>45.162550754621208</v>
      </c>
      <c r="Y136">
        <v>5.7758696972752048</v>
      </c>
      <c r="Z136">
        <v>31.853922229579805</v>
      </c>
      <c r="AA136">
        <v>3.4166459553889945</v>
      </c>
      <c r="AB136">
        <v>35.577638509551825</v>
      </c>
      <c r="AC136">
        <v>6.9924081833844243E-2</v>
      </c>
      <c r="AD136">
        <v>7.4719308514962739</v>
      </c>
      <c r="AE136">
        <v>15.164354896832608</v>
      </c>
      <c r="AF136">
        <v>14.801796523237119</v>
      </c>
      <c r="AG136">
        <v>21.596544028262652</v>
      </c>
      <c r="AH136">
        <v>2.727973938175146</v>
      </c>
      <c r="AI136">
        <v>1.9823387093140483</v>
      </c>
      <c r="AK136">
        <v>45.491396181895482</v>
      </c>
    </row>
    <row r="137" spans="1:37" x14ac:dyDescent="0.2">
      <c r="A137">
        <v>136</v>
      </c>
      <c r="B137">
        <v>782</v>
      </c>
      <c r="C137">
        <v>125</v>
      </c>
      <c r="D137">
        <v>0.47720276737904699</v>
      </c>
      <c r="E137">
        <v>115.20076282648267</v>
      </c>
      <c r="F137">
        <v>58.247799235002091</v>
      </c>
      <c r="G137">
        <v>71.452322866156408</v>
      </c>
      <c r="H137">
        <v>66.911265420616317</v>
      </c>
      <c r="J137">
        <v>51.63799690784284</v>
      </c>
      <c r="L137">
        <v>4.0522087120471912</v>
      </c>
      <c r="M137">
        <v>15.126368686709199</v>
      </c>
      <c r="N137">
        <v>2.0310331227875231</v>
      </c>
      <c r="O137">
        <v>23.733119677904817</v>
      </c>
      <c r="P137">
        <v>9.2382687108601225</v>
      </c>
      <c r="R137">
        <v>14.24120058641263</v>
      </c>
      <c r="S137">
        <v>39.640189984733176</v>
      </c>
      <c r="U137">
        <v>4.1882333427644109</v>
      </c>
      <c r="V137">
        <v>44.116880059129386</v>
      </c>
      <c r="W137">
        <v>30.477440054770433</v>
      </c>
      <c r="X137">
        <v>45.179154004162733</v>
      </c>
      <c r="Y137">
        <v>5.6626396236272649</v>
      </c>
      <c r="Z137">
        <v>31.635923988330898</v>
      </c>
      <c r="AA137">
        <v>3.3042688969644076</v>
      </c>
      <c r="AB137">
        <v>35.535584414744349</v>
      </c>
      <c r="AC137">
        <v>5.324346885764128E-2</v>
      </c>
      <c r="AD137">
        <v>7.3556796860131204</v>
      </c>
      <c r="AE137">
        <v>15.069682096317294</v>
      </c>
      <c r="AF137">
        <v>14.794647891651588</v>
      </c>
      <c r="AG137">
        <v>21.522968579031339</v>
      </c>
      <c r="AH137">
        <v>2.574614936963294</v>
      </c>
      <c r="AI137">
        <v>1.9673893395729047</v>
      </c>
      <c r="AK137">
        <v>45.475833761581306</v>
      </c>
    </row>
    <row r="138" spans="1:37" x14ac:dyDescent="0.2">
      <c r="A138">
        <v>137</v>
      </c>
      <c r="B138">
        <v>781</v>
      </c>
      <c r="C138">
        <v>125</v>
      </c>
      <c r="D138">
        <v>0.476640421192431</v>
      </c>
      <c r="E138">
        <v>115.1016454260842</v>
      </c>
      <c r="F138">
        <v>57.858205609403271</v>
      </c>
      <c r="G138">
        <v>71.381967820073655</v>
      </c>
      <c r="H138">
        <v>66.838135574169627</v>
      </c>
      <c r="J138">
        <v>51.601367055251352</v>
      </c>
      <c r="L138">
        <v>3.9453640527243299</v>
      </c>
      <c r="M138">
        <v>15.137117196586093</v>
      </c>
      <c r="N138">
        <v>2.0163443858241985</v>
      </c>
      <c r="O138">
        <v>23.220881513874332</v>
      </c>
      <c r="P138">
        <v>9.1041148245868655</v>
      </c>
      <c r="R138">
        <v>14.091809442515258</v>
      </c>
      <c r="S138">
        <v>39.49371689221082</v>
      </c>
      <c r="U138">
        <v>4.1738710230782914</v>
      </c>
      <c r="V138">
        <v>44.141059488793516</v>
      </c>
      <c r="W138">
        <v>30.361689398343664</v>
      </c>
      <c r="X138">
        <v>45.196806264432922</v>
      </c>
      <c r="Y138">
        <v>5.5494482157395666</v>
      </c>
      <c r="Z138">
        <v>31.418291225193464</v>
      </c>
      <c r="AA138">
        <v>3.191923312032479</v>
      </c>
      <c r="AB138">
        <v>35.492721446566584</v>
      </c>
      <c r="AC138">
        <v>3.6564263807292774E-2</v>
      </c>
      <c r="AD138">
        <v>7.2395379007022651</v>
      </c>
      <c r="AE138">
        <v>14.975207676975407</v>
      </c>
      <c r="AF138">
        <v>14.787588311913638</v>
      </c>
      <c r="AG138">
        <v>21.448587883737449</v>
      </c>
      <c r="AH138">
        <v>2.4212824354643172</v>
      </c>
      <c r="AI138">
        <v>1.9524404404040283</v>
      </c>
      <c r="AK138">
        <v>45.460488863274541</v>
      </c>
    </row>
    <row r="139" spans="1:37" x14ac:dyDescent="0.2">
      <c r="A139">
        <v>138</v>
      </c>
      <c r="B139">
        <v>780</v>
      </c>
      <c r="C139">
        <v>125</v>
      </c>
      <c r="D139">
        <v>0.47607700707401701</v>
      </c>
      <c r="E139">
        <v>115.00290705157458</v>
      </c>
      <c r="F139">
        <v>57.469723884728459</v>
      </c>
      <c r="G139">
        <v>71.311662273600078</v>
      </c>
      <c r="H139">
        <v>66.765067764445519</v>
      </c>
      <c r="J139">
        <v>51.564613606621684</v>
      </c>
      <c r="L139">
        <v>3.8384660633938545</v>
      </c>
      <c r="M139">
        <v>15.147948757350553</v>
      </c>
      <c r="N139">
        <v>2.0016572925623306</v>
      </c>
      <c r="O139">
        <v>22.709106018747597</v>
      </c>
      <c r="P139">
        <v>8.9700687622061075</v>
      </c>
      <c r="R139">
        <v>13.941949874073607</v>
      </c>
      <c r="S139">
        <v>39.345845548416669</v>
      </c>
      <c r="U139">
        <v>4.1597887898904933</v>
      </c>
      <c r="V139">
        <v>44.164472556250473</v>
      </c>
      <c r="W139">
        <v>30.246328265337496</v>
      </c>
      <c r="X139">
        <v>45.215493307450856</v>
      </c>
      <c r="Y139">
        <v>5.4363015953024068</v>
      </c>
      <c r="Z139">
        <v>31.201025322792738</v>
      </c>
      <c r="AA139">
        <v>3.0796983339941582</v>
      </c>
      <c r="AB139">
        <v>35.449037324725253</v>
      </c>
      <c r="AC139">
        <v>1.9886856145019186E-2</v>
      </c>
      <c r="AD139">
        <v>7.1235096337641046</v>
      </c>
      <c r="AE139">
        <v>14.880929170771967</v>
      </c>
      <c r="AF139">
        <v>14.780613623460967</v>
      </c>
      <c r="AG139">
        <v>21.373390057451367</v>
      </c>
      <c r="AH139">
        <v>2.2679867177435713</v>
      </c>
      <c r="AI139">
        <v>1.937492399879525</v>
      </c>
      <c r="AK139">
        <v>45.44536299648518</v>
      </c>
    </row>
    <row r="140" spans="1:37" x14ac:dyDescent="0.2">
      <c r="A140">
        <v>139</v>
      </c>
      <c r="B140">
        <v>779</v>
      </c>
      <c r="C140">
        <v>125</v>
      </c>
      <c r="D140">
        <v>0.475512521978807</v>
      </c>
      <c r="E140">
        <v>114.90454823343913</v>
      </c>
      <c r="F140">
        <v>57.082363448962525</v>
      </c>
      <c r="G140">
        <v>71.24140959094845</v>
      </c>
      <c r="H140">
        <v>66.692065375518126</v>
      </c>
      <c r="J140">
        <v>51.52773413133918</v>
      </c>
      <c r="L140">
        <v>3.7314070116846705</v>
      </c>
      <c r="M140">
        <v>15.158858748394639</v>
      </c>
      <c r="N140">
        <v>1.9869722287086977</v>
      </c>
      <c r="O140">
        <v>22.197811313617386</v>
      </c>
      <c r="P140">
        <v>8.8361376590732217</v>
      </c>
      <c r="R140">
        <v>13.791634710661585</v>
      </c>
      <c r="S140">
        <v>39.196557914689564</v>
      </c>
      <c r="U140">
        <v>4.1459816647422256</v>
      </c>
      <c r="V140">
        <v>44.187112238048549</v>
      </c>
      <c r="W140">
        <v>30.131355247110349</v>
      </c>
      <c r="X140">
        <v>45.235200605714297</v>
      </c>
      <c r="Y140">
        <v>5.3232058538026035</v>
      </c>
      <c r="Z140">
        <v>30.984127467226561</v>
      </c>
      <c r="AA140">
        <v>2.9674301278239801</v>
      </c>
      <c r="AB140">
        <v>35.404520468867922</v>
      </c>
      <c r="AC140">
        <v>3.2116311406924329E-3</v>
      </c>
      <c r="AD140">
        <v>7.0075989447917042</v>
      </c>
      <c r="AE140">
        <v>14.786844011893496</v>
      </c>
      <c r="AF140">
        <v>14.773719596695832</v>
      </c>
      <c r="AG140">
        <v>21.297363911012699</v>
      </c>
      <c r="AH140">
        <v>2.1147379911123307</v>
      </c>
      <c r="AI140">
        <v>1.9225456018779867</v>
      </c>
      <c r="AK140">
        <v>45.430457603150145</v>
      </c>
    </row>
    <row r="141" spans="1:37" x14ac:dyDescent="0.2">
      <c r="A141">
        <v>140</v>
      </c>
      <c r="B141">
        <v>778</v>
      </c>
      <c r="C141">
        <v>125</v>
      </c>
      <c r="D141">
        <v>0.47494696285021398</v>
      </c>
      <c r="E141">
        <v>114.7427522128135</v>
      </c>
      <c r="F141">
        <v>56.370542812413959</v>
      </c>
      <c r="G141">
        <v>71.115444935588485</v>
      </c>
      <c r="H141">
        <v>66.563363590756282</v>
      </c>
      <c r="J141">
        <v>51.388157581235454</v>
      </c>
      <c r="L141">
        <v>3.5398314523343943</v>
      </c>
      <c r="M141">
        <v>15.162017398672752</v>
      </c>
      <c r="N141">
        <v>1.9853897454441913</v>
      </c>
      <c r="O141">
        <v>21.382367401234362</v>
      </c>
      <c r="P141">
        <v>8.6038924145911722</v>
      </c>
      <c r="R141">
        <v>13.525356638275509</v>
      </c>
      <c r="S141">
        <v>38.872438811904914</v>
      </c>
      <c r="U141">
        <v>4.1196436665095586</v>
      </c>
      <c r="V141">
        <v>44.194801254094095</v>
      </c>
      <c r="W141">
        <v>29.93423506976081</v>
      </c>
      <c r="X141">
        <v>45.205918864772244</v>
      </c>
      <c r="Y141">
        <v>5.1093621119191877</v>
      </c>
      <c r="Z141">
        <v>30.598590920972825</v>
      </c>
      <c r="AA141">
        <v>2.7678872114122353</v>
      </c>
      <c r="AB141">
        <v>35.31573664919015</v>
      </c>
      <c r="AD141">
        <v>6.7818894504596434</v>
      </c>
      <c r="AE141">
        <v>14.636097606719707</v>
      </c>
      <c r="AF141">
        <v>14.772177017068234</v>
      </c>
      <c r="AG141">
        <v>21.190175771297234</v>
      </c>
      <c r="AH141">
        <v>1.7992783222268149</v>
      </c>
      <c r="AI141">
        <v>1.9207005957524679</v>
      </c>
      <c r="AK141">
        <v>45.342920842773374</v>
      </c>
    </row>
    <row r="142" spans="1:37" x14ac:dyDescent="0.2">
      <c r="A142">
        <v>141</v>
      </c>
      <c r="B142">
        <v>777</v>
      </c>
      <c r="C142">
        <v>125</v>
      </c>
      <c r="D142">
        <v>0.47438032662001101</v>
      </c>
      <c r="E142">
        <v>114.56422529792381</v>
      </c>
      <c r="F142">
        <v>55.568876152710473</v>
      </c>
      <c r="G142">
        <v>70.973477396061156</v>
      </c>
      <c r="H142">
        <v>66.418671518638234</v>
      </c>
      <c r="J142">
        <v>51.217361902854549</v>
      </c>
      <c r="L142">
        <v>3.3233163190007433</v>
      </c>
      <c r="M142">
        <v>15.163515616891079</v>
      </c>
      <c r="N142">
        <v>1.9873722339416959</v>
      </c>
      <c r="O142">
        <v>20.479353107299147</v>
      </c>
      <c r="P142">
        <v>8.3432136183545538</v>
      </c>
      <c r="R142">
        <v>13.223522593295653</v>
      </c>
      <c r="S142">
        <v>38.491534826933304</v>
      </c>
      <c r="U142">
        <v>4.0914285769656402</v>
      </c>
      <c r="V142">
        <v>44.195076990355801</v>
      </c>
      <c r="W142">
        <v>29.716167944075298</v>
      </c>
      <c r="X142">
        <v>45.167896588839561</v>
      </c>
      <c r="Y142">
        <v>4.8664964326253486</v>
      </c>
      <c r="Z142">
        <v>30.165782973787895</v>
      </c>
      <c r="AA142">
        <v>2.5430443588521228</v>
      </c>
      <c r="AB142">
        <v>35.210610641189923</v>
      </c>
      <c r="AD142">
        <v>6.5249215488448531</v>
      </c>
      <c r="AE142">
        <v>14.469839439474862</v>
      </c>
      <c r="AF142">
        <v>14.772539189783133</v>
      </c>
      <c r="AG142">
        <v>21.070212810494287</v>
      </c>
      <c r="AH142">
        <v>1.4370762470611445</v>
      </c>
      <c r="AI142">
        <v>1.9224197708470852</v>
      </c>
      <c r="AK142">
        <v>45.234811416846796</v>
      </c>
    </row>
    <row r="143" spans="1:37" x14ac:dyDescent="0.2">
      <c r="A143">
        <v>142</v>
      </c>
      <c r="B143">
        <v>776</v>
      </c>
      <c r="C143">
        <v>125</v>
      </c>
      <c r="D143">
        <v>0.47381261020826598</v>
      </c>
      <c r="E143">
        <v>114.38628948152964</v>
      </c>
      <c r="F143">
        <v>54.76480812634825</v>
      </c>
      <c r="G143">
        <v>70.83042797396331</v>
      </c>
      <c r="H143">
        <v>66.272910180734925</v>
      </c>
      <c r="J143">
        <v>51.042250117226999</v>
      </c>
      <c r="L143">
        <v>3.1043323518326469</v>
      </c>
      <c r="M143">
        <v>15.165518729457737</v>
      </c>
      <c r="N143">
        <v>1.9893542728270459</v>
      </c>
      <c r="O143">
        <v>19.570026232873506</v>
      </c>
      <c r="P143">
        <v>8.0803778735794385</v>
      </c>
      <c r="R143">
        <v>12.916686234013826</v>
      </c>
      <c r="S143">
        <v>38.098793651439202</v>
      </c>
      <c r="U143">
        <v>4.0650477779004897</v>
      </c>
      <c r="V143">
        <v>44.191124215919352</v>
      </c>
      <c r="W143">
        <v>29.499747551392289</v>
      </c>
      <c r="X143">
        <v>45.135401506174233</v>
      </c>
      <c r="Y143">
        <v>4.6215453561267985</v>
      </c>
      <c r="Z143">
        <v>29.73085886358459</v>
      </c>
      <c r="AA143">
        <v>2.3162611066858299</v>
      </c>
      <c r="AB143">
        <v>35.099879722890748</v>
      </c>
      <c r="AD143">
        <v>6.2660741320185176</v>
      </c>
      <c r="AE143">
        <v>14.303237990028576</v>
      </c>
      <c r="AF143">
        <v>14.773406025214793</v>
      </c>
      <c r="AG143">
        <v>20.944646890787457</v>
      </c>
      <c r="AH143">
        <v>1.071522946943724</v>
      </c>
      <c r="AI143">
        <v>1.9241377039578564</v>
      </c>
      <c r="AK143">
        <v>45.125541199440235</v>
      </c>
    </row>
    <row r="144" spans="1:37" x14ac:dyDescent="0.2">
      <c r="A144">
        <v>143</v>
      </c>
      <c r="B144">
        <v>775</v>
      </c>
      <c r="C144">
        <v>125</v>
      </c>
      <c r="D144">
        <v>0.473243810523307</v>
      </c>
      <c r="E144">
        <v>114.20884274115474</v>
      </c>
      <c r="F144">
        <v>53.957152435020959</v>
      </c>
      <c r="G144">
        <v>70.686093037499234</v>
      </c>
      <c r="H144">
        <v>66.125875965265209</v>
      </c>
      <c r="J144">
        <v>50.861983014429221</v>
      </c>
      <c r="L144">
        <v>2.8824947478895155</v>
      </c>
      <c r="M144">
        <v>15.168008422919421</v>
      </c>
      <c r="N144">
        <v>1.9913358386107722</v>
      </c>
      <c r="O144">
        <v>18.652993093914482</v>
      </c>
      <c r="P144">
        <v>7.8149779146438894</v>
      </c>
      <c r="R144">
        <v>12.604230561325984</v>
      </c>
      <c r="S144">
        <v>37.692554493032993</v>
      </c>
      <c r="U144">
        <v>4.040592788106057</v>
      </c>
      <c r="V144">
        <v>44.182501201014048</v>
      </c>
      <c r="W144">
        <v>29.284970232476415</v>
      </c>
      <c r="X144">
        <v>45.108702732315471</v>
      </c>
      <c r="Y144">
        <v>4.374103363344255</v>
      </c>
      <c r="Z144">
        <v>29.292951606694494</v>
      </c>
      <c r="AA144">
        <v>2.0869791394556816</v>
      </c>
      <c r="AB144">
        <v>34.982705989143653</v>
      </c>
      <c r="AD144">
        <v>6.0048606605087347</v>
      </c>
      <c r="AE144">
        <v>14.135921918206501</v>
      </c>
      <c r="AF144">
        <v>14.774759191771709</v>
      </c>
      <c r="AG144">
        <v>20.8126400890905</v>
      </c>
      <c r="AH144">
        <v>0.70200329598605404</v>
      </c>
      <c r="AI144">
        <v>1.9258543697653807</v>
      </c>
      <c r="AK144">
        <v>45.014706303426166</v>
      </c>
    </row>
    <row r="145" spans="1:37" x14ac:dyDescent="0.2">
      <c r="A145">
        <v>144</v>
      </c>
      <c r="B145">
        <v>774</v>
      </c>
      <c r="C145">
        <v>125</v>
      </c>
      <c r="D145">
        <v>0.47267392446163797</v>
      </c>
      <c r="E145">
        <v>114.03175275063226</v>
      </c>
      <c r="F145">
        <v>53.14436521107698</v>
      </c>
      <c r="G145">
        <v>70.540206650007747</v>
      </c>
      <c r="H145">
        <v>65.977302955618356</v>
      </c>
      <c r="J145">
        <v>50.675482111275805</v>
      </c>
      <c r="L145">
        <v>2.6572957643046284</v>
      </c>
      <c r="M145">
        <v>15.170957688035314</v>
      </c>
      <c r="N145">
        <v>1.9933169021977764</v>
      </c>
      <c r="O145">
        <v>17.726439865449823</v>
      </c>
      <c r="P145">
        <v>7.5464818606443842</v>
      </c>
      <c r="R145">
        <v>12.285331414672488</v>
      </c>
      <c r="S145">
        <v>37.270709483472551</v>
      </c>
      <c r="U145">
        <v>4.0181825314022994</v>
      </c>
      <c r="V145">
        <v>44.168651468374833</v>
      </c>
      <c r="W145">
        <v>29.071830344300011</v>
      </c>
      <c r="X145">
        <v>45.088148329619699</v>
      </c>
      <c r="Y145">
        <v>4.1236417599315933</v>
      </c>
      <c r="Z145">
        <v>28.850933658962489</v>
      </c>
      <c r="AA145">
        <v>1.8547659125055651</v>
      </c>
      <c r="AB145">
        <v>34.858029214295165</v>
      </c>
      <c r="AD145">
        <v>5.740647067799955</v>
      </c>
      <c r="AE145">
        <v>13.967409847595265</v>
      </c>
      <c r="AF145">
        <v>14.776571656481103</v>
      </c>
      <c r="AG145">
        <v>20.673132156224508</v>
      </c>
      <c r="AH145">
        <v>0.32771232548163087</v>
      </c>
      <c r="AI145">
        <v>1.9275697373439278</v>
      </c>
      <c r="AK145">
        <v>44.90178075583848</v>
      </c>
    </row>
    <row r="146" spans="1:37" x14ac:dyDescent="0.2">
      <c r="A146">
        <v>145</v>
      </c>
      <c r="B146">
        <v>773</v>
      </c>
      <c r="C146">
        <v>125</v>
      </c>
      <c r="D146">
        <v>0.472102948907902</v>
      </c>
      <c r="E146">
        <v>114.17949208189934</v>
      </c>
      <c r="F146">
        <v>54.329145953722012</v>
      </c>
      <c r="G146">
        <v>70.725806860804795</v>
      </c>
      <c r="H146">
        <v>66.16022922119987</v>
      </c>
      <c r="J146">
        <v>50.368211010587835</v>
      </c>
      <c r="L146">
        <v>2.8102716230863769</v>
      </c>
      <c r="M146">
        <v>15.191184509276747</v>
      </c>
      <c r="N146">
        <v>1.9953164509368264</v>
      </c>
      <c r="O146">
        <v>17.762527765761128</v>
      </c>
      <c r="P146">
        <v>7.9409848191353625</v>
      </c>
      <c r="R146">
        <v>12.619618579246653</v>
      </c>
      <c r="S146">
        <v>37.526922985253883</v>
      </c>
      <c r="U146">
        <v>3.9971473632447179</v>
      </c>
      <c r="V146">
        <v>44.26654450509222</v>
      </c>
      <c r="W146">
        <v>28.829937418568754</v>
      </c>
      <c r="X146">
        <v>45.07338311216516</v>
      </c>
      <c r="Y146">
        <v>4.3678566692585044</v>
      </c>
      <c r="Z146">
        <v>29.434032345658643</v>
      </c>
      <c r="AA146">
        <v>1.9658727695135021</v>
      </c>
      <c r="AB146">
        <v>35.097627033355252</v>
      </c>
      <c r="AD146">
        <v>6.12316035365102</v>
      </c>
      <c r="AE146">
        <v>14.152303981506966</v>
      </c>
      <c r="AF146">
        <v>14.795680396537035</v>
      </c>
      <c r="AG146">
        <v>20.897919720136379</v>
      </c>
      <c r="AI146">
        <v>1.9293027922110535</v>
      </c>
      <c r="AK146">
        <v>44.704675541644086</v>
      </c>
    </row>
    <row r="147" spans="1:37" x14ac:dyDescent="0.2">
      <c r="A147">
        <v>146</v>
      </c>
      <c r="B147">
        <v>772</v>
      </c>
      <c r="C147">
        <v>125</v>
      </c>
      <c r="D147">
        <v>0.47153088073482102</v>
      </c>
      <c r="E147">
        <v>114.1411924510921</v>
      </c>
      <c r="F147">
        <v>54.342280232134691</v>
      </c>
      <c r="G147">
        <v>70.716283734635226</v>
      </c>
      <c r="H147">
        <v>66.148044846883295</v>
      </c>
      <c r="J147">
        <v>50.106634380930863</v>
      </c>
      <c r="L147">
        <v>2.7332828067791635</v>
      </c>
      <c r="M147">
        <v>15.202475355545859</v>
      </c>
      <c r="N147">
        <v>1.9973047969079196</v>
      </c>
      <c r="O147">
        <v>17.203743798305698</v>
      </c>
      <c r="P147">
        <v>7.9452372533210784</v>
      </c>
      <c r="R147">
        <v>12.5588717098973</v>
      </c>
      <c r="S147">
        <v>37.338011588449255</v>
      </c>
      <c r="U147">
        <v>3.9809043732993512</v>
      </c>
      <c r="V147">
        <v>44.284266967386046</v>
      </c>
      <c r="W147">
        <v>28.607788594513252</v>
      </c>
      <c r="X147">
        <v>45.071833051775727</v>
      </c>
      <c r="Y147">
        <v>4.3162565936918726</v>
      </c>
      <c r="Z147">
        <v>29.404201848624822</v>
      </c>
      <c r="AA147">
        <v>1.8676657075574767</v>
      </c>
      <c r="AB147">
        <v>35.098407629307196</v>
      </c>
      <c r="AD147">
        <v>6.121477892615756</v>
      </c>
      <c r="AE147">
        <v>14.123015608982534</v>
      </c>
      <c r="AF147">
        <v>14.805842198311554</v>
      </c>
      <c r="AG147">
        <v>20.883881281490954</v>
      </c>
      <c r="AI147">
        <v>1.9310238446150758</v>
      </c>
      <c r="AK147">
        <v>44.54621142697718</v>
      </c>
    </row>
    <row r="148" spans="1:37" x14ac:dyDescent="0.2">
      <c r="A148">
        <v>147</v>
      </c>
      <c r="B148">
        <v>771</v>
      </c>
      <c r="C148">
        <v>125</v>
      </c>
      <c r="D148">
        <v>0.47095771680314102</v>
      </c>
      <c r="E148">
        <v>114.37083362109566</v>
      </c>
      <c r="F148">
        <v>54.170977035306812</v>
      </c>
      <c r="G148">
        <v>70.786114948583545</v>
      </c>
      <c r="H148">
        <v>66.215227529919019</v>
      </c>
      <c r="J148">
        <v>45.799269971604808</v>
      </c>
      <c r="L148">
        <v>1.7813895383314302</v>
      </c>
      <c r="M148">
        <v>15.034853729800886</v>
      </c>
      <c r="N148">
        <v>1.9993038117536144</v>
      </c>
      <c r="O148">
        <v>12.205603386341277</v>
      </c>
      <c r="P148">
        <v>8.1082164107055679</v>
      </c>
      <c r="R148">
        <v>11.444291571461886</v>
      </c>
      <c r="S148">
        <v>34.01279052353182</v>
      </c>
      <c r="U148">
        <v>4.063108688168116</v>
      </c>
      <c r="V148">
        <v>43.985836115035468</v>
      </c>
      <c r="W148">
        <v>28.252685131733998</v>
      </c>
      <c r="X148">
        <v>45.350108454059338</v>
      </c>
      <c r="Y148">
        <v>3.7322475395700248</v>
      </c>
      <c r="Z148">
        <v>27.973841671031888</v>
      </c>
      <c r="AA148">
        <v>0.77027031408466429</v>
      </c>
      <c r="AB148">
        <v>33.7791665217947</v>
      </c>
      <c r="AD148">
        <v>5.4819922139943369</v>
      </c>
      <c r="AE148">
        <v>13.13531738913828</v>
      </c>
      <c r="AF148">
        <v>14.637102441803286</v>
      </c>
      <c r="AG148">
        <v>19.5498342371991</v>
      </c>
      <c r="AI148">
        <v>1.9327547643659437</v>
      </c>
      <c r="AK148">
        <v>41.811052056140383</v>
      </c>
    </row>
    <row r="149" spans="1:37" x14ac:dyDescent="0.2">
      <c r="A149">
        <v>148</v>
      </c>
      <c r="B149">
        <v>770</v>
      </c>
      <c r="C149">
        <v>125</v>
      </c>
      <c r="D149">
        <v>0.47038345396155901</v>
      </c>
      <c r="E149">
        <v>114.80841360661984</v>
      </c>
      <c r="F149">
        <v>53.744590608369506</v>
      </c>
      <c r="G149">
        <v>70.906481252912684</v>
      </c>
      <c r="H149">
        <v>66.332958040774585</v>
      </c>
      <c r="J149">
        <v>39.13520077328387</v>
      </c>
      <c r="L149">
        <v>1.4227077580375991</v>
      </c>
      <c r="M149">
        <v>14.585111533816301</v>
      </c>
      <c r="N149">
        <v>2.001315381417375</v>
      </c>
      <c r="O149">
        <v>10.179068576966252</v>
      </c>
      <c r="P149">
        <v>8.3722856995081383</v>
      </c>
      <c r="R149">
        <v>10.742572948969729</v>
      </c>
      <c r="S149">
        <v>32.384244117017779</v>
      </c>
      <c r="U149">
        <v>4.1617724250619066</v>
      </c>
      <c r="V149">
        <v>44.13600101454238</v>
      </c>
      <c r="W149">
        <v>27.649198544044097</v>
      </c>
      <c r="X149">
        <v>45.674296204590554</v>
      </c>
      <c r="Y149">
        <v>3.5363946456046511</v>
      </c>
      <c r="Z149">
        <v>25.183980126961366</v>
      </c>
      <c r="AB149">
        <v>31.853663293296311</v>
      </c>
      <c r="AD149">
        <v>4.1600502708073002</v>
      </c>
      <c r="AE149">
        <v>11.325021485329263</v>
      </c>
      <c r="AF149">
        <v>14.186254920142199</v>
      </c>
      <c r="AG149">
        <v>17.609540061322097</v>
      </c>
      <c r="AI149">
        <v>1.9344974355749769</v>
      </c>
      <c r="AK149">
        <v>37.432603043074842</v>
      </c>
    </row>
    <row r="150" spans="1:37" x14ac:dyDescent="0.2">
      <c r="A150">
        <v>149</v>
      </c>
      <c r="B150">
        <v>769</v>
      </c>
      <c r="C150">
        <v>125</v>
      </c>
      <c r="D150">
        <v>0.46980808904668597</v>
      </c>
      <c r="E150">
        <v>115.20399520215605</v>
      </c>
      <c r="F150">
        <v>53.680144713089284</v>
      </c>
      <c r="G150">
        <v>70.9908658752381</v>
      </c>
      <c r="H150">
        <v>66.414719627311001</v>
      </c>
      <c r="J150">
        <v>34.241457748801125</v>
      </c>
      <c r="L150">
        <v>1.44903622076564</v>
      </c>
      <c r="M150">
        <v>14.029241966224136</v>
      </c>
      <c r="N150">
        <v>2.0033297542226203</v>
      </c>
      <c r="O150">
        <v>10.01109105004519</v>
      </c>
      <c r="P150">
        <v>8.5644018450984625</v>
      </c>
      <c r="R150">
        <v>10.375819250016624</v>
      </c>
      <c r="S150">
        <v>32.356303521080868</v>
      </c>
      <c r="U150">
        <v>4.2023507043114385</v>
      </c>
      <c r="V150">
        <v>44.718787410830529</v>
      </c>
      <c r="W150">
        <v>26.973801318250821</v>
      </c>
      <c r="X150">
        <v>45.831566180286941</v>
      </c>
      <c r="Y150">
        <v>3.573177275037593</v>
      </c>
      <c r="Z150">
        <v>23.173312406102358</v>
      </c>
      <c r="AB150">
        <v>30.860132258828102</v>
      </c>
      <c r="AD150">
        <v>3.205851400785054</v>
      </c>
      <c r="AE150">
        <v>10.06859586108232</v>
      </c>
      <c r="AF150">
        <v>13.629283085710094</v>
      </c>
      <c r="AG150">
        <v>16.601223322857226</v>
      </c>
      <c r="AI150">
        <v>1.9362421047319358</v>
      </c>
      <c r="AK150">
        <v>34.1082995512729</v>
      </c>
    </row>
    <row r="151" spans="1:37" x14ac:dyDescent="0.2">
      <c r="A151">
        <v>150</v>
      </c>
      <c r="B151">
        <v>768</v>
      </c>
      <c r="C151">
        <v>125</v>
      </c>
      <c r="D151">
        <v>0.46923161888296799</v>
      </c>
      <c r="E151">
        <v>115.50959995285169</v>
      </c>
      <c r="F151">
        <v>53.846460883638535</v>
      </c>
      <c r="G151">
        <v>71.03813563556389</v>
      </c>
      <c r="H151">
        <v>66.459379129813769</v>
      </c>
      <c r="J151">
        <v>31.096471589182908</v>
      </c>
      <c r="L151">
        <v>1.4710905709800426</v>
      </c>
      <c r="M151">
        <v>13.513089739597957</v>
      </c>
      <c r="N151">
        <v>2.0053409133500768</v>
      </c>
      <c r="O151">
        <v>9.8764256031091158</v>
      </c>
      <c r="P151">
        <v>8.6822924925356606</v>
      </c>
      <c r="R151">
        <v>10.033899287906511</v>
      </c>
      <c r="S151">
        <v>32.54563274037303</v>
      </c>
      <c r="U151">
        <v>4.2104289873661234</v>
      </c>
      <c r="V151">
        <v>45.347944186027682</v>
      </c>
      <c r="W151">
        <v>26.356230100876004</v>
      </c>
      <c r="X151">
        <v>45.895648971437353</v>
      </c>
      <c r="Y151">
        <v>3.5855623223228368</v>
      </c>
      <c r="Z151">
        <v>21.982021335075181</v>
      </c>
      <c r="AB151">
        <v>30.487192295091067</v>
      </c>
      <c r="AD151">
        <v>2.628133089821715</v>
      </c>
      <c r="AE151">
        <v>9.3342305040162827</v>
      </c>
      <c r="AF151">
        <v>13.112025639695068</v>
      </c>
      <c r="AG151">
        <v>16.21349688736122</v>
      </c>
      <c r="AI151">
        <v>1.9379827531836578</v>
      </c>
      <c r="AK151">
        <v>31.916954471907719</v>
      </c>
    </row>
    <row r="152" spans="1:37" x14ac:dyDescent="0.2">
      <c r="A152">
        <v>151</v>
      </c>
      <c r="B152">
        <v>767</v>
      </c>
      <c r="C152">
        <v>125</v>
      </c>
      <c r="D152">
        <v>0.46865404028265401</v>
      </c>
      <c r="E152">
        <v>115.75691007017522</v>
      </c>
      <c r="F152">
        <v>54.082779896231088</v>
      </c>
      <c r="G152">
        <v>71.065640960956713</v>
      </c>
      <c r="H152">
        <v>66.484286995671482</v>
      </c>
      <c r="J152">
        <v>28.889825296764201</v>
      </c>
      <c r="L152">
        <v>1.489561462814323</v>
      </c>
      <c r="M152">
        <v>13.046613373657541</v>
      </c>
      <c r="N152">
        <v>2.007348910664168</v>
      </c>
      <c r="O152">
        <v>9.7607160722069821</v>
      </c>
      <c r="P152">
        <v>8.7606585697487507</v>
      </c>
      <c r="R152">
        <v>9.717995761308508</v>
      </c>
      <c r="S152">
        <v>32.790489542891365</v>
      </c>
      <c r="U152">
        <v>4.2049645093715649</v>
      </c>
      <c r="V152">
        <v>45.944196015217095</v>
      </c>
      <c r="W152">
        <v>25.795702789564494</v>
      </c>
      <c r="X152">
        <v>45.921080188551755</v>
      </c>
      <c r="Y152">
        <v>3.5877239946356561</v>
      </c>
      <c r="Z152">
        <v>21.186064902588956</v>
      </c>
      <c r="AB152">
        <v>30.365731108724678</v>
      </c>
      <c r="AD152">
        <v>2.2348472243176483</v>
      </c>
      <c r="AE152">
        <v>8.8457503525174754</v>
      </c>
      <c r="AF152">
        <v>12.644441159132116</v>
      </c>
      <c r="AG152">
        <v>16.077248519030686</v>
      </c>
      <c r="AI152">
        <v>1.9397194309605581</v>
      </c>
      <c r="AK152">
        <v>30.349268920773788</v>
      </c>
    </row>
    <row r="153" spans="1:37" x14ac:dyDescent="0.2">
      <c r="A153">
        <v>152</v>
      </c>
      <c r="B153">
        <v>766</v>
      </c>
      <c r="C153">
        <v>125</v>
      </c>
      <c r="D153">
        <v>0.46807535004571499</v>
      </c>
      <c r="E153">
        <v>115.96527516501946</v>
      </c>
      <c r="F153">
        <v>54.337250372866585</v>
      </c>
      <c r="G153">
        <v>71.081884280766388</v>
      </c>
      <c r="H153">
        <v>66.497945674594988</v>
      </c>
      <c r="J153">
        <v>27.228059565045985</v>
      </c>
      <c r="L153">
        <v>1.5054148383758912</v>
      </c>
      <c r="M153">
        <v>12.622104386792369</v>
      </c>
      <c r="N153">
        <v>2.0093544108446935</v>
      </c>
      <c r="O153">
        <v>9.656029702867519</v>
      </c>
      <c r="P153">
        <v>8.8165056221096432</v>
      </c>
      <c r="R153">
        <v>9.4241529669763029</v>
      </c>
      <c r="S153">
        <v>33.044836410308037</v>
      </c>
      <c r="U153">
        <v>4.1928225235831711</v>
      </c>
      <c r="V153">
        <v>46.49714436322185</v>
      </c>
      <c r="W153">
        <v>25.280718856361919</v>
      </c>
      <c r="X153">
        <v>45.927600168289466</v>
      </c>
      <c r="Y153">
        <v>3.5852737175552161</v>
      </c>
      <c r="Z153">
        <v>20.601006638217353</v>
      </c>
      <c r="AB153">
        <v>30.358681791503749</v>
      </c>
      <c r="AD153">
        <v>1.9410673742088449</v>
      </c>
      <c r="AE153">
        <v>8.4870961593064784</v>
      </c>
      <c r="AF153">
        <v>12.218821832549702</v>
      </c>
      <c r="AG153">
        <v>16.05541198003181</v>
      </c>
      <c r="AI153">
        <v>1.9414528009074987</v>
      </c>
      <c r="AK153">
        <v>29.149939079580051</v>
      </c>
    </row>
    <row r="154" spans="1:37" x14ac:dyDescent="0.2">
      <c r="A154">
        <v>153</v>
      </c>
      <c r="B154">
        <v>765</v>
      </c>
      <c r="C154">
        <v>125</v>
      </c>
      <c r="D154">
        <v>0.46749554495978501</v>
      </c>
      <c r="E154">
        <v>116.14599385048871</v>
      </c>
      <c r="F154">
        <v>54.591957510485727</v>
      </c>
      <c r="G154">
        <v>71.091111983260873</v>
      </c>
      <c r="H154">
        <v>66.504601575252394</v>
      </c>
      <c r="J154">
        <v>25.912201805277316</v>
      </c>
      <c r="L154">
        <v>1.5193411151151339</v>
      </c>
      <c r="M154">
        <v>12.231358409862114</v>
      </c>
      <c r="N154">
        <v>2.0113579437599483</v>
      </c>
      <c r="O154">
        <v>9.5582704661537097</v>
      </c>
      <c r="P154">
        <v>8.8583269780758052</v>
      </c>
      <c r="R154">
        <v>9.1484254545414672</v>
      </c>
      <c r="S154">
        <v>33.294351647629178</v>
      </c>
      <c r="U154">
        <v>4.1768994280793041</v>
      </c>
      <c r="V154">
        <v>47.010143926307741</v>
      </c>
      <c r="W154">
        <v>24.801494864453204</v>
      </c>
      <c r="X154">
        <v>45.923534520277187</v>
      </c>
      <c r="Y154">
        <v>3.5805898296130279</v>
      </c>
      <c r="Z154">
        <v>20.141001354714525</v>
      </c>
      <c r="AB154">
        <v>30.409159047026488</v>
      </c>
      <c r="AD154">
        <v>1.7068835562655094</v>
      </c>
      <c r="AE154">
        <v>8.2050156404001271</v>
      </c>
      <c r="AF154">
        <v>11.826963826151506</v>
      </c>
      <c r="AG154">
        <v>16.091102509559885</v>
      </c>
      <c r="AI154">
        <v>1.9431833910579523</v>
      </c>
      <c r="AK154">
        <v>28.187527437033289</v>
      </c>
    </row>
    <row r="155" spans="1:37" x14ac:dyDescent="0.2">
      <c r="A155">
        <v>154</v>
      </c>
      <c r="B155">
        <v>764</v>
      </c>
      <c r="C155">
        <v>125</v>
      </c>
      <c r="D155">
        <v>0.46691462180012799</v>
      </c>
      <c r="E155">
        <v>116.30603501159212</v>
      </c>
      <c r="F155">
        <v>54.840370834720737</v>
      </c>
      <c r="G155">
        <v>71.095638276804152</v>
      </c>
      <c r="H155">
        <v>66.506568926446988</v>
      </c>
      <c r="J155">
        <v>24.832047329824444</v>
      </c>
      <c r="L155">
        <v>1.5318068760367205</v>
      </c>
      <c r="M155">
        <v>11.867939702939086</v>
      </c>
      <c r="N155">
        <v>2.013359883484259</v>
      </c>
      <c r="O155">
        <v>9.4651840296638081</v>
      </c>
      <c r="P155">
        <v>8.8907514505631138</v>
      </c>
      <c r="R155">
        <v>8.8876744149743843</v>
      </c>
      <c r="S155">
        <v>33.534521465983339</v>
      </c>
      <c r="U155">
        <v>4.1586060613993894</v>
      </c>
      <c r="V155">
        <v>47.488589939092336</v>
      </c>
      <c r="W155">
        <v>24.35083222909137</v>
      </c>
      <c r="X155">
        <v>45.912937494262358</v>
      </c>
      <c r="Y155">
        <v>3.5747883969155891</v>
      </c>
      <c r="Z155">
        <v>19.761521242382663</v>
      </c>
      <c r="AB155">
        <v>30.490503777430696</v>
      </c>
      <c r="AD155">
        <v>1.5114351827610406</v>
      </c>
      <c r="AE155">
        <v>7.9720971478883955</v>
      </c>
      <c r="AF155">
        <v>11.46243177956732</v>
      </c>
      <c r="AG155">
        <v>16.157661389575392</v>
      </c>
      <c r="AI155">
        <v>1.9449115736507259</v>
      </c>
      <c r="AK155">
        <v>27.388313280080606</v>
      </c>
    </row>
    <row r="156" spans="1:37" x14ac:dyDescent="0.2">
      <c r="A156">
        <v>155</v>
      </c>
      <c r="B156">
        <v>763</v>
      </c>
      <c r="C156">
        <v>125</v>
      </c>
      <c r="D156">
        <v>0.46633257732954098</v>
      </c>
      <c r="E156">
        <v>116.44996454050802</v>
      </c>
      <c r="F156">
        <v>55.080205250348378</v>
      </c>
      <c r="G156">
        <v>71.096830775704518</v>
      </c>
      <c r="H156">
        <v>66.505215362964947</v>
      </c>
      <c r="J156">
        <v>23.921425134884771</v>
      </c>
      <c r="L156">
        <v>1.5431868608081059</v>
      </c>
      <c r="M156">
        <v>11.527014965776196</v>
      </c>
      <c r="N156">
        <v>2.0153604953463051</v>
      </c>
      <c r="O156">
        <v>9.3754375584303755</v>
      </c>
      <c r="P156">
        <v>8.9165145556908509</v>
      </c>
      <c r="R156">
        <v>8.6394942112601747</v>
      </c>
      <c r="S156">
        <v>33.764225489115397</v>
      </c>
      <c r="U156">
        <v>4.1387100535103469</v>
      </c>
      <c r="V156">
        <v>47.937456925010615</v>
      </c>
      <c r="W156">
        <v>23.923485065597337</v>
      </c>
      <c r="X156">
        <v>45.898014312105069</v>
      </c>
      <c r="Y156">
        <v>3.5684386052820725</v>
      </c>
      <c r="Z156">
        <v>19.437236894863243</v>
      </c>
      <c r="AB156">
        <v>30.588968286173721</v>
      </c>
      <c r="AD156">
        <v>1.3427749846783794</v>
      </c>
      <c r="AE156">
        <v>7.7728203982281361</v>
      </c>
      <c r="AF156">
        <v>11.12039266337913</v>
      </c>
      <c r="AG156">
        <v>16.241341194628792</v>
      </c>
      <c r="AI156">
        <v>1.9466376121785123</v>
      </c>
      <c r="AK156">
        <v>26.70759170817507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CCAD8-8727-4C61-BA0B-42D101C15748}">
  <sheetPr codeName="Sheet15"/>
  <dimension ref="A1:H20"/>
  <sheetViews>
    <sheetView workbookViewId="0"/>
  </sheetViews>
  <sheetFormatPr defaultRowHeight="15" x14ac:dyDescent="0.2"/>
  <cols>
    <col min="1" max="1" width="6.5546875" bestFit="1" customWidth="1"/>
    <col min="2" max="2" width="25.4414062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825.00000000000011</v>
      </c>
      <c r="G1" t="s">
        <v>30</v>
      </c>
      <c r="H1" t="s">
        <v>32</v>
      </c>
    </row>
    <row r="2" spans="1:8" x14ac:dyDescent="0.2">
      <c r="A2" t="s">
        <v>2</v>
      </c>
      <c r="B2">
        <v>75.739999999999995</v>
      </c>
      <c r="D2" t="s">
        <v>22</v>
      </c>
      <c r="E2">
        <v>675</v>
      </c>
      <c r="G2" t="s">
        <v>31</v>
      </c>
      <c r="H2" t="s">
        <v>33</v>
      </c>
    </row>
    <row r="3" spans="1:8" x14ac:dyDescent="0.2">
      <c r="A3" t="s">
        <v>3</v>
      </c>
      <c r="B3">
        <v>0.09</v>
      </c>
      <c r="D3" t="s">
        <v>23</v>
      </c>
      <c r="E3">
        <v>1</v>
      </c>
    </row>
    <row r="4" spans="1:8" x14ac:dyDescent="0.2">
      <c r="A4" t="s">
        <v>4</v>
      </c>
      <c r="B4">
        <v>12.81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0.88180400000000003</v>
      </c>
      <c r="D7" t="s">
        <v>26</v>
      </c>
      <c r="E7">
        <v>25</v>
      </c>
    </row>
    <row r="8" spans="1:8" x14ac:dyDescent="0.2">
      <c r="A8" t="s">
        <v>8</v>
      </c>
      <c r="B8">
        <v>0.01</v>
      </c>
    </row>
    <row r="9" spans="1:8" x14ac:dyDescent="0.2">
      <c r="A9" t="s">
        <v>9</v>
      </c>
      <c r="B9">
        <v>0.11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0.95</v>
      </c>
    </row>
    <row r="13" spans="1:8" x14ac:dyDescent="0.2">
      <c r="A13" t="s">
        <v>13</v>
      </c>
      <c r="B13">
        <v>3.39</v>
      </c>
    </row>
    <row r="14" spans="1:8" x14ac:dyDescent="0.2">
      <c r="A14" t="s">
        <v>14</v>
      </c>
      <c r="B14">
        <v>4.7</v>
      </c>
    </row>
    <row r="15" spans="1:8" x14ac:dyDescent="0.2">
      <c r="A15" t="s">
        <v>15</v>
      </c>
      <c r="B15">
        <v>0.02</v>
      </c>
    </row>
    <row r="16" spans="1:8" x14ac:dyDescent="0.2">
      <c r="A16" t="s">
        <v>16</v>
      </c>
      <c r="B16">
        <v>10.857198440000001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2025-06-12T06:42:14Z</dcterms:created>
  <dcterms:modified xsi:type="dcterms:W3CDTF">2025-06-12T06:43:42Z</dcterms:modified>
</cp:coreProperties>
</file>