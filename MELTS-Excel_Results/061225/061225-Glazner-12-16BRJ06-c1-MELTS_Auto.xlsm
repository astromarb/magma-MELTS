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03ED7F75-DB4B-4FD6-BE58-9E6424B4DA72}" xr6:coauthVersionLast="47" xr6:coauthVersionMax="47" xr10:uidLastSave="{00000000-0000-0000-0000-000000000000}"/>
  <bookViews>
    <workbookView xWindow="28680" yWindow="4920" windowWidth="29040" windowHeight="15720" activeTab="1" xr2:uid="{259C0185-757E-494F-A986-802F0DBC18F9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orthopyroxene" sheetId="13" r:id="rId7"/>
    <sheet name="rhm-oxide" sheetId="12" r:id="rId8"/>
    <sheet name="spinel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B1" i="18"/>
  <c r="C2" i="14"/>
  <c r="C4" i="14"/>
  <c r="C8" i="14"/>
  <c r="C10" i="14"/>
  <c r="F10" i="14"/>
  <c r="H2" i="14"/>
  <c r="H10" i="14"/>
  <c r="C7" i="14"/>
  <c r="C11" i="14"/>
  <c r="D9" i="14"/>
  <c r="E9" i="14"/>
  <c r="F5" i="14"/>
  <c r="G9" i="14"/>
  <c r="D2" i="14"/>
  <c r="D4" i="14"/>
  <c r="D8" i="14"/>
  <c r="D10" i="14"/>
  <c r="F8" i="14"/>
  <c r="G8" i="14"/>
  <c r="C5" i="14"/>
  <c r="D3" i="14"/>
  <c r="E7" i="14"/>
  <c r="F9" i="14"/>
  <c r="G7" i="14"/>
  <c r="H5" i="14"/>
  <c r="E2" i="14"/>
  <c r="E4" i="14"/>
  <c r="E8" i="14"/>
  <c r="E10" i="14"/>
  <c r="F4" i="14"/>
  <c r="G4" i="14"/>
  <c r="G10" i="14"/>
  <c r="H8" i="14"/>
  <c r="C3" i="14"/>
  <c r="D5" i="14"/>
  <c r="D11" i="14"/>
  <c r="E11" i="14"/>
  <c r="F11" i="14"/>
  <c r="G3" i="14"/>
  <c r="H7" i="14"/>
  <c r="F2" i="14"/>
  <c r="H4" i="14"/>
  <c r="C9" i="14"/>
  <c r="D7" i="14"/>
  <c r="E5" i="14"/>
  <c r="F7" i="14"/>
  <c r="G5" i="14"/>
  <c r="G11" i="14"/>
  <c r="H11" i="14"/>
  <c r="G2" i="14"/>
  <c r="F3" i="14"/>
  <c r="H9" i="14"/>
  <c r="E3" i="14"/>
  <c r="B11" i="14"/>
  <c r="B10" i="14"/>
  <c r="B9" i="14"/>
  <c r="B8" i="14"/>
  <c r="B7" i="14"/>
  <c r="B6" i="14"/>
  <c r="B5" i="14"/>
  <c r="B4" i="14"/>
  <c r="B3" i="14"/>
  <c r="B2" i="14"/>
  <c r="H2" i="18" l="1"/>
  <c r="F3" i="18"/>
  <c r="D3" i="18"/>
  <c r="C2" i="18"/>
  <c r="H3" i="18"/>
  <c r="H4" i="18"/>
  <c r="E4" i="18"/>
  <c r="G3" i="18"/>
  <c r="F2" i="18"/>
  <c r="E3" i="18"/>
  <c r="G4" i="18"/>
  <c r="F4" i="18"/>
  <c r="D4" i="18"/>
  <c r="G2" i="18"/>
  <c r="E2" i="18"/>
  <c r="D2" i="18"/>
  <c r="C3" i="18"/>
  <c r="C4" i="18"/>
  <c r="B4" i="18"/>
  <c r="B3" i="18"/>
  <c r="B2" i="18"/>
  <c r="F6" i="18" l="1"/>
  <c r="F7" i="18"/>
  <c r="D6" i="18"/>
  <c r="D7" i="18"/>
  <c r="C6" i="18"/>
  <c r="C7" i="18"/>
  <c r="E6" i="18"/>
  <c r="E7" i="18"/>
  <c r="G6" i="18"/>
  <c r="G7" i="18"/>
  <c r="H7" i="18"/>
  <c r="H6" i="18"/>
  <c r="B6" i="18"/>
  <c r="B7" i="18"/>
  <c r="J6" i="18" l="1"/>
  <c r="B13" i="18" s="1"/>
  <c r="J7" i="18"/>
  <c r="K6" i="18"/>
  <c r="L6" i="18"/>
  <c r="N6" i="18" s="1" a="1"/>
  <c r="K7" i="18" l="1"/>
  <c r="L7" i="18"/>
  <c r="P6" i="18"/>
  <c r="O6" i="18"/>
  <c r="N6" i="18"/>
  <c r="N7" i="18" a="1"/>
  <c r="C9" i="18" l="1"/>
  <c r="D9" i="18"/>
  <c r="E9" i="18"/>
  <c r="F9" i="18"/>
  <c r="G9" i="18"/>
  <c r="H9" i="18"/>
  <c r="C13" i="18"/>
  <c r="B9" i="18"/>
  <c r="P7" i="18"/>
  <c r="O7" i="18"/>
  <c r="N7" i="18"/>
  <c r="C10" i="18" l="1"/>
  <c r="F10" i="18"/>
  <c r="H10" i="18"/>
  <c r="E10" i="18"/>
  <c r="D10" i="18"/>
  <c r="G10" i="18"/>
  <c r="B10" i="18"/>
  <c r="B14" i="18"/>
  <c r="C14" i="18" s="1"/>
</calcChain>
</file>

<file path=xl/sharedStrings.xml><?xml version="1.0" encoding="utf-8"?>
<sst xmlns="http://schemas.openxmlformats.org/spreadsheetml/2006/main" count="707" uniqueCount="152">
  <si>
    <t xml:space="preserve"> </t>
  </si>
  <si>
    <t>061225-Glazner-12-16BRJ06-c1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</si>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</sst>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762</c:v>
                </c:pt>
                <c:pt idx="3">
                  <c:v>771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EC-4CC5-A29C-A10B2D91EC59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736</c:v>
                </c:pt>
                <c:pt idx="1">
                  <c:v>740</c:v>
                </c:pt>
                <c:pt idx="2">
                  <c:v>744</c:v>
                </c:pt>
                <c:pt idx="3">
                  <c:v>748</c:v>
                </c:pt>
                <c:pt idx="4">
                  <c:v>753</c:v>
                </c:pt>
                <c:pt idx="5">
                  <c:v>760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EC-4CC5-A29C-A10B2D91EC59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760</c:v>
                </c:pt>
                <c:pt idx="6">
                  <c:v>768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EC-4CC5-A29C-A10B2D91EC59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EC-4CC5-A29C-A10B2D91EC59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739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EC-4CC5-A29C-A10B2D91EC59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769</c:v>
                </c:pt>
                <c:pt idx="4">
                  <c:v>779</c:v>
                </c:pt>
                <c:pt idx="5">
                  <c:v>791</c:v>
                </c:pt>
                <c:pt idx="6">
                  <c:v>805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6EC-4CC5-A29C-A10B2D91EC59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6EC-4CC5-A29C-A10B2D91EC59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755</c:v>
                </c:pt>
                <c:pt idx="1">
                  <c:v>755</c:v>
                </c:pt>
                <c:pt idx="2">
                  <c:v>758</c:v>
                </c:pt>
                <c:pt idx="3">
                  <c:v>763</c:v>
                </c:pt>
                <c:pt idx="4">
                  <c:v>769</c:v>
                </c:pt>
                <c:pt idx="5">
                  <c:v>776</c:v>
                </c:pt>
                <c:pt idx="6">
                  <c:v>786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6EC-4CC5-A29C-A10B2D91EC59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Phase_Data!$B$10:$H$10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762</c:v>
                </c:pt>
                <c:pt idx="3">
                  <c:v>771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F6EC-4CC5-A29C-A10B2D91E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63520"/>
        <c:axId val="137654400"/>
      </c:scatterChart>
      <c:valAx>
        <c:axId val="13766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37654400"/>
        <c:crosses val="autoZero"/>
        <c:crossBetween val="midCat"/>
      </c:valAx>
      <c:valAx>
        <c:axId val="137654400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3766352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755</c:v>
                </c:pt>
                <c:pt idx="1">
                  <c:v>755</c:v>
                </c:pt>
                <c:pt idx="2">
                  <c:v>758</c:v>
                </c:pt>
                <c:pt idx="3">
                  <c:v>763</c:v>
                </c:pt>
                <c:pt idx="4">
                  <c:v>769</c:v>
                </c:pt>
                <c:pt idx="5">
                  <c:v>776</c:v>
                </c:pt>
                <c:pt idx="6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1ED-9567-84B86E60892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769</c:v>
                </c:pt>
                <c:pt idx="4">
                  <c:v>779</c:v>
                </c:pt>
                <c:pt idx="5">
                  <c:v>791</c:v>
                </c:pt>
                <c:pt idx="6">
                  <c:v>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F1-41ED-9567-84B86E60892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F1-41ED-9567-84B86E608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34288"/>
        <c:axId val="538134768"/>
      </c:scatterChart>
      <c:valAx>
        <c:axId val="5381342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38134768"/>
        <c:crosses val="autoZero"/>
        <c:crossBetween val="midCat"/>
      </c:valAx>
      <c:valAx>
        <c:axId val="5381347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381342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755</c:v>
                </c:pt>
                <c:pt idx="1">
                  <c:v>755</c:v>
                </c:pt>
                <c:pt idx="2">
                  <c:v>758</c:v>
                </c:pt>
                <c:pt idx="3">
                  <c:v>763</c:v>
                </c:pt>
                <c:pt idx="4">
                  <c:v>769</c:v>
                </c:pt>
                <c:pt idx="5">
                  <c:v>776</c:v>
                </c:pt>
                <c:pt idx="6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6-4BD6-A417-83797CA0769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769</c:v>
                </c:pt>
                <c:pt idx="4">
                  <c:v>779</c:v>
                </c:pt>
                <c:pt idx="5">
                  <c:v>791</c:v>
                </c:pt>
                <c:pt idx="6">
                  <c:v>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26-4BD6-A417-83797CA0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818144"/>
        <c:axId val="524815264"/>
      </c:scatterChart>
      <c:valAx>
        <c:axId val="5248181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24815264"/>
        <c:crosses val="autoZero"/>
        <c:crossBetween val="midCat"/>
      </c:valAx>
      <c:valAx>
        <c:axId val="52481526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248181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16</c:v>
                </c:pt>
                <c:pt idx="1">
                  <c:v>12</c:v>
                </c:pt>
                <c:pt idx="2">
                  <c:v>13</c:v>
                </c:pt>
                <c:pt idx="3">
                  <c:v>17</c:v>
                </c:pt>
                <c:pt idx="4">
                  <c:v>21</c:v>
                </c:pt>
                <c:pt idx="5">
                  <c:v>27</c:v>
                </c:pt>
                <c:pt idx="6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6-4A82-80A3-D66409283094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96-4A82-80A3-D66409283094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96-4A82-80A3-D66409283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816704"/>
        <c:axId val="524814304"/>
      </c:scatterChart>
      <c:valAx>
        <c:axId val="5248167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24814304"/>
        <c:crosses val="autoZero"/>
        <c:crossBetween val="midCat"/>
      </c:valAx>
      <c:valAx>
        <c:axId val="5248143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248167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8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15</c:v>
                </c:pt>
                <c:pt idx="6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7B2-B291-8AC81D719498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7.7500000000276827</c:v>
                </c:pt>
                <c:pt idx="1">
                  <c:v>2.7500000000162856</c:v>
                </c:pt>
                <c:pt idx="2">
                  <c:v>2.250000000013415</c:v>
                </c:pt>
                <c:pt idx="3">
                  <c:v>6.2500000000190425</c:v>
                </c:pt>
                <c:pt idx="4">
                  <c:v>14.750000000033197</c:v>
                </c:pt>
                <c:pt idx="5">
                  <c:v>27.750000000055906</c:v>
                </c:pt>
                <c:pt idx="6">
                  <c:v>45.250000000087113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7B2-B291-8AC81D719498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234.72222222221146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1.9097222222357573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62-47B2-B291-8AC81D719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358464"/>
        <c:axId val="1253361344"/>
      </c:scatterChart>
      <c:valAx>
        <c:axId val="12533584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3361344"/>
        <c:crosses val="autoZero"/>
        <c:crossBetween val="midCat"/>
      </c:valAx>
      <c:valAx>
        <c:axId val="12533613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33584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3C76C6-4DB3-4255-B328-5CC7D00D4C25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DCF140-8D47-7E40-3ADD-003DACD1BED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0A21D7-704C-2E59-12D8-8D51E7FD2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9D4D92-425B-F71C-1B72-C4CA4761B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F4C2C3-D336-EB86-592B-7BA9BAD07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CAF3121-73FD-2841-20AC-0E5616B34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2CA0F-620E-4E40-8EE2-0A23A38E30F1}">
  <dimension ref="A1:P14"/>
  <sheetViews>
    <sheetView tabSelected="1" workbookViewId="0"/>
  </sheetViews>
  <sheetFormatPr defaultRowHeight="15" x14ac:dyDescent="0.2"/>
  <sheetData>
    <row r="1" spans="1:16" x14ac:dyDescent="0.2">
      <c r="A1" t="s">
        <v>137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144</v>
      </c>
      <c r="K1" t="s">
        <v>145</v>
      </c>
      <c r="L1" t="s">
        <v>146</v>
      </c>
      <c r="N1" t="s">
        <v>147</v>
      </c>
      <c r="O1" t="s">
        <v>148</v>
      </c>
      <c r="P1" t="s">
        <v>149</v>
      </c>
    </row>
    <row r="2" spans="1:16" x14ac:dyDescent="0.2">
      <c r="A2" t="s">
        <v>96</v>
      </c>
      <c r="B2">
        <f ca="1">IFERROR(VLOOKUP($A2,Phase_Data!$1:$1048576,COLUMN(),0),"-")</f>
        <v>755</v>
      </c>
      <c r="C2">
        <f ca="1">IFERROR(VLOOKUP($A2,Phase_Data!$1:$1048576,COLUMN(),0),"-")</f>
        <v>755</v>
      </c>
      <c r="D2">
        <f ca="1">IFERROR(VLOOKUP($A2,Phase_Data!$1:$1048576,COLUMN(),0),"-")</f>
        <v>758</v>
      </c>
      <c r="E2">
        <f ca="1">IFERROR(VLOOKUP($A2,Phase_Data!$1:$1048576,COLUMN(),0),"-")</f>
        <v>763</v>
      </c>
      <c r="F2">
        <f ca="1">IFERROR(VLOOKUP($A2,Phase_Data!$1:$1048576,COLUMN(),0),"-")</f>
        <v>769</v>
      </c>
      <c r="G2">
        <f ca="1">IFERROR(VLOOKUP($A2,Phase_Data!$1:$1048576,COLUMN(),0),"-")</f>
        <v>776</v>
      </c>
      <c r="H2">
        <f ca="1">IFERROR(VLOOKUP($A2,Phase_Data!$1:$1048576,COLUMN(),0),"-")</f>
        <v>786</v>
      </c>
    </row>
    <row r="3" spans="1:16" x14ac:dyDescent="0.2">
      <c r="A3" t="s">
        <v>135</v>
      </c>
      <c r="B3">
        <f ca="1">IFERROR(VLOOKUP($A3,Phase_Data!$1:$1048576,COLUMN(),0),"-")</f>
        <v>747</v>
      </c>
      <c r="C3">
        <f ca="1">IFERROR(VLOOKUP($A3,Phase_Data!$1:$1048576,COLUMN(),0),"-")</f>
        <v>753</v>
      </c>
      <c r="D3">
        <f ca="1">IFERROR(VLOOKUP($A3,Phase_Data!$1:$1048576,COLUMN(),0),"-")</f>
        <v>761</v>
      </c>
      <c r="E3">
        <f ca="1">IFERROR(VLOOKUP($A3,Phase_Data!$1:$1048576,COLUMN(),0),"-")</f>
        <v>769</v>
      </c>
      <c r="F3">
        <f ca="1">IFERROR(VLOOKUP($A3,Phase_Data!$1:$1048576,COLUMN(),0),"-")</f>
        <v>779</v>
      </c>
      <c r="G3">
        <f ca="1">IFERROR(VLOOKUP($A3,Phase_Data!$1:$1048576,COLUMN(),0),"-")</f>
        <v>791</v>
      </c>
      <c r="H3">
        <f ca="1">IFERROR(VLOOKUP($A3,Phase_Data!$1:$1048576,COLUMN(),0),"-")</f>
        <v>805</v>
      </c>
    </row>
    <row r="4" spans="1:16" x14ac:dyDescent="0.2">
      <c r="A4" t="s">
        <v>136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748</v>
      </c>
      <c r="E4">
        <f ca="1">IFERROR(VLOOKUP($A4,Phase_Data!$1:$1048576,COLUMN(),0),"-")</f>
        <v>752</v>
      </c>
      <c r="F4">
        <f ca="1">IFERROR(VLOOKUP($A4,Phase_Data!$1:$1048576,COLUMN(),0),"-")</f>
        <v>758</v>
      </c>
      <c r="G4">
        <f ca="1">IFERROR(VLOOKUP($A4,Phase_Data!$1:$1048576,COLUMN(),0),"-")</f>
        <v>764</v>
      </c>
      <c r="H4">
        <f ca="1">IFERROR(VLOOKUP($A4,Phase_Data!$1:$1048576,COLUMN(),0),"-")</f>
        <v>773</v>
      </c>
    </row>
    <row r="6" spans="1:16" x14ac:dyDescent="0.2">
      <c r="A6" t="s">
        <v>138</v>
      </c>
      <c r="B6">
        <f ca="1">IF(AND(B2&lt;&gt;0,B3&lt;&gt;0,B4&lt;&gt;0),MAX(B2:B4)-MIN(B2:B4),"-")</f>
        <v>16</v>
      </c>
      <c r="C6">
        <f t="shared" ref="C6:H6" ca="1" si="0">IF(AND(C2&lt;&gt;0,C3&lt;&gt;0,C4&lt;&gt;0),MAX(C2:C4)-MIN(C2:C4),"-")</f>
        <v>12</v>
      </c>
      <c r="D6">
        <f t="shared" ca="1" si="0"/>
        <v>13</v>
      </c>
      <c r="E6">
        <f t="shared" ca="1" si="0"/>
        <v>17</v>
      </c>
      <c r="F6">
        <f t="shared" ca="1" si="0"/>
        <v>21</v>
      </c>
      <c r="G6">
        <f t="shared" ca="1" si="0"/>
        <v>27</v>
      </c>
      <c r="H6">
        <f t="shared" ca="1" si="0"/>
        <v>32</v>
      </c>
      <c r="J6">
        <f ca="1">MIN(B6:H6)</f>
        <v>12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139</v>
      </c>
      <c r="B7">
        <f ca="1">IF(AND(MAX(B2:B4)&lt;&gt;0,LARGE(B2:B4,2)&lt;&gt;0),MAX(B2:B4)-LARGE(B2:B4,2),"-")</f>
        <v>8</v>
      </c>
      <c r="C7">
        <f t="shared" ref="C7:H7" ca="1" si="1">IF(AND(MAX(C2:C4)&lt;&gt;0,LARGE(C2:C4,2)&lt;&gt;0),MAX(C2:C4)-LARGE(C2:C4,2),"-")</f>
        <v>2</v>
      </c>
      <c r="D7">
        <f t="shared" ca="1" si="1"/>
        <v>3</v>
      </c>
      <c r="E7">
        <f t="shared" ca="1" si="1"/>
        <v>6</v>
      </c>
      <c r="F7">
        <f t="shared" ca="1" si="1"/>
        <v>10</v>
      </c>
      <c r="G7">
        <f t="shared" ca="1" si="1"/>
        <v>15</v>
      </c>
      <c r="H7">
        <f t="shared" ca="1" si="1"/>
        <v>19</v>
      </c>
      <c r="J7">
        <f ca="1">MIN(B7:H7)</f>
        <v>2</v>
      </c>
      <c r="K7">
        <f ca="1">IF(J7&lt;=5,INDEX(B$1:H$1,1,MATCH(J7,B7:H7,0)),"-")</f>
        <v>250</v>
      </c>
      <c r="L7">
        <f ca="1">IF(J7&lt;=5,MATCH(J7,B7:H7,0),"-")</f>
        <v>2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200.25000000037107</v>
      </c>
      <c r="O7">
        <f ca="1"/>
        <v>-1.6900000000031241</v>
      </c>
      <c r="P7">
        <f ca="1"/>
        <v>3.60000000000682E-3</v>
      </c>
    </row>
    <row r="9" spans="1:16" x14ac:dyDescent="0.2">
      <c r="A9" t="s">
        <v>140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141</v>
      </c>
      <c r="B10">
        <f ca="1">IFERROR(IF($P7&gt;0,$P7*B$1^2+$O7*B$1+$N7,"-"),"-")</f>
        <v>7.7500000000276827</v>
      </c>
      <c r="C10">
        <f ca="1">IFERROR(IF($P7&gt;0,$P7*C$1^2+$O7*C$1+$N7,"-"),"-")</f>
        <v>2.7500000000162856</v>
      </c>
      <c r="D10">
        <f ca="1">IFERROR(IF($P7&gt;0,$P7*D$1^2+$O7*D$1+$N7,"-"),"-")</f>
        <v>2.250000000013415</v>
      </c>
      <c r="E10">
        <f ca="1">IFERROR(IF($P7&gt;0,$P7*E$1^2+$O7*E$1+$N7,"-"),"-")</f>
        <v>6.2500000000190425</v>
      </c>
      <c r="F10">
        <f ca="1">IFERROR(IF($P7&gt;0,$P7*F$1^2+$O7*F$1+$N7,"-"),"-")</f>
        <v>14.750000000033197</v>
      </c>
      <c r="G10">
        <f ca="1">IFERROR(IF($P7&gt;0,$P7*G$1^2+$O7*G$1+$N7,"-"),"-")</f>
        <v>27.750000000055906</v>
      </c>
      <c r="H10">
        <f ca="1">IFERROR(IF($P7&gt;0,$P7*H$1^2+$O7*H$1+$N7,"-"),"-")</f>
        <v>45.250000000087113</v>
      </c>
    </row>
    <row r="12" spans="1:16" x14ac:dyDescent="0.2">
      <c r="B12" t="s">
        <v>150</v>
      </c>
      <c r="C12" t="s">
        <v>151</v>
      </c>
    </row>
    <row r="13" spans="1:16" x14ac:dyDescent="0.2">
      <c r="A13" t="s">
        <v>142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143</v>
      </c>
      <c r="B14" s="2">
        <f ca="1">IFERROR(IF($J7&lt;=5,IF($P7&gt;0,-$O7/(2*$P7),"-"),"-"),"-")</f>
        <v>234.72222222221146</v>
      </c>
      <c r="C14" s="2">
        <f ca="1">IFERROR(IF($P7&gt;0,$P7*B14^2+$O7*B14+$N7,"-"),"-")</f>
        <v>1.9097222222357573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19E37-AF41-4A84-8342-64574FD6840B}">
  <sheetPr codeName="Sheet2"/>
  <dimension ref="A1:H11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134</v>
      </c>
      <c r="B2">
        <f ca="1">_xlfn.IFNA(INDEX(INDIRECT("'"&amp;$A2&amp;"'!$B:$B"),MATCH(B$1,INDIRECT("'"&amp;$A2&amp;"'!$c:$c"),0)),"")</f>
        <v>756</v>
      </c>
      <c r="C2">
        <f t="shared" ref="C2:H11" ca="1" si="0">_xlfn.IFNA(INDEX(INDIRECT("'"&amp;$A2&amp;"'!$B:$B"),MATCH(C$1,INDIRECT("'"&amp;$A2&amp;"'!$c:$c"),0)),"")</f>
        <v>756</v>
      </c>
      <c r="D2">
        <f t="shared" ca="1" si="0"/>
        <v>762</v>
      </c>
      <c r="E2">
        <f t="shared" ca="1" si="0"/>
        <v>771</v>
      </c>
      <c r="F2">
        <f t="shared" ca="1" si="0"/>
        <v>780</v>
      </c>
      <c r="G2">
        <f t="shared" ca="1" si="0"/>
        <v>792</v>
      </c>
      <c r="H2">
        <f t="shared" ca="1" si="0"/>
        <v>806</v>
      </c>
    </row>
    <row r="3" spans="1:8" x14ac:dyDescent="0.2">
      <c r="A3" t="s">
        <v>94</v>
      </c>
      <c r="B3">
        <f ca="1">_xlfn.IFNA(INDEX(INDIRECT("'"&amp;$A3&amp;"'!$B:$B"),MATCH(B$1,INDIRECT("'"&amp;$A3&amp;"'!$c:$c"),0)),"")</f>
        <v>736</v>
      </c>
      <c r="C3">
        <f t="shared" ca="1" si="0"/>
        <v>740</v>
      </c>
      <c r="D3">
        <f t="shared" ca="1" si="0"/>
        <v>744</v>
      </c>
      <c r="E3">
        <f t="shared" ca="1" si="0"/>
        <v>748</v>
      </c>
      <c r="F3">
        <f t="shared" ca="1" si="0"/>
        <v>753</v>
      </c>
      <c r="G3">
        <f t="shared" ca="1" si="0"/>
        <v>760</v>
      </c>
    </row>
    <row r="4" spans="1:8" x14ac:dyDescent="0.2">
      <c r="A4" t="s">
        <v>97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750</v>
      </c>
      <c r="F4">
        <f t="shared" ca="1" si="0"/>
        <v>755</v>
      </c>
      <c r="G4">
        <f t="shared" ca="1" si="0"/>
        <v>760</v>
      </c>
      <c r="H4">
        <f t="shared" ca="1" si="0"/>
        <v>768</v>
      </c>
    </row>
    <row r="5" spans="1:8" x14ac:dyDescent="0.2">
      <c r="A5" t="s">
        <v>101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747</v>
      </c>
      <c r="E5">
        <f t="shared" ca="1" si="0"/>
        <v>752</v>
      </c>
      <c r="F5">
        <f t="shared" ca="1" si="0"/>
        <v>757</v>
      </c>
      <c r="G5">
        <f t="shared" ca="1" si="0"/>
        <v>764</v>
      </c>
      <c r="H5">
        <f t="shared" ca="1" si="0"/>
        <v>773</v>
      </c>
    </row>
    <row r="6" spans="1:8" x14ac:dyDescent="0.2">
      <c r="A6" t="s">
        <v>88</v>
      </c>
      <c r="B6">
        <f ca="1">_xlfn.IFNA(INDEX(INDIRECT("'"&amp;$A6&amp;"'!$B:$B"),MATCH(B$1,INDIRECT("'"&amp;$A6&amp;"'!$c:$c"),0)),"")</f>
        <v>739</v>
      </c>
    </row>
    <row r="7" spans="1:8" x14ac:dyDescent="0.2">
      <c r="A7" t="s">
        <v>135</v>
      </c>
      <c r="B7">
        <f ca="1">_xlfn.IFNA(INDEX(INDIRECT("'"&amp;$A7&amp;"'!$B:$B"),MATCH(B$1,INDIRECT("'"&amp;$A7&amp;"'!$c:$c"),0)),"")</f>
        <v>747</v>
      </c>
      <c r="C7">
        <f t="shared" ca="1" si="0"/>
        <v>753</v>
      </c>
      <c r="D7">
        <f t="shared" ca="1" si="0"/>
        <v>761</v>
      </c>
      <c r="E7">
        <f t="shared" ca="1" si="0"/>
        <v>769</v>
      </c>
      <c r="F7">
        <f t="shared" ca="1" si="0"/>
        <v>779</v>
      </c>
      <c r="G7">
        <f t="shared" ca="1" si="0"/>
        <v>791</v>
      </c>
      <c r="H7">
        <f t="shared" ca="1" si="0"/>
        <v>805</v>
      </c>
    </row>
    <row r="8" spans="1:8" x14ac:dyDescent="0.2">
      <c r="A8" t="s">
        <v>136</v>
      </c>
      <c r="B8">
        <f ca="1">_xlfn.IFNA(INDEX(INDIRECT("'"&amp;$A8&amp;"'!$B:$B"),MATCH(B$1,INDIRECT("'"&amp;$A8&amp;"'!$c:$c"),0)),"")</f>
        <v>739</v>
      </c>
      <c r="C8">
        <f t="shared" ca="1" si="0"/>
        <v>743</v>
      </c>
      <c r="D8">
        <f t="shared" ca="1" si="0"/>
        <v>748</v>
      </c>
      <c r="E8">
        <f t="shared" ca="1" si="0"/>
        <v>752</v>
      </c>
      <c r="F8">
        <f t="shared" ca="1" si="0"/>
        <v>758</v>
      </c>
      <c r="G8">
        <f t="shared" ca="1" si="0"/>
        <v>764</v>
      </c>
      <c r="H8">
        <f t="shared" ca="1" si="0"/>
        <v>773</v>
      </c>
    </row>
    <row r="9" spans="1:8" x14ac:dyDescent="0.2">
      <c r="A9" t="s">
        <v>96</v>
      </c>
      <c r="B9">
        <f ca="1">_xlfn.IFNA(INDEX(INDIRECT("'"&amp;$A9&amp;"'!$B:$B"),MATCH(B$1,INDIRECT("'"&amp;$A9&amp;"'!$c:$c"),0)),"")</f>
        <v>755</v>
      </c>
      <c r="C9">
        <f t="shared" ca="1" si="0"/>
        <v>755</v>
      </c>
      <c r="D9">
        <f t="shared" ca="1" si="0"/>
        <v>758</v>
      </c>
      <c r="E9">
        <f t="shared" ca="1" si="0"/>
        <v>763</v>
      </c>
      <c r="F9">
        <f t="shared" ca="1" si="0"/>
        <v>769</v>
      </c>
      <c r="G9">
        <f t="shared" ca="1" si="0"/>
        <v>776</v>
      </c>
      <c r="H9">
        <f t="shared" ca="1" si="0"/>
        <v>786</v>
      </c>
    </row>
    <row r="10" spans="1:8" x14ac:dyDescent="0.2">
      <c r="A10" t="s">
        <v>71</v>
      </c>
      <c r="B10">
        <f ca="1">_xlfn.IFNA(INDEX(INDIRECT("'"&amp;$A10&amp;"'!$B:$B"),MATCH(B$1,INDIRECT("'"&amp;$A10&amp;"'!$c:$c"),0)),"")</f>
        <v>756</v>
      </c>
      <c r="C10">
        <f t="shared" ca="1" si="0"/>
        <v>756</v>
      </c>
      <c r="D10">
        <f t="shared" ca="1" si="0"/>
        <v>762</v>
      </c>
      <c r="E10">
        <f t="shared" ca="1" si="0"/>
        <v>771</v>
      </c>
      <c r="F10">
        <f t="shared" ca="1" si="0"/>
        <v>780</v>
      </c>
      <c r="G10">
        <f t="shared" ca="1" si="0"/>
        <v>792</v>
      </c>
      <c r="H10">
        <f t="shared" ca="1" si="0"/>
        <v>806</v>
      </c>
    </row>
    <row r="11" spans="1:8" x14ac:dyDescent="0.2">
      <c r="A11" t="s">
        <v>84</v>
      </c>
      <c r="B11">
        <f ca="1">_xlfn.IFNA(INDEX(INDIRECT("'"&amp;$A11&amp;"'!$B:$B"),MATCH(B$1,INDIRECT("'"&amp;$A11&amp;"'!$c:$c"),0)),"")</f>
        <v>747</v>
      </c>
      <c r="C11">
        <f t="shared" ca="1" si="0"/>
        <v>753</v>
      </c>
      <c r="D11">
        <f t="shared" ca="1" si="0"/>
        <v>761</v>
      </c>
      <c r="E11">
        <f t="shared" ca="1" si="0"/>
        <v>769</v>
      </c>
      <c r="F11">
        <f t="shared" ca="1" si="0"/>
        <v>779</v>
      </c>
      <c r="G11">
        <f t="shared" ca="1" si="0"/>
        <v>791</v>
      </c>
      <c r="H11">
        <f t="shared" ca="1" si="0"/>
        <v>805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63CA-46A8-4148-8F89-B06CCEB7EA74}">
  <sheetPr codeName="Sheet3"/>
  <dimension ref="A1:Q18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756</v>
      </c>
      <c r="C2">
        <v>275</v>
      </c>
      <c r="D2">
        <v>0.30190011174270298</v>
      </c>
      <c r="E2">
        <v>110.823283269366</v>
      </c>
      <c r="F2">
        <v>1.9879590548944499</v>
      </c>
      <c r="G2">
        <v>-1838.1924871517801</v>
      </c>
      <c r="H2">
        <v>-1511.5068392412788</v>
      </c>
      <c r="I2">
        <v>317.434545721863</v>
      </c>
      <c r="J2">
        <v>160.234037058833</v>
      </c>
      <c r="K2">
        <v>55.747266522674998</v>
      </c>
      <c r="L2">
        <v>0.88061215847219776</v>
      </c>
      <c r="M2">
        <v>-0.88044553543836368</v>
      </c>
      <c r="N2">
        <v>49.083729240963699</v>
      </c>
      <c r="O2">
        <v>49.083725053117099</v>
      </c>
      <c r="P2">
        <v>49.083720091229402</v>
      </c>
      <c r="Q2" t="s">
        <v>51</v>
      </c>
    </row>
    <row r="3" spans="1:17" x14ac:dyDescent="0.2">
      <c r="A3">
        <v>2</v>
      </c>
      <c r="B3">
        <v>755</v>
      </c>
      <c r="C3">
        <v>275</v>
      </c>
      <c r="D3">
        <v>0.30115304187132302</v>
      </c>
      <c r="E3">
        <v>110.823315677173</v>
      </c>
      <c r="F3">
        <v>1.9885532747932499</v>
      </c>
      <c r="G3">
        <v>-1837.8756628003262</v>
      </c>
      <c r="H3">
        <v>-1511.6941782432741</v>
      </c>
      <c r="I3">
        <v>317.25293378743498</v>
      </c>
      <c r="J3">
        <v>160.233282876347</v>
      </c>
      <c r="K3">
        <v>55.730624410198402</v>
      </c>
      <c r="L3">
        <v>0.87935846957616937</v>
      </c>
      <c r="M3">
        <v>-0.87919160584014999</v>
      </c>
      <c r="N3">
        <v>48.999193444810501</v>
      </c>
      <c r="O3">
        <v>48.999189204243599</v>
      </c>
      <c r="P3">
        <v>48.999184237372098</v>
      </c>
      <c r="Q3" t="s">
        <v>51</v>
      </c>
    </row>
    <row r="4" spans="1:17" x14ac:dyDescent="0.2">
      <c r="A4">
        <v>3</v>
      </c>
      <c r="B4">
        <v>754</v>
      </c>
      <c r="C4">
        <v>275</v>
      </c>
      <c r="D4">
        <v>0.30040451735384299</v>
      </c>
      <c r="E4">
        <v>110.823350036769</v>
      </c>
      <c r="F4">
        <v>1.9891568447499299</v>
      </c>
      <c r="G4">
        <v>-1837.5590607115118</v>
      </c>
      <c r="H4">
        <v>-1511.892116559615</v>
      </c>
      <c r="I4">
        <v>317.060867180228</v>
      </c>
      <c r="J4">
        <v>160.23545811724401</v>
      </c>
      <c r="K4">
        <v>55.713731337612003</v>
      </c>
      <c r="L4">
        <v>0.87756441388600026</v>
      </c>
      <c r="M4">
        <v>-0.87739717104092396</v>
      </c>
      <c r="N4">
        <v>48.8843665840038</v>
      </c>
      <c r="O4">
        <v>48.8843622869298</v>
      </c>
      <c r="P4">
        <v>48.884357311028097</v>
      </c>
      <c r="Q4" t="s">
        <v>51</v>
      </c>
    </row>
    <row r="5" spans="1:17" x14ac:dyDescent="0.2">
      <c r="A5">
        <v>4</v>
      </c>
      <c r="B5">
        <v>753</v>
      </c>
      <c r="C5">
        <v>275</v>
      </c>
      <c r="D5">
        <v>0.29965453393753799</v>
      </c>
      <c r="E5">
        <v>110.82338452934</v>
      </c>
      <c r="F5">
        <v>1.9897621275353099</v>
      </c>
      <c r="G5">
        <v>-1837.2426528009646</v>
      </c>
      <c r="H5">
        <v>-1512.0898871612349</v>
      </c>
      <c r="I5">
        <v>316.86877885286401</v>
      </c>
      <c r="J5">
        <v>160.23755651016501</v>
      </c>
      <c r="K5">
        <v>55.696800635468499</v>
      </c>
      <c r="L5">
        <v>0.87577985680025372</v>
      </c>
      <c r="M5">
        <v>-0.8756122399476729</v>
      </c>
      <c r="N5">
        <v>48.7700966772192</v>
      </c>
      <c r="O5">
        <v>48.770092323432799</v>
      </c>
      <c r="P5">
        <v>48.770087338692498</v>
      </c>
      <c r="Q5" t="s">
        <v>51</v>
      </c>
    </row>
    <row r="6" spans="1:17" x14ac:dyDescent="0.2">
      <c r="A6">
        <v>5</v>
      </c>
      <c r="B6">
        <v>752</v>
      </c>
      <c r="C6">
        <v>275</v>
      </c>
      <c r="D6">
        <v>0.29890308735307097</v>
      </c>
      <c r="E6">
        <v>110.823419155514</v>
      </c>
      <c r="F6">
        <v>1.9903691135683199</v>
      </c>
      <c r="G6">
        <v>-1836.9264391010543</v>
      </c>
      <c r="H6">
        <v>-1512.2874914718527</v>
      </c>
      <c r="I6">
        <v>316.67666738481398</v>
      </c>
      <c r="J6">
        <v>160.23957765700999</v>
      </c>
      <c r="K6">
        <v>55.679832650151297</v>
      </c>
      <c r="L6">
        <v>0.87400471588308415</v>
      </c>
      <c r="M6">
        <v>-0.87383673010409468</v>
      </c>
      <c r="N6">
        <v>48.6563791552542</v>
      </c>
      <c r="O6">
        <v>48.656374744553702</v>
      </c>
      <c r="P6">
        <v>48.656369751166203</v>
      </c>
      <c r="Q6" t="s">
        <v>51</v>
      </c>
    </row>
    <row r="7" spans="1:17" x14ac:dyDescent="0.2">
      <c r="A7">
        <v>6</v>
      </c>
      <c r="B7">
        <v>751</v>
      </c>
      <c r="C7">
        <v>275</v>
      </c>
      <c r="D7">
        <v>0.29815017331445698</v>
      </c>
      <c r="E7">
        <v>110.823453915889</v>
      </c>
      <c r="F7">
        <v>1.9909777934150299</v>
      </c>
      <c r="G7">
        <v>-1836.6104196450333</v>
      </c>
      <c r="H7">
        <v>-1512.4849308999376</v>
      </c>
      <c r="I7">
        <v>316.48453136575102</v>
      </c>
      <c r="J7">
        <v>160.241521152823</v>
      </c>
      <c r="K7">
        <v>55.662827723356401</v>
      </c>
      <c r="L7">
        <v>0.8722389096055928</v>
      </c>
      <c r="M7">
        <v>-0.87207055996113947</v>
      </c>
      <c r="N7">
        <v>48.543209496330498</v>
      </c>
      <c r="O7">
        <v>48.5432050285184</v>
      </c>
      <c r="P7">
        <v>48.543200026674299</v>
      </c>
      <c r="Q7" t="s">
        <v>51</v>
      </c>
    </row>
    <row r="8" spans="1:17" x14ac:dyDescent="0.2">
      <c r="A8">
        <v>7</v>
      </c>
      <c r="B8">
        <v>750</v>
      </c>
      <c r="C8">
        <v>275</v>
      </c>
      <c r="D8">
        <v>0.29739578751893703</v>
      </c>
      <c r="E8">
        <v>110.823488811174</v>
      </c>
      <c r="F8">
        <v>1.9915881577916801</v>
      </c>
      <c r="G8">
        <v>-1836.2945944693674</v>
      </c>
      <c r="H8">
        <v>-1512.6822068405781</v>
      </c>
      <c r="I8">
        <v>316.29236939604198</v>
      </c>
      <c r="J8">
        <v>160.24338658568499</v>
      </c>
      <c r="K8">
        <v>55.645786192089702</v>
      </c>
      <c r="L8">
        <v>0.8704823573559608</v>
      </c>
      <c r="M8">
        <v>-0.87031364888715057</v>
      </c>
      <c r="N8">
        <v>48.430583226682899</v>
      </c>
      <c r="O8">
        <v>48.430578701565501</v>
      </c>
      <c r="P8">
        <v>48.430573691455201</v>
      </c>
      <c r="Q8" t="s">
        <v>51</v>
      </c>
    </row>
    <row r="9" spans="1:17" x14ac:dyDescent="0.2">
      <c r="A9">
        <v>8</v>
      </c>
      <c r="B9">
        <v>749</v>
      </c>
      <c r="C9">
        <v>275</v>
      </c>
      <c r="D9">
        <v>0.29663992564692099</v>
      </c>
      <c r="E9">
        <v>110.823523841911</v>
      </c>
      <c r="F9">
        <v>1.9922001975579</v>
      </c>
      <c r="G9">
        <v>-1835.9789636092189</v>
      </c>
      <c r="H9">
        <v>-1512.8793206717985</v>
      </c>
      <c r="I9">
        <v>316.100180085999</v>
      </c>
      <c r="J9">
        <v>160.24517353664899</v>
      </c>
      <c r="K9">
        <v>55.628708388726402</v>
      </c>
      <c r="L9">
        <v>0.86873497942013056</v>
      </c>
      <c r="M9">
        <v>-0.86856591714853371</v>
      </c>
      <c r="N9">
        <v>48.318495919560299</v>
      </c>
      <c r="O9">
        <v>48.3184913369481</v>
      </c>
      <c r="P9">
        <v>48.318486318761401</v>
      </c>
      <c r="Q9" t="s">
        <v>51</v>
      </c>
    </row>
    <row r="10" spans="1:17" x14ac:dyDescent="0.2">
      <c r="A10">
        <v>9</v>
      </c>
      <c r="B10">
        <v>748</v>
      </c>
      <c r="C10">
        <v>275</v>
      </c>
      <c r="D10">
        <v>0.29588258336189799</v>
      </c>
      <c r="E10">
        <v>110.82355900875299</v>
      </c>
      <c r="F10">
        <v>1.9928139037214201</v>
      </c>
      <c r="G10">
        <v>-1835.6635271028865</v>
      </c>
      <c r="H10">
        <v>-1513.0762737586449</v>
      </c>
      <c r="I10">
        <v>315.90796205626202</v>
      </c>
      <c r="J10">
        <v>160.246881579845</v>
      </c>
      <c r="K10">
        <v>55.611594641024404</v>
      </c>
      <c r="L10">
        <v>0.86699669697355475</v>
      </c>
      <c r="M10">
        <v>-0.86682728590150748</v>
      </c>
      <c r="N10">
        <v>48.206943194802598</v>
      </c>
      <c r="O10">
        <v>48.206938554509897</v>
      </c>
      <c r="P10">
        <v>48.206933528435997</v>
      </c>
      <c r="Q10" t="s">
        <v>51</v>
      </c>
    </row>
    <row r="11" spans="1:17" x14ac:dyDescent="0.2">
      <c r="A11">
        <v>10</v>
      </c>
      <c r="B11">
        <v>747</v>
      </c>
      <c r="C11">
        <v>275</v>
      </c>
      <c r="D11">
        <v>0.29512375631034898</v>
      </c>
      <c r="E11">
        <v>110.823596613394</v>
      </c>
      <c r="F11">
        <v>1.9907860654576399</v>
      </c>
      <c r="G11">
        <v>-1835.3484695673412</v>
      </c>
      <c r="H11">
        <v>-1513.6156885880498</v>
      </c>
      <c r="I11">
        <v>315.38012830023001</v>
      </c>
      <c r="J11">
        <v>160.29768803329401</v>
      </c>
      <c r="K11">
        <v>55.668260159294199</v>
      </c>
      <c r="L11">
        <v>0.84792907614975699</v>
      </c>
      <c r="M11">
        <v>-0.84775230029474147</v>
      </c>
      <c r="N11">
        <v>47.1942450246638</v>
      </c>
      <c r="O11">
        <v>47.194240160046398</v>
      </c>
      <c r="P11">
        <v>47.194234920013699</v>
      </c>
      <c r="Q11" t="s">
        <v>51</v>
      </c>
    </row>
    <row r="12" spans="1:17" x14ac:dyDescent="0.2">
      <c r="A12">
        <v>11</v>
      </c>
      <c r="B12">
        <v>746</v>
      </c>
      <c r="C12">
        <v>275</v>
      </c>
      <c r="D12">
        <v>0.29436344012167098</v>
      </c>
      <c r="E12">
        <v>110.82363424106801</v>
      </c>
      <c r="F12">
        <v>1.9883300522702101</v>
      </c>
      <c r="G12">
        <v>-1835.0339879292123</v>
      </c>
      <c r="H12">
        <v>-1514.2121579124203</v>
      </c>
      <c r="I12">
        <v>314.79585608762</v>
      </c>
      <c r="J12">
        <v>160.36093697948499</v>
      </c>
      <c r="K12">
        <v>55.737041299825002</v>
      </c>
      <c r="L12">
        <v>0.82596207542515632</v>
      </c>
      <c r="M12">
        <v>-0.82577677934206473</v>
      </c>
      <c r="N12">
        <v>46.027766536372802</v>
      </c>
      <c r="O12">
        <v>46.027761417115997</v>
      </c>
      <c r="P12">
        <v>46.0277559289149</v>
      </c>
      <c r="Q12" t="s">
        <v>51</v>
      </c>
    </row>
    <row r="13" spans="1:17" x14ac:dyDescent="0.2">
      <c r="A13">
        <v>12</v>
      </c>
      <c r="B13">
        <v>745</v>
      </c>
      <c r="C13">
        <v>275</v>
      </c>
      <c r="D13">
        <v>0.29360163040809401</v>
      </c>
      <c r="E13">
        <v>110.823671504885</v>
      </c>
      <c r="F13">
        <v>1.9857863842154799</v>
      </c>
      <c r="G13">
        <v>-1834.7200913380284</v>
      </c>
      <c r="H13">
        <v>-1514.8223479460519</v>
      </c>
      <c r="I13">
        <v>314.19753831724898</v>
      </c>
      <c r="J13">
        <v>160.43063412453199</v>
      </c>
      <c r="K13">
        <v>55.808455726051598</v>
      </c>
      <c r="L13">
        <v>0.80328041043621878</v>
      </c>
      <c r="M13">
        <v>-0.80308633466454105</v>
      </c>
      <c r="N13">
        <v>44.820484761493297</v>
      </c>
      <c r="O13">
        <v>44.820479378262498</v>
      </c>
      <c r="P13">
        <v>44.820473633957498</v>
      </c>
      <c r="Q13" t="s">
        <v>51</v>
      </c>
    </row>
    <row r="14" spans="1:17" x14ac:dyDescent="0.2">
      <c r="A14">
        <v>13</v>
      </c>
      <c r="B14">
        <v>744</v>
      </c>
      <c r="C14">
        <v>275</v>
      </c>
      <c r="D14">
        <v>0.29283832276459099</v>
      </c>
      <c r="E14">
        <v>110.82370833390399</v>
      </c>
      <c r="F14">
        <v>1.98313607582816</v>
      </c>
      <c r="G14">
        <v>-1834.4067942941431</v>
      </c>
      <c r="H14">
        <v>-1515.4497252446527</v>
      </c>
      <c r="I14">
        <v>313.58174050724301</v>
      </c>
      <c r="J14">
        <v>160.50716975543801</v>
      </c>
      <c r="K14">
        <v>55.883057993195898</v>
      </c>
      <c r="L14">
        <v>0.77969762782389795</v>
      </c>
      <c r="M14">
        <v>-0.77949445194618394</v>
      </c>
      <c r="N14">
        <v>43.562077138718898</v>
      </c>
      <c r="O14">
        <v>43.562071480577302</v>
      </c>
      <c r="P14">
        <v>43.562065470402402</v>
      </c>
      <c r="Q14" t="s">
        <v>51</v>
      </c>
    </row>
    <row r="15" spans="1:17" x14ac:dyDescent="0.2">
      <c r="A15">
        <v>14</v>
      </c>
      <c r="B15">
        <v>743</v>
      </c>
      <c r="C15">
        <v>275</v>
      </c>
      <c r="D15">
        <v>0.29207351276878402</v>
      </c>
      <c r="E15">
        <v>110.82374462166599</v>
      </c>
      <c r="F15">
        <v>1.9803498690700401</v>
      </c>
      <c r="G15">
        <v>-1834.0941149514329</v>
      </c>
      <c r="H15">
        <v>-1516.0995380858203</v>
      </c>
      <c r="I15">
        <v>312.94326526198398</v>
      </c>
      <c r="J15">
        <v>160.59109675257901</v>
      </c>
      <c r="K15">
        <v>55.961699673658501</v>
      </c>
      <c r="L15">
        <v>0.75493144459388795</v>
      </c>
      <c r="M15">
        <v>-0.75471875503095698</v>
      </c>
      <c r="N15">
        <v>42.236957708364301</v>
      </c>
      <c r="O15">
        <v>42.2369517619112</v>
      </c>
      <c r="P15">
        <v>42.236945473306903</v>
      </c>
      <c r="Q15" t="s">
        <v>51</v>
      </c>
    </row>
    <row r="16" spans="1:17" x14ac:dyDescent="0.2">
      <c r="A16">
        <v>15</v>
      </c>
      <c r="B16">
        <v>742</v>
      </c>
      <c r="C16">
        <v>275</v>
      </c>
      <c r="D16">
        <v>0.291307195980888</v>
      </c>
      <c r="E16">
        <v>110.82378019470799</v>
      </c>
      <c r="F16">
        <v>1.9773791015517399</v>
      </c>
      <c r="G16">
        <v>-1833.7820770421499</v>
      </c>
      <c r="H16">
        <v>-1516.7803725945262</v>
      </c>
      <c r="I16">
        <v>312.27361294777802</v>
      </c>
      <c r="J16">
        <v>160.68328190255599</v>
      </c>
      <c r="K16">
        <v>56.045793195517703</v>
      </c>
      <c r="L16">
        <v>0.72852060679068276</v>
      </c>
      <c r="M16">
        <v>-0.72829783629279132</v>
      </c>
      <c r="N16">
        <v>40.819717495336803</v>
      </c>
      <c r="O16">
        <v>40.819711243089301</v>
      </c>
      <c r="P16">
        <v>40.819704658891403</v>
      </c>
      <c r="Q16" t="s">
        <v>51</v>
      </c>
    </row>
    <row r="17" spans="1:17" x14ac:dyDescent="0.2">
      <c r="A17">
        <v>16</v>
      </c>
      <c r="B17">
        <v>741</v>
      </c>
      <c r="C17">
        <v>275</v>
      </c>
      <c r="D17">
        <v>0.29053936794360102</v>
      </c>
      <c r="E17">
        <v>110.823814737973</v>
      </c>
      <c r="F17">
        <v>1.9741349062776199</v>
      </c>
      <c r="G17">
        <v>-1833.4707134750929</v>
      </c>
      <c r="H17">
        <v>-1517.5077285865007</v>
      </c>
      <c r="I17">
        <v>311.557443844006</v>
      </c>
      <c r="J17">
        <v>160.78524136282601</v>
      </c>
      <c r="K17">
        <v>56.137913566879803</v>
      </c>
      <c r="L17">
        <v>0.69963414128870016</v>
      </c>
      <c r="M17">
        <v>-0.69940044371033516</v>
      </c>
      <c r="N17">
        <v>39.2646498249484</v>
      </c>
      <c r="O17">
        <v>39.264643241989702</v>
      </c>
      <c r="P17">
        <v>39.264636336679402</v>
      </c>
      <c r="Q17" t="s">
        <v>51</v>
      </c>
    </row>
    <row r="18" spans="1:17" x14ac:dyDescent="0.2">
      <c r="A18">
        <v>17</v>
      </c>
      <c r="B18">
        <v>740</v>
      </c>
      <c r="C18">
        <v>275</v>
      </c>
      <c r="D18">
        <v>0.28977002418201098</v>
      </c>
      <c r="E18">
        <v>110.82384758385901</v>
      </c>
      <c r="F18">
        <v>1.97043154831676</v>
      </c>
      <c r="G18">
        <v>-1833.160073733063</v>
      </c>
      <c r="H18">
        <v>-1518.3138625142485</v>
      </c>
      <c r="I18">
        <v>310.76283878622598</v>
      </c>
      <c r="J18">
        <v>160.900016873992</v>
      </c>
      <c r="K18">
        <v>56.243439503661001</v>
      </c>
      <c r="L18">
        <v>0.66654724286860356</v>
      </c>
      <c r="M18">
        <v>-0.66630119083967132</v>
      </c>
      <c r="N18">
        <v>37.476930400705498</v>
      </c>
      <c r="O18">
        <v>37.476923446580201</v>
      </c>
      <c r="P18">
        <v>37.476916177223202</v>
      </c>
      <c r="Q18" t="s">
        <v>51</v>
      </c>
    </row>
    <row r="19" spans="1:17" x14ac:dyDescent="0.2">
      <c r="A19">
        <v>18</v>
      </c>
      <c r="B19">
        <v>739</v>
      </c>
      <c r="C19">
        <v>275</v>
      </c>
      <c r="D19">
        <v>0.28899916020352701</v>
      </c>
      <c r="E19">
        <v>110.823850358079</v>
      </c>
      <c r="F19">
        <v>1.9574705881241701</v>
      </c>
      <c r="G19">
        <v>-1832.8505688972919</v>
      </c>
      <c r="H19">
        <v>-1521.0180124831181</v>
      </c>
      <c r="I19">
        <v>308.092945411595</v>
      </c>
      <c r="J19">
        <v>161.17527170374501</v>
      </c>
      <c r="K19">
        <v>56.615844462971403</v>
      </c>
      <c r="L19">
        <v>0.53866870984534221</v>
      </c>
      <c r="M19">
        <v>-0.53837973558318752</v>
      </c>
      <c r="N19">
        <v>30.483012104730399</v>
      </c>
      <c r="O19">
        <v>30.483003954942902</v>
      </c>
      <c r="P19">
        <v>30.482995409740202</v>
      </c>
      <c r="Q19" t="s">
        <v>51</v>
      </c>
    </row>
    <row r="20" spans="1:17" x14ac:dyDescent="0.2">
      <c r="A20">
        <v>19</v>
      </c>
      <c r="B20">
        <v>738</v>
      </c>
      <c r="C20">
        <v>275</v>
      </c>
      <c r="D20">
        <v>0.28822677149780002</v>
      </c>
      <c r="E20">
        <v>110.832468494651</v>
      </c>
      <c r="F20">
        <v>1.9273651648352901</v>
      </c>
      <c r="G20">
        <v>-1832.6859904587679</v>
      </c>
      <c r="H20">
        <v>-1527.524273301241</v>
      </c>
      <c r="I20">
        <v>301.80165073814402</v>
      </c>
      <c r="J20">
        <v>161.76925802778501</v>
      </c>
      <c r="K20">
        <v>57.504654808951699</v>
      </c>
      <c r="L20">
        <v>0.24233625485988503</v>
      </c>
      <c r="M20">
        <v>-0.24194938210720227</v>
      </c>
      <c r="N20">
        <v>13.9161758076007</v>
      </c>
      <c r="O20">
        <v>13.916164899034399</v>
      </c>
      <c r="P20">
        <v>13.916153373434</v>
      </c>
      <c r="Q20" t="s">
        <v>51</v>
      </c>
    </row>
    <row r="21" spans="1:17" x14ac:dyDescent="0.2">
      <c r="A21">
        <v>20</v>
      </c>
      <c r="B21">
        <v>737</v>
      </c>
      <c r="C21">
        <v>275</v>
      </c>
      <c r="D21">
        <v>0.28745285353660599</v>
      </c>
      <c r="E21">
        <v>110.83537439339599</v>
      </c>
      <c r="F21">
        <v>1.91927575230767</v>
      </c>
      <c r="G21">
        <v>-1832.4326045852802</v>
      </c>
      <c r="H21">
        <v>-1529.747618303322</v>
      </c>
      <c r="I21">
        <v>299.64896646425001</v>
      </c>
      <c r="J21">
        <v>162.01755451012099</v>
      </c>
      <c r="K21">
        <v>57.748540958813003</v>
      </c>
      <c r="L21">
        <v>0.15034024794441248</v>
      </c>
      <c r="M21">
        <v>-0.14992445516841263</v>
      </c>
      <c r="N21">
        <v>8.6611049761934602</v>
      </c>
      <c r="O21">
        <v>8.6610931569840393</v>
      </c>
      <c r="P21">
        <v>8.6610807409422499</v>
      </c>
      <c r="Q21" t="s">
        <v>51</v>
      </c>
    </row>
    <row r="22" spans="1:17" x14ac:dyDescent="0.2">
      <c r="A22">
        <v>21</v>
      </c>
      <c r="B22">
        <v>736</v>
      </c>
      <c r="C22">
        <v>275</v>
      </c>
      <c r="D22">
        <v>0.28667740177377199</v>
      </c>
      <c r="E22">
        <v>110.836058645484</v>
      </c>
      <c r="F22">
        <v>1.9159561683184101</v>
      </c>
      <c r="G22">
        <v>-1832.1447312059536</v>
      </c>
      <c r="H22">
        <v>-1531.0084737614432</v>
      </c>
      <c r="I22">
        <v>298.41140500915998</v>
      </c>
      <c r="J22">
        <v>162.18406059465801</v>
      </c>
      <c r="K22">
        <v>57.848953164081102</v>
      </c>
      <c r="L22">
        <v>0.1025466157324071</v>
      </c>
      <c r="M22">
        <v>-0.10211676500690631</v>
      </c>
      <c r="N22">
        <v>5.9106404104206298</v>
      </c>
      <c r="O22">
        <v>5.9106280888056801</v>
      </c>
      <c r="P22">
        <v>5.9106152436631598</v>
      </c>
      <c r="Q22" t="s">
        <v>51</v>
      </c>
    </row>
    <row r="23" spans="1:17" x14ac:dyDescent="0.2">
      <c r="A23">
        <v>22</v>
      </c>
      <c r="B23">
        <v>735</v>
      </c>
      <c r="C23">
        <v>275</v>
      </c>
      <c r="D23">
        <v>0.285900411645091</v>
      </c>
      <c r="E23">
        <v>110.83632558264701</v>
      </c>
      <c r="F23">
        <v>1.9150599139303699</v>
      </c>
      <c r="G23">
        <v>-1831.8510540521454</v>
      </c>
      <c r="H23">
        <v>-1531.769926470181</v>
      </c>
      <c r="I23">
        <v>297.66089304299697</v>
      </c>
      <c r="J23">
        <v>162.310629108884</v>
      </c>
      <c r="K23">
        <v>57.876166054341397</v>
      </c>
      <c r="L23">
        <v>7.7768665990377905E-2</v>
      </c>
      <c r="M23">
        <v>-7.733246268036699E-2</v>
      </c>
      <c r="N23">
        <v>4.4790421983922597</v>
      </c>
      <c r="O23">
        <v>4.4790295901231003</v>
      </c>
      <c r="P23">
        <v>4.4790165569731801</v>
      </c>
      <c r="Q23" t="s">
        <v>51</v>
      </c>
    </row>
    <row r="24" spans="1:17" x14ac:dyDescent="0.2">
      <c r="A24">
        <v>23</v>
      </c>
      <c r="B24">
        <v>756</v>
      </c>
      <c r="C24">
        <v>250</v>
      </c>
      <c r="D24">
        <v>0.32862119224602798</v>
      </c>
      <c r="E24">
        <v>110.82350390654101</v>
      </c>
      <c r="F24">
        <v>1.95360089084385</v>
      </c>
      <c r="G24">
        <v>-1839.6016781467888</v>
      </c>
      <c r="H24">
        <v>-1512.4799424646167</v>
      </c>
      <c r="I24">
        <v>317.85853455128</v>
      </c>
      <c r="J24">
        <v>161.11691700685299</v>
      </c>
      <c r="K24">
        <v>56.727811922051004</v>
      </c>
      <c r="L24">
        <v>0.86112993926142734</v>
      </c>
      <c r="M24">
        <v>-0.86091795522611059</v>
      </c>
      <c r="N24">
        <v>48.839800971246397</v>
      </c>
      <c r="O24">
        <v>48.839796323764197</v>
      </c>
      <c r="P24">
        <v>48.839789047876003</v>
      </c>
      <c r="Q24" t="s">
        <v>51</v>
      </c>
    </row>
    <row r="25" spans="1:17" x14ac:dyDescent="0.2">
      <c r="A25">
        <v>24</v>
      </c>
      <c r="B25">
        <v>755</v>
      </c>
      <c r="C25">
        <v>250</v>
      </c>
      <c r="D25">
        <v>0.32790011185138401</v>
      </c>
      <c r="E25">
        <v>110.82353389034</v>
      </c>
      <c r="F25">
        <v>1.95422073620715</v>
      </c>
      <c r="G25">
        <v>-1839.2843832447179</v>
      </c>
      <c r="H25">
        <v>-1512.6512334052759</v>
      </c>
      <c r="I25">
        <v>317.69248334726802</v>
      </c>
      <c r="J25">
        <v>161.113845704733</v>
      </c>
      <c r="K25">
        <v>56.709834174328002</v>
      </c>
      <c r="L25">
        <v>0.86075815847885018</v>
      </c>
      <c r="M25">
        <v>-0.86054616028927078</v>
      </c>
      <c r="N25">
        <v>48.803234998513403</v>
      </c>
      <c r="O25">
        <v>48.803230281743303</v>
      </c>
      <c r="P25">
        <v>48.803223007381099</v>
      </c>
      <c r="Q25" t="s">
        <v>51</v>
      </c>
    </row>
    <row r="26" spans="1:17" x14ac:dyDescent="0.2">
      <c r="A26">
        <v>25</v>
      </c>
      <c r="B26">
        <v>754</v>
      </c>
      <c r="C26">
        <v>250</v>
      </c>
      <c r="D26">
        <v>0.32717762741566497</v>
      </c>
      <c r="E26">
        <v>110.82356858503201</v>
      </c>
      <c r="F26">
        <v>1.9548535291557401</v>
      </c>
      <c r="G26">
        <v>-1838.9673469650445</v>
      </c>
      <c r="H26">
        <v>-1512.8481930933131</v>
      </c>
      <c r="I26">
        <v>317.50137444409302</v>
      </c>
      <c r="J26">
        <v>161.11783857660899</v>
      </c>
      <c r="K26">
        <v>56.691494749939103</v>
      </c>
      <c r="L26">
        <v>0.85906893191680678</v>
      </c>
      <c r="M26">
        <v>-0.85885654285106183</v>
      </c>
      <c r="N26">
        <v>48.691665218085099</v>
      </c>
      <c r="O26">
        <v>48.691660423332898</v>
      </c>
      <c r="P26">
        <v>48.691653137708101</v>
      </c>
      <c r="Q26" t="s">
        <v>51</v>
      </c>
    </row>
    <row r="27" spans="1:17" x14ac:dyDescent="0.2">
      <c r="A27">
        <v>26</v>
      </c>
      <c r="B27">
        <v>753</v>
      </c>
      <c r="C27">
        <v>250</v>
      </c>
      <c r="D27">
        <v>0.32645373483409301</v>
      </c>
      <c r="E27">
        <v>110.82360459988099</v>
      </c>
      <c r="F27">
        <v>1.9541415097325701</v>
      </c>
      <c r="G27">
        <v>-1838.6505626997603</v>
      </c>
      <c r="H27">
        <v>-1513.221418223834</v>
      </c>
      <c r="I27">
        <v>317.13840666185098</v>
      </c>
      <c r="J27">
        <v>161.138178062056</v>
      </c>
      <c r="K27">
        <v>56.712169537326901</v>
      </c>
      <c r="L27">
        <v>0.84861079909621795</v>
      </c>
      <c r="M27">
        <v>-0.84839422303029877</v>
      </c>
      <c r="N27">
        <v>48.116112862682499</v>
      </c>
      <c r="O27">
        <v>48.116107913326999</v>
      </c>
      <c r="P27">
        <v>48.116100486291998</v>
      </c>
      <c r="Q27" t="s">
        <v>51</v>
      </c>
    </row>
    <row r="28" spans="1:17" x14ac:dyDescent="0.2">
      <c r="A28">
        <v>27</v>
      </c>
      <c r="B28">
        <v>752</v>
      </c>
      <c r="C28">
        <v>250</v>
      </c>
      <c r="D28">
        <v>0.32572842998585799</v>
      </c>
      <c r="E28">
        <v>110.823641833406</v>
      </c>
      <c r="F28">
        <v>1.9518140602107299</v>
      </c>
      <c r="G28">
        <v>-1838.3343107239755</v>
      </c>
      <c r="H28">
        <v>-1513.807484785232</v>
      </c>
      <c r="I28">
        <v>316.56768060341102</v>
      </c>
      <c r="J28">
        <v>161.18123809436199</v>
      </c>
      <c r="K28">
        <v>56.779815297283399</v>
      </c>
      <c r="L28">
        <v>0.82755861047054813</v>
      </c>
      <c r="M28">
        <v>-0.82733327116178013</v>
      </c>
      <c r="N28">
        <v>46.9777373623158</v>
      </c>
      <c r="O28">
        <v>46.977732163086102</v>
      </c>
      <c r="P28">
        <v>46.977724437357502</v>
      </c>
      <c r="Q28" t="s">
        <v>51</v>
      </c>
    </row>
    <row r="29" spans="1:17" x14ac:dyDescent="0.2">
      <c r="A29">
        <v>28</v>
      </c>
      <c r="B29">
        <v>751</v>
      </c>
      <c r="C29">
        <v>250</v>
      </c>
      <c r="D29">
        <v>0.32500170873407402</v>
      </c>
      <c r="E29">
        <v>110.82367875359699</v>
      </c>
      <c r="F29">
        <v>1.94943074121311</v>
      </c>
      <c r="G29">
        <v>-1838.0186289876283</v>
      </c>
      <c r="H29">
        <v>-1514.4028925366065</v>
      </c>
      <c r="I29">
        <v>315.98727828222297</v>
      </c>
      <c r="J29">
        <v>161.22915058720301</v>
      </c>
      <c r="K29">
        <v>56.849251635702103</v>
      </c>
      <c r="L29">
        <v>0.80603069502412172</v>
      </c>
      <c r="M29">
        <v>-0.80579640853835222</v>
      </c>
      <c r="N29">
        <v>45.810902435035601</v>
      </c>
      <c r="O29">
        <v>45.810896977551899</v>
      </c>
      <c r="P29">
        <v>45.810888946335702</v>
      </c>
      <c r="Q29" t="s">
        <v>51</v>
      </c>
    </row>
    <row r="30" spans="1:17" x14ac:dyDescent="0.2">
      <c r="A30">
        <v>29</v>
      </c>
      <c r="B30">
        <v>750</v>
      </c>
      <c r="C30">
        <v>250</v>
      </c>
      <c r="D30">
        <v>0.324273566925672</v>
      </c>
      <c r="E30">
        <v>110.82371531766201</v>
      </c>
      <c r="F30">
        <v>1.94698201451061</v>
      </c>
      <c r="G30">
        <v>-1837.7035273478962</v>
      </c>
      <c r="H30">
        <v>-1515.0095166615192</v>
      </c>
      <c r="I30">
        <v>315.39534859970797</v>
      </c>
      <c r="J30">
        <v>161.282012174258</v>
      </c>
      <c r="K30">
        <v>56.920769936089101</v>
      </c>
      <c r="L30">
        <v>0.78392637814706123</v>
      </c>
      <c r="M30">
        <v>-0.78368292663805794</v>
      </c>
      <c r="N30">
        <v>44.6098895212291</v>
      </c>
      <c r="O30">
        <v>44.609883796269798</v>
      </c>
      <c r="P30">
        <v>44.609875451576102</v>
      </c>
      <c r="Q30" t="s">
        <v>51</v>
      </c>
    </row>
    <row r="31" spans="1:17" x14ac:dyDescent="0.2">
      <c r="A31">
        <v>30</v>
      </c>
      <c r="B31">
        <v>749</v>
      </c>
      <c r="C31">
        <v>250</v>
      </c>
      <c r="D31">
        <v>0.32354400039133302</v>
      </c>
      <c r="E31">
        <v>110.823751466289</v>
      </c>
      <c r="F31">
        <v>1.94445417672178</v>
      </c>
      <c r="G31">
        <v>-1837.389017581208</v>
      </c>
      <c r="H31">
        <v>-1515.6299775729583</v>
      </c>
      <c r="I31">
        <v>314.78930617197602</v>
      </c>
      <c r="J31">
        <v>161.33994523849</v>
      </c>
      <c r="K31">
        <v>56.994786913997103</v>
      </c>
      <c r="L31">
        <v>0.76110503741101398</v>
      </c>
      <c r="M31">
        <v>-0.76085215498081082</v>
      </c>
      <c r="N31">
        <v>43.366736833873901</v>
      </c>
      <c r="O31">
        <v>43.366730831029997</v>
      </c>
      <c r="P31">
        <v>43.366722163177798</v>
      </c>
      <c r="Q31" t="s">
        <v>51</v>
      </c>
    </row>
    <row r="32" spans="1:17" x14ac:dyDescent="0.2">
      <c r="A32">
        <v>31</v>
      </c>
      <c r="B32">
        <v>748</v>
      </c>
      <c r="C32">
        <v>250</v>
      </c>
      <c r="D32">
        <v>0.32281300494540499</v>
      </c>
      <c r="E32">
        <v>110.82378711292201</v>
      </c>
      <c r="F32">
        <v>1.9418263763396699</v>
      </c>
      <c r="G32">
        <v>-1837.0751141690494</v>
      </c>
      <c r="H32">
        <v>-1516.2681488027899</v>
      </c>
      <c r="I32">
        <v>314.16533124579598</v>
      </c>
      <c r="J32">
        <v>161.40312635238899</v>
      </c>
      <c r="K32">
        <v>57.071934166340903</v>
      </c>
      <c r="L32">
        <v>0.73735923490675015</v>
      </c>
      <c r="M32">
        <v>-0.73709658364447139</v>
      </c>
      <c r="N32">
        <v>42.069737265523003</v>
      </c>
      <c r="O32">
        <v>42.069730972615403</v>
      </c>
      <c r="P32">
        <v>42.069721969392198</v>
      </c>
      <c r="Q32" t="s">
        <v>51</v>
      </c>
    </row>
    <row r="33" spans="1:17" x14ac:dyDescent="0.2">
      <c r="A33">
        <v>32</v>
      </c>
      <c r="B33">
        <v>747</v>
      </c>
      <c r="C33">
        <v>250</v>
      </c>
      <c r="D33">
        <v>0.32208057638582899</v>
      </c>
      <c r="E33">
        <v>110.823822122607</v>
      </c>
      <c r="F33">
        <v>1.9390650950698001</v>
      </c>
      <c r="G33">
        <v>-1836.7618356049959</v>
      </c>
      <c r="H33">
        <v>-1516.9301062060915</v>
      </c>
      <c r="I33">
        <v>313.51743468281597</v>
      </c>
      <c r="J33">
        <v>161.471837526587</v>
      </c>
      <c r="K33">
        <v>57.1532242029337</v>
      </c>
      <c r="L33">
        <v>0.71236459166275135</v>
      </c>
      <c r="M33">
        <v>-0.71209171943257055</v>
      </c>
      <c r="N33">
        <v>40.700630176820297</v>
      </c>
      <c r="O33">
        <v>40.700623578873298</v>
      </c>
      <c r="P33">
        <v>40.700614224053702</v>
      </c>
      <c r="Q33" t="s">
        <v>51</v>
      </c>
    </row>
    <row r="34" spans="1:17" x14ac:dyDescent="0.2">
      <c r="A34">
        <v>33</v>
      </c>
      <c r="B34">
        <v>746</v>
      </c>
      <c r="C34">
        <v>250</v>
      </c>
      <c r="D34">
        <v>0.32134671049404001</v>
      </c>
      <c r="E34">
        <v>110.82385626769</v>
      </c>
      <c r="F34">
        <v>1.93611295939076</v>
      </c>
      <c r="G34">
        <v>-1836.4492066809853</v>
      </c>
      <c r="H34">
        <v>-1517.6260724281626</v>
      </c>
      <c r="I34">
        <v>312.83554205546699</v>
      </c>
      <c r="J34">
        <v>161.54656438270399</v>
      </c>
      <c r="K34">
        <v>57.240387617963698</v>
      </c>
      <c r="L34">
        <v>0.68557726207638137</v>
      </c>
      <c r="M34">
        <v>-0.68529352313258884</v>
      </c>
      <c r="N34">
        <v>39.228847697976398</v>
      </c>
      <c r="O34">
        <v>39.228840775283601</v>
      </c>
      <c r="P34">
        <v>39.228831045840401</v>
      </c>
      <c r="Q34" t="s">
        <v>51</v>
      </c>
    </row>
    <row r="35" spans="1:17" x14ac:dyDescent="0.2">
      <c r="A35">
        <v>34</v>
      </c>
      <c r="B35">
        <v>745</v>
      </c>
      <c r="C35">
        <v>250</v>
      </c>
      <c r="D35">
        <v>0.32061140303491598</v>
      </c>
      <c r="E35">
        <v>110.823889120231</v>
      </c>
      <c r="F35">
        <v>1.9328630332187899</v>
      </c>
      <c r="G35">
        <v>-1836.1372627165374</v>
      </c>
      <c r="H35">
        <v>-1518.374932548855</v>
      </c>
      <c r="I35">
        <v>312.10104357710202</v>
      </c>
      <c r="J35">
        <v>161.62820433334801</v>
      </c>
      <c r="K35">
        <v>57.336648906609803</v>
      </c>
      <c r="L35">
        <v>0.65599625188033484</v>
      </c>
      <c r="M35">
        <v>-0.65570064166870645</v>
      </c>
      <c r="N35">
        <v>37.598155110733401</v>
      </c>
      <c r="O35">
        <v>37.598147834824701</v>
      </c>
      <c r="P35">
        <v>37.598137695117998</v>
      </c>
      <c r="Q35" t="s">
        <v>51</v>
      </c>
    </row>
    <row r="36" spans="1:17" x14ac:dyDescent="0.2">
      <c r="A36">
        <v>35</v>
      </c>
      <c r="B36">
        <v>744</v>
      </c>
      <c r="C36">
        <v>250</v>
      </c>
      <c r="D36">
        <v>0.31987464975667701</v>
      </c>
      <c r="E36">
        <v>110.82391974614499</v>
      </c>
      <c r="F36">
        <v>1.9290886359417601</v>
      </c>
      <c r="G36">
        <v>-1835.8260581613144</v>
      </c>
      <c r="H36">
        <v>-1519.2167188005583</v>
      </c>
      <c r="I36">
        <v>311.27448909667203</v>
      </c>
      <c r="J36">
        <v>161.71857545908901</v>
      </c>
      <c r="K36">
        <v>57.448847959254898</v>
      </c>
      <c r="L36">
        <v>0.62150789741671864</v>
      </c>
      <c r="M36">
        <v>-0.62119865182358203</v>
      </c>
      <c r="N36">
        <v>35.689736459294203</v>
      </c>
      <c r="O36">
        <v>35.689728783127499</v>
      </c>
      <c r="P36">
        <v>35.689718170788701</v>
      </c>
      <c r="Q36" t="s">
        <v>51</v>
      </c>
    </row>
    <row r="37" spans="1:17" x14ac:dyDescent="0.2">
      <c r="A37">
        <v>36</v>
      </c>
      <c r="B37">
        <v>743</v>
      </c>
      <c r="C37">
        <v>250</v>
      </c>
      <c r="D37">
        <v>0.31913644639078897</v>
      </c>
      <c r="E37">
        <v>110.823922110935</v>
      </c>
      <c r="F37">
        <v>1.9168735707942399</v>
      </c>
      <c r="G37">
        <v>-1835.515944985975</v>
      </c>
      <c r="H37">
        <v>-1521.6526300439602</v>
      </c>
      <c r="I37">
        <v>308.87892290433098</v>
      </c>
      <c r="J37">
        <v>161.84527095263201</v>
      </c>
      <c r="K37">
        <v>57.814935632408996</v>
      </c>
      <c r="L37">
        <v>0.50651654211904762</v>
      </c>
      <c r="M37">
        <v>-0.50616478845822988</v>
      </c>
      <c r="N37">
        <v>29.266836639658401</v>
      </c>
      <c r="O37">
        <v>29.266827866691902</v>
      </c>
      <c r="P37">
        <v>29.266815769107701</v>
      </c>
      <c r="Q37" t="s">
        <v>51</v>
      </c>
    </row>
    <row r="38" spans="1:17" x14ac:dyDescent="0.2">
      <c r="A38">
        <v>37</v>
      </c>
      <c r="B38">
        <v>742</v>
      </c>
      <c r="C38">
        <v>250</v>
      </c>
      <c r="D38">
        <v>0.318396788651924</v>
      </c>
      <c r="E38">
        <v>110.83330034196101</v>
      </c>
      <c r="F38">
        <v>1.88505359614679</v>
      </c>
      <c r="G38">
        <v>-1835.3634544140875</v>
      </c>
      <c r="H38">
        <v>-1527.9025260228609</v>
      </c>
      <c r="I38">
        <v>302.87760506721702</v>
      </c>
      <c r="J38">
        <v>162.052475522142</v>
      </c>
      <c r="K38">
        <v>58.7958350725484</v>
      </c>
      <c r="L38">
        <v>0.21931696165958237</v>
      </c>
      <c r="M38">
        <v>-0.21885865829642276</v>
      </c>
      <c r="N38">
        <v>12.871867098982699</v>
      </c>
      <c r="O38">
        <v>12.8718556127049</v>
      </c>
      <c r="P38">
        <v>12.8718396954889</v>
      </c>
      <c r="Q38" t="s">
        <v>51</v>
      </c>
    </row>
    <row r="39" spans="1:17" x14ac:dyDescent="0.2">
      <c r="A39">
        <v>38</v>
      </c>
      <c r="B39">
        <v>741</v>
      </c>
      <c r="C39">
        <v>250</v>
      </c>
      <c r="D39">
        <v>0.31765567223783697</v>
      </c>
      <c r="E39">
        <v>110.835702506563</v>
      </c>
      <c r="F39">
        <v>1.87713824811566</v>
      </c>
      <c r="G39">
        <v>-1835.1006068262673</v>
      </c>
      <c r="H39">
        <v>-1529.7418645041007</v>
      </c>
      <c r="I39">
        <v>301.10374605106199</v>
      </c>
      <c r="J39">
        <v>162.14568905815599</v>
      </c>
      <c r="K39">
        <v>59.045039766156997</v>
      </c>
      <c r="L39">
        <v>0.14188609673652389</v>
      </c>
      <c r="M39">
        <v>-0.14139932519734166</v>
      </c>
      <c r="N39">
        <v>8.3530657151432202</v>
      </c>
      <c r="O39">
        <v>8.3530533831851095</v>
      </c>
      <c r="P39">
        <v>8.3530364305680695</v>
      </c>
      <c r="Q39" t="s">
        <v>51</v>
      </c>
    </row>
    <row r="40" spans="1:17" x14ac:dyDescent="0.2">
      <c r="A40">
        <v>39</v>
      </c>
      <c r="B40">
        <v>740</v>
      </c>
      <c r="C40">
        <v>250</v>
      </c>
      <c r="D40">
        <v>0.31691309282929903</v>
      </c>
      <c r="E40">
        <v>110.83642149926899</v>
      </c>
      <c r="F40">
        <v>1.8733265514818001</v>
      </c>
      <c r="G40">
        <v>-1834.8117277659089</v>
      </c>
      <c r="H40">
        <v>-1530.8054123450793</v>
      </c>
      <c r="I40">
        <v>300.06625455374098</v>
      </c>
      <c r="J40">
        <v>162.21759423247099</v>
      </c>
      <c r="K40">
        <v>59.165563746266002</v>
      </c>
      <c r="L40">
        <v>0.10034505829498316</v>
      </c>
      <c r="M40">
        <v>-9.9843152018862999E-2</v>
      </c>
      <c r="N40">
        <v>5.9115400155954498</v>
      </c>
      <c r="O40">
        <v>5.9115271630485804</v>
      </c>
      <c r="P40">
        <v>5.9115096616031204</v>
      </c>
      <c r="Q40" t="s">
        <v>51</v>
      </c>
    </row>
    <row r="41" spans="1:17" x14ac:dyDescent="0.2">
      <c r="A41">
        <v>40</v>
      </c>
      <c r="B41">
        <v>739</v>
      </c>
      <c r="C41">
        <v>250</v>
      </c>
      <c r="D41">
        <v>0.31616904609000601</v>
      </c>
      <c r="E41">
        <v>110.836637040011</v>
      </c>
      <c r="F41">
        <v>1.8715635318327899</v>
      </c>
      <c r="G41">
        <v>-1834.5155159676442</v>
      </c>
      <c r="H41">
        <v>-1531.4785275464658</v>
      </c>
      <c r="I41">
        <v>299.40513336630403</v>
      </c>
      <c r="J41">
        <v>162.28110864747799</v>
      </c>
      <c r="K41">
        <v>59.221413088483303</v>
      </c>
      <c r="L41">
        <v>7.6866222451294236E-2</v>
      </c>
      <c r="M41">
        <v>-7.6355897131429512E-2</v>
      </c>
      <c r="N41">
        <v>4.5262332370192899</v>
      </c>
      <c r="O41">
        <v>4.5262200309515599</v>
      </c>
      <c r="P41">
        <v>4.52620222799177</v>
      </c>
      <c r="Q41" t="s">
        <v>51</v>
      </c>
    </row>
    <row r="42" spans="1:17" x14ac:dyDescent="0.2">
      <c r="A42">
        <v>41</v>
      </c>
      <c r="B42">
        <v>762</v>
      </c>
      <c r="C42">
        <v>225</v>
      </c>
      <c r="D42">
        <v>0.35948461575617302</v>
      </c>
      <c r="E42">
        <v>110.823557909808</v>
      </c>
      <c r="F42">
        <v>1.91022320785791</v>
      </c>
      <c r="G42">
        <v>-1842.9476869901976</v>
      </c>
      <c r="H42">
        <v>-1512.4506577821178</v>
      </c>
      <c r="I42">
        <v>319.27706871022502</v>
      </c>
      <c r="J42">
        <v>162.030826068278</v>
      </c>
      <c r="K42">
        <v>58.016025275959002</v>
      </c>
      <c r="L42">
        <v>0.83867637950598706</v>
      </c>
      <c r="M42">
        <v>-0.83840522514926252</v>
      </c>
      <c r="N42">
        <v>48.643551339502501</v>
      </c>
      <c r="O42">
        <v>48.643547632783402</v>
      </c>
      <c r="P42">
        <v>48.6435367892024</v>
      </c>
      <c r="Q42" t="s">
        <v>51</v>
      </c>
    </row>
    <row r="43" spans="1:17" x14ac:dyDescent="0.2">
      <c r="A43">
        <v>42</v>
      </c>
      <c r="B43">
        <v>761</v>
      </c>
      <c r="C43">
        <v>225</v>
      </c>
      <c r="D43">
        <v>0.35879756321617101</v>
      </c>
      <c r="E43">
        <v>110.823585497403</v>
      </c>
      <c r="F43">
        <v>1.9108539403585101</v>
      </c>
      <c r="G43">
        <v>-1842.6289339737027</v>
      </c>
      <c r="H43">
        <v>-1512.6173967849772</v>
      </c>
      <c r="I43">
        <v>319.11634371051201</v>
      </c>
      <c r="J43">
        <v>162.02782251980099</v>
      </c>
      <c r="K43">
        <v>57.996889849472701</v>
      </c>
      <c r="L43">
        <v>0.83863449644484989</v>
      </c>
      <c r="M43">
        <v>-0.83836337664126304</v>
      </c>
      <c r="N43">
        <v>48.6250742319083</v>
      </c>
      <c r="O43">
        <v>48.625070426889998</v>
      </c>
      <c r="P43">
        <v>48.625059585022598</v>
      </c>
      <c r="Q43" t="s">
        <v>51</v>
      </c>
    </row>
    <row r="44" spans="1:17" x14ac:dyDescent="0.2">
      <c r="A44">
        <v>43</v>
      </c>
      <c r="B44">
        <v>760</v>
      </c>
      <c r="C44">
        <v>225</v>
      </c>
      <c r="D44">
        <v>0.35810918066108399</v>
      </c>
      <c r="E44">
        <v>110.823607008344</v>
      </c>
      <c r="F44">
        <v>1.91044543202987</v>
      </c>
      <c r="G44">
        <v>-1842.3102907832722</v>
      </c>
      <c r="H44">
        <v>-1512.8793353732297</v>
      </c>
      <c r="I44">
        <v>318.863292162753</v>
      </c>
      <c r="J44">
        <v>162.020172691217</v>
      </c>
      <c r="K44">
        <v>58.009302516739602</v>
      </c>
      <c r="L44">
        <v>0.83403138397372212</v>
      </c>
      <c r="M44">
        <v>-0.83375786647455463</v>
      </c>
      <c r="N44">
        <v>48.368335407045201</v>
      </c>
      <c r="O44">
        <v>48.368331474126101</v>
      </c>
      <c r="P44">
        <v>48.3683205350831</v>
      </c>
      <c r="Q44" t="s">
        <v>51</v>
      </c>
    </row>
    <row r="45" spans="1:17" x14ac:dyDescent="0.2">
      <c r="A45">
        <v>44</v>
      </c>
      <c r="B45">
        <v>759</v>
      </c>
      <c r="C45">
        <v>225</v>
      </c>
      <c r="D45">
        <v>0.35741946422516302</v>
      </c>
      <c r="E45">
        <v>110.82362848361601</v>
      </c>
      <c r="F45">
        <v>1.91003975081281</v>
      </c>
      <c r="G45">
        <v>-1841.9919002341408</v>
      </c>
      <c r="H45">
        <v>-1513.1414307467035</v>
      </c>
      <c r="I45">
        <v>318.60984322038399</v>
      </c>
      <c r="J45">
        <v>162.01359960758799</v>
      </c>
      <c r="K45">
        <v>58.021634595015698</v>
      </c>
      <c r="L45">
        <v>0.82941691956109176</v>
      </c>
      <c r="M45">
        <v>-0.82914100278827485</v>
      </c>
      <c r="N45">
        <v>48.110756600072698</v>
      </c>
      <c r="O45">
        <v>48.110752537385899</v>
      </c>
      <c r="P45">
        <v>48.110741501108798</v>
      </c>
      <c r="Q45" t="s">
        <v>51</v>
      </c>
    </row>
    <row r="46" spans="1:17" x14ac:dyDescent="0.2">
      <c r="A46">
        <v>45</v>
      </c>
      <c r="B46">
        <v>758</v>
      </c>
      <c r="C46">
        <v>225</v>
      </c>
      <c r="D46">
        <v>0.356728410027642</v>
      </c>
      <c r="E46">
        <v>110.82365479449901</v>
      </c>
      <c r="F46">
        <v>1.9090269461795299</v>
      </c>
      <c r="G46">
        <v>-1841.6738579041803</v>
      </c>
      <c r="H46">
        <v>-1513.5059607891155</v>
      </c>
      <c r="I46">
        <v>318.25692125933801</v>
      </c>
      <c r="J46">
        <v>162.01874635269601</v>
      </c>
      <c r="K46">
        <v>58.052430855566001</v>
      </c>
      <c r="L46">
        <v>0.81971515795512262</v>
      </c>
      <c r="M46">
        <v>-0.81943463817557893</v>
      </c>
      <c r="N46">
        <v>47.572851714208198</v>
      </c>
      <c r="O46">
        <v>47.5728474902184</v>
      </c>
      <c r="P46">
        <v>47.572836267500598</v>
      </c>
      <c r="Q46" t="s">
        <v>51</v>
      </c>
    </row>
    <row r="47" spans="1:17" x14ac:dyDescent="0.2">
      <c r="A47">
        <v>46</v>
      </c>
      <c r="B47">
        <v>757</v>
      </c>
      <c r="C47">
        <v>225</v>
      </c>
      <c r="D47">
        <v>0.35603601417269398</v>
      </c>
      <c r="E47">
        <v>110.82369118847301</v>
      </c>
      <c r="F47">
        <v>1.9067005282551801</v>
      </c>
      <c r="G47">
        <v>-1841.3564728299816</v>
      </c>
      <c r="H47">
        <v>-1514.0913176098675</v>
      </c>
      <c r="I47">
        <v>317.68963404144199</v>
      </c>
      <c r="J47">
        <v>162.049285425373</v>
      </c>
      <c r="K47">
        <v>58.1232813156494</v>
      </c>
      <c r="L47">
        <v>0.79905188016952677</v>
      </c>
      <c r="M47">
        <v>-0.79876200712431022</v>
      </c>
      <c r="N47">
        <v>46.429433056992103</v>
      </c>
      <c r="O47">
        <v>46.429428602897602</v>
      </c>
      <c r="P47">
        <v>46.429417000882403</v>
      </c>
      <c r="Q47" t="s">
        <v>51</v>
      </c>
    </row>
    <row r="48" spans="1:17" x14ac:dyDescent="0.2">
      <c r="A48">
        <v>47</v>
      </c>
      <c r="B48">
        <v>756</v>
      </c>
      <c r="C48">
        <v>225</v>
      </c>
      <c r="D48">
        <v>0.35534227274935698</v>
      </c>
      <c r="E48">
        <v>110.823727267301</v>
      </c>
      <c r="F48">
        <v>1.9043327390746101</v>
      </c>
      <c r="G48">
        <v>-1841.0396537746462</v>
      </c>
      <c r="H48">
        <v>-1514.6844753056653</v>
      </c>
      <c r="I48">
        <v>317.11421632545</v>
      </c>
      <c r="J48">
        <v>162.083658904732</v>
      </c>
      <c r="K48">
        <v>58.195568974545402</v>
      </c>
      <c r="L48">
        <v>0.77799638432839635</v>
      </c>
      <c r="M48">
        <v>-0.77769699962561456</v>
      </c>
      <c r="N48">
        <v>45.261370111925103</v>
      </c>
      <c r="O48">
        <v>45.261365419151197</v>
      </c>
      <c r="P48">
        <v>45.261353430566899</v>
      </c>
      <c r="Q48" t="s">
        <v>51</v>
      </c>
    </row>
    <row r="49" spans="1:17" x14ac:dyDescent="0.2">
      <c r="A49">
        <v>48</v>
      </c>
      <c r="B49">
        <v>755</v>
      </c>
      <c r="C49">
        <v>225</v>
      </c>
      <c r="D49">
        <v>0.354647181831445</v>
      </c>
      <c r="E49">
        <v>110.823762991778</v>
      </c>
      <c r="F49">
        <v>1.9019158428427401</v>
      </c>
      <c r="G49">
        <v>-1840.7234089487918</v>
      </c>
      <c r="H49">
        <v>-1515.2869806793608</v>
      </c>
      <c r="I49">
        <v>316.52914822202399</v>
      </c>
      <c r="J49">
        <v>162.121831782128</v>
      </c>
      <c r="K49">
        <v>58.269540899418899</v>
      </c>
      <c r="L49">
        <v>0.75646539372563182</v>
      </c>
      <c r="M49">
        <v>-0.75615630932847067</v>
      </c>
      <c r="N49">
        <v>44.063819872064698</v>
      </c>
      <c r="O49">
        <v>44.063814931432198</v>
      </c>
      <c r="P49">
        <v>44.063802547766898</v>
      </c>
      <c r="Q49" t="s">
        <v>51</v>
      </c>
    </row>
    <row r="50" spans="1:17" x14ac:dyDescent="0.2">
      <c r="A50">
        <v>49</v>
      </c>
      <c r="B50">
        <v>754</v>
      </c>
      <c r="C50">
        <v>225</v>
      </c>
      <c r="D50">
        <v>0.35395073747748601</v>
      </c>
      <c r="E50">
        <v>110.82379830829601</v>
      </c>
      <c r="F50">
        <v>1.8994384439660601</v>
      </c>
      <c r="G50">
        <v>-1840.4077481344411</v>
      </c>
      <c r="H50">
        <v>-1515.9010130047318</v>
      </c>
      <c r="I50">
        <v>315.93228982855697</v>
      </c>
      <c r="J50">
        <v>162.163764120368</v>
      </c>
      <c r="K50">
        <v>58.345559267977002</v>
      </c>
      <c r="L50">
        <v>0.73434206665948865</v>
      </c>
      <c r="M50">
        <v>-0.7340230519199723</v>
      </c>
      <c r="N50">
        <v>42.830014560495101</v>
      </c>
      <c r="O50">
        <v>42.830009361983699</v>
      </c>
      <c r="P50">
        <v>42.829996572946598</v>
      </c>
      <c r="Q50" t="s">
        <v>51</v>
      </c>
    </row>
    <row r="51" spans="1:17" x14ac:dyDescent="0.2">
      <c r="A51">
        <v>50</v>
      </c>
      <c r="B51">
        <v>753</v>
      </c>
      <c r="C51">
        <v>225</v>
      </c>
      <c r="D51">
        <v>0.35325293573064698</v>
      </c>
      <c r="E51">
        <v>110.823833138502</v>
      </c>
      <c r="F51">
        <v>1.89688310958733</v>
      </c>
      <c r="G51">
        <v>-1840.0926833138531</v>
      </c>
      <c r="H51">
        <v>-1516.5297802989544</v>
      </c>
      <c r="I51">
        <v>315.32049272888901</v>
      </c>
      <c r="J51">
        <v>162.20941725799699</v>
      </c>
      <c r="K51">
        <v>58.424176259659802</v>
      </c>
      <c r="L51">
        <v>0.71145530397301671</v>
      </c>
      <c r="M51">
        <v>-0.71112606444729898</v>
      </c>
      <c r="N51">
        <v>41.550076489974501</v>
      </c>
      <c r="O51">
        <v>41.550071022336802</v>
      </c>
      <c r="P51">
        <v>41.550057814975602</v>
      </c>
      <c r="Q51" t="s">
        <v>51</v>
      </c>
    </row>
    <row r="52" spans="1:17" x14ac:dyDescent="0.2">
      <c r="A52">
        <v>51</v>
      </c>
      <c r="B52">
        <v>752</v>
      </c>
      <c r="C52">
        <v>225</v>
      </c>
      <c r="D52">
        <v>0.35255377261864101</v>
      </c>
      <c r="E52">
        <v>110.823867362751</v>
      </c>
      <c r="F52">
        <v>1.89422222275847</v>
      </c>
      <c r="G52">
        <v>-1839.778229718419</v>
      </c>
      <c r="H52">
        <v>-1517.178219713536</v>
      </c>
      <c r="I52">
        <v>314.688913033772</v>
      </c>
      <c r="J52">
        <v>162.25876241133099</v>
      </c>
      <c r="K52">
        <v>58.506265015391698</v>
      </c>
      <c r="L52">
        <v>0.68754322867806683</v>
      </c>
      <c r="M52">
        <v>-0.68720337051897529</v>
      </c>
      <c r="N52">
        <v>40.208921001155801</v>
      </c>
      <c r="O52">
        <v>40.208915251265502</v>
      </c>
      <c r="P52">
        <v>40.208901608481298</v>
      </c>
      <c r="Q52" t="s">
        <v>51</v>
      </c>
    </row>
    <row r="53" spans="1:17" x14ac:dyDescent="0.2">
      <c r="A53">
        <v>52</v>
      </c>
      <c r="B53">
        <v>751</v>
      </c>
      <c r="C53">
        <v>225</v>
      </c>
      <c r="D53">
        <v>0.35185324415369101</v>
      </c>
      <c r="E53">
        <v>110.823900786002</v>
      </c>
      <c r="F53">
        <v>1.8914101594831401</v>
      </c>
      <c r="G53">
        <v>-1839.464407551088</v>
      </c>
      <c r="H53">
        <v>-1517.8543346213662</v>
      </c>
      <c r="I53">
        <v>314.02969950199298</v>
      </c>
      <c r="J53">
        <v>162.31179155326501</v>
      </c>
      <c r="K53">
        <v>58.5932671611994</v>
      </c>
      <c r="L53">
        <v>0.66218356127647771</v>
      </c>
      <c r="M53">
        <v>-0.66183252826953431</v>
      </c>
      <c r="N53">
        <v>38.782250405370597</v>
      </c>
      <c r="O53">
        <v>38.782244357063597</v>
      </c>
      <c r="P53">
        <v>38.782230254980099</v>
      </c>
      <c r="Q53" t="s">
        <v>51</v>
      </c>
    </row>
    <row r="54" spans="1:17" x14ac:dyDescent="0.2">
      <c r="A54">
        <v>53</v>
      </c>
      <c r="B54">
        <v>750</v>
      </c>
      <c r="C54">
        <v>225</v>
      </c>
      <c r="D54">
        <v>0.35115134633240402</v>
      </c>
      <c r="E54">
        <v>110.82393306360299</v>
      </c>
      <c r="F54">
        <v>1.88836699455044</v>
      </c>
      <c r="G54">
        <v>-1839.1512449880302</v>
      </c>
      <c r="H54">
        <v>-1518.5720113278762</v>
      </c>
      <c r="I54">
        <v>313.32922937397501</v>
      </c>
      <c r="J54">
        <v>162.36852769093801</v>
      </c>
      <c r="K54">
        <v>58.687709212999799</v>
      </c>
      <c r="L54">
        <v>0.63464720821041232</v>
      </c>
      <c r="M54">
        <v>-0.63428416154646261</v>
      </c>
      <c r="N54">
        <v>37.228114493149498</v>
      </c>
      <c r="O54">
        <v>37.228108124999999</v>
      </c>
      <c r="P54">
        <v>37.2280935279313</v>
      </c>
      <c r="Q54" t="s">
        <v>51</v>
      </c>
    </row>
    <row r="55" spans="1:17" x14ac:dyDescent="0.2">
      <c r="A55">
        <v>54</v>
      </c>
      <c r="B55">
        <v>749</v>
      </c>
      <c r="C55">
        <v>225</v>
      </c>
      <c r="D55">
        <v>0.350448075135744</v>
      </c>
      <c r="E55">
        <v>110.823963516644</v>
      </c>
      <c r="F55">
        <v>1.8849401248973301</v>
      </c>
      <c r="G55">
        <v>-1838.8387837410962</v>
      </c>
      <c r="H55">
        <v>-1519.3577384238608</v>
      </c>
      <c r="I55">
        <v>312.56151320442598</v>
      </c>
      <c r="J55">
        <v>162.42901556666899</v>
      </c>
      <c r="K55">
        <v>58.794421134560501</v>
      </c>
      <c r="L55">
        <v>0.60354990489963367</v>
      </c>
      <c r="M55">
        <v>-0.60317346735293298</v>
      </c>
      <c r="N55">
        <v>35.466788055177901</v>
      </c>
      <c r="O55">
        <v>35.466781335745502</v>
      </c>
      <c r="P55">
        <v>35.466766185470298</v>
      </c>
      <c r="Q55" t="s">
        <v>51</v>
      </c>
    </row>
    <row r="56" spans="1:17" x14ac:dyDescent="0.2">
      <c r="A56">
        <v>55</v>
      </c>
      <c r="B56">
        <v>748</v>
      </c>
      <c r="C56">
        <v>225</v>
      </c>
      <c r="D56">
        <v>0.34974342652891699</v>
      </c>
      <c r="E56">
        <v>110.823988344355</v>
      </c>
      <c r="F56">
        <v>1.8800135322388101</v>
      </c>
      <c r="G56">
        <v>-1838.5270591766723</v>
      </c>
      <c r="H56">
        <v>-1520.4119650389855</v>
      </c>
      <c r="I56">
        <v>311.53013017805603</v>
      </c>
      <c r="J56">
        <v>162.49088025317499</v>
      </c>
      <c r="K56">
        <v>58.948505659094899</v>
      </c>
      <c r="L56">
        <v>0.55875043460991181</v>
      </c>
      <c r="M56">
        <v>-0.55835526440792627</v>
      </c>
      <c r="N56">
        <v>32.9179371847314</v>
      </c>
      <c r="O56">
        <v>32.917930012255702</v>
      </c>
      <c r="P56">
        <v>32.917914085731198</v>
      </c>
      <c r="Q56" t="s">
        <v>51</v>
      </c>
    </row>
    <row r="57" spans="1:17" x14ac:dyDescent="0.2">
      <c r="A57">
        <v>56</v>
      </c>
      <c r="B57">
        <v>747</v>
      </c>
      <c r="C57">
        <v>225</v>
      </c>
      <c r="D57">
        <v>0.34903739646130499</v>
      </c>
      <c r="E57">
        <v>110.830655643315</v>
      </c>
      <c r="F57">
        <v>1.85156616724434</v>
      </c>
      <c r="G57">
        <v>-1838.3260772000294</v>
      </c>
      <c r="H57">
        <v>-1525.8237826083471</v>
      </c>
      <c r="I57">
        <v>306.33459286840798</v>
      </c>
      <c r="J57">
        <v>162.48742049103501</v>
      </c>
      <c r="K57">
        <v>59.857788289717398</v>
      </c>
      <c r="L57">
        <v>0.30899512826074771</v>
      </c>
      <c r="M57">
        <v>-0.30849941055020963</v>
      </c>
      <c r="N57">
        <v>18.470816201740401</v>
      </c>
      <c r="O57">
        <v>18.470807092082001</v>
      </c>
      <c r="P57">
        <v>18.4707869246866</v>
      </c>
      <c r="Q57" t="s">
        <v>51</v>
      </c>
    </row>
    <row r="58" spans="1:17" x14ac:dyDescent="0.2">
      <c r="A58">
        <v>57</v>
      </c>
      <c r="B58">
        <v>746</v>
      </c>
      <c r="C58">
        <v>225</v>
      </c>
      <c r="D58">
        <v>0.34832998086640898</v>
      </c>
      <c r="E58">
        <v>110.83471069308401</v>
      </c>
      <c r="F58">
        <v>1.83698436674405</v>
      </c>
      <c r="G58">
        <v>-1838.0873515204996</v>
      </c>
      <c r="H58">
        <v>-1528.8606352009363</v>
      </c>
      <c r="I58">
        <v>303.42169648515102</v>
      </c>
      <c r="J58">
        <v>162.49839634235201</v>
      </c>
      <c r="K58">
        <v>60.335140951434703</v>
      </c>
      <c r="L58">
        <v>0.17659585322337829</v>
      </c>
      <c r="M58">
        <v>-0.17604704064829504</v>
      </c>
      <c r="N58">
        <v>10.627076334360501</v>
      </c>
      <c r="O58">
        <v>10.627066061353799</v>
      </c>
      <c r="P58">
        <v>10.627043604344699</v>
      </c>
      <c r="Q58" t="s">
        <v>51</v>
      </c>
    </row>
    <row r="59" spans="1:17" x14ac:dyDescent="0.2">
      <c r="A59">
        <v>58</v>
      </c>
      <c r="B59">
        <v>745</v>
      </c>
      <c r="C59">
        <v>225</v>
      </c>
      <c r="D59">
        <v>0.347621175661739</v>
      </c>
      <c r="E59">
        <v>110.836397238039</v>
      </c>
      <c r="F59">
        <v>1.83164839793696</v>
      </c>
      <c r="G59">
        <v>-1837.8120615000275</v>
      </c>
      <c r="H59">
        <v>-1530.2097775802001</v>
      </c>
      <c r="I59">
        <v>302.12446279808103</v>
      </c>
      <c r="J59">
        <v>162.530487656334</v>
      </c>
      <c r="K59">
        <v>60.511830416185603</v>
      </c>
      <c r="L59">
        <v>0.12273554802679569</v>
      </c>
      <c r="M59">
        <v>-0.1221653487083554</v>
      </c>
      <c r="N59">
        <v>7.39790841660328</v>
      </c>
      <c r="O59">
        <v>7.3978975419300799</v>
      </c>
      <c r="P59">
        <v>7.3978741567997197</v>
      </c>
      <c r="Q59" t="s">
        <v>51</v>
      </c>
    </row>
    <row r="60" spans="1:17" x14ac:dyDescent="0.2">
      <c r="A60">
        <v>59</v>
      </c>
      <c r="B60">
        <v>744</v>
      </c>
      <c r="C60">
        <v>225</v>
      </c>
      <c r="D60">
        <v>0.34691097674876298</v>
      </c>
      <c r="E60">
        <v>110.836858805585</v>
      </c>
      <c r="F60">
        <v>1.8288369340666</v>
      </c>
      <c r="G60">
        <v>-1837.5178863957199</v>
      </c>
      <c r="H60">
        <v>-1531.0878782969639</v>
      </c>
      <c r="I60">
        <v>301.26912140907899</v>
      </c>
      <c r="J60">
        <v>162.56734778004699</v>
      </c>
      <c r="K60">
        <v>60.605107399667801</v>
      </c>
      <c r="L60">
        <v>9.020964773812068E-2</v>
      </c>
      <c r="M60">
        <v>-8.9626650935258664E-2</v>
      </c>
      <c r="N60">
        <v>5.4374097183983796</v>
      </c>
      <c r="O60">
        <v>5.4373983946165003</v>
      </c>
      <c r="P60">
        <v>5.4373744552244201</v>
      </c>
      <c r="Q60" t="s">
        <v>51</v>
      </c>
    </row>
    <row r="61" spans="1:17" x14ac:dyDescent="0.2">
      <c r="A61">
        <v>60</v>
      </c>
      <c r="B61">
        <v>743</v>
      </c>
      <c r="C61">
        <v>225</v>
      </c>
      <c r="D61">
        <v>0.34619938001279399</v>
      </c>
      <c r="E61">
        <v>110.837010797945</v>
      </c>
      <c r="F61">
        <v>1.8275800535148901</v>
      </c>
      <c r="G61">
        <v>-1837.2193914669608</v>
      </c>
      <c r="H61">
        <v>-1531.6742406641065</v>
      </c>
      <c r="I61">
        <v>300.694890380289</v>
      </c>
      <c r="J61">
        <v>162.61012534483999</v>
      </c>
      <c r="K61">
        <v>60.646870480326101</v>
      </c>
      <c r="L61">
        <v>7.101508935957819E-2</v>
      </c>
      <c r="M61">
        <v>-7.0424666502454727E-2</v>
      </c>
      <c r="N61">
        <v>4.2766741292423802</v>
      </c>
      <c r="O61">
        <v>4.2766624548208299</v>
      </c>
      <c r="P61">
        <v>4.2766381965702998</v>
      </c>
      <c r="Q61" t="s">
        <v>51</v>
      </c>
    </row>
    <row r="62" spans="1:17" x14ac:dyDescent="0.2">
      <c r="A62">
        <v>61</v>
      </c>
      <c r="B62">
        <v>771</v>
      </c>
      <c r="C62">
        <v>200</v>
      </c>
      <c r="D62">
        <v>0.391946080543984</v>
      </c>
      <c r="E62">
        <v>110.823533627749</v>
      </c>
      <c r="F62">
        <v>1.8561861870297001</v>
      </c>
      <c r="G62">
        <v>-1847.3001882417395</v>
      </c>
      <c r="H62">
        <v>-1511.8764921667562</v>
      </c>
      <c r="I62">
        <v>321.24366878716302</v>
      </c>
      <c r="J62">
        <v>162.899968497754</v>
      </c>
      <c r="K62">
        <v>59.704966237837802</v>
      </c>
      <c r="L62">
        <v>0.81188290555148468</v>
      </c>
      <c r="M62">
        <v>-0.81153308930146828</v>
      </c>
      <c r="N62">
        <v>48.456469678459797</v>
      </c>
      <c r="O62">
        <v>48.456469886690101</v>
      </c>
      <c r="P62">
        <v>48.4564534869711</v>
      </c>
      <c r="Q62" t="s">
        <v>51</v>
      </c>
    </row>
    <row r="63" spans="1:17" x14ac:dyDescent="0.2">
      <c r="A63">
        <v>62</v>
      </c>
      <c r="B63">
        <v>770</v>
      </c>
      <c r="C63">
        <v>200</v>
      </c>
      <c r="D63">
        <v>0.39129607439006903</v>
      </c>
      <c r="E63">
        <v>110.823560732909</v>
      </c>
      <c r="F63">
        <v>1.8569446298302399</v>
      </c>
      <c r="G63">
        <v>-1846.9794611570114</v>
      </c>
      <c r="H63">
        <v>-1512.0398377010411</v>
      </c>
      <c r="I63">
        <v>321.08757525970901</v>
      </c>
      <c r="J63">
        <v>162.90104973046999</v>
      </c>
      <c r="K63">
        <v>59.680595184488901</v>
      </c>
      <c r="L63">
        <v>0.81209126742877946</v>
      </c>
      <c r="M63">
        <v>-0.81174158229396964</v>
      </c>
      <c r="N63">
        <v>48.449123256430603</v>
      </c>
      <c r="O63">
        <v>48.4491233317897</v>
      </c>
      <c r="P63">
        <v>48.449106934485698</v>
      </c>
      <c r="Q63" t="s">
        <v>51</v>
      </c>
    </row>
    <row r="64" spans="1:17" x14ac:dyDescent="0.2">
      <c r="A64">
        <v>63</v>
      </c>
      <c r="B64">
        <v>769</v>
      </c>
      <c r="C64">
        <v>200</v>
      </c>
      <c r="D64">
        <v>0.390644820803149</v>
      </c>
      <c r="E64">
        <v>110.82358156399199</v>
      </c>
      <c r="F64">
        <v>1.85663923531318</v>
      </c>
      <c r="G64">
        <v>-1846.6588334097194</v>
      </c>
      <c r="H64">
        <v>-1512.2981700855839</v>
      </c>
      <c r="I64">
        <v>320.84015361270502</v>
      </c>
      <c r="J64">
        <v>162.89023960788299</v>
      </c>
      <c r="K64">
        <v>59.690423134518397</v>
      </c>
      <c r="L64">
        <v>0.80786885378431283</v>
      </c>
      <c r="M64">
        <v>-0.8075167195803552</v>
      </c>
      <c r="N64">
        <v>48.2049358501055</v>
      </c>
      <c r="O64">
        <v>48.204935796134102</v>
      </c>
      <c r="P64">
        <v>48.2049192756309</v>
      </c>
      <c r="Q64" t="s">
        <v>51</v>
      </c>
    </row>
    <row r="65" spans="1:17" x14ac:dyDescent="0.2">
      <c r="A65">
        <v>64</v>
      </c>
      <c r="B65">
        <v>768</v>
      </c>
      <c r="C65">
        <v>200</v>
      </c>
      <c r="D65">
        <v>0.38999231618883101</v>
      </c>
      <c r="E65">
        <v>110.82360235771</v>
      </c>
      <c r="F65">
        <v>1.85633554465173</v>
      </c>
      <c r="G65">
        <v>-1846.3384527435617</v>
      </c>
      <c r="H65">
        <v>-1512.5567363423218</v>
      </c>
      <c r="I65">
        <v>320.59226945724402</v>
      </c>
      <c r="J65">
        <v>162.88033457091001</v>
      </c>
      <c r="K65">
        <v>59.700199501648697</v>
      </c>
      <c r="L65">
        <v>0.80363088325095577</v>
      </c>
      <c r="M65">
        <v>-0.80327629475840645</v>
      </c>
      <c r="N65">
        <v>47.959694845177602</v>
      </c>
      <c r="O65">
        <v>47.9596946592875</v>
      </c>
      <c r="P65">
        <v>47.959678015243298</v>
      </c>
      <c r="Q65" t="s">
        <v>51</v>
      </c>
    </row>
    <row r="66" spans="1:17" x14ac:dyDescent="0.2">
      <c r="A66">
        <v>65</v>
      </c>
      <c r="B66">
        <v>767</v>
      </c>
      <c r="C66">
        <v>200</v>
      </c>
      <c r="D66">
        <v>0.38933855693890601</v>
      </c>
      <c r="E66">
        <v>110.823623126698</v>
      </c>
      <c r="F66">
        <v>1.85603582340728</v>
      </c>
      <c r="G66">
        <v>-1846.0183196678447</v>
      </c>
      <c r="H66">
        <v>-1512.8153407929499</v>
      </c>
      <c r="I66">
        <v>320.34411002850999</v>
      </c>
      <c r="J66">
        <v>162.87135938725399</v>
      </c>
      <c r="K66">
        <v>59.709851355805398</v>
      </c>
      <c r="L66">
        <v>0.79938669242811355</v>
      </c>
      <c r="M66">
        <v>-0.79902965003019444</v>
      </c>
      <c r="N66">
        <v>47.713899924693003</v>
      </c>
      <c r="O66">
        <v>47.7138996042762</v>
      </c>
      <c r="P66">
        <v>47.713882836624997</v>
      </c>
      <c r="Q66" t="s">
        <v>51</v>
      </c>
    </row>
    <row r="67" spans="1:17" x14ac:dyDescent="0.2">
      <c r="A67">
        <v>66</v>
      </c>
      <c r="B67">
        <v>766</v>
      </c>
      <c r="C67">
        <v>200</v>
      </c>
      <c r="D67">
        <v>0.38868353943126899</v>
      </c>
      <c r="E67">
        <v>110.823643874688</v>
      </c>
      <c r="F67">
        <v>1.85574078758202</v>
      </c>
      <c r="G67">
        <v>-1845.6984344908201</v>
      </c>
      <c r="H67">
        <v>-1513.0739249622939</v>
      </c>
      <c r="I67">
        <v>320.095731085615</v>
      </c>
      <c r="J67">
        <v>162.863320575643</v>
      </c>
      <c r="K67">
        <v>59.719355535148601</v>
      </c>
      <c r="L67">
        <v>0.79513922132956449</v>
      </c>
      <c r="M67">
        <v>-0.79477972727520008</v>
      </c>
      <c r="N67">
        <v>47.4677097517988</v>
      </c>
      <c r="O67">
        <v>47.467709294238297</v>
      </c>
      <c r="P67">
        <v>47.467692403008598</v>
      </c>
      <c r="Q67" t="s">
        <v>51</v>
      </c>
    </row>
    <row r="68" spans="1:17" x14ac:dyDescent="0.2">
      <c r="A68">
        <v>67</v>
      </c>
      <c r="B68">
        <v>765</v>
      </c>
      <c r="C68">
        <v>200</v>
      </c>
      <c r="D68">
        <v>0.38802726002986099</v>
      </c>
      <c r="E68">
        <v>110.823664605658</v>
      </c>
      <c r="F68">
        <v>1.8554511382466301</v>
      </c>
      <c r="G68">
        <v>-1845.3787974691545</v>
      </c>
      <c r="H68">
        <v>-1513.3324308024294</v>
      </c>
      <c r="I68">
        <v>319.84718814138301</v>
      </c>
      <c r="J68">
        <v>162.856224312519</v>
      </c>
      <c r="K68">
        <v>59.728689331256</v>
      </c>
      <c r="L68">
        <v>0.79089138872038267</v>
      </c>
      <c r="M68">
        <v>-0.79052944710304485</v>
      </c>
      <c r="N68">
        <v>47.221282587129899</v>
      </c>
      <c r="O68">
        <v>47.221281989803401</v>
      </c>
      <c r="P68">
        <v>47.2212649751174</v>
      </c>
      <c r="Q68" t="s">
        <v>51</v>
      </c>
    </row>
    <row r="69" spans="1:17" x14ac:dyDescent="0.2">
      <c r="A69">
        <v>68</v>
      </c>
      <c r="B69">
        <v>764</v>
      </c>
      <c r="C69">
        <v>200</v>
      </c>
      <c r="D69">
        <v>0.38736971508460899</v>
      </c>
      <c r="E69">
        <v>110.823685323798</v>
      </c>
      <c r="F69">
        <v>1.8551675575459401</v>
      </c>
      <c r="G69">
        <v>-1845.0594088076305</v>
      </c>
      <c r="H69">
        <v>-1513.5908010499909</v>
      </c>
      <c r="I69">
        <v>319.59853611644297</v>
      </c>
      <c r="J69">
        <v>162.85007649839301</v>
      </c>
      <c r="K69">
        <v>59.7378306196766</v>
      </c>
      <c r="L69">
        <v>0.78664607450215929</v>
      </c>
      <c r="M69">
        <v>-0.78628169122810454</v>
      </c>
      <c r="N69">
        <v>46.974775323811798</v>
      </c>
      <c r="O69">
        <v>46.974774584094803</v>
      </c>
      <c r="P69">
        <v>46.974757446167402</v>
      </c>
      <c r="Q69" t="s">
        <v>51</v>
      </c>
    </row>
    <row r="70" spans="1:17" x14ac:dyDescent="0.2">
      <c r="A70">
        <v>69</v>
      </c>
      <c r="B70">
        <v>763</v>
      </c>
      <c r="C70">
        <v>200</v>
      </c>
      <c r="D70">
        <v>0.38671090093133698</v>
      </c>
      <c r="E70">
        <v>110.82371122306201</v>
      </c>
      <c r="F70">
        <v>1.8541597042361</v>
      </c>
      <c r="G70">
        <v>-1844.7403721782109</v>
      </c>
      <c r="H70">
        <v>-1513.9614961785683</v>
      </c>
      <c r="I70">
        <v>319.24135971409601</v>
      </c>
      <c r="J70">
        <v>162.85243815113299</v>
      </c>
      <c r="K70">
        <v>59.770315884802002</v>
      </c>
      <c r="L70">
        <v>0.77688372611431489</v>
      </c>
      <c r="M70">
        <v>-0.77651425350106196</v>
      </c>
      <c r="N70">
        <v>46.416563252967698</v>
      </c>
      <c r="O70">
        <v>46.416562365233901</v>
      </c>
      <c r="P70">
        <v>46.416544975708597</v>
      </c>
      <c r="Q70" t="s">
        <v>51</v>
      </c>
    </row>
    <row r="71" spans="1:17" x14ac:dyDescent="0.2">
      <c r="A71">
        <v>70</v>
      </c>
      <c r="B71">
        <v>762</v>
      </c>
      <c r="C71">
        <v>200</v>
      </c>
      <c r="D71">
        <v>0.38605081389170998</v>
      </c>
      <c r="E71">
        <v>110.823746543735</v>
      </c>
      <c r="F71">
        <v>1.85178046213451</v>
      </c>
      <c r="G71">
        <v>-1844.4219835629158</v>
      </c>
      <c r="H71">
        <v>-1514.5448085097303</v>
      </c>
      <c r="I71">
        <v>318.678763205748</v>
      </c>
      <c r="J71">
        <v>162.87117678304301</v>
      </c>
      <c r="K71">
        <v>59.847130267262301</v>
      </c>
      <c r="L71">
        <v>0.7566838618641909</v>
      </c>
      <c r="M71">
        <v>-0.75630429285788248</v>
      </c>
      <c r="N71">
        <v>45.266807884786303</v>
      </c>
      <c r="O71">
        <v>45.266806837012297</v>
      </c>
      <c r="P71">
        <v>45.266788952260796</v>
      </c>
      <c r="Q71" t="s">
        <v>51</v>
      </c>
    </row>
    <row r="72" spans="1:17" x14ac:dyDescent="0.2">
      <c r="A72">
        <v>71</v>
      </c>
      <c r="B72">
        <v>761</v>
      </c>
      <c r="C72">
        <v>200</v>
      </c>
      <c r="D72">
        <v>0.38538945027317301</v>
      </c>
      <c r="E72">
        <v>110.823781539008</v>
      </c>
      <c r="F72">
        <v>1.8493704887574101</v>
      </c>
      <c r="G72">
        <v>-1844.1041555921365</v>
      </c>
      <c r="H72">
        <v>-1515.1348967620747</v>
      </c>
      <c r="I72">
        <v>318.10907013296202</v>
      </c>
      <c r="J72">
        <v>162.89286272137801</v>
      </c>
      <c r="K72">
        <v>59.925137884875703</v>
      </c>
      <c r="L72">
        <v>0.73614569140463126</v>
      </c>
      <c r="M72">
        <v>-0.73575588295940719</v>
      </c>
      <c r="N72">
        <v>44.094545773524104</v>
      </c>
      <c r="O72">
        <v>44.0945445572126</v>
      </c>
      <c r="P72">
        <v>44.094526168793799</v>
      </c>
      <c r="Q72" t="s">
        <v>51</v>
      </c>
    </row>
    <row r="73" spans="1:17" x14ac:dyDescent="0.2">
      <c r="A73">
        <v>72</v>
      </c>
      <c r="B73">
        <v>760</v>
      </c>
      <c r="C73">
        <v>200</v>
      </c>
      <c r="D73">
        <v>0.38472680636887402</v>
      </c>
      <c r="E73">
        <v>110.823816167704</v>
      </c>
      <c r="F73">
        <v>1.8469216871216001</v>
      </c>
      <c r="G73">
        <v>-1843.78689538701</v>
      </c>
      <c r="H73">
        <v>-1515.7332747607841</v>
      </c>
      <c r="I73">
        <v>317.53080180585602</v>
      </c>
      <c r="J73">
        <v>162.91736004742</v>
      </c>
      <c r="K73">
        <v>60.004610341882803</v>
      </c>
      <c r="L73">
        <v>0.71518787688203866</v>
      </c>
      <c r="M73">
        <v>-0.71478765413807843</v>
      </c>
      <c r="N73">
        <v>42.8949361251874</v>
      </c>
      <c r="O73">
        <v>42.894934731530299</v>
      </c>
      <c r="P73">
        <v>42.894915829407203</v>
      </c>
      <c r="Q73" t="s">
        <v>51</v>
      </c>
    </row>
    <row r="74" spans="1:17" x14ac:dyDescent="0.2">
      <c r="A74">
        <v>73</v>
      </c>
      <c r="B74">
        <v>759</v>
      </c>
      <c r="C74">
        <v>200</v>
      </c>
      <c r="D74">
        <v>0.38406287845759102</v>
      </c>
      <c r="E74">
        <v>110.823850372037</v>
      </c>
      <c r="F74">
        <v>1.8444217878661</v>
      </c>
      <c r="G74">
        <v>-1843.4702115790974</v>
      </c>
      <c r="H74">
        <v>-1516.3421249965979</v>
      </c>
      <c r="I74">
        <v>316.94182755864</v>
      </c>
      <c r="J74">
        <v>162.944503446927</v>
      </c>
      <c r="K74">
        <v>60.085958158331202</v>
      </c>
      <c r="L74">
        <v>0.69369420540747417</v>
      </c>
      <c r="M74">
        <v>-0.69328334665602653</v>
      </c>
      <c r="N74">
        <v>41.661086313313596</v>
      </c>
      <c r="O74">
        <v>41.661084733098903</v>
      </c>
      <c r="P74">
        <v>41.661065304885703</v>
      </c>
      <c r="Q74" t="s">
        <v>51</v>
      </c>
    </row>
    <row r="75" spans="1:17" x14ac:dyDescent="0.2">
      <c r="A75">
        <v>74</v>
      </c>
      <c r="B75">
        <v>758</v>
      </c>
      <c r="C75">
        <v>200</v>
      </c>
      <c r="D75">
        <v>0.383397662803666</v>
      </c>
      <c r="E75">
        <v>110.82388406686501</v>
      </c>
      <c r="F75">
        <v>1.84185191587354</v>
      </c>
      <c r="G75">
        <v>-1843.1541149611296</v>
      </c>
      <c r="H75">
        <v>-1516.9646872343574</v>
      </c>
      <c r="I75">
        <v>316.33898542546098</v>
      </c>
      <c r="J75">
        <v>162.97408683904899</v>
      </c>
      <c r="K75">
        <v>60.169812302366402</v>
      </c>
      <c r="L75">
        <v>0.67149361834269561</v>
      </c>
      <c r="M75">
        <v>-0.67107183128121051</v>
      </c>
      <c r="N75">
        <v>40.382872052506698</v>
      </c>
      <c r="O75">
        <v>40.3828702759672</v>
      </c>
      <c r="P75">
        <v>40.382850305737499</v>
      </c>
      <c r="Q75" t="s">
        <v>51</v>
      </c>
    </row>
    <row r="76" spans="1:17" x14ac:dyDescent="0.2">
      <c r="A76">
        <v>75</v>
      </c>
      <c r="B76">
        <v>757</v>
      </c>
      <c r="C76">
        <v>200</v>
      </c>
      <c r="D76">
        <v>0.38273115565694399</v>
      </c>
      <c r="E76">
        <v>110.823917120922</v>
      </c>
      <c r="F76">
        <v>1.83918244173358</v>
      </c>
      <c r="G76">
        <v>-1842.8386195096264</v>
      </c>
      <c r="H76">
        <v>-1517.6059301996331</v>
      </c>
      <c r="I76">
        <v>315.71742622901598</v>
      </c>
      <c r="J76">
        <v>163.00584055908999</v>
      </c>
      <c r="K76">
        <v>60.257163512534298</v>
      </c>
      <c r="L76">
        <v>0.64832572984854853</v>
      </c>
      <c r="M76">
        <v>-0.64789261289149336</v>
      </c>
      <c r="N76">
        <v>39.044895132613703</v>
      </c>
      <c r="O76">
        <v>39.044893149172502</v>
      </c>
      <c r="P76">
        <v>39.044872615512404</v>
      </c>
      <c r="Q76" t="s">
        <v>51</v>
      </c>
    </row>
    <row r="77" spans="1:17" x14ac:dyDescent="0.2">
      <c r="A77">
        <v>76</v>
      </c>
      <c r="B77">
        <v>756</v>
      </c>
      <c r="C77">
        <v>200</v>
      </c>
      <c r="D77">
        <v>0.38206335325268598</v>
      </c>
      <c r="E77">
        <v>110.823949321079</v>
      </c>
      <c r="F77">
        <v>1.83636537481963</v>
      </c>
      <c r="G77">
        <v>-1842.5237440336659</v>
      </c>
      <c r="H77">
        <v>-1518.2737980237446</v>
      </c>
      <c r="I77">
        <v>315.06939608450102</v>
      </c>
      <c r="J77">
        <v>163.039383249134</v>
      </c>
      <c r="K77">
        <v>60.349618240849502</v>
      </c>
      <c r="L77">
        <v>0.62377693661953548</v>
      </c>
      <c r="M77">
        <v>-0.62333191266244559</v>
      </c>
      <c r="N77">
        <v>37.622691423561697</v>
      </c>
      <c r="O77">
        <v>37.622689221388299</v>
      </c>
      <c r="P77">
        <v>37.622668094054703</v>
      </c>
      <c r="Q77" t="s">
        <v>51</v>
      </c>
    </row>
    <row r="78" spans="1:17" x14ac:dyDescent="0.2">
      <c r="A78">
        <v>77</v>
      </c>
      <c r="B78">
        <v>755</v>
      </c>
      <c r="C78">
        <v>200</v>
      </c>
      <c r="D78">
        <v>0.38139425181150599</v>
      </c>
      <c r="E78">
        <v>110.823980296972</v>
      </c>
      <c r="F78">
        <v>1.83331920837955</v>
      </c>
      <c r="G78">
        <v>-1842.2095149311456</v>
      </c>
      <c r="H78">
        <v>-1518.9817233416027</v>
      </c>
      <c r="I78">
        <v>314.38178114367599</v>
      </c>
      <c r="J78">
        <v>163.07411321729401</v>
      </c>
      <c r="K78">
        <v>60.449909535900197</v>
      </c>
      <c r="L78">
        <v>0.59715189851921446</v>
      </c>
      <c r="M78">
        <v>-0.59669409355236125</v>
      </c>
      <c r="N78">
        <v>36.075086627136002</v>
      </c>
      <c r="O78">
        <v>36.075084192315899</v>
      </c>
      <c r="P78">
        <v>36.0750624261008</v>
      </c>
      <c r="Q78" t="s">
        <v>51</v>
      </c>
    </row>
    <row r="79" spans="1:17" x14ac:dyDescent="0.2">
      <c r="A79">
        <v>78</v>
      </c>
      <c r="B79">
        <v>754</v>
      </c>
      <c r="C79">
        <v>200</v>
      </c>
      <c r="D79">
        <v>0.38072384753930699</v>
      </c>
      <c r="E79">
        <v>110.824009343231</v>
      </c>
      <c r="F79">
        <v>1.8298959466576099</v>
      </c>
      <c r="G79">
        <v>-1841.8959709977294</v>
      </c>
      <c r="H79">
        <v>-1519.754178295575</v>
      </c>
      <c r="I79">
        <v>313.63068296193597</v>
      </c>
      <c r="J79">
        <v>163.10893902769399</v>
      </c>
      <c r="K79">
        <v>60.5630115448132</v>
      </c>
      <c r="L79">
        <v>0.56719069467628347</v>
      </c>
      <c r="M79">
        <v>-0.56671869568600597</v>
      </c>
      <c r="N79">
        <v>34.327323723737301</v>
      </c>
      <c r="O79">
        <v>34.327321038591599</v>
      </c>
      <c r="P79">
        <v>34.327298561053702</v>
      </c>
      <c r="Q79" t="s">
        <v>51</v>
      </c>
    </row>
    <row r="80" spans="1:17" x14ac:dyDescent="0.2">
      <c r="A80">
        <v>79</v>
      </c>
      <c r="B80">
        <v>753</v>
      </c>
      <c r="C80">
        <v>200</v>
      </c>
      <c r="D80">
        <v>0.380052136627202</v>
      </c>
      <c r="E80">
        <v>110.82403494899199</v>
      </c>
      <c r="F80">
        <v>1.8258052728460299</v>
      </c>
      <c r="G80">
        <v>-1841.5831720582075</v>
      </c>
      <c r="H80">
        <v>-1520.6397795042735</v>
      </c>
      <c r="I80">
        <v>312.76860581739999</v>
      </c>
      <c r="J80">
        <v>163.14153879935901</v>
      </c>
      <c r="K80">
        <v>60.698715573452901</v>
      </c>
      <c r="L80">
        <v>0.53140550245833162</v>
      </c>
      <c r="M80">
        <v>-0.5309168347836033</v>
      </c>
      <c r="N80">
        <v>32.2312811650079</v>
      </c>
      <c r="O80">
        <v>32.231278204373901</v>
      </c>
      <c r="P80">
        <v>32.231254889261699</v>
      </c>
      <c r="Q80" t="s">
        <v>51</v>
      </c>
    </row>
    <row r="81" spans="1:17" x14ac:dyDescent="0.2">
      <c r="A81">
        <v>80</v>
      </c>
      <c r="B81">
        <v>752</v>
      </c>
      <c r="C81">
        <v>200</v>
      </c>
      <c r="D81">
        <v>0.37937911525142798</v>
      </c>
      <c r="E81">
        <v>110.82983824627399</v>
      </c>
      <c r="F81">
        <v>1.80116395579324</v>
      </c>
      <c r="G81">
        <v>-1841.3662701773178</v>
      </c>
      <c r="H81">
        <v>-1525.1132505768039</v>
      </c>
      <c r="I81">
        <v>308.49918580767599</v>
      </c>
      <c r="J81">
        <v>162.98131170889101</v>
      </c>
      <c r="K81">
        <v>61.532342955121997</v>
      </c>
      <c r="L81">
        <v>0.32894841821597187</v>
      </c>
      <c r="M81">
        <v>-0.32836964699625382</v>
      </c>
      <c r="N81">
        <v>20.211700757988901</v>
      </c>
      <c r="O81">
        <v>20.211697083456698</v>
      </c>
      <c r="P81">
        <v>20.211669194447701</v>
      </c>
      <c r="Q81" t="s">
        <v>51</v>
      </c>
    </row>
    <row r="82" spans="1:17" x14ac:dyDescent="0.2">
      <c r="A82">
        <v>81</v>
      </c>
      <c r="B82">
        <v>751</v>
      </c>
      <c r="C82">
        <v>200</v>
      </c>
      <c r="D82">
        <v>0.378704779573308</v>
      </c>
      <c r="E82">
        <v>110.834479057712</v>
      </c>
      <c r="F82">
        <v>1.78430251951406</v>
      </c>
      <c r="G82">
        <v>-1841.1351006432649</v>
      </c>
      <c r="H82">
        <v>-1528.4109398565888</v>
      </c>
      <c r="I82">
        <v>305.35533107806401</v>
      </c>
      <c r="J82">
        <v>162.86345413912301</v>
      </c>
      <c r="K82">
        <v>62.116416832666502</v>
      </c>
      <c r="L82">
        <v>0.18637555089822067</v>
      </c>
      <c r="M82">
        <v>-0.1857336462402637</v>
      </c>
      <c r="N82">
        <v>11.544189499462</v>
      </c>
      <c r="O82">
        <v>11.5441851913554</v>
      </c>
      <c r="P82">
        <v>11.5441540213934</v>
      </c>
      <c r="Q82" t="s">
        <v>51</v>
      </c>
    </row>
    <row r="83" spans="1:17" x14ac:dyDescent="0.2">
      <c r="A83">
        <v>82</v>
      </c>
      <c r="B83">
        <v>750</v>
      </c>
      <c r="C83">
        <v>200</v>
      </c>
      <c r="D83">
        <v>0.37802912573913899</v>
      </c>
      <c r="E83">
        <v>110.836256888481</v>
      </c>
      <c r="F83">
        <v>1.7780416921789499</v>
      </c>
      <c r="G83">
        <v>-1840.8594377042805</v>
      </c>
      <c r="H83">
        <v>-1529.882968297024</v>
      </c>
      <c r="I83">
        <v>303.94586559346101</v>
      </c>
      <c r="J83">
        <v>162.84018769646099</v>
      </c>
      <c r="K83">
        <v>62.336140584337898</v>
      </c>
      <c r="L83">
        <v>0.12773703327290004</v>
      </c>
      <c r="M83">
        <v>-0.12706936762972629</v>
      </c>
      <c r="N83">
        <v>7.92838499353818</v>
      </c>
      <c r="O83">
        <v>7.9283802462899304</v>
      </c>
      <c r="P83">
        <v>7.9283477200012697</v>
      </c>
      <c r="Q83" t="s">
        <v>51</v>
      </c>
    </row>
    <row r="84" spans="1:17" x14ac:dyDescent="0.2">
      <c r="A84">
        <v>83</v>
      </c>
      <c r="B84">
        <v>749</v>
      </c>
      <c r="C84">
        <v>200</v>
      </c>
      <c r="D84">
        <v>0.37735214988015597</v>
      </c>
      <c r="E84">
        <v>110.83727239449399</v>
      </c>
      <c r="F84">
        <v>1.7752918323531599</v>
      </c>
      <c r="G84">
        <v>-1840.5724461129739</v>
      </c>
      <c r="H84">
        <v>-1530.7364658885028</v>
      </c>
      <c r="I84">
        <v>303.12757404679002</v>
      </c>
      <c r="J84">
        <v>162.85177853971601</v>
      </c>
      <c r="K84">
        <v>62.433268927722096</v>
      </c>
      <c r="L84">
        <v>9.713567083841175E-2</v>
      </c>
      <c r="M84">
        <v>-9.6454683261052082E-2</v>
      </c>
      <c r="N84">
        <v>6.0294922591805404</v>
      </c>
      <c r="O84">
        <v>6.0294871393737797</v>
      </c>
      <c r="P84">
        <v>6.0294539081903702</v>
      </c>
      <c r="Q84" t="s">
        <v>51</v>
      </c>
    </row>
    <row r="85" spans="1:17" x14ac:dyDescent="0.2">
      <c r="A85">
        <v>84</v>
      </c>
      <c r="B85">
        <v>748</v>
      </c>
      <c r="C85">
        <v>200</v>
      </c>
      <c r="D85">
        <v>0.37667384811242399</v>
      </c>
      <c r="E85">
        <v>110.837279188463</v>
      </c>
      <c r="F85">
        <v>1.7735578931821201</v>
      </c>
      <c r="G85">
        <v>-1840.2697917123667</v>
      </c>
      <c r="H85">
        <v>-1531.4066163073703</v>
      </c>
      <c r="I85">
        <v>302.47185944160702</v>
      </c>
      <c r="J85">
        <v>162.87063554640901</v>
      </c>
      <c r="K85">
        <v>62.494311358282701</v>
      </c>
      <c r="L85">
        <v>7.4400302009984751E-2</v>
      </c>
      <c r="M85">
        <v>-7.3709472987641883E-2</v>
      </c>
      <c r="N85">
        <v>4.6140312642345496</v>
      </c>
      <c r="O85">
        <v>4.6140257863573604</v>
      </c>
      <c r="P85">
        <v>4.6139920342134602</v>
      </c>
      <c r="Q85" t="s">
        <v>51</v>
      </c>
    </row>
    <row r="86" spans="1:17" x14ac:dyDescent="0.2">
      <c r="A86">
        <v>85</v>
      </c>
      <c r="B86">
        <v>780</v>
      </c>
      <c r="C86">
        <v>175</v>
      </c>
      <c r="D86">
        <v>0.42385272753169101</v>
      </c>
      <c r="E86">
        <v>110.823517020617</v>
      </c>
      <c r="F86">
        <v>1.7888609144163501</v>
      </c>
      <c r="G86">
        <v>-1851.7195977923391</v>
      </c>
      <c r="H86">
        <v>-1511.2208118180854</v>
      </c>
      <c r="I86">
        <v>323.317594254244</v>
      </c>
      <c r="J86">
        <v>163.63383901071001</v>
      </c>
      <c r="K86">
        <v>61.952003158823203</v>
      </c>
      <c r="L86">
        <v>0.77903189025780728</v>
      </c>
      <c r="M86">
        <v>-0.77857629195401878</v>
      </c>
      <c r="N86">
        <v>48.240443747122001</v>
      </c>
      <c r="O86">
        <v>48.240453282930901</v>
      </c>
      <c r="P86">
        <v>48.240428102231</v>
      </c>
      <c r="Q86" t="s">
        <v>51</v>
      </c>
    </row>
    <row r="87" spans="1:17" x14ac:dyDescent="0.2">
      <c r="A87">
        <v>86</v>
      </c>
      <c r="B87">
        <v>779</v>
      </c>
      <c r="C87">
        <v>175</v>
      </c>
      <c r="D87">
        <v>0.42323860666254698</v>
      </c>
      <c r="E87">
        <v>110.823537144932</v>
      </c>
      <c r="F87">
        <v>1.7886695773804699</v>
      </c>
      <c r="G87">
        <v>-1851.3967252753225</v>
      </c>
      <c r="H87">
        <v>-1511.4744984096292</v>
      </c>
      <c r="I87">
        <v>323.07692269265402</v>
      </c>
      <c r="J87">
        <v>163.621039906568</v>
      </c>
      <c r="K87">
        <v>61.958641521278103</v>
      </c>
      <c r="L87">
        <v>0.77524383514379602</v>
      </c>
      <c r="M87">
        <v>-0.77478569997341917</v>
      </c>
      <c r="N87">
        <v>48.010772786376698</v>
      </c>
      <c r="O87">
        <v>48.010782224819003</v>
      </c>
      <c r="P87">
        <v>48.010756884134302</v>
      </c>
      <c r="Q87" t="s">
        <v>51</v>
      </c>
    </row>
    <row r="88" spans="1:17" x14ac:dyDescent="0.2">
      <c r="A88">
        <v>87</v>
      </c>
      <c r="B88">
        <v>778</v>
      </c>
      <c r="C88">
        <v>175</v>
      </c>
      <c r="D88">
        <v>0.422623317319128</v>
      </c>
      <c r="E88">
        <v>110.823557167101</v>
      </c>
      <c r="F88">
        <v>1.7884681710797199</v>
      </c>
      <c r="G88">
        <v>-1851.074092976696</v>
      </c>
      <c r="H88">
        <v>-1511.729396032486</v>
      </c>
      <c r="I88">
        <v>322.83486992213398</v>
      </c>
      <c r="J88">
        <v>163.60881078986401</v>
      </c>
      <c r="K88">
        <v>61.965630118088797</v>
      </c>
      <c r="L88">
        <v>0.77139579948798176</v>
      </c>
      <c r="M88">
        <v>-0.77093509139015082</v>
      </c>
      <c r="N88">
        <v>47.777602918226997</v>
      </c>
      <c r="O88">
        <v>47.777612256883998</v>
      </c>
      <c r="P88">
        <v>47.777586753813601</v>
      </c>
      <c r="Q88" t="s">
        <v>51</v>
      </c>
    </row>
    <row r="89" spans="1:17" x14ac:dyDescent="0.2">
      <c r="A89">
        <v>88</v>
      </c>
      <c r="B89">
        <v>777</v>
      </c>
      <c r="C89">
        <v>175</v>
      </c>
      <c r="D89">
        <v>0.42200685616340999</v>
      </c>
      <c r="E89">
        <v>110.82357717162699</v>
      </c>
      <c r="F89">
        <v>1.7882711366372199</v>
      </c>
      <c r="G89">
        <v>-1850.7517025222646</v>
      </c>
      <c r="H89">
        <v>-1511.9842775024465</v>
      </c>
      <c r="I89">
        <v>322.59260187472501</v>
      </c>
      <c r="J89">
        <v>163.597409567753</v>
      </c>
      <c r="K89">
        <v>61.972468772284103</v>
      </c>
      <c r="L89">
        <v>0.76754342374320172</v>
      </c>
      <c r="M89">
        <v>-0.76708014248056</v>
      </c>
      <c r="N89">
        <v>47.5439950720355</v>
      </c>
      <c r="O89">
        <v>47.544004307611502</v>
      </c>
      <c r="P89">
        <v>47.5439786418683</v>
      </c>
      <c r="Q89" t="s">
        <v>51</v>
      </c>
    </row>
    <row r="90" spans="1:17" x14ac:dyDescent="0.2">
      <c r="A90">
        <v>89</v>
      </c>
      <c r="B90">
        <v>776</v>
      </c>
      <c r="C90">
        <v>175</v>
      </c>
      <c r="D90">
        <v>0.42138921984463801</v>
      </c>
      <c r="E90">
        <v>110.823597162014</v>
      </c>
      <c r="F90">
        <v>1.78807911925371</v>
      </c>
      <c r="G90">
        <v>-1850.4295541608953</v>
      </c>
      <c r="H90">
        <v>-1512.2390928877801</v>
      </c>
      <c r="I90">
        <v>322.35016575299801</v>
      </c>
      <c r="J90">
        <v>163.586843958429</v>
      </c>
      <c r="K90">
        <v>61.979135021871002</v>
      </c>
      <c r="L90">
        <v>0.76368915521804548</v>
      </c>
      <c r="M90">
        <v>-0.76322330227194912</v>
      </c>
      <c r="N90">
        <v>47.310085513380102</v>
      </c>
      <c r="O90">
        <v>47.310094642508702</v>
      </c>
      <c r="P90">
        <v>47.3100688139086</v>
      </c>
      <c r="Q90" t="s">
        <v>51</v>
      </c>
    </row>
    <row r="91" spans="1:17" x14ac:dyDescent="0.2">
      <c r="A91">
        <v>90</v>
      </c>
      <c r="B91">
        <v>775</v>
      </c>
      <c r="C91">
        <v>175</v>
      </c>
      <c r="D91">
        <v>0.42077040499928797</v>
      </c>
      <c r="E91">
        <v>110.82361714194001</v>
      </c>
      <c r="F91">
        <v>1.7878927504572</v>
      </c>
      <c r="G91">
        <v>-1850.1076480972476</v>
      </c>
      <c r="H91">
        <v>-1512.4937927213653</v>
      </c>
      <c r="I91">
        <v>322.10760845430798</v>
      </c>
      <c r="J91">
        <v>163.577121292421</v>
      </c>
      <c r="K91">
        <v>61.985606862380699</v>
      </c>
      <c r="L91">
        <v>0.75983542016084249</v>
      </c>
      <c r="M91">
        <v>-0.75936699871306079</v>
      </c>
      <c r="N91">
        <v>47.076009963581001</v>
      </c>
      <c r="O91">
        <v>47.076018982827797</v>
      </c>
      <c r="P91">
        <v>47.075992991289397</v>
      </c>
      <c r="Q91" t="s">
        <v>51</v>
      </c>
    </row>
    <row r="92" spans="1:17" x14ac:dyDescent="0.2">
      <c r="A92">
        <v>91</v>
      </c>
      <c r="B92">
        <v>774</v>
      </c>
      <c r="C92">
        <v>175</v>
      </c>
      <c r="D92">
        <v>0.420150408250972</v>
      </c>
      <c r="E92">
        <v>110.823637115243</v>
      </c>
      <c r="F92">
        <v>1.7877126448804599</v>
      </c>
      <c r="G92">
        <v>-1849.7859844919085</v>
      </c>
      <c r="H92">
        <v>-1512.7483282752057</v>
      </c>
      <c r="I92">
        <v>321.86497630738103</v>
      </c>
      <c r="J92">
        <v>163.568248538803</v>
      </c>
      <c r="K92">
        <v>61.991862860405902</v>
      </c>
      <c r="L92">
        <v>0.75598461055775334</v>
      </c>
      <c r="M92">
        <v>-0.75551362546341794</v>
      </c>
      <c r="N92">
        <v>46.841902852827502</v>
      </c>
      <c r="O92">
        <v>46.841911758693598</v>
      </c>
      <c r="P92">
        <v>46.841885604236801</v>
      </c>
      <c r="Q92" t="s">
        <v>51</v>
      </c>
    </row>
    <row r="93" spans="1:17" x14ac:dyDescent="0.2">
      <c r="A93">
        <v>92</v>
      </c>
      <c r="B93">
        <v>773</v>
      </c>
      <c r="C93">
        <v>175</v>
      </c>
      <c r="D93">
        <v>0.41952922621038902</v>
      </c>
      <c r="E93">
        <v>110.8236570859</v>
      </c>
      <c r="F93">
        <v>1.7875393973152001</v>
      </c>
      <c r="G93">
        <v>-1849.4645634618319</v>
      </c>
      <c r="H93">
        <v>-1513.0026518175684</v>
      </c>
      <c r="I93">
        <v>321.622314824265</v>
      </c>
      <c r="J93">
        <v>163.56023233684601</v>
      </c>
      <c r="K93">
        <v>61.9978822577852</v>
      </c>
      <c r="L93">
        <v>0.75213907177007033</v>
      </c>
      <c r="M93">
        <v>-0.75166552952247134</v>
      </c>
      <c r="N93">
        <v>46.607896614245597</v>
      </c>
      <c r="O93">
        <v>46.607905403170498</v>
      </c>
      <c r="P93">
        <v>46.6078790859154</v>
      </c>
      <c r="Q93" t="s">
        <v>51</v>
      </c>
    </row>
    <row r="94" spans="1:17" x14ac:dyDescent="0.2">
      <c r="A94">
        <v>93</v>
      </c>
      <c r="B94">
        <v>772</v>
      </c>
      <c r="C94">
        <v>175</v>
      </c>
      <c r="D94">
        <v>0.418906855475288</v>
      </c>
      <c r="E94">
        <v>110.823677058036</v>
      </c>
      <c r="F94">
        <v>1.7873735800903501</v>
      </c>
      <c r="G94">
        <v>-1849.1433850813496</v>
      </c>
      <c r="H94">
        <v>-1513.2567168492142</v>
      </c>
      <c r="I94">
        <v>321.379668471429</v>
      </c>
      <c r="J94">
        <v>163.553079032509</v>
      </c>
      <c r="K94">
        <v>62.003645064751801</v>
      </c>
      <c r="L94">
        <v>0.7483010911973299</v>
      </c>
      <c r="M94">
        <v>-0.74782499988528695</v>
      </c>
      <c r="N94">
        <v>46.374121029651697</v>
      </c>
      <c r="O94">
        <v>46.3741296980172</v>
      </c>
      <c r="P94">
        <v>46.374103218181901</v>
      </c>
      <c r="Q94" t="s">
        <v>51</v>
      </c>
    </row>
    <row r="95" spans="1:17" x14ac:dyDescent="0.2">
      <c r="A95">
        <v>94</v>
      </c>
      <c r="B95">
        <v>771</v>
      </c>
      <c r="C95">
        <v>175</v>
      </c>
      <c r="D95">
        <v>0.41828329263037001</v>
      </c>
      <c r="E95">
        <v>110.82369703583301</v>
      </c>
      <c r="F95">
        <v>1.78721574077639</v>
      </c>
      <c r="G95">
        <v>-1848.8224493818245</v>
      </c>
      <c r="H95">
        <v>-1513.5104783153156</v>
      </c>
      <c r="I95">
        <v>321.13708046151299</v>
      </c>
      <c r="J95">
        <v>163.54679471945801</v>
      </c>
      <c r="K95">
        <v>62.009132141870197</v>
      </c>
      <c r="L95">
        <v>0.7444728880417173</v>
      </c>
      <c r="M95">
        <v>-0.74399425730028057</v>
      </c>
      <c r="N95">
        <v>46.140702632046199</v>
      </c>
      <c r="O95">
        <v>46.140711176179899</v>
      </c>
      <c r="P95">
        <v>46.140684534078098</v>
      </c>
      <c r="Q95" t="s">
        <v>51</v>
      </c>
    </row>
    <row r="96" spans="1:17" x14ac:dyDescent="0.2">
      <c r="A96">
        <v>95</v>
      </c>
      <c r="B96">
        <v>770</v>
      </c>
      <c r="C96">
        <v>175</v>
      </c>
      <c r="D96">
        <v>0.41765853424723398</v>
      </c>
      <c r="E96">
        <v>110.823717023583</v>
      </c>
      <c r="F96">
        <v>1.78706640024765</v>
      </c>
      <c r="G96">
        <v>-1848.5017563539375</v>
      </c>
      <c r="H96">
        <v>-1513.7638927948024</v>
      </c>
      <c r="I96">
        <v>320.89459256803599</v>
      </c>
      <c r="J96">
        <v>163.54138528372201</v>
      </c>
      <c r="K96">
        <v>62.014325269741001</v>
      </c>
      <c r="L96">
        <v>0.74065660427030855</v>
      </c>
      <c r="M96">
        <v>-0.74017544522563117</v>
      </c>
      <c r="N96">
        <v>45.907764170601801</v>
      </c>
      <c r="O96">
        <v>45.907772586781</v>
      </c>
      <c r="P96">
        <v>45.907745782819397</v>
      </c>
      <c r="Q96" t="s">
        <v>51</v>
      </c>
    </row>
    <row r="97" spans="1:17" x14ac:dyDescent="0.2">
      <c r="A97">
        <v>96</v>
      </c>
      <c r="B97">
        <v>769</v>
      </c>
      <c r="C97">
        <v>175</v>
      </c>
      <c r="D97">
        <v>0.41703257688433099</v>
      </c>
      <c r="E97">
        <v>110.823741497608</v>
      </c>
      <c r="F97">
        <v>1.78620604858475</v>
      </c>
      <c r="G97">
        <v>-1848.1813936463766</v>
      </c>
      <c r="H97">
        <v>-1514.116158047045</v>
      </c>
      <c r="I97">
        <v>320.55712157753601</v>
      </c>
      <c r="J97">
        <v>163.538793114828</v>
      </c>
      <c r="K97">
        <v>62.0442090571892</v>
      </c>
      <c r="L97">
        <v>0.73205529624046473</v>
      </c>
      <c r="M97">
        <v>-0.73156903907452941</v>
      </c>
      <c r="N97">
        <v>45.395960135928597</v>
      </c>
      <c r="O97">
        <v>45.395968469596802</v>
      </c>
      <c r="P97">
        <v>45.395941352543403</v>
      </c>
      <c r="Q97" t="s">
        <v>51</v>
      </c>
    </row>
    <row r="98" spans="1:17" x14ac:dyDescent="0.2">
      <c r="A98">
        <v>97</v>
      </c>
      <c r="B98">
        <v>768</v>
      </c>
      <c r="C98">
        <v>175</v>
      </c>
      <c r="D98">
        <v>0.416405417086878</v>
      </c>
      <c r="E98">
        <v>110.823775678655</v>
      </c>
      <c r="F98">
        <v>1.7837456922741599</v>
      </c>
      <c r="G98">
        <v>-1847.8616657736668</v>
      </c>
      <c r="H98">
        <v>-1514.6909380394434</v>
      </c>
      <c r="I98">
        <v>320.00593260763702</v>
      </c>
      <c r="J98">
        <v>163.54232413159201</v>
      </c>
      <c r="K98">
        <v>62.129807045174402</v>
      </c>
      <c r="L98">
        <v>0.71269159422105854</v>
      </c>
      <c r="M98">
        <v>-0.71219446098748207</v>
      </c>
      <c r="N98">
        <v>44.2549763442425</v>
      </c>
      <c r="O98">
        <v>44.254984698329103</v>
      </c>
      <c r="P98">
        <v>44.254956926985599</v>
      </c>
      <c r="Q98" t="s">
        <v>51</v>
      </c>
    </row>
    <row r="99" spans="1:17" x14ac:dyDescent="0.2">
      <c r="A99">
        <v>98</v>
      </c>
      <c r="B99">
        <v>767</v>
      </c>
      <c r="C99">
        <v>175</v>
      </c>
      <c r="D99">
        <v>0.41577705138682203</v>
      </c>
      <c r="E99">
        <v>110.82380953774</v>
      </c>
      <c r="F99">
        <v>1.7812657462713599</v>
      </c>
      <c r="G99">
        <v>-1847.5424865306236</v>
      </c>
      <c r="H99">
        <v>-1515.2711596467479</v>
      </c>
      <c r="I99">
        <v>319.44898082866001</v>
      </c>
      <c r="J99">
        <v>163.548051657119</v>
      </c>
      <c r="K99">
        <v>62.216325536895503</v>
      </c>
      <c r="L99">
        <v>0.6930596377242495</v>
      </c>
      <c r="M99">
        <v>-0.69255150668074417</v>
      </c>
      <c r="N99">
        <v>43.094617411703098</v>
      </c>
      <c r="O99">
        <v>43.094625779224003</v>
      </c>
      <c r="P99">
        <v>43.094597343906997</v>
      </c>
      <c r="Q99" t="s">
        <v>51</v>
      </c>
    </row>
    <row r="100" spans="1:17" x14ac:dyDescent="0.2">
      <c r="A100">
        <v>99</v>
      </c>
      <c r="B100">
        <v>766</v>
      </c>
      <c r="C100">
        <v>175</v>
      </c>
      <c r="D100">
        <v>0.41514747630275201</v>
      </c>
      <c r="E100">
        <v>110.823843034072</v>
      </c>
      <c r="F100">
        <v>1.7787576624703401</v>
      </c>
      <c r="G100">
        <v>-1847.2238616616025</v>
      </c>
      <c r="H100">
        <v>-1515.8582419379029</v>
      </c>
      <c r="I100">
        <v>318.88488976882098</v>
      </c>
      <c r="J100">
        <v>163.55575717489199</v>
      </c>
      <c r="K100">
        <v>62.304070628800403</v>
      </c>
      <c r="L100">
        <v>0.67308392529971262</v>
      </c>
      <c r="M100">
        <v>-0.67256464151799589</v>
      </c>
      <c r="N100">
        <v>41.9102596687869</v>
      </c>
      <c r="O100">
        <v>41.910268043077203</v>
      </c>
      <c r="P100">
        <v>41.910238932077803</v>
      </c>
      <c r="Q100" t="s">
        <v>51</v>
      </c>
    </row>
    <row r="101" spans="1:17" x14ac:dyDescent="0.2">
      <c r="A101">
        <v>100</v>
      </c>
      <c r="B101">
        <v>765</v>
      </c>
      <c r="C101">
        <v>175</v>
      </c>
      <c r="D101">
        <v>0.41451668833983701</v>
      </c>
      <c r="E101">
        <v>110.823876109674</v>
      </c>
      <c r="F101">
        <v>1.77620857973258</v>
      </c>
      <c r="G101">
        <v>-1846.9057982915551</v>
      </c>
      <c r="H101">
        <v>-1516.4542318172691</v>
      </c>
      <c r="I101">
        <v>318.31167433246702</v>
      </c>
      <c r="J101">
        <v>163.56516568113099</v>
      </c>
      <c r="K101">
        <v>62.393503428724202</v>
      </c>
      <c r="L101">
        <v>0.65265693130136326</v>
      </c>
      <c r="M101">
        <v>-0.65212629112879938</v>
      </c>
      <c r="N101">
        <v>40.695328518623803</v>
      </c>
      <c r="O101">
        <v>40.695336893561901</v>
      </c>
      <c r="P101">
        <v>40.695307092194803</v>
      </c>
      <c r="Q101" t="s">
        <v>51</v>
      </c>
    </row>
    <row r="102" spans="1:17" x14ac:dyDescent="0.2">
      <c r="A102">
        <v>101</v>
      </c>
      <c r="B102">
        <v>764</v>
      </c>
      <c r="C102">
        <v>175</v>
      </c>
      <c r="D102">
        <v>0.41388468398978101</v>
      </c>
      <c r="E102">
        <v>110.82390867900401</v>
      </c>
      <c r="F102">
        <v>1.7735991139554701</v>
      </c>
      <c r="G102">
        <v>-1846.5883055121471</v>
      </c>
      <c r="H102">
        <v>-1517.0621321169158</v>
      </c>
      <c r="I102">
        <v>317.72642215002298</v>
      </c>
      <c r="J102">
        <v>163.575918472578</v>
      </c>
      <c r="K102">
        <v>62.4853202772778</v>
      </c>
      <c r="L102">
        <v>0.63162259557937572</v>
      </c>
      <c r="M102">
        <v>-0.6310803230900619</v>
      </c>
      <c r="N102">
        <v>39.440283917828602</v>
      </c>
      <c r="O102">
        <v>39.4402922881698</v>
      </c>
      <c r="P102">
        <v>39.440261777327102</v>
      </c>
      <c r="Q102" t="s">
        <v>51</v>
      </c>
    </row>
    <row r="103" spans="1:17" x14ac:dyDescent="0.2">
      <c r="A103">
        <v>102</v>
      </c>
      <c r="B103">
        <v>763</v>
      </c>
      <c r="C103">
        <v>175</v>
      </c>
      <c r="D103">
        <v>0.41325145973073701</v>
      </c>
      <c r="E103">
        <v>110.823940612198</v>
      </c>
      <c r="F103">
        <v>1.77089972527114</v>
      </c>
      <c r="G103">
        <v>-1846.2713952783793</v>
      </c>
      <c r="H103">
        <v>-1517.6864479811761</v>
      </c>
      <c r="I103">
        <v>317.12476274500398</v>
      </c>
      <c r="J103">
        <v>163.587525052948</v>
      </c>
      <c r="K103">
        <v>62.580584903095101</v>
      </c>
      <c r="L103">
        <v>0.60974885940375023</v>
      </c>
      <c r="M103">
        <v>-0.60919456960583007</v>
      </c>
      <c r="N103">
        <v>38.130928555873503</v>
      </c>
      <c r="O103">
        <v>38.130936917764402</v>
      </c>
      <c r="P103">
        <v>38.130905671647199</v>
      </c>
      <c r="Q103" t="s">
        <v>51</v>
      </c>
    </row>
    <row r="104" spans="1:17" x14ac:dyDescent="0.2">
      <c r="A104">
        <v>103</v>
      </c>
      <c r="B104">
        <v>762</v>
      </c>
      <c r="C104">
        <v>175</v>
      </c>
      <c r="D104">
        <v>0.41261701202724399</v>
      </c>
      <c r="E104">
        <v>110.823971703363</v>
      </c>
      <c r="F104">
        <v>1.76806437985669</v>
      </c>
      <c r="G104">
        <v>-1845.9550837729498</v>
      </c>
      <c r="H104">
        <v>-1518.3341513228293</v>
      </c>
      <c r="I104">
        <v>316.49993027484601</v>
      </c>
      <c r="J104">
        <v>163.59927378324201</v>
      </c>
      <c r="K104">
        <v>62.680959452588098</v>
      </c>
      <c r="L104">
        <v>0.58667927963153199</v>
      </c>
      <c r="M104">
        <v>-0.58611241845914053</v>
      </c>
      <c r="N104">
        <v>36.745420409765302</v>
      </c>
      <c r="O104">
        <v>36.745428761573699</v>
      </c>
      <c r="P104">
        <v>36.7453967439818</v>
      </c>
      <c r="Q104" t="s">
        <v>51</v>
      </c>
    </row>
    <row r="105" spans="1:17" x14ac:dyDescent="0.2">
      <c r="A105">
        <v>104</v>
      </c>
      <c r="B105">
        <v>761</v>
      </c>
      <c r="C105">
        <v>175</v>
      </c>
      <c r="D105">
        <v>0.411981337330175</v>
      </c>
      <c r="E105">
        <v>110.824001607781</v>
      </c>
      <c r="F105">
        <v>1.7650188146719199</v>
      </c>
      <c r="G105">
        <v>-1845.6393935635349</v>
      </c>
      <c r="H105">
        <v>-1519.0164895193643</v>
      </c>
      <c r="I105">
        <v>315.841005388479</v>
      </c>
      <c r="J105">
        <v>163.61005605057599</v>
      </c>
      <c r="K105">
        <v>62.789133286594101</v>
      </c>
      <c r="L105">
        <v>0.56184256811451727</v>
      </c>
      <c r="M105">
        <v>-0.56126230922920262</v>
      </c>
      <c r="N105">
        <v>35.248672360546898</v>
      </c>
      <c r="O105">
        <v>35.248680704276701</v>
      </c>
      <c r="P105">
        <v>35.248647862211001</v>
      </c>
      <c r="Q105" t="s">
        <v>51</v>
      </c>
    </row>
    <row r="106" spans="1:17" x14ac:dyDescent="0.2">
      <c r="A106">
        <v>105</v>
      </c>
      <c r="B106">
        <v>760</v>
      </c>
      <c r="C106">
        <v>175</v>
      </c>
      <c r="D106">
        <v>0.41134443207665999</v>
      </c>
      <c r="E106">
        <v>110.824029708353</v>
      </c>
      <c r="F106">
        <v>1.7616377659128699</v>
      </c>
      <c r="G106">
        <v>-1845.3243571202443</v>
      </c>
      <c r="H106">
        <v>-1519.7525586557028</v>
      </c>
      <c r="I106">
        <v>315.12944057058701</v>
      </c>
      <c r="J106">
        <v>163.61799933673899</v>
      </c>
      <c r="K106">
        <v>62.909658190101602</v>
      </c>
      <c r="L106">
        <v>0.53427477158875081</v>
      </c>
      <c r="M106">
        <v>-0.53367982881142484</v>
      </c>
      <c r="N106">
        <v>33.581298347397201</v>
      </c>
      <c r="O106">
        <v>33.581306691240897</v>
      </c>
      <c r="P106">
        <v>33.581272943236101</v>
      </c>
      <c r="Q106" t="s">
        <v>51</v>
      </c>
    </row>
    <row r="107" spans="1:17" x14ac:dyDescent="0.2">
      <c r="A107">
        <v>106</v>
      </c>
      <c r="B107">
        <v>759</v>
      </c>
      <c r="C107">
        <v>175</v>
      </c>
      <c r="D107">
        <v>0.41070629269001901</v>
      </c>
      <c r="E107">
        <v>110.824054809301</v>
      </c>
      <c r="F107">
        <v>1.7577017958716199</v>
      </c>
      <c r="G107">
        <v>-1845.010022518497</v>
      </c>
      <c r="H107">
        <v>-1520.5763162962817</v>
      </c>
      <c r="I107">
        <v>314.33223560228998</v>
      </c>
      <c r="J107">
        <v>163.61968363286701</v>
      </c>
      <c r="K107">
        <v>63.050544221777201</v>
      </c>
      <c r="L107">
        <v>0.50227362328413538</v>
      </c>
      <c r="M107">
        <v>-0.50166190092035734</v>
      </c>
      <c r="N107">
        <v>31.637951851174702</v>
      </c>
      <c r="O107">
        <v>31.6379602142054</v>
      </c>
      <c r="P107">
        <v>31.637925428471</v>
      </c>
      <c r="Q107" t="s">
        <v>51</v>
      </c>
    </row>
    <row r="108" spans="1:17" x14ac:dyDescent="0.2">
      <c r="A108">
        <v>107</v>
      </c>
      <c r="B108">
        <v>758</v>
      </c>
      <c r="C108">
        <v>175</v>
      </c>
      <c r="D108">
        <v>0.41006691557969399</v>
      </c>
      <c r="E108">
        <v>110.82407268693299</v>
      </c>
      <c r="F108">
        <v>1.75230764301574</v>
      </c>
      <c r="G108">
        <v>-1844.6964366970039</v>
      </c>
      <c r="H108">
        <v>-1521.6326844668492</v>
      </c>
      <c r="I108">
        <v>313.30866762416798</v>
      </c>
      <c r="J108">
        <v>163.59954434638499</v>
      </c>
      <c r="K108">
        <v>63.244643786523397</v>
      </c>
      <c r="L108">
        <v>0.45881200502548464</v>
      </c>
      <c r="M108">
        <v>-0.45817805844133336</v>
      </c>
      <c r="N108">
        <v>28.985493249267499</v>
      </c>
      <c r="O108">
        <v>28.9855016982211</v>
      </c>
      <c r="P108">
        <v>28.985465536042799</v>
      </c>
      <c r="Q108" t="s">
        <v>51</v>
      </c>
    </row>
    <row r="109" spans="1:17" x14ac:dyDescent="0.2">
      <c r="A109">
        <v>108</v>
      </c>
      <c r="B109">
        <v>757</v>
      </c>
      <c r="C109">
        <v>175</v>
      </c>
      <c r="D109">
        <v>0.40942629714119499</v>
      </c>
      <c r="E109">
        <v>110.833323680197</v>
      </c>
      <c r="F109">
        <v>1.72007318539892</v>
      </c>
      <c r="G109">
        <v>-1844.5371087421101</v>
      </c>
      <c r="H109">
        <v>-1527.1027919588198</v>
      </c>
      <c r="I109">
        <v>308.14902567582902</v>
      </c>
      <c r="J109">
        <v>163.12354412028199</v>
      </c>
      <c r="K109">
        <v>64.435237187011097</v>
      </c>
      <c r="L109">
        <v>0.21999503139990276</v>
      </c>
      <c r="M109">
        <v>-0.21924247282824216</v>
      </c>
      <c r="N109">
        <v>14.1367946783619</v>
      </c>
      <c r="O109">
        <v>14.1368046439463</v>
      </c>
      <c r="P109">
        <v>14.1367610345757</v>
      </c>
      <c r="Q109" t="s">
        <v>51</v>
      </c>
    </row>
    <row r="110" spans="1:17" x14ac:dyDescent="0.2">
      <c r="A110">
        <v>109</v>
      </c>
      <c r="B110">
        <v>756</v>
      </c>
      <c r="C110">
        <v>175</v>
      </c>
      <c r="D110">
        <v>0.40878443375601398</v>
      </c>
      <c r="E110">
        <v>110.835697742577</v>
      </c>
      <c r="F110">
        <v>1.7108762354338201</v>
      </c>
      <c r="G110">
        <v>-1844.2685905201911</v>
      </c>
      <c r="H110">
        <v>-1528.9602820186014</v>
      </c>
      <c r="I110">
        <v>306.38294202996798</v>
      </c>
      <c r="J110">
        <v>163.00100162361599</v>
      </c>
      <c r="K110">
        <v>64.783001509441902</v>
      </c>
      <c r="L110">
        <v>0.14534938757386923</v>
      </c>
      <c r="M110">
        <v>-0.1445598922569864</v>
      </c>
      <c r="N110">
        <v>9.3753874217747004</v>
      </c>
      <c r="O110">
        <v>9.3753976178424505</v>
      </c>
      <c r="P110">
        <v>9.3753516239138399</v>
      </c>
      <c r="Q110" t="s">
        <v>51</v>
      </c>
    </row>
    <row r="111" spans="1:17" x14ac:dyDescent="0.2">
      <c r="A111">
        <v>110</v>
      </c>
      <c r="B111">
        <v>755</v>
      </c>
      <c r="C111">
        <v>175</v>
      </c>
      <c r="D111">
        <v>0.40814132179156798</v>
      </c>
      <c r="E111">
        <v>110.83688364285599</v>
      </c>
      <c r="F111">
        <v>1.7067762001600999</v>
      </c>
      <c r="G111">
        <v>-1843.9820408124644</v>
      </c>
      <c r="H111">
        <v>-1530.0002266332574</v>
      </c>
      <c r="I111">
        <v>305.39090782531201</v>
      </c>
      <c r="J111">
        <v>162.961889762059</v>
      </c>
      <c r="K111">
        <v>64.939318718212306</v>
      </c>
      <c r="L111">
        <v>0.10717066541537555</v>
      </c>
      <c r="M111">
        <v>-0.10636233657640183</v>
      </c>
      <c r="N111">
        <v>6.9177070276977499</v>
      </c>
      <c r="O111">
        <v>6.9177171580355203</v>
      </c>
      <c r="P111">
        <v>6.91766993264185</v>
      </c>
      <c r="Q111" t="s">
        <v>51</v>
      </c>
    </row>
    <row r="112" spans="1:17" x14ac:dyDescent="0.2">
      <c r="A112">
        <v>111</v>
      </c>
      <c r="B112">
        <v>754</v>
      </c>
      <c r="C112">
        <v>175</v>
      </c>
      <c r="D112">
        <v>0.40749695760112897</v>
      </c>
      <c r="E112">
        <v>110.837660369585</v>
      </c>
      <c r="F112">
        <v>1.70486560041865</v>
      </c>
      <c r="G112">
        <v>-1843.6896349493848</v>
      </c>
      <c r="H112">
        <v>-1530.6830893969234</v>
      </c>
      <c r="I112">
        <v>304.73882331405002</v>
      </c>
      <c r="J112">
        <v>162.96089991635799</v>
      </c>
      <c r="K112">
        <v>65.012550163700496</v>
      </c>
      <c r="L112">
        <v>8.47740789471461E-2</v>
      </c>
      <c r="M112">
        <v>-8.3954727229197376E-2</v>
      </c>
      <c r="N112">
        <v>5.46885079516254</v>
      </c>
      <c r="O112">
        <v>5.4688607300162602</v>
      </c>
      <c r="P112">
        <v>5.4688127762572796</v>
      </c>
      <c r="Q112" t="s">
        <v>51</v>
      </c>
    </row>
    <row r="113" spans="1:17" x14ac:dyDescent="0.2">
      <c r="A113">
        <v>112</v>
      </c>
      <c r="B113">
        <v>753</v>
      </c>
      <c r="C113">
        <v>175</v>
      </c>
      <c r="D113">
        <v>0.40685133752375702</v>
      </c>
      <c r="E113">
        <v>110.837594381106</v>
      </c>
      <c r="F113">
        <v>1.70360913041707</v>
      </c>
      <c r="G113">
        <v>-1843.3841319793755</v>
      </c>
      <c r="H113">
        <v>-1531.2551541247024</v>
      </c>
      <c r="I113">
        <v>304.180661617076</v>
      </c>
      <c r="J113">
        <v>162.96841839200701</v>
      </c>
      <c r="K113">
        <v>65.060460408527803</v>
      </c>
      <c r="L113">
        <v>6.689584285391989E-2</v>
      </c>
      <c r="M113">
        <v>-6.606769304775563E-2</v>
      </c>
      <c r="N113">
        <v>4.3092314866473496</v>
      </c>
      <c r="O113">
        <v>4.30924118266908</v>
      </c>
      <c r="P113">
        <v>4.30919264497249</v>
      </c>
      <c r="Q113" t="s">
        <v>51</v>
      </c>
    </row>
    <row r="114" spans="1:17" x14ac:dyDescent="0.2">
      <c r="A114">
        <v>113</v>
      </c>
      <c r="B114">
        <v>792</v>
      </c>
      <c r="C114">
        <v>150</v>
      </c>
      <c r="D114">
        <v>0.456950194808243</v>
      </c>
      <c r="E114">
        <v>110.82343277275</v>
      </c>
      <c r="F114">
        <v>1.6985342882477099</v>
      </c>
      <c r="G114">
        <v>-1857.2013538819263</v>
      </c>
      <c r="H114">
        <v>-1509.9631846482994</v>
      </c>
      <c r="I114">
        <v>326.00251472766701</v>
      </c>
      <c r="J114">
        <v>164.07023615998099</v>
      </c>
      <c r="K114">
        <v>65.246509028134597</v>
      </c>
      <c r="L114">
        <v>0.73607895116554245</v>
      </c>
      <c r="M114">
        <v>-0.73548000338844199</v>
      </c>
      <c r="N114">
        <v>47.997467814745796</v>
      </c>
      <c r="O114">
        <v>47.997496432657201</v>
      </c>
      <c r="P114">
        <v>47.997456878812002</v>
      </c>
      <c r="Q114" t="s">
        <v>51</v>
      </c>
    </row>
    <row r="115" spans="1:17" x14ac:dyDescent="0.2">
      <c r="A115">
        <v>114</v>
      </c>
      <c r="B115">
        <v>791</v>
      </c>
      <c r="C115">
        <v>150</v>
      </c>
      <c r="D115">
        <v>0.45637410139548201</v>
      </c>
      <c r="E115">
        <v>110.823454653577</v>
      </c>
      <c r="F115">
        <v>1.69890423717401</v>
      </c>
      <c r="G115">
        <v>-1856.8757956602599</v>
      </c>
      <c r="H115">
        <v>-1510.1757131201416</v>
      </c>
      <c r="I115">
        <v>325.80322397598002</v>
      </c>
      <c r="J115">
        <v>164.06611482198599</v>
      </c>
      <c r="K115">
        <v>65.232313999006095</v>
      </c>
      <c r="L115">
        <v>0.7343221210344294</v>
      </c>
      <c r="M115">
        <v>-0.73372159636628709</v>
      </c>
      <c r="N115">
        <v>47.872325751291399</v>
      </c>
      <c r="O115">
        <v>47.872354315982797</v>
      </c>
      <c r="P115">
        <v>47.872314635435302</v>
      </c>
      <c r="Q115" t="s">
        <v>51</v>
      </c>
    </row>
    <row r="116" spans="1:17" x14ac:dyDescent="0.2">
      <c r="A116">
        <v>115</v>
      </c>
      <c r="B116">
        <v>790</v>
      </c>
      <c r="C116">
        <v>150</v>
      </c>
      <c r="D116">
        <v>0.45579692423458601</v>
      </c>
      <c r="E116">
        <v>110.82347376997799</v>
      </c>
      <c r="F116">
        <v>1.6988021550607399</v>
      </c>
      <c r="G116">
        <v>-1856.5504197798668</v>
      </c>
      <c r="H116">
        <v>-1510.4267902749332</v>
      </c>
      <c r="I116">
        <v>325.567477929733</v>
      </c>
      <c r="J116">
        <v>164.05081176486499</v>
      </c>
      <c r="K116">
        <v>65.236245103548001</v>
      </c>
      <c r="L116">
        <v>0.73089001329610148</v>
      </c>
      <c r="M116">
        <v>-0.730286730185988</v>
      </c>
      <c r="N116">
        <v>47.651157093385997</v>
      </c>
      <c r="O116">
        <v>47.651185665281702</v>
      </c>
      <c r="P116">
        <v>47.651145770933297</v>
      </c>
      <c r="Q116" t="s">
        <v>51</v>
      </c>
    </row>
    <row r="117" spans="1:17" x14ac:dyDescent="0.2">
      <c r="A117">
        <v>116</v>
      </c>
      <c r="B117">
        <v>789</v>
      </c>
      <c r="C117">
        <v>150</v>
      </c>
      <c r="D117">
        <v>0.45521866026455898</v>
      </c>
      <c r="E117">
        <v>110.823492874221</v>
      </c>
      <c r="F117">
        <v>1.69870462194216</v>
      </c>
      <c r="G117">
        <v>-1856.225279502476</v>
      </c>
      <c r="H117">
        <v>-1510.6778095555721</v>
      </c>
      <c r="I117">
        <v>325.33156431143198</v>
      </c>
      <c r="J117">
        <v>164.03626421493999</v>
      </c>
      <c r="K117">
        <v>65.240001965447405</v>
      </c>
      <c r="L117">
        <v>0.7274547722509983</v>
      </c>
      <c r="M117">
        <v>-0.72684872815542101</v>
      </c>
      <c r="N117">
        <v>47.429630010373998</v>
      </c>
      <c r="O117">
        <v>47.4296585863842</v>
      </c>
      <c r="P117">
        <v>47.429618477546697</v>
      </c>
      <c r="Q117" t="s">
        <v>51</v>
      </c>
    </row>
    <row r="118" spans="1:17" x14ac:dyDescent="0.2">
      <c r="A118">
        <v>117</v>
      </c>
      <c r="B118">
        <v>788</v>
      </c>
      <c r="C118">
        <v>150</v>
      </c>
      <c r="D118">
        <v>0.45463930641285699</v>
      </c>
      <c r="E118">
        <v>110.823511969498</v>
      </c>
      <c r="F118">
        <v>1.6986122260855001</v>
      </c>
      <c r="G118">
        <v>-1855.9003750280358</v>
      </c>
      <c r="H118">
        <v>-1510.9287286249814</v>
      </c>
      <c r="I118">
        <v>325.09552272424298</v>
      </c>
      <c r="J118">
        <v>164.02248220498501</v>
      </c>
      <c r="K118">
        <v>65.243561931079299</v>
      </c>
      <c r="L118">
        <v>0.72401840319701294</v>
      </c>
      <c r="M118">
        <v>-0.72340959711349417</v>
      </c>
      <c r="N118">
        <v>47.207860780674899</v>
      </c>
      <c r="O118">
        <v>47.207889357574302</v>
      </c>
      <c r="P118">
        <v>47.207849033668502</v>
      </c>
      <c r="Q118" t="s">
        <v>51</v>
      </c>
    </row>
    <row r="119" spans="1:17" x14ac:dyDescent="0.2">
      <c r="A119">
        <v>118</v>
      </c>
      <c r="B119">
        <v>787</v>
      </c>
      <c r="C119">
        <v>150</v>
      </c>
      <c r="D119">
        <v>0.45405885959534198</v>
      </c>
      <c r="E119">
        <v>110.82353105916501</v>
      </c>
      <c r="F119">
        <v>1.6985255442482801</v>
      </c>
      <c r="G119">
        <v>-1855.5757065197001</v>
      </c>
      <c r="H119">
        <v>-1511.1795055738055</v>
      </c>
      <c r="I119">
        <v>324.859392482663</v>
      </c>
      <c r="J119">
        <v>164.009475377195</v>
      </c>
      <c r="K119">
        <v>65.246902782503</v>
      </c>
      <c r="L119">
        <v>0.7205828939876141</v>
      </c>
      <c r="M119">
        <v>-0.71997132644136619</v>
      </c>
      <c r="N119">
        <v>46.985965199973499</v>
      </c>
      <c r="O119">
        <v>46.985993774403099</v>
      </c>
      <c r="P119">
        <v>46.985953234957996</v>
      </c>
      <c r="Q119" t="s">
        <v>51</v>
      </c>
    </row>
    <row r="120" spans="1:17" x14ac:dyDescent="0.2">
      <c r="A120">
        <v>119</v>
      </c>
      <c r="B120">
        <v>786</v>
      </c>
      <c r="C120">
        <v>150</v>
      </c>
      <c r="D120">
        <v>0.45347731671623798</v>
      </c>
      <c r="E120">
        <v>110.823550146692</v>
      </c>
      <c r="F120">
        <v>1.6984451390147901</v>
      </c>
      <c r="G120">
        <v>-1855.2512741033481</v>
      </c>
      <c r="H120">
        <v>-1511.4300991317896</v>
      </c>
      <c r="I120">
        <v>324.62321241117098</v>
      </c>
      <c r="J120">
        <v>163.99725297818199</v>
      </c>
      <c r="K120">
        <v>65.2500028414089</v>
      </c>
      <c r="L120">
        <v>0.71715020517896455</v>
      </c>
      <c r="M120">
        <v>-0.71653587820239428</v>
      </c>
      <c r="N120">
        <v>46.764058000560397</v>
      </c>
      <c r="O120">
        <v>46.764086569028898</v>
      </c>
      <c r="P120">
        <v>46.764045813681101</v>
      </c>
      <c r="Q120" t="s">
        <v>51</v>
      </c>
    </row>
    <row r="121" spans="1:17" x14ac:dyDescent="0.2">
      <c r="A121">
        <v>120</v>
      </c>
      <c r="B121">
        <v>785</v>
      </c>
      <c r="C121">
        <v>150</v>
      </c>
      <c r="D121">
        <v>0.452894674668055</v>
      </c>
      <c r="E121">
        <v>110.823569235688</v>
      </c>
      <c r="F121">
        <v>1.6983715563408599</v>
      </c>
      <c r="G121">
        <v>-1854.9270778686694</v>
      </c>
      <c r="H121">
        <v>-1511.6804688667239</v>
      </c>
      <c r="I121">
        <v>324.38702065496898</v>
      </c>
      <c r="J121">
        <v>163.98582385960799</v>
      </c>
      <c r="K121">
        <v>65.252841065271696</v>
      </c>
      <c r="L121">
        <v>0.71372226078853596</v>
      </c>
      <c r="M121">
        <v>-0.71310517789402228</v>
      </c>
      <c r="N121">
        <v>46.542252301919603</v>
      </c>
      <c r="O121">
        <v>46.542280860805803</v>
      </c>
      <c r="P121">
        <v>46.542239889297797</v>
      </c>
      <c r="Q121" t="s">
        <v>51</v>
      </c>
    </row>
    <row r="122" spans="1:17" x14ac:dyDescent="0.2">
      <c r="A122">
        <v>121</v>
      </c>
      <c r="B122">
        <v>784</v>
      </c>
      <c r="C122">
        <v>150</v>
      </c>
      <c r="D122">
        <v>0.45231093033155201</v>
      </c>
      <c r="E122">
        <v>110.823588329842</v>
      </c>
      <c r="F122">
        <v>1.69830532336066</v>
      </c>
      <c r="G122">
        <v>-1854.6031178688893</v>
      </c>
      <c r="H122">
        <v>-1511.9305753661124</v>
      </c>
      <c r="I122">
        <v>324.15085450469797</v>
      </c>
      <c r="J122">
        <v>163.975196483416</v>
      </c>
      <c r="K122">
        <v>65.255397133502996</v>
      </c>
      <c r="L122">
        <v>0.71030093979711695</v>
      </c>
      <c r="M122">
        <v>-0.70968110594363742</v>
      </c>
      <c r="N122">
        <v>46.320659099924903</v>
      </c>
      <c r="O122">
        <v>46.32068764548</v>
      </c>
      <c r="P122">
        <v>46.320646457658597</v>
      </c>
      <c r="Q122" t="s">
        <v>51</v>
      </c>
    </row>
    <row r="123" spans="1:17" x14ac:dyDescent="0.2">
      <c r="A123">
        <v>122</v>
      </c>
      <c r="B123">
        <v>783</v>
      </c>
      <c r="C123">
        <v>150</v>
      </c>
      <c r="D123">
        <v>0.45172608057567798</v>
      </c>
      <c r="E123">
        <v>110.82360743295401</v>
      </c>
      <c r="F123">
        <v>1.6982469464430201</v>
      </c>
      <c r="G123">
        <v>-1854.2793941222578</v>
      </c>
      <c r="H123">
        <v>-1512.1803804034562</v>
      </c>
      <c r="I123">
        <v>323.91475023639299</v>
      </c>
      <c r="J123">
        <v>163.96537893202199</v>
      </c>
      <c r="K123">
        <v>65.257651524163904</v>
      </c>
      <c r="L123">
        <v>0.70688806841909146</v>
      </c>
      <c r="M123">
        <v>-0.706265489973257</v>
      </c>
      <c r="N123">
        <v>46.099386797047103</v>
      </c>
      <c r="O123">
        <v>46.099415325398198</v>
      </c>
      <c r="P123">
        <v>46.099373921211601</v>
      </c>
      <c r="Q123" t="s">
        <v>51</v>
      </c>
    </row>
    <row r="124" spans="1:17" x14ac:dyDescent="0.2">
      <c r="A124">
        <v>123</v>
      </c>
      <c r="B124">
        <v>782</v>
      </c>
      <c r="C124">
        <v>150</v>
      </c>
      <c r="D124">
        <v>0.451140122257502</v>
      </c>
      <c r="E124">
        <v>110.82362654884901</v>
      </c>
      <c r="F124">
        <v>1.6981969095224501</v>
      </c>
      <c r="G124">
        <v>-1853.9559066117129</v>
      </c>
      <c r="H124">
        <v>-1512.4298470840833</v>
      </c>
      <c r="I124">
        <v>323.67874296818098</v>
      </c>
      <c r="J124">
        <v>163.95637892304501</v>
      </c>
      <c r="K124">
        <v>65.259585580104101</v>
      </c>
      <c r="L124">
        <v>0.70348541323621261</v>
      </c>
      <c r="M124">
        <v>-0.7028600979283548</v>
      </c>
      <c r="N124">
        <v>45.878540779374198</v>
      </c>
      <c r="O124">
        <v>45.878569286526897</v>
      </c>
      <c r="P124">
        <v>45.878527666022499</v>
      </c>
      <c r="Q124" t="s">
        <v>51</v>
      </c>
    </row>
    <row r="125" spans="1:17" x14ac:dyDescent="0.2">
      <c r="A125">
        <v>124</v>
      </c>
      <c r="B125">
        <v>781</v>
      </c>
      <c r="C125">
        <v>150</v>
      </c>
      <c r="D125">
        <v>0.45055305222216901</v>
      </c>
      <c r="E125">
        <v>110.823645681421</v>
      </c>
      <c r="F125">
        <v>1.6981556727101801</v>
      </c>
      <c r="G125">
        <v>-1853.6326552868331</v>
      </c>
      <c r="H125">
        <v>-1512.6789399738468</v>
      </c>
      <c r="I125">
        <v>323.44286653457698</v>
      </c>
      <c r="J125">
        <v>163.94820382823701</v>
      </c>
      <c r="K125">
        <v>65.261181564439397</v>
      </c>
      <c r="L125">
        <v>0.70009467521356572</v>
      </c>
      <c r="M125">
        <v>-0.69946663208953119</v>
      </c>
      <c r="N125">
        <v>45.658223042013198</v>
      </c>
      <c r="O125">
        <v>45.658251523855498</v>
      </c>
      <c r="P125">
        <v>45.658209687176701</v>
      </c>
      <c r="Q125" t="s">
        <v>51</v>
      </c>
    </row>
    <row r="126" spans="1:17" x14ac:dyDescent="0.2">
      <c r="A126">
        <v>125</v>
      </c>
      <c r="B126">
        <v>780</v>
      </c>
      <c r="C126">
        <v>150</v>
      </c>
      <c r="D126">
        <v>0.44996486730285301</v>
      </c>
      <c r="E126">
        <v>110.82366483459001</v>
      </c>
      <c r="F126">
        <v>1.69812367116809</v>
      </c>
      <c r="G126">
        <v>-1853.3096400644069</v>
      </c>
      <c r="H126">
        <v>-1512.9276252076627</v>
      </c>
      <c r="I126">
        <v>323.2071533779</v>
      </c>
      <c r="J126">
        <v>163.940860696204</v>
      </c>
      <c r="K126">
        <v>65.262422705854604</v>
      </c>
      <c r="L126">
        <v>0.69671748458561578</v>
      </c>
      <c r="M126">
        <v>-0.6960867239549039</v>
      </c>
      <c r="N126">
        <v>45.438531862840598</v>
      </c>
      <c r="O126">
        <v>45.438560315146098</v>
      </c>
      <c r="P126">
        <v>45.438518262528902</v>
      </c>
      <c r="Q126" t="s">
        <v>51</v>
      </c>
    </row>
    <row r="127" spans="1:17" x14ac:dyDescent="0.2">
      <c r="A127">
        <v>126</v>
      </c>
      <c r="B127">
        <v>779</v>
      </c>
      <c r="C127">
        <v>150</v>
      </c>
      <c r="D127">
        <v>0.44937556432067799</v>
      </c>
      <c r="E127">
        <v>110.823684012274</v>
      </c>
      <c r="F127">
        <v>1.69810131426686</v>
      </c>
      <c r="G127">
        <v>-1852.986860829559</v>
      </c>
      <c r="H127">
        <v>-1513.1758705781799</v>
      </c>
      <c r="I127">
        <v>322.97163445846297</v>
      </c>
      <c r="J127">
        <v>163.93435627876599</v>
      </c>
      <c r="K127">
        <v>65.263293232960805</v>
      </c>
      <c r="L127">
        <v>0.69335539668150015</v>
      </c>
      <c r="M127">
        <v>-0.69272193006244076</v>
      </c>
      <c r="N127">
        <v>45.219561528976001</v>
      </c>
      <c r="O127">
        <v>45.219589947408103</v>
      </c>
      <c r="P127">
        <v>45.219547679177502</v>
      </c>
      <c r="Q127" t="s">
        <v>51</v>
      </c>
    </row>
    <row r="128" spans="1:17" x14ac:dyDescent="0.2">
      <c r="A128">
        <v>127</v>
      </c>
      <c r="B128">
        <v>778</v>
      </c>
      <c r="C128">
        <v>150</v>
      </c>
      <c r="D128">
        <v>0.44878514008467002</v>
      </c>
      <c r="E128">
        <v>110.82370321840099</v>
      </c>
      <c r="F128">
        <v>1.6980889849758001</v>
      </c>
      <c r="G128">
        <v>-1852.6643174373062</v>
      </c>
      <c r="H128">
        <v>-1513.4236456074279</v>
      </c>
      <c r="I128">
        <v>322.73633918086603</v>
      </c>
      <c r="J128">
        <v>163.92869706027099</v>
      </c>
      <c r="K128">
        <v>65.263778399681499</v>
      </c>
      <c r="L128">
        <v>0.69000988855118428</v>
      </c>
      <c r="M128">
        <v>-0.68937372861373025</v>
      </c>
      <c r="N128">
        <v>45.001402108718104</v>
      </c>
      <c r="O128">
        <v>45.001430488833797</v>
      </c>
      <c r="P128">
        <v>45.001388005399903</v>
      </c>
      <c r="Q128" t="s">
        <v>51</v>
      </c>
    </row>
    <row r="129" spans="1:17" x14ac:dyDescent="0.2">
      <c r="A129">
        <v>128</v>
      </c>
      <c r="B129">
        <v>777</v>
      </c>
      <c r="C129">
        <v>150</v>
      </c>
      <c r="D129">
        <v>0.44819359139171</v>
      </c>
      <c r="E129">
        <v>110.823722456895</v>
      </c>
      <c r="F129">
        <v>1.6980870395266601</v>
      </c>
      <c r="G129">
        <v>-1852.3420097140338</v>
      </c>
      <c r="H129">
        <v>-1513.6709215984749</v>
      </c>
      <c r="I129">
        <v>322.50129533881</v>
      </c>
      <c r="J129">
        <v>163.92388928973901</v>
      </c>
      <c r="K129">
        <v>65.263864500012104</v>
      </c>
      <c r="L129">
        <v>0.6866823565161404</v>
      </c>
      <c r="M129">
        <v>-0.68604351702296651</v>
      </c>
      <c r="N129">
        <v>44.784139276227101</v>
      </c>
      <c r="O129">
        <v>44.784167613481202</v>
      </c>
      <c r="P129">
        <v>44.784124915335497</v>
      </c>
      <c r="Q129" t="s">
        <v>51</v>
      </c>
    </row>
    <row r="130" spans="1:17" x14ac:dyDescent="0.2">
      <c r="A130">
        <v>129</v>
      </c>
      <c r="B130">
        <v>776</v>
      </c>
      <c r="C130">
        <v>150</v>
      </c>
      <c r="D130">
        <v>0.447600915026452</v>
      </c>
      <c r="E130">
        <v>110.8237513924</v>
      </c>
      <c r="F130">
        <v>1.6962844668133901</v>
      </c>
      <c r="G130">
        <v>-1852.0201685320653</v>
      </c>
      <c r="H130">
        <v>-1514.1374854490375</v>
      </c>
      <c r="I130">
        <v>322.05727053285898</v>
      </c>
      <c r="J130">
        <v>163.910013259267</v>
      </c>
      <c r="K130">
        <v>65.333234820331498</v>
      </c>
      <c r="L130">
        <v>0.67299454465297859</v>
      </c>
      <c r="M130">
        <v>-0.67234676281042394</v>
      </c>
      <c r="N130">
        <v>43.937007633619601</v>
      </c>
      <c r="O130">
        <v>43.9370362299695</v>
      </c>
      <c r="P130">
        <v>43.9369928595967</v>
      </c>
      <c r="Q130" t="s">
        <v>51</v>
      </c>
    </row>
    <row r="131" spans="1:17" x14ac:dyDescent="0.2">
      <c r="A131">
        <v>130</v>
      </c>
      <c r="B131">
        <v>775</v>
      </c>
      <c r="C131">
        <v>150</v>
      </c>
      <c r="D131">
        <v>0.44700710776129698</v>
      </c>
      <c r="E131">
        <v>110.823784166404</v>
      </c>
      <c r="F131">
        <v>1.6937133241254401</v>
      </c>
      <c r="G131">
        <v>-1851.6989105982095</v>
      </c>
      <c r="H131">
        <v>-1514.6998942831292</v>
      </c>
      <c r="I131">
        <v>321.52152924760298</v>
      </c>
      <c r="J131">
        <v>163.89350574147201</v>
      </c>
      <c r="K131">
        <v>65.432433333207698</v>
      </c>
      <c r="L131">
        <v>0.65477945199504783</v>
      </c>
      <c r="M131">
        <v>-0.65412000438663276</v>
      </c>
      <c r="N131">
        <v>42.811260492326902</v>
      </c>
      <c r="O131">
        <v>42.811289473950701</v>
      </c>
      <c r="P131">
        <v>42.811245229331</v>
      </c>
      <c r="Q131" t="s">
        <v>51</v>
      </c>
    </row>
    <row r="132" spans="1:17" x14ac:dyDescent="0.2">
      <c r="A132">
        <v>131</v>
      </c>
      <c r="B132">
        <v>774</v>
      </c>
      <c r="C132">
        <v>150</v>
      </c>
      <c r="D132">
        <v>0.44641216635630598</v>
      </c>
      <c r="E132">
        <v>110.823816616649</v>
      </c>
      <c r="F132">
        <v>1.6911300934433899</v>
      </c>
      <c r="G132">
        <v>-1851.3781853402902</v>
      </c>
      <c r="H132">
        <v>-1515.2668202769019</v>
      </c>
      <c r="I132">
        <v>320.98096052327298</v>
      </c>
      <c r="J132">
        <v>163.87845085462999</v>
      </c>
      <c r="K132">
        <v>65.532401703641099</v>
      </c>
      <c r="L132">
        <v>0.63634509690393104</v>
      </c>
      <c r="M132">
        <v>-0.63567387338507619</v>
      </c>
      <c r="N132">
        <v>41.668012263987997</v>
      </c>
      <c r="O132">
        <v>41.668041628687398</v>
      </c>
      <c r="P132">
        <v>41.667996497939797</v>
      </c>
      <c r="Q132" t="s">
        <v>51</v>
      </c>
    </row>
    <row r="133" spans="1:17" x14ac:dyDescent="0.2">
      <c r="A133">
        <v>132</v>
      </c>
      <c r="B133">
        <v>773</v>
      </c>
      <c r="C133">
        <v>150</v>
      </c>
      <c r="D133">
        <v>0.44581608755914398</v>
      </c>
      <c r="E133">
        <v>110.823848697618</v>
      </c>
      <c r="F133">
        <v>1.68852412039007</v>
      </c>
      <c r="G133">
        <v>-1851.0579975210517</v>
      </c>
      <c r="H133">
        <v>-1515.8397605658383</v>
      </c>
      <c r="I133">
        <v>320.43412421929202</v>
      </c>
      <c r="J133">
        <v>163.86452481569</v>
      </c>
      <c r="K133">
        <v>65.6335597219758</v>
      </c>
      <c r="L133">
        <v>0.61761411590720094</v>
      </c>
      <c r="M133">
        <v>-0.61693096708962958</v>
      </c>
      <c r="N133">
        <v>40.502334040499697</v>
      </c>
      <c r="O133">
        <v>40.502363787701903</v>
      </c>
      <c r="P133">
        <v>40.502317755965699</v>
      </c>
      <c r="Q133" t="s">
        <v>51</v>
      </c>
    </row>
    <row r="134" spans="1:17" x14ac:dyDescent="0.2">
      <c r="A134">
        <v>133</v>
      </c>
      <c r="B134">
        <v>772</v>
      </c>
      <c r="C134">
        <v>150</v>
      </c>
      <c r="D134">
        <v>0.44521886810505501</v>
      </c>
      <c r="E134">
        <v>110.823880344334</v>
      </c>
      <c r="F134">
        <v>1.6858798986233701</v>
      </c>
      <c r="G134">
        <v>-1850.7383533127354</v>
      </c>
      <c r="H134">
        <v>-1516.420846035677</v>
      </c>
      <c r="I134">
        <v>319.87896976588502</v>
      </c>
      <c r="J134">
        <v>163.85130673188601</v>
      </c>
      <c r="K134">
        <v>65.736521584265404</v>
      </c>
      <c r="L134">
        <v>0.59847793252172388</v>
      </c>
      <c r="M134">
        <v>-0.59778265265918706</v>
      </c>
      <c r="N134">
        <v>39.307295935628801</v>
      </c>
      <c r="O134">
        <v>39.3073260671813</v>
      </c>
      <c r="P134">
        <v>39.3072791153024</v>
      </c>
      <c r="Q134" t="s">
        <v>51</v>
      </c>
    </row>
    <row r="135" spans="1:17" x14ac:dyDescent="0.2">
      <c r="A135">
        <v>134</v>
      </c>
      <c r="B135">
        <v>771</v>
      </c>
      <c r="C135">
        <v>150</v>
      </c>
      <c r="D135">
        <v>0.44462050471675502</v>
      </c>
      <c r="E135">
        <v>110.823911461414</v>
      </c>
      <c r="F135">
        <v>1.68317485507009</v>
      </c>
      <c r="G135">
        <v>-1850.4192608631272</v>
      </c>
      <c r="H135">
        <v>-1517.0131416803451</v>
      </c>
      <c r="I135">
        <v>319.31254617526099</v>
      </c>
      <c r="J135">
        <v>163.83823188563599</v>
      </c>
      <c r="K135">
        <v>65.842185752471096</v>
      </c>
      <c r="L135">
        <v>0.57878213292469738</v>
      </c>
      <c r="M135">
        <v>-0.57807443486378907</v>
      </c>
      <c r="N135">
        <v>38.073017755903599</v>
      </c>
      <c r="O135">
        <v>38.073048277235699</v>
      </c>
      <c r="P135">
        <v>38.0730003798352</v>
      </c>
      <c r="Q135" t="s">
        <v>51</v>
      </c>
    </row>
    <row r="136" spans="1:17" x14ac:dyDescent="0.2">
      <c r="A136">
        <v>135</v>
      </c>
      <c r="B136">
        <v>770</v>
      </c>
      <c r="C136">
        <v>150</v>
      </c>
      <c r="D136">
        <v>0.44402099410439499</v>
      </c>
      <c r="E136">
        <v>110.823941905569</v>
      </c>
      <c r="F136">
        <v>1.68037580677953</v>
      </c>
      <c r="G136">
        <v>-1850.1007311262799</v>
      </c>
      <c r="H136">
        <v>-1517.6211326264838</v>
      </c>
      <c r="I136">
        <v>318.73053268259201</v>
      </c>
      <c r="J136">
        <v>163.82451390830099</v>
      </c>
      <c r="K136">
        <v>65.9518790132813</v>
      </c>
      <c r="L136">
        <v>0.55830284835803867</v>
      </c>
      <c r="M136">
        <v>-0.55758232574070354</v>
      </c>
      <c r="N136">
        <v>36.785132022626897</v>
      </c>
      <c r="O136">
        <v>36.785162944500499</v>
      </c>
      <c r="P136">
        <v>36.7851140670493</v>
      </c>
      <c r="Q136" t="s">
        <v>51</v>
      </c>
    </row>
    <row r="137" spans="1:17" x14ac:dyDescent="0.2">
      <c r="A137">
        <v>136</v>
      </c>
      <c r="B137">
        <v>769</v>
      </c>
      <c r="C137">
        <v>150</v>
      </c>
      <c r="D137">
        <v>0.44342033296550898</v>
      </c>
      <c r="E137">
        <v>110.82397145336201</v>
      </c>
      <c r="F137">
        <v>1.6774330626193601</v>
      </c>
      <c r="G137">
        <v>-1849.7827790673825</v>
      </c>
      <c r="H137">
        <v>-1518.2515432363921</v>
      </c>
      <c r="I137">
        <v>318.12644749121699</v>
      </c>
      <c r="J137">
        <v>163.809010131565</v>
      </c>
      <c r="K137">
        <v>66.067596927121301</v>
      </c>
      <c r="L137">
        <v>0.53670708142102219</v>
      </c>
      <c r="M137">
        <v>-0.53597314957509923</v>
      </c>
      <c r="N137">
        <v>35.422194368517502</v>
      </c>
      <c r="O137">
        <v>35.422225709763197</v>
      </c>
      <c r="P137">
        <v>35.422175803991003</v>
      </c>
      <c r="Q137" t="s">
        <v>51</v>
      </c>
    </row>
    <row r="138" spans="1:17" x14ac:dyDescent="0.2">
      <c r="A138">
        <v>137</v>
      </c>
      <c r="B138">
        <v>768</v>
      </c>
      <c r="C138">
        <v>150</v>
      </c>
      <c r="D138">
        <v>0.442818517984921</v>
      </c>
      <c r="E138">
        <v>110.82399974236399</v>
      </c>
      <c r="F138">
        <v>1.67427034716923</v>
      </c>
      <c r="G138">
        <v>-1849.4654254893828</v>
      </c>
      <c r="H138">
        <v>-1518.9147599003547</v>
      </c>
      <c r="I138">
        <v>317.49027282362403</v>
      </c>
      <c r="J138">
        <v>163.78998105301699</v>
      </c>
      <c r="K138">
        <v>66.192416254483504</v>
      </c>
      <c r="L138">
        <v>0.5134841526649282</v>
      </c>
      <c r="M138">
        <v>-0.51273595288068585</v>
      </c>
      <c r="N138">
        <v>33.951189225644299</v>
      </c>
      <c r="O138">
        <v>33.951221017593397</v>
      </c>
      <c r="P138">
        <v>33.951170014025202</v>
      </c>
      <c r="Q138" t="s">
        <v>51</v>
      </c>
    </row>
    <row r="139" spans="1:17" x14ac:dyDescent="0.2">
      <c r="A139">
        <v>138</v>
      </c>
      <c r="B139">
        <v>767</v>
      </c>
      <c r="C139">
        <v>150</v>
      </c>
      <c r="D139">
        <v>0.44221554583473799</v>
      </c>
      <c r="E139">
        <v>110.824026153462</v>
      </c>
      <c r="F139">
        <v>1.67076792113885</v>
      </c>
      <c r="G139">
        <v>-1849.1486997369091</v>
      </c>
      <c r="H139">
        <v>-1519.6272838624277</v>
      </c>
      <c r="I139">
        <v>316.80608277478001</v>
      </c>
      <c r="J139">
        <v>163.76465910513801</v>
      </c>
      <c r="K139">
        <v>66.3311910357491</v>
      </c>
      <c r="L139">
        <v>0.48782859126149014</v>
      </c>
      <c r="M139">
        <v>-0.48706483310138454</v>
      </c>
      <c r="N139">
        <v>32.319791905133499</v>
      </c>
      <c r="O139">
        <v>32.3198241989191</v>
      </c>
      <c r="P139">
        <v>32.319771994517801</v>
      </c>
      <c r="Q139" t="s">
        <v>51</v>
      </c>
    </row>
    <row r="140" spans="1:17" x14ac:dyDescent="0.2">
      <c r="A140">
        <v>139</v>
      </c>
      <c r="B140">
        <v>766</v>
      </c>
      <c r="C140">
        <v>150</v>
      </c>
      <c r="D140">
        <v>0.44161141317423203</v>
      </c>
      <c r="E140">
        <v>110.82404958444501</v>
      </c>
      <c r="F140">
        <v>1.6667396635749701</v>
      </c>
      <c r="G140">
        <v>-1848.8326436068094</v>
      </c>
      <c r="H140">
        <v>-1520.415324849344</v>
      </c>
      <c r="I140">
        <v>316.04856097493399</v>
      </c>
      <c r="J140">
        <v>163.72856120411899</v>
      </c>
      <c r="K140">
        <v>66.491517545541299</v>
      </c>
      <c r="L140">
        <v>0.45847240335375805</v>
      </c>
      <c r="M140">
        <v>-0.4576911203335724</v>
      </c>
      <c r="N140">
        <v>30.445057124713799</v>
      </c>
      <c r="O140">
        <v>30.4450900025709</v>
      </c>
      <c r="P140">
        <v>30.445036441404898</v>
      </c>
      <c r="Q140" t="s">
        <v>51</v>
      </c>
    </row>
    <row r="141" spans="1:17" x14ac:dyDescent="0.2">
      <c r="A141">
        <v>140</v>
      </c>
      <c r="B141">
        <v>765</v>
      </c>
      <c r="C141">
        <v>150</v>
      </c>
      <c r="D141">
        <v>0.44100611664981298</v>
      </c>
      <c r="E141">
        <v>110.824068111313</v>
      </c>
      <c r="F141">
        <v>1.66193973463968</v>
      </c>
      <c r="G141">
        <v>-1848.5173162259389</v>
      </c>
      <c r="H141">
        <v>-1521.3152561903294</v>
      </c>
      <c r="I141">
        <v>315.18252165228199</v>
      </c>
      <c r="J141">
        <v>163.67511896499801</v>
      </c>
      <c r="K141">
        <v>66.683566077286201</v>
      </c>
      <c r="L141">
        <v>0.42368329427407464</v>
      </c>
      <c r="M141">
        <v>-0.42288161011787684</v>
      </c>
      <c r="N141">
        <v>28.212063570287999</v>
      </c>
      <c r="O141">
        <v>28.212097156237999</v>
      </c>
      <c r="P141">
        <v>28.212042010256699</v>
      </c>
      <c r="Q141" t="s">
        <v>51</v>
      </c>
    </row>
    <row r="142" spans="1:17" x14ac:dyDescent="0.2">
      <c r="A142">
        <v>141</v>
      </c>
      <c r="B142">
        <v>764</v>
      </c>
      <c r="C142">
        <v>150</v>
      </c>
      <c r="D142">
        <v>0.44039965289495597</v>
      </c>
      <c r="E142">
        <v>110.832428049371</v>
      </c>
      <c r="F142">
        <v>1.6326774127910799</v>
      </c>
      <c r="G142">
        <v>-1848.3406663938515</v>
      </c>
      <c r="H142">
        <v>-1525.8142358248235</v>
      </c>
      <c r="I142">
        <v>310.97894122218401</v>
      </c>
      <c r="J142">
        <v>163.032281751206</v>
      </c>
      <c r="K142">
        <v>67.883849669911996</v>
      </c>
      <c r="L142">
        <v>0.23467469047914971</v>
      </c>
      <c r="M142">
        <v>-0.23376674423505145</v>
      </c>
      <c r="N142">
        <v>15.8836976839673</v>
      </c>
      <c r="O142">
        <v>15.883736088647399</v>
      </c>
      <c r="P142">
        <v>15.8836726033473</v>
      </c>
      <c r="Q142" t="s">
        <v>51</v>
      </c>
    </row>
    <row r="143" spans="1:17" x14ac:dyDescent="0.2">
      <c r="A143">
        <v>142</v>
      </c>
      <c r="B143">
        <v>763</v>
      </c>
      <c r="C143">
        <v>150</v>
      </c>
      <c r="D143">
        <v>0.43979201853014099</v>
      </c>
      <c r="E143">
        <v>110.835341092026</v>
      </c>
      <c r="F143">
        <v>1.62090084870311</v>
      </c>
      <c r="G143">
        <v>-1848.0782430078837</v>
      </c>
      <c r="H143">
        <v>-1527.8958340804697</v>
      </c>
      <c r="I143">
        <v>309.01712854665499</v>
      </c>
      <c r="J143">
        <v>162.769671054844</v>
      </c>
      <c r="K143">
        <v>68.378853142501598</v>
      </c>
      <c r="L143">
        <v>0.15283557989888297</v>
      </c>
      <c r="M143">
        <v>-0.15188168329625593</v>
      </c>
      <c r="N143">
        <v>10.401019596463501</v>
      </c>
      <c r="O143">
        <v>10.4010599222265</v>
      </c>
      <c r="P143">
        <v>10.400992728725701</v>
      </c>
      <c r="Q143" t="s">
        <v>51</v>
      </c>
    </row>
    <row r="144" spans="1:17" x14ac:dyDescent="0.2">
      <c r="A144">
        <v>143</v>
      </c>
      <c r="B144">
        <v>762</v>
      </c>
      <c r="C144">
        <v>150</v>
      </c>
      <c r="D144">
        <v>0.439183210162781</v>
      </c>
      <c r="E144">
        <v>110.836629989908</v>
      </c>
      <c r="F144">
        <v>1.6157307459199799</v>
      </c>
      <c r="G144">
        <v>-1847.7907983559101</v>
      </c>
      <c r="H144">
        <v>-1529.0207071881523</v>
      </c>
      <c r="I144">
        <v>307.95144221271499</v>
      </c>
      <c r="J144">
        <v>162.66430776013999</v>
      </c>
      <c r="K144">
        <v>68.598453219876703</v>
      </c>
      <c r="L144">
        <v>0.11225713132266123</v>
      </c>
      <c r="M144">
        <v>-0.11128030212961784</v>
      </c>
      <c r="N144">
        <v>7.6495651271270102</v>
      </c>
      <c r="O144">
        <v>7.6496062332673196</v>
      </c>
      <c r="P144">
        <v>7.6495371595647397</v>
      </c>
      <c r="Q144" t="s">
        <v>51</v>
      </c>
    </row>
    <row r="145" spans="1:17" x14ac:dyDescent="0.2">
      <c r="A145">
        <v>144</v>
      </c>
      <c r="B145">
        <v>761</v>
      </c>
      <c r="C145">
        <v>150</v>
      </c>
      <c r="D145">
        <v>0.43857322438717999</v>
      </c>
      <c r="E145">
        <v>110.837329540277</v>
      </c>
      <c r="F145">
        <v>1.6132524881674899</v>
      </c>
      <c r="G145">
        <v>-1847.4946077481277</v>
      </c>
      <c r="H145">
        <v>-1529.749287626038</v>
      </c>
      <c r="I145">
        <v>307.258381807673</v>
      </c>
      <c r="J145">
        <v>162.62565272709799</v>
      </c>
      <c r="K145">
        <v>68.704266909998097</v>
      </c>
      <c r="L145">
        <v>8.8557695984250798E-2</v>
      </c>
      <c r="M145">
        <v>-8.7567333711723233E-2</v>
      </c>
      <c r="N145">
        <v>6.0323646066010497</v>
      </c>
      <c r="O145">
        <v>6.03240601834493</v>
      </c>
      <c r="P145">
        <v>6.0323358216978598</v>
      </c>
      <c r="Q145" t="s">
        <v>51</v>
      </c>
    </row>
    <row r="146" spans="1:17" x14ac:dyDescent="0.2">
      <c r="A146">
        <v>145</v>
      </c>
      <c r="B146">
        <v>760</v>
      </c>
      <c r="C146">
        <v>150</v>
      </c>
      <c r="D146">
        <v>0.43796205778444602</v>
      </c>
      <c r="E146">
        <v>110.837815174906</v>
      </c>
      <c r="F146">
        <v>1.6117910796262001</v>
      </c>
      <c r="G146">
        <v>-1847.1955513944185</v>
      </c>
      <c r="H146">
        <v>-1530.3343601341201</v>
      </c>
      <c r="I146">
        <v>306.700086103042</v>
      </c>
      <c r="J146">
        <v>162.61089242949799</v>
      </c>
      <c r="K146">
        <v>68.7668622664239</v>
      </c>
      <c r="L146">
        <v>7.1068326782441071E-2</v>
      </c>
      <c r="M146">
        <v>-7.0067903312883081E-2</v>
      </c>
      <c r="N146">
        <v>4.83460511447295</v>
      </c>
      <c r="O146">
        <v>4.8346466495775902</v>
      </c>
      <c r="P146">
        <v>4.8345756115175202</v>
      </c>
      <c r="Q146" t="s">
        <v>51</v>
      </c>
    </row>
    <row r="147" spans="1:17" x14ac:dyDescent="0.2">
      <c r="A147">
        <v>146</v>
      </c>
      <c r="B147">
        <v>806</v>
      </c>
      <c r="C147">
        <v>125</v>
      </c>
      <c r="D147">
        <v>0.490386415234215</v>
      </c>
      <c r="E147">
        <v>110.823315138563</v>
      </c>
      <c r="F147">
        <v>1.57522293163688</v>
      </c>
      <c r="G147">
        <v>-1863.4756945959641</v>
      </c>
      <c r="H147">
        <v>-1508.2371276768399</v>
      </c>
      <c r="I147">
        <v>329.187109187651</v>
      </c>
      <c r="J147">
        <v>164.01924517656099</v>
      </c>
      <c r="K147">
        <v>70.354051425217193</v>
      </c>
      <c r="L147">
        <v>0.67848358591311086</v>
      </c>
      <c r="M147">
        <v>-0.67769061602420766</v>
      </c>
      <c r="N147">
        <v>47.695578949579499</v>
      </c>
      <c r="O147">
        <v>47.695641342803398</v>
      </c>
      <c r="P147">
        <v>47.695576105831897</v>
      </c>
      <c r="Q147" t="s">
        <v>51</v>
      </c>
    </row>
    <row r="148" spans="1:17" x14ac:dyDescent="0.2">
      <c r="A148">
        <v>147</v>
      </c>
      <c r="B148">
        <v>805</v>
      </c>
      <c r="C148">
        <v>125</v>
      </c>
      <c r="D148">
        <v>0.48984881509993899</v>
      </c>
      <c r="E148">
        <v>110.82333625861899</v>
      </c>
      <c r="F148">
        <v>1.5757504912253799</v>
      </c>
      <c r="G148">
        <v>-1863.1469358336203</v>
      </c>
      <c r="H148">
        <v>-1508.4422385189239</v>
      </c>
      <c r="I148">
        <v>328.99726916550901</v>
      </c>
      <c r="J148">
        <v>164.015619397292</v>
      </c>
      <c r="K148">
        <v>70.330510366801093</v>
      </c>
      <c r="L148">
        <v>0.67721091665884414</v>
      </c>
      <c r="M148">
        <v>-0.67641629743552623</v>
      </c>
      <c r="N148">
        <v>47.5899998298094</v>
      </c>
      <c r="O148">
        <v>47.5900623056177</v>
      </c>
      <c r="P148">
        <v>47.589996922522303</v>
      </c>
      <c r="Q148" t="s">
        <v>51</v>
      </c>
    </row>
    <row r="149" spans="1:17" x14ac:dyDescent="0.2">
      <c r="A149">
        <v>148</v>
      </c>
      <c r="B149">
        <v>804</v>
      </c>
      <c r="C149">
        <v>125</v>
      </c>
      <c r="D149">
        <v>0.48931021677575198</v>
      </c>
      <c r="E149">
        <v>110.823354252847</v>
      </c>
      <c r="F149">
        <v>1.57574001726309</v>
      </c>
      <c r="G149">
        <v>-1862.8183449049909</v>
      </c>
      <c r="H149">
        <v>-1508.6894170523469</v>
      </c>
      <c r="I149">
        <v>328.768184576679</v>
      </c>
      <c r="J149">
        <v>163.994977611818</v>
      </c>
      <c r="K149">
        <v>70.3309892740659</v>
      </c>
      <c r="L149">
        <v>0.67422507975202151</v>
      </c>
      <c r="M149">
        <v>-0.67342749021278003</v>
      </c>
      <c r="N149">
        <v>47.380149646831804</v>
      </c>
      <c r="O149">
        <v>47.380212326517302</v>
      </c>
      <c r="P149">
        <v>47.380146668825603</v>
      </c>
      <c r="Q149" t="s">
        <v>51</v>
      </c>
    </row>
    <row r="150" spans="1:17" x14ac:dyDescent="0.2">
      <c r="A150">
        <v>149</v>
      </c>
      <c r="B150">
        <v>803</v>
      </c>
      <c r="C150">
        <v>125</v>
      </c>
      <c r="D150">
        <v>0.48877061747897599</v>
      </c>
      <c r="E150">
        <v>110.823372241065</v>
      </c>
      <c r="F150">
        <v>1.5757344257930299</v>
      </c>
      <c r="G150">
        <v>-1862.4899829820276</v>
      </c>
      <c r="H150">
        <v>-1508.9364679354021</v>
      </c>
      <c r="I150">
        <v>328.53900567301503</v>
      </c>
      <c r="J150">
        <v>163.975020248417</v>
      </c>
      <c r="K150">
        <v>70.331250258297899</v>
      </c>
      <c r="L150">
        <v>0.67123837562740141</v>
      </c>
      <c r="M150">
        <v>-0.67043781082087706</v>
      </c>
      <c r="N150">
        <v>47.170088922189002</v>
      </c>
      <c r="O150">
        <v>47.170151804414502</v>
      </c>
      <c r="P150">
        <v>47.1700858711649</v>
      </c>
      <c r="Q150" t="s">
        <v>51</v>
      </c>
    </row>
    <row r="151" spans="1:17" x14ac:dyDescent="0.2">
      <c r="A151">
        <v>150</v>
      </c>
      <c r="B151">
        <v>802</v>
      </c>
      <c r="C151">
        <v>125</v>
      </c>
      <c r="D151">
        <v>0.48823001441659297</v>
      </c>
      <c r="E151">
        <v>110.823390226265</v>
      </c>
      <c r="F151">
        <v>1.5757342420212199</v>
      </c>
      <c r="G151">
        <v>-1862.1618501915318</v>
      </c>
      <c r="H151">
        <v>-1509.1833556002007</v>
      </c>
      <c r="I151">
        <v>328.30976538449301</v>
      </c>
      <c r="J151">
        <v>163.95575969443499</v>
      </c>
      <c r="K151">
        <v>70.331269874614307</v>
      </c>
      <c r="L151">
        <v>0.66825240021884225</v>
      </c>
      <c r="M151">
        <v>-0.66744885649187957</v>
      </c>
      <c r="N151">
        <v>46.959916262228298</v>
      </c>
      <c r="O151">
        <v>46.959979345491</v>
      </c>
      <c r="P151">
        <v>46.959913135838498</v>
      </c>
      <c r="Q151" t="s">
        <v>51</v>
      </c>
    </row>
    <row r="152" spans="1:17" x14ac:dyDescent="0.2">
      <c r="A152">
        <v>151</v>
      </c>
      <c r="B152">
        <v>801</v>
      </c>
      <c r="C152">
        <v>125</v>
      </c>
      <c r="D152">
        <v>0.487688404785181</v>
      </c>
      <c r="E152">
        <v>110.82340821157101</v>
      </c>
      <c r="F152">
        <v>1.5757399803590499</v>
      </c>
      <c r="G152">
        <v>-1861.8339466297266</v>
      </c>
      <c r="H152">
        <v>-1509.430044991745</v>
      </c>
      <c r="I152">
        <v>328.08049625783599</v>
      </c>
      <c r="J152">
        <v>163.93720798323801</v>
      </c>
      <c r="K152">
        <v>70.331025164645993</v>
      </c>
      <c r="L152">
        <v>0.66526873019073984</v>
      </c>
      <c r="M152">
        <v>-0.66446220517459087</v>
      </c>
      <c r="N152">
        <v>46.749729521040898</v>
      </c>
      <c r="O152">
        <v>46.749792803672896</v>
      </c>
      <c r="P152">
        <v>46.749726316888001</v>
      </c>
      <c r="Q152" t="s">
        <v>51</v>
      </c>
    </row>
    <row r="153" spans="1:17" x14ac:dyDescent="0.2">
      <c r="A153">
        <v>152</v>
      </c>
      <c r="B153">
        <v>800</v>
      </c>
      <c r="C153">
        <v>125</v>
      </c>
      <c r="D153">
        <v>0.48714578577086598</v>
      </c>
      <c r="E153">
        <v>110.82342620019099</v>
      </c>
      <c r="F153">
        <v>1.5757521423637599</v>
      </c>
      <c r="G153">
        <v>-1861.5062723619042</v>
      </c>
      <c r="H153">
        <v>-1509.6765017226148</v>
      </c>
      <c r="I153">
        <v>327.85123031027598</v>
      </c>
      <c r="J153">
        <v>163.91937677163699</v>
      </c>
      <c r="K153">
        <v>70.330493750081104</v>
      </c>
      <c r="L153">
        <v>0.66228891609132889</v>
      </c>
      <c r="M153">
        <v>-0.66147940868244504</v>
      </c>
      <c r="N153">
        <v>46.539625368960202</v>
      </c>
      <c r="O153">
        <v>46.539688849129497</v>
      </c>
      <c r="P153">
        <v>46.539622084596402</v>
      </c>
      <c r="Q153" t="s">
        <v>51</v>
      </c>
    </row>
    <row r="154" spans="1:17" x14ac:dyDescent="0.2">
      <c r="A154">
        <v>153</v>
      </c>
      <c r="B154">
        <v>799</v>
      </c>
      <c r="C154">
        <v>125</v>
      </c>
      <c r="D154">
        <v>0.48660215454927003</v>
      </c>
      <c r="E154">
        <v>110.82344419544199</v>
      </c>
      <c r="F154">
        <v>1.57577121484532</v>
      </c>
      <c r="G154">
        <v>-1861.178827423405</v>
      </c>
      <c r="H154">
        <v>-1509.9226922183511</v>
      </c>
      <c r="I154">
        <v>327.62199889242902</v>
      </c>
      <c r="J154">
        <v>163.90227732173301</v>
      </c>
      <c r="K154">
        <v>70.329653918903603</v>
      </c>
      <c r="L154">
        <v>0.65931447594616899</v>
      </c>
      <c r="M154">
        <v>-0.65850198628192591</v>
      </c>
      <c r="N154">
        <v>46.329698884966902</v>
      </c>
      <c r="O154">
        <v>46.329762560678901</v>
      </c>
      <c r="P154">
        <v>46.329695517893697</v>
      </c>
      <c r="Q154" t="s">
        <v>51</v>
      </c>
    </row>
    <row r="155" spans="1:17" x14ac:dyDescent="0.2">
      <c r="A155">
        <v>154</v>
      </c>
      <c r="B155">
        <v>798</v>
      </c>
      <c r="C155">
        <v>125</v>
      </c>
      <c r="D155">
        <v>0.48605750828548999</v>
      </c>
      <c r="E155">
        <v>110.823462200674</v>
      </c>
      <c r="F155">
        <v>1.5757976681935399</v>
      </c>
      <c r="G155">
        <v>-1860.851611819196</v>
      </c>
      <c r="H155">
        <v>-1510.1685838472144</v>
      </c>
      <c r="I155">
        <v>327.39283256367702</v>
      </c>
      <c r="J155">
        <v>163.88592048800601</v>
      </c>
      <c r="K155">
        <v>70.328484701795304</v>
      </c>
      <c r="L155">
        <v>0.6563468894634823</v>
      </c>
      <c r="M155">
        <v>-0.65553141889332078</v>
      </c>
      <c r="N155">
        <v>46.120043183669999</v>
      </c>
      <c r="O155">
        <v>46.1201070527691</v>
      </c>
      <c r="P155">
        <v>46.120039731337002</v>
      </c>
      <c r="Q155" t="s">
        <v>51</v>
      </c>
    </row>
    <row r="156" spans="1:17" x14ac:dyDescent="0.2">
      <c r="A156">
        <v>155</v>
      </c>
      <c r="B156">
        <v>797</v>
      </c>
      <c r="C156">
        <v>125</v>
      </c>
      <c r="D156">
        <v>0.48551184413399801</v>
      </c>
      <c r="E156">
        <v>110.823480219343</v>
      </c>
      <c r="F156">
        <v>1.5758319548836499</v>
      </c>
      <c r="G156">
        <v>-1860.5246255257898</v>
      </c>
      <c r="H156">
        <v>-1510.4141450404213</v>
      </c>
      <c r="I156">
        <v>327.16376097792801</v>
      </c>
      <c r="J156">
        <v>163.870316708514</v>
      </c>
      <c r="K156">
        <v>70.326965940682996</v>
      </c>
      <c r="L156">
        <v>0.65338759273460012</v>
      </c>
      <c r="M156">
        <v>-0.65256914378697406</v>
      </c>
      <c r="N156">
        <v>45.9107490702551</v>
      </c>
      <c r="O156">
        <v>45.9108131304273</v>
      </c>
      <c r="P156">
        <v>45.9107455300596</v>
      </c>
      <c r="Q156" t="s">
        <v>51</v>
      </c>
    </row>
    <row r="157" spans="1:17" x14ac:dyDescent="0.2">
      <c r="A157">
        <v>156</v>
      </c>
      <c r="B157">
        <v>796</v>
      </c>
      <c r="C157">
        <v>125</v>
      </c>
      <c r="D157">
        <v>0.48496515923864703</v>
      </c>
      <c r="E157">
        <v>110.823498254889</v>
      </c>
      <c r="F157">
        <v>1.5758745082161301</v>
      </c>
      <c r="G157">
        <v>-1860.1978684903261</v>
      </c>
      <c r="H157">
        <v>-1510.6593453940511</v>
      </c>
      <c r="I157">
        <v>326.93481278322503</v>
      </c>
      <c r="J157">
        <v>163.85547600113901</v>
      </c>
      <c r="K157">
        <v>70.325078346713994</v>
      </c>
      <c r="L157">
        <v>0.65043797361378108</v>
      </c>
      <c r="M157">
        <v>-0.64961654995944795</v>
      </c>
      <c r="N157">
        <v>45.701904734873303</v>
      </c>
      <c r="O157">
        <v>45.701968983649003</v>
      </c>
      <c r="P157">
        <v>45.701901104159802</v>
      </c>
      <c r="Q157" t="s">
        <v>51</v>
      </c>
    </row>
    <row r="158" spans="1:17" x14ac:dyDescent="0.2">
      <c r="A158">
        <v>157</v>
      </c>
      <c r="B158">
        <v>795</v>
      </c>
      <c r="C158">
        <v>125</v>
      </c>
      <c r="D158">
        <v>0.48441745073257497</v>
      </c>
      <c r="E158">
        <v>110.823516310843</v>
      </c>
      <c r="F158">
        <v>1.5759257412549901</v>
      </c>
      <c r="G158">
        <v>-1859.8713406332668</v>
      </c>
      <c r="H158">
        <v>-1510.9041557609844</v>
      </c>
      <c r="I158">
        <v>326.70601553351003</v>
      </c>
      <c r="J158">
        <v>163.84140796392799</v>
      </c>
      <c r="K158">
        <v>70.322803549479602</v>
      </c>
      <c r="L158">
        <v>0.64749936766705363</v>
      </c>
      <c r="M158">
        <v>-0.6466749740791643</v>
      </c>
      <c r="N158">
        <v>45.493595480215902</v>
      </c>
      <c r="O158">
        <v>45.493659914972497</v>
      </c>
      <c r="P158">
        <v>45.493591756275201</v>
      </c>
      <c r="Q158" t="s">
        <v>51</v>
      </c>
    </row>
    <row r="159" spans="1:17" x14ac:dyDescent="0.2">
      <c r="A159">
        <v>158</v>
      </c>
      <c r="B159">
        <v>794</v>
      </c>
      <c r="C159">
        <v>125</v>
      </c>
      <c r="D159">
        <v>0.48386871573818202</v>
      </c>
      <c r="E159">
        <v>110.823534390711</v>
      </c>
      <c r="F159">
        <v>1.57598604597659</v>
      </c>
      <c r="G159">
        <v>-1859.545041847731</v>
      </c>
      <c r="H159">
        <v>-1511.1485483248182</v>
      </c>
      <c r="I159">
        <v>326.477395613623</v>
      </c>
      <c r="J159">
        <v>163.82812177982899</v>
      </c>
      <c r="K159">
        <v>70.320124136656005</v>
      </c>
      <c r="L159">
        <v>0.64457305476700621</v>
      </c>
      <c r="M159">
        <v>-0.64374569707848983</v>
      </c>
      <c r="N159">
        <v>45.285903487442702</v>
      </c>
      <c r="O159">
        <v>45.285968105408003</v>
      </c>
      <c r="P159">
        <v>45.285899667511103</v>
      </c>
      <c r="Q159" t="s">
        <v>51</v>
      </c>
    </row>
    <row r="160" spans="1:17" x14ac:dyDescent="0.2">
      <c r="A160">
        <v>159</v>
      </c>
      <c r="B160">
        <v>793</v>
      </c>
      <c r="C160">
        <v>125</v>
      </c>
      <c r="D160">
        <v>0.48331895136707098</v>
      </c>
      <c r="E160">
        <v>110.823552498008</v>
      </c>
      <c r="F160">
        <v>1.57605579263699</v>
      </c>
      <c r="G160">
        <v>-1859.2189720011302</v>
      </c>
      <c r="H160">
        <v>-1511.3924966612358</v>
      </c>
      <c r="I160">
        <v>326.24897817779902</v>
      </c>
      <c r="J160">
        <v>163.815626225393</v>
      </c>
      <c r="K160">
        <v>70.3170236839034</v>
      </c>
      <c r="L160">
        <v>0.64166025632510659</v>
      </c>
      <c r="M160">
        <v>-0.64082994138387062</v>
      </c>
      <c r="N160">
        <v>45.078907620074901</v>
      </c>
      <c r="O160">
        <v>45.0789724183307</v>
      </c>
      <c r="P160">
        <v>45.078903701333601</v>
      </c>
      <c r="Q160" t="s">
        <v>51</v>
      </c>
    </row>
    <row r="161" spans="1:17" x14ac:dyDescent="0.2">
      <c r="A161">
        <v>160</v>
      </c>
      <c r="B161">
        <v>792</v>
      </c>
      <c r="C161">
        <v>125</v>
      </c>
      <c r="D161">
        <v>0.48276815471999501</v>
      </c>
      <c r="E161">
        <v>110.823570636255</v>
      </c>
      <c r="F161">
        <v>1.57613532930699</v>
      </c>
      <c r="G161">
        <v>-1858.8931309365089</v>
      </c>
      <c r="H161">
        <v>-1511.6359757865243</v>
      </c>
      <c r="I161">
        <v>326.02078709961398</v>
      </c>
      <c r="J161">
        <v>163.803929682942</v>
      </c>
      <c r="K161">
        <v>70.313486777168507</v>
      </c>
      <c r="L161">
        <v>0.63876213306436735</v>
      </c>
      <c r="M161">
        <v>-0.63792886868672261</v>
      </c>
      <c r="N161">
        <v>44.872683260681498</v>
      </c>
      <c r="O161">
        <v>44.872748236166998</v>
      </c>
      <c r="P161">
        <v>44.872679240255998</v>
      </c>
      <c r="Q161" t="s">
        <v>51</v>
      </c>
    </row>
    <row r="162" spans="1:17" x14ac:dyDescent="0.2">
      <c r="A162">
        <v>161</v>
      </c>
      <c r="B162">
        <v>791</v>
      </c>
      <c r="C162">
        <v>125</v>
      </c>
      <c r="D162">
        <v>0.48221632288681698</v>
      </c>
      <c r="E162">
        <v>110.823588808963</v>
      </c>
      <c r="F162">
        <v>1.57622498161473</v>
      </c>
      <c r="G162">
        <v>-1858.5675184734991</v>
      </c>
      <c r="H162">
        <v>-1511.8789621915596</v>
      </c>
      <c r="I162">
        <v>325.79284493493799</v>
      </c>
      <c r="J162">
        <v>163.79304015616199</v>
      </c>
      <c r="K162">
        <v>70.309499025597702</v>
      </c>
      <c r="L162">
        <v>0.63587978341596529</v>
      </c>
      <c r="M162">
        <v>-0.63504357833878211</v>
      </c>
      <c r="N162">
        <v>44.667302185351097</v>
      </c>
      <c r="O162">
        <v>44.667367334867002</v>
      </c>
      <c r="P162">
        <v>44.667298060310301</v>
      </c>
      <c r="Q162" t="s">
        <v>51</v>
      </c>
    </row>
    <row r="163" spans="1:17" x14ac:dyDescent="0.2">
      <c r="A163">
        <v>162</v>
      </c>
      <c r="B163">
        <v>790</v>
      </c>
      <c r="C163">
        <v>125</v>
      </c>
      <c r="D163">
        <v>0.48166345294643498</v>
      </c>
      <c r="E163">
        <v>110.823607019593</v>
      </c>
      <c r="F163">
        <v>1.57632505265258</v>
      </c>
      <c r="G163">
        <v>-1858.2421344090117</v>
      </c>
      <c r="H163">
        <v>-1512.1214338630759</v>
      </c>
      <c r="I163">
        <v>325.56517289637998</v>
      </c>
      <c r="J163">
        <v>163.78296528884599</v>
      </c>
      <c r="K163">
        <v>70.305047066975902</v>
      </c>
      <c r="L163">
        <v>0.63301424245482218</v>
      </c>
      <c r="M163">
        <v>-0.63217510628683027</v>
      </c>
      <c r="N163">
        <v>44.462832471451499</v>
      </c>
      <c r="O163">
        <v>44.462897791663799</v>
      </c>
      <c r="P163">
        <v>44.462828238807099</v>
      </c>
      <c r="Q163" t="s">
        <v>51</v>
      </c>
    </row>
    <row r="164" spans="1:17" x14ac:dyDescent="0.2">
      <c r="A164">
        <v>163</v>
      </c>
      <c r="B164">
        <v>789</v>
      </c>
      <c r="C164">
        <v>125</v>
      </c>
      <c r="D164">
        <v>0.48110954196676597</v>
      </c>
      <c r="E164">
        <v>110.823625271585</v>
      </c>
      <c r="F164">
        <v>1.57643582303551</v>
      </c>
      <c r="G164">
        <v>-1857.9169785190913</v>
      </c>
      <c r="H164">
        <v>-1512.3633702953077</v>
      </c>
      <c r="I164">
        <v>325.33779083776</v>
      </c>
      <c r="J164">
        <v>163.773712385908</v>
      </c>
      <c r="K164">
        <v>70.300118566316797</v>
      </c>
      <c r="L164">
        <v>0.63016648130624542</v>
      </c>
      <c r="M164">
        <v>-0.62932442447886106</v>
      </c>
      <c r="N164">
        <v>44.259338434516401</v>
      </c>
      <c r="O164">
        <v>44.259403921960001</v>
      </c>
      <c r="P164">
        <v>44.259334091222001</v>
      </c>
      <c r="Q164" t="s">
        <v>51</v>
      </c>
    </row>
    <row r="165" spans="1:17" x14ac:dyDescent="0.2">
      <c r="A165">
        <v>164</v>
      </c>
      <c r="B165">
        <v>788</v>
      </c>
      <c r="C165">
        <v>125</v>
      </c>
      <c r="D165">
        <v>0.48055458700466802</v>
      </c>
      <c r="E165">
        <v>110.823643568318</v>
      </c>
      <c r="F165">
        <v>1.57655755111286</v>
      </c>
      <c r="G165">
        <v>-1857.5920505595668</v>
      </c>
      <c r="H165">
        <v>-1512.6047524887852</v>
      </c>
      <c r="I165">
        <v>325.11071724945202</v>
      </c>
      <c r="J165">
        <v>163.76528843711799</v>
      </c>
      <c r="K165">
        <v>70.294702207407198</v>
      </c>
      <c r="L165">
        <v>0.62733740706544616</v>
      </c>
      <c r="M165">
        <v>-0.62649244078352162</v>
      </c>
      <c r="N165">
        <v>44.056880597272702</v>
      </c>
      <c r="O165">
        <v>44.0569462483558</v>
      </c>
      <c r="P165">
        <v>44.056876140223103</v>
      </c>
      <c r="Q165" t="s">
        <v>51</v>
      </c>
    </row>
    <row r="166" spans="1:17" x14ac:dyDescent="0.2">
      <c r="A166">
        <v>165</v>
      </c>
      <c r="B166">
        <v>787</v>
      </c>
      <c r="C166">
        <v>125</v>
      </c>
      <c r="D166">
        <v>0.479998585105882</v>
      </c>
      <c r="E166">
        <v>110.823661913134</v>
      </c>
      <c r="F166">
        <v>1.57669047329942</v>
      </c>
      <c r="G166">
        <v>-1857.2673502678892</v>
      </c>
      <c r="H166">
        <v>-1512.8455629413861</v>
      </c>
      <c r="I166">
        <v>324.88396926212801</v>
      </c>
      <c r="J166">
        <v>163.75770014253399</v>
      </c>
      <c r="K166">
        <v>70.288787678929495</v>
      </c>
      <c r="L166">
        <v>0.62452786310492947</v>
      </c>
      <c r="M166">
        <v>-0.62367999929773532</v>
      </c>
      <c r="N166">
        <v>43.8555156832183</v>
      </c>
      <c r="O166">
        <v>43.8555814942262</v>
      </c>
      <c r="P166">
        <v>43.855511109249001</v>
      </c>
      <c r="Q166" t="s">
        <v>51</v>
      </c>
    </row>
    <row r="167" spans="1:17" x14ac:dyDescent="0.2">
      <c r="A167">
        <v>166</v>
      </c>
      <c r="B167">
        <v>786</v>
      </c>
      <c r="C167">
        <v>125</v>
      </c>
      <c r="D167">
        <v>0.47944153330501299</v>
      </c>
      <c r="E167">
        <v>110.823684470647</v>
      </c>
      <c r="F167">
        <v>1.5759405773167801</v>
      </c>
      <c r="G167">
        <v>-1856.9429595753907</v>
      </c>
      <c r="H167">
        <v>-1513.1811400243096</v>
      </c>
      <c r="I167">
        <v>324.56762587717401</v>
      </c>
      <c r="J167">
        <v>163.738017072898</v>
      </c>
      <c r="K167">
        <v>70.322248227999197</v>
      </c>
      <c r="L167">
        <v>0.61742521381904314</v>
      </c>
      <c r="M167">
        <v>-0.61657154431383032</v>
      </c>
      <c r="N167">
        <v>43.3765953746842</v>
      </c>
      <c r="O167">
        <v>43.3766616034235</v>
      </c>
      <c r="P167">
        <v>43.376590663526898</v>
      </c>
      <c r="Q167" t="s">
        <v>51</v>
      </c>
    </row>
    <row r="168" spans="1:17" x14ac:dyDescent="0.2">
      <c r="A168">
        <v>167</v>
      </c>
      <c r="B168">
        <v>785</v>
      </c>
      <c r="C168">
        <v>125</v>
      </c>
      <c r="D168">
        <v>0.47888342862543298</v>
      </c>
      <c r="E168">
        <v>110.823715859114</v>
      </c>
      <c r="F168">
        <v>1.5732672700965999</v>
      </c>
      <c r="G168">
        <v>-1856.619157808128</v>
      </c>
      <c r="H168">
        <v>-1513.7238267356986</v>
      </c>
      <c r="I168">
        <v>324.05554527285102</v>
      </c>
      <c r="J168">
        <v>163.69147994968699</v>
      </c>
      <c r="K168">
        <v>70.441760256227894</v>
      </c>
      <c r="L168">
        <v>0.60095313524746286</v>
      </c>
      <c r="M168">
        <v>-0.60008732040639834</v>
      </c>
      <c r="N168">
        <v>42.2893517578039</v>
      </c>
      <c r="O168">
        <v>42.289418970421103</v>
      </c>
      <c r="P168">
        <v>42.289346867360003</v>
      </c>
      <c r="Q168" t="s">
        <v>51</v>
      </c>
    </row>
    <row r="169" spans="1:17" x14ac:dyDescent="0.2">
      <c r="A169">
        <v>168</v>
      </c>
      <c r="B169">
        <v>784</v>
      </c>
      <c r="C169">
        <v>125</v>
      </c>
      <c r="D169">
        <v>0.47832426807926898</v>
      </c>
      <c r="E169">
        <v>110.823746957324</v>
      </c>
      <c r="F169">
        <v>1.57059531078465</v>
      </c>
      <c r="G169">
        <v>-1856.295864716602</v>
      </c>
      <c r="H169">
        <v>-1514.2691878743647</v>
      </c>
      <c r="I169">
        <v>323.540447717159</v>
      </c>
      <c r="J169">
        <v>163.64593557432499</v>
      </c>
      <c r="K169">
        <v>70.561618385297606</v>
      </c>
      <c r="L169">
        <v>0.58435857128231061</v>
      </c>
      <c r="M169">
        <v>-0.58348054003872862</v>
      </c>
      <c r="N169">
        <v>41.189723430238701</v>
      </c>
      <c r="O169">
        <v>41.189791631740803</v>
      </c>
      <c r="P169">
        <v>41.189718353898101</v>
      </c>
      <c r="Q169" t="s">
        <v>51</v>
      </c>
    </row>
    <row r="170" spans="1:17" x14ac:dyDescent="0.2">
      <c r="A170">
        <v>169</v>
      </c>
      <c r="B170">
        <v>783</v>
      </c>
      <c r="C170">
        <v>125</v>
      </c>
      <c r="D170">
        <v>0.47776404866733202</v>
      </c>
      <c r="E170">
        <v>110.823777728088</v>
      </c>
      <c r="F170">
        <v>1.56791519143952</v>
      </c>
      <c r="G170">
        <v>-1855.9730832296987</v>
      </c>
      <c r="H170">
        <v>-1514.8183772318998</v>
      </c>
      <c r="I170">
        <v>323.021235132595</v>
      </c>
      <c r="J170">
        <v>163.60101870095701</v>
      </c>
      <c r="K170">
        <v>70.682252671038299</v>
      </c>
      <c r="L170">
        <v>0.56758410361458445</v>
      </c>
      <c r="M170">
        <v>-0.56669375204891226</v>
      </c>
      <c r="N170">
        <v>40.0738328230767</v>
      </c>
      <c r="O170">
        <v>40.073902021276801</v>
      </c>
      <c r="P170">
        <v>40.073827553793102</v>
      </c>
      <c r="Q170" t="s">
        <v>51</v>
      </c>
    </row>
    <row r="171" spans="1:17" x14ac:dyDescent="0.2">
      <c r="A171">
        <v>170</v>
      </c>
      <c r="B171">
        <v>782</v>
      </c>
      <c r="C171">
        <v>125</v>
      </c>
      <c r="D171">
        <v>0.47720276737904699</v>
      </c>
      <c r="E171">
        <v>110.823808119552</v>
      </c>
      <c r="F171">
        <v>1.5652136424741201</v>
      </c>
      <c r="G171">
        <v>-1855.6508173330674</v>
      </c>
      <c r="H171">
        <v>-1515.372985925623</v>
      </c>
      <c r="I171">
        <v>322.496391879817</v>
      </c>
      <c r="J171">
        <v>163.556257924438</v>
      </c>
      <c r="K171">
        <v>70.804269214248905</v>
      </c>
      <c r="L171">
        <v>0.55055190408097388</v>
      </c>
      <c r="M171">
        <v>-0.54964908280061719</v>
      </c>
      <c r="N171">
        <v>38.936396203736301</v>
      </c>
      <c r="O171">
        <v>38.936466410416898</v>
      </c>
      <c r="P171">
        <v>38.936390733915403</v>
      </c>
      <c r="Q171" t="s">
        <v>51</v>
      </c>
    </row>
    <row r="172" spans="1:17" x14ac:dyDescent="0.2">
      <c r="A172">
        <v>171</v>
      </c>
      <c r="B172">
        <v>781</v>
      </c>
      <c r="C172">
        <v>125</v>
      </c>
      <c r="D172">
        <v>0.476640421192431</v>
      </c>
      <c r="E172">
        <v>110.823838058213</v>
      </c>
      <c r="F172">
        <v>1.56247223236778</v>
      </c>
      <c r="G172">
        <v>-1855.3290724493763</v>
      </c>
      <c r="H172">
        <v>-1515.9352136680816</v>
      </c>
      <c r="I172">
        <v>321.96382069214502</v>
      </c>
      <c r="J172">
        <v>163.511032960324</v>
      </c>
      <c r="K172">
        <v>70.928516848116999</v>
      </c>
      <c r="L172">
        <v>0.53315584309155639</v>
      </c>
      <c r="M172">
        <v>-0.53224033980983942</v>
      </c>
      <c r="N172">
        <v>37.7701698192595</v>
      </c>
      <c r="O172">
        <v>37.7702410517836</v>
      </c>
      <c r="P172">
        <v>37.7701641406004</v>
      </c>
      <c r="Q172" t="s">
        <v>51</v>
      </c>
    </row>
    <row r="173" spans="1:17" x14ac:dyDescent="0.2">
      <c r="A173">
        <v>172</v>
      </c>
      <c r="B173">
        <v>780</v>
      </c>
      <c r="C173">
        <v>125</v>
      </c>
      <c r="D173">
        <v>0.47607700707401701</v>
      </c>
      <c r="E173">
        <v>110.82386743709</v>
      </c>
      <c r="F173">
        <v>1.5596652841155101</v>
      </c>
      <c r="G173">
        <v>-1855.0078559418698</v>
      </c>
      <c r="H173">
        <v>-1516.5081263790755</v>
      </c>
      <c r="I173">
        <v>321.42059582032101</v>
      </c>
      <c r="J173">
        <v>163.464509277806</v>
      </c>
      <c r="K173">
        <v>71.056186584250895</v>
      </c>
      <c r="L173">
        <v>0.51524964652135685</v>
      </c>
      <c r="M173">
        <v>-0.51432116146761331</v>
      </c>
      <c r="N173">
        <v>36.565116417076297</v>
      </c>
      <c r="O173">
        <v>36.565188700669601</v>
      </c>
      <c r="P173">
        <v>36.565110520344497</v>
      </c>
      <c r="Q173" t="s">
        <v>51</v>
      </c>
    </row>
    <row r="174" spans="1:17" x14ac:dyDescent="0.2">
      <c r="A174">
        <v>173</v>
      </c>
      <c r="B174">
        <v>779</v>
      </c>
      <c r="C174">
        <v>125</v>
      </c>
      <c r="D174">
        <v>0.475512521978807</v>
      </c>
      <c r="E174">
        <v>110.823896099663</v>
      </c>
      <c r="F174">
        <v>1.5567567031549401</v>
      </c>
      <c r="G174">
        <v>-1854.6871778576424</v>
      </c>
      <c r="H174">
        <v>-1517.0960533443545</v>
      </c>
      <c r="I174">
        <v>320.86258238809899</v>
      </c>
      <c r="J174">
        <v>163.41553582591499</v>
      </c>
      <c r="K174">
        <v>71.1889634874005</v>
      </c>
      <c r="L174">
        <v>0.49662871150203641</v>
      </c>
      <c r="M174">
        <v>-0.49568682187661711</v>
      </c>
      <c r="N174">
        <v>35.3071209351912</v>
      </c>
      <c r="O174">
        <v>35.307194306250302</v>
      </c>
      <c r="P174">
        <v>35.307114809884503</v>
      </c>
      <c r="Q174" t="s">
        <v>51</v>
      </c>
    </row>
    <row r="175" spans="1:17" x14ac:dyDescent="0.2">
      <c r="A175">
        <v>174</v>
      </c>
      <c r="B175">
        <v>778</v>
      </c>
      <c r="C175">
        <v>125</v>
      </c>
      <c r="D175">
        <v>0.47494696285021398</v>
      </c>
      <c r="E175">
        <v>110.823923808568</v>
      </c>
      <c r="F175">
        <v>1.5536951187347501</v>
      </c>
      <c r="G175">
        <v>-1854.3670519013428</v>
      </c>
      <c r="H175">
        <v>-1517.7052061482821</v>
      </c>
      <c r="I175">
        <v>320.28384284475999</v>
      </c>
      <c r="J175">
        <v>163.36248311265999</v>
      </c>
      <c r="K175">
        <v>71.329260465732602</v>
      </c>
      <c r="L175">
        <v>0.47700194437210985</v>
      </c>
      <c r="M175">
        <v>-0.47604605193174526</v>
      </c>
      <c r="N175">
        <v>33.975990668595699</v>
      </c>
      <c r="O175">
        <v>33.976065179582598</v>
      </c>
      <c r="P175">
        <v>33.975984302443898</v>
      </c>
      <c r="Q175" t="s">
        <v>51</v>
      </c>
    </row>
    <row r="176" spans="1:17" x14ac:dyDescent="0.2">
      <c r="A176">
        <v>175</v>
      </c>
      <c r="B176">
        <v>777</v>
      </c>
      <c r="C176">
        <v>125</v>
      </c>
      <c r="D176">
        <v>0.47438032662001101</v>
      </c>
      <c r="E176">
        <v>110.823950193968</v>
      </c>
      <c r="F176">
        <v>1.5504067005217701</v>
      </c>
      <c r="G176">
        <v>-1854.0474968193728</v>
      </c>
      <c r="H176">
        <v>-1518.344621248865</v>
      </c>
      <c r="I176">
        <v>319.67573227718901</v>
      </c>
      <c r="J176">
        <v>163.30299128578</v>
      </c>
      <c r="K176">
        <v>71.480567103245704</v>
      </c>
      <c r="L176">
        <v>0.45594933546536093</v>
      </c>
      <c r="M176">
        <v>-0.45497858892307763</v>
      </c>
      <c r="N176">
        <v>32.542413718596499</v>
      </c>
      <c r="O176">
        <v>32.542489445316001</v>
      </c>
      <c r="P176">
        <v>32.5424070968038</v>
      </c>
      <c r="Q176" t="s">
        <v>51</v>
      </c>
    </row>
    <row r="177" spans="1:17" x14ac:dyDescent="0.2">
      <c r="A177">
        <v>176</v>
      </c>
      <c r="B177">
        <v>776</v>
      </c>
      <c r="C177">
        <v>125</v>
      </c>
      <c r="D177">
        <v>0.47381261020826598</v>
      </c>
      <c r="E177">
        <v>110.823974663261</v>
      </c>
      <c r="F177">
        <v>1.54678621493306</v>
      </c>
      <c r="G177">
        <v>-1853.7285382259138</v>
      </c>
      <c r="H177">
        <v>-1519.0274185524922</v>
      </c>
      <c r="I177">
        <v>319.02568781524599</v>
      </c>
      <c r="J177">
        <v>163.233619076921</v>
      </c>
      <c r="K177">
        <v>71.647893932165999</v>
      </c>
      <c r="L177">
        <v>0.43286665949876291</v>
      </c>
      <c r="M177">
        <v>-0.4318798447720224</v>
      </c>
      <c r="N177">
        <v>30.963905183134901</v>
      </c>
      <c r="O177">
        <v>30.963982235097198</v>
      </c>
      <c r="P177">
        <v>30.9638982872691</v>
      </c>
      <c r="Q177" t="s">
        <v>51</v>
      </c>
    </row>
    <row r="178" spans="1:17" x14ac:dyDescent="0.2">
      <c r="A178">
        <v>177</v>
      </c>
      <c r="B178">
        <v>775</v>
      </c>
      <c r="C178">
        <v>125</v>
      </c>
      <c r="D178">
        <v>0.473243810523307</v>
      </c>
      <c r="E178">
        <v>110.82399626403701</v>
      </c>
      <c r="F178">
        <v>1.5426940998954299</v>
      </c>
      <c r="G178">
        <v>-1853.4102107867443</v>
      </c>
      <c r="H178">
        <v>-1519.771571331363</v>
      </c>
      <c r="I178">
        <v>318.31647756925901</v>
      </c>
      <c r="J178">
        <v>163.149573293028</v>
      </c>
      <c r="K178">
        <v>71.837959496668503</v>
      </c>
      <c r="L178">
        <v>0.40693676907276155</v>
      </c>
      <c r="M178">
        <v>-0.40593218555697813</v>
      </c>
      <c r="N178">
        <v>29.1823430597581</v>
      </c>
      <c r="O178">
        <v>29.1824215920558</v>
      </c>
      <c r="P178">
        <v>29.1823358663672</v>
      </c>
      <c r="Q178" t="s">
        <v>51</v>
      </c>
    </row>
    <row r="179" spans="1:17" x14ac:dyDescent="0.2">
      <c r="A179">
        <v>178</v>
      </c>
      <c r="B179">
        <v>774</v>
      </c>
      <c r="C179">
        <v>125</v>
      </c>
      <c r="D179">
        <v>0.47267392446163797</v>
      </c>
      <c r="E179">
        <v>110.82401357641901</v>
      </c>
      <c r="F179">
        <v>1.5379951649462</v>
      </c>
      <c r="G179">
        <v>-1853.0925600112623</v>
      </c>
      <c r="H179">
        <v>-1520.5960590196623</v>
      </c>
      <c r="I179">
        <v>317.52985338792899</v>
      </c>
      <c r="J179">
        <v>163.045535017963</v>
      </c>
      <c r="K179">
        <v>72.0574525215075</v>
      </c>
      <c r="L179">
        <v>0.3773208512029671</v>
      </c>
      <c r="M179">
        <v>-0.37629631142356262</v>
      </c>
      <c r="N179">
        <v>27.136389982385701</v>
      </c>
      <c r="O179">
        <v>27.1364701964849</v>
      </c>
      <c r="P179">
        <v>27.136382462428099</v>
      </c>
      <c r="Q179" t="s">
        <v>51</v>
      </c>
    </row>
    <row r="180" spans="1:17" x14ac:dyDescent="0.2">
      <c r="A180">
        <v>179</v>
      </c>
      <c r="B180">
        <v>773</v>
      </c>
      <c r="C180">
        <v>125</v>
      </c>
      <c r="D180">
        <v>0.472102948907902</v>
      </c>
      <c r="E180">
        <v>110.830711497256</v>
      </c>
      <c r="F180">
        <v>1.5155929748844701</v>
      </c>
      <c r="G180">
        <v>-1852.8856896517323</v>
      </c>
      <c r="H180">
        <v>-1523.7391542226678</v>
      </c>
      <c r="I180">
        <v>314.63161860357798</v>
      </c>
      <c r="J180">
        <v>162.372388545078</v>
      </c>
      <c r="K180">
        <v>73.126963065861304</v>
      </c>
      <c r="L180">
        <v>0.25399302497558784</v>
      </c>
      <c r="M180">
        <v>-0.25288959870248195</v>
      </c>
      <c r="N180">
        <v>18.5164066371281</v>
      </c>
      <c r="O180">
        <v>18.516494106170502</v>
      </c>
      <c r="P180">
        <v>18.516398269197499</v>
      </c>
      <c r="Q180" t="s">
        <v>51</v>
      </c>
    </row>
    <row r="181" spans="1:17" x14ac:dyDescent="0.2">
      <c r="A181">
        <v>180</v>
      </c>
      <c r="B181">
        <v>772</v>
      </c>
      <c r="C181">
        <v>125</v>
      </c>
      <c r="D181">
        <v>0.47153088073482102</v>
      </c>
      <c r="E181">
        <v>110.834544031391</v>
      </c>
      <c r="F181">
        <v>1.4998679956083301</v>
      </c>
      <c r="G181">
        <v>-1852.6348139369898</v>
      </c>
      <c r="H181">
        <v>-1526.1415764372882</v>
      </c>
      <c r="I181">
        <v>312.39430052211998</v>
      </c>
      <c r="J181">
        <v>161.86730828403699</v>
      </c>
      <c r="K181">
        <v>73.896199102799997</v>
      </c>
      <c r="L181">
        <v>0.16327880817247564</v>
      </c>
      <c r="M181">
        <v>-0.16211769723370822</v>
      </c>
      <c r="N181">
        <v>12.0046527030507</v>
      </c>
      <c r="O181">
        <v>12.004745525017499</v>
      </c>
      <c r="P181">
        <v>12.0046436245155</v>
      </c>
      <c r="Q181" t="s">
        <v>51</v>
      </c>
    </row>
    <row r="182" spans="1:17" x14ac:dyDescent="0.2">
      <c r="A182">
        <v>181</v>
      </c>
      <c r="B182">
        <v>771</v>
      </c>
      <c r="C182">
        <v>125</v>
      </c>
      <c r="D182">
        <v>0.47095771680314102</v>
      </c>
      <c r="E182">
        <v>110.83623898525499</v>
      </c>
      <c r="F182">
        <v>1.49270639764879</v>
      </c>
      <c r="G182">
        <v>-1852.35072220593</v>
      </c>
      <c r="H182">
        <v>-1527.4420638790016</v>
      </c>
      <c r="I182">
        <v>311.17606966074402</v>
      </c>
      <c r="J182">
        <v>161.635315298752</v>
      </c>
      <c r="K182">
        <v>74.251868391424097</v>
      </c>
      <c r="L182">
        <v>0.11788577090662855</v>
      </c>
      <c r="M182">
        <v>-0.11669536359973759</v>
      </c>
      <c r="N182">
        <v>8.6903069895234797</v>
      </c>
      <c r="O182">
        <v>8.6904024491247007</v>
      </c>
      <c r="P182">
        <v>8.6902974309724694</v>
      </c>
      <c r="Q182" t="s">
        <v>51</v>
      </c>
    </row>
    <row r="183" spans="1:17" x14ac:dyDescent="0.2">
      <c r="A183">
        <v>182</v>
      </c>
      <c r="B183">
        <v>770</v>
      </c>
      <c r="C183">
        <v>125</v>
      </c>
      <c r="D183">
        <v>0.47038345396155901</v>
      </c>
      <c r="E183">
        <v>110.837128022407</v>
      </c>
      <c r="F183">
        <v>1.48915299827414</v>
      </c>
      <c r="G183">
        <v>-1852.0544551750108</v>
      </c>
      <c r="H183">
        <v>-1528.2666904426974</v>
      </c>
      <c r="I183">
        <v>310.39994038466398</v>
      </c>
      <c r="J183">
        <v>161.52343169192201</v>
      </c>
      <c r="K183">
        <v>74.429644335311394</v>
      </c>
      <c r="L183">
        <v>9.168841958982589E-2</v>
      </c>
      <c r="M183">
        <v>-9.0480709018404659E-2</v>
      </c>
      <c r="N183">
        <v>6.7602793489306796</v>
      </c>
      <c r="O183">
        <v>6.7603762725787302</v>
      </c>
      <c r="P183">
        <v>6.76026940758954</v>
      </c>
      <c r="Q183" t="s">
        <v>51</v>
      </c>
    </row>
    <row r="184" spans="1:17" x14ac:dyDescent="0.2">
      <c r="A184">
        <v>183</v>
      </c>
      <c r="B184">
        <v>769</v>
      </c>
      <c r="C184">
        <v>125</v>
      </c>
      <c r="D184">
        <v>0.46980808904668597</v>
      </c>
      <c r="E184">
        <v>110.837661270241</v>
      </c>
      <c r="F184">
        <v>1.4873710644025999</v>
      </c>
      <c r="G184">
        <v>-1851.753039960302</v>
      </c>
      <c r="H184">
        <v>-1528.8548822637254</v>
      </c>
      <c r="I184">
        <v>309.84421996830599</v>
      </c>
      <c r="J184">
        <v>161.47220185261401</v>
      </c>
      <c r="K184">
        <v>74.519172735660803</v>
      </c>
      <c r="L184">
        <v>7.4939853964466951E-2</v>
      </c>
      <c r="M184">
        <v>-7.372073415502868E-2</v>
      </c>
      <c r="N184">
        <v>5.5196590769356702</v>
      </c>
      <c r="O184">
        <v>5.5197568792777103</v>
      </c>
      <c r="P184">
        <v>5.5196487986036402</v>
      </c>
      <c r="Q184" t="s">
        <v>51</v>
      </c>
    </row>
    <row r="185" spans="1:17" x14ac:dyDescent="0.2">
      <c r="A185">
        <v>184</v>
      </c>
      <c r="B185">
        <v>768</v>
      </c>
      <c r="C185">
        <v>125</v>
      </c>
      <c r="D185">
        <v>0.46923161888296799</v>
      </c>
      <c r="E185">
        <v>110.838145934788</v>
      </c>
      <c r="F185">
        <v>1.4864910983025199</v>
      </c>
      <c r="G185">
        <v>-1851.4513268436756</v>
      </c>
      <c r="H185">
        <v>-1529.3261069874864</v>
      </c>
      <c r="I185">
        <v>309.399472832725</v>
      </c>
      <c r="J185">
        <v>161.45215532292301</v>
      </c>
      <c r="K185">
        <v>74.563612295666204</v>
      </c>
      <c r="L185">
        <v>6.2958425673290172E-2</v>
      </c>
      <c r="M185">
        <v>-6.1730875790494515E-2</v>
      </c>
      <c r="N185">
        <v>4.6290673036376901</v>
      </c>
      <c r="O185">
        <v>4.6291656841628903</v>
      </c>
      <c r="P185">
        <v>4.6290567085592498</v>
      </c>
      <c r="Q18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A50E5-7EA6-419F-8BD0-2DF7D7C4BC91}">
  <sheetPr codeName="Sheet4"/>
  <dimension ref="A1:AI18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756</v>
      </c>
      <c r="C2">
        <v>275</v>
      </c>
      <c r="D2">
        <v>0.30190011174270298</v>
      </c>
      <c r="E2">
        <v>107.127735871025</v>
      </c>
      <c r="F2">
        <v>2.1825511011729</v>
      </c>
      <c r="G2">
        <v>-1758.1441287598127</v>
      </c>
      <c r="H2">
        <v>-1464.4484287213006</v>
      </c>
      <c r="I2">
        <v>285.37696160764898</v>
      </c>
      <c r="J2">
        <v>145.96027865174801</v>
      </c>
      <c r="K2">
        <v>49.083724002363397</v>
      </c>
      <c r="L2">
        <v>1.6644889882849739E-4</v>
      </c>
      <c r="M2">
        <v>1.8330122896698893E-5</v>
      </c>
      <c r="N2" s="1">
        <v>4.12615166292977E-6</v>
      </c>
      <c r="O2" s="1">
        <v>1.1269093005795201E-7</v>
      </c>
      <c r="P2" s="1">
        <v>-5.7606905133704695E-7</v>
      </c>
      <c r="Q2">
        <v>71.932818679938194</v>
      </c>
      <c r="R2">
        <v>7.4677206000428306E-2</v>
      </c>
      <c r="S2">
        <v>12.004360864569399</v>
      </c>
      <c r="T2">
        <v>0.164702666675524</v>
      </c>
      <c r="V2">
        <v>0.39775444533122101</v>
      </c>
      <c r="W2">
        <v>3.7338603000213799E-2</v>
      </c>
      <c r="X2">
        <v>2.8003952250161002E-2</v>
      </c>
      <c r="AA2">
        <v>0.541409743503103</v>
      </c>
      <c r="AB2">
        <v>4.4712977092756203</v>
      </c>
      <c r="AC2">
        <v>3.52849798352019</v>
      </c>
      <c r="AD2">
        <v>1.8669301500106501E-2</v>
      </c>
      <c r="AE2">
        <v>6.8004688444357502</v>
      </c>
    </row>
    <row r="3" spans="1:35" x14ac:dyDescent="0.2">
      <c r="A3">
        <v>2</v>
      </c>
      <c r="B3">
        <v>755</v>
      </c>
      <c r="C3">
        <v>275</v>
      </c>
      <c r="D3">
        <v>0.30115304187132302</v>
      </c>
      <c r="E3">
        <v>106.962867042673</v>
      </c>
      <c r="F3">
        <v>2.1829518216605899</v>
      </c>
      <c r="G3">
        <v>-1755.1290048479536</v>
      </c>
      <c r="H3">
        <v>-1462.2787482606032</v>
      </c>
      <c r="I3">
        <v>284.83222933166297</v>
      </c>
      <c r="J3">
        <v>145.74115430680399</v>
      </c>
      <c r="K3">
        <v>48.999188154920198</v>
      </c>
      <c r="L3">
        <v>1.6649037553234731E-4</v>
      </c>
      <c r="M3">
        <v>1.8324054490737771E-5</v>
      </c>
      <c r="N3" s="1">
        <v>4.1265248709874998E-6</v>
      </c>
      <c r="O3" s="1">
        <v>1.1247406698234E-7</v>
      </c>
      <c r="P3" s="1">
        <v>-5.7556367990892004E-7</v>
      </c>
      <c r="Q3">
        <v>71.896873926361096</v>
      </c>
      <c r="R3">
        <v>7.4792310838193904E-2</v>
      </c>
      <c r="S3">
        <v>12.0228639672405</v>
      </c>
      <c r="T3">
        <v>0.16525894380597</v>
      </c>
      <c r="V3">
        <v>0.39809541812460097</v>
      </c>
      <c r="W3">
        <v>3.7396155419096397E-2</v>
      </c>
      <c r="X3">
        <v>2.80471165643233E-2</v>
      </c>
      <c r="AA3">
        <v>0.54224425357690198</v>
      </c>
      <c r="AB3">
        <v>4.47818961143681</v>
      </c>
      <c r="AC3">
        <v>3.5339366871045801</v>
      </c>
      <c r="AD3">
        <v>1.8698077709547602E-2</v>
      </c>
      <c r="AE3">
        <v>6.8036035318182497</v>
      </c>
    </row>
    <row r="4" spans="1:35" x14ac:dyDescent="0.2">
      <c r="A4">
        <v>3</v>
      </c>
      <c r="B4">
        <v>754</v>
      </c>
      <c r="C4">
        <v>275</v>
      </c>
      <c r="D4">
        <v>0.30040451735384299</v>
      </c>
      <c r="E4">
        <v>106.732497592925</v>
      </c>
      <c r="F4">
        <v>2.1833669273671701</v>
      </c>
      <c r="G4">
        <v>-1751.0306963721207</v>
      </c>
      <c r="H4">
        <v>-1459.1884852911669</v>
      </c>
      <c r="I4">
        <v>284.12813228929798</v>
      </c>
      <c r="J4">
        <v>145.44079015068499</v>
      </c>
      <c r="K4">
        <v>48.884361238186102</v>
      </c>
      <c r="L4">
        <v>1.6657184449782946E-4</v>
      </c>
      <c r="M4">
        <v>1.8319071423032279E-5</v>
      </c>
      <c r="N4" s="1">
        <v>4.1251432430341396E-6</v>
      </c>
      <c r="O4" s="1">
        <v>1.12208766272872E-7</v>
      </c>
      <c r="P4" s="1">
        <v>-5.7491367908976396E-7</v>
      </c>
      <c r="Q4">
        <v>71.846426589067093</v>
      </c>
      <c r="R4">
        <v>7.4953741179296998E-2</v>
      </c>
      <c r="S4">
        <v>12.0488138945736</v>
      </c>
      <c r="T4">
        <v>0.16593695061699601</v>
      </c>
      <c r="V4">
        <v>0.39866553717513697</v>
      </c>
      <c r="W4">
        <v>3.74768705896475E-2</v>
      </c>
      <c r="X4">
        <v>2.81076529422375E-2</v>
      </c>
      <c r="AA4">
        <v>0.543414623549897</v>
      </c>
      <c r="AB4">
        <v>4.4878552531103297</v>
      </c>
      <c r="AC4">
        <v>3.5415642707216399</v>
      </c>
      <c r="AD4">
        <v>1.8738435294822699E-2</v>
      </c>
      <c r="AE4">
        <v>6.8080461811791597</v>
      </c>
    </row>
    <row r="5" spans="1:35" x14ac:dyDescent="0.2">
      <c r="A5">
        <v>4</v>
      </c>
      <c r="B5">
        <v>753</v>
      </c>
      <c r="C5">
        <v>275</v>
      </c>
      <c r="D5">
        <v>0.29965453393753799</v>
      </c>
      <c r="E5">
        <v>106.50323528435101</v>
      </c>
      <c r="F5">
        <v>2.18378175023545</v>
      </c>
      <c r="G5">
        <v>-1746.9521094022293</v>
      </c>
      <c r="H5">
        <v>-1456.1131380295203</v>
      </c>
      <c r="I5">
        <v>283.427346267806</v>
      </c>
      <c r="J5">
        <v>145.14189737586801</v>
      </c>
      <c r="K5">
        <v>48.770091275315401</v>
      </c>
      <c r="L5">
        <v>1.666535994619806E-4</v>
      </c>
      <c r="M5">
        <v>1.831409924807848E-5</v>
      </c>
      <c r="N5" s="1">
        <v>4.1237947077263102E-6</v>
      </c>
      <c r="O5" s="1">
        <v>1.11945026697108E-7</v>
      </c>
      <c r="P5" s="1">
        <v>-5.7426946724087504E-7</v>
      </c>
      <c r="Q5">
        <v>71.7959754676491</v>
      </c>
      <c r="R5">
        <v>7.5115089026554199E-2</v>
      </c>
      <c r="S5">
        <v>12.074750561020901</v>
      </c>
      <c r="T5">
        <v>0.16661740471707101</v>
      </c>
      <c r="V5">
        <v>0.39923285102585099</v>
      </c>
      <c r="W5">
        <v>3.7557544513275698E-2</v>
      </c>
      <c r="X5">
        <v>2.81681583849594E-2</v>
      </c>
      <c r="AA5">
        <v>0.54458439544250903</v>
      </c>
      <c r="AB5">
        <v>4.4975159554648201</v>
      </c>
      <c r="AC5">
        <v>3.5491879565044901</v>
      </c>
      <c r="AD5">
        <v>1.8778772256636499E-2</v>
      </c>
      <c r="AE5">
        <v>6.8125158439937197</v>
      </c>
    </row>
    <row r="6" spans="1:35" x14ac:dyDescent="0.2">
      <c r="A6">
        <v>5</v>
      </c>
      <c r="B6">
        <v>752</v>
      </c>
      <c r="C6">
        <v>275</v>
      </c>
      <c r="D6">
        <v>0.29890308735307097</v>
      </c>
      <c r="E6">
        <v>106.275070802597</v>
      </c>
      <c r="F6">
        <v>2.1841962877087902</v>
      </c>
      <c r="G6">
        <v>-1742.8930807046816</v>
      </c>
      <c r="H6">
        <v>-1453.0525801088927</v>
      </c>
      <c r="I6">
        <v>282.72984499418499</v>
      </c>
      <c r="J6">
        <v>144.84446402722401</v>
      </c>
      <c r="K6">
        <v>48.656373697108897</v>
      </c>
      <c r="L6">
        <v>1.6673564360427556E-4</v>
      </c>
      <c r="M6">
        <v>1.8309138110883031E-5</v>
      </c>
      <c r="N6" s="1">
        <v>4.1224791782927003E-6</v>
      </c>
      <c r="O6" s="1">
        <v>1.11682838041484E-7</v>
      </c>
      <c r="P6" s="1">
        <v>-5.7363101859177202E-7</v>
      </c>
      <c r="Q6">
        <v>71.745520056283098</v>
      </c>
      <c r="R6">
        <v>7.5276355400975395E-2</v>
      </c>
      <c r="S6">
        <v>12.1006741307098</v>
      </c>
      <c r="T6">
        <v>0.16730032119220001</v>
      </c>
      <c r="V6">
        <v>0.39979735356664903</v>
      </c>
      <c r="W6">
        <v>3.7638177700485803E-2</v>
      </c>
      <c r="X6">
        <v>2.8228633275367902E-2</v>
      </c>
      <c r="AA6">
        <v>0.54575357665706004</v>
      </c>
      <c r="AB6">
        <v>4.50717177963325</v>
      </c>
      <c r="AC6">
        <v>3.5568077926958201</v>
      </c>
      <c r="AD6">
        <v>1.8819088850241101E-2</v>
      </c>
      <c r="AE6">
        <v>6.81701273403492</v>
      </c>
    </row>
    <row r="7" spans="1:35" x14ac:dyDescent="0.2">
      <c r="A7">
        <v>6</v>
      </c>
      <c r="B7">
        <v>751</v>
      </c>
      <c r="C7">
        <v>275</v>
      </c>
      <c r="D7">
        <v>0.29815017331445698</v>
      </c>
      <c r="E7">
        <v>106.047994926768</v>
      </c>
      <c r="F7">
        <v>2.1846105371731501</v>
      </c>
      <c r="G7">
        <v>-1738.8534487059462</v>
      </c>
      <c r="H7">
        <v>-1450.0066864229357</v>
      </c>
      <c r="I7">
        <v>282.03560248304501</v>
      </c>
      <c r="J7">
        <v>144.54847827523301</v>
      </c>
      <c r="K7">
        <v>48.543203981791997</v>
      </c>
      <c r="L7">
        <v>1.668179801542051E-4</v>
      </c>
      <c r="M7">
        <v>1.8304188159287209E-5</v>
      </c>
      <c r="N7" s="1">
        <v>4.1211965713830003E-6</v>
      </c>
      <c r="O7" s="1">
        <v>1.11422190237863E-7</v>
      </c>
      <c r="P7" s="1">
        <v>-5.7299830795366196E-7</v>
      </c>
      <c r="Q7">
        <v>71.695059844648995</v>
      </c>
      <c r="R7">
        <v>7.5437541327627602E-2</v>
      </c>
      <c r="S7">
        <v>12.1265847684194</v>
      </c>
      <c r="T7">
        <v>0.16798571522131001</v>
      </c>
      <c r="V7">
        <v>0.40035903863357197</v>
      </c>
      <c r="W7">
        <v>3.7718770663811803E-2</v>
      </c>
      <c r="X7">
        <v>2.8289077997862601E-2</v>
      </c>
      <c r="AA7">
        <v>0.54692217462528803</v>
      </c>
      <c r="AB7">
        <v>4.5168227869915398</v>
      </c>
      <c r="AC7">
        <v>3.5644238277301201</v>
      </c>
      <c r="AD7">
        <v>1.88593853319039E-2</v>
      </c>
      <c r="AE7">
        <v>6.8215370684084</v>
      </c>
    </row>
    <row r="8" spans="1:35" x14ac:dyDescent="0.2">
      <c r="A8">
        <v>7</v>
      </c>
      <c r="B8">
        <v>750</v>
      </c>
      <c r="C8">
        <v>275</v>
      </c>
      <c r="D8">
        <v>0.29739578751893703</v>
      </c>
      <c r="E8">
        <v>105.821998530626</v>
      </c>
      <c r="F8">
        <v>2.1850244959525802</v>
      </c>
      <c r="G8">
        <v>-1734.833053511778</v>
      </c>
      <c r="H8">
        <v>-1446.9753331430359</v>
      </c>
      <c r="I8">
        <v>281.34459303986802</v>
      </c>
      <c r="J8">
        <v>144.25392841758801</v>
      </c>
      <c r="K8">
        <v>48.430577655602903</v>
      </c>
      <c r="L8">
        <v>1.669006123924539E-4</v>
      </c>
      <c r="M8">
        <v>1.8299249544113094E-5</v>
      </c>
      <c r="N8" s="1">
        <v>4.1199468072008504E-6</v>
      </c>
      <c r="O8" s="1">
        <v>1.11163073365792E-7</v>
      </c>
      <c r="P8" s="1">
        <v>-5.72371310733481E-7</v>
      </c>
      <c r="Q8">
        <v>71.644594318296498</v>
      </c>
      <c r="R8">
        <v>7.55986478339368E-2</v>
      </c>
      <c r="S8">
        <v>12.15248263931</v>
      </c>
      <c r="T8">
        <v>0.168673602072094</v>
      </c>
      <c r="V8">
        <v>0.40091789999976502</v>
      </c>
      <c r="W8">
        <v>3.7799323916965499E-2</v>
      </c>
      <c r="X8">
        <v>2.8349492937729599E-2</v>
      </c>
      <c r="AA8">
        <v>0.548090196796023</v>
      </c>
      <c r="AB8">
        <v>4.5264690390567397</v>
      </c>
      <c r="AC8">
        <v>3.5720361101531002</v>
      </c>
      <c r="AD8">
        <v>1.8899661958479901E-2</v>
      </c>
      <c r="AE8">
        <v>6.8260890676684998</v>
      </c>
    </row>
    <row r="9" spans="1:35" x14ac:dyDescent="0.2">
      <c r="A9">
        <v>8</v>
      </c>
      <c r="B9">
        <v>749</v>
      </c>
      <c r="C9">
        <v>275</v>
      </c>
      <c r="D9">
        <v>0.29663992564692099</v>
      </c>
      <c r="E9">
        <v>105.597072580717</v>
      </c>
      <c r="F9">
        <v>2.1854381613129501</v>
      </c>
      <c r="G9">
        <v>-1730.8317368740525</v>
      </c>
      <c r="H9">
        <v>-1443.9583976928486</v>
      </c>
      <c r="I9">
        <v>280.65679125490698</v>
      </c>
      <c r="J9">
        <v>143.96080287660601</v>
      </c>
      <c r="K9">
        <v>48.318490291794298</v>
      </c>
      <c r="L9">
        <v>1.669835436492804E-4</v>
      </c>
      <c r="M9">
        <v>1.8294322419008722E-5</v>
      </c>
      <c r="N9" s="1">
        <v>4.1187298093899097E-6</v>
      </c>
      <c r="O9" s="1">
        <v>1.10905477648283E-7</v>
      </c>
      <c r="P9" s="1">
        <v>-5.7175000291418802E-7</v>
      </c>
      <c r="Q9">
        <v>71.594122958610598</v>
      </c>
      <c r="R9">
        <v>7.5759675950156105E-2</v>
      </c>
      <c r="S9">
        <v>12.178367908993</v>
      </c>
      <c r="T9">
        <v>0.16936399710293601</v>
      </c>
      <c r="V9">
        <v>0.40147393137785298</v>
      </c>
      <c r="W9">
        <v>3.7879837975074701E-2</v>
      </c>
      <c r="X9">
        <v>2.8409878481312299E-2</v>
      </c>
      <c r="AA9">
        <v>0.54925765063860998</v>
      </c>
      <c r="AB9">
        <v>4.5361105975153304</v>
      </c>
      <c r="AC9">
        <v>3.5796446886444002</v>
      </c>
      <c r="AD9">
        <v>1.8939918987533999E-2</v>
      </c>
      <c r="AE9">
        <v>6.83066895572306</v>
      </c>
    </row>
    <row r="10" spans="1:35" x14ac:dyDescent="0.2">
      <c r="A10">
        <v>9</v>
      </c>
      <c r="B10">
        <v>748</v>
      </c>
      <c r="C10">
        <v>275</v>
      </c>
      <c r="D10">
        <v>0.29588258336189799</v>
      </c>
      <c r="E10">
        <v>105.373208135342</v>
      </c>
      <c r="F10">
        <v>2.18585153045712</v>
      </c>
      <c r="G10">
        <v>-1726.8493421733531</v>
      </c>
      <c r="H10">
        <v>-1440.9557587342952</v>
      </c>
      <c r="I10">
        <v>279.972172001231</v>
      </c>
      <c r="J10">
        <v>143.669090198107</v>
      </c>
      <c r="K10">
        <v>48.206937510209499</v>
      </c>
      <c r="L10">
        <v>1.6706677730756066E-4</v>
      </c>
      <c r="M10">
        <v>1.8289406940668416E-5</v>
      </c>
      <c r="N10" s="1">
        <v>4.1175455051244903E-6</v>
      </c>
      <c r="O10" s="1">
        <v>1.1064939345285999E-7</v>
      </c>
      <c r="P10" s="1">
        <v>-5.7113436106669595E-7</v>
      </c>
      <c r="Q10">
        <v>71.543645242648395</v>
      </c>
      <c r="R10">
        <v>7.5920626709257893E-2</v>
      </c>
      <c r="S10">
        <v>12.204240743519099</v>
      </c>
      <c r="T10">
        <v>0.17005691576273399</v>
      </c>
      <c r="V10">
        <v>0.40202712641863497</v>
      </c>
      <c r="W10">
        <v>3.7960313354625297E-2</v>
      </c>
      <c r="X10">
        <v>2.8470235015975801E-2</v>
      </c>
      <c r="AA10">
        <v>0.55042454364209703</v>
      </c>
      <c r="AB10">
        <v>4.5457475242165302</v>
      </c>
      <c r="AC10">
        <v>3.5872496120119202</v>
      </c>
      <c r="AD10">
        <v>1.8980156677309099E-2</v>
      </c>
      <c r="AE10">
        <v>6.8352769600233003</v>
      </c>
    </row>
    <row r="11" spans="1:35" x14ac:dyDescent="0.2">
      <c r="A11">
        <v>10</v>
      </c>
      <c r="B11">
        <v>747</v>
      </c>
      <c r="C11">
        <v>275</v>
      </c>
      <c r="D11">
        <v>0.29512375631034898</v>
      </c>
      <c r="E11">
        <v>103.202566920395</v>
      </c>
      <c r="F11">
        <v>2.1867619638672999</v>
      </c>
      <c r="G11">
        <v>-1690.4604688923432</v>
      </c>
      <c r="H11">
        <v>-1411.0044846671262</v>
      </c>
      <c r="I11">
        <v>273.93617039182101</v>
      </c>
      <c r="J11">
        <v>140.66237204324</v>
      </c>
      <c r="K11">
        <v>47.194239073868403</v>
      </c>
      <c r="L11">
        <v>1.6680049475022071E-4</v>
      </c>
      <c r="M11">
        <v>1.8254536557595966E-5</v>
      </c>
      <c r="N11" s="1">
        <v>4.0275102475352803E-6</v>
      </c>
      <c r="O11" s="1">
        <v>1.08035813453455E-7</v>
      </c>
      <c r="P11" s="1">
        <v>-5.5839171062480297E-7</v>
      </c>
      <c r="Q11">
        <v>71.518691898854001</v>
      </c>
      <c r="R11">
        <v>7.7517451733261203E-2</v>
      </c>
      <c r="S11">
        <v>12.2057883086249</v>
      </c>
      <c r="T11">
        <v>0.17399738087879499</v>
      </c>
      <c r="V11">
        <v>0.410155640664016</v>
      </c>
      <c r="W11">
        <v>3.8758725866624898E-2</v>
      </c>
      <c r="X11">
        <v>2.9069044399979298E-2</v>
      </c>
      <c r="AA11">
        <v>0.53359010766499304</v>
      </c>
      <c r="AB11">
        <v>4.5289024804279201</v>
      </c>
      <c r="AC11">
        <v>3.6456197157794898</v>
      </c>
      <c r="AD11">
        <v>1.9379362933306901E-2</v>
      </c>
      <c r="AE11">
        <v>6.8185298821726699</v>
      </c>
    </row>
    <row r="12" spans="1:35" x14ac:dyDescent="0.2">
      <c r="A12">
        <v>11</v>
      </c>
      <c r="B12">
        <v>746</v>
      </c>
      <c r="C12">
        <v>275</v>
      </c>
      <c r="D12">
        <v>0.29436344012167098</v>
      </c>
      <c r="E12">
        <v>100.69937780595301</v>
      </c>
      <c r="F12">
        <v>2.1877966077119</v>
      </c>
      <c r="G12">
        <v>-1648.5646510196857</v>
      </c>
      <c r="H12">
        <v>-1376.4590123030073</v>
      </c>
      <c r="I12">
        <v>266.99272797593898</v>
      </c>
      <c r="J12">
        <v>137.19394665451699</v>
      </c>
      <c r="K12">
        <v>46.027760282190599</v>
      </c>
      <c r="L12">
        <v>1.6646397596601267E-4</v>
      </c>
      <c r="M12">
        <v>1.8213738686227021E-5</v>
      </c>
      <c r="N12" s="1">
        <v>3.9222238234218902E-6</v>
      </c>
      <c r="O12" s="1">
        <v>1.05027697285145E-7</v>
      </c>
      <c r="P12" s="1">
        <v>-5.4356917919669701E-7</v>
      </c>
      <c r="Q12">
        <v>71.497415857759194</v>
      </c>
      <c r="R12">
        <v>7.9444383612938804E-2</v>
      </c>
      <c r="S12">
        <v>12.2034832947633</v>
      </c>
      <c r="T12">
        <v>0.17869557296432301</v>
      </c>
      <c r="V12">
        <v>0.42001571379736902</v>
      </c>
      <c r="W12">
        <v>3.9722191806463102E-2</v>
      </c>
      <c r="X12">
        <v>2.9791643854858899E-2</v>
      </c>
      <c r="AA12">
        <v>0.51551781042812495</v>
      </c>
      <c r="AB12">
        <v>4.5055550423362698</v>
      </c>
      <c r="AC12">
        <v>3.7130251298918302</v>
      </c>
      <c r="AD12">
        <v>1.9861095903225601E-2</v>
      </c>
      <c r="AE12">
        <v>6.7974722628820397</v>
      </c>
    </row>
    <row r="13" spans="1:35" x14ac:dyDescent="0.2">
      <c r="A13">
        <v>12</v>
      </c>
      <c r="B13">
        <v>745</v>
      </c>
      <c r="C13">
        <v>275</v>
      </c>
      <c r="D13">
        <v>0.29360163040809401</v>
      </c>
      <c r="E13">
        <v>98.107381780723998</v>
      </c>
      <c r="F13">
        <v>2.1888963646894601</v>
      </c>
      <c r="G13">
        <v>-1605.226560044548</v>
      </c>
      <c r="H13">
        <v>-1340.6960033085336</v>
      </c>
      <c r="I13">
        <v>259.81491601042399</v>
      </c>
      <c r="J13">
        <v>133.60457904300901</v>
      </c>
      <c r="K13">
        <v>44.820478193193203</v>
      </c>
      <c r="L13">
        <v>1.6610234124810148E-4</v>
      </c>
      <c r="M13">
        <v>1.8170869771611698E-5</v>
      </c>
      <c r="N13" s="1">
        <v>3.81295173551423E-6</v>
      </c>
      <c r="O13" s="1">
        <v>1.01924925742731E-7</v>
      </c>
      <c r="P13" s="1">
        <v>-5.2820466369654596E-7</v>
      </c>
      <c r="Q13">
        <v>71.476258201853497</v>
      </c>
      <c r="R13">
        <v>8.1543303417077703E-2</v>
      </c>
      <c r="S13">
        <v>12.2004916395779</v>
      </c>
      <c r="T13">
        <v>0.18379581649264201</v>
      </c>
      <c r="V13">
        <v>0.43077139883208598</v>
      </c>
      <c r="W13">
        <v>4.0771651708529401E-2</v>
      </c>
      <c r="X13">
        <v>3.0578738781414601E-2</v>
      </c>
      <c r="AA13">
        <v>0.49877516939787098</v>
      </c>
      <c r="AB13">
        <v>4.4789681370020897</v>
      </c>
      <c r="AC13">
        <v>3.78281570035973</v>
      </c>
      <c r="AD13">
        <v>2.0385825854255399E-2</v>
      </c>
      <c r="AE13">
        <v>6.7748444167227797</v>
      </c>
    </row>
    <row r="14" spans="1:35" x14ac:dyDescent="0.2">
      <c r="A14">
        <v>13</v>
      </c>
      <c r="B14">
        <v>744</v>
      </c>
      <c r="C14">
        <v>275</v>
      </c>
      <c r="D14">
        <v>0.29283832276459099</v>
      </c>
      <c r="E14">
        <v>95.403861821627999</v>
      </c>
      <c r="F14">
        <v>2.19006721416415</v>
      </c>
      <c r="G14">
        <v>-1560.0757689695749</v>
      </c>
      <c r="H14">
        <v>-1303.4040561185923</v>
      </c>
      <c r="I14">
        <v>252.34401302756001</v>
      </c>
      <c r="J14">
        <v>129.863617996746</v>
      </c>
      <c r="K14">
        <v>43.562070243601802</v>
      </c>
      <c r="L14">
        <v>1.6571491442466825E-4</v>
      </c>
      <c r="M14">
        <v>1.812584748257009E-5</v>
      </c>
      <c r="N14" s="1">
        <v>3.6988693359937701E-6</v>
      </c>
      <c r="O14" s="1">
        <v>9.8705957177020503E-8</v>
      </c>
      <c r="P14" s="1">
        <v>-5.1218538051214995E-7</v>
      </c>
      <c r="Q14">
        <v>71.455032536038502</v>
      </c>
      <c r="R14">
        <v>8.3854047910115401E-2</v>
      </c>
      <c r="S14">
        <v>12.1966882029069</v>
      </c>
      <c r="T14">
        <v>0.18938945856307399</v>
      </c>
      <c r="V14">
        <v>0.442631742248144</v>
      </c>
      <c r="W14">
        <v>4.1927023955045398E-2</v>
      </c>
      <c r="X14">
        <v>3.14452679663067E-2</v>
      </c>
      <c r="AA14">
        <v>0.48343647315520299</v>
      </c>
      <c r="AB14">
        <v>4.4489850698394999</v>
      </c>
      <c r="AC14">
        <v>3.8550654758671499</v>
      </c>
      <c r="AD14">
        <v>2.09635119775111E-2</v>
      </c>
      <c r="AE14">
        <v>6.7505811895724497</v>
      </c>
    </row>
    <row r="15" spans="1:35" x14ac:dyDescent="0.2">
      <c r="A15">
        <v>14</v>
      </c>
      <c r="B15">
        <v>743</v>
      </c>
      <c r="C15">
        <v>275</v>
      </c>
      <c r="D15">
        <v>0.29207351276878402</v>
      </c>
      <c r="E15">
        <v>92.554555968973702</v>
      </c>
      <c r="F15">
        <v>2.1913171982708199</v>
      </c>
      <c r="G15">
        <v>-1512.5532792098745</v>
      </c>
      <c r="H15">
        <v>-1264.1135077079616</v>
      </c>
      <c r="I15">
        <v>244.49123800808201</v>
      </c>
      <c r="J15">
        <v>125.924800860342</v>
      </c>
      <c r="K15">
        <v>42.2369504707071</v>
      </c>
      <c r="L15">
        <v>1.6530123139174354E-4</v>
      </c>
      <c r="M15">
        <v>1.8078593439251965E-5</v>
      </c>
      <c r="N15" s="1">
        <v>3.5787247215408E-6</v>
      </c>
      <c r="O15" s="1">
        <v>9.5337993868814404E-8</v>
      </c>
      <c r="P15" s="1">
        <v>-4.9533958567586799E-7</v>
      </c>
      <c r="Q15">
        <v>71.433441179655503</v>
      </c>
      <c r="R15">
        <v>8.6435507320489199E-2</v>
      </c>
      <c r="S15">
        <v>12.191895579706699</v>
      </c>
      <c r="T15">
        <v>0.19561117041658699</v>
      </c>
      <c r="V15">
        <v>0.455906104479051</v>
      </c>
      <c r="W15">
        <v>4.3217753660231499E-2</v>
      </c>
      <c r="X15">
        <v>3.2413315245197603E-2</v>
      </c>
      <c r="AA15">
        <v>0.46960992291930098</v>
      </c>
      <c r="AB15">
        <v>4.4154230013003604</v>
      </c>
      <c r="AC15">
        <v>3.9298194789904599</v>
      </c>
      <c r="AD15">
        <v>2.1608876830103301E-2</v>
      </c>
      <c r="AE15">
        <v>6.7246181094760002</v>
      </c>
    </row>
    <row r="16" spans="1:35" x14ac:dyDescent="0.2">
      <c r="A16">
        <v>15</v>
      </c>
      <c r="B16">
        <v>742</v>
      </c>
      <c r="C16">
        <v>275</v>
      </c>
      <c r="D16">
        <v>0.291307195980888</v>
      </c>
      <c r="E16">
        <v>89.503670227021104</v>
      </c>
      <c r="F16">
        <v>2.1926581658357298</v>
      </c>
      <c r="G16">
        <v>-1461.7482375387699</v>
      </c>
      <c r="H16">
        <v>-1222.0594920896103</v>
      </c>
      <c r="I16">
        <v>236.11165389268501</v>
      </c>
      <c r="J16">
        <v>121.71272964152401</v>
      </c>
      <c r="K16">
        <v>40.819709894408803</v>
      </c>
      <c r="L16">
        <v>1.6486124043906092E-4</v>
      </c>
      <c r="M16">
        <v>1.802903887507891E-5</v>
      </c>
      <c r="N16" s="1">
        <v>3.4504639964509498E-6</v>
      </c>
      <c r="O16" s="1">
        <v>9.1767100615997295E-8</v>
      </c>
      <c r="P16" s="1">
        <v>-4.7738480355773997E-7</v>
      </c>
      <c r="Q16">
        <v>71.410980336990406</v>
      </c>
      <c r="R16">
        <v>8.9381809480096094E-2</v>
      </c>
      <c r="S16">
        <v>12.1858408227531</v>
      </c>
      <c r="T16">
        <v>0.202675609037198</v>
      </c>
      <c r="V16">
        <v>0.47108949161938601</v>
      </c>
      <c r="W16">
        <v>4.46909047400329E-2</v>
      </c>
      <c r="X16">
        <v>3.3518178555052298E-2</v>
      </c>
      <c r="AA16">
        <v>0.45747031874777699</v>
      </c>
      <c r="AB16">
        <v>4.3780515130182502</v>
      </c>
      <c r="AC16">
        <v>4.0070623882166396</v>
      </c>
      <c r="AD16">
        <v>2.2345452370002499E-2</v>
      </c>
      <c r="AE16">
        <v>6.69689317447191</v>
      </c>
    </row>
    <row r="17" spans="1:31" x14ac:dyDescent="0.2">
      <c r="A17">
        <v>16</v>
      </c>
      <c r="B17">
        <v>741</v>
      </c>
      <c r="C17">
        <v>275</v>
      </c>
      <c r="D17">
        <v>0.29053936794360102</v>
      </c>
      <c r="E17">
        <v>86.150928884437207</v>
      </c>
      <c r="F17">
        <v>2.1941096331772898</v>
      </c>
      <c r="G17">
        <v>-1406.0228059924791</v>
      </c>
      <c r="H17">
        <v>-1175.8672954531587</v>
      </c>
      <c r="I17">
        <v>226.94424941016601</v>
      </c>
      <c r="J17">
        <v>117.091807654094</v>
      </c>
      <c r="K17">
        <v>39.264641830901503</v>
      </c>
      <c r="L17">
        <v>1.6439593236662343E-4</v>
      </c>
      <c r="M17">
        <v>1.7977150888815393E-5</v>
      </c>
      <c r="N17" s="1">
        <v>3.3103736811677301E-6</v>
      </c>
      <c r="O17" s="1">
        <v>8.7895583445770204E-8</v>
      </c>
      <c r="P17" s="1">
        <v>-4.5780933935158901E-7</v>
      </c>
      <c r="Q17">
        <v>71.386708437006604</v>
      </c>
      <c r="R17">
        <v>9.2860287214459394E-2</v>
      </c>
      <c r="S17">
        <v>12.178058094855</v>
      </c>
      <c r="T17">
        <v>0.21096335148044701</v>
      </c>
      <c r="V17">
        <v>0.48906280561411902</v>
      </c>
      <c r="W17">
        <v>4.64301436072082E-2</v>
      </c>
      <c r="X17">
        <v>3.4822607705445797E-2</v>
      </c>
      <c r="AA17">
        <v>0.44733569121583899</v>
      </c>
      <c r="AB17">
        <v>4.3365580923326004</v>
      </c>
      <c r="AC17">
        <v>4.0866250449931698</v>
      </c>
      <c r="AD17">
        <v>2.3215071803584401E-2</v>
      </c>
      <c r="AE17">
        <v>6.6673603721713697</v>
      </c>
    </row>
    <row r="18" spans="1:31" x14ac:dyDescent="0.2">
      <c r="A18">
        <v>17</v>
      </c>
      <c r="B18">
        <v>740</v>
      </c>
      <c r="C18">
        <v>275</v>
      </c>
      <c r="D18">
        <v>0.28977002418201098</v>
      </c>
      <c r="E18">
        <v>82.288409183111298</v>
      </c>
      <c r="F18">
        <v>2.1957088487884602</v>
      </c>
      <c r="G18">
        <v>-1341.9799372196617</v>
      </c>
      <c r="H18">
        <v>-1122.6864688774281</v>
      </c>
      <c r="I18">
        <v>216.44718782236899</v>
      </c>
      <c r="J18">
        <v>111.780787095959</v>
      </c>
      <c r="K18">
        <v>37.4769219646384</v>
      </c>
      <c r="L18">
        <v>1.6390972077611488E-4</v>
      </c>
      <c r="M18">
        <v>1.7923054741102995E-5</v>
      </c>
      <c r="N18" s="1">
        <v>3.1507325430437799E-6</v>
      </c>
      <c r="O18" s="1">
        <v>8.3520011118647898E-8</v>
      </c>
      <c r="P18" s="1">
        <v>-4.3554779264791799E-7</v>
      </c>
      <c r="Q18">
        <v>71.358556679078603</v>
      </c>
      <c r="R18">
        <v>9.7219038251179293E-2</v>
      </c>
      <c r="S18">
        <v>12.1676272117673</v>
      </c>
      <c r="T18">
        <v>0.22126411941247201</v>
      </c>
      <c r="V18">
        <v>0.51166034518721404</v>
      </c>
      <c r="W18">
        <v>4.86095191255623E-2</v>
      </c>
      <c r="X18">
        <v>3.6457139344222199E-2</v>
      </c>
      <c r="AA18">
        <v>0.439881855664156</v>
      </c>
      <c r="AB18">
        <v>4.2905095264670701</v>
      </c>
      <c r="AC18">
        <v>4.1678471522109897</v>
      </c>
      <c r="AD18">
        <v>2.4304759562755501E-2</v>
      </c>
      <c r="AE18">
        <v>6.6360626539284002</v>
      </c>
    </row>
    <row r="19" spans="1:31" x14ac:dyDescent="0.2">
      <c r="A19">
        <v>18</v>
      </c>
      <c r="B19">
        <v>739</v>
      </c>
      <c r="C19">
        <v>275</v>
      </c>
      <c r="D19">
        <v>0.28899916020352701</v>
      </c>
      <c r="E19">
        <v>67.008493672435094</v>
      </c>
      <c r="F19">
        <v>2.1982248728457501</v>
      </c>
      <c r="G19">
        <v>-1091.3109456685597</v>
      </c>
      <c r="H19">
        <v>-912.97991940271129</v>
      </c>
      <c r="I19">
        <v>176.19031395133899</v>
      </c>
      <c r="J19">
        <v>91.027012147075993</v>
      </c>
      <c r="K19">
        <v>30.483002217006</v>
      </c>
      <c r="L19">
        <v>1.6422033292395245E-4</v>
      </c>
      <c r="M19">
        <v>1.7920479480909859E-5</v>
      </c>
      <c r="N19" s="1">
        <v>2.5701988300231602E-6</v>
      </c>
      <c r="O19" s="1">
        <v>6.7993451984479502E-8</v>
      </c>
      <c r="P19" s="1">
        <v>-3.5516252164298202E-7</v>
      </c>
      <c r="Q19">
        <v>71.202301485434702</v>
      </c>
      <c r="R19">
        <v>0.11938785013000899</v>
      </c>
      <c r="S19">
        <v>12.1152066919901</v>
      </c>
      <c r="T19">
        <v>0.27176018884155501</v>
      </c>
      <c r="V19">
        <v>0.62829683842157602</v>
      </c>
      <c r="W19">
        <v>5.9693925064955397E-2</v>
      </c>
      <c r="X19">
        <v>4.4770443798809997E-2</v>
      </c>
      <c r="AA19">
        <v>0.44752155894596102</v>
      </c>
      <c r="AB19">
        <v>4.2875328161398896</v>
      </c>
      <c r="AC19">
        <v>4.1535635408494302</v>
      </c>
      <c r="AD19">
        <v>2.98469625324322E-2</v>
      </c>
      <c r="AE19">
        <v>6.6401176978505099</v>
      </c>
    </row>
    <row r="20" spans="1:31" x14ac:dyDescent="0.2">
      <c r="A20">
        <v>19</v>
      </c>
      <c r="B20">
        <v>738</v>
      </c>
      <c r="C20">
        <v>275</v>
      </c>
      <c r="D20">
        <v>0.28822677149780002</v>
      </c>
      <c r="E20">
        <v>30.5943973835038</v>
      </c>
      <c r="F20">
        <v>2.1984794479572498</v>
      </c>
      <c r="G20">
        <v>-497.94907575046125</v>
      </c>
      <c r="H20">
        <v>-416.5286904951779</v>
      </c>
      <c r="I20">
        <v>80.522558725493994</v>
      </c>
      <c r="J20">
        <v>41.594502839490303</v>
      </c>
      <c r="K20">
        <v>13.9161625604146</v>
      </c>
      <c r="L20">
        <v>1.6507507822289641E-4</v>
      </c>
      <c r="M20">
        <v>1.7953758713938626E-5</v>
      </c>
      <c r="N20" s="1">
        <v>1.1830540018848901E-6</v>
      </c>
      <c r="O20" s="1">
        <v>3.1220510508333901E-8</v>
      </c>
      <c r="P20" s="1">
        <v>-1.63713487236398E-7</v>
      </c>
      <c r="Q20">
        <v>71.094041046650602</v>
      </c>
      <c r="R20">
        <v>0.123731752993467</v>
      </c>
      <c r="S20">
        <v>11.9413265243453</v>
      </c>
      <c r="T20">
        <v>0.277810191906181</v>
      </c>
      <c r="V20">
        <v>0.63804075190692899</v>
      </c>
      <c r="W20">
        <v>0.13034824483989199</v>
      </c>
      <c r="X20">
        <v>8.8454763814094395E-2</v>
      </c>
      <c r="AA20">
        <v>0.50803821286802997</v>
      </c>
      <c r="AB20">
        <v>4.3341172195508504</v>
      </c>
      <c r="AC20">
        <v>4.1121489399387201</v>
      </c>
      <c r="AD20">
        <v>6.5371446115580198E-2</v>
      </c>
      <c r="AE20">
        <v>6.68657090507023</v>
      </c>
    </row>
    <row r="21" spans="1:31" x14ac:dyDescent="0.2">
      <c r="A21">
        <v>20</v>
      </c>
      <c r="B21">
        <v>737</v>
      </c>
      <c r="C21">
        <v>275</v>
      </c>
      <c r="D21">
        <v>0.28745285353660599</v>
      </c>
      <c r="E21">
        <v>19.0397682855799</v>
      </c>
      <c r="F21">
        <v>2.1983107057507101</v>
      </c>
      <c r="G21">
        <v>-309.70986479876257</v>
      </c>
      <c r="H21">
        <v>-259.02715279903327</v>
      </c>
      <c r="I21">
        <v>50.173451467335802</v>
      </c>
      <c r="J21">
        <v>25.909722596105301</v>
      </c>
      <c r="K21">
        <v>8.6610906437259008</v>
      </c>
      <c r="L21">
        <v>1.6607941553538301E-4</v>
      </c>
      <c r="M21">
        <v>1.7997813224655152E-5</v>
      </c>
      <c r="N21" s="1">
        <v>7.4337381550897695E-7</v>
      </c>
      <c r="O21" s="1">
        <v>1.9567618117559101E-8</v>
      </c>
      <c r="P21" s="1">
        <v>-1.03047586404227E-7</v>
      </c>
      <c r="Q21">
        <v>70.986222930632707</v>
      </c>
      <c r="R21">
        <v>0.11884458336947</v>
      </c>
      <c r="S21">
        <v>11.753321234742</v>
      </c>
      <c r="T21">
        <v>0.28083353414612999</v>
      </c>
      <c r="V21">
        <v>0.64021482756493098</v>
      </c>
      <c r="W21">
        <v>0.20858292855640201</v>
      </c>
      <c r="X21">
        <v>0.13192731729778701</v>
      </c>
      <c r="AA21">
        <v>0.57490368350085896</v>
      </c>
      <c r="AB21">
        <v>4.3917002930736304</v>
      </c>
      <c r="AC21">
        <v>4.0648514012262202</v>
      </c>
      <c r="AD21">
        <v>0.105043295170166</v>
      </c>
      <c r="AE21">
        <v>6.7435539707196401</v>
      </c>
    </row>
    <row r="22" spans="1:31" x14ac:dyDescent="0.2">
      <c r="A22">
        <v>21</v>
      </c>
      <c r="B22">
        <v>736</v>
      </c>
      <c r="C22">
        <v>275</v>
      </c>
      <c r="D22">
        <v>0.28667740177377199</v>
      </c>
      <c r="E22">
        <v>12.9890478216921</v>
      </c>
      <c r="F22">
        <v>2.1975758458711598</v>
      </c>
      <c r="G22">
        <v>-211.13481134253692</v>
      </c>
      <c r="H22">
        <v>-176.53285780087975</v>
      </c>
      <c r="I22">
        <v>34.288216361945302</v>
      </c>
      <c r="J22">
        <v>17.6913482445031</v>
      </c>
      <c r="K22">
        <v>5.91062549494987</v>
      </c>
      <c r="L22">
        <v>1.6739329304369378E-4</v>
      </c>
      <c r="M22">
        <v>1.8063896471090524E-5</v>
      </c>
      <c r="N22" s="1">
        <v>5.1343919881615703E-7</v>
      </c>
      <c r="O22" s="1">
        <v>1.3478855308769199E-8</v>
      </c>
      <c r="P22" s="1">
        <v>-7.1342889222176702E-8</v>
      </c>
      <c r="Q22">
        <v>70.862847997382104</v>
      </c>
      <c r="R22">
        <v>0.11521037699013199</v>
      </c>
      <c r="S22">
        <v>11.53669024669</v>
      </c>
      <c r="T22">
        <v>0.28549433532165402</v>
      </c>
      <c r="V22">
        <v>0.64501321976064196</v>
      </c>
      <c r="W22">
        <v>0.30409295139857201</v>
      </c>
      <c r="X22">
        <v>0.13884163651931</v>
      </c>
      <c r="AA22">
        <v>0.65537299087103795</v>
      </c>
      <c r="AB22">
        <v>4.4721675739890596</v>
      </c>
      <c r="AC22">
        <v>4.0107075780289696</v>
      </c>
      <c r="AD22">
        <v>0.15397587470980301</v>
      </c>
      <c r="AE22">
        <v>6.8195852183386396</v>
      </c>
    </row>
    <row r="23" spans="1:31" x14ac:dyDescent="0.2">
      <c r="A23">
        <v>22</v>
      </c>
      <c r="B23">
        <v>735</v>
      </c>
      <c r="C23">
        <v>275</v>
      </c>
      <c r="D23">
        <v>0.285900411645091</v>
      </c>
      <c r="E23">
        <v>9.8392278190276095</v>
      </c>
      <c r="F23">
        <v>2.1967333299546099</v>
      </c>
      <c r="G23">
        <v>-159.82033808165181</v>
      </c>
      <c r="H23">
        <v>-133.58836472923824</v>
      </c>
      <c r="I23">
        <v>26.0199110771348</v>
      </c>
      <c r="J23">
        <v>13.4128925775639</v>
      </c>
      <c r="K23">
        <v>4.4790269646570602</v>
      </c>
      <c r="L23">
        <v>1.6875466002659771E-4</v>
      </c>
      <c r="M23">
        <v>1.8133871591269987E-5</v>
      </c>
      <c r="N23" s="1">
        <v>3.93894479755751E-7</v>
      </c>
      <c r="O23" s="1">
        <v>1.03127191338541E-8</v>
      </c>
      <c r="P23" s="1">
        <v>-5.4860073126171602E-8</v>
      </c>
      <c r="Q23">
        <v>70.735979306561703</v>
      </c>
      <c r="R23">
        <v>0.112010255434064</v>
      </c>
      <c r="S23">
        <v>11.3236041962582</v>
      </c>
      <c r="T23">
        <v>0.290290639557652</v>
      </c>
      <c r="V23">
        <v>0.64993341385966097</v>
      </c>
      <c r="W23">
        <v>0.39943001832691999</v>
      </c>
      <c r="X23">
        <v>0.138508398317645</v>
      </c>
      <c r="AA23">
        <v>0.73703271191471897</v>
      </c>
      <c r="AB23">
        <v>4.5546170316371901</v>
      </c>
      <c r="AC23">
        <v>3.9566028740455801</v>
      </c>
      <c r="AD23">
        <v>0.20326798370544899</v>
      </c>
      <c r="AE23">
        <v>6.8987231703811398</v>
      </c>
    </row>
    <row r="24" spans="1:31" x14ac:dyDescent="0.2">
      <c r="A24">
        <v>23</v>
      </c>
      <c r="B24">
        <v>756</v>
      </c>
      <c r="C24">
        <v>250</v>
      </c>
      <c r="D24">
        <v>0.32862119224602798</v>
      </c>
      <c r="E24">
        <v>106.673038317492</v>
      </c>
      <c r="F24">
        <v>2.18414182685992</v>
      </c>
      <c r="G24">
        <v>-1749.5074815936141</v>
      </c>
      <c r="H24">
        <v>-1459.6831177824806</v>
      </c>
      <c r="I24">
        <v>281.61527844447698</v>
      </c>
      <c r="J24">
        <v>144.92862372833201</v>
      </c>
      <c r="K24">
        <v>48.839794653286397</v>
      </c>
      <c r="L24">
        <v>1.6178817541347406E-4</v>
      </c>
      <c r="M24">
        <v>1.8276279215881812E-5</v>
      </c>
      <c r="N24" s="1">
        <v>3.8984501202112597E-6</v>
      </c>
      <c r="O24" s="1">
        <v>1.08285147487072E-7</v>
      </c>
      <c r="P24" s="1">
        <v>-5.5628996267744296E-7</v>
      </c>
      <c r="Q24">
        <v>72.239434833257306</v>
      </c>
      <c r="R24">
        <v>7.4995520200610399E-2</v>
      </c>
      <c r="S24">
        <v>12.055529872248499</v>
      </c>
      <c r="T24">
        <v>0.167469166004585</v>
      </c>
      <c r="V24">
        <v>0.39759227410008402</v>
      </c>
      <c r="W24">
        <v>3.7497760100304901E-2</v>
      </c>
      <c r="X24">
        <v>2.8123320075229202E-2</v>
      </c>
      <c r="AA24">
        <v>0.54371752145442398</v>
      </c>
      <c r="AB24">
        <v>4.4903567720115296</v>
      </c>
      <c r="AC24">
        <v>3.5435383294788001</v>
      </c>
      <c r="AD24">
        <v>1.8748880050152201E-2</v>
      </c>
      <c r="AE24">
        <v>6.4029957510183202</v>
      </c>
    </row>
    <row r="25" spans="1:31" x14ac:dyDescent="0.2">
      <c r="A25">
        <v>24</v>
      </c>
      <c r="B25">
        <v>755</v>
      </c>
      <c r="C25">
        <v>250</v>
      </c>
      <c r="D25">
        <v>0.32790011185138401</v>
      </c>
      <c r="E25">
        <v>106.611596741455</v>
      </c>
      <c r="F25">
        <v>2.1845193395073501</v>
      </c>
      <c r="G25">
        <v>-1748.2070848502644</v>
      </c>
      <c r="H25">
        <v>-1458.9645923140033</v>
      </c>
      <c r="I25">
        <v>281.32324323908</v>
      </c>
      <c r="J25">
        <v>144.83789376252099</v>
      </c>
      <c r="K25">
        <v>48.803228615727498</v>
      </c>
      <c r="L25">
        <v>1.6176561623644701E-4</v>
      </c>
      <c r="M25">
        <v>1.8268414165059821E-5</v>
      </c>
      <c r="N25" s="1">
        <v>3.90121785738458E-6</v>
      </c>
      <c r="O25" s="1">
        <v>1.08148836592901E-7</v>
      </c>
      <c r="P25" s="1">
        <v>-5.5600480853227098E-7</v>
      </c>
      <c r="Q25">
        <v>72.2262972892877</v>
      </c>
      <c r="R25">
        <v>7.5038741042412094E-2</v>
      </c>
      <c r="S25">
        <v>12.062477622571301</v>
      </c>
      <c r="T25">
        <v>0.16784639196694101</v>
      </c>
      <c r="V25">
        <v>0.397568824196811</v>
      </c>
      <c r="W25">
        <v>3.7519370521203799E-2</v>
      </c>
      <c r="X25">
        <v>2.8139527890906998E-2</v>
      </c>
      <c r="AA25">
        <v>0.54403087255747395</v>
      </c>
      <c r="AB25">
        <v>4.4929446199142502</v>
      </c>
      <c r="AC25">
        <v>3.5455805142536598</v>
      </c>
      <c r="AD25">
        <v>1.87596852605998E-2</v>
      </c>
      <c r="AE25">
        <v>6.4037965405366801</v>
      </c>
    </row>
    <row r="26" spans="1:31" x14ac:dyDescent="0.2">
      <c r="A26">
        <v>25</v>
      </c>
      <c r="B26">
        <v>754</v>
      </c>
      <c r="C26">
        <v>250</v>
      </c>
      <c r="D26">
        <v>0.32717762741566497</v>
      </c>
      <c r="E26">
        <v>106.38843676860699</v>
      </c>
      <c r="F26">
        <v>2.1849417226778498</v>
      </c>
      <c r="G26">
        <v>-1744.2298565210485</v>
      </c>
      <c r="H26">
        <v>-1455.9718120654004</v>
      </c>
      <c r="I26">
        <v>280.63870365150899</v>
      </c>
      <c r="J26">
        <v>144.54669027826</v>
      </c>
      <c r="K26">
        <v>48.691658758851702</v>
      </c>
      <c r="L26">
        <v>1.6183725489181251E-4</v>
      </c>
      <c r="M26">
        <v>1.8262956967771447E-5</v>
      </c>
      <c r="N26" s="1">
        <v>3.8997711060931604E-6</v>
      </c>
      <c r="O26" s="1">
        <v>1.07893393777532E-7</v>
      </c>
      <c r="P26" s="1">
        <v>-5.5535978787245297E-7</v>
      </c>
      <c r="Q26">
        <v>72.177819856925694</v>
      </c>
      <c r="R26">
        <v>7.5196142014944595E-2</v>
      </c>
      <c r="S26">
        <v>12.087779828906401</v>
      </c>
      <c r="T26">
        <v>0.16852396389323801</v>
      </c>
      <c r="V26">
        <v>0.39810987635149497</v>
      </c>
      <c r="W26">
        <v>3.7598071007469799E-2</v>
      </c>
      <c r="X26">
        <v>2.81985532556072E-2</v>
      </c>
      <c r="AA26">
        <v>0.545172029608334</v>
      </c>
      <c r="AB26">
        <v>4.5023690031446097</v>
      </c>
      <c r="AC26">
        <v>3.5530177102057801</v>
      </c>
      <c r="AD26">
        <v>1.8799035503732402E-2</v>
      </c>
      <c r="AE26">
        <v>6.4074159291825401</v>
      </c>
    </row>
    <row r="27" spans="1:31" x14ac:dyDescent="0.2">
      <c r="A27">
        <v>26</v>
      </c>
      <c r="B27">
        <v>753</v>
      </c>
      <c r="C27">
        <v>250</v>
      </c>
      <c r="D27">
        <v>0.32645373483409301</v>
      </c>
      <c r="E27">
        <v>105.16237740853499</v>
      </c>
      <c r="F27">
        <v>2.1855961686952301</v>
      </c>
      <c r="G27">
        <v>-1723.5561431579918</v>
      </c>
      <c r="H27">
        <v>-1439.0836366884257</v>
      </c>
      <c r="I27">
        <v>277.22312183361601</v>
      </c>
      <c r="J27">
        <v>142.86287634420401</v>
      </c>
      <c r="K27">
        <v>48.116106220718599</v>
      </c>
      <c r="L27">
        <v>1.6174671456918601E-4</v>
      </c>
      <c r="M27">
        <v>1.8242933922905613E-5</v>
      </c>
      <c r="N27" s="1">
        <v>3.8556169806307102E-6</v>
      </c>
      <c r="O27" s="1">
        <v>1.06471752625809E-7</v>
      </c>
      <c r="P27" s="1">
        <v>-5.4874330713763704E-7</v>
      </c>
      <c r="Q27">
        <v>72.140973288913301</v>
      </c>
      <c r="R27">
        <v>7.60728332426506E-2</v>
      </c>
      <c r="S27">
        <v>12.1008813390409</v>
      </c>
      <c r="T27">
        <v>0.170830561053192</v>
      </c>
      <c r="V27">
        <v>0.40244375480724198</v>
      </c>
      <c r="W27">
        <v>3.8036416621322101E-2</v>
      </c>
      <c r="X27">
        <v>2.8527312465997798E-2</v>
      </c>
      <c r="AA27">
        <v>0.537099290181</v>
      </c>
      <c r="AB27">
        <v>4.4983735191664698</v>
      </c>
      <c r="AC27">
        <v>3.5864350014025899</v>
      </c>
      <c r="AD27">
        <v>1.90182083106578E-2</v>
      </c>
      <c r="AE27">
        <v>6.4013084747945701</v>
      </c>
    </row>
    <row r="28" spans="1:31" x14ac:dyDescent="0.2">
      <c r="A28">
        <v>27</v>
      </c>
      <c r="B28">
        <v>752</v>
      </c>
      <c r="C28">
        <v>250</v>
      </c>
      <c r="D28">
        <v>0.32572842998585799</v>
      </c>
      <c r="E28">
        <v>102.71967081423701</v>
      </c>
      <c r="F28">
        <v>2.1865609497283498</v>
      </c>
      <c r="G28">
        <v>-1682.6462163691342</v>
      </c>
      <c r="H28">
        <v>-1405.3447037980718</v>
      </c>
      <c r="I28">
        <v>270.49847590212403</v>
      </c>
      <c r="J28">
        <v>139.490981834092</v>
      </c>
      <c r="K28">
        <v>46.977730406737003</v>
      </c>
      <c r="L28">
        <v>1.6145099857709064E-4</v>
      </c>
      <c r="M28">
        <v>1.8204571260019615E-5</v>
      </c>
      <c r="N28" s="1">
        <v>3.7595661376120299E-6</v>
      </c>
      <c r="O28" s="1">
        <v>1.036398560895E-7</v>
      </c>
      <c r="P28" s="1">
        <v>-5.3487091753761998E-7</v>
      </c>
      <c r="Q28">
        <v>72.117793853957295</v>
      </c>
      <c r="R28">
        <v>7.7881869524950201E-2</v>
      </c>
      <c r="S28">
        <v>12.0993561593484</v>
      </c>
      <c r="T28">
        <v>0.175254759299032</v>
      </c>
      <c r="V28">
        <v>0.41168845063911003</v>
      </c>
      <c r="W28">
        <v>3.8940934762471201E-2</v>
      </c>
      <c r="X28">
        <v>2.9205701071860699E-2</v>
      </c>
      <c r="AA28">
        <v>0.51911693517365098</v>
      </c>
      <c r="AB28">
        <v>4.4765723722427504</v>
      </c>
      <c r="AC28">
        <v>3.6518337879279299</v>
      </c>
      <c r="AD28">
        <v>1.94704673812316E-2</v>
      </c>
      <c r="AE28">
        <v>6.3828847086711997</v>
      </c>
    </row>
    <row r="29" spans="1:31" x14ac:dyDescent="0.2">
      <c r="A29">
        <v>28</v>
      </c>
      <c r="B29">
        <v>751</v>
      </c>
      <c r="C29">
        <v>250</v>
      </c>
      <c r="D29">
        <v>0.32500170873407402</v>
      </c>
      <c r="E29">
        <v>100.21501516992601</v>
      </c>
      <c r="F29">
        <v>2.1875803742344</v>
      </c>
      <c r="G29">
        <v>-1640.7353189842095</v>
      </c>
      <c r="H29">
        <v>-1370.7565858017463</v>
      </c>
      <c r="I29">
        <v>263.612491512438</v>
      </c>
      <c r="J29">
        <v>136.03520682556999</v>
      </c>
      <c r="K29">
        <v>45.810895156251902</v>
      </c>
      <c r="L29">
        <v>1.611346621960692E-4</v>
      </c>
      <c r="M29">
        <v>1.8164453091448222E-5</v>
      </c>
      <c r="N29" s="1">
        <v>3.6608169345453901E-6</v>
      </c>
      <c r="O29" s="1">
        <v>1.00744661629404E-7</v>
      </c>
      <c r="P29" s="1">
        <v>-5.2062351116270803E-7</v>
      </c>
      <c r="Q29">
        <v>72.094577151520198</v>
      </c>
      <c r="R29">
        <v>7.9828356922716504E-2</v>
      </c>
      <c r="S29">
        <v>12.0973309925711</v>
      </c>
      <c r="T29">
        <v>0.180002583928804</v>
      </c>
      <c r="V29">
        <v>0.42164683181087198</v>
      </c>
      <c r="W29">
        <v>3.9914178461353499E-2</v>
      </c>
      <c r="X29">
        <v>2.9935633846023799E-2</v>
      </c>
      <c r="AA29">
        <v>0.50239267600862003</v>
      </c>
      <c r="AB29">
        <v>4.4518630647887001</v>
      </c>
      <c r="AC29">
        <v>3.7193406857915399</v>
      </c>
      <c r="AD29">
        <v>1.9957089230672E-2</v>
      </c>
      <c r="AE29">
        <v>6.3632107551193204</v>
      </c>
    </row>
    <row r="30" spans="1:31" x14ac:dyDescent="0.2">
      <c r="A30">
        <v>29</v>
      </c>
      <c r="B30">
        <v>750</v>
      </c>
      <c r="C30">
        <v>250</v>
      </c>
      <c r="D30">
        <v>0.324273566925672</v>
      </c>
      <c r="E30">
        <v>97.635777649069396</v>
      </c>
      <c r="F30">
        <v>2.1886580612166799</v>
      </c>
      <c r="G30">
        <v>-1597.6179295001966</v>
      </c>
      <c r="H30">
        <v>-1335.1461099332289</v>
      </c>
      <c r="I30">
        <v>256.533078792911</v>
      </c>
      <c r="J30">
        <v>132.47862518673699</v>
      </c>
      <c r="K30">
        <v>44.609881908548601</v>
      </c>
      <c r="L30">
        <v>1.6079735968092538E-4</v>
      </c>
      <c r="M30">
        <v>1.8122531801313629E-5</v>
      </c>
      <c r="N30" s="1">
        <v>3.55895541740755E-6</v>
      </c>
      <c r="O30" s="1">
        <v>9.7775089273185495E-8</v>
      </c>
      <c r="P30" s="1">
        <v>-5.0594330387623595E-7</v>
      </c>
      <c r="Q30">
        <v>72.071196882997896</v>
      </c>
      <c r="R30">
        <v>8.1937177053628504E-2</v>
      </c>
      <c r="S30">
        <v>12.0947304473515</v>
      </c>
      <c r="T30">
        <v>0.18513148612192001</v>
      </c>
      <c r="V30">
        <v>0.43244910951506399</v>
      </c>
      <c r="W30">
        <v>4.0968588526807001E-2</v>
      </c>
      <c r="X30">
        <v>3.0726441395118601E-2</v>
      </c>
      <c r="AA30">
        <v>0.48696836588917902</v>
      </c>
      <c r="AB30">
        <v>4.4241549590444897</v>
      </c>
      <c r="AC30">
        <v>3.7890011495590898</v>
      </c>
      <c r="AD30">
        <v>2.0484294263395701E-2</v>
      </c>
      <c r="AE30">
        <v>6.3422510982817499</v>
      </c>
    </row>
    <row r="31" spans="1:31" x14ac:dyDescent="0.2">
      <c r="A31">
        <v>30</v>
      </c>
      <c r="B31">
        <v>749</v>
      </c>
      <c r="C31">
        <v>250</v>
      </c>
      <c r="D31">
        <v>0.32354400039133302</v>
      </c>
      <c r="E31">
        <v>94.964397324787001</v>
      </c>
      <c r="F31">
        <v>2.1897984881083601</v>
      </c>
      <c r="G31">
        <v>-1553.008139835516</v>
      </c>
      <c r="H31">
        <v>-1298.2725399424132</v>
      </c>
      <c r="I31">
        <v>249.21547707587101</v>
      </c>
      <c r="J31">
        <v>128.79768364104899</v>
      </c>
      <c r="K31">
        <v>43.366728875048601</v>
      </c>
      <c r="L31">
        <v>1.604389069106325E-4</v>
      </c>
      <c r="M31">
        <v>1.8078766776732059E-5</v>
      </c>
      <c r="N31" s="1">
        <v>3.45340002315913E-6</v>
      </c>
      <c r="O31" s="1">
        <v>9.4715521415419006E-8</v>
      </c>
      <c r="P31" s="1">
        <v>-4.9074876547393102E-7</v>
      </c>
      <c r="Q31">
        <v>72.0474716219139</v>
      </c>
      <c r="R31">
        <v>8.4242097305582006E-2</v>
      </c>
      <c r="S31">
        <v>12.0914558828455</v>
      </c>
      <c r="T31">
        <v>0.19071923194100501</v>
      </c>
      <c r="V31">
        <v>0.44427217814453501</v>
      </c>
      <c r="W31">
        <v>4.21210486527814E-2</v>
      </c>
      <c r="X31">
        <v>3.1590786489603701E-2</v>
      </c>
      <c r="AA31">
        <v>0.47289947845853603</v>
      </c>
      <c r="AB31">
        <v>4.3933531005261797</v>
      </c>
      <c r="AC31">
        <v>3.8608398523697902</v>
      </c>
      <c r="AD31">
        <v>2.1060524326380899E-2</v>
      </c>
      <c r="AE31">
        <v>6.3199741970260304</v>
      </c>
    </row>
    <row r="32" spans="1:31" x14ac:dyDescent="0.2">
      <c r="A32">
        <v>31</v>
      </c>
      <c r="B32">
        <v>748</v>
      </c>
      <c r="C32">
        <v>250</v>
      </c>
      <c r="D32">
        <v>0.32281300494540499</v>
      </c>
      <c r="E32">
        <v>92.175095974528602</v>
      </c>
      <c r="F32">
        <v>2.1910076029461898</v>
      </c>
      <c r="G32">
        <v>-1506.4858783753364</v>
      </c>
      <c r="H32">
        <v>-1259.7824449927923</v>
      </c>
      <c r="I32">
        <v>241.59372607603501</v>
      </c>
      <c r="J32">
        <v>124.95776285785399</v>
      </c>
      <c r="K32">
        <v>42.069728945980401</v>
      </c>
      <c r="L32">
        <v>1.6005934210594152E-4</v>
      </c>
      <c r="M32">
        <v>1.8033125833852237E-5</v>
      </c>
      <c r="N32" s="1">
        <v>3.3432855926421501E-6</v>
      </c>
      <c r="O32" s="1">
        <v>9.1542661770256401E-8</v>
      </c>
      <c r="P32" s="1">
        <v>-4.7491816478999399E-7</v>
      </c>
      <c r="Q32">
        <v>72.023132734820095</v>
      </c>
      <c r="R32">
        <v>8.67913389774113E-2</v>
      </c>
      <c r="S32">
        <v>12.0873702999895</v>
      </c>
      <c r="T32">
        <v>0.19687656468202799</v>
      </c>
      <c r="V32">
        <v>0.457368929550379</v>
      </c>
      <c r="W32">
        <v>4.3395669488694798E-2</v>
      </c>
      <c r="X32">
        <v>3.2546752116541303E-2</v>
      </c>
      <c r="AA32">
        <v>0.460266413783884</v>
      </c>
      <c r="AB32">
        <v>4.3593502657705097</v>
      </c>
      <c r="AC32">
        <v>3.9348504855863902</v>
      </c>
      <c r="AD32">
        <v>2.16978347443363E-2</v>
      </c>
      <c r="AE32">
        <v>6.2963527104901296</v>
      </c>
    </row>
    <row r="33" spans="1:31" x14ac:dyDescent="0.2">
      <c r="A33">
        <v>32</v>
      </c>
      <c r="B33">
        <v>747</v>
      </c>
      <c r="C33">
        <v>250</v>
      </c>
      <c r="D33">
        <v>0.32208057638582899</v>
      </c>
      <c r="E33">
        <v>89.227726680197307</v>
      </c>
      <c r="F33">
        <v>2.1922939611069201</v>
      </c>
      <c r="G33">
        <v>-1457.3963674734036</v>
      </c>
      <c r="H33">
        <v>-1219.1253070821197</v>
      </c>
      <c r="I33">
        <v>233.56473106041599</v>
      </c>
      <c r="J33">
        <v>120.90487983135699</v>
      </c>
      <c r="K33">
        <v>40.700621478309699</v>
      </c>
      <c r="L33">
        <v>1.5965906633741764E-4</v>
      </c>
      <c r="M33">
        <v>1.7985590016426587E-5</v>
      </c>
      <c r="N33" s="1">
        <v>3.22724730044577E-6</v>
      </c>
      <c r="O33" s="1">
        <v>8.8219686017653494E-8</v>
      </c>
      <c r="P33" s="1">
        <v>-4.5825892219810701E-7</v>
      </c>
      <c r="Q33">
        <v>71.997761572748203</v>
      </c>
      <c r="R33">
        <v>8.9658229539722606E-2</v>
      </c>
      <c r="S33">
        <v>12.0822702225044</v>
      </c>
      <c r="T33">
        <v>0.203771412031101</v>
      </c>
      <c r="V33">
        <v>0.47212434852309698</v>
      </c>
      <c r="W33">
        <v>4.48291147698495E-2</v>
      </c>
      <c r="X33">
        <v>3.3621836077408998E-2</v>
      </c>
      <c r="AA33">
        <v>0.44919624829471699</v>
      </c>
      <c r="AB33">
        <v>4.3220143775889497</v>
      </c>
      <c r="AC33">
        <v>4.0109727721865696</v>
      </c>
      <c r="AD33">
        <v>2.2414557384912898E-2</v>
      </c>
      <c r="AE33">
        <v>6.2713653083509202</v>
      </c>
    </row>
    <row r="34" spans="1:31" x14ac:dyDescent="0.2">
      <c r="A34">
        <v>33</v>
      </c>
      <c r="B34">
        <v>746</v>
      </c>
      <c r="C34">
        <v>250</v>
      </c>
      <c r="D34">
        <v>0.32134671049404001</v>
      </c>
      <c r="E34">
        <v>86.055165649664701</v>
      </c>
      <c r="F34">
        <v>2.19367100147588</v>
      </c>
      <c r="G34">
        <v>-1404.6441068230008</v>
      </c>
      <c r="H34">
        <v>-1175.3805705339821</v>
      </c>
      <c r="I34">
        <v>224.955635862256</v>
      </c>
      <c r="J34">
        <v>116.548689373843</v>
      </c>
      <c r="K34">
        <v>39.228838596018903</v>
      </c>
      <c r="L34">
        <v>1.5923921739104845E-4</v>
      </c>
      <c r="M34">
        <v>1.7936170246093646E-5</v>
      </c>
      <c r="N34" s="1">
        <v>3.1029799059058899E-6</v>
      </c>
      <c r="O34" s="1">
        <v>8.4684308231195894E-8</v>
      </c>
      <c r="P34" s="1">
        <v>-4.4044509485536399E-7</v>
      </c>
      <c r="Q34">
        <v>71.970653110873997</v>
      </c>
      <c r="R34">
        <v>9.2963623271257803E-2</v>
      </c>
      <c r="S34">
        <v>12.075828537422201</v>
      </c>
      <c r="T34">
        <v>0.211679799924894</v>
      </c>
      <c r="V34">
        <v>0.48917361440953699</v>
      </c>
      <c r="W34">
        <v>4.6481811635610902E-2</v>
      </c>
      <c r="X34">
        <v>3.4861358726741697E-2</v>
      </c>
      <c r="AA34">
        <v>0.43990807898217699</v>
      </c>
      <c r="AB34">
        <v>4.28117059816711</v>
      </c>
      <c r="AC34">
        <v>4.0890336430015504</v>
      </c>
      <c r="AD34">
        <v>2.3240905817787899E-2</v>
      </c>
      <c r="AE34">
        <v>6.2450049177670497</v>
      </c>
    </row>
    <row r="35" spans="1:31" x14ac:dyDescent="0.2">
      <c r="A35">
        <v>34</v>
      </c>
      <c r="B35">
        <v>745</v>
      </c>
      <c r="C35">
        <v>250</v>
      </c>
      <c r="D35">
        <v>0.32061140303491598</v>
      </c>
      <c r="E35">
        <v>82.534026247676195</v>
      </c>
      <c r="F35">
        <v>2.1951621548871101</v>
      </c>
      <c r="G35">
        <v>-1346.2144746800309</v>
      </c>
      <c r="H35">
        <v>-1126.8559754577336</v>
      </c>
      <c r="I35">
        <v>215.44811591837799</v>
      </c>
      <c r="J35">
        <v>111.723020798212</v>
      </c>
      <c r="K35">
        <v>37.598145569305402</v>
      </c>
      <c r="L35">
        <v>1.5880280154193701E-4</v>
      </c>
      <c r="M35">
        <v>1.788496687023961E-5</v>
      </c>
      <c r="N35" s="1">
        <v>2.96621931496798E-6</v>
      </c>
      <c r="O35" s="1">
        <v>8.0821192787895001E-8</v>
      </c>
      <c r="P35" s="1">
        <v>-4.20872906563357E-7</v>
      </c>
      <c r="Q35">
        <v>71.940476738932702</v>
      </c>
      <c r="R35">
        <v>9.6929719337742901E-2</v>
      </c>
      <c r="S35">
        <v>12.0674628144483</v>
      </c>
      <c r="T35">
        <v>0.22110796739740399</v>
      </c>
      <c r="V35">
        <v>0.50968567807993703</v>
      </c>
      <c r="W35">
        <v>4.8464859668851903E-2</v>
      </c>
      <c r="X35">
        <v>3.6348644751674902E-2</v>
      </c>
      <c r="AA35">
        <v>0.43281980107281998</v>
      </c>
      <c r="AB35">
        <v>4.2365842161786098</v>
      </c>
      <c r="AC35">
        <v>4.1685752896571504</v>
      </c>
      <c r="AD35">
        <v>2.4232429834407002E-2</v>
      </c>
      <c r="AE35">
        <v>6.2173118406402903</v>
      </c>
    </row>
    <row r="36" spans="1:31" x14ac:dyDescent="0.2">
      <c r="A36">
        <v>35</v>
      </c>
      <c r="B36">
        <v>744</v>
      </c>
      <c r="C36">
        <v>250</v>
      </c>
      <c r="D36">
        <v>0.31987464975667701</v>
      </c>
      <c r="E36">
        <v>78.403704316957402</v>
      </c>
      <c r="F36">
        <v>2.1968143829097402</v>
      </c>
      <c r="G36">
        <v>-1277.8517058573443</v>
      </c>
      <c r="H36">
        <v>-1069.9774242351548</v>
      </c>
      <c r="I36">
        <v>204.36934731572401</v>
      </c>
      <c r="J36">
        <v>106.07685367147801</v>
      </c>
      <c r="K36">
        <v>35.689726417900303</v>
      </c>
      <c r="L36">
        <v>1.5835879650449755E-4</v>
      </c>
      <c r="M36">
        <v>1.783241088821823E-5</v>
      </c>
      <c r="N36" s="1">
        <v>2.80794427174316E-6</v>
      </c>
      <c r="O36" s="1">
        <v>7.6386101726005706E-8</v>
      </c>
      <c r="P36" s="1">
        <v>-3.9826371042438E-7</v>
      </c>
      <c r="Q36">
        <v>71.904252949276696</v>
      </c>
      <c r="R36">
        <v>0.102035995233851</v>
      </c>
      <c r="S36">
        <v>12.055972032452001</v>
      </c>
      <c r="T36">
        <v>0.23314585655887399</v>
      </c>
      <c r="V36">
        <v>0.53618519764927497</v>
      </c>
      <c r="W36">
        <v>5.10179976169019E-2</v>
      </c>
      <c r="X36">
        <v>3.8263498212720098E-2</v>
      </c>
      <c r="AA36">
        <v>0.42884843068253498</v>
      </c>
      <c r="AB36">
        <v>4.18800259511407</v>
      </c>
      <c r="AC36">
        <v>4.2482499257102901</v>
      </c>
      <c r="AD36">
        <v>2.55089988084286E-2</v>
      </c>
      <c r="AE36">
        <v>6.1885165226842798</v>
      </c>
    </row>
    <row r="37" spans="1:31" x14ac:dyDescent="0.2">
      <c r="A37">
        <v>36</v>
      </c>
      <c r="B37">
        <v>743</v>
      </c>
      <c r="C37">
        <v>250</v>
      </c>
      <c r="D37">
        <v>0.31913644639078897</v>
      </c>
      <c r="E37">
        <v>64.366451621404707</v>
      </c>
      <c r="F37">
        <v>2.1992973693563602</v>
      </c>
      <c r="G37">
        <v>-1047.6568237270185</v>
      </c>
      <c r="H37">
        <v>-877.22385936145668</v>
      </c>
      <c r="I37">
        <v>167.72421824097</v>
      </c>
      <c r="J37">
        <v>87.088669020794299</v>
      </c>
      <c r="K37">
        <v>29.266825177098202</v>
      </c>
      <c r="L37">
        <v>1.5868575473395517E-4</v>
      </c>
      <c r="M37">
        <v>1.7831824082999593E-5</v>
      </c>
      <c r="N37" s="1">
        <v>2.3096568064832898E-6</v>
      </c>
      <c r="O37" s="1">
        <v>6.2704722867263894E-8</v>
      </c>
      <c r="P37" s="1">
        <v>-3.2747088819359499E-7</v>
      </c>
      <c r="Q37">
        <v>71.749078251261295</v>
      </c>
      <c r="R37">
        <v>0.12428834895322501</v>
      </c>
      <c r="S37">
        <v>12.002667099778799</v>
      </c>
      <c r="T37">
        <v>0.28402775384478601</v>
      </c>
      <c r="V37">
        <v>0.65308528268340504</v>
      </c>
      <c r="W37">
        <v>6.2144174476568698E-2</v>
      </c>
      <c r="X37">
        <v>4.6608130857508603E-2</v>
      </c>
      <c r="AA37">
        <v>0.43472343295760701</v>
      </c>
      <c r="AB37">
        <v>4.18952636407698</v>
      </c>
      <c r="AC37">
        <v>4.2294331793859499</v>
      </c>
      <c r="AD37">
        <v>3.1072087238242702E-2</v>
      </c>
      <c r="AE37">
        <v>6.1933458944854598</v>
      </c>
    </row>
    <row r="38" spans="1:31" x14ac:dyDescent="0.2">
      <c r="A38">
        <v>37</v>
      </c>
      <c r="B38">
        <v>742</v>
      </c>
      <c r="C38">
        <v>250</v>
      </c>
      <c r="D38">
        <v>0.318396788651924</v>
      </c>
      <c r="E38">
        <v>28.302659536989701</v>
      </c>
      <c r="F38">
        <v>2.19880242217033</v>
      </c>
      <c r="G38">
        <v>-460.51620202077453</v>
      </c>
      <c r="H38">
        <v>-385.55254360570683</v>
      </c>
      <c r="I38">
        <v>73.844908057989201</v>
      </c>
      <c r="J38">
        <v>38.329298688248898</v>
      </c>
      <c r="K38">
        <v>12.871852082577499</v>
      </c>
      <c r="L38">
        <v>1.5961472469796129E-4</v>
      </c>
      <c r="M38">
        <v>1.7873818534238395E-5</v>
      </c>
      <c r="N38" s="1">
        <v>1.0252099033541E-6</v>
      </c>
      <c r="O38" s="1">
        <v>2.7763087034971601E-8</v>
      </c>
      <c r="P38" s="1">
        <v>-1.4561439681396399E-7</v>
      </c>
      <c r="Q38">
        <v>71.674244742684294</v>
      </c>
      <c r="R38">
        <v>0.13290067355037399</v>
      </c>
      <c r="S38">
        <v>11.812133419378799</v>
      </c>
      <c r="T38">
        <v>0.27474333367291998</v>
      </c>
      <c r="V38">
        <v>0.62648232753493005</v>
      </c>
      <c r="W38">
        <v>0.14101931234316301</v>
      </c>
      <c r="X38">
        <v>9.46652343517074E-2</v>
      </c>
      <c r="AA38">
        <v>0.486036662619174</v>
      </c>
      <c r="AB38">
        <v>4.2664328755119101</v>
      </c>
      <c r="AC38">
        <v>4.1757640886631799</v>
      </c>
      <c r="AD38">
        <v>7.0664737261911997E-2</v>
      </c>
      <c r="AE38">
        <v>6.2449125924275704</v>
      </c>
    </row>
    <row r="39" spans="1:31" x14ac:dyDescent="0.2">
      <c r="A39">
        <v>38</v>
      </c>
      <c r="B39">
        <v>741</v>
      </c>
      <c r="C39">
        <v>250</v>
      </c>
      <c r="D39">
        <v>0.31765567223783697</v>
      </c>
      <c r="E39">
        <v>18.3642026300232</v>
      </c>
      <c r="F39">
        <v>2.1985027549574698</v>
      </c>
      <c r="G39">
        <v>-298.6467873168221</v>
      </c>
      <c r="H39">
        <v>-249.99153411792562</v>
      </c>
      <c r="I39">
        <v>47.976387318341899</v>
      </c>
      <c r="J39">
        <v>24.8927857074966</v>
      </c>
      <c r="K39">
        <v>8.3530496328072292</v>
      </c>
      <c r="L39">
        <v>1.6062664478055328E-4</v>
      </c>
      <c r="M39">
        <v>1.7921979677476678E-5</v>
      </c>
      <c r="N39" s="1">
        <v>6.7188462551696602E-7</v>
      </c>
      <c r="O39" s="1">
        <v>1.8148409401053001E-8</v>
      </c>
      <c r="P39" s="1">
        <v>-9.5598236944339195E-8</v>
      </c>
      <c r="Q39">
        <v>71.577223215945807</v>
      </c>
      <c r="R39">
        <v>0.12746135734346201</v>
      </c>
      <c r="S39">
        <v>11.628190056380401</v>
      </c>
      <c r="T39">
        <v>0.27808744975347799</v>
      </c>
      <c r="V39">
        <v>0.62939870027466105</v>
      </c>
      <c r="W39">
        <v>0.21641014572293599</v>
      </c>
      <c r="X39">
        <v>0.13594035382899899</v>
      </c>
      <c r="AA39">
        <v>0.53861682979326997</v>
      </c>
      <c r="AB39">
        <v>4.3408960452038299</v>
      </c>
      <c r="AC39">
        <v>4.1184790862725302</v>
      </c>
      <c r="AD39">
        <v>0.108907532784716</v>
      </c>
      <c r="AE39">
        <v>6.3003892266959003</v>
      </c>
    </row>
    <row r="40" spans="1:31" x14ac:dyDescent="0.2">
      <c r="A40">
        <v>39</v>
      </c>
      <c r="B40">
        <v>740</v>
      </c>
      <c r="C40">
        <v>250</v>
      </c>
      <c r="D40">
        <v>0.31691309282929903</v>
      </c>
      <c r="E40">
        <v>12.9924241741672</v>
      </c>
      <c r="F40">
        <v>2.1978132391157899</v>
      </c>
      <c r="G40">
        <v>-211.15202624336726</v>
      </c>
      <c r="H40">
        <v>-176.70737690600686</v>
      </c>
      <c r="I40">
        <v>33.997581145299698</v>
      </c>
      <c r="J40">
        <v>17.626187724109901</v>
      </c>
      <c r="K40">
        <v>5.9115233009490096</v>
      </c>
      <c r="L40">
        <v>1.6184186490714587E-4</v>
      </c>
      <c r="M40">
        <v>1.7985054872408434E-5</v>
      </c>
      <c r="N40" s="1">
        <v>4.8100505834828095E-7</v>
      </c>
      <c r="O40" s="1">
        <v>1.2958078520111799E-8</v>
      </c>
      <c r="P40" s="1">
        <v>-6.8591472803073804E-8</v>
      </c>
      <c r="Q40">
        <v>71.471025677494694</v>
      </c>
      <c r="R40">
        <v>0.123204735663569</v>
      </c>
      <c r="S40">
        <v>11.4236944172647</v>
      </c>
      <c r="T40">
        <v>0.28260531055599802</v>
      </c>
      <c r="V40">
        <v>0.63412687978911997</v>
      </c>
      <c r="W40">
        <v>0.30430869949435402</v>
      </c>
      <c r="X40">
        <v>0.14897421434603</v>
      </c>
      <c r="AA40">
        <v>0.60110990641915296</v>
      </c>
      <c r="AB40">
        <v>4.4314562297992</v>
      </c>
      <c r="AC40">
        <v>4.0574752043240903</v>
      </c>
      <c r="AD40">
        <v>0.15393586086650299</v>
      </c>
      <c r="AE40">
        <v>6.3680828639824698</v>
      </c>
    </row>
    <row r="41" spans="1:31" x14ac:dyDescent="0.2">
      <c r="A41">
        <v>40</v>
      </c>
      <c r="B41">
        <v>739</v>
      </c>
      <c r="C41">
        <v>250</v>
      </c>
      <c r="D41">
        <v>0.31616904609000601</v>
      </c>
      <c r="E41">
        <v>9.9437945267335603</v>
      </c>
      <c r="F41">
        <v>2.1969332175694301</v>
      </c>
      <c r="G41">
        <v>-161.49612244986614</v>
      </c>
      <c r="H41">
        <v>-135.11387582339876</v>
      </c>
      <c r="I41">
        <v>26.065550191638899</v>
      </c>
      <c r="J41">
        <v>13.501209912497201</v>
      </c>
      <c r="K41">
        <v>4.5262161121742199</v>
      </c>
      <c r="L41">
        <v>1.6314561194824567E-4</v>
      </c>
      <c r="M41">
        <v>1.8055004365919175E-5</v>
      </c>
      <c r="N41" s="1">
        <v>3.7279282606460302E-7</v>
      </c>
      <c r="O41" s="1">
        <v>1.00159404334304E-8</v>
      </c>
      <c r="P41" s="1">
        <v>-5.3284254827830503E-8</v>
      </c>
      <c r="Q41">
        <v>71.360291790553205</v>
      </c>
      <c r="R41">
        <v>0.119557387686585</v>
      </c>
      <c r="S41">
        <v>11.2159392633487</v>
      </c>
      <c r="T41">
        <v>0.28752491629628801</v>
      </c>
      <c r="V41">
        <v>0.63937000984264303</v>
      </c>
      <c r="W41">
        <v>0.39556786707163799</v>
      </c>
      <c r="X41">
        <v>0.148577812157626</v>
      </c>
      <c r="AA41">
        <v>0.66687966501793805</v>
      </c>
      <c r="AB41">
        <v>4.5281165767423399</v>
      </c>
      <c r="AC41">
        <v>3.9958006613861601</v>
      </c>
      <c r="AD41">
        <v>0.20113046328703801</v>
      </c>
      <c r="AE41">
        <v>6.4412435866098203</v>
      </c>
    </row>
    <row r="42" spans="1:31" x14ac:dyDescent="0.2">
      <c r="A42">
        <v>41</v>
      </c>
      <c r="B42">
        <v>762</v>
      </c>
      <c r="C42">
        <v>225</v>
      </c>
      <c r="D42">
        <v>0.35948461575617302</v>
      </c>
      <c r="E42">
        <v>106.230434421645</v>
      </c>
      <c r="F42">
        <v>2.18385470751157</v>
      </c>
      <c r="G42">
        <v>-1742.7769222772727</v>
      </c>
      <c r="H42">
        <v>-1454.2191614379692</v>
      </c>
      <c r="I42">
        <v>278.75936901830897</v>
      </c>
      <c r="J42">
        <v>143.998436531745</v>
      </c>
      <c r="K42">
        <v>48.643544855001402</v>
      </c>
      <c r="L42">
        <v>1.5728374616278123E-4</v>
      </c>
      <c r="M42">
        <v>1.8232175676672226E-5</v>
      </c>
      <c r="N42" s="1">
        <v>3.64840320264366E-6</v>
      </c>
      <c r="O42" s="1">
        <v>1.04253602634773E-7</v>
      </c>
      <c r="P42" s="1">
        <v>-5.3549667989694004E-7</v>
      </c>
      <c r="Q42">
        <v>72.540416896126402</v>
      </c>
      <c r="R42">
        <v>7.5307985358007298E-2</v>
      </c>
      <c r="S42">
        <v>12.105758646300201</v>
      </c>
      <c r="T42">
        <v>0.16867431872976299</v>
      </c>
      <c r="V42">
        <v>0.39879225811507801</v>
      </c>
      <c r="W42">
        <v>3.7653992679003302E-2</v>
      </c>
      <c r="X42">
        <v>2.8240494509253099E-2</v>
      </c>
      <c r="AA42">
        <v>0.54598289384554999</v>
      </c>
      <c r="AB42">
        <v>4.5090656233106596</v>
      </c>
      <c r="AC42">
        <v>3.5583023081657901</v>
      </c>
      <c r="AD42">
        <v>1.8826996339501301E-2</v>
      </c>
      <c r="AE42">
        <v>6.0129775865206803</v>
      </c>
    </row>
    <row r="43" spans="1:31" x14ac:dyDescent="0.2">
      <c r="A43">
        <v>42</v>
      </c>
      <c r="B43">
        <v>761</v>
      </c>
      <c r="C43">
        <v>225</v>
      </c>
      <c r="D43">
        <v>0.35879756321617101</v>
      </c>
      <c r="E43">
        <v>106.207218697339</v>
      </c>
      <c r="F43">
        <v>2.18420711406322</v>
      </c>
      <c r="G43">
        <v>-1742.109516418973</v>
      </c>
      <c r="H43">
        <v>-1454.0438925698179</v>
      </c>
      <c r="I43">
        <v>278.55303761461499</v>
      </c>
      <c r="J43">
        <v>143.95066555119399</v>
      </c>
      <c r="K43">
        <v>48.625067656594702</v>
      </c>
      <c r="L43">
        <v>1.5721912478912123E-4</v>
      </c>
      <c r="M43">
        <v>1.8223160959413466E-5</v>
      </c>
      <c r="N43" s="1">
        <v>3.6514463917770999E-6</v>
      </c>
      <c r="O43" s="1">
        <v>1.04139274832096E-7</v>
      </c>
      <c r="P43" s="1">
        <v>-5.3519393200436401E-7</v>
      </c>
      <c r="Q43">
        <v>72.543261650974003</v>
      </c>
      <c r="R43">
        <v>7.5324446851374002E-2</v>
      </c>
      <c r="S43">
        <v>12.104128272089399</v>
      </c>
      <c r="T43">
        <v>0.16897045144138401</v>
      </c>
      <c r="V43">
        <v>0.39864614256058301</v>
      </c>
      <c r="W43">
        <v>3.7662223425686397E-2</v>
      </c>
      <c r="X43">
        <v>2.8246667569265999E-2</v>
      </c>
      <c r="AA43">
        <v>0.54561015515355504</v>
      </c>
      <c r="AB43">
        <v>4.5081631989282798</v>
      </c>
      <c r="AC43">
        <v>3.5588252631116299</v>
      </c>
      <c r="AD43">
        <v>1.8831111712842501E-2</v>
      </c>
      <c r="AE43">
        <v>6.0123304161818201</v>
      </c>
    </row>
    <row r="44" spans="1:31" x14ac:dyDescent="0.2">
      <c r="A44">
        <v>43</v>
      </c>
      <c r="B44">
        <v>760</v>
      </c>
      <c r="C44">
        <v>225</v>
      </c>
      <c r="D44">
        <v>0.35810918066108399</v>
      </c>
      <c r="E44">
        <v>105.667452697698</v>
      </c>
      <c r="F44">
        <v>2.18464138762076</v>
      </c>
      <c r="G44">
        <v>-1732.8197518592508</v>
      </c>
      <c r="H44">
        <v>-1446.7581344298874</v>
      </c>
      <c r="I44">
        <v>276.88294771268698</v>
      </c>
      <c r="J44">
        <v>143.152853745003</v>
      </c>
      <c r="K44">
        <v>48.3683286861</v>
      </c>
      <c r="L44">
        <v>1.5690505951738149E-4</v>
      </c>
      <c r="M44">
        <v>1.8200315600794073E-5</v>
      </c>
      <c r="N44" s="1">
        <v>3.63044081856184E-6</v>
      </c>
      <c r="O44" s="1">
        <v>1.03353435254495E-7</v>
      </c>
      <c r="P44" s="1">
        <v>-5.3110066629328597E-7</v>
      </c>
      <c r="Q44">
        <v>72.607184228800307</v>
      </c>
      <c r="R44">
        <v>7.5709215995648699E-2</v>
      </c>
      <c r="S44">
        <v>12.065464207318399</v>
      </c>
      <c r="T44">
        <v>0.17003676688686301</v>
      </c>
      <c r="V44">
        <v>0.400499659298652</v>
      </c>
      <c r="W44">
        <v>3.7854607997823302E-2</v>
      </c>
      <c r="X44">
        <v>2.83909559983694E-2</v>
      </c>
      <c r="AA44">
        <v>0.53703896812274099</v>
      </c>
      <c r="AB44">
        <v>4.4866764913287698</v>
      </c>
      <c r="AC44">
        <v>3.57089618867662</v>
      </c>
      <c r="AD44">
        <v>1.89273039989106E-2</v>
      </c>
      <c r="AE44">
        <v>6.0013214055767499</v>
      </c>
    </row>
    <row r="45" spans="1:31" x14ac:dyDescent="0.2">
      <c r="A45">
        <v>44</v>
      </c>
      <c r="B45">
        <v>759</v>
      </c>
      <c r="C45">
        <v>225</v>
      </c>
      <c r="D45">
        <v>0.35741946422516302</v>
      </c>
      <c r="E45">
        <v>105.125833477065</v>
      </c>
      <c r="F45">
        <v>2.1850799262793599</v>
      </c>
      <c r="G45">
        <v>-1723.503540380887</v>
      </c>
      <c r="H45">
        <v>-1439.4465449079248</v>
      </c>
      <c r="I45">
        <v>275.20902530926901</v>
      </c>
      <c r="J45">
        <v>142.35285253235401</v>
      </c>
      <c r="K45">
        <v>48.110749731735403</v>
      </c>
      <c r="L45">
        <v>1.5658793316137044E-4</v>
      </c>
      <c r="M45">
        <v>1.8177335584465129E-5</v>
      </c>
      <c r="N45" s="1">
        <v>3.60930050520278E-6</v>
      </c>
      <c r="O45" s="1">
        <v>1.02566524573076E-7</v>
      </c>
      <c r="P45" s="1">
        <v>-5.2699491666655604E-7</v>
      </c>
      <c r="Q45">
        <v>72.671480262932207</v>
      </c>
      <c r="R45">
        <v>7.6099277745516197E-2</v>
      </c>
      <c r="S45">
        <v>12.026644620401299</v>
      </c>
      <c r="T45">
        <v>0.171116709964694</v>
      </c>
      <c r="V45">
        <v>0.40237960732099198</v>
      </c>
      <c r="W45">
        <v>3.8049638872756697E-2</v>
      </c>
      <c r="X45">
        <v>2.8537229154570201E-2</v>
      </c>
      <c r="AA45">
        <v>0.52877836923099997</v>
      </c>
      <c r="AB45">
        <v>4.4647867994941004</v>
      </c>
      <c r="AC45">
        <v>3.5829243350213602</v>
      </c>
      <c r="AD45">
        <v>1.9024819436376902E-2</v>
      </c>
      <c r="AE45">
        <v>5.9901783304250404</v>
      </c>
    </row>
    <row r="46" spans="1:31" x14ac:dyDescent="0.2">
      <c r="A46">
        <v>45</v>
      </c>
      <c r="B46">
        <v>758</v>
      </c>
      <c r="C46">
        <v>225</v>
      </c>
      <c r="D46">
        <v>0.356728410027642</v>
      </c>
      <c r="E46">
        <v>103.978923966853</v>
      </c>
      <c r="F46">
        <v>2.1856780847139299</v>
      </c>
      <c r="G46">
        <v>-1704.1296400370306</v>
      </c>
      <c r="H46">
        <v>-1423.7128625857115</v>
      </c>
      <c r="I46">
        <v>271.94566983592898</v>
      </c>
      <c r="J46">
        <v>140.73860846032301</v>
      </c>
      <c r="K46">
        <v>47.572844644440103</v>
      </c>
      <c r="L46">
        <v>1.5628482382633885E-4</v>
      </c>
      <c r="M46">
        <v>1.8149829091450623E-5</v>
      </c>
      <c r="N46" s="1">
        <v>3.5662978886492101E-6</v>
      </c>
      <c r="O46" s="1">
        <v>1.01165317662442E-7</v>
      </c>
      <c r="P46" s="1">
        <v>-5.1997729107512398E-7</v>
      </c>
      <c r="Q46">
        <v>72.707354495502301</v>
      </c>
      <c r="R46">
        <v>7.6938668864763304E-2</v>
      </c>
      <c r="S46">
        <v>11.9998355097204</v>
      </c>
      <c r="T46">
        <v>0.17325672627288299</v>
      </c>
      <c r="V46">
        <v>0.40659068063105802</v>
      </c>
      <c r="W46">
        <v>3.8469334432379598E-2</v>
      </c>
      <c r="X46">
        <v>2.8852000824288501E-2</v>
      </c>
      <c r="AA46">
        <v>0.51785171997582902</v>
      </c>
      <c r="AB46">
        <v>4.4426095744376202</v>
      </c>
      <c r="AC46">
        <v>3.6118251897613902</v>
      </c>
      <c r="AD46">
        <v>1.9234667216187901E-2</v>
      </c>
      <c r="AE46">
        <v>5.9771814323608199</v>
      </c>
    </row>
    <row r="47" spans="1:31" x14ac:dyDescent="0.2">
      <c r="A47">
        <v>46</v>
      </c>
      <c r="B47">
        <v>757</v>
      </c>
      <c r="C47">
        <v>225</v>
      </c>
      <c r="D47">
        <v>0.35603601417269398</v>
      </c>
      <c r="E47">
        <v>101.524348721103</v>
      </c>
      <c r="F47">
        <v>2.18663804816594</v>
      </c>
      <c r="G47">
        <v>-1663.0368556101203</v>
      </c>
      <c r="H47">
        <v>-1389.791001561143</v>
      </c>
      <c r="I47">
        <v>265.24860850262297</v>
      </c>
      <c r="J47">
        <v>137.364731478979</v>
      </c>
      <c r="K47">
        <v>46.429425668439997</v>
      </c>
      <c r="L47">
        <v>1.5600512825221163E-4</v>
      </c>
      <c r="M47">
        <v>1.8111972888099871E-5</v>
      </c>
      <c r="N47" s="1">
        <v>3.4760066511045301E-6</v>
      </c>
      <c r="O47" s="1">
        <v>9.8437013753551603E-8</v>
      </c>
      <c r="P47" s="1">
        <v>-5.0663947183331395E-7</v>
      </c>
      <c r="Q47">
        <v>72.682400736045096</v>
      </c>
      <c r="R47">
        <v>7.8798831026997099E-2</v>
      </c>
      <c r="S47">
        <v>11.9984082146026</v>
      </c>
      <c r="T47">
        <v>0.177803388987439</v>
      </c>
      <c r="V47">
        <v>0.41609895650297901</v>
      </c>
      <c r="W47">
        <v>3.9399415513496197E-2</v>
      </c>
      <c r="X47">
        <v>2.9549561635126599E-2</v>
      </c>
      <c r="AA47">
        <v>0.50154838337372498</v>
      </c>
      <c r="AB47">
        <v>4.41874414239917</v>
      </c>
      <c r="AC47">
        <v>3.6777294374566201</v>
      </c>
      <c r="AD47">
        <v>1.96997077567461E-2</v>
      </c>
      <c r="AE47">
        <v>5.9598192246999</v>
      </c>
    </row>
    <row r="48" spans="1:31" x14ac:dyDescent="0.2">
      <c r="A48">
        <v>47</v>
      </c>
      <c r="B48">
        <v>756</v>
      </c>
      <c r="C48">
        <v>225</v>
      </c>
      <c r="D48">
        <v>0.35534227274935698</v>
      </c>
      <c r="E48">
        <v>99.015923172321607</v>
      </c>
      <c r="F48">
        <v>2.1876478730121698</v>
      </c>
      <c r="G48">
        <v>-1621.0782835639786</v>
      </c>
      <c r="H48">
        <v>-1355.1313138868668</v>
      </c>
      <c r="I48">
        <v>258.414195867572</v>
      </c>
      <c r="J48">
        <v>133.91858151940801</v>
      </c>
      <c r="K48">
        <v>45.261362394664701</v>
      </c>
      <c r="L48">
        <v>1.557081287363341E-4</v>
      </c>
      <c r="M48">
        <v>1.8072577565060928E-5</v>
      </c>
      <c r="N48" s="1">
        <v>3.38355929753891E-6</v>
      </c>
      <c r="O48" s="1">
        <v>9.5658027675642806E-8</v>
      </c>
      <c r="P48" s="1">
        <v>-4.9299575803568004E-7</v>
      </c>
      <c r="Q48">
        <v>72.6571613752903</v>
      </c>
      <c r="R48">
        <v>8.0795085716441797E-2</v>
      </c>
      <c r="S48">
        <v>11.9965482377364</v>
      </c>
      <c r="T48">
        <v>0.182671466286043</v>
      </c>
      <c r="V48">
        <v>0.42631297544742303</v>
      </c>
      <c r="W48">
        <v>4.0397542858216E-2</v>
      </c>
      <c r="X48">
        <v>3.0298157143671199E-2</v>
      </c>
      <c r="AA48">
        <v>0.48647466712444698</v>
      </c>
      <c r="AB48">
        <v>4.3921679283334498</v>
      </c>
      <c r="AC48">
        <v>3.7455492118836702</v>
      </c>
      <c r="AD48">
        <v>2.0198771429103601E-2</v>
      </c>
      <c r="AE48">
        <v>5.9414245807506898</v>
      </c>
    </row>
    <row r="49" spans="1:31" x14ac:dyDescent="0.2">
      <c r="A49">
        <v>48</v>
      </c>
      <c r="B49">
        <v>755</v>
      </c>
      <c r="C49">
        <v>225</v>
      </c>
      <c r="D49">
        <v>0.354647181831445</v>
      </c>
      <c r="E49">
        <v>96.442923238092703</v>
      </c>
      <c r="F49">
        <v>2.18871040123393</v>
      </c>
      <c r="G49">
        <v>-1578.0797319167632</v>
      </c>
      <c r="H49">
        <v>-1319.5868133475694</v>
      </c>
      <c r="I49">
        <v>251.41557026619901</v>
      </c>
      <c r="J49">
        <v>130.38587490330499</v>
      </c>
      <c r="K49">
        <v>44.063811815268402</v>
      </c>
      <c r="L49">
        <v>1.5539383605666453E-4</v>
      </c>
      <c r="M49">
        <v>1.8031625389730827E-5</v>
      </c>
      <c r="N49" s="1">
        <v>3.2886377016802501E-6</v>
      </c>
      <c r="O49" s="1">
        <v>9.2819587778650804E-8</v>
      </c>
      <c r="P49" s="1">
        <v>-4.7900065628801803E-7</v>
      </c>
      <c r="Q49">
        <v>72.631502800451699</v>
      </c>
      <c r="R49">
        <v>8.2950617125638906E-2</v>
      </c>
      <c r="S49">
        <v>11.9941907137021</v>
      </c>
      <c r="T49">
        <v>0.187914678321113</v>
      </c>
      <c r="V49">
        <v>0.437353896213999</v>
      </c>
      <c r="W49">
        <v>4.1475308562813402E-2</v>
      </c>
      <c r="X49">
        <v>3.1106481422121302E-2</v>
      </c>
      <c r="AA49">
        <v>0.47266147960814098</v>
      </c>
      <c r="AB49">
        <v>4.3628337409874502</v>
      </c>
      <c r="AC49">
        <v>3.8152887916683298</v>
      </c>
      <c r="AD49">
        <v>2.0737654281401501E-2</v>
      </c>
      <c r="AE49">
        <v>5.9219838376550298</v>
      </c>
    </row>
    <row r="50" spans="1:31" x14ac:dyDescent="0.2">
      <c r="A50">
        <v>49</v>
      </c>
      <c r="B50">
        <v>754</v>
      </c>
      <c r="C50">
        <v>225</v>
      </c>
      <c r="D50">
        <v>0.35395073747748601</v>
      </c>
      <c r="E50">
        <v>93.790398633496395</v>
      </c>
      <c r="F50">
        <v>2.1898292122700802</v>
      </c>
      <c r="G50">
        <v>-1533.7980562247506</v>
      </c>
      <c r="H50">
        <v>-1282.9525398018654</v>
      </c>
      <c r="I50">
        <v>244.21507708015901</v>
      </c>
      <c r="J50">
        <v>126.74666232856499</v>
      </c>
      <c r="K50">
        <v>42.830006152063497</v>
      </c>
      <c r="L50">
        <v>1.5506242570764538E-4</v>
      </c>
      <c r="M50">
        <v>1.7989107066805956E-5</v>
      </c>
      <c r="N50" s="1">
        <v>3.1907888821797202E-6</v>
      </c>
      <c r="O50" s="1">
        <v>8.9909167335461203E-8</v>
      </c>
      <c r="P50" s="1">
        <v>-4.6458905963958302E-7</v>
      </c>
      <c r="Q50">
        <v>72.605241775503401</v>
      </c>
      <c r="R50">
        <v>8.5296577438188595E-2</v>
      </c>
      <c r="S50">
        <v>11.9912502978368</v>
      </c>
      <c r="T50">
        <v>0.193605005270438</v>
      </c>
      <c r="V50">
        <v>0.44938469996581298</v>
      </c>
      <c r="W50">
        <v>4.2648288719085402E-2</v>
      </c>
      <c r="X50">
        <v>3.19862165393308E-2</v>
      </c>
      <c r="AA50">
        <v>0.460151810848969</v>
      </c>
      <c r="AB50">
        <v>4.3306938785003899</v>
      </c>
      <c r="AC50">
        <v>3.8869292756294298</v>
      </c>
      <c r="AD50">
        <v>2.1324144359534399E-2</v>
      </c>
      <c r="AE50">
        <v>5.9014880293883998</v>
      </c>
    </row>
    <row r="51" spans="1:31" x14ac:dyDescent="0.2">
      <c r="A51">
        <v>50</v>
      </c>
      <c r="B51">
        <v>753</v>
      </c>
      <c r="C51">
        <v>225</v>
      </c>
      <c r="D51">
        <v>0.35325293573064698</v>
      </c>
      <c r="E51">
        <v>91.036577882829505</v>
      </c>
      <c r="F51">
        <v>2.19100913397352</v>
      </c>
      <c r="G51">
        <v>-1487.8787388515714</v>
      </c>
      <c r="H51">
        <v>-1244.9299340175914</v>
      </c>
      <c r="I51">
        <v>236.75759375722799</v>
      </c>
      <c r="J51">
        <v>122.971839506721</v>
      </c>
      <c r="K51">
        <v>41.5500677159338</v>
      </c>
      <c r="L51">
        <v>1.5471429214459879E-4</v>
      </c>
      <c r="M51">
        <v>1.7945023373758053E-5</v>
      </c>
      <c r="N51" s="1">
        <v>3.0893393709714402E-6</v>
      </c>
      <c r="O51" s="1">
        <v>8.6908104072424195E-8</v>
      </c>
      <c r="P51" s="1">
        <v>-4.4966379263225198E-7</v>
      </c>
      <c r="Q51">
        <v>72.578118322798204</v>
      </c>
      <c r="R51">
        <v>8.7876765428257397E-2</v>
      </c>
      <c r="S51">
        <v>11.9876086621399</v>
      </c>
      <c r="T51">
        <v>0.199843353894256</v>
      </c>
      <c r="V51">
        <v>0.462634797052553</v>
      </c>
      <c r="W51">
        <v>4.39383827141182E-2</v>
      </c>
      <c r="X51">
        <v>3.2953787035608403E-2</v>
      </c>
      <c r="AA51">
        <v>0.44901046901784802</v>
      </c>
      <c r="AB51">
        <v>4.2956940173730596</v>
      </c>
      <c r="AC51">
        <v>3.9604189232068201</v>
      </c>
      <c r="AD51">
        <v>2.1969191357049299E-2</v>
      </c>
      <c r="AE51">
        <v>5.8799333279821697</v>
      </c>
    </row>
    <row r="52" spans="1:31" x14ac:dyDescent="0.2">
      <c r="A52">
        <v>51</v>
      </c>
      <c r="B52">
        <v>752</v>
      </c>
      <c r="C52">
        <v>225</v>
      </c>
      <c r="D52">
        <v>0.35255377261864101</v>
      </c>
      <c r="E52">
        <v>88.148274189620395</v>
      </c>
      <c r="F52">
        <v>2.19225714265048</v>
      </c>
      <c r="G52">
        <v>-1439.7808200825827</v>
      </c>
      <c r="H52">
        <v>-1205.0637787530331</v>
      </c>
      <c r="I52">
        <v>228.958729287957</v>
      </c>
      <c r="J52">
        <v>119.016973665541</v>
      </c>
      <c r="K52">
        <v>40.208911844642003</v>
      </c>
      <c r="L52">
        <v>1.5435016968100149E-4</v>
      </c>
      <c r="M52">
        <v>1.7899390038353675E-5</v>
      </c>
      <c r="N52" s="1">
        <v>2.9832444936342901E-6</v>
      </c>
      <c r="O52" s="1">
        <v>8.37874118558609E-8</v>
      </c>
      <c r="P52" s="1">
        <v>-4.34073694564147E-7</v>
      </c>
      <c r="Q52">
        <v>72.549745042457701</v>
      </c>
      <c r="R52">
        <v>9.0756172750376299E-2</v>
      </c>
      <c r="S52">
        <v>11.983092273036</v>
      </c>
      <c r="T52">
        <v>0.20677903098316999</v>
      </c>
      <c r="V52">
        <v>0.47744498544215802</v>
      </c>
      <c r="W52">
        <v>4.5378086375176901E-2</v>
      </c>
      <c r="X52">
        <v>3.4033564781403701E-2</v>
      </c>
      <c r="AA52">
        <v>0.43934165373017398</v>
      </c>
      <c r="AB52">
        <v>4.2577647297946299</v>
      </c>
      <c r="AC52">
        <v>4.0356523637718604</v>
      </c>
      <c r="AD52">
        <v>2.26890431875778E-2</v>
      </c>
      <c r="AE52">
        <v>5.8573230536896803</v>
      </c>
    </row>
    <row r="53" spans="1:31" x14ac:dyDescent="0.2">
      <c r="A53">
        <v>52</v>
      </c>
      <c r="B53">
        <v>751</v>
      </c>
      <c r="C53">
        <v>225</v>
      </c>
      <c r="D53">
        <v>0.35185324415369101</v>
      </c>
      <c r="E53">
        <v>85.072105140017399</v>
      </c>
      <c r="F53">
        <v>2.1935840551453598</v>
      </c>
      <c r="G53">
        <v>-1388.6334777759071</v>
      </c>
      <c r="H53">
        <v>-1162.6217009468166</v>
      </c>
      <c r="I53">
        <v>220.68229930097101</v>
      </c>
      <c r="J53">
        <v>114.810511716901</v>
      </c>
      <c r="K53">
        <v>38.7822408448258</v>
      </c>
      <c r="L53">
        <v>1.539714269031936E-4</v>
      </c>
      <c r="M53">
        <v>1.785225217306997E-5</v>
      </c>
      <c r="N53" s="1">
        <v>2.8708019758642499E-6</v>
      </c>
      <c r="O53" s="1">
        <v>8.0499821061314702E-8</v>
      </c>
      <c r="P53" s="1">
        <v>-4.1757197489462901E-7</v>
      </c>
      <c r="Q53">
        <v>72.519504312197</v>
      </c>
      <c r="R53">
        <v>9.4037875127621101E-2</v>
      </c>
      <c r="S53">
        <v>11.977429814916601</v>
      </c>
      <c r="T53">
        <v>0.21464820719087099</v>
      </c>
      <c r="V53">
        <v>0.49435632990647099</v>
      </c>
      <c r="W53">
        <v>4.7018937563797401E-2</v>
      </c>
      <c r="X53">
        <v>3.5264203172872502E-2</v>
      </c>
      <c r="AA53">
        <v>0.43132292753267198</v>
      </c>
      <c r="AB53">
        <v>4.2168115292748301</v>
      </c>
      <c r="AC53">
        <v>4.1124216732743504</v>
      </c>
      <c r="AD53">
        <v>2.3509468781886401E-2</v>
      </c>
      <c r="AE53">
        <v>5.8336747210609801</v>
      </c>
    </row>
    <row r="54" spans="1:31" x14ac:dyDescent="0.2">
      <c r="A54">
        <v>53</v>
      </c>
      <c r="B54">
        <v>750</v>
      </c>
      <c r="C54">
        <v>225</v>
      </c>
      <c r="D54">
        <v>0.35115134633240402</v>
      </c>
      <c r="E54">
        <v>81.715987858649399</v>
      </c>
      <c r="F54">
        <v>2.1950080176964102</v>
      </c>
      <c r="G54">
        <v>-1332.9338558561089</v>
      </c>
      <c r="H54">
        <v>-1116.3402581389498</v>
      </c>
      <c r="I54">
        <v>211.692906921917</v>
      </c>
      <c r="J54">
        <v>110.228941831014</v>
      </c>
      <c r="K54">
        <v>37.2281044988652</v>
      </c>
      <c r="L54">
        <v>1.5358085151074359E-4</v>
      </c>
      <c r="M54">
        <v>1.7803727976208668E-5</v>
      </c>
      <c r="N54" s="1">
        <v>2.7490517205768001E-6</v>
      </c>
      <c r="O54" s="1">
        <v>7.6963089510279796E-8</v>
      </c>
      <c r="P54" s="1">
        <v>-3.9972892357423699E-7</v>
      </c>
      <c r="Q54">
        <v>72.486316690049904</v>
      </c>
      <c r="R54">
        <v>9.7900058601005896E-2</v>
      </c>
      <c r="S54">
        <v>11.970161978152101</v>
      </c>
      <c r="T54">
        <v>0.223858170276344</v>
      </c>
      <c r="V54">
        <v>0.51430504430799995</v>
      </c>
      <c r="W54">
        <v>4.89500293004883E-2</v>
      </c>
      <c r="X54">
        <v>3.6712521975393E-2</v>
      </c>
      <c r="AA54">
        <v>0.425277586197081</v>
      </c>
      <c r="AB54">
        <v>4.1727101696206796</v>
      </c>
      <c r="AC54">
        <v>4.1902895143013197</v>
      </c>
      <c r="AD54">
        <v>2.44750146502309E-2</v>
      </c>
      <c r="AE54">
        <v>5.8090432225673396</v>
      </c>
    </row>
    <row r="55" spans="1:31" x14ac:dyDescent="0.2">
      <c r="A55">
        <v>54</v>
      </c>
      <c r="B55">
        <v>749</v>
      </c>
      <c r="C55">
        <v>225</v>
      </c>
      <c r="D55">
        <v>0.350448075135744</v>
      </c>
      <c r="E55">
        <v>77.904998738523801</v>
      </c>
      <c r="F55">
        <v>2.1965626439727699</v>
      </c>
      <c r="G55">
        <v>-1269.8265150601344</v>
      </c>
      <c r="H55">
        <v>-1063.8193736028652</v>
      </c>
      <c r="I55">
        <v>201.54296478723199</v>
      </c>
      <c r="J55">
        <v>105.037578858242</v>
      </c>
      <c r="K55">
        <v>35.466777581914201</v>
      </c>
      <c r="L55">
        <v>1.5318502649364798E-4</v>
      </c>
      <c r="M55">
        <v>1.775415339904075E-5</v>
      </c>
      <c r="N55" s="1">
        <v>2.6123526362795199E-6</v>
      </c>
      <c r="O55" s="1">
        <v>7.3020408806249104E-8</v>
      </c>
      <c r="P55" s="1">
        <v>-3.7972489584832799E-7</v>
      </c>
      <c r="Q55">
        <v>72.448040973270295</v>
      </c>
      <c r="R55">
        <v>0.102689174373158</v>
      </c>
      <c r="S55">
        <v>11.960422924796401</v>
      </c>
      <c r="T55">
        <v>0.235199118723047</v>
      </c>
      <c r="V55">
        <v>0.53911296078585902</v>
      </c>
      <c r="W55">
        <v>5.1344587186562103E-2</v>
      </c>
      <c r="X55">
        <v>3.8508440389952797E-2</v>
      </c>
      <c r="AA55">
        <v>0.42185010292946001</v>
      </c>
      <c r="AB55">
        <v>4.1253443107283898</v>
      </c>
      <c r="AC55">
        <v>4.2682136738122898</v>
      </c>
      <c r="AD55">
        <v>2.5672293593265401E-2</v>
      </c>
      <c r="AE55">
        <v>5.7836014394111404</v>
      </c>
    </row>
    <row r="56" spans="1:31" x14ac:dyDescent="0.2">
      <c r="A56">
        <v>55</v>
      </c>
      <c r="B56">
        <v>748</v>
      </c>
      <c r="C56">
        <v>225</v>
      </c>
      <c r="D56">
        <v>0.34974342652891699</v>
      </c>
      <c r="E56">
        <v>72.366252018731998</v>
      </c>
      <c r="F56">
        <v>2.19838430437551</v>
      </c>
      <c r="G56">
        <v>-1178.5158007738073</v>
      </c>
      <c r="H56">
        <v>-987.59105550195977</v>
      </c>
      <c r="I56">
        <v>186.970322941631</v>
      </c>
      <c r="J56">
        <v>97.527707261643201</v>
      </c>
      <c r="K56">
        <v>32.917926076300297</v>
      </c>
      <c r="L56">
        <v>1.5286219075991389E-4</v>
      </c>
      <c r="M56">
        <v>1.7708796329683764E-5</v>
      </c>
      <c r="N56" s="1">
        <v>2.4196907062373901E-6</v>
      </c>
      <c r="O56" s="1">
        <v>6.7525980046791502E-8</v>
      </c>
      <c r="P56" s="1">
        <v>-3.51597553204974E-7</v>
      </c>
      <c r="Q56">
        <v>72.390597653860894</v>
      </c>
      <c r="R56">
        <v>0.110548767924734</v>
      </c>
      <c r="S56">
        <v>11.942969482427101</v>
      </c>
      <c r="T56">
        <v>0.25354314931107003</v>
      </c>
      <c r="V56">
        <v>0.58006730607255796</v>
      </c>
      <c r="W56">
        <v>5.5274383962335298E-2</v>
      </c>
      <c r="X56">
        <v>4.1455787971811001E-2</v>
      </c>
      <c r="AA56">
        <v>0.42315060022384399</v>
      </c>
      <c r="AB56">
        <v>4.0792494710326501</v>
      </c>
      <c r="AC56">
        <v>4.3350169180891296</v>
      </c>
      <c r="AD56">
        <v>2.7637191981137999E-2</v>
      </c>
      <c r="AE56">
        <v>5.7604892871426499</v>
      </c>
    </row>
    <row r="57" spans="1:31" x14ac:dyDescent="0.2">
      <c r="A57">
        <v>56</v>
      </c>
      <c r="B57">
        <v>747</v>
      </c>
      <c r="C57">
        <v>225</v>
      </c>
      <c r="D57">
        <v>0.34903739646130499</v>
      </c>
      <c r="E57">
        <v>40.631245350514</v>
      </c>
      <c r="F57">
        <v>2.1997553265237499</v>
      </c>
      <c r="G57">
        <v>-661.12387389499452</v>
      </c>
      <c r="H57">
        <v>-554.01081580342566</v>
      </c>
      <c r="I57">
        <v>104.99736126213701</v>
      </c>
      <c r="J57">
        <v>54.779150126132201</v>
      </c>
      <c r="K57">
        <v>18.470802120853602</v>
      </c>
      <c r="L57">
        <v>1.5333309224623118E-4</v>
      </c>
      <c r="M57">
        <v>1.7718268673619027E-5</v>
      </c>
      <c r="N57" s="1">
        <v>1.36430810834337E-6</v>
      </c>
      <c r="O57" s="1">
        <v>3.7991264344970398E-8</v>
      </c>
      <c r="P57" s="1">
        <v>-1.9834056260046101E-7</v>
      </c>
      <c r="Q57">
        <v>72.279897234530694</v>
      </c>
      <c r="R57">
        <v>0.13663001773127101</v>
      </c>
      <c r="S57">
        <v>11.8243646494915</v>
      </c>
      <c r="T57">
        <v>0.27354569687989999</v>
      </c>
      <c r="V57">
        <v>0.62334422388027</v>
      </c>
      <c r="W57">
        <v>9.8446404127933304E-2</v>
      </c>
      <c r="X57">
        <v>6.9519242870408698E-2</v>
      </c>
      <c r="AA57">
        <v>0.45818181940270702</v>
      </c>
      <c r="AB57">
        <v>4.1041863354866601</v>
      </c>
      <c r="AC57">
        <v>4.3044660091489302</v>
      </c>
      <c r="AD57">
        <v>4.92232020639011E-2</v>
      </c>
      <c r="AE57">
        <v>5.7781951643857097</v>
      </c>
    </row>
    <row r="58" spans="1:31" x14ac:dyDescent="0.2">
      <c r="A58">
        <v>57</v>
      </c>
      <c r="B58">
        <v>746</v>
      </c>
      <c r="C58">
        <v>225</v>
      </c>
      <c r="D58">
        <v>0.34832998086640898</v>
      </c>
      <c r="E58">
        <v>23.377292906333899</v>
      </c>
      <c r="F58">
        <v>2.1997891908271701</v>
      </c>
      <c r="G58">
        <v>-380.1918726193129</v>
      </c>
      <c r="H58">
        <v>-318.57092657946907</v>
      </c>
      <c r="I58">
        <v>60.463078094337298</v>
      </c>
      <c r="J58">
        <v>31.540545626062102</v>
      </c>
      <c r="K58">
        <v>10.627060540079899</v>
      </c>
      <c r="L58">
        <v>1.5408034069228568E-4</v>
      </c>
      <c r="M58">
        <v>1.7748660575849426E-5</v>
      </c>
      <c r="N58" s="1">
        <v>7.9113557651048401E-7</v>
      </c>
      <c r="O58" s="1">
        <v>2.1977176366969499E-8</v>
      </c>
      <c r="P58" s="1">
        <v>-1.15191034686858E-7</v>
      </c>
      <c r="Q58">
        <v>72.203988302794201</v>
      </c>
      <c r="R58">
        <v>0.14255339521211999</v>
      </c>
      <c r="S58">
        <v>11.6481931933501</v>
      </c>
      <c r="T58">
        <v>0.27157659125546002</v>
      </c>
      <c r="V58">
        <v>0.61429970423640001</v>
      </c>
      <c r="W58">
        <v>0.170750025147654</v>
      </c>
      <c r="X58">
        <v>0.111389312380951</v>
      </c>
      <c r="AA58">
        <v>0.512208922991499</v>
      </c>
      <c r="AB58">
        <v>4.1626561282791403</v>
      </c>
      <c r="AC58">
        <v>4.2597997033669603</v>
      </c>
      <c r="AD58">
        <v>8.5553105229456097E-2</v>
      </c>
      <c r="AE58">
        <v>5.8170316157559601</v>
      </c>
    </row>
    <row r="59" spans="1:31" x14ac:dyDescent="0.2">
      <c r="A59">
        <v>58</v>
      </c>
      <c r="B59">
        <v>745</v>
      </c>
      <c r="C59">
        <v>225</v>
      </c>
      <c r="D59">
        <v>0.347621175661739</v>
      </c>
      <c r="E59">
        <v>16.273033682471802</v>
      </c>
      <c r="F59">
        <v>2.1996852760280601</v>
      </c>
      <c r="G59">
        <v>-264.50622469978748</v>
      </c>
      <c r="H59">
        <v>-221.60922308835094</v>
      </c>
      <c r="I59">
        <v>42.1323003599042</v>
      </c>
      <c r="J59">
        <v>21.9730073330674</v>
      </c>
      <c r="K59">
        <v>7.39789180743883</v>
      </c>
      <c r="L59">
        <v>1.5494798854996818E-4</v>
      </c>
      <c r="M59">
        <v>1.7788519396222242E-5</v>
      </c>
      <c r="N59" s="1">
        <v>5.5568253234655801E-7</v>
      </c>
      <c r="O59" s="1">
        <v>1.5398039469772701E-8</v>
      </c>
      <c r="P59" s="1">
        <v>-8.1044813357847298E-8</v>
      </c>
      <c r="Q59">
        <v>72.119287944393093</v>
      </c>
      <c r="R59">
        <v>0.13717731214037601</v>
      </c>
      <c r="S59">
        <v>11.468560869505801</v>
      </c>
      <c r="T59">
        <v>0.27464547540522999</v>
      </c>
      <c r="V59">
        <v>0.61670237542794304</v>
      </c>
      <c r="W59">
        <v>0.24424468397930499</v>
      </c>
      <c r="X59">
        <v>0.15021899209468201</v>
      </c>
      <c r="AA59">
        <v>0.56616046468135195</v>
      </c>
      <c r="AB59">
        <v>4.2300007492085703</v>
      </c>
      <c r="AC59">
        <v>4.2072541094211502</v>
      </c>
      <c r="AD59">
        <v>0.12290271371766701</v>
      </c>
      <c r="AE59">
        <v>5.8628443100247098</v>
      </c>
    </row>
    <row r="60" spans="1:31" x14ac:dyDescent="0.2">
      <c r="A60">
        <v>59</v>
      </c>
      <c r="B60">
        <v>744</v>
      </c>
      <c r="C60">
        <v>225</v>
      </c>
      <c r="D60">
        <v>0.34691097674876298</v>
      </c>
      <c r="E60">
        <v>11.9578593910888</v>
      </c>
      <c r="F60">
        <v>2.19919001693366</v>
      </c>
      <c r="G60">
        <v>-194.23584172245097</v>
      </c>
      <c r="H60">
        <v>-162.70223008685474</v>
      </c>
      <c r="I60">
        <v>31.001928560778801</v>
      </c>
      <c r="J60">
        <v>16.157801982390801</v>
      </c>
      <c r="K60">
        <v>5.43739253953221</v>
      </c>
      <c r="L60">
        <v>1.5601025671682994E-4</v>
      </c>
      <c r="M60">
        <v>1.7843199356968693E-5</v>
      </c>
      <c r="N60" s="1">
        <v>4.1278230797780501E-7</v>
      </c>
      <c r="O60" s="1">
        <v>1.1408617043122399E-8</v>
      </c>
      <c r="P60" s="1">
        <v>-6.0333901354611006E-8</v>
      </c>
      <c r="Q60">
        <v>72.027495898847206</v>
      </c>
      <c r="R60">
        <v>0.13296483911340401</v>
      </c>
      <c r="S60">
        <v>11.2676160779834</v>
      </c>
      <c r="T60">
        <v>0.27888314961695099</v>
      </c>
      <c r="V60">
        <v>0.62087162727929701</v>
      </c>
      <c r="W60">
        <v>0.33063027988647797</v>
      </c>
      <c r="X60">
        <v>0.159617470251465</v>
      </c>
      <c r="AA60">
        <v>0.62950750720404003</v>
      </c>
      <c r="AB60">
        <v>4.3150315556126602</v>
      </c>
      <c r="AC60">
        <v>4.15009977023883</v>
      </c>
      <c r="AD60">
        <v>0.16725401550423999</v>
      </c>
      <c r="AE60">
        <v>5.9200278084619802</v>
      </c>
    </row>
    <row r="61" spans="1:31" x14ac:dyDescent="0.2">
      <c r="A61">
        <v>60</v>
      </c>
      <c r="B61">
        <v>743</v>
      </c>
      <c r="C61">
        <v>225</v>
      </c>
      <c r="D61">
        <v>0.34619938001279399</v>
      </c>
      <c r="E61">
        <v>9.4024845700520707</v>
      </c>
      <c r="F61">
        <v>2.1985596664387899</v>
      </c>
      <c r="G61">
        <v>-152.62306445772066</v>
      </c>
      <c r="H61">
        <v>-127.81708677081873</v>
      </c>
      <c r="I61">
        <v>24.4117282752565</v>
      </c>
      <c r="J61">
        <v>12.713541888142601</v>
      </c>
      <c r="K61">
        <v>4.2766565372692904</v>
      </c>
      <c r="L61">
        <v>1.5712728298438599E-4</v>
      </c>
      <c r="M61">
        <v>1.7902496659668899E-5</v>
      </c>
      <c r="N61" s="1">
        <v>3.2826235772973702E-7</v>
      </c>
      <c r="O61" s="1">
        <v>9.0489469619746894E-9</v>
      </c>
      <c r="P61" s="1">
        <v>-4.80858195471887E-8</v>
      </c>
      <c r="Q61">
        <v>71.933304225748302</v>
      </c>
      <c r="R61">
        <v>0.12927646715944499</v>
      </c>
      <c r="S61">
        <v>11.066860219717499</v>
      </c>
      <c r="T61">
        <v>0.28335970940972599</v>
      </c>
      <c r="V61">
        <v>0.62531163523664302</v>
      </c>
      <c r="W61">
        <v>0.41833818787910898</v>
      </c>
      <c r="X61">
        <v>0.159208424906188</v>
      </c>
      <c r="AA61">
        <v>0.69418400449703099</v>
      </c>
      <c r="AB61">
        <v>4.4043853312566297</v>
      </c>
      <c r="AC61">
        <v>4.0925123430863604</v>
      </c>
      <c r="AD61">
        <v>0.21270973486777101</v>
      </c>
      <c r="AE61">
        <v>5.9805497162351804</v>
      </c>
    </row>
    <row r="62" spans="1:31" x14ac:dyDescent="0.2">
      <c r="A62">
        <v>61</v>
      </c>
      <c r="B62">
        <v>771</v>
      </c>
      <c r="C62">
        <v>200</v>
      </c>
      <c r="D62">
        <v>0.391946080543984</v>
      </c>
      <c r="E62">
        <v>105.789664318682</v>
      </c>
      <c r="F62">
        <v>2.18318988299038</v>
      </c>
      <c r="G62">
        <v>-1736.8467201560286</v>
      </c>
      <c r="H62">
        <v>-1448.3730971538596</v>
      </c>
      <c r="I62">
        <v>276.27603601222802</v>
      </c>
      <c r="J62">
        <v>143.097615783669</v>
      </c>
      <c r="K62">
        <v>48.456465075671098</v>
      </c>
      <c r="L62">
        <v>1.5256181912584658E-4</v>
      </c>
      <c r="M62">
        <v>1.8154419369337389E-5</v>
      </c>
      <c r="N62" s="1">
        <v>3.3872612421451098E-6</v>
      </c>
      <c r="O62" s="1">
        <v>1.0011938540594999E-7</v>
      </c>
      <c r="P62" s="1">
        <v>-5.12308624986284E-7</v>
      </c>
      <c r="Q62">
        <v>72.842654805946907</v>
      </c>
      <c r="R62">
        <v>7.5621754275547307E-2</v>
      </c>
      <c r="S62">
        <v>12.156196999794799</v>
      </c>
      <c r="T62">
        <v>0.169147997724718</v>
      </c>
      <c r="V62">
        <v>0.400659961874552</v>
      </c>
      <c r="W62">
        <v>3.7810877137773299E-2</v>
      </c>
      <c r="X62">
        <v>2.8358157853330599E-2</v>
      </c>
      <c r="AA62">
        <v>0.54825771849771499</v>
      </c>
      <c r="AB62">
        <v>4.5278525372483598</v>
      </c>
      <c r="AC62">
        <v>3.5731278895195602</v>
      </c>
      <c r="AD62">
        <v>1.8905438568886299E-2</v>
      </c>
      <c r="AE62">
        <v>5.6214058615577702</v>
      </c>
    </row>
    <row r="63" spans="1:31" x14ac:dyDescent="0.2">
      <c r="A63">
        <v>62</v>
      </c>
      <c r="B63">
        <v>770</v>
      </c>
      <c r="C63">
        <v>200</v>
      </c>
      <c r="D63">
        <v>0.39129607439006903</v>
      </c>
      <c r="E63">
        <v>105.789714032144</v>
      </c>
      <c r="F63">
        <v>2.18352195527252</v>
      </c>
      <c r="G63">
        <v>-1736.5714470870382</v>
      </c>
      <c r="H63">
        <v>-1448.5169184087131</v>
      </c>
      <c r="I63">
        <v>276.13912541659801</v>
      </c>
      <c r="J63">
        <v>143.08433627602099</v>
      </c>
      <c r="K63">
        <v>48.449118533795797</v>
      </c>
      <c r="L63">
        <v>1.5251561112142981E-4</v>
      </c>
      <c r="M63">
        <v>1.814666076207533E-5</v>
      </c>
      <c r="N63" s="1">
        <v>3.3912164391757901E-6</v>
      </c>
      <c r="O63" s="1">
        <v>1.00044211843871E-7</v>
      </c>
      <c r="P63" s="1">
        <v>-5.1220545524499997E-7</v>
      </c>
      <c r="Q63">
        <v>72.8426205752165</v>
      </c>
      <c r="R63">
        <v>7.5621718738829696E-2</v>
      </c>
      <c r="S63">
        <v>12.156191287267699</v>
      </c>
      <c r="T63">
        <v>0.16940365214719599</v>
      </c>
      <c r="V63">
        <v>0.40042966140555097</v>
      </c>
      <c r="W63">
        <v>3.78108593694143E-2</v>
      </c>
      <c r="X63">
        <v>2.8358144527061702E-2</v>
      </c>
      <c r="AA63">
        <v>0.54825746085651095</v>
      </c>
      <c r="AB63">
        <v>4.5278504094873799</v>
      </c>
      <c r="AC63">
        <v>3.5731262104096202</v>
      </c>
      <c r="AD63">
        <v>1.8905429684706598E-2</v>
      </c>
      <c r="AE63">
        <v>5.6214245908893297</v>
      </c>
    </row>
    <row r="64" spans="1:31" x14ac:dyDescent="0.2">
      <c r="A64">
        <v>63</v>
      </c>
      <c r="B64">
        <v>769</v>
      </c>
      <c r="C64">
        <v>200</v>
      </c>
      <c r="D64">
        <v>0.390644820803149</v>
      </c>
      <c r="E64">
        <v>105.27522723786601</v>
      </c>
      <c r="F64">
        <v>2.1839099260108399</v>
      </c>
      <c r="G64">
        <v>-1727.7058306928363</v>
      </c>
      <c r="H64">
        <v>-1441.5764102478465</v>
      </c>
      <c r="I64">
        <v>274.556849249138</v>
      </c>
      <c r="J64">
        <v>142.32650902015101</v>
      </c>
      <c r="K64">
        <v>48.204930974494602</v>
      </c>
      <c r="L64">
        <v>1.5223439586223772E-4</v>
      </c>
      <c r="M64">
        <v>1.8125891022997145E-5</v>
      </c>
      <c r="N64" s="1">
        <v>3.3731236352337398E-6</v>
      </c>
      <c r="O64" s="1">
        <v>9.9332180441662801E-8</v>
      </c>
      <c r="P64" s="1">
        <v>-5.0851481097451799E-7</v>
      </c>
      <c r="Q64">
        <v>72.903174575502703</v>
      </c>
      <c r="R64">
        <v>7.59912869332902E-2</v>
      </c>
      <c r="S64">
        <v>12.118696483151201</v>
      </c>
      <c r="T64">
        <v>0.17042903778742499</v>
      </c>
      <c r="V64">
        <v>0.402208874989124</v>
      </c>
      <c r="W64">
        <v>3.7995643466644198E-2</v>
      </c>
      <c r="X64">
        <v>2.8496732599984798E-2</v>
      </c>
      <c r="AA64">
        <v>0.539926102440487</v>
      </c>
      <c r="AB64">
        <v>4.5070567227422398</v>
      </c>
      <c r="AC64">
        <v>3.5847921092836801</v>
      </c>
      <c r="AD64">
        <v>1.8997821733321301E-2</v>
      </c>
      <c r="AE64">
        <v>5.6122346093698203</v>
      </c>
    </row>
    <row r="65" spans="1:31" x14ac:dyDescent="0.2">
      <c r="A65">
        <v>64</v>
      </c>
      <c r="B65">
        <v>768</v>
      </c>
      <c r="C65">
        <v>200</v>
      </c>
      <c r="D65">
        <v>0.38999231618883101</v>
      </c>
      <c r="E65">
        <v>104.758434150691</v>
      </c>
      <c r="F65">
        <v>2.18430174500247</v>
      </c>
      <c r="G65">
        <v>-1718.8058650612154</v>
      </c>
      <c r="H65">
        <v>-1434.6037889704551</v>
      </c>
      <c r="I65">
        <v>272.96938586251702</v>
      </c>
      <c r="J65">
        <v>141.56579585592601</v>
      </c>
      <c r="K65">
        <v>47.959689814088399</v>
      </c>
      <c r="L65">
        <v>1.5195019230807369E-4</v>
      </c>
      <c r="M65">
        <v>1.8104985675833243E-5</v>
      </c>
      <c r="N65" s="1">
        <v>3.3548860971120198E-6</v>
      </c>
      <c r="O65" s="1">
        <v>9.8618377053161304E-8</v>
      </c>
      <c r="P65" s="1">
        <v>-5.0480843985585398E-7</v>
      </c>
      <c r="Q65">
        <v>72.964132734443496</v>
      </c>
      <c r="R65">
        <v>7.6366166264879298E-2</v>
      </c>
      <c r="S65">
        <v>12.0810135827126</v>
      </c>
      <c r="T65">
        <v>0.17146791380694801</v>
      </c>
      <c r="V65">
        <v>0.40401477884053</v>
      </c>
      <c r="W65">
        <v>3.8183083132438497E-2</v>
      </c>
      <c r="X65">
        <v>2.8637312349331E-2</v>
      </c>
      <c r="AA65">
        <v>0.53187313602527497</v>
      </c>
      <c r="AB65">
        <v>4.4858619978589296</v>
      </c>
      <c r="AC65">
        <v>3.59643629456132</v>
      </c>
      <c r="AD65">
        <v>1.9091541566218201E-2</v>
      </c>
      <c r="AE65">
        <v>5.6029214584378702</v>
      </c>
    </row>
    <row r="66" spans="1:31" x14ac:dyDescent="0.2">
      <c r="A66">
        <v>65</v>
      </c>
      <c r="B66">
        <v>767</v>
      </c>
      <c r="C66">
        <v>200</v>
      </c>
      <c r="D66">
        <v>0.38933855693890601</v>
      </c>
      <c r="E66">
        <v>104.24040903029599</v>
      </c>
      <c r="F66">
        <v>2.1846971329367699</v>
      </c>
      <c r="G66">
        <v>-1709.8895132641494</v>
      </c>
      <c r="H66">
        <v>-1427.6138319679183</v>
      </c>
      <c r="I66">
        <v>271.37978300844202</v>
      </c>
      <c r="J66">
        <v>140.80374521684999</v>
      </c>
      <c r="K66">
        <v>47.7138947356841</v>
      </c>
      <c r="L66">
        <v>1.5166346971265653E-4</v>
      </c>
      <c r="M66">
        <v>1.8083973356511605E-5</v>
      </c>
      <c r="N66" s="1">
        <v>3.33655090644481E-6</v>
      </c>
      <c r="O66" s="1">
        <v>9.7904171388431998E-8</v>
      </c>
      <c r="P66" s="1">
        <v>-5.0109405211700096E-7</v>
      </c>
      <c r="Q66">
        <v>73.025392532975602</v>
      </c>
      <c r="R66">
        <v>7.6745669692019305E-2</v>
      </c>
      <c r="S66">
        <v>12.0432050950181</v>
      </c>
      <c r="T66">
        <v>0.17251889270550499</v>
      </c>
      <c r="V66">
        <v>0.40584359857264801</v>
      </c>
      <c r="W66">
        <v>3.8372834846008098E-2</v>
      </c>
      <c r="X66">
        <v>2.87796261345089E-2</v>
      </c>
      <c r="AA66">
        <v>0.52410576802797604</v>
      </c>
      <c r="AB66">
        <v>4.4643129470998</v>
      </c>
      <c r="AC66">
        <v>3.6080320987216399</v>
      </c>
      <c r="AD66">
        <v>1.9186417423002599E-2</v>
      </c>
      <c r="AE66">
        <v>5.5935045187831101</v>
      </c>
    </row>
    <row r="67" spans="1:31" x14ac:dyDescent="0.2">
      <c r="A67">
        <v>66</v>
      </c>
      <c r="B67">
        <v>766</v>
      </c>
      <c r="C67">
        <v>200</v>
      </c>
      <c r="D67">
        <v>0.38868353943126899</v>
      </c>
      <c r="E67">
        <v>103.721485519886</v>
      </c>
      <c r="F67">
        <v>2.1850958841510701</v>
      </c>
      <c r="G67">
        <v>-1700.9623632850225</v>
      </c>
      <c r="H67">
        <v>-1420.6111194364628</v>
      </c>
      <c r="I67">
        <v>269.789004329075</v>
      </c>
      <c r="J67">
        <v>140.040832738354</v>
      </c>
      <c r="K67">
        <v>47.467704402446998</v>
      </c>
      <c r="L67">
        <v>1.5137436362527504E-4</v>
      </c>
      <c r="M67">
        <v>1.8062864133476832E-5</v>
      </c>
      <c r="N67" s="1">
        <v>3.3181334423534101E-6</v>
      </c>
      <c r="O67" s="1">
        <v>9.7190012407997906E-8</v>
      </c>
      <c r="P67" s="1">
        <v>-4.9737418396259804E-7</v>
      </c>
      <c r="Q67">
        <v>73.086938026991305</v>
      </c>
      <c r="R67">
        <v>7.712963191668E-2</v>
      </c>
      <c r="S67">
        <v>12.005279840397399</v>
      </c>
      <c r="T67">
        <v>0.17358167093698201</v>
      </c>
      <c r="V67">
        <v>0.40769439884640801</v>
      </c>
      <c r="W67">
        <v>3.8564815958338099E-2</v>
      </c>
      <c r="X67">
        <v>2.8923611968757101E-2</v>
      </c>
      <c r="AA67">
        <v>0.51661856654053495</v>
      </c>
      <c r="AB67">
        <v>4.4424270928188196</v>
      </c>
      <c r="AC67">
        <v>3.6195698463671899</v>
      </c>
      <c r="AD67">
        <v>1.9282407979167301E-2</v>
      </c>
      <c r="AE67">
        <v>5.5839900892783501</v>
      </c>
    </row>
    <row r="68" spans="1:31" x14ac:dyDescent="0.2">
      <c r="A68">
        <v>67</v>
      </c>
      <c r="B68">
        <v>765</v>
      </c>
      <c r="C68">
        <v>200</v>
      </c>
      <c r="D68">
        <v>0.38802726002986099</v>
      </c>
      <c r="E68">
        <v>103.20199670231401</v>
      </c>
      <c r="F68">
        <v>2.1854977902933301</v>
      </c>
      <c r="G68">
        <v>-1692.0299865094769</v>
      </c>
      <c r="H68">
        <v>-1413.6002235987337</v>
      </c>
      <c r="I68">
        <v>268.19800887226501</v>
      </c>
      <c r="J68">
        <v>139.277532485888</v>
      </c>
      <c r="K68">
        <v>47.221277075033299</v>
      </c>
      <c r="L68">
        <v>1.5108301228948848E-4</v>
      </c>
      <c r="M68">
        <v>1.8041668137244477E-5</v>
      </c>
      <c r="N68" s="1">
        <v>3.2996490462407399E-6</v>
      </c>
      <c r="O68" s="1">
        <v>9.6476344728551302E-8</v>
      </c>
      <c r="P68" s="1">
        <v>-4.9365135526855304E-7</v>
      </c>
      <c r="Q68">
        <v>73.148752662088995</v>
      </c>
      <c r="R68">
        <v>7.7517880037496503E-2</v>
      </c>
      <c r="S68">
        <v>11.9672469576512</v>
      </c>
      <c r="T68">
        <v>0.17465592897919399</v>
      </c>
      <c r="V68">
        <v>0.40956620311111003</v>
      </c>
      <c r="W68">
        <v>3.8758940018746003E-2</v>
      </c>
      <c r="X68">
        <v>2.9069205014063699E-2</v>
      </c>
      <c r="AA68">
        <v>0.50940574910265202</v>
      </c>
      <c r="AB68">
        <v>4.4202224222625004</v>
      </c>
      <c r="AC68">
        <v>3.6310400240407201</v>
      </c>
      <c r="AD68">
        <v>1.9379470009370799E-2</v>
      </c>
      <c r="AE68">
        <v>5.57438455768383</v>
      </c>
    </row>
    <row r="69" spans="1:31" x14ac:dyDescent="0.2">
      <c r="A69">
        <v>68</v>
      </c>
      <c r="B69">
        <v>764</v>
      </c>
      <c r="C69">
        <v>200</v>
      </c>
      <c r="D69">
        <v>0.38736971508460899</v>
      </c>
      <c r="E69">
        <v>102.68227305596101</v>
      </c>
      <c r="F69">
        <v>2.1859026415345002</v>
      </c>
      <c r="G69">
        <v>-1683.0979036913402</v>
      </c>
      <c r="H69">
        <v>-1406.5856806604752</v>
      </c>
      <c r="I69">
        <v>266.607745293221</v>
      </c>
      <c r="J69">
        <v>138.51431405950501</v>
      </c>
      <c r="K69">
        <v>46.974769646592797</v>
      </c>
      <c r="L69">
        <v>1.5078955576878648E-4</v>
      </c>
      <c r="M69">
        <v>1.802039550172327E-5</v>
      </c>
      <c r="N69" s="1">
        <v>3.2811129293515399E-6</v>
      </c>
      <c r="O69" s="1">
        <v>9.5763606005279804E-8</v>
      </c>
      <c r="P69" s="1">
        <v>-4.8992805459054203E-7</v>
      </c>
      <c r="Q69">
        <v>73.210819391791802</v>
      </c>
      <c r="R69">
        <v>7.7910234765061995E-2</v>
      </c>
      <c r="S69">
        <v>11.929115839163</v>
      </c>
      <c r="T69">
        <v>0.17574133379777701</v>
      </c>
      <c r="V69">
        <v>0.41145800027227197</v>
      </c>
      <c r="W69">
        <v>3.8955117382528201E-2</v>
      </c>
      <c r="X69">
        <v>2.92163380369014E-2</v>
      </c>
      <c r="AA69">
        <v>0.50246122236981094</v>
      </c>
      <c r="AB69">
        <v>4.3977172741513497</v>
      </c>
      <c r="AC69">
        <v>3.64243332835508</v>
      </c>
      <c r="AD69">
        <v>1.9477558691261301E-2</v>
      </c>
      <c r="AE69">
        <v>5.5646943612229798</v>
      </c>
    </row>
    <row r="70" spans="1:31" x14ac:dyDescent="0.2">
      <c r="A70">
        <v>69</v>
      </c>
      <c r="B70">
        <v>763</v>
      </c>
      <c r="C70">
        <v>200</v>
      </c>
      <c r="D70">
        <v>0.38671090093133698</v>
      </c>
      <c r="E70">
        <v>101.489581761613</v>
      </c>
      <c r="F70">
        <v>2.1864952404017401</v>
      </c>
      <c r="G70">
        <v>-1662.9847520361441</v>
      </c>
      <c r="H70">
        <v>-1390.205359757904</v>
      </c>
      <c r="I70">
        <v>263.262454546387</v>
      </c>
      <c r="J70">
        <v>136.84831562442801</v>
      </c>
      <c r="K70">
        <v>46.416557368295798</v>
      </c>
      <c r="L70">
        <v>1.5050824721136422E-4</v>
      </c>
      <c r="M70">
        <v>1.7993743304250709E-5</v>
      </c>
      <c r="N70" s="1">
        <v>3.2398019604156799E-6</v>
      </c>
      <c r="O70" s="1">
        <v>9.4393507964728694E-8</v>
      </c>
      <c r="P70" s="1">
        <v>-4.8309796503002404E-7</v>
      </c>
      <c r="Q70">
        <v>73.241906741983996</v>
      </c>
      <c r="R70">
        <v>7.8825824889014406E-2</v>
      </c>
      <c r="S70">
        <v>11.9038592020017</v>
      </c>
      <c r="T70">
        <v>0.178061330721107</v>
      </c>
      <c r="V70">
        <v>0.41606420644148401</v>
      </c>
      <c r="W70">
        <v>3.9412912444503602E-2</v>
      </c>
      <c r="X70">
        <v>2.9559684333384299E-2</v>
      </c>
      <c r="AA70">
        <v>0.49288812389105902</v>
      </c>
      <c r="AB70">
        <v>4.37411453564102</v>
      </c>
      <c r="AC70">
        <v>3.6728074202486201</v>
      </c>
      <c r="AD70">
        <v>1.9706456222248401E-2</v>
      </c>
      <c r="AE70">
        <v>5.5527935611818</v>
      </c>
    </row>
    <row r="71" spans="1:31" x14ac:dyDescent="0.2">
      <c r="A71">
        <v>70</v>
      </c>
      <c r="B71">
        <v>762</v>
      </c>
      <c r="C71">
        <v>200</v>
      </c>
      <c r="D71">
        <v>0.38605081389170998</v>
      </c>
      <c r="E71">
        <v>99.019400590583004</v>
      </c>
      <c r="F71">
        <v>2.1874618229572</v>
      </c>
      <c r="G71">
        <v>-1621.6591714647268</v>
      </c>
      <c r="H71">
        <v>-1356.0533574233857</v>
      </c>
      <c r="I71">
        <v>256.58678842809201</v>
      </c>
      <c r="J71">
        <v>133.468284434336</v>
      </c>
      <c r="K71">
        <v>45.266801711181202</v>
      </c>
      <c r="L71">
        <v>1.5024291154222658E-4</v>
      </c>
      <c r="M71">
        <v>1.7956325957657254E-5</v>
      </c>
      <c r="N71" s="1">
        <v>3.1552215164188099E-6</v>
      </c>
      <c r="O71" s="1">
        <v>9.1776996232693093E-8</v>
      </c>
      <c r="P71" s="1">
        <v>-4.7034591914806898E-7</v>
      </c>
      <c r="Q71">
        <v>73.214860983927196</v>
      </c>
      <c r="R71">
        <v>8.0792248309783404E-2</v>
      </c>
      <c r="S71">
        <v>11.9023818552854</v>
      </c>
      <c r="T71">
        <v>0.18285935761448599</v>
      </c>
      <c r="V71">
        <v>0.426123164835846</v>
      </c>
      <c r="W71">
        <v>4.0396124154887303E-2</v>
      </c>
      <c r="X71">
        <v>3.02970931161732E-2</v>
      </c>
      <c r="AA71">
        <v>0.47882949860930002</v>
      </c>
      <c r="AB71">
        <v>4.3472414889621698</v>
      </c>
      <c r="AC71">
        <v>3.7396695710669299</v>
      </c>
      <c r="AD71">
        <v>2.0198062077439599E-2</v>
      </c>
      <c r="AE71">
        <v>5.53635055204027</v>
      </c>
    </row>
    <row r="72" spans="1:31" x14ac:dyDescent="0.2">
      <c r="A72">
        <v>71</v>
      </c>
      <c r="B72">
        <v>761</v>
      </c>
      <c r="C72">
        <v>200</v>
      </c>
      <c r="D72">
        <v>0.38538945027317301</v>
      </c>
      <c r="E72">
        <v>96.499768897415294</v>
      </c>
      <c r="F72">
        <v>2.1884743650247702</v>
      </c>
      <c r="G72">
        <v>-1579.5426405780886</v>
      </c>
      <c r="H72">
        <v>-1321.2243616834767</v>
      </c>
      <c r="I72">
        <v>249.78801807727299</v>
      </c>
      <c r="J72">
        <v>130.022546231104</v>
      </c>
      <c r="K72">
        <v>44.094539300816798</v>
      </c>
      <c r="L72">
        <v>1.4996352634215161E-4</v>
      </c>
      <c r="M72">
        <v>1.7917591631608411E-5</v>
      </c>
      <c r="N72" s="1">
        <v>3.0688692931126798E-6</v>
      </c>
      <c r="O72" s="1">
        <v>8.9118585510503497E-8</v>
      </c>
      <c r="P72" s="1">
        <v>-4.5733747133571402E-7</v>
      </c>
      <c r="Q72">
        <v>73.187269548756305</v>
      </c>
      <c r="R72">
        <v>8.2901752941035203E-2</v>
      </c>
      <c r="S72">
        <v>11.900508646173501</v>
      </c>
      <c r="T72">
        <v>0.187995818514852</v>
      </c>
      <c r="V72">
        <v>0.43692364542832102</v>
      </c>
      <c r="W72">
        <v>4.1450876470509899E-2</v>
      </c>
      <c r="X72">
        <v>3.1088157352896401E-2</v>
      </c>
      <c r="AA72">
        <v>0.46595875000043102</v>
      </c>
      <c r="AB72">
        <v>4.3178864045602996</v>
      </c>
      <c r="AC72">
        <v>3.80821709867122</v>
      </c>
      <c r="AD72">
        <v>2.0725438235247699E-2</v>
      </c>
      <c r="AE72">
        <v>5.51907386289525</v>
      </c>
    </row>
    <row r="73" spans="1:31" x14ac:dyDescent="0.2">
      <c r="A73">
        <v>72</v>
      </c>
      <c r="B73">
        <v>760</v>
      </c>
      <c r="C73">
        <v>200</v>
      </c>
      <c r="D73">
        <v>0.38472680636887402</v>
      </c>
      <c r="E73">
        <v>93.919965188099994</v>
      </c>
      <c r="F73">
        <v>2.1895353746422499</v>
      </c>
      <c r="G73">
        <v>-1536.4610442285257</v>
      </c>
      <c r="H73">
        <v>-1285.5714048071147</v>
      </c>
      <c r="I73">
        <v>242.83950967566199</v>
      </c>
      <c r="J73">
        <v>126.496875033937</v>
      </c>
      <c r="K73">
        <v>42.894929342461701</v>
      </c>
      <c r="L73">
        <v>1.4967040803301061E-4</v>
      </c>
      <c r="M73">
        <v>1.7877548264061936E-5</v>
      </c>
      <c r="N73" s="1">
        <v>2.9804522850783498E-6</v>
      </c>
      <c r="O73" s="1">
        <v>8.6409926561393996E-8</v>
      </c>
      <c r="P73" s="1">
        <v>-4.4402958110699101E-7</v>
      </c>
      <c r="Q73">
        <v>73.158981188771193</v>
      </c>
      <c r="R73">
        <v>8.5178907210819901E-2</v>
      </c>
      <c r="S73">
        <v>11.8981749450389</v>
      </c>
      <c r="T73">
        <v>0.19352771583641401</v>
      </c>
      <c r="V73">
        <v>0.44859397352610098</v>
      </c>
      <c r="W73">
        <v>4.2589453605400597E-2</v>
      </c>
      <c r="X73">
        <v>3.1942090204067498E-2</v>
      </c>
      <c r="AA73">
        <v>0.45430139836919498</v>
      </c>
      <c r="AB73">
        <v>4.2860385615371799</v>
      </c>
      <c r="AC73">
        <v>3.8784107693747898</v>
      </c>
      <c r="AD73">
        <v>2.1294726802692E-2</v>
      </c>
      <c r="AE73">
        <v>5.5009662697231096</v>
      </c>
    </row>
    <row r="74" spans="1:31" x14ac:dyDescent="0.2">
      <c r="A74">
        <v>73</v>
      </c>
      <c r="B74">
        <v>759</v>
      </c>
      <c r="C74">
        <v>200</v>
      </c>
      <c r="D74">
        <v>0.38406287845759102</v>
      </c>
      <c r="E74">
        <v>91.264768031064904</v>
      </c>
      <c r="F74">
        <v>2.1906481964638602</v>
      </c>
      <c r="G74">
        <v>-1492.1667906161911</v>
      </c>
      <c r="H74">
        <v>-1248.885742061379</v>
      </c>
      <c r="I74">
        <v>235.703190965278</v>
      </c>
      <c r="J74">
        <v>122.871025903795</v>
      </c>
      <c r="K74">
        <v>41.661079208603297</v>
      </c>
      <c r="L74">
        <v>1.4936404002142257E-4</v>
      </c>
      <c r="M74">
        <v>1.7836212545706146E-5</v>
      </c>
      <c r="N74" s="1">
        <v>2.8895419837234101E-6</v>
      </c>
      <c r="O74" s="1">
        <v>8.3638791152759105E-8</v>
      </c>
      <c r="P74" s="1">
        <v>-4.3035901204356699E-7</v>
      </c>
      <c r="Q74">
        <v>73.129791446509202</v>
      </c>
      <c r="R74">
        <v>8.7657046334436398E-2</v>
      </c>
      <c r="S74">
        <v>11.8952934936218</v>
      </c>
      <c r="T74">
        <v>0.19953215798783999</v>
      </c>
      <c r="V74">
        <v>0.46130847572595302</v>
      </c>
      <c r="W74">
        <v>4.3828523167208103E-2</v>
      </c>
      <c r="X74">
        <v>3.2871392375424503E-2</v>
      </c>
      <c r="AA74">
        <v>0.44389750845951698</v>
      </c>
      <c r="AB74">
        <v>4.2516859596345302</v>
      </c>
      <c r="AC74">
        <v>3.95018474506836</v>
      </c>
      <c r="AD74">
        <v>2.1914261583594701E-2</v>
      </c>
      <c r="AE74">
        <v>5.4820349895320799</v>
      </c>
    </row>
    <row r="75" spans="1:31" x14ac:dyDescent="0.2">
      <c r="A75">
        <v>74</v>
      </c>
      <c r="B75">
        <v>758</v>
      </c>
      <c r="C75">
        <v>200</v>
      </c>
      <c r="D75">
        <v>0.383397662803666</v>
      </c>
      <c r="E75">
        <v>88.511871545262096</v>
      </c>
      <c r="F75">
        <v>2.1918175541779901</v>
      </c>
      <c r="G75">
        <v>-1446.2965799606422</v>
      </c>
      <c r="H75">
        <v>-1210.8613573651514</v>
      </c>
      <c r="I75">
        <v>228.32296231924599</v>
      </c>
      <c r="J75">
        <v>119.115273708007</v>
      </c>
      <c r="K75">
        <v>40.382864612313597</v>
      </c>
      <c r="L75">
        <v>1.4904514008063637E-4</v>
      </c>
      <c r="M75">
        <v>1.7793612630905668E-5</v>
      </c>
      <c r="N75" s="1">
        <v>2.7954952182958101E-6</v>
      </c>
      <c r="O75" s="1">
        <v>8.0786813006357794E-8</v>
      </c>
      <c r="P75" s="1">
        <v>-4.1623054738588501E-7</v>
      </c>
      <c r="Q75">
        <v>73.099412816803905</v>
      </c>
      <c r="R75">
        <v>9.0383356044051094E-2</v>
      </c>
      <c r="S75">
        <v>11.891741148339699</v>
      </c>
      <c r="T75">
        <v>0.20611797017230701</v>
      </c>
      <c r="V75">
        <v>0.475314198901096</v>
      </c>
      <c r="W75">
        <v>4.5191678022013598E-2</v>
      </c>
      <c r="X75">
        <v>3.3893758516532098E-2</v>
      </c>
      <c r="AA75">
        <v>0.43481230780692498</v>
      </c>
      <c r="AB75">
        <v>4.2148101608675699</v>
      </c>
      <c r="AC75">
        <v>4.0234340748711901</v>
      </c>
      <c r="AD75">
        <v>2.2595839010995301E-2</v>
      </c>
      <c r="AE75">
        <v>5.4622926906435803</v>
      </c>
    </row>
    <row r="76" spans="1:31" x14ac:dyDescent="0.2">
      <c r="A76">
        <v>75</v>
      </c>
      <c r="B76">
        <v>757</v>
      </c>
      <c r="C76">
        <v>200</v>
      </c>
      <c r="D76">
        <v>0.38273115565694399</v>
      </c>
      <c r="E76">
        <v>85.627409035159303</v>
      </c>
      <c r="F76">
        <v>2.1930504828220201</v>
      </c>
      <c r="G76">
        <v>-1398.2982936796072</v>
      </c>
      <c r="H76">
        <v>-1171.0335000813629</v>
      </c>
      <c r="I76">
        <v>220.61330252705301</v>
      </c>
      <c r="J76">
        <v>115.18442247332899</v>
      </c>
      <c r="K76">
        <v>39.044887341112798</v>
      </c>
      <c r="L76">
        <v>1.487148088774834E-4</v>
      </c>
      <c r="M76">
        <v>1.7749795438385531E-5</v>
      </c>
      <c r="N76" s="1">
        <v>2.69731800555033E-6</v>
      </c>
      <c r="O76" s="1">
        <v>7.7825602409731605E-8</v>
      </c>
      <c r="P76" s="1">
        <v>-4.01496722653552E-7</v>
      </c>
      <c r="Q76">
        <v>73.0674198576598</v>
      </c>
      <c r="R76">
        <v>9.3428028363161303E-2</v>
      </c>
      <c r="S76">
        <v>11.887335639496699</v>
      </c>
      <c r="T76">
        <v>0.21344659500578</v>
      </c>
      <c r="V76">
        <v>0.49097904031780898</v>
      </c>
      <c r="W76">
        <v>4.6714014181566101E-2</v>
      </c>
      <c r="X76">
        <v>3.5035510636201E-2</v>
      </c>
      <c r="AA76">
        <v>0.42715470598938998</v>
      </c>
      <c r="AB76">
        <v>4.1753807415053901</v>
      </c>
      <c r="AC76">
        <v>4.0979880811932698</v>
      </c>
      <c r="AD76">
        <v>2.33570070907691E-2</v>
      </c>
      <c r="AE76">
        <v>5.4417607785600302</v>
      </c>
    </row>
    <row r="77" spans="1:31" x14ac:dyDescent="0.2">
      <c r="A77">
        <v>76</v>
      </c>
      <c r="B77">
        <v>756</v>
      </c>
      <c r="C77">
        <v>200</v>
      </c>
      <c r="D77">
        <v>0.38206335325268598</v>
      </c>
      <c r="E77">
        <v>82.557637558411898</v>
      </c>
      <c r="F77">
        <v>2.1943580415351498</v>
      </c>
      <c r="G77">
        <v>-1347.2952304649903</v>
      </c>
      <c r="H77">
        <v>-1128.6645297210389</v>
      </c>
      <c r="I77">
        <v>212.438129275569</v>
      </c>
      <c r="J77">
        <v>111.00668345373801</v>
      </c>
      <c r="K77">
        <v>37.622683261230797</v>
      </c>
      <c r="L77">
        <v>1.4837487429125807E-4</v>
      </c>
      <c r="M77">
        <v>1.7704845849167416E-5</v>
      </c>
      <c r="N77" s="1">
        <v>2.59341418276766E-6</v>
      </c>
      <c r="O77" s="1">
        <v>7.4709570470266499E-8</v>
      </c>
      <c r="P77" s="1">
        <v>-3.8592040313656102E-7</v>
      </c>
      <c r="Q77">
        <v>73.033140632237306</v>
      </c>
      <c r="R77">
        <v>9.69019976418381E-2</v>
      </c>
      <c r="S77">
        <v>11.881791770756999</v>
      </c>
      <c r="T77">
        <v>0.221772555397065</v>
      </c>
      <c r="V77">
        <v>0.50888500462688502</v>
      </c>
      <c r="W77">
        <v>4.8450998820902598E-2</v>
      </c>
      <c r="X77">
        <v>3.6338249115706898E-2</v>
      </c>
      <c r="AA77">
        <v>0.42111192304406603</v>
      </c>
      <c r="AB77">
        <v>4.1333522871964599</v>
      </c>
      <c r="AC77">
        <v>4.1735502572410601</v>
      </c>
      <c r="AD77">
        <v>2.4225499410435499E-2</v>
      </c>
      <c r="AE77">
        <v>5.4204788245111901</v>
      </c>
    </row>
    <row r="78" spans="1:31" x14ac:dyDescent="0.2">
      <c r="A78">
        <v>77</v>
      </c>
      <c r="B78">
        <v>755</v>
      </c>
      <c r="C78">
        <v>200</v>
      </c>
      <c r="D78">
        <v>0.38139425181150599</v>
      </c>
      <c r="E78">
        <v>79.212167851750095</v>
      </c>
      <c r="F78">
        <v>2.1957587368748999</v>
      </c>
      <c r="G78">
        <v>-1291.8123941959698</v>
      </c>
      <c r="H78">
        <v>-1082.5137338946226</v>
      </c>
      <c r="I78">
        <v>203.56821504775201</v>
      </c>
      <c r="J78">
        <v>106.461257064656</v>
      </c>
      <c r="K78">
        <v>36.075078068225402</v>
      </c>
      <c r="L78">
        <v>1.4802875025475651E-4</v>
      </c>
      <c r="M78">
        <v>1.7658938919455323E-5</v>
      </c>
      <c r="N78" s="1">
        <v>2.4810814105799702E-6</v>
      </c>
      <c r="O78" s="1">
        <v>7.1361534600986106E-8</v>
      </c>
      <c r="P78" s="1">
        <v>-3.6909973485796801E-7</v>
      </c>
      <c r="Q78">
        <v>72.995421539658395</v>
      </c>
      <c r="R78">
        <v>0.10099458475841</v>
      </c>
      <c r="S78">
        <v>11.874631047045</v>
      </c>
      <c r="T78">
        <v>0.23152927358903999</v>
      </c>
      <c r="V78">
        <v>0.53002619499792702</v>
      </c>
      <c r="W78">
        <v>5.0497292379187299E-2</v>
      </c>
      <c r="X78">
        <v>3.7872969284422499E-2</v>
      </c>
      <c r="AA78">
        <v>0.41702014207812499</v>
      </c>
      <c r="AB78">
        <v>4.0886755136342803</v>
      </c>
      <c r="AC78">
        <v>4.24955128023488</v>
      </c>
      <c r="AD78">
        <v>2.5248646189576701E-2</v>
      </c>
      <c r="AE78">
        <v>5.39853151615063</v>
      </c>
    </row>
    <row r="79" spans="1:31" x14ac:dyDescent="0.2">
      <c r="A79">
        <v>78</v>
      </c>
      <c r="B79">
        <v>754</v>
      </c>
      <c r="C79">
        <v>200</v>
      </c>
      <c r="D79">
        <v>0.38072384753930699</v>
      </c>
      <c r="E79">
        <v>75.426930899137005</v>
      </c>
      <c r="F79">
        <v>2.1972860822289002</v>
      </c>
      <c r="G79">
        <v>-1229.1722874212633</v>
      </c>
      <c r="H79">
        <v>-1030.3291182289215</v>
      </c>
      <c r="I79">
        <v>193.58727468465301</v>
      </c>
      <c r="J79">
        <v>101.32885742664099</v>
      </c>
      <c r="K79">
        <v>34.327314731190803</v>
      </c>
      <c r="L79">
        <v>1.4768381904986259E-4</v>
      </c>
      <c r="M79">
        <v>1.7612494542679005E-5</v>
      </c>
      <c r="N79" s="1">
        <v>2.3554056171090901E-6</v>
      </c>
      <c r="O79" s="1">
        <v>6.7641127356219296E-8</v>
      </c>
      <c r="P79" s="1">
        <v>-3.5030347361512798E-7</v>
      </c>
      <c r="Q79">
        <v>72.9520566696239</v>
      </c>
      <c r="R79">
        <v>0.106062912869925</v>
      </c>
      <c r="S79">
        <v>11.8649734588172</v>
      </c>
      <c r="T79">
        <v>0.24353273965615799</v>
      </c>
      <c r="V79">
        <v>0.55627925733737404</v>
      </c>
      <c r="W79">
        <v>5.30314564349431E-2</v>
      </c>
      <c r="X79">
        <v>3.9773592326242203E-2</v>
      </c>
      <c r="AA79">
        <v>0.41552407427617899</v>
      </c>
      <c r="AB79">
        <v>4.0413707680264803</v>
      </c>
      <c r="AC79">
        <v>4.3247481282169096</v>
      </c>
      <c r="AD79">
        <v>2.6515728217453099E-2</v>
      </c>
      <c r="AE79">
        <v>5.3761312141971898</v>
      </c>
    </row>
    <row r="80" spans="1:31" x14ac:dyDescent="0.2">
      <c r="A80">
        <v>79</v>
      </c>
      <c r="B80">
        <v>753</v>
      </c>
      <c r="C80">
        <v>200</v>
      </c>
      <c r="D80">
        <v>0.380052136627202</v>
      </c>
      <c r="E80">
        <v>70.876788875159605</v>
      </c>
      <c r="F80">
        <v>2.1990069017502698</v>
      </c>
      <c r="G80">
        <v>-1154.0701015112759</v>
      </c>
      <c r="H80">
        <v>-967.64854922626648</v>
      </c>
      <c r="I80">
        <v>181.67085931394899</v>
      </c>
      <c r="J80">
        <v>95.175079475619199</v>
      </c>
      <c r="K80">
        <v>32.231271679386602</v>
      </c>
      <c r="L80">
        <v>1.4735899498567734E-4</v>
      </c>
      <c r="M80">
        <v>1.7566696802818595E-5</v>
      </c>
      <c r="N80" s="1">
        <v>2.2066796415635498E-6</v>
      </c>
      <c r="O80" s="1">
        <v>6.3271007142271303E-8</v>
      </c>
      <c r="P80" s="1">
        <v>-3.2808636809011502E-7</v>
      </c>
      <c r="Q80">
        <v>72.898217564293702</v>
      </c>
      <c r="R80">
        <v>0.11287193066960199</v>
      </c>
      <c r="S80">
        <v>11.8509980625876</v>
      </c>
      <c r="T80">
        <v>0.2595276232389</v>
      </c>
      <c r="V80">
        <v>0.59166676296890297</v>
      </c>
      <c r="W80">
        <v>5.6435965334779903E-2</v>
      </c>
      <c r="X80">
        <v>4.23269740011228E-2</v>
      </c>
      <c r="AA80">
        <v>0.417971877336345</v>
      </c>
      <c r="AB80">
        <v>3.9918886418035702</v>
      </c>
      <c r="AC80">
        <v>4.3959738948293596</v>
      </c>
      <c r="AD80">
        <v>2.8217982667369398E-2</v>
      </c>
      <c r="AE80">
        <v>5.3539027202686498</v>
      </c>
    </row>
    <row r="81" spans="1:31" x14ac:dyDescent="0.2">
      <c r="A81">
        <v>80</v>
      </c>
      <c r="B81">
        <v>752</v>
      </c>
      <c r="C81">
        <v>200</v>
      </c>
      <c r="D81">
        <v>0.37937911525142798</v>
      </c>
      <c r="E81">
        <v>44.4774406746333</v>
      </c>
      <c r="F81">
        <v>2.20058007108176</v>
      </c>
      <c r="G81">
        <v>-723.61191384419055</v>
      </c>
      <c r="H81">
        <v>-606.78576429719078</v>
      </c>
      <c r="I81">
        <v>113.960054184265</v>
      </c>
      <c r="J81">
        <v>59.731774812160602</v>
      </c>
      <c r="K81">
        <v>20.211689299162401</v>
      </c>
      <c r="L81">
        <v>1.4751653200770657E-4</v>
      </c>
      <c r="M81">
        <v>1.755402580393216E-5</v>
      </c>
      <c r="N81" s="1">
        <v>1.38675437916342E-6</v>
      </c>
      <c r="O81" s="1">
        <v>3.9684771117529597E-8</v>
      </c>
      <c r="P81" s="1">
        <v>-2.0623275829500899E-7</v>
      </c>
      <c r="Q81">
        <v>72.8104538323567</v>
      </c>
      <c r="R81">
        <v>0.13593681760474499</v>
      </c>
      <c r="S81">
        <v>11.760109971698</v>
      </c>
      <c r="T81">
        <v>0.27525717343607597</v>
      </c>
      <c r="V81">
        <v>0.62530244367510601</v>
      </c>
      <c r="W81">
        <v>8.9933232203259203E-2</v>
      </c>
      <c r="X81">
        <v>6.4260296800619399E-2</v>
      </c>
      <c r="AA81">
        <v>0.45232590513986698</v>
      </c>
      <c r="AB81">
        <v>3.9855352497143599</v>
      </c>
      <c r="AC81">
        <v>4.4004166229460404</v>
      </c>
      <c r="AD81">
        <v>4.4966616101582903E-2</v>
      </c>
      <c r="AE81">
        <v>5.3555018383235602</v>
      </c>
    </row>
    <row r="82" spans="1:31" x14ac:dyDescent="0.2">
      <c r="A82">
        <v>81</v>
      </c>
      <c r="B82">
        <v>751</v>
      </c>
      <c r="C82">
        <v>200</v>
      </c>
      <c r="D82">
        <v>0.378704779573308</v>
      </c>
      <c r="E82">
        <v>25.407748157831701</v>
      </c>
      <c r="F82">
        <v>2.2009147318404501</v>
      </c>
      <c r="G82">
        <v>-413.1738851299005</v>
      </c>
      <c r="H82">
        <v>-346.47068229566827</v>
      </c>
      <c r="I82">
        <v>65.130305945644807</v>
      </c>
      <c r="J82">
        <v>34.141078349830401</v>
      </c>
      <c r="K82">
        <v>11.5441765145464</v>
      </c>
      <c r="L82">
        <v>1.4803473203738472E-4</v>
      </c>
      <c r="M82">
        <v>1.7568391540088991E-5</v>
      </c>
      <c r="N82" s="1">
        <v>7.9678409782151296E-7</v>
      </c>
      <c r="O82" s="1">
        <v>2.2749866635422401E-8</v>
      </c>
      <c r="P82" s="1">
        <v>-1.1864819383992499E-7</v>
      </c>
      <c r="Q82">
        <v>72.749419869799695</v>
      </c>
      <c r="R82">
        <v>0.15310691092468101</v>
      </c>
      <c r="S82">
        <v>11.5969064696</v>
      </c>
      <c r="T82">
        <v>0.26887395096903</v>
      </c>
      <c r="V82">
        <v>0.60642791945869101</v>
      </c>
      <c r="W82">
        <v>0.15743229093543701</v>
      </c>
      <c r="X82">
        <v>0.10403145804132501</v>
      </c>
      <c r="AA82">
        <v>0.50822689919226605</v>
      </c>
      <c r="AB82">
        <v>4.0260423785115096</v>
      </c>
      <c r="AC82">
        <v>4.3703402374544398</v>
      </c>
      <c r="AD82">
        <v>7.8716145467626897E-2</v>
      </c>
      <c r="AE82">
        <v>5.3804754696451704</v>
      </c>
    </row>
    <row r="83" spans="1:31" x14ac:dyDescent="0.2">
      <c r="A83">
        <v>82</v>
      </c>
      <c r="B83">
        <v>750</v>
      </c>
      <c r="C83">
        <v>200</v>
      </c>
      <c r="D83">
        <v>0.37802912573913899</v>
      </c>
      <c r="E83">
        <v>17.450500951515</v>
      </c>
      <c r="F83">
        <v>2.2010196641374402</v>
      </c>
      <c r="G83">
        <v>-283.61957445257121</v>
      </c>
      <c r="H83">
        <v>-237.816020090557</v>
      </c>
      <c r="I83">
        <v>44.7671938249661</v>
      </c>
      <c r="J83">
        <v>23.464658249693102</v>
      </c>
      <c r="K83">
        <v>7.9283712162352096</v>
      </c>
      <c r="L83">
        <v>1.4874308714159684E-4</v>
      </c>
      <c r="M83">
        <v>1.7598130202557462E-5</v>
      </c>
      <c r="N83" s="1">
        <v>5.5150723648499997E-7</v>
      </c>
      <c r="O83" s="1">
        <v>1.5708792915714301E-8</v>
      </c>
      <c r="P83" s="1">
        <v>-8.2254587505094205E-8</v>
      </c>
      <c r="Q83">
        <v>72.677421574060901</v>
      </c>
      <c r="R83">
        <v>0.15106932233991699</v>
      </c>
      <c r="S83">
        <v>11.423678875893399</v>
      </c>
      <c r="T83">
        <v>0.27021562585730102</v>
      </c>
      <c r="V83">
        <v>0.60509329429007896</v>
      </c>
      <c r="W83">
        <v>0.22843101183234901</v>
      </c>
      <c r="X83">
        <v>0.14202706601666801</v>
      </c>
      <c r="AA83">
        <v>0.56278789624082803</v>
      </c>
      <c r="AB83">
        <v>4.0840255016446196</v>
      </c>
      <c r="AC83">
        <v>4.3244260049646099</v>
      </c>
      <c r="AD83">
        <v>0.11460989031503201</v>
      </c>
      <c r="AE83">
        <v>5.4162139365442101</v>
      </c>
    </row>
    <row r="84" spans="1:31" x14ac:dyDescent="0.2">
      <c r="A84">
        <v>83</v>
      </c>
      <c r="B84">
        <v>749</v>
      </c>
      <c r="C84">
        <v>200</v>
      </c>
      <c r="D84">
        <v>0.37735214988015597</v>
      </c>
      <c r="E84">
        <v>13.2711189723607</v>
      </c>
      <c r="F84">
        <v>2.2010394776764701</v>
      </c>
      <c r="G84">
        <v>-215.57171123827251</v>
      </c>
      <c r="H84">
        <v>-180.74298020181595</v>
      </c>
      <c r="I84">
        <v>34.073992111193597</v>
      </c>
      <c r="J84">
        <v>17.8572946989818</v>
      </c>
      <c r="K84">
        <v>6.0294779384740798</v>
      </c>
      <c r="L84">
        <v>1.4950068044535211E-4</v>
      </c>
      <c r="M84">
        <v>1.7632046187855166E-5</v>
      </c>
      <c r="N84" s="1">
        <v>4.2288585484215901E-7</v>
      </c>
      <c r="O84" s="1">
        <v>1.2015889146749801E-8</v>
      </c>
      <c r="P84" s="1">
        <v>-6.3172628059543696E-8</v>
      </c>
      <c r="Q84">
        <v>72.602918791307701</v>
      </c>
      <c r="R84">
        <v>0.14592666298218501</v>
      </c>
      <c r="S84">
        <v>11.250903274568699</v>
      </c>
      <c r="T84">
        <v>0.27309613084909301</v>
      </c>
      <c r="V84">
        <v>0.60716573911175697</v>
      </c>
      <c r="W84">
        <v>0.29912328398156102</v>
      </c>
      <c r="X84">
        <v>0.177178112770075</v>
      </c>
      <c r="AA84">
        <v>0.616140574313922</v>
      </c>
      <c r="AB84">
        <v>4.1469338600355901</v>
      </c>
      <c r="AC84">
        <v>4.27515862702628</v>
      </c>
      <c r="AD84">
        <v>0.15070319271198701</v>
      </c>
      <c r="AE84">
        <v>5.4547517503410097</v>
      </c>
    </row>
    <row r="85" spans="1:31" x14ac:dyDescent="0.2">
      <c r="A85">
        <v>84</v>
      </c>
      <c r="B85">
        <v>748</v>
      </c>
      <c r="C85">
        <v>200</v>
      </c>
      <c r="D85">
        <v>0.37667384811242399</v>
      </c>
      <c r="E85">
        <v>10.1533747202177</v>
      </c>
      <c r="F85">
        <v>2.20055017012732</v>
      </c>
      <c r="G85">
        <v>-164.80724909021347</v>
      </c>
      <c r="H85">
        <v>-138.15357225817223</v>
      </c>
      <c r="I85">
        <v>26.1016274122717</v>
      </c>
      <c r="J85">
        <v>13.6695937170365</v>
      </c>
      <c r="K85">
        <v>4.61401646645042</v>
      </c>
      <c r="L85">
        <v>1.5050145072447281E-4</v>
      </c>
      <c r="M85">
        <v>1.768501647948887E-5</v>
      </c>
      <c r="N85" s="1">
        <v>3.2701802294372599E-7</v>
      </c>
      <c r="O85" s="1">
        <v>9.2679424695102092E-9</v>
      </c>
      <c r="P85" s="1">
        <v>-4.8964956629019102E-8</v>
      </c>
      <c r="Q85">
        <v>72.521557441784594</v>
      </c>
      <c r="R85">
        <v>0.142158989666444</v>
      </c>
      <c r="S85">
        <v>11.0465602884105</v>
      </c>
      <c r="T85">
        <v>0.27750582049297301</v>
      </c>
      <c r="V85">
        <v>0.61144845915232005</v>
      </c>
      <c r="W85">
        <v>0.38871098652138902</v>
      </c>
      <c r="X85">
        <v>0.170645675623046</v>
      </c>
      <c r="AA85">
        <v>0.68343913541990597</v>
      </c>
      <c r="AB85">
        <v>4.2341246134938499</v>
      </c>
      <c r="AC85">
        <v>4.2197047539116301</v>
      </c>
      <c r="AD85">
        <v>0.19697884251348799</v>
      </c>
      <c r="AE85">
        <v>5.5071649930097903</v>
      </c>
    </row>
    <row r="86" spans="1:31" x14ac:dyDescent="0.2">
      <c r="A86">
        <v>85</v>
      </c>
      <c r="B86">
        <v>780</v>
      </c>
      <c r="C86">
        <v>175</v>
      </c>
      <c r="D86">
        <v>0.42385272753169101</v>
      </c>
      <c r="E86">
        <v>105.33928452631601</v>
      </c>
      <c r="F86">
        <v>2.1836300497417498</v>
      </c>
      <c r="G86">
        <v>-1730.6167078504975</v>
      </c>
      <c r="H86">
        <v>-1442.4370172750282</v>
      </c>
      <c r="I86">
        <v>273.63594034607502</v>
      </c>
      <c r="J86">
        <v>142.15415686192901</v>
      </c>
      <c r="K86">
        <v>48.240444638859302</v>
      </c>
      <c r="L86">
        <v>1.4723878041216024E-4</v>
      </c>
      <c r="M86">
        <v>1.7997044391483549E-5</v>
      </c>
      <c r="N86" s="1">
        <v>3.1220501657483198E-6</v>
      </c>
      <c r="O86" s="1">
        <v>9.5437321872145697E-8</v>
      </c>
      <c r="P86" s="1">
        <v>-4.8517999358563899E-7</v>
      </c>
      <c r="Q86">
        <v>73.154094739238104</v>
      </c>
      <c r="R86">
        <v>7.5945076292989203E-2</v>
      </c>
      <c r="S86">
        <v>12.208171014098401</v>
      </c>
      <c r="T86">
        <v>0.169713836433494</v>
      </c>
      <c r="V86">
        <v>0.40251458082799102</v>
      </c>
      <c r="W86">
        <v>3.79725381464944E-2</v>
      </c>
      <c r="X86">
        <v>2.8479403609871199E-2</v>
      </c>
      <c r="AA86">
        <v>0.55060180312416995</v>
      </c>
      <c r="AB86">
        <v>4.54721144304271</v>
      </c>
      <c r="AC86">
        <v>3.5884048548437</v>
      </c>
      <c r="AD86">
        <v>1.8986269073246902E-2</v>
      </c>
      <c r="AE86">
        <v>5.2179044412687503</v>
      </c>
    </row>
    <row r="87" spans="1:31" x14ac:dyDescent="0.2">
      <c r="A87">
        <v>86</v>
      </c>
      <c r="B87">
        <v>779</v>
      </c>
      <c r="C87">
        <v>175</v>
      </c>
      <c r="D87">
        <v>0.42323860666254698</v>
      </c>
      <c r="E87">
        <v>104.854107978703</v>
      </c>
      <c r="F87">
        <v>2.1839703931299002</v>
      </c>
      <c r="G87">
        <v>-1722.2424526351904</v>
      </c>
      <c r="H87">
        <v>-1435.897911317335</v>
      </c>
      <c r="I87">
        <v>272.15182371130999</v>
      </c>
      <c r="J87">
        <v>141.44209256295801</v>
      </c>
      <c r="K87">
        <v>48.010773547362298</v>
      </c>
      <c r="L87">
        <v>1.4699237722441138E-4</v>
      </c>
      <c r="M87">
        <v>1.797864650524179E-5</v>
      </c>
      <c r="N87" s="1">
        <v>3.1068819571200198E-6</v>
      </c>
      <c r="O87" s="1">
        <v>9.4804352749584202E-8</v>
      </c>
      <c r="P87" s="1">
        <v>-4.8192799922283597E-7</v>
      </c>
      <c r="Q87">
        <v>73.210811882014497</v>
      </c>
      <c r="R87">
        <v>7.6296486177011597E-2</v>
      </c>
      <c r="S87">
        <v>12.172212689627701</v>
      </c>
      <c r="T87">
        <v>0.170690693691957</v>
      </c>
      <c r="V87">
        <v>0.40420470764600103</v>
      </c>
      <c r="W87">
        <v>3.8148243088505097E-2</v>
      </c>
      <c r="X87">
        <v>2.8611182316380001E-2</v>
      </c>
      <c r="AA87">
        <v>0.54262856497622303</v>
      </c>
      <c r="AB87">
        <v>4.5272824836103496</v>
      </c>
      <c r="AC87">
        <v>3.5995396517019</v>
      </c>
      <c r="AD87">
        <v>1.90741215442519E-2</v>
      </c>
      <c r="AE87">
        <v>5.21049929360505</v>
      </c>
    </row>
    <row r="88" spans="1:31" x14ac:dyDescent="0.2">
      <c r="A88">
        <v>87</v>
      </c>
      <c r="B88">
        <v>778</v>
      </c>
      <c r="C88">
        <v>175</v>
      </c>
      <c r="D88">
        <v>0.422623317319128</v>
      </c>
      <c r="E88">
        <v>104.361306521782</v>
      </c>
      <c r="F88">
        <v>2.1843143811587402</v>
      </c>
      <c r="G88">
        <v>-1713.7446927564627</v>
      </c>
      <c r="H88">
        <v>-1429.2534181974584</v>
      </c>
      <c r="I88">
        <v>270.64764739476101</v>
      </c>
      <c r="J88">
        <v>140.719436943982</v>
      </c>
      <c r="K88">
        <v>47.777603545521103</v>
      </c>
      <c r="L88">
        <v>1.4674099469759382E-4</v>
      </c>
      <c r="M88">
        <v>1.7960000343385724E-5</v>
      </c>
      <c r="N88" s="1">
        <v>3.0913731350888201E-6</v>
      </c>
      <c r="O88" s="1">
        <v>9.4163314755450602E-8</v>
      </c>
      <c r="P88" s="1">
        <v>-4.7862569367536095E-7</v>
      </c>
      <c r="Q88">
        <v>73.268538478847802</v>
      </c>
      <c r="R88">
        <v>7.6656763570991396E-2</v>
      </c>
      <c r="S88">
        <v>12.135670575142999</v>
      </c>
      <c r="T88">
        <v>0.171688199359221</v>
      </c>
      <c r="V88">
        <v>0.40594108405527302</v>
      </c>
      <c r="W88">
        <v>3.8328381785494699E-2</v>
      </c>
      <c r="X88">
        <v>2.8746286339122899E-2</v>
      </c>
      <c r="AA88">
        <v>0.534819500897732</v>
      </c>
      <c r="AB88">
        <v>4.5067558580857501</v>
      </c>
      <c r="AC88">
        <v>3.6107846850491701</v>
      </c>
      <c r="AD88">
        <v>1.9164190892746302E-2</v>
      </c>
      <c r="AE88">
        <v>5.2029059959734996</v>
      </c>
    </row>
    <row r="89" spans="1:31" x14ac:dyDescent="0.2">
      <c r="A89">
        <v>88</v>
      </c>
      <c r="B89">
        <v>777</v>
      </c>
      <c r="C89">
        <v>175</v>
      </c>
      <c r="D89">
        <v>0.42200685616340999</v>
      </c>
      <c r="E89">
        <v>103.86753671146199</v>
      </c>
      <c r="F89">
        <v>2.1846615010473101</v>
      </c>
      <c r="G89">
        <v>-1705.2346326988961</v>
      </c>
      <c r="H89">
        <v>-1422.5951855838512</v>
      </c>
      <c r="I89">
        <v>269.14197696999901</v>
      </c>
      <c r="J89">
        <v>139.995783337858</v>
      </c>
      <c r="K89">
        <v>47.543995562547501</v>
      </c>
      <c r="L89">
        <v>1.4648746513329147E-4</v>
      </c>
      <c r="M89">
        <v>1.7941263751194865E-5</v>
      </c>
      <c r="N89" s="1">
        <v>3.0757844794445301E-6</v>
      </c>
      <c r="O89" s="1">
        <v>9.3522031780247101E-8</v>
      </c>
      <c r="P89" s="1">
        <v>-4.75316923786806E-7</v>
      </c>
      <c r="Q89">
        <v>73.326515407588005</v>
      </c>
      <c r="R89">
        <v>7.7021177677714894E-2</v>
      </c>
      <c r="S89">
        <v>12.0990232599345</v>
      </c>
      <c r="T89">
        <v>0.17269661087358301</v>
      </c>
      <c r="V89">
        <v>0.40769789025303299</v>
      </c>
      <c r="W89">
        <v>3.8510588838856101E-2</v>
      </c>
      <c r="X89">
        <v>2.8882941629144499E-2</v>
      </c>
      <c r="AA89">
        <v>0.527276384899803</v>
      </c>
      <c r="AB89">
        <v>4.48590605880218</v>
      </c>
      <c r="AC89">
        <v>3.6219848993973498</v>
      </c>
      <c r="AD89">
        <v>1.9255294419426802E-2</v>
      </c>
      <c r="AE89">
        <v>5.1952294856862604</v>
      </c>
    </row>
    <row r="90" spans="1:31" x14ac:dyDescent="0.2">
      <c r="A90">
        <v>89</v>
      </c>
      <c r="B90">
        <v>776</v>
      </c>
      <c r="C90">
        <v>175</v>
      </c>
      <c r="D90">
        <v>0.42138921984463801</v>
      </c>
      <c r="E90">
        <v>103.373085747237</v>
      </c>
      <c r="F90">
        <v>2.1850115859952699</v>
      </c>
      <c r="G90">
        <v>-1696.7170808183921</v>
      </c>
      <c r="H90">
        <v>-1415.9271562625195</v>
      </c>
      <c r="I90">
        <v>267.63563318483699</v>
      </c>
      <c r="J90">
        <v>139.27153897973901</v>
      </c>
      <c r="K90">
        <v>47.310085863984703</v>
      </c>
      <c r="L90">
        <v>1.4623189694610507E-4</v>
      </c>
      <c r="M90">
        <v>1.7922444864606055E-5</v>
      </c>
      <c r="N90" s="1">
        <v>3.0601280214934802E-6</v>
      </c>
      <c r="O90" s="1">
        <v>9.2880867601939706E-8</v>
      </c>
      <c r="P90" s="1">
        <v>-4.7200373711548399E-7</v>
      </c>
      <c r="Q90">
        <v>73.384729459569698</v>
      </c>
      <c r="R90">
        <v>7.7389583005786106E-2</v>
      </c>
      <c r="S90">
        <v>12.0622784026078</v>
      </c>
      <c r="T90">
        <v>0.17371566394010399</v>
      </c>
      <c r="V90">
        <v>0.40947430038534299</v>
      </c>
      <c r="W90">
        <v>3.8694791502891401E-2</v>
      </c>
      <c r="X90">
        <v>2.9021093627171601E-2</v>
      </c>
      <c r="AA90">
        <v>0.51999415696442497</v>
      </c>
      <c r="AB90">
        <v>4.4647486097472804</v>
      </c>
      <c r="AC90">
        <v>3.6331319966089599</v>
      </c>
      <c r="AD90">
        <v>1.9347395751444101E-2</v>
      </c>
      <c r="AE90">
        <v>5.1874745462890104</v>
      </c>
    </row>
    <row r="91" spans="1:31" x14ac:dyDescent="0.2">
      <c r="A91">
        <v>90</v>
      </c>
      <c r="B91">
        <v>775</v>
      </c>
      <c r="C91">
        <v>175</v>
      </c>
      <c r="D91">
        <v>0.42077040499928797</v>
      </c>
      <c r="E91">
        <v>102.878239890803</v>
      </c>
      <c r="F91">
        <v>2.1853644673124002</v>
      </c>
      <c r="G91">
        <v>-1688.1968238718475</v>
      </c>
      <c r="H91">
        <v>-1409.2532599879987</v>
      </c>
      <c r="I91">
        <v>266.12943174531102</v>
      </c>
      <c r="J91">
        <v>138.54710916544801</v>
      </c>
      <c r="K91">
        <v>47.076010171119997</v>
      </c>
      <c r="L91">
        <v>1.4597440053497665E-4</v>
      </c>
      <c r="M91">
        <v>1.7903551856430722E-5</v>
      </c>
      <c r="N91" s="1">
        <v>3.0444157531252202E-6</v>
      </c>
      <c r="O91" s="1">
        <v>9.2240182204699298E-8</v>
      </c>
      <c r="P91" s="1">
        <v>-4.6868816648725302E-7</v>
      </c>
      <c r="Q91">
        <v>73.443166954804795</v>
      </c>
      <c r="R91">
        <v>7.7761828045381398E-2</v>
      </c>
      <c r="S91">
        <v>12.025443910412299</v>
      </c>
      <c r="T91">
        <v>0.17474508169435199</v>
      </c>
      <c r="V91">
        <v>0.41126945590848801</v>
      </c>
      <c r="W91">
        <v>3.8880914022688701E-2</v>
      </c>
      <c r="X91">
        <v>2.91606855170203E-2</v>
      </c>
      <c r="AA91">
        <v>0.51296747400549503</v>
      </c>
      <c r="AB91">
        <v>4.4432993982043296</v>
      </c>
      <c r="AC91">
        <v>3.6442178200672202</v>
      </c>
      <c r="AD91">
        <v>1.9440457011342401E-2</v>
      </c>
      <c r="AE91">
        <v>5.1796460203065804</v>
      </c>
    </row>
    <row r="92" spans="1:31" x14ac:dyDescent="0.2">
      <c r="A92">
        <v>91</v>
      </c>
      <c r="B92">
        <v>774</v>
      </c>
      <c r="C92">
        <v>175</v>
      </c>
      <c r="D92">
        <v>0.420150408250972</v>
      </c>
      <c r="E92">
        <v>102.38328288040699</v>
      </c>
      <c r="F92">
        <v>2.1857199752993202</v>
      </c>
      <c r="G92">
        <v>-1679.6786006288544</v>
      </c>
      <c r="H92">
        <v>-1402.5773917296071</v>
      </c>
      <c r="I92">
        <v>264.62417886572803</v>
      </c>
      <c r="J92">
        <v>137.822895017006</v>
      </c>
      <c r="K92">
        <v>46.841902914112701</v>
      </c>
      <c r="L92">
        <v>1.4571508764892226E-4</v>
      </c>
      <c r="M92">
        <v>1.7884592893770843E-5</v>
      </c>
      <c r="N92" s="1">
        <v>3.0286595615056499E-6</v>
      </c>
      <c r="O92" s="1">
        <v>9.1600329867062896E-8</v>
      </c>
      <c r="P92" s="1">
        <v>-4.6537221907353802E-7</v>
      </c>
      <c r="Q92">
        <v>73.501813831443101</v>
      </c>
      <c r="R92">
        <v>7.8137756232575906E-2</v>
      </c>
      <c r="S92">
        <v>11.988527888175801</v>
      </c>
      <c r="T92">
        <v>0.17578457664429301</v>
      </c>
      <c r="V92">
        <v>0.41308247089169398</v>
      </c>
      <c r="W92">
        <v>3.9068878116285601E-2</v>
      </c>
      <c r="X92">
        <v>2.9301658587218601E-2</v>
      </c>
      <c r="AA92">
        <v>0.50619074271072195</v>
      </c>
      <c r="AB92">
        <v>4.4215745843656897</v>
      </c>
      <c r="AC92">
        <v>3.6552343915552599</v>
      </c>
      <c r="AD92">
        <v>1.95344390581405E-2</v>
      </c>
      <c r="AE92">
        <v>5.1717487822190904</v>
      </c>
    </row>
    <row r="93" spans="1:31" x14ac:dyDescent="0.2">
      <c r="A93">
        <v>92</v>
      </c>
      <c r="B93">
        <v>773</v>
      </c>
      <c r="C93">
        <v>175</v>
      </c>
      <c r="D93">
        <v>0.41952922621038902</v>
      </c>
      <c r="E93">
        <v>101.88849443023</v>
      </c>
      <c r="F93">
        <v>2.1860779401030999</v>
      </c>
      <c r="G93">
        <v>-1671.1670769505802</v>
      </c>
      <c r="H93">
        <v>-1395.9033910868225</v>
      </c>
      <c r="I93">
        <v>263.12066707810197</v>
      </c>
      <c r="J93">
        <v>137.09929137331901</v>
      </c>
      <c r="K93">
        <v>46.607896526060998</v>
      </c>
      <c r="L93">
        <v>1.4545407076449571E-4</v>
      </c>
      <c r="M93">
        <v>1.7865576097040707E-5</v>
      </c>
      <c r="N93" s="1">
        <v>3.0128711673152598E-6</v>
      </c>
      <c r="O93" s="1">
        <v>9.09616573758594E-8</v>
      </c>
      <c r="P93" s="1">
        <v>-4.62057866127266E-7</v>
      </c>
      <c r="Q93">
        <v>73.560655735393993</v>
      </c>
      <c r="R93">
        <v>7.8517206920535002E-2</v>
      </c>
      <c r="S93">
        <v>11.951538587331401</v>
      </c>
      <c r="T93">
        <v>0.176833852630635</v>
      </c>
      <c r="V93">
        <v>0.41491243735344802</v>
      </c>
      <c r="W93">
        <v>3.9258603460264899E-2</v>
      </c>
      <c r="X93">
        <v>2.9443952595203399E-2</v>
      </c>
      <c r="AA93">
        <v>0.49965815310513001</v>
      </c>
      <c r="AB93">
        <v>4.3995905122056902</v>
      </c>
      <c r="AC93">
        <v>3.6661739451067601</v>
      </c>
      <c r="AD93">
        <v>1.962930173013E-2</v>
      </c>
      <c r="AE93">
        <v>5.1637877121666804</v>
      </c>
    </row>
    <row r="94" spans="1:31" x14ac:dyDescent="0.2">
      <c r="A94">
        <v>93</v>
      </c>
      <c r="B94">
        <v>772</v>
      </c>
      <c r="C94">
        <v>175</v>
      </c>
      <c r="D94">
        <v>0.418906855475288</v>
      </c>
      <c r="E94">
        <v>101.39414883756</v>
      </c>
      <c r="F94">
        <v>2.1864381925305199</v>
      </c>
      <c r="G94">
        <v>-1662.6668227131186</v>
      </c>
      <c r="H94">
        <v>-1389.2350231863406</v>
      </c>
      <c r="I94">
        <v>261.619671364662</v>
      </c>
      <c r="J94">
        <v>136.37668483818101</v>
      </c>
      <c r="K94">
        <v>46.374120788756301</v>
      </c>
      <c r="L94">
        <v>1.4519146248894552E-4</v>
      </c>
      <c r="M94">
        <v>1.7846509501513325E-5</v>
      </c>
      <c r="N94" s="1">
        <v>2.99706206755766E-6</v>
      </c>
      <c r="O94" s="1">
        <v>9.0324502394567194E-8</v>
      </c>
      <c r="P94" s="1">
        <v>-4.5874703354602299E-7</v>
      </c>
      <c r="Q94">
        <v>73.619678108084997</v>
      </c>
      <c r="R94">
        <v>7.8900016339371604E-2</v>
      </c>
      <c r="S94">
        <v>11.914484356107399</v>
      </c>
      <c r="T94">
        <v>0.17789260676806501</v>
      </c>
      <c r="V94">
        <v>0.41675843053206102</v>
      </c>
      <c r="W94">
        <v>3.9450008169682901E-2</v>
      </c>
      <c r="X94">
        <v>2.9587506127267502E-2</v>
      </c>
      <c r="AA94">
        <v>0.49336371238669302</v>
      </c>
      <c r="AB94">
        <v>4.3773636230246797</v>
      </c>
      <c r="AC94">
        <v>3.6770289573925798</v>
      </c>
      <c r="AD94">
        <v>1.9725004084838599E-2</v>
      </c>
      <c r="AE94">
        <v>5.1557676709822102</v>
      </c>
    </row>
    <row r="95" spans="1:31" x14ac:dyDescent="0.2">
      <c r="A95">
        <v>94</v>
      </c>
      <c r="B95">
        <v>771</v>
      </c>
      <c r="C95">
        <v>175</v>
      </c>
      <c r="D95">
        <v>0.41828329263037001</v>
      </c>
      <c r="E95">
        <v>100.900513709054</v>
      </c>
      <c r="F95">
        <v>2.1868005648195599</v>
      </c>
      <c r="G95">
        <v>-1654.182290756467</v>
      </c>
      <c r="H95">
        <v>-1382.5759612150234</v>
      </c>
      <c r="I95">
        <v>260.12194564137701</v>
      </c>
      <c r="J95">
        <v>135.65545200057599</v>
      </c>
      <c r="K95">
        <v>46.140702235176001</v>
      </c>
      <c r="L95">
        <v>1.4492737498949344E-4</v>
      </c>
      <c r="M95">
        <v>1.782740102124973E-5</v>
      </c>
      <c r="N95" s="1">
        <v>2.9812434832273498E-6</v>
      </c>
      <c r="O95" s="1">
        <v>8.9689191993039704E-8</v>
      </c>
      <c r="P95" s="1">
        <v>-4.5544159330386901E-7</v>
      </c>
      <c r="Q95">
        <v>73.678866271691803</v>
      </c>
      <c r="R95">
        <v>7.92860185337423E-2</v>
      </c>
      <c r="S95">
        <v>11.877373591388301</v>
      </c>
      <c r="T95">
        <v>0.178960531345524</v>
      </c>
      <c r="V95">
        <v>0.41861951403061598</v>
      </c>
      <c r="W95">
        <v>3.9643009266868E-2</v>
      </c>
      <c r="X95">
        <v>2.9732256950156698E-2</v>
      </c>
      <c r="AA95">
        <v>0.48730127849840399</v>
      </c>
      <c r="AB95">
        <v>4.35491037262</v>
      </c>
      <c r="AC95">
        <v>3.68779217454051</v>
      </c>
      <c r="AD95">
        <v>1.9821504633430999E-2</v>
      </c>
      <c r="AE95">
        <v>5.1476934765005797</v>
      </c>
    </row>
    <row r="96" spans="1:31" x14ac:dyDescent="0.2">
      <c r="A96">
        <v>95</v>
      </c>
      <c r="B96">
        <v>770</v>
      </c>
      <c r="C96">
        <v>175</v>
      </c>
      <c r="D96">
        <v>0.41765853424723398</v>
      </c>
      <c r="E96">
        <v>100.407848817868</v>
      </c>
      <c r="F96">
        <v>2.1871648913477699</v>
      </c>
      <c r="G96">
        <v>-1645.7177980536126</v>
      </c>
      <c r="H96">
        <v>-1375.929770750246</v>
      </c>
      <c r="I96">
        <v>258.62821962648297</v>
      </c>
      <c r="J96">
        <v>134.935957843956</v>
      </c>
      <c r="K96">
        <v>45.907763614472998</v>
      </c>
      <c r="L96">
        <v>1.4466191946300563E-4</v>
      </c>
      <c r="M96">
        <v>1.7808258416451611E-5</v>
      </c>
      <c r="N96" s="1">
        <v>2.9654263125489902E-6</v>
      </c>
      <c r="O96" s="1">
        <v>8.9056041357277402E-8</v>
      </c>
      <c r="P96" s="1">
        <v>-4.5214335586811101E-7</v>
      </c>
      <c r="Q96">
        <v>73.738205510460205</v>
      </c>
      <c r="R96">
        <v>7.9675046265671706E-2</v>
      </c>
      <c r="S96">
        <v>11.8402146927993</v>
      </c>
      <c r="T96">
        <v>0.180037315658931</v>
      </c>
      <c r="V96">
        <v>0.42049474476808901</v>
      </c>
      <c r="W96">
        <v>3.9837523132832398E-2</v>
      </c>
      <c r="X96">
        <v>2.9878142349630599E-2</v>
      </c>
      <c r="AA96">
        <v>0.48146459302068201</v>
      </c>
      <c r="AB96">
        <v>4.3322471530152198</v>
      </c>
      <c r="AC96">
        <v>3.69845663515316</v>
      </c>
      <c r="AD96">
        <v>1.9918761566412899E-2</v>
      </c>
      <c r="AE96">
        <v>5.1395698818097202</v>
      </c>
    </row>
    <row r="97" spans="1:31" x14ac:dyDescent="0.2">
      <c r="A97">
        <v>96</v>
      </c>
      <c r="B97">
        <v>769</v>
      </c>
      <c r="C97">
        <v>175</v>
      </c>
      <c r="D97">
        <v>0.41703257688433099</v>
      </c>
      <c r="E97">
        <v>99.3129491165422</v>
      </c>
      <c r="F97">
        <v>2.1877045973831599</v>
      </c>
      <c r="G97">
        <v>-1627.2482058856515</v>
      </c>
      <c r="H97">
        <v>-1360.9003294463807</v>
      </c>
      <c r="I97">
        <v>255.57537440797401</v>
      </c>
      <c r="J97">
        <v>133.41107774532799</v>
      </c>
      <c r="K97">
        <v>45.395959415789498</v>
      </c>
      <c r="L97">
        <v>1.4440564680164771E-4</v>
      </c>
      <c r="M97">
        <v>1.7784092470170147E-5</v>
      </c>
      <c r="N97" s="1">
        <v>2.9306712989201899E-6</v>
      </c>
      <c r="O97" s="1">
        <v>8.7860804708991404E-8</v>
      </c>
      <c r="P97" s="1">
        <v>-4.4620900229196998E-7</v>
      </c>
      <c r="Q97">
        <v>73.770196428403494</v>
      </c>
      <c r="R97">
        <v>8.0553443142770798E-2</v>
      </c>
      <c r="S97">
        <v>11.814218956185901</v>
      </c>
      <c r="T97">
        <v>0.18226814887330101</v>
      </c>
      <c r="V97">
        <v>0.42490926624588599</v>
      </c>
      <c r="W97">
        <v>4.0276721571381402E-2</v>
      </c>
      <c r="X97">
        <v>3.02075411785434E-2</v>
      </c>
      <c r="AA97">
        <v>0.47358362445203001</v>
      </c>
      <c r="AB97">
        <v>4.3079629117195699</v>
      </c>
      <c r="AC97">
        <v>3.7262699881869299</v>
      </c>
      <c r="AD97">
        <v>2.0138360785686898E-2</v>
      </c>
      <c r="AE97">
        <v>5.1294146092543702</v>
      </c>
    </row>
    <row r="98" spans="1:31" x14ac:dyDescent="0.2">
      <c r="A98">
        <v>97</v>
      </c>
      <c r="B98">
        <v>768</v>
      </c>
      <c r="C98">
        <v>175</v>
      </c>
      <c r="D98">
        <v>0.416405417086878</v>
      </c>
      <c r="E98">
        <v>96.858883886226906</v>
      </c>
      <c r="F98">
        <v>2.1886552393587602</v>
      </c>
      <c r="G98">
        <v>-1586.2098779983705</v>
      </c>
      <c r="H98">
        <v>-1326.9583479690787</v>
      </c>
      <c r="I98">
        <v>249.00497529586701</v>
      </c>
      <c r="J98">
        <v>130.068253238631</v>
      </c>
      <c r="K98">
        <v>44.254975449950102</v>
      </c>
      <c r="L98">
        <v>1.4416473046071151E-4</v>
      </c>
      <c r="M98">
        <v>1.7748142151313083E-5</v>
      </c>
      <c r="N98" s="1">
        <v>2.8531812848219599E-6</v>
      </c>
      <c r="O98" s="1">
        <v>8.5398750079016503E-8</v>
      </c>
      <c r="P98" s="1">
        <v>-4.3430595820438601E-7</v>
      </c>
      <c r="Q98">
        <v>73.740986264785604</v>
      </c>
      <c r="R98">
        <v>8.2594385553702895E-2</v>
      </c>
      <c r="S98">
        <v>11.812798362944701</v>
      </c>
      <c r="T98">
        <v>0.18723841478880099</v>
      </c>
      <c r="V98">
        <v>0.43535804109363302</v>
      </c>
      <c r="W98">
        <v>4.1297192776846098E-2</v>
      </c>
      <c r="X98">
        <v>3.0972894582644499E-2</v>
      </c>
      <c r="AA98">
        <v>0.46149388326093099</v>
      </c>
      <c r="AB98">
        <v>4.27900698925278</v>
      </c>
      <c r="AC98">
        <v>3.7931857344707698</v>
      </c>
      <c r="AD98">
        <v>2.0648596388418199E-2</v>
      </c>
      <c r="AE98">
        <v>5.1144192401010597</v>
      </c>
    </row>
    <row r="99" spans="1:31" x14ac:dyDescent="0.2">
      <c r="A99">
        <v>98</v>
      </c>
      <c r="B99">
        <v>767</v>
      </c>
      <c r="C99">
        <v>175</v>
      </c>
      <c r="D99">
        <v>0.41577705138682203</v>
      </c>
      <c r="E99">
        <v>94.362004876145207</v>
      </c>
      <c r="F99">
        <v>2.1896471741238202</v>
      </c>
      <c r="G99">
        <v>-1544.4912852579635</v>
      </c>
      <c r="H99">
        <v>-1292.4309770357388</v>
      </c>
      <c r="I99">
        <v>242.33072943539199</v>
      </c>
      <c r="J99">
        <v>126.66913035158601</v>
      </c>
      <c r="K99">
        <v>43.0946163342063</v>
      </c>
      <c r="L99">
        <v>1.4391291395477983E-4</v>
      </c>
      <c r="M99">
        <v>1.7711109834599427E-5</v>
      </c>
      <c r="N99" s="1">
        <v>2.7743188243860098E-6</v>
      </c>
      <c r="O99" s="1">
        <v>8.2904412830189404E-8</v>
      </c>
      <c r="P99" s="1">
        <v>-4.2220040157459802E-7</v>
      </c>
      <c r="Q99">
        <v>73.711040408086504</v>
      </c>
      <c r="R99">
        <v>8.4779885829056503E-2</v>
      </c>
      <c r="S99">
        <v>11.811026139309201</v>
      </c>
      <c r="T99">
        <v>0.19255100646540099</v>
      </c>
      <c r="V99">
        <v>0.44655563192909498</v>
      </c>
      <c r="W99">
        <v>4.23899429145215E-2</v>
      </c>
      <c r="X99">
        <v>3.17924571859039E-2</v>
      </c>
      <c r="AA99">
        <v>0.45052170990232798</v>
      </c>
      <c r="AB99">
        <v>4.2478521848034196</v>
      </c>
      <c r="AC99">
        <v>3.8615182827151999</v>
      </c>
      <c r="AD99">
        <v>2.1194971457254502E-2</v>
      </c>
      <c r="AE99">
        <v>5.0987773794019899</v>
      </c>
    </row>
    <row r="100" spans="1:31" x14ac:dyDescent="0.2">
      <c r="A100">
        <v>99</v>
      </c>
      <c r="B100">
        <v>766</v>
      </c>
      <c r="C100">
        <v>175</v>
      </c>
      <c r="D100">
        <v>0.41514747630275201</v>
      </c>
      <c r="E100">
        <v>91.812074578054094</v>
      </c>
      <c r="F100">
        <v>2.1906826177164</v>
      </c>
      <c r="G100">
        <v>-1501.9260973554594</v>
      </c>
      <c r="H100">
        <v>-1257.1778411586588</v>
      </c>
      <c r="I100">
        <v>235.52736005081101</v>
      </c>
      <c r="J100">
        <v>123.20016473740699</v>
      </c>
      <c r="K100">
        <v>41.910258398708599</v>
      </c>
      <c r="L100">
        <v>1.4365067728428529E-4</v>
      </c>
      <c r="M100">
        <v>1.7673019388168959E-5</v>
      </c>
      <c r="N100" s="1">
        <v>2.6938252479233199E-6</v>
      </c>
      <c r="O100" s="1">
        <v>8.0370167768582206E-8</v>
      </c>
      <c r="P100" s="1">
        <v>-4.0985336189899201E-7</v>
      </c>
      <c r="Q100">
        <v>73.680205692096294</v>
      </c>
      <c r="R100">
        <v>8.7134508579253103E-2</v>
      </c>
      <c r="S100">
        <v>11.8088394322995</v>
      </c>
      <c r="T100">
        <v>0.19826294332806499</v>
      </c>
      <c r="V100">
        <v>0.458630320842211</v>
      </c>
      <c r="W100">
        <v>4.3567254289619203E-2</v>
      </c>
      <c r="X100">
        <v>3.2675440717227999E-2</v>
      </c>
      <c r="AA100">
        <v>0.440687418866411</v>
      </c>
      <c r="AB100">
        <v>4.2145147011511801</v>
      </c>
      <c r="AC100">
        <v>3.9311978562286098</v>
      </c>
      <c r="AD100">
        <v>2.17836271448026E-2</v>
      </c>
      <c r="AE100">
        <v>5.0825008044567497</v>
      </c>
    </row>
    <row r="101" spans="1:31" x14ac:dyDescent="0.2">
      <c r="A101">
        <v>100</v>
      </c>
      <c r="B101">
        <v>765</v>
      </c>
      <c r="C101">
        <v>175</v>
      </c>
      <c r="D101">
        <v>0.41451668833983701</v>
      </c>
      <c r="E101">
        <v>89.194578953925699</v>
      </c>
      <c r="F101">
        <v>2.1917646429702802</v>
      </c>
      <c r="G101">
        <v>-1458.2781185734589</v>
      </c>
      <c r="H101">
        <v>-1220.9998184225722</v>
      </c>
      <c r="I101">
        <v>228.558782594891</v>
      </c>
      <c r="J101">
        <v>119.642107853078</v>
      </c>
      <c r="K101">
        <v>40.6953270461781</v>
      </c>
      <c r="L101">
        <v>1.4337865284365999E-4</v>
      </c>
      <c r="M101">
        <v>1.763390277140007E-5</v>
      </c>
      <c r="N101" s="1">
        <v>2.6113217086226601E-6</v>
      </c>
      <c r="O101" s="1">
        <v>7.77848501682503E-8</v>
      </c>
      <c r="P101" s="1">
        <v>-3.9720754933191102E-7</v>
      </c>
      <c r="Q101">
        <v>73.648277057882098</v>
      </c>
      <c r="R101">
        <v>8.9691549574252405E-2</v>
      </c>
      <c r="S101">
        <v>11.8061527880347</v>
      </c>
      <c r="T101">
        <v>0.204451273444966</v>
      </c>
      <c r="V101">
        <v>0.47175620034460503</v>
      </c>
      <c r="W101">
        <v>4.4845774787117001E-2</v>
      </c>
      <c r="X101">
        <v>3.3634331090354699E-2</v>
      </c>
      <c r="AA101">
        <v>0.43202676860883099</v>
      </c>
      <c r="AB101">
        <v>4.1790088194061497</v>
      </c>
      <c r="AC101">
        <v>4.0021274965077502</v>
      </c>
      <c r="AD101">
        <v>2.2422887393549602E-2</v>
      </c>
      <c r="AE101">
        <v>5.0656050529255401</v>
      </c>
    </row>
    <row r="102" spans="1:31" x14ac:dyDescent="0.2">
      <c r="A102">
        <v>101</v>
      </c>
      <c r="B102">
        <v>764</v>
      </c>
      <c r="C102">
        <v>175</v>
      </c>
      <c r="D102">
        <v>0.41388468398978101</v>
      </c>
      <c r="E102">
        <v>86.488503444551597</v>
      </c>
      <c r="F102">
        <v>2.1928976809620901</v>
      </c>
      <c r="G102">
        <v>-1413.2049622839488</v>
      </c>
      <c r="H102">
        <v>-1183.6084888803682</v>
      </c>
      <c r="I102">
        <v>221.37248556484599</v>
      </c>
      <c r="J102">
        <v>115.967040684476</v>
      </c>
      <c r="K102">
        <v>39.4402822326878</v>
      </c>
      <c r="L102">
        <v>1.4309769542109911E-4</v>
      </c>
      <c r="M102">
        <v>1.7593803370767797E-5</v>
      </c>
      <c r="N102" s="1">
        <v>2.5262464206742398E-6</v>
      </c>
      <c r="O102" s="1">
        <v>7.5131914496870499E-8</v>
      </c>
      <c r="P102" s="1">
        <v>-3.8417780449322699E-7</v>
      </c>
      <c r="Q102">
        <v>73.614969217366493</v>
      </c>
      <c r="R102">
        <v>9.2497842850634199E-2</v>
      </c>
      <c r="S102">
        <v>11.802845825765001</v>
      </c>
      <c r="T102">
        <v>0.211224062776214</v>
      </c>
      <c r="V102">
        <v>0.48617842928293298</v>
      </c>
      <c r="W102">
        <v>4.62489214253064E-2</v>
      </c>
      <c r="X102">
        <v>3.4686691068999499E-2</v>
      </c>
      <c r="AA102">
        <v>0.424600836470725</v>
      </c>
      <c r="AB102">
        <v>4.14134354110905</v>
      </c>
      <c r="AC102">
        <v>4.0741693972733399</v>
      </c>
      <c r="AD102">
        <v>2.3124460712643E-2</v>
      </c>
      <c r="AE102">
        <v>5.04811077389851</v>
      </c>
    </row>
    <row r="103" spans="1:31" x14ac:dyDescent="0.2">
      <c r="A103">
        <v>102</v>
      </c>
      <c r="B103">
        <v>763</v>
      </c>
      <c r="C103">
        <v>175</v>
      </c>
      <c r="D103">
        <v>0.41325145973073701</v>
      </c>
      <c r="E103">
        <v>83.662622118054799</v>
      </c>
      <c r="F103">
        <v>2.19408835491129</v>
      </c>
      <c r="G103">
        <v>-1366.1974669230028</v>
      </c>
      <c r="H103">
        <v>-1144.5751686111794</v>
      </c>
      <c r="I103">
        <v>213.89016871285401</v>
      </c>
      <c r="J103">
        <v>112.13342765416201</v>
      </c>
      <c r="K103">
        <v>38.130926646952197</v>
      </c>
      <c r="L103">
        <v>1.4280902833697511E-4</v>
      </c>
      <c r="M103">
        <v>1.7552784026817899E-5</v>
      </c>
      <c r="N103" s="1">
        <v>2.4377506840703698E-6</v>
      </c>
      <c r="O103" s="1">
        <v>7.2386383374150305E-8</v>
      </c>
      <c r="P103" s="1">
        <v>-3.7063527531083902E-7</v>
      </c>
      <c r="Q103">
        <v>73.5798663868689</v>
      </c>
      <c r="R103">
        <v>9.5622152371845306E-2</v>
      </c>
      <c r="S103">
        <v>11.7987422126207</v>
      </c>
      <c r="T103">
        <v>0.21873956984922499</v>
      </c>
      <c r="V103">
        <v>0.50225732963272396</v>
      </c>
      <c r="W103">
        <v>4.7811076185910101E-2</v>
      </c>
      <c r="X103">
        <v>3.5858307139455398E-2</v>
      </c>
      <c r="AA103">
        <v>0.41851251203388901</v>
      </c>
      <c r="AB103">
        <v>4.1015204078328802</v>
      </c>
      <c r="AC103">
        <v>4.1471171586742601</v>
      </c>
      <c r="AD103">
        <v>2.3905538092943199E-2</v>
      </c>
      <c r="AE103">
        <v>5.0300473486972503</v>
      </c>
    </row>
    <row r="104" spans="1:31" x14ac:dyDescent="0.2">
      <c r="A104">
        <v>103</v>
      </c>
      <c r="B104">
        <v>762</v>
      </c>
      <c r="C104">
        <v>175</v>
      </c>
      <c r="D104">
        <v>0.41261701202724399</v>
      </c>
      <c r="E104">
        <v>80.668942001212599</v>
      </c>
      <c r="F104">
        <v>2.19534695236722</v>
      </c>
      <c r="G104">
        <v>-1316.4727049575226</v>
      </c>
      <c r="H104">
        <v>-1103.240888963559</v>
      </c>
      <c r="I104">
        <v>205.99122445439099</v>
      </c>
      <c r="J104">
        <v>108.07738354885799</v>
      </c>
      <c r="K104">
        <v>36.745418264856902</v>
      </c>
      <c r="L104">
        <v>1.4251455898459518E-4</v>
      </c>
      <c r="M104">
        <v>1.7510946027219009E-5</v>
      </c>
      <c r="N104" s="1">
        <v>2.3445163235923299E-6</v>
      </c>
      <c r="O104" s="1">
        <v>6.9509488237122904E-8</v>
      </c>
      <c r="P104" s="1">
        <v>-3.5637962823419301E-7</v>
      </c>
      <c r="Q104">
        <v>73.542327569364701</v>
      </c>
      <c r="R104">
        <v>9.9170756446522595E-2</v>
      </c>
      <c r="S104">
        <v>11.7935714724756</v>
      </c>
      <c r="T104">
        <v>0.22724183449118401</v>
      </c>
      <c r="V104">
        <v>0.52055029909967099</v>
      </c>
      <c r="W104">
        <v>4.9585378223245602E-2</v>
      </c>
      <c r="X104">
        <v>3.7189033667462797E-2</v>
      </c>
      <c r="AA104">
        <v>0.41393580926804002</v>
      </c>
      <c r="AB104">
        <v>4.0595361996420403</v>
      </c>
      <c r="AC104">
        <v>4.2206370083850802</v>
      </c>
      <c r="AD104">
        <v>2.4792689111607799E-2</v>
      </c>
      <c r="AE104">
        <v>5.0114619498248096</v>
      </c>
    </row>
    <row r="105" spans="1:31" x14ac:dyDescent="0.2">
      <c r="A105">
        <v>104</v>
      </c>
      <c r="B105">
        <v>761</v>
      </c>
      <c r="C105">
        <v>175</v>
      </c>
      <c r="D105">
        <v>0.411981337330175</v>
      </c>
      <c r="E105">
        <v>77.430408156918602</v>
      </c>
      <c r="F105">
        <v>2.1966902079512001</v>
      </c>
      <c r="G105">
        <v>-1262.773395239486</v>
      </c>
      <c r="H105">
        <v>-1058.5475972407012</v>
      </c>
      <c r="I105">
        <v>197.48179470945701</v>
      </c>
      <c r="J105">
        <v>103.696303719391</v>
      </c>
      <c r="K105">
        <v>35.248669965682602</v>
      </c>
      <c r="L105">
        <v>1.4221760025331351E-4</v>
      </c>
      <c r="M105">
        <v>1.7468475501155346E-5</v>
      </c>
      <c r="N105" s="1">
        <v>2.24441536027535E-6</v>
      </c>
      <c r="O105" s="1">
        <v>6.6438673974328693E-8</v>
      </c>
      <c r="P105" s="1">
        <v>-3.4108722935710501E-7</v>
      </c>
      <c r="Q105">
        <v>73.501294708031594</v>
      </c>
      <c r="R105">
        <v>0.103318582329933</v>
      </c>
      <c r="S105">
        <v>11.7868943393189</v>
      </c>
      <c r="T105">
        <v>0.237131726249074</v>
      </c>
      <c r="V105">
        <v>0.54197550214919699</v>
      </c>
      <c r="W105">
        <v>5.16592911649498E-2</v>
      </c>
      <c r="X105">
        <v>3.8744468373742999E-2</v>
      </c>
      <c r="AA105">
        <v>0.41117168163593898</v>
      </c>
      <c r="AB105">
        <v>4.0154022504563898</v>
      </c>
      <c r="AC105">
        <v>4.2941353457521103</v>
      </c>
      <c r="AD105">
        <v>2.58296455824586E-2</v>
      </c>
      <c r="AE105">
        <v>4.9924424589555896</v>
      </c>
    </row>
    <row r="106" spans="1:31" x14ac:dyDescent="0.2">
      <c r="A106">
        <v>105</v>
      </c>
      <c r="B106">
        <v>760</v>
      </c>
      <c r="C106">
        <v>175</v>
      </c>
      <c r="D106">
        <v>0.41134443207665999</v>
      </c>
      <c r="E106">
        <v>73.816622503203902</v>
      </c>
      <c r="F106">
        <v>2.1981469444832502</v>
      </c>
      <c r="G106">
        <v>-1202.9719505025291</v>
      </c>
      <c r="H106">
        <v>-1008.7048746106574</v>
      </c>
      <c r="I106">
        <v>188.03375685221999</v>
      </c>
      <c r="J106">
        <v>98.816557455825702</v>
      </c>
      <c r="K106">
        <v>33.581295685651597</v>
      </c>
      <c r="L106">
        <v>1.4192465487192652E-4</v>
      </c>
      <c r="M106">
        <v>1.7425764447224214E-5</v>
      </c>
      <c r="N106" s="1">
        <v>2.13384292848566E-6</v>
      </c>
      <c r="O106" s="1">
        <v>6.3068000005427198E-8</v>
      </c>
      <c r="P106" s="1">
        <v>-3.2420953776961602E-7</v>
      </c>
      <c r="Q106">
        <v>73.454871091888293</v>
      </c>
      <c r="R106">
        <v>0.108376673555523</v>
      </c>
      <c r="S106">
        <v>11.7779446371927</v>
      </c>
      <c r="T106">
        <v>0.24912077046213901</v>
      </c>
      <c r="V106">
        <v>0.56816670083825904</v>
      </c>
      <c r="W106">
        <v>5.41883367777427E-2</v>
      </c>
      <c r="X106">
        <v>4.0641252583341003E-2</v>
      </c>
      <c r="AA106">
        <v>0.410761716480949</v>
      </c>
      <c r="AB106">
        <v>3.9692204085353802</v>
      </c>
      <c r="AC106">
        <v>4.3664354243127699</v>
      </c>
      <c r="AD106">
        <v>2.7094168388852799E-2</v>
      </c>
      <c r="AE106">
        <v>4.9731788189838602</v>
      </c>
    </row>
    <row r="107" spans="1:31" x14ac:dyDescent="0.2">
      <c r="A107">
        <v>106</v>
      </c>
      <c r="B107">
        <v>759</v>
      </c>
      <c r="C107">
        <v>175</v>
      </c>
      <c r="D107">
        <v>0.41070629269001901</v>
      </c>
      <c r="E107">
        <v>69.596210320310604</v>
      </c>
      <c r="F107">
        <v>2.19976998317826</v>
      </c>
      <c r="G107">
        <v>-1133.294430482614</v>
      </c>
      <c r="H107">
        <v>-950.53639593860271</v>
      </c>
      <c r="I107">
        <v>177.06538249674099</v>
      </c>
      <c r="J107">
        <v>93.130188610607505</v>
      </c>
      <c r="K107">
        <v>31.6379489003467</v>
      </c>
      <c r="L107">
        <v>1.4165021641718718E-4</v>
      </c>
      <c r="M107">
        <v>1.7383752451332954E-5</v>
      </c>
      <c r="N107" s="1">
        <v>2.0064258233183901E-6</v>
      </c>
      <c r="O107" s="1">
        <v>5.9210196715436997E-8</v>
      </c>
      <c r="P107" s="1">
        <v>-3.0477630519770299E-7</v>
      </c>
      <c r="Q107">
        <v>73.399327069673504</v>
      </c>
      <c r="R107">
        <v>0.11494878763055801</v>
      </c>
      <c r="S107">
        <v>11.765271443096299</v>
      </c>
      <c r="T107">
        <v>0.26458778957540502</v>
      </c>
      <c r="V107">
        <v>0.60229721121411595</v>
      </c>
      <c r="W107">
        <v>5.7474393815258498E-2</v>
      </c>
      <c r="X107">
        <v>4.3105795361480598E-2</v>
      </c>
      <c r="AA107">
        <v>0.41372680011541402</v>
      </c>
      <c r="AB107">
        <v>3.9214628000858598</v>
      </c>
      <c r="AC107">
        <v>4.43492052004492</v>
      </c>
      <c r="AD107">
        <v>2.8737196907608901E-2</v>
      </c>
      <c r="AE107">
        <v>4.9541401924794402</v>
      </c>
    </row>
    <row r="108" spans="1:31" x14ac:dyDescent="0.2">
      <c r="A108">
        <v>107</v>
      </c>
      <c r="B108">
        <v>758</v>
      </c>
      <c r="C108">
        <v>175</v>
      </c>
      <c r="D108">
        <v>0.41006691557969399</v>
      </c>
      <c r="E108">
        <v>63.817853454665801</v>
      </c>
      <c r="F108">
        <v>2.2017172566355998</v>
      </c>
      <c r="G108">
        <v>-1038.2155054063801</v>
      </c>
      <c r="H108">
        <v>-870.98055737348614</v>
      </c>
      <c r="I108">
        <v>162.182949166361</v>
      </c>
      <c r="J108">
        <v>85.370566807216903</v>
      </c>
      <c r="K108">
        <v>28.9854899680372</v>
      </c>
      <c r="L108">
        <v>1.4147084625266605E-4</v>
      </c>
      <c r="M108">
        <v>1.7347928461512976E-5</v>
      </c>
      <c r="N108" s="1">
        <v>1.8360137146626801E-6</v>
      </c>
      <c r="O108" s="1">
        <v>5.4094189495791702E-8</v>
      </c>
      <c r="P108" s="1">
        <v>-2.7880798844178999E-7</v>
      </c>
      <c r="Q108">
        <v>73.320285176503504</v>
      </c>
      <c r="R108">
        <v>0.12535677035399401</v>
      </c>
      <c r="S108">
        <v>11.7431697307048</v>
      </c>
      <c r="T108">
        <v>0.28882436707398002</v>
      </c>
      <c r="V108">
        <v>0.656580332592958</v>
      </c>
      <c r="W108">
        <v>6.2678385176966597E-2</v>
      </c>
      <c r="X108">
        <v>4.7008788882780303E-2</v>
      </c>
      <c r="AA108">
        <v>0.42237736542072601</v>
      </c>
      <c r="AB108">
        <v>3.8776118324705</v>
      </c>
      <c r="AC108">
        <v>4.4865524774471401</v>
      </c>
      <c r="AD108">
        <v>3.1339192588454301E-2</v>
      </c>
      <c r="AE108">
        <v>4.9382155807840897</v>
      </c>
    </row>
    <row r="109" spans="1:31" x14ac:dyDescent="0.2">
      <c r="A109">
        <v>108</v>
      </c>
      <c r="B109">
        <v>757</v>
      </c>
      <c r="C109">
        <v>175</v>
      </c>
      <c r="D109">
        <v>0.40942629714119499</v>
      </c>
      <c r="E109">
        <v>31.132353617934001</v>
      </c>
      <c r="F109">
        <v>2.2022221761832101</v>
      </c>
      <c r="G109">
        <v>-506.30166214459024</v>
      </c>
      <c r="H109">
        <v>-424.79543088935361</v>
      </c>
      <c r="I109">
        <v>79.120740916601093</v>
      </c>
      <c r="J109">
        <v>41.663733914527299</v>
      </c>
      <c r="K109">
        <v>14.136790535771899</v>
      </c>
      <c r="L109">
        <v>1.4173012602705675E-4</v>
      </c>
      <c r="M109">
        <v>1.7342697300924261E-5</v>
      </c>
      <c r="N109" s="1">
        <v>8.9877348986704796E-7</v>
      </c>
      <c r="O109" s="1">
        <v>2.64250518164852E-8</v>
      </c>
      <c r="P109" s="1">
        <v>-1.3664209420749799E-7</v>
      </c>
      <c r="Q109">
        <v>73.281173320771302</v>
      </c>
      <c r="R109">
        <v>0.151518427532818</v>
      </c>
      <c r="S109">
        <v>11.589506591643699</v>
      </c>
      <c r="T109">
        <v>0.27201581906677302</v>
      </c>
      <c r="V109">
        <v>0.61376183382961202</v>
      </c>
      <c r="W109">
        <v>0.128483700560763</v>
      </c>
      <c r="X109">
        <v>8.74757021856057E-2</v>
      </c>
      <c r="AA109">
        <v>0.490704418563082</v>
      </c>
      <c r="AB109">
        <v>3.89011822575331</v>
      </c>
      <c r="AC109">
        <v>4.4812791086952499</v>
      </c>
      <c r="AD109">
        <v>6.4241850280305296E-2</v>
      </c>
      <c r="AE109">
        <v>4.9497210011173998</v>
      </c>
    </row>
    <row r="110" spans="1:31" x14ac:dyDescent="0.2">
      <c r="A110">
        <v>109</v>
      </c>
      <c r="B110">
        <v>756</v>
      </c>
      <c r="C110">
        <v>175</v>
      </c>
      <c r="D110">
        <v>0.40878443375601398</v>
      </c>
      <c r="E110">
        <v>20.650293774740302</v>
      </c>
      <c r="F110">
        <v>2.2026080708758302</v>
      </c>
      <c r="G110">
        <v>-335.67032183794203</v>
      </c>
      <c r="H110">
        <v>-281.63831659840844</v>
      </c>
      <c r="I110">
        <v>52.501584064065902</v>
      </c>
      <c r="J110">
        <v>27.650047634455799</v>
      </c>
      <c r="K110">
        <v>9.3753827781667205</v>
      </c>
      <c r="L110">
        <v>1.4221186377868012E-4</v>
      </c>
      <c r="M110">
        <v>1.7356195797877472E-5</v>
      </c>
      <c r="N110" s="1">
        <v>5.9952966982111595E-7</v>
      </c>
      <c r="O110" s="1">
        <v>1.7587238286611799E-8</v>
      </c>
      <c r="P110" s="1">
        <v>-9.1267185059923004E-8</v>
      </c>
      <c r="Q110">
        <v>73.223686660165896</v>
      </c>
      <c r="R110">
        <v>0.16428959388356501</v>
      </c>
      <c r="S110">
        <v>11.432371797514101</v>
      </c>
      <c r="T110">
        <v>0.26775261581586302</v>
      </c>
      <c r="V110">
        <v>0.59996858402203601</v>
      </c>
      <c r="W110">
        <v>0.193701844808183</v>
      </c>
      <c r="X110">
        <v>0.123832730286174</v>
      </c>
      <c r="AA110">
        <v>0.54488482201936195</v>
      </c>
      <c r="AB110">
        <v>3.9301854222930599</v>
      </c>
      <c r="AC110">
        <v>4.4504473963290696</v>
      </c>
      <c r="AD110">
        <v>9.6850922403954001E-2</v>
      </c>
      <c r="AE110">
        <v>4.9720276104586096</v>
      </c>
    </row>
    <row r="111" spans="1:31" x14ac:dyDescent="0.2">
      <c r="A111">
        <v>110</v>
      </c>
      <c r="B111">
        <v>755</v>
      </c>
      <c r="C111">
        <v>175</v>
      </c>
      <c r="D111">
        <v>0.40814132179156798</v>
      </c>
      <c r="E111">
        <v>15.2384640456269</v>
      </c>
      <c r="F111">
        <v>2.2028217071420202</v>
      </c>
      <c r="G111">
        <v>-247.56572019762919</v>
      </c>
      <c r="H111">
        <v>-207.70895129474343</v>
      </c>
      <c r="I111">
        <v>38.7655195281678</v>
      </c>
      <c r="J111">
        <v>20.415842167110601</v>
      </c>
      <c r="K111">
        <v>6.9177019620882403</v>
      </c>
      <c r="L111">
        <v>1.4282145918377643E-4</v>
      </c>
      <c r="M111">
        <v>1.738038974220968E-5</v>
      </c>
      <c r="N111" s="1">
        <v>4.4553823792265898E-7</v>
      </c>
      <c r="O111" s="1">
        <v>1.30391053871941E-8</v>
      </c>
      <c r="P111" s="1">
        <v>-6.7928377077797504E-8</v>
      </c>
      <c r="Q111">
        <v>73.160433231755803</v>
      </c>
      <c r="R111">
        <v>0.163060668058779</v>
      </c>
      <c r="S111">
        <v>11.2668851504306</v>
      </c>
      <c r="T111">
        <v>0.268739526562218</v>
      </c>
      <c r="V111">
        <v>0.59798357253291201</v>
      </c>
      <c r="W111">
        <v>0.261709207967528</v>
      </c>
      <c r="X111">
        <v>0.158729829165873</v>
      </c>
      <c r="AA111">
        <v>0.59826849299399198</v>
      </c>
      <c r="AB111">
        <v>3.9835959897745301</v>
      </c>
      <c r="AC111">
        <v>4.4078495198862297</v>
      </c>
      <c r="AD111">
        <v>0.13124682343355201</v>
      </c>
      <c r="AE111">
        <v>5.0014979874378804</v>
      </c>
    </row>
    <row r="112" spans="1:31" x14ac:dyDescent="0.2">
      <c r="A112">
        <v>111</v>
      </c>
      <c r="B112">
        <v>754</v>
      </c>
      <c r="C112">
        <v>175</v>
      </c>
      <c r="D112">
        <v>0.40749695760112897</v>
      </c>
      <c r="E112">
        <v>12.047608159240699</v>
      </c>
      <c r="F112">
        <v>2.2029528002902099</v>
      </c>
      <c r="G112">
        <v>-195.61684103264716</v>
      </c>
      <c r="H112">
        <v>-164.1156537211121</v>
      </c>
      <c r="I112">
        <v>30.668536544355799</v>
      </c>
      <c r="J112">
        <v>16.150690291407599</v>
      </c>
      <c r="K112">
        <v>5.4688453414224698</v>
      </c>
      <c r="L112">
        <v>1.4347806853594206E-4</v>
      </c>
      <c r="M112">
        <v>1.7408671898012952E-5</v>
      </c>
      <c r="N112" s="1">
        <v>3.5490886594317897E-7</v>
      </c>
      <c r="O112" s="1">
        <v>1.0361946558527201E-8</v>
      </c>
      <c r="P112" s="1">
        <v>-5.4195058008720299E-8</v>
      </c>
      <c r="Q112">
        <v>73.095275031719297</v>
      </c>
      <c r="R112">
        <v>0.15788024929935199</v>
      </c>
      <c r="S112">
        <v>11.1007382140763</v>
      </c>
      <c r="T112">
        <v>0.27140168549402899</v>
      </c>
      <c r="V112">
        <v>0.59968734033850701</v>
      </c>
      <c r="W112">
        <v>0.32965761743620398</v>
      </c>
      <c r="X112">
        <v>0.19136202457864601</v>
      </c>
      <c r="AA112">
        <v>0.65071857639999398</v>
      </c>
      <c r="AB112">
        <v>4.0422006965637296</v>
      </c>
      <c r="AC112">
        <v>4.3614542017233902</v>
      </c>
      <c r="AD112">
        <v>0.16600805517240699</v>
      </c>
      <c r="AE112">
        <v>5.0336163071980202</v>
      </c>
    </row>
    <row r="113" spans="1:31" x14ac:dyDescent="0.2">
      <c r="A113">
        <v>112</v>
      </c>
      <c r="B113">
        <v>753</v>
      </c>
      <c r="C113">
        <v>175</v>
      </c>
      <c r="D113">
        <v>0.40685133752375702</v>
      </c>
      <c r="E113">
        <v>9.4915984967551701</v>
      </c>
      <c r="F113">
        <v>2.2026227610231501</v>
      </c>
      <c r="G113">
        <v>-154.00190161664597</v>
      </c>
      <c r="H113">
        <v>-129.18285930639877</v>
      </c>
      <c r="I113">
        <v>24.186563670269699</v>
      </c>
      <c r="J113">
        <v>12.729739006136199</v>
      </c>
      <c r="K113">
        <v>4.3092256489468799</v>
      </c>
      <c r="L113">
        <v>1.4434402716722138E-4</v>
      </c>
      <c r="M113">
        <v>1.7453888308786677E-5</v>
      </c>
      <c r="N113" s="1">
        <v>2.8236300818633899E-7</v>
      </c>
      <c r="O113" s="1">
        <v>8.2230829076472105E-9</v>
      </c>
      <c r="P113" s="1">
        <v>-4.32149446913887E-8</v>
      </c>
      <c r="Q113">
        <v>73.025908400229497</v>
      </c>
      <c r="R113">
        <v>0.15411853337787801</v>
      </c>
      <c r="S113">
        <v>10.904068176519599</v>
      </c>
      <c r="T113">
        <v>0.275495178279965</v>
      </c>
      <c r="V113">
        <v>0.60340422007316996</v>
      </c>
      <c r="W113">
        <v>0.41600484174066199</v>
      </c>
      <c r="X113">
        <v>0.18259909764666499</v>
      </c>
      <c r="AA113">
        <v>0.71692678370404395</v>
      </c>
      <c r="AB113">
        <v>4.1238707660730203</v>
      </c>
      <c r="AC113">
        <v>4.3094972293621598</v>
      </c>
      <c r="AD113">
        <v>0.21071266348633899</v>
      </c>
      <c r="AE113">
        <v>5.0773941095068</v>
      </c>
    </row>
    <row r="114" spans="1:31" x14ac:dyDescent="0.2">
      <c r="A114">
        <v>113</v>
      </c>
      <c r="B114">
        <v>792</v>
      </c>
      <c r="C114">
        <v>150</v>
      </c>
      <c r="D114">
        <v>0.456950194808243</v>
      </c>
      <c r="E114">
        <v>104.865790853066</v>
      </c>
      <c r="F114">
        <v>2.1848186745082501</v>
      </c>
      <c r="G114">
        <v>-1724.5916292531429</v>
      </c>
      <c r="H114">
        <v>-1435.8209143794149</v>
      </c>
      <c r="I114">
        <v>271.10802691989602</v>
      </c>
      <c r="J114">
        <v>141.16998444760901</v>
      </c>
      <c r="K114">
        <v>47.997480100571103</v>
      </c>
      <c r="L114">
        <v>1.4113771197074023E-4</v>
      </c>
      <c r="M114">
        <v>1.7752009643811722E-5</v>
      </c>
      <c r="N114" s="1">
        <v>2.83521937989948E-6</v>
      </c>
      <c r="O114" s="1">
        <v>9.0161675447495297E-8</v>
      </c>
      <c r="P114" s="1">
        <v>-4.52837474703408E-7</v>
      </c>
      <c r="Q114">
        <v>73.4844026571011</v>
      </c>
      <c r="R114">
        <v>7.6287986148021306E-2</v>
      </c>
      <c r="S114">
        <v>12.2632937732948</v>
      </c>
      <c r="T114">
        <v>0.16967826216656201</v>
      </c>
      <c r="V114">
        <v>0.405053562031498</v>
      </c>
      <c r="W114">
        <v>3.8143993074010299E-2</v>
      </c>
      <c r="X114">
        <v>2.86079948055083E-2</v>
      </c>
      <c r="AA114">
        <v>0.55308789957315196</v>
      </c>
      <c r="AB114">
        <v>4.5677431706127498</v>
      </c>
      <c r="AC114">
        <v>3.6046073454939598</v>
      </c>
      <c r="AD114">
        <v>1.90719965370049E-2</v>
      </c>
      <c r="AE114">
        <v>4.79002135916146</v>
      </c>
    </row>
    <row r="115" spans="1:31" x14ac:dyDescent="0.2">
      <c r="A115">
        <v>114</v>
      </c>
      <c r="B115">
        <v>791</v>
      </c>
      <c r="C115">
        <v>150</v>
      </c>
      <c r="D115">
        <v>0.45637410139548201</v>
      </c>
      <c r="E115">
        <v>104.606255658547</v>
      </c>
      <c r="F115">
        <v>2.1851085637488299</v>
      </c>
      <c r="G115">
        <v>-1719.9878019522096</v>
      </c>
      <c r="H115">
        <v>-1432.3876036045012</v>
      </c>
      <c r="I115">
        <v>270.26283733280798</v>
      </c>
      <c r="J115">
        <v>140.785545093704</v>
      </c>
      <c r="K115">
        <v>47.872337967081101</v>
      </c>
      <c r="L115">
        <v>1.4100524843806749E-4</v>
      </c>
      <c r="M115">
        <v>1.7740438814078301E-5</v>
      </c>
      <c r="N115" s="1">
        <v>2.8297356189208299E-6</v>
      </c>
      <c r="O115" s="1">
        <v>8.9823097349585298E-8</v>
      </c>
      <c r="P115" s="1">
        <v>-4.5122859732396198E-7</v>
      </c>
      <c r="Q115">
        <v>73.514342925809203</v>
      </c>
      <c r="R115">
        <v>7.6477261800799001E-2</v>
      </c>
      <c r="S115">
        <v>12.2436903695315</v>
      </c>
      <c r="T115">
        <v>0.170308023715772</v>
      </c>
      <c r="V115">
        <v>0.40587066629285401</v>
      </c>
      <c r="W115">
        <v>3.8238630900398703E-2</v>
      </c>
      <c r="X115">
        <v>2.86789731753005E-2</v>
      </c>
      <c r="AA115">
        <v>0.54874100127797398</v>
      </c>
      <c r="AB115">
        <v>4.55690737379396</v>
      </c>
      <c r="AC115">
        <v>3.6106296181008402</v>
      </c>
      <c r="AD115">
        <v>1.9119315450198598E-2</v>
      </c>
      <c r="AE115">
        <v>4.7869958401510599</v>
      </c>
    </row>
    <row r="116" spans="1:31" x14ac:dyDescent="0.2">
      <c r="A116">
        <v>115</v>
      </c>
      <c r="B116">
        <v>790</v>
      </c>
      <c r="C116">
        <v>150</v>
      </c>
      <c r="D116">
        <v>0.45579692423458601</v>
      </c>
      <c r="E116">
        <v>104.136946331435</v>
      </c>
      <c r="F116">
        <v>2.1854017003088502</v>
      </c>
      <c r="G116">
        <v>-1711.8820189636326</v>
      </c>
      <c r="H116">
        <v>-1426.0653931845779</v>
      </c>
      <c r="I116">
        <v>268.83941661953003</v>
      </c>
      <c r="J116">
        <v>140.10010006719699</v>
      </c>
      <c r="K116">
        <v>47.651169264084402</v>
      </c>
      <c r="L116">
        <v>1.4078748865497582E-4</v>
      </c>
      <c r="M116">
        <v>1.7724285798738501E-5</v>
      </c>
      <c r="N116" s="1">
        <v>2.8168393199832599E-6</v>
      </c>
      <c r="O116" s="1">
        <v>8.9255303173516607E-8</v>
      </c>
      <c r="P116" s="1">
        <v>-4.4834121195235498E-7</v>
      </c>
      <c r="Q116">
        <v>73.568856757367598</v>
      </c>
      <c r="R116">
        <v>7.6821918462431096E-2</v>
      </c>
      <c r="S116">
        <v>12.2083260314306</v>
      </c>
      <c r="T116">
        <v>0.17125876660403999</v>
      </c>
      <c r="V116">
        <v>0.40753491914399698</v>
      </c>
      <c r="W116">
        <v>3.84109592312145E-2</v>
      </c>
      <c r="X116">
        <v>2.8808219423412801E-2</v>
      </c>
      <c r="AA116">
        <v>0.54110071218537104</v>
      </c>
      <c r="AB116">
        <v>4.5371495736192102</v>
      </c>
      <c r="AC116">
        <v>3.6214808288087701</v>
      </c>
      <c r="AD116">
        <v>1.9205479615606199E-2</v>
      </c>
      <c r="AE116">
        <v>4.78104583410766</v>
      </c>
    </row>
    <row r="117" spans="1:31" x14ac:dyDescent="0.2">
      <c r="A117">
        <v>116</v>
      </c>
      <c r="B117">
        <v>789</v>
      </c>
      <c r="C117">
        <v>150</v>
      </c>
      <c r="D117">
        <v>0.45521866026455898</v>
      </c>
      <c r="E117">
        <v>103.66685477980801</v>
      </c>
      <c r="F117">
        <v>2.1856975957967402</v>
      </c>
      <c r="G117">
        <v>-1703.7667473710467</v>
      </c>
      <c r="H117">
        <v>-1419.7319815955577</v>
      </c>
      <c r="I117">
        <v>267.414928000271</v>
      </c>
      <c r="J117">
        <v>139.41388825365701</v>
      </c>
      <c r="K117">
        <v>47.429642133096202</v>
      </c>
      <c r="L117">
        <v>1.4056791641070733E-4</v>
      </c>
      <c r="M117">
        <v>1.7708057353447445E-5</v>
      </c>
      <c r="N117" s="1">
        <v>2.8038770276599799E-6</v>
      </c>
      <c r="O117" s="1">
        <v>8.8687330546084905E-8</v>
      </c>
      <c r="P117" s="1">
        <v>-4.4544838412954101E-7</v>
      </c>
      <c r="Q117">
        <v>73.623575365190902</v>
      </c>
      <c r="R117">
        <v>7.7170277973536705E-2</v>
      </c>
      <c r="S117">
        <v>12.172874631380299</v>
      </c>
      <c r="T117">
        <v>0.17221930008154099</v>
      </c>
      <c r="V117">
        <v>0.409217433384792</v>
      </c>
      <c r="W117">
        <v>3.8585138986766999E-2</v>
      </c>
      <c r="X117">
        <v>2.8938854240077801E-2</v>
      </c>
      <c r="AA117">
        <v>0.53370884360730297</v>
      </c>
      <c r="AB117">
        <v>4.5170953746498501</v>
      </c>
      <c r="AC117">
        <v>3.6322918954715702</v>
      </c>
      <c r="AD117">
        <v>1.9292569493382102E-2</v>
      </c>
      <c r="AE117">
        <v>4.7750303155399001</v>
      </c>
    </row>
    <row r="118" spans="1:31" x14ac:dyDescent="0.2">
      <c r="A118">
        <v>117</v>
      </c>
      <c r="B118">
        <v>788</v>
      </c>
      <c r="C118">
        <v>150</v>
      </c>
      <c r="D118">
        <v>0.45463930641285699</v>
      </c>
      <c r="E118">
        <v>103.19622674396599</v>
      </c>
      <c r="F118">
        <v>2.1859961169297599</v>
      </c>
      <c r="G118">
        <v>-1695.6461014298134</v>
      </c>
      <c r="H118">
        <v>-1413.3907422021457</v>
      </c>
      <c r="I118">
        <v>265.99006665190302</v>
      </c>
      <c r="J118">
        <v>138.72725622522501</v>
      </c>
      <c r="K118">
        <v>47.207872852448503</v>
      </c>
      <c r="L118">
        <v>1.4034661667210202E-4</v>
      </c>
      <c r="M118">
        <v>1.7691759910446862E-5</v>
      </c>
      <c r="N118" s="1">
        <v>2.7908579679254499E-6</v>
      </c>
      <c r="O118" s="1">
        <v>8.8119469784337902E-8</v>
      </c>
      <c r="P118" s="1">
        <v>-4.4255173520756002E-7</v>
      </c>
      <c r="Q118">
        <v>73.678488010113199</v>
      </c>
      <c r="R118">
        <v>7.7522214255453303E-2</v>
      </c>
      <c r="S118">
        <v>12.137342701770301</v>
      </c>
      <c r="T118">
        <v>0.17318939825080701</v>
      </c>
      <c r="V118">
        <v>0.41091749053492599</v>
      </c>
      <c r="W118">
        <v>3.8761107127725E-2</v>
      </c>
      <c r="X118">
        <v>2.9070830345796699E-2</v>
      </c>
      <c r="AA118">
        <v>0.52656075960771698</v>
      </c>
      <c r="AB118">
        <v>4.4967583772235402</v>
      </c>
      <c r="AC118">
        <v>3.6430557280284002</v>
      </c>
      <c r="AD118">
        <v>1.9380553563860901E-2</v>
      </c>
      <c r="AE118">
        <v>4.7689528291781897</v>
      </c>
    </row>
    <row r="119" spans="1:31" x14ac:dyDescent="0.2">
      <c r="A119">
        <v>118</v>
      </c>
      <c r="B119">
        <v>787</v>
      </c>
      <c r="C119">
        <v>150</v>
      </c>
      <c r="D119">
        <v>0.45405885959534198</v>
      </c>
      <c r="E119">
        <v>102.725307093487</v>
      </c>
      <c r="F119">
        <v>2.18629712898051</v>
      </c>
      <c r="G119">
        <v>-1687.5241759936225</v>
      </c>
      <c r="H119">
        <v>-1407.0450363474774</v>
      </c>
      <c r="I119">
        <v>264.56552341286101</v>
      </c>
      <c r="J119">
        <v>138.04054884621499</v>
      </c>
      <c r="K119">
        <v>46.985977217739503</v>
      </c>
      <c r="L119">
        <v>1.4012367594982199E-4</v>
      </c>
      <c r="M119">
        <v>1.7675399927826071E-5</v>
      </c>
      <c r="N119" s="1">
        <v>2.7777913407833198E-6</v>
      </c>
      <c r="O119" s="1">
        <v>8.7552008324425297E-8</v>
      </c>
      <c r="P119" s="1">
        <v>-4.3965287573531401E-7</v>
      </c>
      <c r="Q119">
        <v>73.733583577197706</v>
      </c>
      <c r="R119">
        <v>7.7877596342637703E-2</v>
      </c>
      <c r="S119">
        <v>12.1017369758162</v>
      </c>
      <c r="T119">
        <v>0.174168825112402</v>
      </c>
      <c r="V119">
        <v>0.41263434547655098</v>
      </c>
      <c r="W119">
        <v>3.8938798171316902E-2</v>
      </c>
      <c r="X119">
        <v>2.9204098628491298E-2</v>
      </c>
      <c r="AA119">
        <v>0.51965159190605903</v>
      </c>
      <c r="AB119">
        <v>4.4761524778280704</v>
      </c>
      <c r="AC119">
        <v>3.6537653527758298</v>
      </c>
      <c r="AD119">
        <v>1.9469399085656602E-2</v>
      </c>
      <c r="AE119">
        <v>4.7628169616589799</v>
      </c>
    </row>
    <row r="120" spans="1:31" x14ac:dyDescent="0.2">
      <c r="A120">
        <v>119</v>
      </c>
      <c r="B120">
        <v>786</v>
      </c>
      <c r="C120">
        <v>150</v>
      </c>
      <c r="D120">
        <v>0.45347731671623798</v>
      </c>
      <c r="E120">
        <v>102.25433859112999</v>
      </c>
      <c r="F120">
        <v>2.18660049640734</v>
      </c>
      <c r="G120">
        <v>-1679.4050259408255</v>
      </c>
      <c r="H120">
        <v>-1400.6981963959192</v>
      </c>
      <c r="I120">
        <v>263.14198134816201</v>
      </c>
      <c r="J120">
        <v>137.354107539555</v>
      </c>
      <c r="K120">
        <v>46.764069961174002</v>
      </c>
      <c r="L120">
        <v>1.3989918184450419E-4</v>
      </c>
      <c r="M120">
        <v>1.7658983859142244E-5</v>
      </c>
      <c r="N120" s="1">
        <v>2.7646862745509398E-6</v>
      </c>
      <c r="O120" s="1">
        <v>8.6985229329785705E-8</v>
      </c>
      <c r="P120" s="1">
        <v>-4.3675339756465702E-7</v>
      </c>
      <c r="Q120">
        <v>73.788850643040703</v>
      </c>
      <c r="R120">
        <v>7.8236289141613499E-2</v>
      </c>
      <c r="S120">
        <v>12.0660643475242</v>
      </c>
      <c r="T120">
        <v>0.17515733607945999</v>
      </c>
      <c r="V120">
        <v>0.41436723064013598</v>
      </c>
      <c r="W120">
        <v>3.9118144570804599E-2</v>
      </c>
      <c r="X120">
        <v>2.9338608428107499E-2</v>
      </c>
      <c r="AA120">
        <v>0.51297626656834505</v>
      </c>
      <c r="AB120">
        <v>4.4552917974354402</v>
      </c>
      <c r="AC120">
        <v>3.6644139409233301</v>
      </c>
      <c r="AD120">
        <v>1.95590722854002E-2</v>
      </c>
      <c r="AE120">
        <v>4.7566263233623998</v>
      </c>
    </row>
    <row r="121" spans="1:31" x14ac:dyDescent="0.2">
      <c r="A121">
        <v>120</v>
      </c>
      <c r="B121">
        <v>785</v>
      </c>
      <c r="C121">
        <v>150</v>
      </c>
      <c r="D121">
        <v>0.452894674668055</v>
      </c>
      <c r="E121">
        <v>101.783560722472</v>
      </c>
      <c r="F121">
        <v>2.1869060834768499</v>
      </c>
      <c r="G121">
        <v>-1671.2926467326217</v>
      </c>
      <c r="H121">
        <v>-1394.3535096798473</v>
      </c>
      <c r="I121">
        <v>261.7201125103</v>
      </c>
      <c r="J121">
        <v>136.66826864901299</v>
      </c>
      <c r="K121">
        <v>46.5422642021515</v>
      </c>
      <c r="L121">
        <v>1.3967322259598368E-4</v>
      </c>
      <c r="M121">
        <v>1.7642518123727504E-5</v>
      </c>
      <c r="N121" s="1">
        <v>2.7515517823953E-6</v>
      </c>
      <c r="O121" s="1">
        <v>8.6419410383964197E-8</v>
      </c>
      <c r="P121" s="1">
        <v>-4.3385486638820701E-7</v>
      </c>
      <c r="Q121">
        <v>73.844277543228102</v>
      </c>
      <c r="R121">
        <v>7.8598154193223302E-2</v>
      </c>
      <c r="S121">
        <v>12.030331831921201</v>
      </c>
      <c r="T121">
        <v>0.17615467950234701</v>
      </c>
      <c r="V121">
        <v>0.41611536020517498</v>
      </c>
      <c r="W121">
        <v>3.9299077096609202E-2</v>
      </c>
      <c r="X121">
        <v>2.94743078224615E-2</v>
      </c>
      <c r="AA121">
        <v>0.50652953122766298</v>
      </c>
      <c r="AB121">
        <v>4.4341906109298899</v>
      </c>
      <c r="AC121">
        <v>3.6749948348470101</v>
      </c>
      <c r="AD121">
        <v>1.96495385483022E-2</v>
      </c>
      <c r="AE121">
        <v>4.7503845304779997</v>
      </c>
    </row>
    <row r="122" spans="1:31" x14ac:dyDescent="0.2">
      <c r="A122">
        <v>121</v>
      </c>
      <c r="B122">
        <v>784</v>
      </c>
      <c r="C122">
        <v>150</v>
      </c>
      <c r="D122">
        <v>0.45231093033155201</v>
      </c>
      <c r="E122">
        <v>101.313208606142</v>
      </c>
      <c r="F122">
        <v>2.1872137548506601</v>
      </c>
      <c r="G122">
        <v>-1663.1909563515978</v>
      </c>
      <c r="H122">
        <v>-1388.0142035532929</v>
      </c>
      <c r="I122">
        <v>260.30057494045701</v>
      </c>
      <c r="J122">
        <v>135.98336191861699</v>
      </c>
      <c r="K122">
        <v>46.320670936462598</v>
      </c>
      <c r="L122">
        <v>1.3944588665370044E-4</v>
      </c>
      <c r="M122">
        <v>1.7626009079090416E-5</v>
      </c>
      <c r="N122" s="1">
        <v>2.7383967220064799E-6</v>
      </c>
      <c r="O122" s="1">
        <v>8.5854822293773499E-8</v>
      </c>
      <c r="P122" s="1">
        <v>-4.3095881486594002E-7</v>
      </c>
      <c r="Q122">
        <v>73.899852438328793</v>
      </c>
      <c r="R122">
        <v>7.8963050426132997E-2</v>
      </c>
      <c r="S122">
        <v>11.9945465261551</v>
      </c>
      <c r="T122">
        <v>0.17716059817850399</v>
      </c>
      <c r="V122">
        <v>0.41787793425049902</v>
      </c>
      <c r="W122">
        <v>3.9481525213063799E-2</v>
      </c>
      <c r="X122">
        <v>2.9611143909802799E-2</v>
      </c>
      <c r="AA122">
        <v>0.50030598247508096</v>
      </c>
      <c r="AB122">
        <v>4.4128632785572997</v>
      </c>
      <c r="AC122">
        <v>3.68550157177385</v>
      </c>
      <c r="AD122">
        <v>1.9740762606529301E-2</v>
      </c>
      <c r="AE122">
        <v>4.7440951881251801</v>
      </c>
    </row>
    <row r="123" spans="1:31" x14ac:dyDescent="0.2">
      <c r="A123">
        <v>122</v>
      </c>
      <c r="B123">
        <v>783</v>
      </c>
      <c r="C123">
        <v>150</v>
      </c>
      <c r="D123">
        <v>0.45172608057567798</v>
      </c>
      <c r="E123">
        <v>100.843511990449</v>
      </c>
      <c r="F123">
        <v>2.1875233761452599</v>
      </c>
      <c r="G123">
        <v>-1655.1037787112593</v>
      </c>
      <c r="H123">
        <v>-1381.6834316320928</v>
      </c>
      <c r="I123">
        <v>258.88400992204402</v>
      </c>
      <c r="J123">
        <v>135.29970909641099</v>
      </c>
      <c r="K123">
        <v>46.099398566496802</v>
      </c>
      <c r="L123">
        <v>1.392172622628253E-4</v>
      </c>
      <c r="M123">
        <v>1.760946299484573E-5</v>
      </c>
      <c r="N123" s="1">
        <v>2.7252297583817899E-6</v>
      </c>
      <c r="O123" s="1">
        <v>8.5291728001061795E-8</v>
      </c>
      <c r="P123" s="1">
        <v>-4.2806673632798001E-7</v>
      </c>
      <c r="Q123">
        <v>73.955563378466906</v>
      </c>
      <c r="R123">
        <v>7.9330834895534802E-2</v>
      </c>
      <c r="S123">
        <v>11.9587155716585</v>
      </c>
      <c r="T123">
        <v>0.178174830835481</v>
      </c>
      <c r="V123">
        <v>0.41965414282025898</v>
      </c>
      <c r="W123">
        <v>3.9665417447764299E-2</v>
      </c>
      <c r="X123">
        <v>2.9749063085828899E-2</v>
      </c>
      <c r="AA123">
        <v>0.49430009300782402</v>
      </c>
      <c r="AB123">
        <v>4.3913241799992102</v>
      </c>
      <c r="AC123">
        <v>3.6959279048357598</v>
      </c>
      <c r="AD123">
        <v>1.9832708723879201E-2</v>
      </c>
      <c r="AE123">
        <v>4.7377618742229499</v>
      </c>
    </row>
    <row r="124" spans="1:31" x14ac:dyDescent="0.2">
      <c r="A124">
        <v>123</v>
      </c>
      <c r="B124">
        <v>782</v>
      </c>
      <c r="C124">
        <v>150</v>
      </c>
      <c r="D124">
        <v>0.451140122257502</v>
      </c>
      <c r="E124">
        <v>100.374694348747</v>
      </c>
      <c r="F124">
        <v>2.1878348144550999</v>
      </c>
      <c r="G124">
        <v>-1647.0348287398569</v>
      </c>
      <c r="H124">
        <v>-1375.3642613898489</v>
      </c>
      <c r="I124">
        <v>257.47103952045399</v>
      </c>
      <c r="J124">
        <v>134.61762267988701</v>
      </c>
      <c r="K124">
        <v>45.878552478262002</v>
      </c>
      <c r="L124">
        <v>1.3898743707476709E-4</v>
      </c>
      <c r="M124">
        <v>1.7592886028718256E-5</v>
      </c>
      <c r="N124" s="1">
        <v>2.7120593302445298E-6</v>
      </c>
      <c r="O124" s="1">
        <v>8.4730381617725694E-8</v>
      </c>
      <c r="P124" s="1">
        <v>-4.2518007914235402E-7</v>
      </c>
      <c r="Q124">
        <v>74.011398365055001</v>
      </c>
      <c r="R124">
        <v>7.9701363495111602E-2</v>
      </c>
      <c r="S124">
        <v>11.922846118139001</v>
      </c>
      <c r="T124">
        <v>0.17919711356293799</v>
      </c>
      <c r="V124">
        <v>0.42144316984066299</v>
      </c>
      <c r="W124">
        <v>3.9850681747552401E-2</v>
      </c>
      <c r="X124">
        <v>2.9888011310670599E-2</v>
      </c>
      <c r="AA124">
        <v>0.48850623826526401</v>
      </c>
      <c r="AB124">
        <v>4.3695876519357597</v>
      </c>
      <c r="AC124">
        <v>3.7062678213214899</v>
      </c>
      <c r="AD124">
        <v>1.9925340873772901E-2</v>
      </c>
      <c r="AE124">
        <v>4.7313881244526899</v>
      </c>
    </row>
    <row r="125" spans="1:31" x14ac:dyDescent="0.2">
      <c r="A125">
        <v>124</v>
      </c>
      <c r="B125">
        <v>781</v>
      </c>
      <c r="C125">
        <v>150</v>
      </c>
      <c r="D125">
        <v>0.45055305222216901</v>
      </c>
      <c r="E125">
        <v>99.906972076804905</v>
      </c>
      <c r="F125">
        <v>2.1881479388312499</v>
      </c>
      <c r="G125">
        <v>-1638.9876991894255</v>
      </c>
      <c r="H125">
        <v>-1369.0596631538776</v>
      </c>
      <c r="I125">
        <v>256.06226441734799</v>
      </c>
      <c r="J125">
        <v>133.937404807284</v>
      </c>
      <c r="K125">
        <v>45.6582346667875</v>
      </c>
      <c r="L125">
        <v>1.3875649778651508E-4</v>
      </c>
      <c r="M125">
        <v>1.7576284204931262E-5</v>
      </c>
      <c r="N125" s="1">
        <v>2.6988936202801598E-6</v>
      </c>
      <c r="O125" s="1">
        <v>8.4171027587980902E-8</v>
      </c>
      <c r="P125" s="1">
        <v>-4.2230024177557501E-7</v>
      </c>
      <c r="Q125">
        <v>74.067345409321902</v>
      </c>
      <c r="R125">
        <v>8.0074491636581202E-2</v>
      </c>
      <c r="S125">
        <v>11.8869452895332</v>
      </c>
      <c r="T125">
        <v>0.18022718118149</v>
      </c>
      <c r="V125">
        <v>0.42324419685616099</v>
      </c>
      <c r="W125">
        <v>4.0037245818286701E-2</v>
      </c>
      <c r="X125">
        <v>3.00279343637221E-2</v>
      </c>
      <c r="AA125">
        <v>0.482918722236859</v>
      </c>
      <c r="AB125">
        <v>4.3476679295357599</v>
      </c>
      <c r="AC125">
        <v>3.7165155580986799</v>
      </c>
      <c r="AD125">
        <v>2.0018622909139701E-2</v>
      </c>
      <c r="AE125">
        <v>4.7249774185081002</v>
      </c>
    </row>
    <row r="126" spans="1:31" x14ac:dyDescent="0.2">
      <c r="A126">
        <v>125</v>
      </c>
      <c r="B126">
        <v>780</v>
      </c>
      <c r="C126">
        <v>150</v>
      </c>
      <c r="D126">
        <v>0.44996486730285301</v>
      </c>
      <c r="E126">
        <v>99.440553792449606</v>
      </c>
      <c r="F126">
        <v>2.1884626207195201</v>
      </c>
      <c r="G126">
        <v>-1630.9658491697362</v>
      </c>
      <c r="H126">
        <v>-1362.7725005048708</v>
      </c>
      <c r="I126">
        <v>254.65826203756799</v>
      </c>
      <c r="J126">
        <v>133.25934629452601</v>
      </c>
      <c r="K126">
        <v>45.438543409873397</v>
      </c>
      <c r="L126">
        <v>1.3852452980651797E-4</v>
      </c>
      <c r="M126">
        <v>1.7559663394687039E-5</v>
      </c>
      <c r="N126" s="1">
        <v>2.68574052909347E-6</v>
      </c>
      <c r="O126" s="1">
        <v>8.3613899973594004E-8</v>
      </c>
      <c r="P126" s="1">
        <v>-4.19428568523995E-7</v>
      </c>
      <c r="Q126">
        <v>74.1233925875148</v>
      </c>
      <c r="R126">
        <v>8.0450074892963103E-2</v>
      </c>
      <c r="S126">
        <v>11.851020152067701</v>
      </c>
      <c r="T126">
        <v>0.181264768541059</v>
      </c>
      <c r="V126">
        <v>0.42505640656411497</v>
      </c>
      <c r="W126">
        <v>4.0225037446477201E-2</v>
      </c>
      <c r="X126">
        <v>3.0168778084865899E-2</v>
      </c>
      <c r="AA126">
        <v>0.47753180216021002</v>
      </c>
      <c r="AB126">
        <v>4.3255790921956203</v>
      </c>
      <c r="AC126">
        <v>3.72666561432237</v>
      </c>
      <c r="AD126">
        <v>2.0112518723234499E-2</v>
      </c>
      <c r="AE126">
        <v>4.7185331674865401</v>
      </c>
    </row>
    <row r="127" spans="1:31" x14ac:dyDescent="0.2">
      <c r="A127">
        <v>126</v>
      </c>
      <c r="B127">
        <v>779</v>
      </c>
      <c r="C127">
        <v>150</v>
      </c>
      <c r="D127">
        <v>0.44937556432067799</v>
      </c>
      <c r="E127">
        <v>98.975639746862498</v>
      </c>
      <c r="F127">
        <v>2.1887787343493299</v>
      </c>
      <c r="G127">
        <v>-1622.972594560347</v>
      </c>
      <c r="H127">
        <v>-1356.5055222087428</v>
      </c>
      <c r="I127">
        <v>253.25958499415799</v>
      </c>
      <c r="J127">
        <v>132.58372583094899</v>
      </c>
      <c r="K127">
        <v>45.219572994565503</v>
      </c>
      <c r="L127">
        <v>1.382916169560772E-4</v>
      </c>
      <c r="M127">
        <v>1.7543029299313235E-5</v>
      </c>
      <c r="N127" s="1">
        <v>2.67260765332292E-6</v>
      </c>
      <c r="O127" s="1">
        <v>8.30592218737022E-8</v>
      </c>
      <c r="P127" s="1">
        <v>-4.1656634598799099E-7</v>
      </c>
      <c r="Q127">
        <v>74.179528091273795</v>
      </c>
      <c r="R127">
        <v>8.0827969593941604E-2</v>
      </c>
      <c r="S127">
        <v>11.815077685239601</v>
      </c>
      <c r="T127">
        <v>0.18230961172434601</v>
      </c>
      <c r="V127">
        <v>0.42687898608452302</v>
      </c>
      <c r="W127">
        <v>4.0413984796966097E-2</v>
      </c>
      <c r="X127">
        <v>3.03104885977332E-2</v>
      </c>
      <c r="AA127">
        <v>0.47233971199824298</v>
      </c>
      <c r="AB127">
        <v>4.3033350142184696</v>
      </c>
      <c r="AC127">
        <v>3.73671276129045</v>
      </c>
      <c r="AD127">
        <v>2.0206992398478601E-2</v>
      </c>
      <c r="AE127">
        <v>4.7120587027833496</v>
      </c>
    </row>
    <row r="128" spans="1:31" x14ac:dyDescent="0.2">
      <c r="A128">
        <v>127</v>
      </c>
      <c r="B128">
        <v>778</v>
      </c>
      <c r="C128">
        <v>150</v>
      </c>
      <c r="D128">
        <v>0.44878514008467002</v>
      </c>
      <c r="E128">
        <v>98.512421332215396</v>
      </c>
      <c r="F128">
        <v>2.1890961570817602</v>
      </c>
      <c r="G128">
        <v>-1615.0111000405323</v>
      </c>
      <c r="H128">
        <v>-1350.2613554701995</v>
      </c>
      <c r="I128">
        <v>251.86675980624301</v>
      </c>
      <c r="J128">
        <v>131.91080931129801</v>
      </c>
      <c r="K128">
        <v>45.001413489090403</v>
      </c>
      <c r="L128">
        <v>1.3805784119641591E-4</v>
      </c>
      <c r="M128">
        <v>1.752638743533752E-5</v>
      </c>
      <c r="N128" s="1">
        <v>2.6595022672284901E-6</v>
      </c>
      <c r="O128" s="1">
        <v>8.2507204957023297E-8</v>
      </c>
      <c r="P128" s="1">
        <v>-4.1371480016475999E-7</v>
      </c>
      <c r="Q128">
        <v>74.235740274761298</v>
      </c>
      <c r="R128">
        <v>8.1208033381108102E-2</v>
      </c>
      <c r="S128">
        <v>11.7791247548355</v>
      </c>
      <c r="T128">
        <v>0.183361449171665</v>
      </c>
      <c r="V128">
        <v>0.428711130007148</v>
      </c>
      <c r="W128">
        <v>4.0604016690549097E-2</v>
      </c>
      <c r="X128">
        <v>3.0453012517920899E-2</v>
      </c>
      <c r="AA128">
        <v>0.46733668437208398</v>
      </c>
      <c r="AB128">
        <v>4.28094931999052</v>
      </c>
      <c r="AC128">
        <v>3.74665204986358</v>
      </c>
      <c r="AD128">
        <v>2.0302008345269899E-2</v>
      </c>
      <c r="AE128">
        <v>4.7055572660631997</v>
      </c>
    </row>
    <row r="129" spans="1:31" x14ac:dyDescent="0.2">
      <c r="A129">
        <v>128</v>
      </c>
      <c r="B129">
        <v>777</v>
      </c>
      <c r="C129">
        <v>150</v>
      </c>
      <c r="D129">
        <v>0.44819359139171</v>
      </c>
      <c r="E129">
        <v>98.051080701170093</v>
      </c>
      <c r="F129">
        <v>2.18941476970295</v>
      </c>
      <c r="G129">
        <v>-1607.0843729938726</v>
      </c>
      <c r="H129">
        <v>-1344.0425007210426</v>
      </c>
      <c r="I129">
        <v>250.48028593327601</v>
      </c>
      <c r="J129">
        <v>131.240849326313</v>
      </c>
      <c r="K129">
        <v>44.784150567538497</v>
      </c>
      <c r="L129">
        <v>1.3782328239694326E-4</v>
      </c>
      <c r="M129">
        <v>1.7509743122513281E-5</v>
      </c>
      <c r="N129" s="1">
        <v>2.6464313085042801E-6</v>
      </c>
      <c r="O129" s="1">
        <v>8.1958049127554497E-8</v>
      </c>
      <c r="P129" s="1">
        <v>-4.1087509428780298E-7</v>
      </c>
      <c r="Q129">
        <v>74.292017695895098</v>
      </c>
      <c r="R129">
        <v>8.1590125705823899E-2</v>
      </c>
      <c r="S129">
        <v>11.7431680894179</v>
      </c>
      <c r="T129">
        <v>0.18442002269108701</v>
      </c>
      <c r="V129">
        <v>0.43055204312237799</v>
      </c>
      <c r="W129">
        <v>4.0795062852906801E-2</v>
      </c>
      <c r="X129">
        <v>3.0596297139689602E-2</v>
      </c>
      <c r="AA129">
        <v>0.46251697102524802</v>
      </c>
      <c r="AB129">
        <v>4.2584353445881904</v>
      </c>
      <c r="AC129">
        <v>3.75647881519216</v>
      </c>
      <c r="AD129">
        <v>2.0397531426448502E-2</v>
      </c>
      <c r="AE129">
        <v>4.6990320009429203</v>
      </c>
    </row>
    <row r="130" spans="1:31" x14ac:dyDescent="0.2">
      <c r="A130">
        <v>129</v>
      </c>
      <c r="B130">
        <v>776</v>
      </c>
      <c r="C130">
        <v>150</v>
      </c>
      <c r="D130">
        <v>0.447600915026452</v>
      </c>
      <c r="E130">
        <v>96.228363552744398</v>
      </c>
      <c r="F130">
        <v>2.1901432058667201</v>
      </c>
      <c r="G130">
        <v>-1576.5378921343261</v>
      </c>
      <c r="H130">
        <v>-1318.8723446074512</v>
      </c>
      <c r="I130">
        <v>245.59457420471301</v>
      </c>
      <c r="J130">
        <v>128.75581993296299</v>
      </c>
      <c r="K130">
        <v>43.937018956101902</v>
      </c>
      <c r="L130">
        <v>1.3760903629949685E-4</v>
      </c>
      <c r="M130">
        <v>1.7481440876016186E-5</v>
      </c>
      <c r="N130" s="1">
        <v>2.5941057150604798E-6</v>
      </c>
      <c r="O130" s="1">
        <v>8.0205370610624094E-8</v>
      </c>
      <c r="P130" s="1">
        <v>-4.02468331531119E-7</v>
      </c>
      <c r="Q130">
        <v>74.286990968707599</v>
      </c>
      <c r="R130">
        <v>8.3135571515933301E-2</v>
      </c>
      <c r="S130">
        <v>11.7316315636035</v>
      </c>
      <c r="T130">
        <v>0.18821335748503101</v>
      </c>
      <c r="V130">
        <v>0.438437319841531</v>
      </c>
      <c r="W130">
        <v>4.1567785757960399E-2</v>
      </c>
      <c r="X130">
        <v>3.1175839318481599E-2</v>
      </c>
      <c r="AA130">
        <v>0.45356772253212502</v>
      </c>
      <c r="AB130">
        <v>4.2309528142713901</v>
      </c>
      <c r="AC130">
        <v>3.8055844323456798</v>
      </c>
      <c r="AD130">
        <v>2.0783892878974398E-2</v>
      </c>
      <c r="AE130">
        <v>4.6879587317416496</v>
      </c>
    </row>
    <row r="131" spans="1:31" x14ac:dyDescent="0.2">
      <c r="A131">
        <v>130</v>
      </c>
      <c r="B131">
        <v>775</v>
      </c>
      <c r="C131">
        <v>150</v>
      </c>
      <c r="D131">
        <v>0.44700710776129698</v>
      </c>
      <c r="E131">
        <v>93.802702710591802</v>
      </c>
      <c r="F131">
        <v>2.1910748866444099</v>
      </c>
      <c r="G131">
        <v>-1535.9971789371352</v>
      </c>
      <c r="H131">
        <v>-1285.3166274092146</v>
      </c>
      <c r="I131">
        <v>239.16476795107599</v>
      </c>
      <c r="J131">
        <v>125.467741688038</v>
      </c>
      <c r="K131">
        <v>42.8112718932435</v>
      </c>
      <c r="L131">
        <v>1.3739654934905358E-4</v>
      </c>
      <c r="M131">
        <v>1.7447474011352052E-5</v>
      </c>
      <c r="N131" s="1">
        <v>2.5243918993629099E-6</v>
      </c>
      <c r="O131" s="1">
        <v>7.79255991341493E-8</v>
      </c>
      <c r="P131" s="1">
        <v>-3.9158695977005402E-7</v>
      </c>
      <c r="Q131">
        <v>74.255352832432493</v>
      </c>
      <c r="R131">
        <v>8.5285389107419896E-2</v>
      </c>
      <c r="S131">
        <v>11.7301750646496</v>
      </c>
      <c r="T131">
        <v>0.19342913382587701</v>
      </c>
      <c r="V131">
        <v>0.44946115454089303</v>
      </c>
      <c r="W131">
        <v>4.2642694553702898E-2</v>
      </c>
      <c r="X131">
        <v>3.1982020915289698E-2</v>
      </c>
      <c r="AA131">
        <v>0.443695901818142</v>
      </c>
      <c r="AB131">
        <v>4.1997794663376897</v>
      </c>
      <c r="AC131">
        <v>3.8723201322763501</v>
      </c>
      <c r="AD131">
        <v>2.1321347276845301E-2</v>
      </c>
      <c r="AE131">
        <v>4.6745548622655404</v>
      </c>
    </row>
    <row r="132" spans="1:31" x14ac:dyDescent="0.2">
      <c r="A132">
        <v>131</v>
      </c>
      <c r="B132">
        <v>774</v>
      </c>
      <c r="C132">
        <v>150</v>
      </c>
      <c r="D132">
        <v>0.44641216635630598</v>
      </c>
      <c r="E132">
        <v>91.338128623151306</v>
      </c>
      <c r="F132">
        <v>2.1920436927146101</v>
      </c>
      <c r="G132">
        <v>-1494.8417679636771</v>
      </c>
      <c r="H132">
        <v>-1251.2296393045365</v>
      </c>
      <c r="I132">
        <v>232.64301070442599</v>
      </c>
      <c r="J132">
        <v>122.129017338217</v>
      </c>
      <c r="K132">
        <v>41.668023738175798</v>
      </c>
      <c r="L132">
        <v>1.3717624758510159E-4</v>
      </c>
      <c r="M132">
        <v>1.7412667744343775E-5</v>
      </c>
      <c r="N132" s="1">
        <v>2.4535906014159899E-6</v>
      </c>
      <c r="O132" s="1">
        <v>7.5620143222142703E-8</v>
      </c>
      <c r="P132" s="1">
        <v>-3.8054151737634499E-7</v>
      </c>
      <c r="Q132">
        <v>74.222796473791405</v>
      </c>
      <c r="R132">
        <v>8.7586642299268602E-2</v>
      </c>
      <c r="S132">
        <v>11.7283882662121</v>
      </c>
      <c r="T132">
        <v>0.199003031479771</v>
      </c>
      <c r="V132">
        <v>0.46126987448398798</v>
      </c>
      <c r="W132">
        <v>4.37933211496256E-2</v>
      </c>
      <c r="X132">
        <v>3.2844990862234802E-2</v>
      </c>
      <c r="AA132">
        <v>0.434857518857378</v>
      </c>
      <c r="AB132">
        <v>4.1667304982648199</v>
      </c>
      <c r="AC132">
        <v>3.9401555036929601</v>
      </c>
      <c r="AD132">
        <v>2.1896660574805299E-2</v>
      </c>
      <c r="AE132">
        <v>4.6606772183315304</v>
      </c>
    </row>
    <row r="133" spans="1:31" x14ac:dyDescent="0.2">
      <c r="A133">
        <v>132</v>
      </c>
      <c r="B133">
        <v>773</v>
      </c>
      <c r="C133">
        <v>150</v>
      </c>
      <c r="D133">
        <v>0.44581608755914398</v>
      </c>
      <c r="E133">
        <v>88.8237462503741</v>
      </c>
      <c r="F133">
        <v>2.1930519077649899</v>
      </c>
      <c r="G133">
        <v>-1452.8943581001281</v>
      </c>
      <c r="H133">
        <v>-1216.4618934774371</v>
      </c>
      <c r="I133">
        <v>226.00245148658399</v>
      </c>
      <c r="J133">
        <v>118.725253243072</v>
      </c>
      <c r="K133">
        <v>40.5023455832821</v>
      </c>
      <c r="L133">
        <v>1.3694871580874354E-4</v>
      </c>
      <c r="M133">
        <v>1.7377056344519961E-5</v>
      </c>
      <c r="N133" s="1">
        <v>2.3814445531522499E-6</v>
      </c>
      <c r="O133" s="1">
        <v>7.3281145635462E-8</v>
      </c>
      <c r="P133" s="1">
        <v>-3.6929227537524601E-7</v>
      </c>
      <c r="Q133">
        <v>74.189159104461098</v>
      </c>
      <c r="R133">
        <v>9.0066005293791301E-2</v>
      </c>
      <c r="S133">
        <v>11.7262031561939</v>
      </c>
      <c r="T133">
        <v>0.20499681321247501</v>
      </c>
      <c r="V133">
        <v>0.47400291661324501</v>
      </c>
      <c r="W133">
        <v>4.5033002646886297E-2</v>
      </c>
      <c r="X133">
        <v>3.37747519851814E-2</v>
      </c>
      <c r="AA133">
        <v>0.42707407468355701</v>
      </c>
      <c r="AB133">
        <v>4.1318389915166298</v>
      </c>
      <c r="AC133">
        <v>4.0089923960540803</v>
      </c>
      <c r="AD133">
        <v>2.2516501323435099E-2</v>
      </c>
      <c r="AE133">
        <v>4.6463422860155399</v>
      </c>
    </row>
    <row r="134" spans="1:31" x14ac:dyDescent="0.2">
      <c r="A134">
        <v>133</v>
      </c>
      <c r="B134">
        <v>772</v>
      </c>
      <c r="C134">
        <v>150</v>
      </c>
      <c r="D134">
        <v>0.44521886810505501</v>
      </c>
      <c r="E134">
        <v>86.244273105019104</v>
      </c>
      <c r="F134">
        <v>2.19410278891388</v>
      </c>
      <c r="G134">
        <v>-1409.9059501722029</v>
      </c>
      <c r="H134">
        <v>-1180.8036071362046</v>
      </c>
      <c r="I134">
        <v>219.20522703535201</v>
      </c>
      <c r="J134">
        <v>115.236222946152</v>
      </c>
      <c r="K134">
        <v>39.307307543103398</v>
      </c>
      <c r="L134">
        <v>1.3671469052364566E-4</v>
      </c>
      <c r="M134">
        <v>1.7340682143927329E-5</v>
      </c>
      <c r="N134" s="1">
        <v>2.3075830205014202E-6</v>
      </c>
      <c r="O134" s="1">
        <v>7.0897305517674705E-8</v>
      </c>
      <c r="P134" s="1">
        <v>-3.5778185344000499E-7</v>
      </c>
      <c r="Q134">
        <v>74.154221702280495</v>
      </c>
      <c r="R134">
        <v>9.2759782325014306E-2</v>
      </c>
      <c r="S134">
        <v>11.7235268028449</v>
      </c>
      <c r="T134">
        <v>0.211494296456049</v>
      </c>
      <c r="V134">
        <v>0.48785027679691301</v>
      </c>
      <c r="W134">
        <v>4.6379891162495898E-2</v>
      </c>
      <c r="X134">
        <v>3.47849183718918E-2</v>
      </c>
      <c r="AA134">
        <v>0.42038517365820899</v>
      </c>
      <c r="AB134">
        <v>4.0951350563709603</v>
      </c>
      <c r="AC134">
        <v>4.0787021841181597</v>
      </c>
      <c r="AD134">
        <v>2.3189945581238401E-2</v>
      </c>
      <c r="AE134">
        <v>4.6315699700335902</v>
      </c>
    </row>
    <row r="135" spans="1:31" x14ac:dyDescent="0.2">
      <c r="A135">
        <v>134</v>
      </c>
      <c r="B135">
        <v>771</v>
      </c>
      <c r="C135">
        <v>150</v>
      </c>
      <c r="D135">
        <v>0.44462050471675502</v>
      </c>
      <c r="E135">
        <v>83.577955296457304</v>
      </c>
      <c r="F135">
        <v>2.1952010795544199</v>
      </c>
      <c r="G135">
        <v>-1365.5218283189829</v>
      </c>
      <c r="H135">
        <v>-1143.9560723012219</v>
      </c>
      <c r="I135">
        <v>212.197247538917</v>
      </c>
      <c r="J135">
        <v>111.6331000779</v>
      </c>
      <c r="K135">
        <v>38.073029425359898</v>
      </c>
      <c r="L135">
        <v>1.3647514440316252E-4</v>
      </c>
      <c r="M135">
        <v>1.7303600277810237E-5</v>
      </c>
      <c r="N135" s="1">
        <v>2.23146839070951E-6</v>
      </c>
      <c r="O135" s="1">
        <v>6.8452263327754103E-8</v>
      </c>
      <c r="P135" s="1">
        <v>-3.4592692374134598E-7</v>
      </c>
      <c r="Q135">
        <v>74.117678847989595</v>
      </c>
      <c r="R135">
        <v>9.5719020304147806E-2</v>
      </c>
      <c r="S135">
        <v>11.720228480643399</v>
      </c>
      <c r="T135">
        <v>0.21861303148587599</v>
      </c>
      <c r="V135">
        <v>0.50307937958997495</v>
      </c>
      <c r="W135">
        <v>4.78595101520609E-2</v>
      </c>
      <c r="X135">
        <v>3.58946326140685E-2</v>
      </c>
      <c r="AA135">
        <v>0.414858476150121</v>
      </c>
      <c r="AB135">
        <v>4.0566449196314496</v>
      </c>
      <c r="AC135">
        <v>4.1491083329265299</v>
      </c>
      <c r="AD135">
        <v>2.39297550760194E-2</v>
      </c>
      <c r="AE135">
        <v>4.6163856134366199</v>
      </c>
    </row>
    <row r="136" spans="1:31" x14ac:dyDescent="0.2">
      <c r="A136">
        <v>135</v>
      </c>
      <c r="B136">
        <v>770</v>
      </c>
      <c r="C136">
        <v>150</v>
      </c>
      <c r="D136">
        <v>0.44402099410439499</v>
      </c>
      <c r="E136">
        <v>80.793191980837094</v>
      </c>
      <c r="F136">
        <v>2.19635384662238</v>
      </c>
      <c r="G136">
        <v>-1319.2264780542973</v>
      </c>
      <c r="H136">
        <v>-1105.4852920908231</v>
      </c>
      <c r="I136">
        <v>204.89976126489401</v>
      </c>
      <c r="J136">
        <v>107.87397872723299</v>
      </c>
      <c r="K136">
        <v>36.7851437531721</v>
      </c>
      <c r="L136">
        <v>1.3623145189347168E-4</v>
      </c>
      <c r="M136">
        <v>1.7265888824902467E-5</v>
      </c>
      <c r="N136" s="1">
        <v>2.1523102071640499E-6</v>
      </c>
      <c r="O136" s="1">
        <v>6.5922000297741504E-8</v>
      </c>
      <c r="P136" s="1">
        <v>-3.3360485439626499E-7</v>
      </c>
      <c r="Q136">
        <v>74.079086710578494</v>
      </c>
      <c r="R136">
        <v>9.9018244035938702E-2</v>
      </c>
      <c r="S136">
        <v>11.7161180508852</v>
      </c>
      <c r="T136">
        <v>0.22652424393663101</v>
      </c>
      <c r="V136">
        <v>0.52008099581243505</v>
      </c>
      <c r="W136">
        <v>4.9509122017952101E-2</v>
      </c>
      <c r="X136">
        <v>3.71318415134946E-2</v>
      </c>
      <c r="AA136">
        <v>0.410605863725927</v>
      </c>
      <c r="AB136">
        <v>4.01639304759225</v>
      </c>
      <c r="AC136">
        <v>4.2199527714947198</v>
      </c>
      <c r="AD136">
        <v>2.4754561008960601E-2</v>
      </c>
      <c r="AE136">
        <v>4.6008245473978304</v>
      </c>
    </row>
    <row r="137" spans="1:31" x14ac:dyDescent="0.2">
      <c r="A137">
        <v>136</v>
      </c>
      <c r="B137">
        <v>769</v>
      </c>
      <c r="C137">
        <v>150</v>
      </c>
      <c r="D137">
        <v>0.44342033296550898</v>
      </c>
      <c r="E137">
        <v>77.842845522839596</v>
      </c>
      <c r="F137">
        <v>2.1975719176474802</v>
      </c>
      <c r="G137">
        <v>-1270.2507731505129</v>
      </c>
      <c r="H137">
        <v>-1064.7438448699338</v>
      </c>
      <c r="I137">
        <v>197.19515259855001</v>
      </c>
      <c r="J137">
        <v>103.896326436867</v>
      </c>
      <c r="K137">
        <v>35.422206162049399</v>
      </c>
      <c r="L137">
        <v>1.3598572452552858E-4</v>
      </c>
      <c r="M137">
        <v>1.7227670652847733E-5</v>
      </c>
      <c r="N137" s="1">
        <v>2.06892113287399E-6</v>
      </c>
      <c r="O137" s="1">
        <v>6.3270479263600002E-8</v>
      </c>
      <c r="P137" s="1">
        <v>-3.2063132193767898E-7</v>
      </c>
      <c r="Q137">
        <v>74.037768742146</v>
      </c>
      <c r="R137">
        <v>0.102771166011059</v>
      </c>
      <c r="S137">
        <v>11.7109077006038</v>
      </c>
      <c r="T137">
        <v>0.235488677618336</v>
      </c>
      <c r="V137">
        <v>0.53945184311899397</v>
      </c>
      <c r="W137">
        <v>5.1385583005511097E-2</v>
      </c>
      <c r="X137">
        <v>3.8539187254165899E-2</v>
      </c>
      <c r="AA137">
        <v>0.40781104980176103</v>
      </c>
      <c r="AB137">
        <v>3.97441243417645</v>
      </c>
      <c r="AC137">
        <v>4.2908286118731702</v>
      </c>
      <c r="AD137">
        <v>2.5692791502738999E-2</v>
      </c>
      <c r="AE137">
        <v>4.5849422128878299</v>
      </c>
    </row>
    <row r="138" spans="1:31" x14ac:dyDescent="0.2">
      <c r="A138">
        <v>137</v>
      </c>
      <c r="B138">
        <v>768</v>
      </c>
      <c r="C138">
        <v>150</v>
      </c>
      <c r="D138">
        <v>0.442818517984921</v>
      </c>
      <c r="E138">
        <v>74.654361408463203</v>
      </c>
      <c r="F138">
        <v>2.19887247034469</v>
      </c>
      <c r="G138">
        <v>-1217.4108841304935</v>
      </c>
      <c r="H138">
        <v>-1020.7352368426924</v>
      </c>
      <c r="I138">
        <v>188.90231694549399</v>
      </c>
      <c r="J138">
        <v>99.603887305208303</v>
      </c>
      <c r="K138">
        <v>33.951201088419701</v>
      </c>
      <c r="L138">
        <v>1.3574152287967975E-4</v>
      </c>
      <c r="M138">
        <v>1.7189162145946325E-5</v>
      </c>
      <c r="N138" s="1">
        <v>1.9794685798002402E-6</v>
      </c>
      <c r="O138" s="1">
        <v>6.0442125773863604E-8</v>
      </c>
      <c r="P138" s="1">
        <v>-3.0672169056014101E-7</v>
      </c>
      <c r="Q138">
        <v>73.992635258130704</v>
      </c>
      <c r="R138">
        <v>0.10716051747104199</v>
      </c>
      <c r="S138">
        <v>11.704140409516601</v>
      </c>
      <c r="T138">
        <v>0.24592460432935401</v>
      </c>
      <c r="V138">
        <v>0.56215148120432801</v>
      </c>
      <c r="W138">
        <v>5.3580258735499403E-2</v>
      </c>
      <c r="X138">
        <v>4.0185194051663403E-2</v>
      </c>
      <c r="AA138">
        <v>0.40677891867697902</v>
      </c>
      <c r="AB138">
        <v>3.9307772083865702</v>
      </c>
      <c r="AC138">
        <v>4.3610387490814304</v>
      </c>
      <c r="AD138">
        <v>2.67901293677303E-2</v>
      </c>
      <c r="AE138">
        <v>4.5688372710480598</v>
      </c>
    </row>
    <row r="139" spans="1:31" x14ac:dyDescent="0.2">
      <c r="A139">
        <v>138</v>
      </c>
      <c r="B139">
        <v>767</v>
      </c>
      <c r="C139">
        <v>150</v>
      </c>
      <c r="D139">
        <v>0.44221554583473799</v>
      </c>
      <c r="E139">
        <v>71.112742571492404</v>
      </c>
      <c r="F139">
        <v>2.2002838538501202</v>
      </c>
      <c r="G139">
        <v>-1158.8308972243935</v>
      </c>
      <c r="H139">
        <v>-971.88023489613863</v>
      </c>
      <c r="I139">
        <v>179.73432901817401</v>
      </c>
      <c r="J139">
        <v>94.844135290006093</v>
      </c>
      <c r="K139">
        <v>32.319803850333699</v>
      </c>
      <c r="L139">
        <v>1.3550545045236891E-4</v>
      </c>
      <c r="M139">
        <v>1.7150787146047518E-5</v>
      </c>
      <c r="N139" s="1">
        <v>1.88105132123097E-6</v>
      </c>
      <c r="O139" s="1">
        <v>5.73490119734528E-8</v>
      </c>
      <c r="P139" s="1">
        <v>-2.9142513947485001E-7</v>
      </c>
      <c r="Q139">
        <v>73.941821677200807</v>
      </c>
      <c r="R139">
        <v>0.112497419037925</v>
      </c>
      <c r="S139">
        <v>11.695049791421001</v>
      </c>
      <c r="T139">
        <v>0.258543051722745</v>
      </c>
      <c r="V139">
        <v>0.58981468353473199</v>
      </c>
      <c r="W139">
        <v>5.62487095189372E-2</v>
      </c>
      <c r="X139">
        <v>4.2186532139248202E-2</v>
      </c>
      <c r="AA139">
        <v>0.40802561149459798</v>
      </c>
      <c r="AB139">
        <v>3.8856986580197899</v>
      </c>
      <c r="AC139">
        <v>4.42928279514219</v>
      </c>
      <c r="AD139">
        <v>2.81243547594455E-2</v>
      </c>
      <c r="AE139">
        <v>4.5527067160084398</v>
      </c>
    </row>
    <row r="140" spans="1:31" x14ac:dyDescent="0.2">
      <c r="A140">
        <v>139</v>
      </c>
      <c r="B140">
        <v>766</v>
      </c>
      <c r="C140">
        <v>150</v>
      </c>
      <c r="D140">
        <v>0.44161141317423203</v>
      </c>
      <c r="E140">
        <v>67.035604431025206</v>
      </c>
      <c r="F140">
        <v>2.2018542327072002</v>
      </c>
      <c r="G140">
        <v>-1091.5372467792558</v>
      </c>
      <c r="H140">
        <v>-915.67481559471003</v>
      </c>
      <c r="I140">
        <v>169.23681007029299</v>
      </c>
      <c r="J140">
        <v>89.375321638778601</v>
      </c>
      <c r="K140">
        <v>30.445069176356899</v>
      </c>
      <c r="L140">
        <v>1.3529082191802874E-4</v>
      </c>
      <c r="M140">
        <v>1.7113450881682657E-5</v>
      </c>
      <c r="N140" s="1">
        <v>1.76909547106583E-6</v>
      </c>
      <c r="O140" s="1">
        <v>5.3852596971963401E-8</v>
      </c>
      <c r="P140" s="1">
        <v>-2.7403057924536502E-7</v>
      </c>
      <c r="Q140">
        <v>73.881962496863096</v>
      </c>
      <c r="R140">
        <v>0.119339566904823</v>
      </c>
      <c r="S140">
        <v>11.682285658699501</v>
      </c>
      <c r="T140">
        <v>0.27461663387069302</v>
      </c>
      <c r="V140">
        <v>0.62537358510976104</v>
      </c>
      <c r="W140">
        <v>5.9669783452377598E-2</v>
      </c>
      <c r="X140">
        <v>4.4752337589344798E-2</v>
      </c>
      <c r="AA140">
        <v>0.41243148817258102</v>
      </c>
      <c r="AB140">
        <v>3.8398052390163802</v>
      </c>
      <c r="AC140">
        <v>4.4929473305534096</v>
      </c>
      <c r="AD140">
        <v>2.9834891726157699E-2</v>
      </c>
      <c r="AE140">
        <v>4.5369809880416803</v>
      </c>
    </row>
    <row r="141" spans="1:31" x14ac:dyDescent="0.2">
      <c r="A141">
        <v>140</v>
      </c>
      <c r="B141">
        <v>765</v>
      </c>
      <c r="C141">
        <v>150</v>
      </c>
      <c r="D141">
        <v>0.44100611664981298</v>
      </c>
      <c r="E141">
        <v>62.1698803071478</v>
      </c>
      <c r="F141">
        <v>2.2036620354116798</v>
      </c>
      <c r="G141">
        <v>-1011.4097078460846</v>
      </c>
      <c r="H141">
        <v>-848.64658465543653</v>
      </c>
      <c r="I141">
        <v>156.781893936953</v>
      </c>
      <c r="J141">
        <v>82.862555567115507</v>
      </c>
      <c r="K141">
        <v>28.2120757666606</v>
      </c>
      <c r="L141">
        <v>1.3512519928263617E-4</v>
      </c>
      <c r="M141">
        <v>1.7079135410146783E-5</v>
      </c>
      <c r="N141" s="1">
        <v>1.63735970956E-6</v>
      </c>
      <c r="O141" s="1">
        <v>4.97640780808423E-8</v>
      </c>
      <c r="P141" s="1">
        <v>-2.53566968784632E-7</v>
      </c>
      <c r="Q141">
        <v>73.807020067655202</v>
      </c>
      <c r="R141">
        <v>0.12867967511724501</v>
      </c>
      <c r="S141">
        <v>11.663485392156201</v>
      </c>
      <c r="T141">
        <v>0.29640693775233701</v>
      </c>
      <c r="V141">
        <v>0.67405079336088503</v>
      </c>
      <c r="W141">
        <v>6.4339837558581095E-2</v>
      </c>
      <c r="X141">
        <v>4.82548781690103E-2</v>
      </c>
      <c r="AA141">
        <v>0.42137982318491402</v>
      </c>
      <c r="AB141">
        <v>3.7948985284394601</v>
      </c>
      <c r="AC141">
        <v>4.5466888121830502</v>
      </c>
      <c r="AD141">
        <v>3.2169918779253397E-2</v>
      </c>
      <c r="AE141">
        <v>4.5226253356437001</v>
      </c>
    </row>
    <row r="142" spans="1:31" x14ac:dyDescent="0.2">
      <c r="A142">
        <v>141</v>
      </c>
      <c r="B142">
        <v>764</v>
      </c>
      <c r="C142">
        <v>150</v>
      </c>
      <c r="D142">
        <v>0.44039965289495597</v>
      </c>
      <c r="E142">
        <v>35.013162619506197</v>
      </c>
      <c r="F142">
        <v>2.2043439005784999</v>
      </c>
      <c r="G142">
        <v>-569.4423215325329</v>
      </c>
      <c r="H142">
        <v>-477.91643673443997</v>
      </c>
      <c r="I142">
        <v>88.247490525085794</v>
      </c>
      <c r="J142">
        <v>46.6727236113598</v>
      </c>
      <c r="K142">
        <v>15.8837115253737</v>
      </c>
      <c r="L142">
        <v>1.3508399767315078E-4</v>
      </c>
      <c r="M142">
        <v>1.7052057876668311E-5</v>
      </c>
      <c r="N142" s="1">
        <v>9.2252208056112397E-7</v>
      </c>
      <c r="O142" s="1">
        <v>2.7987231656554301E-8</v>
      </c>
      <c r="P142" s="1">
        <v>-1.4298861460487101E-7</v>
      </c>
      <c r="Q142">
        <v>73.785438100483603</v>
      </c>
      <c r="R142">
        <v>0.15142299806568399</v>
      </c>
      <c r="S142">
        <v>11.5541655938961</v>
      </c>
      <c r="T142">
        <v>0.27653437012738702</v>
      </c>
      <c r="V142">
        <v>0.624725590812931</v>
      </c>
      <c r="W142">
        <v>0.114242750461204</v>
      </c>
      <c r="X142">
        <v>7.9140771749985794E-2</v>
      </c>
      <c r="AA142">
        <v>0.48408528006263601</v>
      </c>
      <c r="AB142">
        <v>3.7704442507240801</v>
      </c>
      <c r="AC142">
        <v>4.5833093228655404</v>
      </c>
      <c r="AD142">
        <v>5.7121375230506102E-2</v>
      </c>
      <c r="AE142">
        <v>4.5193695955201996</v>
      </c>
    </row>
    <row r="143" spans="1:31" x14ac:dyDescent="0.2">
      <c r="A143">
        <v>142</v>
      </c>
      <c r="B143">
        <v>763</v>
      </c>
      <c r="C143">
        <v>150</v>
      </c>
      <c r="D143">
        <v>0.43979201853014099</v>
      </c>
      <c r="E143">
        <v>22.933367970973901</v>
      </c>
      <c r="F143">
        <v>2.2049123188567399</v>
      </c>
      <c r="G143">
        <v>-372.80542401346941</v>
      </c>
      <c r="H143">
        <v>-312.90608880432808</v>
      </c>
      <c r="I143">
        <v>57.809521024119299</v>
      </c>
      <c r="J143">
        <v>30.582830876897599</v>
      </c>
      <c r="K143">
        <v>10.401033988900201</v>
      </c>
      <c r="L143">
        <v>1.3543070844769379E-4</v>
      </c>
      <c r="M143">
        <v>1.7056152006416146E-5</v>
      </c>
      <c r="N143" s="1">
        <v>6.0688893135883602E-7</v>
      </c>
      <c r="O143" s="1">
        <v>1.8372046153920401E-8</v>
      </c>
      <c r="P143" s="1">
        <v>-9.4178948150510101E-8</v>
      </c>
      <c r="Q143">
        <v>73.734967966354702</v>
      </c>
      <c r="R143">
        <v>0.16787165072257301</v>
      </c>
      <c r="S143">
        <v>11.4099942846002</v>
      </c>
      <c r="T143">
        <v>0.27091910244504602</v>
      </c>
      <c r="V143">
        <v>0.60802241126410494</v>
      </c>
      <c r="W143">
        <v>0.174418341216178</v>
      </c>
      <c r="X143">
        <v>0.113420252233102</v>
      </c>
      <c r="AA143">
        <v>0.53944174506145504</v>
      </c>
      <c r="AB143">
        <v>3.79698002486314</v>
      </c>
      <c r="AC143">
        <v>4.5627681921060397</v>
      </c>
      <c r="AD143">
        <v>8.7209170607925601E-2</v>
      </c>
      <c r="AE143">
        <v>4.5339868585254202</v>
      </c>
    </row>
    <row r="144" spans="1:31" x14ac:dyDescent="0.2">
      <c r="A144">
        <v>143</v>
      </c>
      <c r="B144">
        <v>762</v>
      </c>
      <c r="C144">
        <v>150</v>
      </c>
      <c r="D144">
        <v>0.439183210162781</v>
      </c>
      <c r="E144">
        <v>16.869829124440201</v>
      </c>
      <c r="F144">
        <v>2.2053276018049202</v>
      </c>
      <c r="G144">
        <v>-274.10041691172529</v>
      </c>
      <c r="H144">
        <v>-230.06725294785792</v>
      </c>
      <c r="I144">
        <v>42.537954850859599</v>
      </c>
      <c r="J144">
        <v>22.507229085333101</v>
      </c>
      <c r="K144">
        <v>7.6495796409718304</v>
      </c>
      <c r="L144">
        <v>1.3587396339962983E-4</v>
      </c>
      <c r="M144">
        <v>1.7068655789458981E-5</v>
      </c>
      <c r="N144" s="1">
        <v>4.48879438228905E-7</v>
      </c>
      <c r="O144" s="1">
        <v>1.35583068202002E-8</v>
      </c>
      <c r="P144" s="1">
        <v>-6.9751676719852304E-8</v>
      </c>
      <c r="Q144">
        <v>73.682167970360695</v>
      </c>
      <c r="R144">
        <v>0.17739968020570299</v>
      </c>
      <c r="S144">
        <v>11.259427910909199</v>
      </c>
      <c r="T144">
        <v>0.26810367300861498</v>
      </c>
      <c r="V144">
        <v>0.59768595682970604</v>
      </c>
      <c r="W144">
        <v>0.23710969272369201</v>
      </c>
      <c r="X144">
        <v>0.14636645455651701</v>
      </c>
      <c r="AA144">
        <v>0.59120343457278801</v>
      </c>
      <c r="AB144">
        <v>3.8371359322740002</v>
      </c>
      <c r="AC144">
        <v>4.53113918504555</v>
      </c>
      <c r="AD144">
        <v>0.118554846361594</v>
      </c>
      <c r="AE144">
        <v>4.5537052631519197</v>
      </c>
    </row>
    <row r="145" spans="1:31" x14ac:dyDescent="0.2">
      <c r="A145">
        <v>144</v>
      </c>
      <c r="B145">
        <v>761</v>
      </c>
      <c r="C145">
        <v>150</v>
      </c>
      <c r="D145">
        <v>0.43857322438717999</v>
      </c>
      <c r="E145">
        <v>13.3053692724536</v>
      </c>
      <c r="F145">
        <v>2.2056586856371299</v>
      </c>
      <c r="G145">
        <v>-216.07505292648264</v>
      </c>
      <c r="H145">
        <v>-181.36589819376198</v>
      </c>
      <c r="I145">
        <v>33.562978999874801</v>
      </c>
      <c r="J145">
        <v>17.7602272009835</v>
      </c>
      <c r="K145">
        <v>6.0323790616816302</v>
      </c>
      <c r="L145">
        <v>1.3636533783069864E-4</v>
      </c>
      <c r="M145">
        <v>1.708554059039013E-5</v>
      </c>
      <c r="N145" s="1">
        <v>3.5617531687098101E-7</v>
      </c>
      <c r="O145" s="1">
        <v>1.07336918385345E-8</v>
      </c>
      <c r="P145" s="1">
        <v>-5.5422643618204999E-8</v>
      </c>
      <c r="Q145">
        <v>73.627985653130594</v>
      </c>
      <c r="R145">
        <v>0.18292113303166799</v>
      </c>
      <c r="S145">
        <v>11.107612318388901</v>
      </c>
      <c r="T145">
        <v>0.26682365070555503</v>
      </c>
      <c r="V145">
        <v>0.59084851636917501</v>
      </c>
      <c r="W145">
        <v>0.30063051374894001</v>
      </c>
      <c r="X145">
        <v>0.17747632680570599</v>
      </c>
      <c r="AA145">
        <v>0.64127735740568903</v>
      </c>
      <c r="AB145">
        <v>3.8835292528366301</v>
      </c>
      <c r="AC145">
        <v>4.49453441079475</v>
      </c>
      <c r="AD145">
        <v>0.15031525687414099</v>
      </c>
      <c r="AE145">
        <v>4.5760456099080598</v>
      </c>
    </row>
    <row r="146" spans="1:31" x14ac:dyDescent="0.2">
      <c r="A146">
        <v>145</v>
      </c>
      <c r="B146">
        <v>760</v>
      </c>
      <c r="C146">
        <v>150</v>
      </c>
      <c r="D146">
        <v>0.43796205778444602</v>
      </c>
      <c r="E146">
        <v>10.663868003267501</v>
      </c>
      <c r="F146">
        <v>2.2057305933645202</v>
      </c>
      <c r="G146">
        <v>-173.06755277420316</v>
      </c>
      <c r="H146">
        <v>-145.25790871746617</v>
      </c>
      <c r="I146">
        <v>26.917334420690999</v>
      </c>
      <c r="J146">
        <v>14.2413986901259</v>
      </c>
      <c r="K146">
        <v>4.8346194387236396</v>
      </c>
      <c r="L146">
        <v>1.3701329688552719E-4</v>
      </c>
      <c r="M146">
        <v>1.7115466272888272E-5</v>
      </c>
      <c r="N146" s="1">
        <v>2.8773224618952801E-7</v>
      </c>
      <c r="O146" s="1">
        <v>8.6501142267642093E-9</v>
      </c>
      <c r="P146" s="1">
        <v>-4.48560369681118E-8</v>
      </c>
      <c r="Q146">
        <v>73.569615077354499</v>
      </c>
      <c r="R146">
        <v>0.172267046094365</v>
      </c>
      <c r="S146">
        <v>10.934247141047001</v>
      </c>
      <c r="T146">
        <v>0.27157279445853899</v>
      </c>
      <c r="V146">
        <v>0.59692888082883599</v>
      </c>
      <c r="W146">
        <v>0.372457481506004</v>
      </c>
      <c r="X146">
        <v>0.19618423015303699</v>
      </c>
      <c r="AA146">
        <v>0.69818998061253201</v>
      </c>
      <c r="AB146">
        <v>3.9475311016413999</v>
      </c>
      <c r="AC146">
        <v>4.4462751639895597</v>
      </c>
      <c r="AD146">
        <v>0.18754920816540599</v>
      </c>
      <c r="AE146">
        <v>4.6071818941486899</v>
      </c>
    </row>
    <row r="147" spans="1:31" x14ac:dyDescent="0.2">
      <c r="A147">
        <v>146</v>
      </c>
      <c r="B147">
        <v>806</v>
      </c>
      <c r="C147">
        <v>125</v>
      </c>
      <c r="D147">
        <v>0.490386415234215</v>
      </c>
      <c r="E147">
        <v>104.35431218969499</v>
      </c>
      <c r="F147">
        <v>2.18792286075674</v>
      </c>
      <c r="G147">
        <v>-1718.1272678950147</v>
      </c>
      <c r="H147">
        <v>-1428.4949803456486</v>
      </c>
      <c r="I147">
        <v>268.38927632800397</v>
      </c>
      <c r="J147">
        <v>140.08843236067301</v>
      </c>
      <c r="K147">
        <v>47.695608497642503</v>
      </c>
      <c r="L147">
        <v>1.3381315671866654E-4</v>
      </c>
      <c r="M147">
        <v>1.7369479806206819E-5</v>
      </c>
      <c r="N147" s="1">
        <v>2.5245008286267101E-6</v>
      </c>
      <c r="O147" s="1">
        <v>8.3890385384294003E-8</v>
      </c>
      <c r="P147" s="1">
        <v>-4.1323619122250498E-7</v>
      </c>
      <c r="Q147">
        <v>73.844576599706997</v>
      </c>
      <c r="R147">
        <v>7.6661901479045502E-2</v>
      </c>
      <c r="S147">
        <v>12.323400662756899</v>
      </c>
      <c r="T147">
        <v>0.16938478624759101</v>
      </c>
      <c r="V147">
        <v>0.408051283140687</v>
      </c>
      <c r="W147">
        <v>3.8330950739522501E-2</v>
      </c>
      <c r="X147">
        <v>2.8748213054642299E-2</v>
      </c>
      <c r="AA147">
        <v>0.55579878572307795</v>
      </c>
      <c r="AB147">
        <v>4.5901313510578303</v>
      </c>
      <c r="AC147">
        <v>3.6222748448848598</v>
      </c>
      <c r="AD147">
        <v>1.9165475369761001E-2</v>
      </c>
      <c r="AE147">
        <v>4.3234751458390104</v>
      </c>
    </row>
    <row r="148" spans="1:31" x14ac:dyDescent="0.2">
      <c r="A148">
        <v>147</v>
      </c>
      <c r="B148">
        <v>805</v>
      </c>
      <c r="C148">
        <v>125</v>
      </c>
      <c r="D148">
        <v>0.48984881509993899</v>
      </c>
      <c r="E148">
        <v>104.135285941012</v>
      </c>
      <c r="F148">
        <v>2.1881744383383701</v>
      </c>
      <c r="G148">
        <v>-1714.2026902106072</v>
      </c>
      <c r="H148">
        <v>-1425.6186324975627</v>
      </c>
      <c r="I148">
        <v>267.665962726006</v>
      </c>
      <c r="J148">
        <v>139.764477989103</v>
      </c>
      <c r="K148">
        <v>47.590029440289698</v>
      </c>
      <c r="L148">
        <v>1.3371325195937926E-4</v>
      </c>
      <c r="M148">
        <v>1.7360406643372492E-5</v>
      </c>
      <c r="N148" s="1">
        <v>2.5211528159067798E-6</v>
      </c>
      <c r="O148" s="1">
        <v>8.3626236764438903E-8</v>
      </c>
      <c r="P148" s="1">
        <v>-4.1203478975332799E-7</v>
      </c>
      <c r="Q148">
        <v>73.869511901062694</v>
      </c>
      <c r="R148">
        <v>7.6823143353460493E-2</v>
      </c>
      <c r="S148">
        <v>12.306556094016599</v>
      </c>
      <c r="T148">
        <v>0.16994348169496301</v>
      </c>
      <c r="V148">
        <v>0.40872738201366399</v>
      </c>
      <c r="W148">
        <v>3.8411571676729699E-2</v>
      </c>
      <c r="X148">
        <v>2.8808678757548299E-2</v>
      </c>
      <c r="AA148">
        <v>0.55210949497117601</v>
      </c>
      <c r="AB148">
        <v>4.5808022400111401</v>
      </c>
      <c r="AC148">
        <v>3.6273976381374</v>
      </c>
      <c r="AD148">
        <v>1.9205785838364402E-2</v>
      </c>
      <c r="AE148">
        <v>4.3217025884661497</v>
      </c>
    </row>
    <row r="149" spans="1:31" x14ac:dyDescent="0.2">
      <c r="A149">
        <v>148</v>
      </c>
      <c r="B149">
        <v>804</v>
      </c>
      <c r="C149">
        <v>125</v>
      </c>
      <c r="D149">
        <v>0.48931021677575198</v>
      </c>
      <c r="E149">
        <v>103.68755119386999</v>
      </c>
      <c r="F149">
        <v>2.1884161807153899</v>
      </c>
      <c r="G149">
        <v>-1706.4575379659213</v>
      </c>
      <c r="H149">
        <v>-1419.5933177074876</v>
      </c>
      <c r="I149">
        <v>266.31780184601303</v>
      </c>
      <c r="J149">
        <v>139.11371678144701</v>
      </c>
      <c r="K149">
        <v>47.380179377020902</v>
      </c>
      <c r="L149">
        <v>1.3352767340517235E-4</v>
      </c>
      <c r="M149">
        <v>1.7346879870337166E-5</v>
      </c>
      <c r="N149" s="1">
        <v>2.5106815483244102E-6</v>
      </c>
      <c r="O149" s="1">
        <v>8.3131781150119999E-8</v>
      </c>
      <c r="P149" s="1">
        <v>-4.0956626139518102E-7</v>
      </c>
      <c r="Q149">
        <v>73.9211025980767</v>
      </c>
      <c r="R149">
        <v>7.7154874504095597E-2</v>
      </c>
      <c r="S149">
        <v>12.2722867995511</v>
      </c>
      <c r="T149">
        <v>0.17085053232710501</v>
      </c>
      <c r="V149">
        <v>0.41033645284276099</v>
      </c>
      <c r="W149">
        <v>3.8577437252046903E-2</v>
      </c>
      <c r="X149">
        <v>2.8933077939036801E-2</v>
      </c>
      <c r="AA149">
        <v>0.54477002439817501</v>
      </c>
      <c r="AB149">
        <v>4.5616285868452398</v>
      </c>
      <c r="AC149">
        <v>3.6378426379478102</v>
      </c>
      <c r="AD149">
        <v>1.9288718626022602E-2</v>
      </c>
      <c r="AE149">
        <v>4.31722825968978</v>
      </c>
    </row>
    <row r="150" spans="1:31" x14ac:dyDescent="0.2">
      <c r="A150">
        <v>149</v>
      </c>
      <c r="B150">
        <v>803</v>
      </c>
      <c r="C150">
        <v>125</v>
      </c>
      <c r="D150">
        <v>0.48877061747897599</v>
      </c>
      <c r="E150">
        <v>103.239364208925</v>
      </c>
      <c r="F150">
        <v>2.1886602556636801</v>
      </c>
      <c r="G150">
        <v>-1698.7081505032734</v>
      </c>
      <c r="H150">
        <v>-1413.5613198184694</v>
      </c>
      <c r="I150">
        <v>264.96941010528599</v>
      </c>
      <c r="J150">
        <v>138.46262513796901</v>
      </c>
      <c r="K150">
        <v>47.170118770955298</v>
      </c>
      <c r="L150">
        <v>1.333406555095216E-4</v>
      </c>
      <c r="M150">
        <v>1.7333296911916984E-5</v>
      </c>
      <c r="N150" s="1">
        <v>2.5001625442039502E-6</v>
      </c>
      <c r="O150" s="1">
        <v>8.2637386879974295E-8</v>
      </c>
      <c r="P150" s="1">
        <v>-4.0709424970109201E-7</v>
      </c>
      <c r="Q150">
        <v>73.972848454990697</v>
      </c>
      <c r="R150">
        <v>7.74898224267489E-2</v>
      </c>
      <c r="S150">
        <v>12.237952241095099</v>
      </c>
      <c r="T150">
        <v>0.17176614474356</v>
      </c>
      <c r="V150">
        <v>0.41196133710218402</v>
      </c>
      <c r="W150">
        <v>3.8744911213373097E-2</v>
      </c>
      <c r="X150">
        <v>2.9058683410032201E-2</v>
      </c>
      <c r="AA150">
        <v>0.53766022354188803</v>
      </c>
      <c r="AB150">
        <v>4.5421922759437798</v>
      </c>
      <c r="AC150">
        <v>3.6482469163004798</v>
      </c>
      <c r="AD150">
        <v>1.9372455606685299E-2</v>
      </c>
      <c r="AE150">
        <v>4.3127065336253496</v>
      </c>
    </row>
    <row r="151" spans="1:31" x14ac:dyDescent="0.2">
      <c r="A151">
        <v>150</v>
      </c>
      <c r="B151">
        <v>802</v>
      </c>
      <c r="C151">
        <v>125</v>
      </c>
      <c r="D151">
        <v>0.48823001441659297</v>
      </c>
      <c r="E151">
        <v>102.79093421150399</v>
      </c>
      <c r="F151">
        <v>2.18890655691321</v>
      </c>
      <c r="G151">
        <v>-1690.9580284012607</v>
      </c>
      <c r="H151">
        <v>-1407.5255101520727</v>
      </c>
      <c r="I151">
        <v>263.62137213336501</v>
      </c>
      <c r="J151">
        <v>137.81149611174899</v>
      </c>
      <c r="K151">
        <v>46.959946228339803</v>
      </c>
      <c r="L151">
        <v>1.3315226472056447E-4</v>
      </c>
      <c r="M151">
        <v>1.7319662758986297E-5</v>
      </c>
      <c r="N151" s="1">
        <v>2.4896027028925598E-6</v>
      </c>
      <c r="O151" s="1">
        <v>8.2143279901476204E-8</v>
      </c>
      <c r="P151" s="1">
        <v>-4.0462000322097802E-7</v>
      </c>
      <c r="Q151">
        <v>74.024740598632505</v>
      </c>
      <c r="R151">
        <v>7.78278752048224E-2</v>
      </c>
      <c r="S151">
        <v>12.203558065944501</v>
      </c>
      <c r="T151">
        <v>0.17269012063383399</v>
      </c>
      <c r="V151">
        <v>0.41360139502566001</v>
      </c>
      <c r="W151">
        <v>3.8913937602409597E-2</v>
      </c>
      <c r="X151">
        <v>2.91854532018101E-2</v>
      </c>
      <c r="AA151">
        <v>0.53077569842844396</v>
      </c>
      <c r="AB151">
        <v>4.5225053794177201</v>
      </c>
      <c r="AC151">
        <v>3.65860450884563</v>
      </c>
      <c r="AD151">
        <v>1.94569688012033E-2</v>
      </c>
      <c r="AE151">
        <v>4.3081399982614403</v>
      </c>
    </row>
    <row r="152" spans="1:31" x14ac:dyDescent="0.2">
      <c r="A152">
        <v>151</v>
      </c>
      <c r="B152">
        <v>801</v>
      </c>
      <c r="C152">
        <v>125</v>
      </c>
      <c r="D152">
        <v>0.487688404785181</v>
      </c>
      <c r="E152">
        <v>102.34246892872</v>
      </c>
      <c r="F152">
        <v>2.1891549774256598</v>
      </c>
      <c r="G152">
        <v>-1683.2106432679382</v>
      </c>
      <c r="H152">
        <v>-1401.4887394666182</v>
      </c>
      <c r="I152">
        <v>262.27426690994702</v>
      </c>
      <c r="J152">
        <v>137.16062028296</v>
      </c>
      <c r="K152">
        <v>46.7497596031642</v>
      </c>
      <c r="L152">
        <v>1.3296256843782039E-4</v>
      </c>
      <c r="M152">
        <v>1.730598240356216E-5</v>
      </c>
      <c r="N152" s="1">
        <v>2.4790088846296499E-6</v>
      </c>
      <c r="O152" s="1">
        <v>8.1649683289369902E-8</v>
      </c>
      <c r="P152" s="1">
        <v>-4.0214475877274797E-7</v>
      </c>
      <c r="Q152">
        <v>74.076769894600304</v>
      </c>
      <c r="R152">
        <v>7.8168917398035498E-2</v>
      </c>
      <c r="S152">
        <v>12.1691100599566</v>
      </c>
      <c r="T152">
        <v>0.17362225448281801</v>
      </c>
      <c r="V152">
        <v>0.41525596756845601</v>
      </c>
      <c r="W152">
        <v>3.9084458699015799E-2</v>
      </c>
      <c r="X152">
        <v>2.93133440242654E-2</v>
      </c>
      <c r="AA152">
        <v>0.52411188013473597</v>
      </c>
      <c r="AB152">
        <v>4.5025801685938296</v>
      </c>
      <c r="AC152">
        <v>3.6689095635936502</v>
      </c>
      <c r="AD152">
        <v>1.9542229349506099E-2</v>
      </c>
      <c r="AE152">
        <v>4.3035312615987298</v>
      </c>
    </row>
    <row r="153" spans="1:31" x14ac:dyDescent="0.2">
      <c r="A153">
        <v>152</v>
      </c>
      <c r="B153">
        <v>800</v>
      </c>
      <c r="C153">
        <v>125</v>
      </c>
      <c r="D153">
        <v>0.48714578577086598</v>
      </c>
      <c r="E153">
        <v>101.89417366735501</v>
      </c>
      <c r="F153">
        <v>2.18940540983587</v>
      </c>
      <c r="G153">
        <v>-1675.4694224089324</v>
      </c>
      <c r="H153">
        <v>-1395.4538253120397</v>
      </c>
      <c r="I153">
        <v>260.92866523495502</v>
      </c>
      <c r="J153">
        <v>136.510284474381</v>
      </c>
      <c r="K153">
        <v>46.539655565660503</v>
      </c>
      <c r="L153">
        <v>1.3277163469511646E-4</v>
      </c>
      <c r="M153">
        <v>1.7292260818050415E-5</v>
      </c>
      <c r="N153" s="1">
        <v>2.46838788044684E-6</v>
      </c>
      <c r="O153" s="1">
        <v>8.1156816295604199E-8</v>
      </c>
      <c r="P153" s="1">
        <v>-3.99669736094654E-7</v>
      </c>
      <c r="Q153">
        <v>74.128926997238295</v>
      </c>
      <c r="R153">
        <v>7.8512830636587705E-2</v>
      </c>
      <c r="S153">
        <v>12.1346141167885</v>
      </c>
      <c r="T153">
        <v>0.17456233474434801</v>
      </c>
      <c r="V153">
        <v>0.41692437969534502</v>
      </c>
      <c r="W153">
        <v>3.9256415318291597E-2</v>
      </c>
      <c r="X153">
        <v>2.94423114887227E-2</v>
      </c>
      <c r="AA153">
        <v>0.51766404679594102</v>
      </c>
      <c r="AB153">
        <v>4.4824290581237802</v>
      </c>
      <c r="AC153">
        <v>3.6791563616140399</v>
      </c>
      <c r="AD153">
        <v>1.96282076591437E-2</v>
      </c>
      <c r="AE153">
        <v>4.2988829398968997</v>
      </c>
    </row>
    <row r="154" spans="1:31" x14ac:dyDescent="0.2">
      <c r="A154">
        <v>153</v>
      </c>
      <c r="B154">
        <v>799</v>
      </c>
      <c r="C154">
        <v>125</v>
      </c>
      <c r="D154">
        <v>0.48660215454927003</v>
      </c>
      <c r="E154">
        <v>101.446250442017</v>
      </c>
      <c r="F154">
        <v>2.1896577468793899</v>
      </c>
      <c r="G154">
        <v>-1667.7377343600544</v>
      </c>
      <c r="H154">
        <v>-1389.4235400746984</v>
      </c>
      <c r="I154">
        <v>259.58512734725099</v>
      </c>
      <c r="J154">
        <v>135.86077053951999</v>
      </c>
      <c r="K154">
        <v>46.3297291947083</v>
      </c>
      <c r="L154">
        <v>1.3257953184866634E-4</v>
      </c>
      <c r="M154">
        <v>1.727850293526388E-5</v>
      </c>
      <c r="N154" s="1">
        <v>2.4577463836414699E-6</v>
      </c>
      <c r="O154" s="1">
        <v>8.0664893460176705E-8</v>
      </c>
      <c r="P154" s="1">
        <v>-3.9719613280816597E-7</v>
      </c>
      <c r="Q154">
        <v>74.181202399846498</v>
      </c>
      <c r="R154">
        <v>7.8859494216325293E-2</v>
      </c>
      <c r="S154">
        <v>12.1000762071609</v>
      </c>
      <c r="T154">
        <v>0.17551014501908299</v>
      </c>
      <c r="V154">
        <v>0.41860594367181903</v>
      </c>
      <c r="W154">
        <v>3.9429747108160003E-2</v>
      </c>
      <c r="X154">
        <v>2.9572310331124899E-2</v>
      </c>
      <c r="AA154">
        <v>0.51142734569391402</v>
      </c>
      <c r="AB154">
        <v>4.4620645511391501</v>
      </c>
      <c r="AC154">
        <v>3.6893393360325302</v>
      </c>
      <c r="AD154">
        <v>1.97148735540775E-2</v>
      </c>
      <c r="AE154">
        <v>4.2941976462263298</v>
      </c>
    </row>
    <row r="155" spans="1:31" x14ac:dyDescent="0.2">
      <c r="A155">
        <v>154</v>
      </c>
      <c r="B155">
        <v>798</v>
      </c>
      <c r="C155">
        <v>125</v>
      </c>
      <c r="D155">
        <v>0.48605750828548999</v>
      </c>
      <c r="E155">
        <v>100.99889717662001</v>
      </c>
      <c r="F155">
        <v>2.1899118817988001</v>
      </c>
      <c r="G155">
        <v>-1660.0188756679422</v>
      </c>
      <c r="H155">
        <v>-1383.4006000291226</v>
      </c>
      <c r="I155">
        <v>258.24420075509403</v>
      </c>
      <c r="J155">
        <v>135.21235425597001</v>
      </c>
      <c r="K155">
        <v>46.120073604815303</v>
      </c>
      <c r="L155">
        <v>1.3238632828141872E-4</v>
      </c>
      <c r="M155">
        <v>1.7264713629873564E-5</v>
      </c>
      <c r="N155" s="1">
        <v>2.4470909636090901E-6</v>
      </c>
      <c r="O155" s="1">
        <v>8.0174123807297596E-8</v>
      </c>
      <c r="P155" s="1">
        <v>-3.9472511983076803E-7</v>
      </c>
      <c r="Q155">
        <v>74.233586482641101</v>
      </c>
      <c r="R155">
        <v>7.9208785676246701E-2</v>
      </c>
      <c r="S155">
        <v>12.0655023496687</v>
      </c>
      <c r="T155">
        <v>0.17646546519907999</v>
      </c>
      <c r="V155">
        <v>0.42029996225640898</v>
      </c>
      <c r="W155">
        <v>3.9604392838120402E-2</v>
      </c>
      <c r="X155">
        <v>2.9703294628595701E-2</v>
      </c>
      <c r="AA155">
        <v>0.50539681537202996</v>
      </c>
      <c r="AB155">
        <v>4.4414991867207201</v>
      </c>
      <c r="AC155">
        <v>3.6994530888636699</v>
      </c>
      <c r="AD155">
        <v>1.9802196419057401E-2</v>
      </c>
      <c r="AE155">
        <v>4.2894779797162004</v>
      </c>
    </row>
    <row r="156" spans="1:31" x14ac:dyDescent="0.2">
      <c r="A156">
        <v>155</v>
      </c>
      <c r="B156">
        <v>797</v>
      </c>
      <c r="C156">
        <v>125</v>
      </c>
      <c r="D156">
        <v>0.48551184413399801</v>
      </c>
      <c r="E156">
        <v>100.55230696477901</v>
      </c>
      <c r="F156">
        <v>2.1901677087278801</v>
      </c>
      <c r="G156">
        <v>-1652.3160586747433</v>
      </c>
      <c r="H156">
        <v>-1377.3876551977912</v>
      </c>
      <c r="I156">
        <v>256.906418237585</v>
      </c>
      <c r="J156">
        <v>134.56530430286099</v>
      </c>
      <c r="K156">
        <v>45.910779601066601</v>
      </c>
      <c r="L156">
        <v>1.3219209211681721E-4</v>
      </c>
      <c r="M156">
        <v>1.7250897700882989E-5</v>
      </c>
      <c r="N156" s="1">
        <v>2.4364280415470902E-6</v>
      </c>
      <c r="O156" s="1">
        <v>7.9684710110325097E-8</v>
      </c>
      <c r="P156" s="1">
        <v>-3.9225783714837199E-7</v>
      </c>
      <c r="Q156">
        <v>74.286069560473905</v>
      </c>
      <c r="R156">
        <v>7.9560581367888794E-2</v>
      </c>
      <c r="S156">
        <v>12.030898581859899</v>
      </c>
      <c r="T156">
        <v>0.17742807259836399</v>
      </c>
      <c r="V156">
        <v>0.42200573184588802</v>
      </c>
      <c r="W156">
        <v>3.97802906839409E-2</v>
      </c>
      <c r="X156">
        <v>2.98352180129621E-2</v>
      </c>
      <c r="AA156">
        <v>0.49956740724875298</v>
      </c>
      <c r="AB156">
        <v>4.4207454892511002</v>
      </c>
      <c r="AC156">
        <v>3.7094924060524401</v>
      </c>
      <c r="AD156">
        <v>1.9890145341967199E-2</v>
      </c>
      <c r="AE156">
        <v>4.2847265152627498</v>
      </c>
    </row>
    <row r="157" spans="1:31" x14ac:dyDescent="0.2">
      <c r="A157">
        <v>156</v>
      </c>
      <c r="B157">
        <v>796</v>
      </c>
      <c r="C157">
        <v>125</v>
      </c>
      <c r="D157">
        <v>0.48496515923864703</v>
      </c>
      <c r="E157">
        <v>100.106667414073</v>
      </c>
      <c r="F157">
        <v>2.1904251230482901</v>
      </c>
      <c r="G157">
        <v>-1644.6324007212663</v>
      </c>
      <c r="H157">
        <v>-1371.3872803619597</v>
      </c>
      <c r="I157">
        <v>255.57229608502601</v>
      </c>
      <c r="J157">
        <v>133.91988135780699</v>
      </c>
      <c r="K157">
        <v>45.7019353735135</v>
      </c>
      <c r="L157">
        <v>1.3199689095408289E-4</v>
      </c>
      <c r="M157">
        <v>1.7237059855802651E-5</v>
      </c>
      <c r="N157" s="1">
        <v>2.42576386886409E-6</v>
      </c>
      <c r="O157" s="1">
        <v>7.9196848251271697E-8</v>
      </c>
      <c r="P157" s="1">
        <v>-3.8979539009488698E-7</v>
      </c>
      <c r="Q157">
        <v>74.3386419273005</v>
      </c>
      <c r="R157">
        <v>7.9914756995252606E-2</v>
      </c>
      <c r="S157">
        <v>11.996270933448301</v>
      </c>
      <c r="T157">
        <v>0.17839774302653999</v>
      </c>
      <c r="V157">
        <v>0.42372254545680799</v>
      </c>
      <c r="W157">
        <v>3.9957378497622598E-2</v>
      </c>
      <c r="X157">
        <v>2.99680338732238E-2</v>
      </c>
      <c r="AA157">
        <v>0.49393400678424199</v>
      </c>
      <c r="AB157">
        <v>4.3998159210210801</v>
      </c>
      <c r="AC157">
        <v>3.7194522702397301</v>
      </c>
      <c r="AD157">
        <v>1.9978689248807802E-2</v>
      </c>
      <c r="AE157">
        <v>4.2799457941077996</v>
      </c>
    </row>
    <row r="158" spans="1:31" x14ac:dyDescent="0.2">
      <c r="A158">
        <v>157</v>
      </c>
      <c r="B158">
        <v>795</v>
      </c>
      <c r="C158">
        <v>125</v>
      </c>
      <c r="D158">
        <v>0.48441745073257497</v>
      </c>
      <c r="E158">
        <v>99.662160060474704</v>
      </c>
      <c r="F158">
        <v>2.19068402171597</v>
      </c>
      <c r="G158">
        <v>-1636.9709145370855</v>
      </c>
      <c r="H158">
        <v>-1365.40196703479</v>
      </c>
      <c r="I158">
        <v>254.242332539713</v>
      </c>
      <c r="J158">
        <v>133.27633729335801</v>
      </c>
      <c r="K158">
        <v>45.493626224748198</v>
      </c>
      <c r="L158">
        <v>1.3180079162023383E-4</v>
      </c>
      <c r="M158">
        <v>1.7223204696273973E-5</v>
      </c>
      <c r="N158" s="1">
        <v>2.41510450786999E-6</v>
      </c>
      <c r="O158" s="1">
        <v>7.8710726660184197E-8</v>
      </c>
      <c r="P158" s="1">
        <v>-3.8733884605994698E-7</v>
      </c>
      <c r="Q158">
        <v>74.391293899080495</v>
      </c>
      <c r="R158">
        <v>8.0271188133449106E-2</v>
      </c>
      <c r="S158">
        <v>11.9616254005513</v>
      </c>
      <c r="T158">
        <v>0.17937425182158201</v>
      </c>
      <c r="V158">
        <v>0.425449695587654</v>
      </c>
      <c r="W158">
        <v>4.0135594066720397E-2</v>
      </c>
      <c r="X158">
        <v>3.0101695550047901E-2</v>
      </c>
      <c r="AA158">
        <v>0.48849145378889203</v>
      </c>
      <c r="AB158">
        <v>4.3787228376457898</v>
      </c>
      <c r="AC158">
        <v>3.7293278716008702</v>
      </c>
      <c r="AD158">
        <v>2.0067797033356299E-2</v>
      </c>
      <c r="AE158">
        <v>4.2751383151397597</v>
      </c>
    </row>
    <row r="159" spans="1:31" x14ac:dyDescent="0.2">
      <c r="A159">
        <v>158</v>
      </c>
      <c r="B159">
        <v>794</v>
      </c>
      <c r="C159">
        <v>125</v>
      </c>
      <c r="D159">
        <v>0.48386871573818202</v>
      </c>
      <c r="E159">
        <v>99.218959864568205</v>
      </c>
      <c r="F159">
        <v>2.1909443035618499</v>
      </c>
      <c r="G159">
        <v>-1629.3345000079121</v>
      </c>
      <c r="H159">
        <v>-1359.4341165566811</v>
      </c>
      <c r="I159">
        <v>252.91700646697299</v>
      </c>
      <c r="J159">
        <v>132.63491448914999</v>
      </c>
      <c r="K159">
        <v>45.285934335832401</v>
      </c>
      <c r="L159">
        <v>1.3160385994146002E-4</v>
      </c>
      <c r="M159">
        <v>1.7209336705122541E-5</v>
      </c>
      <c r="N159" s="1">
        <v>2.4044558150321402E-6</v>
      </c>
      <c r="O159" s="1">
        <v>7.8226525842692102E-8</v>
      </c>
      <c r="P159" s="1">
        <v>-3.8488923167190001E-7</v>
      </c>
      <c r="Q159">
        <v>74.444015853560401</v>
      </c>
      <c r="R159">
        <v>8.0629750714179493E-2</v>
      </c>
      <c r="S159">
        <v>11.9269679220158</v>
      </c>
      <c r="T159">
        <v>0.18035737481839101</v>
      </c>
      <c r="V159">
        <v>0.42718647689685302</v>
      </c>
      <c r="W159">
        <v>4.0314875357085202E-2</v>
      </c>
      <c r="X159">
        <v>3.0236156517822299E-2</v>
      </c>
      <c r="AA159">
        <v>0.48323456184094199</v>
      </c>
      <c r="AB159">
        <v>4.3574784470800596</v>
      </c>
      <c r="AC159">
        <v>3.7391146165799198</v>
      </c>
      <c r="AD159">
        <v>2.0157437678538299E-2</v>
      </c>
      <c r="AE159">
        <v>4.2703065269399598</v>
      </c>
    </row>
    <row r="160" spans="1:31" x14ac:dyDescent="0.2">
      <c r="A160">
        <v>159</v>
      </c>
      <c r="B160">
        <v>793</v>
      </c>
      <c r="C160">
        <v>125</v>
      </c>
      <c r="D160">
        <v>0.48331895136707098</v>
      </c>
      <c r="E160">
        <v>98.777234788287501</v>
      </c>
      <c r="F160">
        <v>2.1912058695544898</v>
      </c>
      <c r="G160">
        <v>-1621.7259372978167</v>
      </c>
      <c r="H160">
        <v>-1353.4860342947998</v>
      </c>
      <c r="I160">
        <v>251.59677625382699</v>
      </c>
      <c r="J160">
        <v>131.995845257925</v>
      </c>
      <c r="K160">
        <v>45.078938570190203</v>
      </c>
      <c r="L160">
        <v>1.3140616054026468E-4</v>
      </c>
      <c r="M160">
        <v>1.7195460235393596E-5</v>
      </c>
      <c r="N160" s="1">
        <v>2.3938234269261699E-6</v>
      </c>
      <c r="O160" s="1">
        <v>7.7744417998446904E-8</v>
      </c>
      <c r="P160" s="1">
        <v>-3.8244753047848301E-7</v>
      </c>
      <c r="Q160">
        <v>74.496798266735993</v>
      </c>
      <c r="R160">
        <v>8.0990321475864296E-2</v>
      </c>
      <c r="S160">
        <v>11.892304357762301</v>
      </c>
      <c r="T160">
        <v>0.18134688924780001</v>
      </c>
      <c r="V160">
        <v>0.42893218868458199</v>
      </c>
      <c r="W160">
        <v>4.0495160737927402E-2</v>
      </c>
      <c r="X160">
        <v>3.0371370553454399E-2</v>
      </c>
      <c r="AA160">
        <v>0.47815813665910001</v>
      </c>
      <c r="AB160">
        <v>4.33609477231097</v>
      </c>
      <c r="AC160">
        <v>3.7488081345848498</v>
      </c>
      <c r="AD160">
        <v>2.0247580368959101E-2</v>
      </c>
      <c r="AE160">
        <v>4.2654528208780897</v>
      </c>
    </row>
    <row r="161" spans="1:31" x14ac:dyDescent="0.2">
      <c r="A161">
        <v>160</v>
      </c>
      <c r="B161">
        <v>792</v>
      </c>
      <c r="C161">
        <v>125</v>
      </c>
      <c r="D161">
        <v>0.48276815471999501</v>
      </c>
      <c r="E161">
        <v>98.337145441627698</v>
      </c>
      <c r="F161">
        <v>2.1914686230395102</v>
      </c>
      <c r="G161">
        <v>-1614.1478811454922</v>
      </c>
      <c r="H161">
        <v>-1347.5599248021881</v>
      </c>
      <c r="I161">
        <v>250.28207890278699</v>
      </c>
      <c r="J161">
        <v>131.35935136975399</v>
      </c>
      <c r="K161">
        <v>44.872714310295002</v>
      </c>
      <c r="L161">
        <v>1.3120775664701169E-4</v>
      </c>
      <c r="M161">
        <v>1.7181579500418359E-5</v>
      </c>
      <c r="N161" s="1">
        <v>2.3832127483250599E-6</v>
      </c>
      <c r="O161" s="1">
        <v>7.72645667121011E-8</v>
      </c>
      <c r="P161" s="1">
        <v>-3.8001468101976902E-7</v>
      </c>
      <c r="Q161">
        <v>74.549631747161101</v>
      </c>
      <c r="R161">
        <v>8.1352778383719598E-2</v>
      </c>
      <c r="S161">
        <v>11.8576404686207</v>
      </c>
      <c r="T161">
        <v>0.18234257457745601</v>
      </c>
      <c r="V161">
        <v>0.43068613720721</v>
      </c>
      <c r="W161">
        <v>4.0676389191854803E-2</v>
      </c>
      <c r="X161">
        <v>3.05072918939004E-2</v>
      </c>
      <c r="AA161">
        <v>0.473256993216288</v>
      </c>
      <c r="AB161">
        <v>4.3145836174417802</v>
      </c>
      <c r="AC161">
        <v>3.7584042829631499</v>
      </c>
      <c r="AD161">
        <v>2.03381945959226E-2</v>
      </c>
      <c r="AE161">
        <v>4.2605795247468503</v>
      </c>
    </row>
    <row r="162" spans="1:31" x14ac:dyDescent="0.2">
      <c r="A162">
        <v>161</v>
      </c>
      <c r="B162">
        <v>791</v>
      </c>
      <c r="C162">
        <v>125</v>
      </c>
      <c r="D162">
        <v>0.48221632288681698</v>
      </c>
      <c r="E162">
        <v>97.898844809709502</v>
      </c>
      <c r="F162">
        <v>2.1917324699405198</v>
      </c>
      <c r="G162">
        <v>-1606.6028565075501</v>
      </c>
      <c r="H162">
        <v>-1341.6578880788175</v>
      </c>
      <c r="I162">
        <v>248.973329350874</v>
      </c>
      <c r="J162">
        <v>130.725643689554</v>
      </c>
      <c r="K162">
        <v>44.6673333321407</v>
      </c>
      <c r="L162">
        <v>1.3100870993970327E-4</v>
      </c>
      <c r="M162">
        <v>1.7167698565926252E-5</v>
      </c>
      <c r="N162" s="1">
        <v>2.37262894298717E-6</v>
      </c>
      <c r="O162" s="1">
        <v>7.6787126733283204E-8</v>
      </c>
      <c r="P162" s="1">
        <v>-3.7759157539403399E-7</v>
      </c>
      <c r="Q162">
        <v>74.602507066179498</v>
      </c>
      <c r="R162">
        <v>8.1717001008033696E-2</v>
      </c>
      <c r="S162">
        <v>11.822981898627001</v>
      </c>
      <c r="T162">
        <v>0.18334421327006101</v>
      </c>
      <c r="V162">
        <v>0.43244763776058998</v>
      </c>
      <c r="W162">
        <v>4.0858500504011498E-2</v>
      </c>
      <c r="X162">
        <v>3.0643875378018499E-2</v>
      </c>
      <c r="AA162">
        <v>0.46852597167557802</v>
      </c>
      <c r="AB162">
        <v>4.2929565377976502</v>
      </c>
      <c r="AC162">
        <v>3.7678991500383798</v>
      </c>
      <c r="AD162">
        <v>2.04292502520006E-2</v>
      </c>
      <c r="AE162">
        <v>4.2556888975090397</v>
      </c>
    </row>
    <row r="163" spans="1:31" x14ac:dyDescent="0.2">
      <c r="A163">
        <v>162</v>
      </c>
      <c r="B163">
        <v>790</v>
      </c>
      <c r="C163">
        <v>125</v>
      </c>
      <c r="D163">
        <v>0.48166345294643498</v>
      </c>
      <c r="E163">
        <v>97.462478051057204</v>
      </c>
      <c r="F163">
        <v>2.1919973189346398</v>
      </c>
      <c r="G163">
        <v>-1599.0932553917771</v>
      </c>
      <c r="H163">
        <v>-1335.7819168091621</v>
      </c>
      <c r="I163">
        <v>247.670919985528</v>
      </c>
      <c r="J163">
        <v>130.09492191429101</v>
      </c>
      <c r="K163">
        <v>44.4628637130022</v>
      </c>
      <c r="L163">
        <v>1.3080908040249379E-4</v>
      </c>
      <c r="M163">
        <v>1.7153821343393963E-5</v>
      </c>
      <c r="N163" s="1">
        <v>2.3620769266637398E-6</v>
      </c>
      <c r="O163" s="1">
        <v>7.6312243829672699E-8</v>
      </c>
      <c r="P163" s="1">
        <v>-3.75179058225528E-7</v>
      </c>
      <c r="Q163">
        <v>74.655415184967794</v>
      </c>
      <c r="R163">
        <v>8.2082870864513297E-2</v>
      </c>
      <c r="S163">
        <v>11.7883341593985</v>
      </c>
      <c r="T163">
        <v>0.184351591467142</v>
      </c>
      <c r="V163">
        <v>0.43421601655310099</v>
      </c>
      <c r="W163">
        <v>4.1041435432250903E-2</v>
      </c>
      <c r="X163">
        <v>3.0781076574198801E-2</v>
      </c>
      <c r="AA163">
        <v>0.46395995200992102</v>
      </c>
      <c r="AB163">
        <v>4.2712248137740403</v>
      </c>
      <c r="AC163">
        <v>3.7772890565160502</v>
      </c>
      <c r="AD163">
        <v>2.05207177161199E-2</v>
      </c>
      <c r="AE163">
        <v>4.2507831247262597</v>
      </c>
    </row>
    <row r="164" spans="1:31" x14ac:dyDescent="0.2">
      <c r="A164">
        <v>163</v>
      </c>
      <c r="B164">
        <v>789</v>
      </c>
      <c r="C164">
        <v>125</v>
      </c>
      <c r="D164">
        <v>0.48110954196676597</v>
      </c>
      <c r="E164">
        <v>97.028182357738103</v>
      </c>
      <c r="F164">
        <v>2.1922630815946702</v>
      </c>
      <c r="G164">
        <v>-1591.6213347241121</v>
      </c>
      <c r="H164">
        <v>-1329.9338944476672</v>
      </c>
      <c r="I164">
        <v>246.37522033276301</v>
      </c>
      <c r="J164">
        <v>129.467374396791</v>
      </c>
      <c r="K164">
        <v>44.2593697683211</v>
      </c>
      <c r="L164">
        <v>1.3060892620529895E-4</v>
      </c>
      <c r="M164">
        <v>1.7139951584922028E-5</v>
      </c>
      <c r="N164" s="1">
        <v>2.3515613621698198E-6</v>
      </c>
      <c r="O164" s="1">
        <v>7.5840054707080704E-8</v>
      </c>
      <c r="P164" s="1">
        <v>-3.72777926005867E-7</v>
      </c>
      <c r="Q164">
        <v>74.708347278894706</v>
      </c>
      <c r="R164">
        <v>8.2450271721104806E-2</v>
      </c>
      <c r="S164">
        <v>11.7537026161067</v>
      </c>
      <c r="T164">
        <v>0.18536449960672699</v>
      </c>
      <c r="V164">
        <v>0.43599061239287801</v>
      </c>
      <c r="W164">
        <v>4.12251358605462E-2</v>
      </c>
      <c r="X164">
        <v>3.09188518954212E-2</v>
      </c>
      <c r="AA164">
        <v>0.45955386724967301</v>
      </c>
      <c r="AB164">
        <v>4.2493994280890997</v>
      </c>
      <c r="AC164">
        <v>3.7865705554320499</v>
      </c>
      <c r="AD164">
        <v>2.0612567930267101E-2</v>
      </c>
      <c r="AE164">
        <v>4.24586431482071</v>
      </c>
    </row>
    <row r="165" spans="1:31" x14ac:dyDescent="0.2">
      <c r="A165">
        <v>164</v>
      </c>
      <c r="B165">
        <v>788</v>
      </c>
      <c r="C165">
        <v>125</v>
      </c>
      <c r="D165">
        <v>0.48055458700466802</v>
      </c>
      <c r="E165">
        <v>96.596086884430306</v>
      </c>
      <c r="F165">
        <v>2.19252967250564</v>
      </c>
      <c r="G165">
        <v>-1584.1892153633826</v>
      </c>
      <c r="H165">
        <v>-1324.1155942493353</v>
      </c>
      <c r="I165">
        <v>245.08657693450201</v>
      </c>
      <c r="J165">
        <v>128.84317806586199</v>
      </c>
      <c r="K165">
        <v>44.056912020734103</v>
      </c>
      <c r="L165">
        <v>1.3040830360489395E-4</v>
      </c>
      <c r="M165">
        <v>1.7126092879455796E-5</v>
      </c>
      <c r="N165" s="1">
        <v>2.3410866566369902E-6</v>
      </c>
      <c r="O165" s="1">
        <v>7.5370686999643806E-8</v>
      </c>
      <c r="P165" s="1">
        <v>-3.7038892682646603E-7</v>
      </c>
      <c r="Q165">
        <v>74.761294757926706</v>
      </c>
      <c r="R165">
        <v>8.2819089862013001E-2</v>
      </c>
      <c r="S165">
        <v>11.7190924759496</v>
      </c>
      <c r="T165">
        <v>0.18638273295635699</v>
      </c>
      <c r="V165">
        <v>0.437770778138515</v>
      </c>
      <c r="W165">
        <v>4.1409544930999902E-2</v>
      </c>
      <c r="X165">
        <v>3.1057158698262099E-2</v>
      </c>
      <c r="AA165">
        <v>0.45530271544423301</v>
      </c>
      <c r="AB165">
        <v>4.2274910468854197</v>
      </c>
      <c r="AC165">
        <v>3.7957404306391802</v>
      </c>
      <c r="AD165">
        <v>2.0704772465493598E-2</v>
      </c>
      <c r="AE165">
        <v>4.2409344961030602</v>
      </c>
    </row>
    <row r="166" spans="1:31" x14ac:dyDescent="0.2">
      <c r="A166">
        <v>165</v>
      </c>
      <c r="B166">
        <v>787</v>
      </c>
      <c r="C166">
        <v>125</v>
      </c>
      <c r="D166">
        <v>0.479998585105882</v>
      </c>
      <c r="E166">
        <v>96.166312729764797</v>
      </c>
      <c r="F166">
        <v>2.1927970093527498</v>
      </c>
      <c r="G166">
        <v>-1576.7988819859947</v>
      </c>
      <c r="H166">
        <v>-1318.3286790168368</v>
      </c>
      <c r="I166">
        <v>243.805313369955</v>
      </c>
      <c r="J166">
        <v>128.222498419217</v>
      </c>
      <c r="K166">
        <v>43.855547193650096</v>
      </c>
      <c r="L166">
        <v>1.3020726686440522E-4</v>
      </c>
      <c r="M166">
        <v>1.7112248650273824E-5</v>
      </c>
      <c r="N166" s="1">
        <v>2.3306569604961302E-6</v>
      </c>
      <c r="O166" s="1">
        <v>7.4904259314894894E-8</v>
      </c>
      <c r="P166" s="1">
        <v>-3.6801276041992101E-7</v>
      </c>
      <c r="Q166">
        <v>74.814249284522006</v>
      </c>
      <c r="R166">
        <v>8.3189214319583205E-2</v>
      </c>
      <c r="S166">
        <v>11.684508778133599</v>
      </c>
      <c r="T166">
        <v>0.18740609208252099</v>
      </c>
      <c r="V166">
        <v>0.43955588197182099</v>
      </c>
      <c r="W166">
        <v>4.1594607159784698E-2</v>
      </c>
      <c r="X166">
        <v>3.11959553698514E-2</v>
      </c>
      <c r="AA166">
        <v>0.45120157027588897</v>
      </c>
      <c r="AB166">
        <v>4.2055100039896001</v>
      </c>
      <c r="AC166">
        <v>3.80479569408898</v>
      </c>
      <c r="AD166">
        <v>2.0797303579885702E-2</v>
      </c>
      <c r="AE166">
        <v>4.23599561450634</v>
      </c>
    </row>
    <row r="167" spans="1:31" x14ac:dyDescent="0.2">
      <c r="A167">
        <v>166</v>
      </c>
      <c r="B167">
        <v>786</v>
      </c>
      <c r="C167">
        <v>125</v>
      </c>
      <c r="D167">
        <v>0.47944153330501299</v>
      </c>
      <c r="E167">
        <v>95.135705802001397</v>
      </c>
      <c r="F167">
        <v>2.19324811937995</v>
      </c>
      <c r="G167">
        <v>-1559.423422304581</v>
      </c>
      <c r="H167">
        <v>-1304.176414022269</v>
      </c>
      <c r="I167">
        <v>240.99231297012801</v>
      </c>
      <c r="J167">
        <v>126.803872627034</v>
      </c>
      <c r="K167">
        <v>43.376627095386198</v>
      </c>
      <c r="L167">
        <v>1.3001659084353143E-4</v>
      </c>
      <c r="M167">
        <v>1.7093290886909504E-5</v>
      </c>
      <c r="N167" s="1">
        <v>2.30462044381521E-6</v>
      </c>
      <c r="O167" s="1">
        <v>7.3942340835651806E-8</v>
      </c>
      <c r="P167" s="1">
        <v>-3.6340242316029298E-7</v>
      </c>
      <c r="Q167">
        <v>74.840126570131105</v>
      </c>
      <c r="R167">
        <v>8.4090404675720598E-2</v>
      </c>
      <c r="S167">
        <v>11.6605298168093</v>
      </c>
      <c r="T167">
        <v>0.189672926149967</v>
      </c>
      <c r="V167">
        <v>0.44410464976141101</v>
      </c>
      <c r="W167">
        <v>4.2045202337851403E-2</v>
      </c>
      <c r="X167">
        <v>3.1533901753405098E-2</v>
      </c>
      <c r="AA167">
        <v>0.445550705737145</v>
      </c>
      <c r="AB167">
        <v>4.1808836155943201</v>
      </c>
      <c r="AC167">
        <v>3.8312898875433299</v>
      </c>
      <c r="AD167">
        <v>2.1022601168917202E-2</v>
      </c>
      <c r="AE167">
        <v>4.2291497183374203</v>
      </c>
    </row>
    <row r="168" spans="1:31" x14ac:dyDescent="0.2">
      <c r="A168">
        <v>167</v>
      </c>
      <c r="B168">
        <v>785</v>
      </c>
      <c r="C168">
        <v>125</v>
      </c>
      <c r="D168">
        <v>0.47888342862543298</v>
      </c>
      <c r="E168">
        <v>92.787775214306293</v>
      </c>
      <c r="F168">
        <v>2.1941150833555598</v>
      </c>
      <c r="G168">
        <v>-1520.1680018995883</v>
      </c>
      <c r="H168">
        <v>-1271.6899829554056</v>
      </c>
      <c r="I168">
        <v>234.823058114806</v>
      </c>
      <c r="J168">
        <v>123.63575605555801</v>
      </c>
      <c r="K168">
        <v>42.289383960845598</v>
      </c>
      <c r="L168">
        <v>1.2984510911543106E-4</v>
      </c>
      <c r="M168">
        <v>1.7062819763209246E-5</v>
      </c>
      <c r="N168" s="1">
        <v>2.2443946092167899E-6</v>
      </c>
      <c r="O168" s="1">
        <v>7.1896674520124294E-8</v>
      </c>
      <c r="P168" s="1">
        <v>-3.5388181944167101E-7</v>
      </c>
      <c r="Q168">
        <v>74.806947446638205</v>
      </c>
      <c r="R168">
        <v>8.6218254306922995E-2</v>
      </c>
      <c r="S168">
        <v>11.659252613892299</v>
      </c>
      <c r="T168">
        <v>0.194810112093946</v>
      </c>
      <c r="V168">
        <v>0.45503859595350699</v>
      </c>
      <c r="W168">
        <v>4.3109127153451401E-2</v>
      </c>
      <c r="X168">
        <v>3.2331845365107602E-2</v>
      </c>
      <c r="AA168">
        <v>0.43689528827928198</v>
      </c>
      <c r="AB168">
        <v>4.1495992651550901</v>
      </c>
      <c r="AC168">
        <v>3.8962745436441102</v>
      </c>
      <c r="AD168">
        <v>2.15545635767159E-2</v>
      </c>
      <c r="AE168">
        <v>4.2179683439412701</v>
      </c>
    </row>
    <row r="169" spans="1:31" x14ac:dyDescent="0.2">
      <c r="A169">
        <v>168</v>
      </c>
      <c r="B169">
        <v>784</v>
      </c>
      <c r="C169">
        <v>125</v>
      </c>
      <c r="D169">
        <v>0.47832426807926898</v>
      </c>
      <c r="E169">
        <v>90.412073934525196</v>
      </c>
      <c r="F169">
        <v>2.1950135775731399</v>
      </c>
      <c r="G169">
        <v>-1480.4804944532025</v>
      </c>
      <c r="H169">
        <v>-1238.8257141898093</v>
      </c>
      <c r="I169">
        <v>228.59081517607899</v>
      </c>
      <c r="J169">
        <v>120.432041182905</v>
      </c>
      <c r="K169">
        <v>41.189756117357</v>
      </c>
      <c r="L169">
        <v>1.2966811691048581E-4</v>
      </c>
      <c r="M169">
        <v>1.7031711111713314E-5</v>
      </c>
      <c r="N169" s="1">
        <v>2.18347898828545E-6</v>
      </c>
      <c r="O169" s="1">
        <v>6.9835821201538496E-8</v>
      </c>
      <c r="P169" s="1">
        <v>-3.4425466918979798E-7</v>
      </c>
      <c r="Q169">
        <v>74.7728350003797</v>
      </c>
      <c r="R169">
        <v>8.8483757222451304E-2</v>
      </c>
      <c r="S169">
        <v>11.6577090633417</v>
      </c>
      <c r="T169">
        <v>0.200272325334102</v>
      </c>
      <c r="V169">
        <v>0.46668644496025302</v>
      </c>
      <c r="W169">
        <v>4.4241878611212697E-2</v>
      </c>
      <c r="X169">
        <v>3.3181408958434001E-2</v>
      </c>
      <c r="AA169">
        <v>0.429167513862797</v>
      </c>
      <c r="AB169">
        <v>4.1167403683430397</v>
      </c>
      <c r="AC169">
        <v>3.9621116679537098</v>
      </c>
      <c r="AD169">
        <v>2.21209393055939E-2</v>
      </c>
      <c r="AE169">
        <v>4.2064496317269002</v>
      </c>
    </row>
    <row r="170" spans="1:31" x14ac:dyDescent="0.2">
      <c r="A170">
        <v>169</v>
      </c>
      <c r="B170">
        <v>783</v>
      </c>
      <c r="C170">
        <v>125</v>
      </c>
      <c r="D170">
        <v>0.47776404866733202</v>
      </c>
      <c r="E170">
        <v>88.000021761778299</v>
      </c>
      <c r="F170">
        <v>2.1959454016171902</v>
      </c>
      <c r="G170">
        <v>-1440.2211610805095</v>
      </c>
      <c r="H170">
        <v>-1205.46586628868</v>
      </c>
      <c r="I170">
        <v>222.274577277687</v>
      </c>
      <c r="J170">
        <v>117.181428283561</v>
      </c>
      <c r="K170">
        <v>40.0738659972926</v>
      </c>
      <c r="L170">
        <v>1.2948613066140059E-4</v>
      </c>
      <c r="M170">
        <v>1.6999998047294076E-5</v>
      </c>
      <c r="N170" s="1">
        <v>2.1216919005470598E-6</v>
      </c>
      <c r="O170" s="1">
        <v>6.7753997414884005E-8</v>
      </c>
      <c r="P170" s="1">
        <v>-3.34492366457483E-7</v>
      </c>
      <c r="Q170">
        <v>74.737657833708099</v>
      </c>
      <c r="R170">
        <v>9.0909068427930603E-2</v>
      </c>
      <c r="S170">
        <v>11.6558423236176</v>
      </c>
      <c r="T170">
        <v>0.206110732732497</v>
      </c>
      <c r="V170">
        <v>0.47916412875310899</v>
      </c>
      <c r="W170">
        <v>4.5454534213951403E-2</v>
      </c>
      <c r="X170">
        <v>3.4090900660489497E-2</v>
      </c>
      <c r="AA170">
        <v>0.42238008193742699</v>
      </c>
      <c r="AB170">
        <v>4.0823502390534703</v>
      </c>
      <c r="AC170">
        <v>4.0287040080185301</v>
      </c>
      <c r="AD170">
        <v>2.2727267106962001E-2</v>
      </c>
      <c r="AE170">
        <v>4.1946088817697902</v>
      </c>
    </row>
    <row r="171" spans="1:31" x14ac:dyDescent="0.2">
      <c r="A171">
        <v>170</v>
      </c>
      <c r="B171">
        <v>782</v>
      </c>
      <c r="C171">
        <v>125</v>
      </c>
      <c r="D171">
        <v>0.47720276737904699</v>
      </c>
      <c r="E171">
        <v>85.539952680675697</v>
      </c>
      <c r="F171">
        <v>2.19691309569119</v>
      </c>
      <c r="G171">
        <v>-1399.1998109539945</v>
      </c>
      <c r="H171">
        <v>-1171.4502783520645</v>
      </c>
      <c r="I171">
        <v>215.84564526553501</v>
      </c>
      <c r="J171">
        <v>113.86852949042699</v>
      </c>
      <c r="K171">
        <v>38.936429869913901</v>
      </c>
      <c r="L171">
        <v>1.292997719275321E-4</v>
      </c>
      <c r="M171">
        <v>1.6967719342840081E-5</v>
      </c>
      <c r="N171" s="1">
        <v>2.0587795416221901E-6</v>
      </c>
      <c r="O171" s="1">
        <v>6.5643151808763502E-8</v>
      </c>
      <c r="P171" s="1">
        <v>-3.2455487375564902E-7</v>
      </c>
      <c r="Q171">
        <v>74.701243179845903</v>
      </c>
      <c r="R171">
        <v>9.3523549514520604E-2</v>
      </c>
      <c r="S171">
        <v>11.6535768295583</v>
      </c>
      <c r="T171">
        <v>0.21239295218037799</v>
      </c>
      <c r="V171">
        <v>0.492625462931432</v>
      </c>
      <c r="W171">
        <v>4.6761774757245501E-2</v>
      </c>
      <c r="X171">
        <v>3.5071331067961502E-2</v>
      </c>
      <c r="AA171">
        <v>0.41655947546451699</v>
      </c>
      <c r="AB171">
        <v>4.04647015401018</v>
      </c>
      <c r="AC171">
        <v>4.0959307568209598</v>
      </c>
      <c r="AD171">
        <v>2.33808873786082E-2</v>
      </c>
      <c r="AE171">
        <v>4.1824636464698797</v>
      </c>
    </row>
    <row r="172" spans="1:31" x14ac:dyDescent="0.2">
      <c r="A172">
        <v>171</v>
      </c>
      <c r="B172">
        <v>781</v>
      </c>
      <c r="C172">
        <v>125</v>
      </c>
      <c r="D172">
        <v>0.476640421192431</v>
      </c>
      <c r="E172">
        <v>83.0158971035913</v>
      </c>
      <c r="F172">
        <v>2.1979202743204902</v>
      </c>
      <c r="G172">
        <v>-1357.155926544172</v>
      </c>
      <c r="H172">
        <v>-1136.5596402996489</v>
      </c>
      <c r="I172">
        <v>209.26460773563801</v>
      </c>
      <c r="J172">
        <v>110.472258596356</v>
      </c>
      <c r="K172">
        <v>37.770203984881199</v>
      </c>
      <c r="L172">
        <v>1.2910982012758225E-4</v>
      </c>
      <c r="M172">
        <v>1.6934922494104299E-5</v>
      </c>
      <c r="N172" s="1">
        <v>1.99438797639298E-6</v>
      </c>
      <c r="O172" s="1">
        <v>6.3492088877787203E-8</v>
      </c>
      <c r="P172" s="1">
        <v>-3.1438629061276803E-7</v>
      </c>
      <c r="Q172">
        <v>74.663357653218</v>
      </c>
      <c r="R172">
        <v>9.6367084849043702E-2</v>
      </c>
      <c r="S172">
        <v>11.6508099128738</v>
      </c>
      <c r="T172">
        <v>0.21921060443111401</v>
      </c>
      <c r="V172">
        <v>0.50727959575176496</v>
      </c>
      <c r="W172">
        <v>4.8183542424500903E-2</v>
      </c>
      <c r="X172">
        <v>3.6137656818414902E-2</v>
      </c>
      <c r="AA172">
        <v>0.41175225514810398</v>
      </c>
      <c r="AB172">
        <v>4.0091393505401296</v>
      </c>
      <c r="AC172">
        <v>4.1636355921558899</v>
      </c>
      <c r="AD172">
        <v>2.4091771212229499E-2</v>
      </c>
      <c r="AE172">
        <v>4.1700349805768697</v>
      </c>
    </row>
    <row r="173" spans="1:31" x14ac:dyDescent="0.2">
      <c r="A173">
        <v>172</v>
      </c>
      <c r="B173">
        <v>780</v>
      </c>
      <c r="C173">
        <v>125</v>
      </c>
      <c r="D173">
        <v>0.47607700707401701</v>
      </c>
      <c r="E173">
        <v>80.405748469358599</v>
      </c>
      <c r="F173">
        <v>2.1989721378178499</v>
      </c>
      <c r="G173">
        <v>-1313.7287523569375</v>
      </c>
      <c r="H173">
        <v>-1100.4903106101278</v>
      </c>
      <c r="I173">
        <v>202.47679983555</v>
      </c>
      <c r="J173">
        <v>106.963408067231</v>
      </c>
      <c r="K173">
        <v>36.565151093341697</v>
      </c>
      <c r="L173">
        <v>1.2891730749775093E-4</v>
      </c>
      <c r="M173">
        <v>1.6901669687874118E-5</v>
      </c>
      <c r="N173" s="1">
        <v>1.9280212423627802E-6</v>
      </c>
      <c r="O173" s="1">
        <v>6.1285157422873797E-8</v>
      </c>
      <c r="P173" s="1">
        <v>-3.03908221184029E-7</v>
      </c>
      <c r="Q173">
        <v>74.623676405437493</v>
      </c>
      <c r="R173">
        <v>9.9495373804647402E-2</v>
      </c>
      <c r="S173">
        <v>11.647398595935901</v>
      </c>
      <c r="T173">
        <v>0.226691359367963</v>
      </c>
      <c r="V173">
        <v>0.52341885960385304</v>
      </c>
      <c r="W173">
        <v>4.9747686902301497E-2</v>
      </c>
      <c r="X173">
        <v>3.7310765176767097E-2</v>
      </c>
      <c r="AA173">
        <v>0.40803455111806702</v>
      </c>
      <c r="AB173">
        <v>3.9703971708423</v>
      </c>
      <c r="AC173">
        <v>4.2316054073973097</v>
      </c>
      <c r="AD173">
        <v>2.4873843451128499E-2</v>
      </c>
      <c r="AE173">
        <v>4.1573499809621302</v>
      </c>
    </row>
    <row r="174" spans="1:31" x14ac:dyDescent="0.2">
      <c r="A174">
        <v>173</v>
      </c>
      <c r="B174">
        <v>779</v>
      </c>
      <c r="C174">
        <v>125</v>
      </c>
      <c r="D174">
        <v>0.475512521978807</v>
      </c>
      <c r="E174">
        <v>77.678436920197299</v>
      </c>
      <c r="F174">
        <v>2.2000762852506899</v>
      </c>
      <c r="G174">
        <v>-1268.4112017407576</v>
      </c>
      <c r="H174">
        <v>-1062.8155038491514</v>
      </c>
      <c r="I174">
        <v>195.40531092677401</v>
      </c>
      <c r="J174">
        <v>103.300915677763</v>
      </c>
      <c r="K174">
        <v>35.307156138609002</v>
      </c>
      <c r="L174">
        <v>1.2872369302705428E-4</v>
      </c>
      <c r="M174">
        <v>1.6868049364116224E-5</v>
      </c>
      <c r="N174" s="1">
        <v>1.8589771513978401E-6</v>
      </c>
      <c r="O174" s="1">
        <v>5.9000240024761701E-8</v>
      </c>
      <c r="P174" s="1">
        <v>-2.93009606190276E-7</v>
      </c>
      <c r="Q174">
        <v>74.581731957277498</v>
      </c>
      <c r="R174">
        <v>0.102988684082561</v>
      </c>
      <c r="S174">
        <v>11.6431379884247</v>
      </c>
      <c r="T174">
        <v>0.23501884904120199</v>
      </c>
      <c r="V174">
        <v>0.54146484747582702</v>
      </c>
      <c r="W174">
        <v>5.14943420412559E-2</v>
      </c>
      <c r="X174">
        <v>3.86207565309876E-2</v>
      </c>
      <c r="AA174">
        <v>0.40552690567399502</v>
      </c>
      <c r="AB174">
        <v>3.9302899613100299</v>
      </c>
      <c r="AC174">
        <v>4.2995316964274499</v>
      </c>
      <c r="AD174">
        <v>2.5747171020602699E-2</v>
      </c>
      <c r="AE174">
        <v>4.1444468406937398</v>
      </c>
    </row>
    <row r="175" spans="1:31" x14ac:dyDescent="0.2">
      <c r="A175">
        <v>174</v>
      </c>
      <c r="B175">
        <v>778</v>
      </c>
      <c r="C175">
        <v>125</v>
      </c>
      <c r="D175">
        <v>0.47494696285021398</v>
      </c>
      <c r="E175">
        <v>74.789525975166399</v>
      </c>
      <c r="F175">
        <v>2.2012440490624798</v>
      </c>
      <c r="G175">
        <v>-1220.4780802843004</v>
      </c>
      <c r="H175">
        <v>-1022.9248367895532</v>
      </c>
      <c r="I175">
        <v>187.94010702064099</v>
      </c>
      <c r="J175">
        <v>99.426051567037604</v>
      </c>
      <c r="K175">
        <v>33.976026423339697</v>
      </c>
      <c r="L175">
        <v>1.2853119006381617E-4</v>
      </c>
      <c r="M175">
        <v>1.6834198992754829E-5</v>
      </c>
      <c r="N175" s="1">
        <v>1.7862479734431901E-6</v>
      </c>
      <c r="O175" s="1">
        <v>5.6605642187503199E-8</v>
      </c>
      <c r="P175" s="1">
        <v>-2.8153098337912202E-7</v>
      </c>
      <c r="Q175">
        <v>74.536826339205604</v>
      </c>
      <c r="R175">
        <v>0.106966849912351</v>
      </c>
      <c r="S175">
        <v>11.6377246362816</v>
      </c>
      <c r="T175">
        <v>0.24446676383754101</v>
      </c>
      <c r="V175">
        <v>0.56204738281727296</v>
      </c>
      <c r="W175">
        <v>5.3483424956147503E-2</v>
      </c>
      <c r="X175">
        <v>4.01125687171624E-2</v>
      </c>
      <c r="AA175">
        <v>0.40441814011058402</v>
      </c>
      <c r="AB175">
        <v>3.8888888029871298</v>
      </c>
      <c r="AC175">
        <v>4.3669383746081403</v>
      </c>
      <c r="AD175">
        <v>2.67417124780455E-2</v>
      </c>
      <c r="AE175">
        <v>4.1313850040883304</v>
      </c>
    </row>
    <row r="176" spans="1:31" x14ac:dyDescent="0.2">
      <c r="A176">
        <v>175</v>
      </c>
      <c r="B176">
        <v>777</v>
      </c>
      <c r="C176">
        <v>125</v>
      </c>
      <c r="D176">
        <v>0.47438032662001101</v>
      </c>
      <c r="E176">
        <v>71.674509609488496</v>
      </c>
      <c r="F176">
        <v>2.20249272803134</v>
      </c>
      <c r="G176">
        <v>-1168.8769151796948</v>
      </c>
      <c r="H176">
        <v>-979.93233798130041</v>
      </c>
      <c r="I176">
        <v>179.921513306093</v>
      </c>
      <c r="J176">
        <v>95.253578049883103</v>
      </c>
      <c r="K176">
        <v>32.5424500600069</v>
      </c>
      <c r="L176">
        <v>1.2834340236784876E-4</v>
      </c>
      <c r="M176">
        <v>1.6800351081584386E-5</v>
      </c>
      <c r="N176" s="1">
        <v>1.7083708599891499E-6</v>
      </c>
      <c r="O176" s="1">
        <v>5.4055408762528303E-8</v>
      </c>
      <c r="P176" s="1">
        <v>-2.6924076375605601E-7</v>
      </c>
      <c r="Q176">
        <v>74.487876119090899</v>
      </c>
      <c r="R176">
        <v>0.111615692155956</v>
      </c>
      <c r="S176">
        <v>11.6306925372562</v>
      </c>
      <c r="T176">
        <v>0.25545886443106097</v>
      </c>
      <c r="V176">
        <v>0.58614367420107805</v>
      </c>
      <c r="W176">
        <v>5.5807846077943403E-2</v>
      </c>
      <c r="X176">
        <v>4.1855884558521197E-2</v>
      </c>
      <c r="AA176">
        <v>0.40500398731354698</v>
      </c>
      <c r="AB176">
        <v>3.8463326540392999</v>
      </c>
      <c r="AC176">
        <v>4.4330427928121399</v>
      </c>
      <c r="AD176">
        <v>2.7903923038937701E-2</v>
      </c>
      <c r="AE176">
        <v>4.1182660250243801</v>
      </c>
    </row>
    <row r="177" spans="1:31" x14ac:dyDescent="0.2">
      <c r="A177">
        <v>176</v>
      </c>
      <c r="B177">
        <v>776</v>
      </c>
      <c r="C177">
        <v>125</v>
      </c>
      <c r="D177">
        <v>0.47381261020826598</v>
      </c>
      <c r="E177">
        <v>68.239860510494495</v>
      </c>
      <c r="F177">
        <v>2.2038492434821202</v>
      </c>
      <c r="G177">
        <v>-1112.0824409708703</v>
      </c>
      <c r="H177">
        <v>-932.55369693238345</v>
      </c>
      <c r="I177">
        <v>171.11828054947901</v>
      </c>
      <c r="J177">
        <v>90.659968999171099</v>
      </c>
      <c r="K177">
        <v>30.963942162701699</v>
      </c>
      <c r="L177">
        <v>1.2816657856536782E-4</v>
      </c>
      <c r="M177">
        <v>1.6766927506592375E-5</v>
      </c>
      <c r="N177" s="1">
        <v>1.6232327108762101E-6</v>
      </c>
      <c r="O177" s="1">
        <v>5.1283224699703102E-8</v>
      </c>
      <c r="P177" s="1">
        <v>-2.5580423339205201E-7</v>
      </c>
      <c r="Q177">
        <v>74.433139541082497</v>
      </c>
      <c r="R177">
        <v>0.117233533892871</v>
      </c>
      <c r="S177">
        <v>11.621301366371901</v>
      </c>
      <c r="T177">
        <v>0.26867452187117802</v>
      </c>
      <c r="V177">
        <v>0.61532341882080099</v>
      </c>
      <c r="W177">
        <v>5.8616766946397399E-2</v>
      </c>
      <c r="X177">
        <v>4.3962575209868897E-2</v>
      </c>
      <c r="AA177">
        <v>0.40774634073251198</v>
      </c>
      <c r="AB177">
        <v>3.8029319332616098</v>
      </c>
      <c r="AC177">
        <v>4.4964845864050202</v>
      </c>
      <c r="AD177">
        <v>2.9308383473160501E-2</v>
      </c>
      <c r="AE177">
        <v>4.10527703193201</v>
      </c>
    </row>
    <row r="178" spans="1:31" x14ac:dyDescent="0.2">
      <c r="A178">
        <v>177</v>
      </c>
      <c r="B178">
        <v>775</v>
      </c>
      <c r="C178">
        <v>125</v>
      </c>
      <c r="D178">
        <v>0.473243810523307</v>
      </c>
      <c r="E178">
        <v>64.357516321970294</v>
      </c>
      <c r="F178">
        <v>2.2053552405986601</v>
      </c>
      <c r="G178">
        <v>-1048.0081197129516</v>
      </c>
      <c r="H178">
        <v>-879.03105719617508</v>
      </c>
      <c r="I178">
        <v>161.21458046727599</v>
      </c>
      <c r="J178">
        <v>85.476254459075705</v>
      </c>
      <c r="K178">
        <v>29.1823807508217</v>
      </c>
      <c r="L178">
        <v>1.2801197577083106E-4</v>
      </c>
      <c r="M178">
        <v>1.6734725358267858E-5</v>
      </c>
      <c r="N178" s="1">
        <v>1.5279679323815099E-6</v>
      </c>
      <c r="O178" s="1">
        <v>4.8199276309514398E-8</v>
      </c>
      <c r="P178" s="1">
        <v>-2.4076713237940599E-7</v>
      </c>
      <c r="Q178">
        <v>74.369781339057894</v>
      </c>
      <c r="R178">
        <v>0.124305604958082</v>
      </c>
      <c r="S178">
        <v>11.6083586423845</v>
      </c>
      <c r="T178">
        <v>0.28521721790219501</v>
      </c>
      <c r="V178">
        <v>0.65214114632076603</v>
      </c>
      <c r="W178">
        <v>6.2152802478994601E-2</v>
      </c>
      <c r="X178">
        <v>4.6614601859332E-2</v>
      </c>
      <c r="AA178">
        <v>0.41334159256624597</v>
      </c>
      <c r="AB178">
        <v>3.7594088325840498</v>
      </c>
      <c r="AC178">
        <v>4.5548238176754996</v>
      </c>
      <c r="AD178">
        <v>3.10764012394514E-2</v>
      </c>
      <c r="AE178">
        <v>4.0927780009728902</v>
      </c>
    </row>
    <row r="179" spans="1:31" x14ac:dyDescent="0.2">
      <c r="A179">
        <v>178</v>
      </c>
      <c r="B179">
        <v>774</v>
      </c>
      <c r="C179">
        <v>125</v>
      </c>
      <c r="D179">
        <v>0.47267392446163797</v>
      </c>
      <c r="E179">
        <v>59.891980815432298</v>
      </c>
      <c r="F179">
        <v>2.2070693959792198</v>
      </c>
      <c r="G179">
        <v>-974.45192835898899</v>
      </c>
      <c r="H179">
        <v>-817.50643941731482</v>
      </c>
      <c r="I179">
        <v>149.878707865801</v>
      </c>
      <c r="J179">
        <v>79.524141182374507</v>
      </c>
      <c r="K179">
        <v>27.136428480473501</v>
      </c>
      <c r="L179">
        <v>1.2789923601461394E-4</v>
      </c>
      <c r="M179">
        <v>1.6705203511805969E-5</v>
      </c>
      <c r="N179" s="1">
        <v>1.41962938402969E-6</v>
      </c>
      <c r="O179" s="1">
        <v>4.4711508907449497E-8</v>
      </c>
      <c r="P179" s="1">
        <v>-2.23661463909147E-7</v>
      </c>
      <c r="Q179">
        <v>74.293472700300896</v>
      </c>
      <c r="R179">
        <v>0.133573808898652</v>
      </c>
      <c r="S179">
        <v>11.5900519136573</v>
      </c>
      <c r="T179">
        <v>0.30677147702852198</v>
      </c>
      <c r="V179">
        <v>0.70050506709856697</v>
      </c>
      <c r="W179">
        <v>6.6786904449273404E-2</v>
      </c>
      <c r="X179">
        <v>5.0090178337051899E-2</v>
      </c>
      <c r="AA179">
        <v>0.422689028718781</v>
      </c>
      <c r="AB179">
        <v>3.71736914349898</v>
      </c>
      <c r="AC179">
        <v>4.6038554963615104</v>
      </c>
      <c r="AD179">
        <v>3.3393452224584702E-2</v>
      </c>
      <c r="AE179">
        <v>4.0814408294257198</v>
      </c>
    </row>
    <row r="180" spans="1:31" x14ac:dyDescent="0.2">
      <c r="A180">
        <v>179</v>
      </c>
      <c r="B180">
        <v>773</v>
      </c>
      <c r="C180">
        <v>125</v>
      </c>
      <c r="D180">
        <v>0.472102948907902</v>
      </c>
      <c r="E180">
        <v>40.880205200576697</v>
      </c>
      <c r="F180">
        <v>2.2077778532700898</v>
      </c>
      <c r="G180">
        <v>-664.96690104176798</v>
      </c>
      <c r="H180">
        <v>-558.0604230458531</v>
      </c>
      <c r="I180">
        <v>102.190391431357</v>
      </c>
      <c r="J180">
        <v>54.2718489035963</v>
      </c>
      <c r="K180">
        <v>18.516448627304701</v>
      </c>
      <c r="L180">
        <v>1.2761459300139808E-4</v>
      </c>
      <c r="M180">
        <v>1.666057740341476E-5</v>
      </c>
      <c r="N180" s="1">
        <v>9.6670204231569997E-7</v>
      </c>
      <c r="O180" s="1">
        <v>3.0400285390891103E-8</v>
      </c>
      <c r="P180" s="1">
        <v>-1.5239881307751799E-7</v>
      </c>
      <c r="Q180">
        <v>74.286428948258802</v>
      </c>
      <c r="R180">
        <v>0.148998367551267</v>
      </c>
      <c r="S180">
        <v>11.532730526932299</v>
      </c>
      <c r="T180">
        <v>0.28495275707654699</v>
      </c>
      <c r="V180">
        <v>0.64710778437689898</v>
      </c>
      <c r="W180">
        <v>9.7846866970742005E-2</v>
      </c>
      <c r="X180">
        <v>6.9387235452739005E-2</v>
      </c>
      <c r="AA180">
        <v>0.47384243399347598</v>
      </c>
      <c r="AB180">
        <v>3.65706283376216</v>
      </c>
      <c r="AC180">
        <v>4.6855582864331797</v>
      </c>
      <c r="AD180">
        <v>4.8923433485277397E-2</v>
      </c>
      <c r="AE180">
        <v>4.0671605257065204</v>
      </c>
    </row>
    <row r="181" spans="1:31" x14ac:dyDescent="0.2">
      <c r="A181">
        <v>180</v>
      </c>
      <c r="B181">
        <v>772</v>
      </c>
      <c r="C181">
        <v>125</v>
      </c>
      <c r="D181">
        <v>0.47153088073482102</v>
      </c>
      <c r="E181">
        <v>26.5127019621406</v>
      </c>
      <c r="F181">
        <v>2.2085273270341501</v>
      </c>
      <c r="G181">
        <v>-431.07128537006702</v>
      </c>
      <c r="H181">
        <v>-361.8130220644187</v>
      </c>
      <c r="I181">
        <v>66.266338138686507</v>
      </c>
      <c r="J181">
        <v>35.208267361412602</v>
      </c>
      <c r="K181">
        <v>12.004697264826101</v>
      </c>
      <c r="L181">
        <v>1.2782040398649406E-4</v>
      </c>
      <c r="M181">
        <v>1.6654596233804963E-5</v>
      </c>
      <c r="N181" s="1">
        <v>6.2876705406673004E-7</v>
      </c>
      <c r="O181" s="1">
        <v>1.9733100645771101E-8</v>
      </c>
      <c r="P181" s="1">
        <v>-9.9226991143044594E-8</v>
      </c>
      <c r="Q181">
        <v>74.241065994756497</v>
      </c>
      <c r="R181">
        <v>0.16952055064666599</v>
      </c>
      <c r="S181">
        <v>11.408110682395</v>
      </c>
      <c r="T181">
        <v>0.27774181679547799</v>
      </c>
      <c r="V181">
        <v>0.62691736649658503</v>
      </c>
      <c r="W181">
        <v>0.150871080801535</v>
      </c>
      <c r="X181">
        <v>0.100484382025255</v>
      </c>
      <c r="AA181">
        <v>0.53086490532283703</v>
      </c>
      <c r="AB181">
        <v>3.6653044192260702</v>
      </c>
      <c r="AC181">
        <v>4.6793866714561103</v>
      </c>
      <c r="AD181">
        <v>7.5435540400609097E-2</v>
      </c>
      <c r="AE181">
        <v>4.0742965896772496</v>
      </c>
    </row>
    <row r="182" spans="1:31" x14ac:dyDescent="0.2">
      <c r="A182">
        <v>181</v>
      </c>
      <c r="B182">
        <v>771</v>
      </c>
      <c r="C182">
        <v>125</v>
      </c>
      <c r="D182">
        <v>0.47095771680314102</v>
      </c>
      <c r="E182">
        <v>19.1978092847916</v>
      </c>
      <c r="F182">
        <v>2.2090943486780699</v>
      </c>
      <c r="G182">
        <v>-311.99045582509501</v>
      </c>
      <c r="H182">
        <v>-261.88391253381394</v>
      </c>
      <c r="I182">
        <v>47.987878457387403</v>
      </c>
      <c r="J182">
        <v>25.503749351065501</v>
      </c>
      <c r="K182">
        <v>8.6903528119021605</v>
      </c>
      <c r="L182">
        <v>1.2814346064361505E-4</v>
      </c>
      <c r="M182">
        <v>1.6658774319403608E-5</v>
      </c>
      <c r="N182" s="1">
        <v>4.57267049816733E-7</v>
      </c>
      <c r="O182" s="1">
        <v>1.43199694424166E-8</v>
      </c>
      <c r="P182" s="1">
        <v>-7.2253640149285597E-8</v>
      </c>
      <c r="Q182">
        <v>74.194659486586005</v>
      </c>
      <c r="R182">
        <v>0.182729357329559</v>
      </c>
      <c r="S182">
        <v>11.270585419796699</v>
      </c>
      <c r="T182">
        <v>0.27360785712360802</v>
      </c>
      <c r="V182">
        <v>0.61368449704036698</v>
      </c>
      <c r="W182">
        <v>0.20835710682705699</v>
      </c>
      <c r="X182">
        <v>0.131634763774341</v>
      </c>
      <c r="AA182">
        <v>0.58286157442550302</v>
      </c>
      <c r="AB182">
        <v>3.69331910841262</v>
      </c>
      <c r="AC182">
        <v>4.6570423408452504</v>
      </c>
      <c r="AD182">
        <v>0.10417855341328799</v>
      </c>
      <c r="AE182">
        <v>4.0873399344256196</v>
      </c>
    </row>
    <row r="183" spans="1:31" x14ac:dyDescent="0.2">
      <c r="A183">
        <v>182</v>
      </c>
      <c r="B183">
        <v>770</v>
      </c>
      <c r="C183">
        <v>125</v>
      </c>
      <c r="D183">
        <v>0.47038345396155901</v>
      </c>
      <c r="E183">
        <v>14.9373442287656</v>
      </c>
      <c r="F183">
        <v>2.2095597947445098</v>
      </c>
      <c r="G183">
        <v>-242.63270282114772</v>
      </c>
      <c r="H183">
        <v>-203.6754901261651</v>
      </c>
      <c r="I183">
        <v>37.345743847943901</v>
      </c>
      <c r="J183">
        <v>19.851858645622301</v>
      </c>
      <c r="K183">
        <v>6.7603258641356803</v>
      </c>
      <c r="L183">
        <v>1.2852657582351965E-4</v>
      </c>
      <c r="M183">
        <v>1.6668382573075396E-5</v>
      </c>
      <c r="N183" s="1">
        <v>3.57602752204371E-7</v>
      </c>
      <c r="O183" s="1">
        <v>1.1174094143310399E-8</v>
      </c>
      <c r="P183" s="1">
        <v>-5.6582341117715599E-8</v>
      </c>
      <c r="Q183">
        <v>74.147543481899604</v>
      </c>
      <c r="R183">
        <v>0.19109274575537799</v>
      </c>
      <c r="S183">
        <v>11.128235863483001</v>
      </c>
      <c r="T183">
        <v>0.27131509141476101</v>
      </c>
      <c r="V183">
        <v>0.60463719912713898</v>
      </c>
      <c r="W183">
        <v>0.26778521929577698</v>
      </c>
      <c r="X183">
        <v>0.16163036828138999</v>
      </c>
      <c r="AA183">
        <v>0.63256506920268796</v>
      </c>
      <c r="AB183">
        <v>3.7308577625103498</v>
      </c>
      <c r="AC183">
        <v>4.6269277484698197</v>
      </c>
      <c r="AD183">
        <v>0.13389260964754901</v>
      </c>
      <c r="AE183">
        <v>4.1035168409124001</v>
      </c>
    </row>
    <row r="184" spans="1:31" x14ac:dyDescent="0.2">
      <c r="A184">
        <v>183</v>
      </c>
      <c r="B184">
        <v>769</v>
      </c>
      <c r="C184">
        <v>125</v>
      </c>
      <c r="D184">
        <v>0.46980808904668597</v>
      </c>
      <c r="E184">
        <v>12.1983341611562</v>
      </c>
      <c r="F184">
        <v>2.2099608492949301</v>
      </c>
      <c r="G184">
        <v>-198.04250856153391</v>
      </c>
      <c r="H184">
        <v>-166.25105469336759</v>
      </c>
      <c r="I184">
        <v>30.5056410959711</v>
      </c>
      <c r="J184">
        <v>16.2184487589019</v>
      </c>
      <c r="K184">
        <v>5.5197060006958898</v>
      </c>
      <c r="L184">
        <v>1.289434621780062E-4</v>
      </c>
      <c r="M184">
        <v>1.6681209659905846E-5</v>
      </c>
      <c r="N184" s="1">
        <v>2.9364440378895302E-7</v>
      </c>
      <c r="O184" s="1">
        <v>9.1549883912638192E-9</v>
      </c>
      <c r="P184" s="1">
        <v>-4.6526858774922397E-8</v>
      </c>
      <c r="Q184">
        <v>74.099919005326996</v>
      </c>
      <c r="R184">
        <v>0.196342375401061</v>
      </c>
      <c r="S184">
        <v>10.9847953595681</v>
      </c>
      <c r="T184">
        <v>0.270150846385871</v>
      </c>
      <c r="V184">
        <v>0.59816454920926598</v>
      </c>
      <c r="W184">
        <v>0.327913627151944</v>
      </c>
      <c r="X184">
        <v>0.19010706786456999</v>
      </c>
      <c r="AA184">
        <v>0.68091407138262094</v>
      </c>
      <c r="AB184">
        <v>3.7734352694075</v>
      </c>
      <c r="AC184">
        <v>4.5927872641759802</v>
      </c>
      <c r="AD184">
        <v>0.163956813575522</v>
      </c>
      <c r="AE184">
        <v>4.1215137505503803</v>
      </c>
    </row>
    <row r="185" spans="1:31" x14ac:dyDescent="0.2">
      <c r="A185">
        <v>184</v>
      </c>
      <c r="B185">
        <v>768</v>
      </c>
      <c r="C185">
        <v>125</v>
      </c>
      <c r="D185">
        <v>0.46923161888296799</v>
      </c>
      <c r="E185">
        <v>10.231580907674701</v>
      </c>
      <c r="F185">
        <v>2.2102674133881699</v>
      </c>
      <c r="G185">
        <v>-166.02183982389249</v>
      </c>
      <c r="H185">
        <v>-139.37224334686269</v>
      </c>
      <c r="I185">
        <v>25.596308386908401</v>
      </c>
      <c r="J185">
        <v>13.6096900964117</v>
      </c>
      <c r="K185">
        <v>4.6291144889072404</v>
      </c>
      <c r="L185">
        <v>1.2941795710740291E-4</v>
      </c>
      <c r="M185">
        <v>1.6699197765476522E-5</v>
      </c>
      <c r="N185" s="1">
        <v>2.4785377306422401E-7</v>
      </c>
      <c r="O185" s="1">
        <v>7.7095242611295305E-9</v>
      </c>
      <c r="P185" s="1">
        <v>-3.93315420566533E-8</v>
      </c>
      <c r="Q185">
        <v>74.051371485465097</v>
      </c>
      <c r="R185">
        <v>0.191480700931075</v>
      </c>
      <c r="S185">
        <v>10.834752485114601</v>
      </c>
      <c r="T185">
        <v>0.27221240698196703</v>
      </c>
      <c r="V185">
        <v>0.59878615447734396</v>
      </c>
      <c r="W185">
        <v>0.38945838180079001</v>
      </c>
      <c r="X185">
        <v>0.21772672969248899</v>
      </c>
      <c r="AA185">
        <v>0.73033545848682802</v>
      </c>
      <c r="AB185">
        <v>3.8235078503625699</v>
      </c>
      <c r="AC185">
        <v>4.5520786467976704</v>
      </c>
      <c r="AD185">
        <v>0.19547321357657399</v>
      </c>
      <c r="AE185">
        <v>4.1428164863129497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E6A0-3444-44CB-B4A2-549D9F4BEF50}">
  <sheetPr codeName="Sheet5"/>
  <dimension ref="A1:P18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756</v>
      </c>
      <c r="C2">
        <v>275</v>
      </c>
      <c r="D2">
        <v>0.30190011174270298</v>
      </c>
      <c r="E2">
        <v>3.6955473983414699</v>
      </c>
      <c r="F2">
        <v>0.55459200373927897</v>
      </c>
      <c r="G2">
        <v>-80.048358391967312</v>
      </c>
      <c r="H2">
        <v>-47.058410519978153</v>
      </c>
      <c r="I2">
        <v>32.057584114213697</v>
      </c>
      <c r="J2">
        <v>14.273758407084999</v>
      </c>
      <c r="K2">
        <v>6.6635425203115597</v>
      </c>
      <c r="L2">
        <v>1.2000672419984479E-3</v>
      </c>
      <c r="M2">
        <v>1.9390280436198249E-4</v>
      </c>
      <c r="N2" s="1">
        <v>5.2386003209221E-6</v>
      </c>
      <c r="O2" s="1">
        <v>1.05075369102852E-6</v>
      </c>
      <c r="P2" s="1">
        <v>-3.9111340633458403E-6</v>
      </c>
    </row>
    <row r="3" spans="1:16" x14ac:dyDescent="0.2">
      <c r="A3">
        <v>2</v>
      </c>
      <c r="B3">
        <v>755</v>
      </c>
      <c r="C3">
        <v>275</v>
      </c>
      <c r="D3">
        <v>0.30115304187132302</v>
      </c>
      <c r="E3">
        <v>3.8604486344998201</v>
      </c>
      <c r="F3">
        <v>0.57349553469703896</v>
      </c>
      <c r="G3">
        <v>-82.746657952372601</v>
      </c>
      <c r="H3">
        <v>-49.415429982670936</v>
      </c>
      <c r="I3">
        <v>32.420704455771798</v>
      </c>
      <c r="J3">
        <v>14.492128569543</v>
      </c>
      <c r="K3">
        <v>6.7314362552782203</v>
      </c>
      <c r="L3">
        <v>1.1897067211947775E-3</v>
      </c>
      <c r="M3">
        <v>1.9178451590773829E-4</v>
      </c>
      <c r="N3" s="1">
        <v>5.2898903496058102E-6</v>
      </c>
      <c r="O3" s="1">
        <v>1.04932346008835E-6</v>
      </c>
      <c r="P3" s="1">
        <v>-3.9175480532349397E-6</v>
      </c>
    </row>
    <row r="4" spans="1:16" x14ac:dyDescent="0.2">
      <c r="A4">
        <v>3</v>
      </c>
      <c r="B4">
        <v>754</v>
      </c>
      <c r="C4">
        <v>275</v>
      </c>
      <c r="D4">
        <v>0.30040451735384299</v>
      </c>
      <c r="E4">
        <v>4.09085244384453</v>
      </c>
      <c r="F4">
        <v>0.599008749604657</v>
      </c>
      <c r="G4">
        <v>-86.528364339391189</v>
      </c>
      <c r="H4">
        <v>-52.703631268448113</v>
      </c>
      <c r="I4">
        <v>32.932734890929197</v>
      </c>
      <c r="J4">
        <v>14.7946679665591</v>
      </c>
      <c r="K4">
        <v>6.8293700994258799</v>
      </c>
      <c r="L4">
        <v>1.175327796059476E-3</v>
      </c>
      <c r="M4">
        <v>1.8903272373452335E-4</v>
      </c>
      <c r="N4" s="1">
        <v>5.34581772157903E-6</v>
      </c>
      <c r="O4" s="1">
        <v>1.04874377374533E-6</v>
      </c>
      <c r="P4" s="1">
        <v>-3.9271580066612403E-6</v>
      </c>
    </row>
    <row r="5" spans="1:16" x14ac:dyDescent="0.2">
      <c r="A5">
        <v>4</v>
      </c>
      <c r="B5">
        <v>753</v>
      </c>
      <c r="C5">
        <v>275</v>
      </c>
      <c r="D5">
        <v>0.29965453393753799</v>
      </c>
      <c r="E5">
        <v>4.3201492449889498</v>
      </c>
      <c r="F5">
        <v>0.62369431433651001</v>
      </c>
      <c r="G5">
        <v>-90.290543398735323</v>
      </c>
      <c r="H5">
        <v>-55.97674913171457</v>
      </c>
      <c r="I5">
        <v>33.4414325850585</v>
      </c>
      <c r="J5">
        <v>15.095659134296699</v>
      </c>
      <c r="K5">
        <v>6.9267093601530698</v>
      </c>
      <c r="L5">
        <v>1.1614186519407696E-3</v>
      </c>
      <c r="M5">
        <v>1.8636742308011917E-4</v>
      </c>
      <c r="N5" s="1">
        <v>5.4019038650416501E-6</v>
      </c>
      <c r="O5" s="1">
        <v>1.04811741300352E-6</v>
      </c>
      <c r="P5" s="1">
        <v>-3.9366228807736898E-6</v>
      </c>
    </row>
    <row r="6" spans="1:16" x14ac:dyDescent="0.2">
      <c r="A6">
        <v>5</v>
      </c>
      <c r="B6">
        <v>752</v>
      </c>
      <c r="C6">
        <v>275</v>
      </c>
      <c r="D6">
        <v>0.29890308735307097</v>
      </c>
      <c r="E6">
        <v>4.5483483529168502</v>
      </c>
      <c r="F6">
        <v>0.64759378296738501</v>
      </c>
      <c r="G6">
        <v>-94.033358396372719</v>
      </c>
      <c r="H6">
        <v>-59.234911362960034</v>
      </c>
      <c r="I6">
        <v>33.946822390629698</v>
      </c>
      <c r="J6">
        <v>15.395113629785399</v>
      </c>
      <c r="K6">
        <v>7.0234589530423399</v>
      </c>
      <c r="L6">
        <v>1.1479555526866694E-3</v>
      </c>
      <c r="M6">
        <v>1.8378428152881213E-4</v>
      </c>
      <c r="N6" s="1">
        <v>5.4581452936287299E-6</v>
      </c>
      <c r="O6" s="1">
        <v>1.0474448062489199E-6</v>
      </c>
      <c r="P6" s="1">
        <v>-3.9459427472159603E-6</v>
      </c>
    </row>
    <row r="7" spans="1:16" x14ac:dyDescent="0.2">
      <c r="A7">
        <v>6</v>
      </c>
      <c r="B7">
        <v>751</v>
      </c>
      <c r="C7">
        <v>275</v>
      </c>
      <c r="D7">
        <v>0.29815017331445698</v>
      </c>
      <c r="E7">
        <v>4.7754589891208798</v>
      </c>
      <c r="F7">
        <v>0.67074597794286395</v>
      </c>
      <c r="G7">
        <v>-97.75697093908704</v>
      </c>
      <c r="H7">
        <v>-62.478244477001908</v>
      </c>
      <c r="I7">
        <v>34.448928882705601</v>
      </c>
      <c r="J7">
        <v>15.693042877590299</v>
      </c>
      <c r="K7">
        <v>7.1196237415644497</v>
      </c>
      <c r="L7">
        <v>1.1349163222230852E-3</v>
      </c>
      <c r="M7">
        <v>1.8127925168004343E-4</v>
      </c>
      <c r="N7" s="1">
        <v>5.5145384917854904E-6</v>
      </c>
      <c r="O7" s="1">
        <v>1.0467263793590401E-6</v>
      </c>
      <c r="P7" s="1">
        <v>-3.9551176758045596E-6</v>
      </c>
    </row>
    <row r="8" spans="1:16" x14ac:dyDescent="0.2">
      <c r="A8">
        <v>7</v>
      </c>
      <c r="B8">
        <v>750</v>
      </c>
      <c r="C8">
        <v>275</v>
      </c>
      <c r="D8">
        <v>0.29739578751893703</v>
      </c>
      <c r="E8">
        <v>5.0014902805475296</v>
      </c>
      <c r="F8">
        <v>0.69318721077227097</v>
      </c>
      <c r="G8">
        <v>-101.46154095758969</v>
      </c>
      <c r="H8">
        <v>-65.706873697542335</v>
      </c>
      <c r="I8">
        <v>34.947776356173797</v>
      </c>
      <c r="J8">
        <v>15.9894581680967</v>
      </c>
      <c r="K8">
        <v>7.2152085364867498</v>
      </c>
      <c r="L8">
        <v>1.1222802185288372E-3</v>
      </c>
      <c r="M8">
        <v>1.7884854812114573E-4</v>
      </c>
      <c r="N8" s="1">
        <v>5.5710799145452102E-6</v>
      </c>
      <c r="O8" s="1">
        <v>1.0459625556762301E-6</v>
      </c>
      <c r="P8" s="1">
        <v>-3.9641477344131399E-6</v>
      </c>
    </row>
    <row r="9" spans="1:16" x14ac:dyDescent="0.2">
      <c r="A9">
        <v>8</v>
      </c>
      <c r="B9">
        <v>749</v>
      </c>
      <c r="C9">
        <v>275</v>
      </c>
      <c r="D9">
        <v>0.29663992564692099</v>
      </c>
      <c r="E9">
        <v>5.2264512611946499</v>
      </c>
      <c r="F9">
        <v>0.71495148187002899</v>
      </c>
      <c r="G9">
        <v>-105.14722673516629</v>
      </c>
      <c r="H9">
        <v>-68.920922978949662</v>
      </c>
      <c r="I9">
        <v>35.4433888310922</v>
      </c>
      <c r="J9">
        <v>16.2843706600435</v>
      </c>
      <c r="K9">
        <v>7.3102180969320099</v>
      </c>
      <c r="L9">
        <v>1.1100278195104094E-3</v>
      </c>
      <c r="M9">
        <v>1.7648862657745481E-4</v>
      </c>
      <c r="N9" s="1">
        <v>5.6277659879586796E-6</v>
      </c>
      <c r="O9" s="1">
        <v>1.04515375610259E-6</v>
      </c>
      <c r="P9" s="1">
        <v>-3.9730329893171004E-6</v>
      </c>
    </row>
    <row r="10" spans="1:16" x14ac:dyDescent="0.2">
      <c r="A10">
        <v>9</v>
      </c>
      <c r="B10">
        <v>748</v>
      </c>
      <c r="C10">
        <v>275</v>
      </c>
      <c r="D10">
        <v>0.29588258336189799</v>
      </c>
      <c r="E10">
        <v>5.4503508734110602</v>
      </c>
      <c r="F10">
        <v>0.736070661628488</v>
      </c>
      <c r="G10">
        <v>-108.81418492953347</v>
      </c>
      <c r="H10">
        <v>-72.120515024349857</v>
      </c>
      <c r="I10">
        <v>35.9357900550309</v>
      </c>
      <c r="J10">
        <v>16.577791381737299</v>
      </c>
      <c r="K10">
        <v>7.4046571308149396</v>
      </c>
      <c r="L10">
        <v>1.0981409195946674E-3</v>
      </c>
      <c r="M10">
        <v>1.741961650207443E-4</v>
      </c>
      <c r="N10" s="1">
        <v>5.6845931089911799E-6</v>
      </c>
      <c r="O10" s="1">
        <v>1.0443003990934601E-6</v>
      </c>
      <c r="P10" s="1">
        <v>-3.9817735051566203E-6</v>
      </c>
    </row>
    <row r="11" spans="1:16" x14ac:dyDescent="0.2">
      <c r="A11">
        <v>10</v>
      </c>
      <c r="B11">
        <v>747</v>
      </c>
      <c r="C11">
        <v>275</v>
      </c>
      <c r="D11">
        <v>0.29512375631034898</v>
      </c>
      <c r="E11">
        <v>7.6210296929986603</v>
      </c>
      <c r="F11">
        <v>0.89934042129135205</v>
      </c>
      <c r="G11">
        <v>-144.88800067499827</v>
      </c>
      <c r="H11">
        <v>-102.61120392092339</v>
      </c>
      <c r="I11">
        <v>41.443957908409203</v>
      </c>
      <c r="J11">
        <v>19.635315990054401</v>
      </c>
      <c r="K11">
        <v>8.4740210854258198</v>
      </c>
      <c r="L11">
        <v>1.0027510883698083E-3</v>
      </c>
      <c r="M11">
        <v>1.5853989588455073E-4</v>
      </c>
      <c r="N11" s="1">
        <v>5.9507954578832298E-6</v>
      </c>
      <c r="O11" s="1">
        <v>1.0861780208035901E-6</v>
      </c>
      <c r="P11" s="1">
        <v>-4.1538546268335699E-6</v>
      </c>
    </row>
    <row r="12" spans="1:16" x14ac:dyDescent="0.2">
      <c r="A12">
        <v>11</v>
      </c>
      <c r="B12">
        <v>746</v>
      </c>
      <c r="C12">
        <v>275</v>
      </c>
      <c r="D12">
        <v>0.29436344012167098</v>
      </c>
      <c r="E12">
        <v>10.124256435114701</v>
      </c>
      <c r="F12">
        <v>1.0427400769147299</v>
      </c>
      <c r="G12">
        <v>-186.46933690952685</v>
      </c>
      <c r="H12">
        <v>-137.75314560941294</v>
      </c>
      <c r="I12">
        <v>47.803128111681303</v>
      </c>
      <c r="J12">
        <v>23.166990324967699</v>
      </c>
      <c r="K12">
        <v>9.7092810176343001</v>
      </c>
      <c r="L12">
        <v>9.1891746198563627E-4</v>
      </c>
      <c r="M12">
        <v>1.4479213888163713E-4</v>
      </c>
      <c r="N12" s="1">
        <v>6.2541821187862701E-6</v>
      </c>
      <c r="O12" s="1">
        <v>1.1349253214952E-6</v>
      </c>
      <c r="P12" s="1">
        <v>-4.3532757363349401E-6</v>
      </c>
    </row>
    <row r="13" spans="1:16" x14ac:dyDescent="0.2">
      <c r="A13">
        <v>12</v>
      </c>
      <c r="B13">
        <v>745</v>
      </c>
      <c r="C13">
        <v>275</v>
      </c>
      <c r="D13">
        <v>0.29360163040809401</v>
      </c>
      <c r="E13">
        <v>12.7162897241619</v>
      </c>
      <c r="F13">
        <v>1.1572912017826</v>
      </c>
      <c r="G13">
        <v>-229.49353129348049</v>
      </c>
      <c r="H13">
        <v>-174.1263446375182</v>
      </c>
      <c r="I13">
        <v>54.382622306824601</v>
      </c>
      <c r="J13">
        <v>26.826055081523101</v>
      </c>
      <c r="K13">
        <v>10.9879775328583</v>
      </c>
      <c r="L13">
        <v>8.5193368962141372E-4</v>
      </c>
      <c r="M13">
        <v>1.3378630104913077E-4</v>
      </c>
      <c r="N13" s="1">
        <v>6.5683000555190603E-6</v>
      </c>
      <c r="O13" s="1">
        <v>1.18506926686683E-6</v>
      </c>
      <c r="P13" s="1">
        <v>-4.5592357665177098E-6</v>
      </c>
    </row>
    <row r="14" spans="1:16" x14ac:dyDescent="0.2">
      <c r="A14">
        <v>13</v>
      </c>
      <c r="B14">
        <v>744</v>
      </c>
      <c r="C14">
        <v>275</v>
      </c>
      <c r="D14">
        <v>0.29283832276459099</v>
      </c>
      <c r="E14">
        <v>15.4198465122759</v>
      </c>
      <c r="F14">
        <v>1.25151057899428</v>
      </c>
      <c r="G14">
        <v>-274.33102532456815</v>
      </c>
      <c r="H14">
        <v>-212.04566912606032</v>
      </c>
      <c r="I14">
        <v>61.237727479683599</v>
      </c>
      <c r="J14">
        <v>30.643551758691501</v>
      </c>
      <c r="K14">
        <v>12.320987749594</v>
      </c>
      <c r="L14">
        <v>7.9681186588949522E-4</v>
      </c>
      <c r="M14">
        <v>1.2471241348432121E-4</v>
      </c>
      <c r="N14" s="1">
        <v>6.89511709741524E-6</v>
      </c>
      <c r="O14" s="1">
        <v>1.2369755113295E-6</v>
      </c>
      <c r="P14" s="1">
        <v>-4.7731993481385899E-6</v>
      </c>
    </row>
    <row r="15" spans="1:16" x14ac:dyDescent="0.2">
      <c r="A15">
        <v>14</v>
      </c>
      <c r="B15">
        <v>743</v>
      </c>
      <c r="C15">
        <v>275</v>
      </c>
      <c r="D15">
        <v>0.29207351276878402</v>
      </c>
      <c r="E15">
        <v>18.269188652693099</v>
      </c>
      <c r="F15">
        <v>1.33111274986099</v>
      </c>
      <c r="G15">
        <v>-321.54083574155828</v>
      </c>
      <c r="H15">
        <v>-251.9860303778587</v>
      </c>
      <c r="I15">
        <v>68.452027253902202</v>
      </c>
      <c r="J15">
        <v>34.666295892237102</v>
      </c>
      <c r="K15">
        <v>13.724749202951299</v>
      </c>
      <c r="L15">
        <v>7.5019992751285635E-4</v>
      </c>
      <c r="M15">
        <v>1.1702680781436049E-4</v>
      </c>
      <c r="N15" s="1">
        <v>7.2376571330004299E-6</v>
      </c>
      <c r="O15" s="1">
        <v>1.29120405592124E-6</v>
      </c>
      <c r="P15" s="1">
        <v>-4.9974002561600798E-6</v>
      </c>
    </row>
    <row r="16" spans="1:16" x14ac:dyDescent="0.2">
      <c r="A16">
        <v>15</v>
      </c>
      <c r="B16">
        <v>742</v>
      </c>
      <c r="C16">
        <v>275</v>
      </c>
      <c r="D16">
        <v>0.291307195980888</v>
      </c>
      <c r="E16">
        <v>21.3201099676868</v>
      </c>
      <c r="F16">
        <v>1.40023599937444</v>
      </c>
      <c r="G16">
        <v>-372.03383950338014</v>
      </c>
      <c r="H16">
        <v>-294.72088050491595</v>
      </c>
      <c r="I16">
        <v>76.161959055092396</v>
      </c>
      <c r="J16">
        <v>38.970552261031102</v>
      </c>
      <c r="K16">
        <v>15.226083301108901</v>
      </c>
      <c r="L16">
        <v>7.0966198208545115E-4</v>
      </c>
      <c r="M16">
        <v>1.1033545310338757E-4</v>
      </c>
      <c r="N16" s="1">
        <v>7.6009279560406403E-6</v>
      </c>
      <c r="O16" s="1">
        <v>1.34868051847065E-6</v>
      </c>
      <c r="P16" s="1">
        <v>-5.2355174189024801E-6</v>
      </c>
    </row>
    <row r="17" spans="1:16" x14ac:dyDescent="0.2">
      <c r="A17">
        <v>16</v>
      </c>
      <c r="B17">
        <v>741</v>
      </c>
      <c r="C17">
        <v>275</v>
      </c>
      <c r="D17">
        <v>0.29053936794360102</v>
      </c>
      <c r="E17">
        <v>24.672885853536201</v>
      </c>
      <c r="F17">
        <v>1.46224669640844</v>
      </c>
      <c r="G17">
        <v>-427.44790748261386</v>
      </c>
      <c r="H17">
        <v>-341.64043313334213</v>
      </c>
      <c r="I17">
        <v>84.613194433840107</v>
      </c>
      <c r="J17">
        <v>43.6934337087324</v>
      </c>
      <c r="K17">
        <v>16.8732717359782</v>
      </c>
      <c r="L17">
        <v>6.7320205467044842E-4</v>
      </c>
      <c r="M17">
        <v>1.0431724688087314E-4</v>
      </c>
      <c r="N17" s="1">
        <v>7.9940468545361201E-6</v>
      </c>
      <c r="O17" s="1">
        <v>1.4110881290358801E-6</v>
      </c>
      <c r="P17" s="1">
        <v>-5.4942220725883697E-6</v>
      </c>
    </row>
    <row r="18" spans="1:16" x14ac:dyDescent="0.2">
      <c r="A18">
        <v>17</v>
      </c>
      <c r="B18">
        <v>740</v>
      </c>
      <c r="C18">
        <v>275</v>
      </c>
      <c r="D18">
        <v>0.28977002418201098</v>
      </c>
      <c r="E18">
        <v>28.535438400747999</v>
      </c>
      <c r="F18">
        <v>1.5205505412185301</v>
      </c>
      <c r="G18">
        <v>-491.18013651340129</v>
      </c>
      <c r="H18">
        <v>-395.62739363682056</v>
      </c>
      <c r="I18">
        <v>94.315650963856598</v>
      </c>
      <c r="J18">
        <v>49.119229778033102</v>
      </c>
      <c r="K18">
        <v>18.766517539022601</v>
      </c>
      <c r="L18">
        <v>6.3877413318904849E-4</v>
      </c>
      <c r="M18">
        <v>9.8646241967002076E-5</v>
      </c>
      <c r="N18" s="1">
        <v>8.4360671225247695E-6</v>
      </c>
      <c r="O18" s="1">
        <v>1.4819417919171499E-6</v>
      </c>
      <c r="P18" s="1">
        <v>-5.7874151930346498E-6</v>
      </c>
    </row>
    <row r="19" spans="1:16" x14ac:dyDescent="0.2">
      <c r="A19">
        <v>18</v>
      </c>
      <c r="B19">
        <v>739</v>
      </c>
      <c r="C19">
        <v>275</v>
      </c>
      <c r="D19">
        <v>0.28899916020352701</v>
      </c>
      <c r="E19">
        <v>43.815356685644502</v>
      </c>
      <c r="F19">
        <v>1.67663954319432</v>
      </c>
      <c r="G19">
        <v>-741.53962322873201</v>
      </c>
      <c r="H19">
        <v>-608.03809308040684</v>
      </c>
      <c r="I19">
        <v>131.90263146025501</v>
      </c>
      <c r="J19">
        <v>70.148259556669899</v>
      </c>
      <c r="K19">
        <v>26.1328422459653</v>
      </c>
      <c r="L19">
        <v>5.4267639676579835E-4</v>
      </c>
      <c r="M19">
        <v>8.3375745820184129E-5</v>
      </c>
      <c r="N19" s="1">
        <v>9.8877243721347292E-6</v>
      </c>
      <c r="O19" s="1">
        <v>1.73793686101795E-6</v>
      </c>
      <c r="P19" s="1">
        <v>-6.80726580729136E-6</v>
      </c>
    </row>
    <row r="20" spans="1:16" x14ac:dyDescent="0.2">
      <c r="A20">
        <v>19</v>
      </c>
      <c r="B20">
        <v>738</v>
      </c>
      <c r="C20">
        <v>275</v>
      </c>
      <c r="D20">
        <v>0.28822677149780002</v>
      </c>
      <c r="E20">
        <v>80.238071111147903</v>
      </c>
      <c r="F20">
        <v>1.8408085935535099</v>
      </c>
      <c r="G20">
        <v>-1334.7369147083066</v>
      </c>
      <c r="H20">
        <v>-1110.9955828060631</v>
      </c>
      <c r="I20">
        <v>221.27909201265001</v>
      </c>
      <c r="J20">
        <v>120.17475518829499</v>
      </c>
      <c r="K20">
        <v>43.588492248537101</v>
      </c>
      <c r="L20">
        <v>4.4278023858074125E-4</v>
      </c>
      <c r="M20">
        <v>6.76064013415791E-5</v>
      </c>
      <c r="N20" s="1">
        <v>1.32471861261204E-5</v>
      </c>
      <c r="O20" s="1">
        <v>2.33861979759492E-6</v>
      </c>
      <c r="P20" s="1">
        <v>-9.1869805892824907E-6</v>
      </c>
    </row>
    <row r="21" spans="1:16" x14ac:dyDescent="0.2">
      <c r="A21">
        <v>20</v>
      </c>
      <c r="B21">
        <v>737</v>
      </c>
      <c r="C21">
        <v>275</v>
      </c>
      <c r="D21">
        <v>0.28745285353660599</v>
      </c>
      <c r="E21">
        <v>91.795606107816297</v>
      </c>
      <c r="F21">
        <v>1.8700422515040001</v>
      </c>
      <c r="G21">
        <v>-1522.7227397865176</v>
      </c>
      <c r="H21">
        <v>-1270.7204655042888</v>
      </c>
      <c r="I21">
        <v>249.475514996914</v>
      </c>
      <c r="J21">
        <v>136.107831914016</v>
      </c>
      <c r="K21">
        <v>49.087450315086997</v>
      </c>
      <c r="L21">
        <v>4.2453462781905224E-4</v>
      </c>
      <c r="M21">
        <v>6.4621480332393262E-5</v>
      </c>
      <c r="N21" s="1">
        <v>1.43324675579081E-5</v>
      </c>
      <c r="O21" s="1">
        <v>2.5132581407517501E-6</v>
      </c>
      <c r="P21" s="1">
        <v>-9.9027836463246106E-6</v>
      </c>
    </row>
    <row r="22" spans="1:16" x14ac:dyDescent="0.2">
      <c r="A22">
        <v>21</v>
      </c>
      <c r="B22">
        <v>736</v>
      </c>
      <c r="C22">
        <v>275</v>
      </c>
      <c r="D22">
        <v>0.28667740177377199</v>
      </c>
      <c r="E22">
        <v>97.847010823792402</v>
      </c>
      <c r="F22">
        <v>1.88390761148719</v>
      </c>
      <c r="G22">
        <v>-1621.0099198634166</v>
      </c>
      <c r="H22">
        <v>-1354.4756159605633</v>
      </c>
      <c r="I22">
        <v>264.12318864721402</v>
      </c>
      <c r="J22">
        <v>144.49271235015499</v>
      </c>
      <c r="K22">
        <v>51.938327669131297</v>
      </c>
      <c r="L22">
        <v>4.1566366608302314E-4</v>
      </c>
      <c r="M22">
        <v>6.310443452759366E-5</v>
      </c>
      <c r="N22" s="1">
        <v>1.4915470755081E-5</v>
      </c>
      <c r="O22" s="1">
        <v>2.5938558038762799E-6</v>
      </c>
      <c r="P22" s="1">
        <v>-1.02512867155937E-5</v>
      </c>
    </row>
    <row r="23" spans="1:16" x14ac:dyDescent="0.2">
      <c r="A23">
        <v>22</v>
      </c>
      <c r="B23">
        <v>735</v>
      </c>
      <c r="C23">
        <v>275</v>
      </c>
      <c r="D23">
        <v>0.285900411645091</v>
      </c>
      <c r="E23">
        <v>100.997097763619</v>
      </c>
      <c r="F23">
        <v>1.89143275249236</v>
      </c>
      <c r="G23">
        <v>-1672.0307159704937</v>
      </c>
      <c r="H23">
        <v>-1398.1815617409427</v>
      </c>
      <c r="I23">
        <v>271.64098196586201</v>
      </c>
      <c r="J23">
        <v>148.89773653131999</v>
      </c>
      <c r="K23">
        <v>53.397139089684302</v>
      </c>
      <c r="L23">
        <v>4.106074295448339E-4</v>
      </c>
      <c r="M23">
        <v>6.2185226279728531E-5</v>
      </c>
      <c r="N23" s="1">
        <v>1.5233735202615501E-5</v>
      </c>
      <c r="O23" s="1">
        <v>2.6254660417228902E-6</v>
      </c>
      <c r="P23" s="1">
        <v>-1.04076838751384E-5</v>
      </c>
    </row>
    <row r="24" spans="1:16" x14ac:dyDescent="0.2">
      <c r="A24">
        <v>23</v>
      </c>
      <c r="B24">
        <v>756</v>
      </c>
      <c r="C24">
        <v>250</v>
      </c>
      <c r="D24">
        <v>0.32862119224602798</v>
      </c>
      <c r="E24">
        <v>4.1504655890487596</v>
      </c>
      <c r="F24">
        <v>0.52617349171939898</v>
      </c>
      <c r="G24">
        <v>-90.09419655317464</v>
      </c>
      <c r="H24">
        <v>-52.796824682136041</v>
      </c>
      <c r="I24">
        <v>36.243256106803102</v>
      </c>
      <c r="J24">
        <v>16.188293278521002</v>
      </c>
      <c r="K24">
        <v>7.88801726876454</v>
      </c>
      <c r="L24">
        <v>1.2959633878440581E-3</v>
      </c>
      <c r="M24">
        <v>2.2855032405439383E-4</v>
      </c>
      <c r="N24" s="1">
        <v>6.3179600029966002E-6</v>
      </c>
      <c r="O24" s="1">
        <v>1.6704778351610399E-6</v>
      </c>
      <c r="P24" s="1">
        <v>-5.6054104290964899E-6</v>
      </c>
    </row>
    <row r="25" spans="1:16" x14ac:dyDescent="0.2">
      <c r="A25">
        <v>24</v>
      </c>
      <c r="B25">
        <v>755</v>
      </c>
      <c r="C25">
        <v>250</v>
      </c>
      <c r="D25">
        <v>0.32790011185138401</v>
      </c>
      <c r="E25">
        <v>4.21193714888516</v>
      </c>
      <c r="F25">
        <v>0.53271117645467603</v>
      </c>
      <c r="G25">
        <v>-91.077298394453507</v>
      </c>
      <c r="H25">
        <v>-53.686641091272776</v>
      </c>
      <c r="I25">
        <v>36.369240108188201</v>
      </c>
      <c r="J25">
        <v>16.275951942212199</v>
      </c>
      <c r="K25">
        <v>7.9066055586005097</v>
      </c>
      <c r="L25">
        <v>1.2930727013339832E-3</v>
      </c>
      <c r="M25">
        <v>2.274764252419474E-4</v>
      </c>
      <c r="N25" s="1">
        <v>6.3827858478718198E-6</v>
      </c>
      <c r="O25" s="1">
        <v>1.6660157850177E-6</v>
      </c>
      <c r="P25" s="1">
        <v>-5.60834640643836E-6</v>
      </c>
    </row>
    <row r="26" spans="1:16" x14ac:dyDescent="0.2">
      <c r="A26">
        <v>25</v>
      </c>
      <c r="B26">
        <v>754</v>
      </c>
      <c r="C26">
        <v>250</v>
      </c>
      <c r="D26">
        <v>0.32717762741566497</v>
      </c>
      <c r="E26">
        <v>4.4351318164249198</v>
      </c>
      <c r="F26">
        <v>0.55440284292904296</v>
      </c>
      <c r="G26">
        <v>-94.737490443995924</v>
      </c>
      <c r="H26">
        <v>-56.876381027912757</v>
      </c>
      <c r="I26">
        <v>36.8626707925836</v>
      </c>
      <c r="J26">
        <v>16.571148298349001</v>
      </c>
      <c r="K26">
        <v>7.9998359910873802</v>
      </c>
      <c r="L26">
        <v>1.2804118430850006E-3</v>
      </c>
      <c r="M26">
        <v>2.2470071410215795E-4</v>
      </c>
      <c r="N26" s="1">
        <v>6.4592334092517199E-6</v>
      </c>
      <c r="O26" s="1">
        <v>1.6644812207435799E-6</v>
      </c>
      <c r="P26" s="1">
        <v>-5.6211436120434499E-6</v>
      </c>
    </row>
    <row r="27" spans="1:16" x14ac:dyDescent="0.2">
      <c r="A27">
        <v>26</v>
      </c>
      <c r="B27">
        <v>753</v>
      </c>
      <c r="C27">
        <v>250</v>
      </c>
      <c r="D27">
        <v>0.32645373483409301</v>
      </c>
      <c r="E27">
        <v>5.6612271913457501</v>
      </c>
      <c r="F27">
        <v>0.65858370079799</v>
      </c>
      <c r="G27">
        <v>-115.0944195417685</v>
      </c>
      <c r="H27">
        <v>-74.137781535408266</v>
      </c>
      <c r="I27">
        <v>39.915284828234803</v>
      </c>
      <c r="J27">
        <v>18.275301717852599</v>
      </c>
      <c r="K27">
        <v>8.5960633166083102</v>
      </c>
      <c r="L27">
        <v>1.2160553555226959E-3</v>
      </c>
      <c r="M27">
        <v>2.1279621475472755E-4</v>
      </c>
      <c r="N27" s="1">
        <v>6.6419638851569199E-6</v>
      </c>
      <c r="O27" s="1">
        <v>1.69260834586151E-6</v>
      </c>
      <c r="P27" s="1">
        <v>-5.7344266235848502E-6</v>
      </c>
    </row>
    <row r="28" spans="1:16" x14ac:dyDescent="0.2">
      <c r="A28">
        <v>27</v>
      </c>
      <c r="B28">
        <v>752</v>
      </c>
      <c r="C28">
        <v>250</v>
      </c>
      <c r="D28">
        <v>0.32572842998585799</v>
      </c>
      <c r="E28">
        <v>8.1039710191685206</v>
      </c>
      <c r="F28">
        <v>0.82675993012307203</v>
      </c>
      <c r="G28">
        <v>-155.68809435484133</v>
      </c>
      <c r="H28">
        <v>-108.46278098716033</v>
      </c>
      <c r="I28">
        <v>46.069204701287802</v>
      </c>
      <c r="J28">
        <v>21.6902562602695</v>
      </c>
      <c r="K28">
        <v>9.8020848905463502</v>
      </c>
      <c r="L28">
        <v>1.1114618551898981E-3</v>
      </c>
      <c r="M28">
        <v>1.9384456420276544E-4</v>
      </c>
      <c r="N28" s="1">
        <v>6.9555787433674603E-6</v>
      </c>
      <c r="O28" s="1">
        <v>1.7563490468430299E-6</v>
      </c>
      <c r="P28" s="1">
        <v>-5.9693794852610403E-6</v>
      </c>
    </row>
    <row r="29" spans="1:16" x14ac:dyDescent="0.2">
      <c r="A29">
        <v>28</v>
      </c>
      <c r="B29">
        <v>751</v>
      </c>
      <c r="C29">
        <v>250</v>
      </c>
      <c r="D29">
        <v>0.32500170873407402</v>
      </c>
      <c r="E29">
        <v>10.6086635836709</v>
      </c>
      <c r="F29">
        <v>0.96107274696380496</v>
      </c>
      <c r="G29">
        <v>-197.28331000341865</v>
      </c>
      <c r="H29">
        <v>-143.64630673486022</v>
      </c>
      <c r="I29">
        <v>52.374786769784798</v>
      </c>
      <c r="J29">
        <v>25.193943761633001</v>
      </c>
      <c r="K29">
        <v>11.038356479450201</v>
      </c>
      <c r="L29">
        <v>1.0279294109962255E-3</v>
      </c>
      <c r="M29">
        <v>1.7868240745185497E-4</v>
      </c>
      <c r="N29" s="1">
        <v>7.27878371951336E-6</v>
      </c>
      <c r="O29" s="1">
        <v>1.82130010072524E-6</v>
      </c>
      <c r="P29" s="1">
        <v>-6.2099161561445498E-6</v>
      </c>
    </row>
    <row r="30" spans="1:16" x14ac:dyDescent="0.2">
      <c r="A30">
        <v>29</v>
      </c>
      <c r="B30">
        <v>750</v>
      </c>
      <c r="C30">
        <v>250</v>
      </c>
      <c r="D30">
        <v>0.324273566925672</v>
      </c>
      <c r="E30">
        <v>13.187937668592699</v>
      </c>
      <c r="F30">
        <v>1.0712417852465399</v>
      </c>
      <c r="G30">
        <v>-240.08559784769972</v>
      </c>
      <c r="H30">
        <v>-179.8634067282903</v>
      </c>
      <c r="I30">
        <v>58.862269806796498</v>
      </c>
      <c r="J30">
        <v>28.803386987520799</v>
      </c>
      <c r="K30">
        <v>12.3108880275404</v>
      </c>
      <c r="L30">
        <v>9.5940347807674578E-4</v>
      </c>
      <c r="M30">
        <v>1.662218467224584E-4</v>
      </c>
      <c r="N30" s="1">
        <v>7.6126804646507503E-6</v>
      </c>
      <c r="O30" s="1">
        <v>1.8877212274492099E-6</v>
      </c>
      <c r="P30" s="1">
        <v>-6.4569724826162903E-6</v>
      </c>
    </row>
    <row r="31" spans="1:16" x14ac:dyDescent="0.2">
      <c r="A31">
        <v>30</v>
      </c>
      <c r="B31">
        <v>749</v>
      </c>
      <c r="C31">
        <v>250</v>
      </c>
      <c r="D31">
        <v>0.32354400039133302</v>
      </c>
      <c r="E31">
        <v>15.8593541415026</v>
      </c>
      <c r="F31">
        <v>1.1637281038998399</v>
      </c>
      <c r="G31">
        <v>-284.38087774569186</v>
      </c>
      <c r="H31">
        <v>-217.35743763054484</v>
      </c>
      <c r="I31">
        <v>65.573829096104106</v>
      </c>
      <c r="J31">
        <v>32.542261597440799</v>
      </c>
      <c r="K31">
        <v>13.628058038948399</v>
      </c>
      <c r="L31">
        <v>9.0185639999348292E-4</v>
      </c>
      <c r="M31">
        <v>1.5573964065447834E-4</v>
      </c>
      <c r="N31" s="1">
        <v>7.9588252790505499E-6</v>
      </c>
      <c r="O31" s="1">
        <v>1.9559814012921402E-6</v>
      </c>
      <c r="P31" s="1">
        <v>-6.7118707933640602E-6</v>
      </c>
    </row>
    <row r="32" spans="1:16" x14ac:dyDescent="0.2">
      <c r="A32">
        <v>31</v>
      </c>
      <c r="B32">
        <v>748</v>
      </c>
      <c r="C32">
        <v>250</v>
      </c>
      <c r="D32">
        <v>0.32281300494540499</v>
      </c>
      <c r="E32">
        <v>18.6486911383939</v>
      </c>
      <c r="F32">
        <v>1.2430633273223299</v>
      </c>
      <c r="G32">
        <v>-330.58923579371299</v>
      </c>
      <c r="H32">
        <v>-256.4857038099974</v>
      </c>
      <c r="I32">
        <v>72.571605169761099</v>
      </c>
      <c r="J32">
        <v>36.4453634945354</v>
      </c>
      <c r="K32">
        <v>15.0022052203605</v>
      </c>
      <c r="L32">
        <v>8.5245904674186306E-4</v>
      </c>
      <c r="M32">
        <v>1.4672842798606938E-4</v>
      </c>
      <c r="N32" s="1">
        <v>8.3195426322581098E-6</v>
      </c>
      <c r="O32" s="1">
        <v>2.0266350292901199E-6</v>
      </c>
      <c r="P32" s="1">
        <v>-6.9765881677209396E-6</v>
      </c>
    </row>
    <row r="33" spans="1:16" x14ac:dyDescent="0.2">
      <c r="A33">
        <v>32</v>
      </c>
      <c r="B33">
        <v>747</v>
      </c>
      <c r="C33">
        <v>250</v>
      </c>
      <c r="D33">
        <v>0.32208057638582899</v>
      </c>
      <c r="E33">
        <v>21.596095442410299</v>
      </c>
      <c r="F33">
        <v>1.3126248657355599</v>
      </c>
      <c r="G33">
        <v>-379.36546813159219</v>
      </c>
      <c r="H33">
        <v>-297.80479912397186</v>
      </c>
      <c r="I33">
        <v>79.952703622399895</v>
      </c>
      <c r="J33">
        <v>40.566957695229803</v>
      </c>
      <c r="K33">
        <v>16.452602724624001</v>
      </c>
      <c r="L33">
        <v>8.0909649650513934E-4</v>
      </c>
      <c r="M33">
        <v>1.3880992361011555E-4</v>
      </c>
      <c r="N33" s="1">
        <v>8.6985106768638897E-6</v>
      </c>
      <c r="O33" s="1">
        <v>2.1005636286453799E-6</v>
      </c>
      <c r="P33" s="1">
        <v>-7.2542559434831401E-6</v>
      </c>
    </row>
    <row r="34" spans="1:16" x14ac:dyDescent="0.2">
      <c r="A34">
        <v>33</v>
      </c>
      <c r="B34">
        <v>746</v>
      </c>
      <c r="C34">
        <v>250</v>
      </c>
      <c r="D34">
        <v>0.32134671049404001</v>
      </c>
      <c r="E34">
        <v>24.768690618025701</v>
      </c>
      <c r="F34">
        <v>1.37515605058999</v>
      </c>
      <c r="G34">
        <v>-431.80509985798466</v>
      </c>
      <c r="H34">
        <v>-342.24550189418073</v>
      </c>
      <c r="I34">
        <v>87.879906193210502</v>
      </c>
      <c r="J34">
        <v>44.997875008860298</v>
      </c>
      <c r="K34">
        <v>18.011549021944798</v>
      </c>
      <c r="L34">
        <v>7.7004078208598565E-4</v>
      </c>
      <c r="M34">
        <v>1.3167661630128429E-4</v>
      </c>
      <c r="N34" s="1">
        <v>9.1019574806238103E-6</v>
      </c>
      <c r="O34" s="1">
        <v>2.1792646761331801E-6</v>
      </c>
      <c r="P34" s="1">
        <v>-7.5501784816842302E-6</v>
      </c>
    </row>
    <row r="35" spans="1:16" x14ac:dyDescent="0.2">
      <c r="A35">
        <v>34</v>
      </c>
      <c r="B35">
        <v>745</v>
      </c>
      <c r="C35">
        <v>250</v>
      </c>
      <c r="D35">
        <v>0.32061140303491598</v>
      </c>
      <c r="E35">
        <v>28.289862872554799</v>
      </c>
      <c r="F35">
        <v>1.43323241834091</v>
      </c>
      <c r="G35">
        <v>-489.92278803650652</v>
      </c>
      <c r="H35">
        <v>-391.51895709112131</v>
      </c>
      <c r="I35">
        <v>96.652927658723897</v>
      </c>
      <c r="J35">
        <v>49.905183535136302</v>
      </c>
      <c r="K35">
        <v>19.738503337304302</v>
      </c>
      <c r="L35">
        <v>7.3365282877802581E-4</v>
      </c>
      <c r="M35">
        <v>1.2503937435951587E-4</v>
      </c>
      <c r="N35" s="1">
        <v>9.5414279315018903E-6</v>
      </c>
      <c r="O35" s="1">
        <v>2.2655192146732499E-6</v>
      </c>
      <c r="P35" s="1">
        <v>-7.8741874316798292E-6</v>
      </c>
    </row>
    <row r="36" spans="1:16" x14ac:dyDescent="0.2">
      <c r="A36">
        <v>35</v>
      </c>
      <c r="B36">
        <v>744</v>
      </c>
      <c r="C36">
        <v>250</v>
      </c>
      <c r="D36">
        <v>0.31987464975667701</v>
      </c>
      <c r="E36">
        <v>32.420215429187699</v>
      </c>
      <c r="F36">
        <v>1.4899597563059199</v>
      </c>
      <c r="G36">
        <v>-557.97435230397014</v>
      </c>
      <c r="H36">
        <v>-449.23929456540344</v>
      </c>
      <c r="I36">
        <v>106.90514178094701</v>
      </c>
      <c r="J36">
        <v>55.641721787611203</v>
      </c>
      <c r="K36">
        <v>21.759121541354499</v>
      </c>
      <c r="L36">
        <v>6.9792736071952618E-4</v>
      </c>
      <c r="M36">
        <v>1.1854875613177304E-4</v>
      </c>
      <c r="N36" s="1">
        <v>1.0041393872177601E-5</v>
      </c>
      <c r="O36" s="1">
        <v>2.3652272277038001E-6</v>
      </c>
      <c r="P36" s="1">
        <v>-8.2471116470619696E-6</v>
      </c>
    </row>
    <row r="37" spans="1:16" x14ac:dyDescent="0.2">
      <c r="A37">
        <v>36</v>
      </c>
      <c r="B37">
        <v>743</v>
      </c>
      <c r="C37">
        <v>250</v>
      </c>
      <c r="D37">
        <v>0.31913644639078897</v>
      </c>
      <c r="E37">
        <v>46.457470489530301</v>
      </c>
      <c r="F37">
        <v>1.6273395944104501</v>
      </c>
      <c r="G37">
        <v>-787.85912125895663</v>
      </c>
      <c r="H37">
        <v>-644.42877068250345</v>
      </c>
      <c r="I37">
        <v>141.154704663361</v>
      </c>
      <c r="J37">
        <v>74.756601931838503</v>
      </c>
      <c r="K37">
        <v>28.548110455310798</v>
      </c>
      <c r="L37">
        <v>6.0936089945901723E-4</v>
      </c>
      <c r="M37">
        <v>1.0300201823665528E-4</v>
      </c>
      <c r="N37" s="1">
        <v>1.14625602006931E-5</v>
      </c>
      <c r="O37" s="1">
        <v>2.6895937309769E-6</v>
      </c>
      <c r="P37" s="1">
        <v>-9.4079904903367307E-6</v>
      </c>
    </row>
    <row r="38" spans="1:16" x14ac:dyDescent="0.2">
      <c r="A38">
        <v>37</v>
      </c>
      <c r="B38">
        <v>742</v>
      </c>
      <c r="C38">
        <v>250</v>
      </c>
      <c r="D38">
        <v>0.318396788651924</v>
      </c>
      <c r="E38">
        <v>82.530640804971796</v>
      </c>
      <c r="F38">
        <v>1.79711417502691</v>
      </c>
      <c r="G38">
        <v>-1374.8472523933131</v>
      </c>
      <c r="H38">
        <v>-1142.349982417154</v>
      </c>
      <c r="I38">
        <v>229.032697009228</v>
      </c>
      <c r="J38">
        <v>123.72317683389301</v>
      </c>
      <c r="K38">
        <v>45.923982989970902</v>
      </c>
      <c r="L38">
        <v>5.0239161043040775E-4</v>
      </c>
      <c r="M38">
        <v>8.4367794985540885E-5</v>
      </c>
      <c r="N38" s="1">
        <v>1.5016405166333901E-5</v>
      </c>
      <c r="O38" s="1">
        <v>3.5301273777026401E-6</v>
      </c>
      <c r="P38" s="1">
        <v>-1.23870886186238E-5</v>
      </c>
    </row>
    <row r="39" spans="1:16" x14ac:dyDescent="0.2">
      <c r="A39">
        <v>38</v>
      </c>
      <c r="B39">
        <v>741</v>
      </c>
      <c r="C39">
        <v>250</v>
      </c>
      <c r="D39">
        <v>0.31765567223783697</v>
      </c>
      <c r="E39">
        <v>92.471499876540406</v>
      </c>
      <c r="F39">
        <v>1.82418365570745</v>
      </c>
      <c r="G39">
        <v>-1536.4538195094449</v>
      </c>
      <c r="H39">
        <v>-1279.7503303861752</v>
      </c>
      <c r="I39">
        <v>253.12735873272001</v>
      </c>
      <c r="J39">
        <v>137.25290335065901</v>
      </c>
      <c r="K39">
        <v>50.691990133349798</v>
      </c>
      <c r="L39">
        <v>4.8568997194342519E-4</v>
      </c>
      <c r="M39">
        <v>8.1292007111641063E-5</v>
      </c>
      <c r="N39" s="1">
        <v>1.6082335985545198E-5</v>
      </c>
      <c r="O39" s="1">
        <v>3.7503778725593102E-6</v>
      </c>
      <c r="P39" s="1">
        <v>-1.32022391636425E-5</v>
      </c>
    </row>
    <row r="40" spans="1:16" x14ac:dyDescent="0.2">
      <c r="A40">
        <v>39</v>
      </c>
      <c r="B40">
        <v>740</v>
      </c>
      <c r="C40">
        <v>250</v>
      </c>
      <c r="D40">
        <v>0.31691309282929903</v>
      </c>
      <c r="E40">
        <v>97.843997325101995</v>
      </c>
      <c r="F40">
        <v>1.83730655001795</v>
      </c>
      <c r="G40">
        <v>-1623.6597015225418</v>
      </c>
      <c r="H40">
        <v>-1354.0980354390724</v>
      </c>
      <c r="I40">
        <v>266.06867340844099</v>
      </c>
      <c r="J40">
        <v>144.59140650836099</v>
      </c>
      <c r="K40">
        <v>53.254040445317003</v>
      </c>
      <c r="L40">
        <v>4.778725147009783E-4</v>
      </c>
      <c r="M40">
        <v>7.9748419337475845E-5</v>
      </c>
      <c r="N40" s="1">
        <v>1.6714646432594299E-5</v>
      </c>
      <c r="O40" s="1">
        <v>3.8620995664881004E-6</v>
      </c>
      <c r="P40" s="1">
        <v>-1.3639345890680301E-5</v>
      </c>
    </row>
    <row r="41" spans="1:16" x14ac:dyDescent="0.2">
      <c r="A41">
        <v>40</v>
      </c>
      <c r="B41">
        <v>739</v>
      </c>
      <c r="C41">
        <v>250</v>
      </c>
      <c r="D41">
        <v>0.31616904609000601</v>
      </c>
      <c r="E41">
        <v>100.892842513277</v>
      </c>
      <c r="F41">
        <v>1.8446380686219701</v>
      </c>
      <c r="G41">
        <v>-1673.0193935177783</v>
      </c>
      <c r="H41">
        <v>-1396.364651723067</v>
      </c>
      <c r="I41">
        <v>273.33958317466499</v>
      </c>
      <c r="J41">
        <v>148.779898734981</v>
      </c>
      <c r="K41">
        <v>54.695196976309099</v>
      </c>
      <c r="L41">
        <v>4.7371984374322996E-4</v>
      </c>
      <c r="M41">
        <v>7.8836655693318599E-5</v>
      </c>
      <c r="N41" s="1">
        <v>1.71248450661659E-5</v>
      </c>
      <c r="O41" s="1">
        <v>3.9187773348284404E-6</v>
      </c>
      <c r="P41" s="1">
        <v>-1.38841824512362E-5</v>
      </c>
    </row>
    <row r="42" spans="1:16" x14ac:dyDescent="0.2">
      <c r="A42">
        <v>41</v>
      </c>
      <c r="B42">
        <v>762</v>
      </c>
      <c r="C42">
        <v>225</v>
      </c>
      <c r="D42">
        <v>0.35948461575617302</v>
      </c>
      <c r="E42">
        <v>4.5931234881628704</v>
      </c>
      <c r="F42">
        <v>0.49006487950535499</v>
      </c>
      <c r="G42">
        <v>-100.17076471292478</v>
      </c>
      <c r="H42">
        <v>-58.231496344148596</v>
      </c>
      <c r="I42">
        <v>40.517699691915297</v>
      </c>
      <c r="J42">
        <v>18.032389536533302</v>
      </c>
      <c r="K42">
        <v>9.3724804209575705</v>
      </c>
      <c r="L42">
        <v>1.400395218574617E-3</v>
      </c>
      <c r="M42">
        <v>2.7806099651990983E-4</v>
      </c>
      <c r="N42" s="1">
        <v>6.4845010756153797E-6</v>
      </c>
      <c r="O42" s="1">
        <v>2.7777820133539202E-6</v>
      </c>
      <c r="P42" s="1">
        <v>-8.0657989736488208E-6</v>
      </c>
    </row>
    <row r="43" spans="1:16" x14ac:dyDescent="0.2">
      <c r="A43">
        <v>42</v>
      </c>
      <c r="B43">
        <v>761</v>
      </c>
      <c r="C43">
        <v>225</v>
      </c>
      <c r="D43">
        <v>0.35879756321617101</v>
      </c>
      <c r="E43">
        <v>4.6163668000636298</v>
      </c>
      <c r="F43">
        <v>0.49257942639711699</v>
      </c>
      <c r="G43">
        <v>-100.51941755472961</v>
      </c>
      <c r="H43">
        <v>-58.573504215159502</v>
      </c>
      <c r="I43">
        <v>40.563306095896202</v>
      </c>
      <c r="J43">
        <v>18.077156968606602</v>
      </c>
      <c r="K43">
        <v>9.3718221928780299</v>
      </c>
      <c r="L43">
        <v>1.4004595280576162E-3</v>
      </c>
      <c r="M43">
        <v>2.7734709919423632E-4</v>
      </c>
      <c r="N43" s="1">
        <v>6.5753135842210999E-6</v>
      </c>
      <c r="O43" s="1">
        <v>2.7702952897701098E-6</v>
      </c>
      <c r="P43" s="1">
        <v>-8.0715720840810008E-6</v>
      </c>
    </row>
    <row r="44" spans="1:16" x14ac:dyDescent="0.2">
      <c r="A44">
        <v>43</v>
      </c>
      <c r="B44">
        <v>760</v>
      </c>
      <c r="C44">
        <v>225</v>
      </c>
      <c r="D44">
        <v>0.35810918066108399</v>
      </c>
      <c r="E44">
        <v>5.1561543106452001</v>
      </c>
      <c r="F44">
        <v>0.53481675204414203</v>
      </c>
      <c r="G44">
        <v>-109.49053892402141</v>
      </c>
      <c r="H44">
        <v>-66.121200943342188</v>
      </c>
      <c r="I44">
        <v>41.9803444500658</v>
      </c>
      <c r="J44">
        <v>18.867318946214802</v>
      </c>
      <c r="K44">
        <v>9.6409738306395099</v>
      </c>
      <c r="L44">
        <v>1.3743606734470768E-3</v>
      </c>
      <c r="M44">
        <v>2.71381720583972E-4</v>
      </c>
      <c r="N44" s="1">
        <v>6.7209451790070304E-6</v>
      </c>
      <c r="O44" s="1">
        <v>2.7880260765161801E-6</v>
      </c>
      <c r="P44" s="1">
        <v>-8.1510169132838605E-6</v>
      </c>
    </row>
    <row r="45" spans="1:16" x14ac:dyDescent="0.2">
      <c r="A45">
        <v>44</v>
      </c>
      <c r="B45">
        <v>759</v>
      </c>
      <c r="C45">
        <v>225</v>
      </c>
      <c r="D45">
        <v>0.35741946422516302</v>
      </c>
      <c r="E45">
        <v>5.6977950065506997</v>
      </c>
      <c r="F45">
        <v>0.57490275441105698</v>
      </c>
      <c r="G45">
        <v>-118.48835985325363</v>
      </c>
      <c r="H45">
        <v>-73.694885838778745</v>
      </c>
      <c r="I45">
        <v>43.4008179111147</v>
      </c>
      <c r="J45">
        <v>19.660747075234699</v>
      </c>
      <c r="K45">
        <v>9.9108848632802999</v>
      </c>
      <c r="L45">
        <v>1.3495971496291202E-3</v>
      </c>
      <c r="M45">
        <v>2.6571191629810409E-4</v>
      </c>
      <c r="N45" s="1">
        <v>6.8683372313441004E-6</v>
      </c>
      <c r="O45" s="1">
        <v>2.8056504432916699E-6</v>
      </c>
      <c r="P45" s="1">
        <v>-8.2306266131923801E-6</v>
      </c>
    </row>
    <row r="46" spans="1:16" x14ac:dyDescent="0.2">
      <c r="A46">
        <v>45</v>
      </c>
      <c r="B46">
        <v>758</v>
      </c>
      <c r="C46">
        <v>225</v>
      </c>
      <c r="D46">
        <v>0.356728410027642</v>
      </c>
      <c r="E46">
        <v>6.84473082764623</v>
      </c>
      <c r="F46">
        <v>0.65314895929567895</v>
      </c>
      <c r="G46">
        <v>-137.54421786714943</v>
      </c>
      <c r="H46">
        <v>-89.793098203404071</v>
      </c>
      <c r="I46">
        <v>46.311251423409097</v>
      </c>
      <c r="J46">
        <v>21.280137892372199</v>
      </c>
      <c r="K46">
        <v>10.4795862111259</v>
      </c>
      <c r="L46">
        <v>1.2989906027572951E-3</v>
      </c>
      <c r="M46">
        <v>2.5496914121562547E-4</v>
      </c>
      <c r="N46" s="1">
        <v>7.0697681805887199E-6</v>
      </c>
      <c r="O46" s="1">
        <v>2.8457783630231599E-6</v>
      </c>
      <c r="P46" s="1">
        <v>-8.3769394737115692E-6</v>
      </c>
    </row>
    <row r="47" spans="1:16" x14ac:dyDescent="0.2">
      <c r="A47">
        <v>46</v>
      </c>
      <c r="B47">
        <v>757</v>
      </c>
      <c r="C47">
        <v>225</v>
      </c>
      <c r="D47">
        <v>0.35603601417269398</v>
      </c>
      <c r="E47">
        <v>9.2993424673701508</v>
      </c>
      <c r="F47">
        <v>0.795233218873304</v>
      </c>
      <c r="G47">
        <v>-178.31961721986139</v>
      </c>
      <c r="H47">
        <v>-124.30031604872451</v>
      </c>
      <c r="I47">
        <v>52.441025538818899</v>
      </c>
      <c r="J47">
        <v>24.6845539463948</v>
      </c>
      <c r="K47">
        <v>11.6938556472094</v>
      </c>
      <c r="L47">
        <v>1.2050386867380994E-3</v>
      </c>
      <c r="M47">
        <v>2.3574979750737432E-4</v>
      </c>
      <c r="N47" s="1">
        <v>7.38855214408358E-6</v>
      </c>
      <c r="O47" s="1">
        <v>2.9344576303373299E-6</v>
      </c>
      <c r="P47" s="1">
        <v>-8.6675575311073106E-6</v>
      </c>
    </row>
    <row r="48" spans="1:16" x14ac:dyDescent="0.2">
      <c r="A48">
        <v>47</v>
      </c>
      <c r="B48">
        <v>756</v>
      </c>
      <c r="C48">
        <v>225</v>
      </c>
      <c r="D48">
        <v>0.35534227274935698</v>
      </c>
      <c r="E48">
        <v>11.807804094979801</v>
      </c>
      <c r="F48">
        <v>0.91291290440242601</v>
      </c>
      <c r="G48">
        <v>-219.96137021066767</v>
      </c>
      <c r="H48">
        <v>-159.5531614187984</v>
      </c>
      <c r="I48">
        <v>58.700020457877997</v>
      </c>
      <c r="J48">
        <v>28.165077385323801</v>
      </c>
      <c r="K48">
        <v>12.9342065798807</v>
      </c>
      <c r="L48">
        <v>1.1272319933482951E-3</v>
      </c>
      <c r="M48">
        <v>2.198056477358959E-4</v>
      </c>
      <c r="N48" s="1">
        <v>7.7172604583857898E-6</v>
      </c>
      <c r="O48" s="1">
        <v>3.0244865562257499E-6</v>
      </c>
      <c r="P48" s="1">
        <v>-8.96409778363135E-6</v>
      </c>
    </row>
    <row r="49" spans="1:16" x14ac:dyDescent="0.2">
      <c r="A49">
        <v>48</v>
      </c>
      <c r="B49">
        <v>755</v>
      </c>
      <c r="C49">
        <v>225</v>
      </c>
      <c r="D49">
        <v>0.354647181831445</v>
      </c>
      <c r="E49">
        <v>14.380839753685599</v>
      </c>
      <c r="F49">
        <v>1.0123267639765501</v>
      </c>
      <c r="G49">
        <v>-262.64367703202845</v>
      </c>
      <c r="H49">
        <v>-195.70016733179122</v>
      </c>
      <c r="I49">
        <v>65.113577955824795</v>
      </c>
      <c r="J49">
        <v>31.735956878823</v>
      </c>
      <c r="K49">
        <v>14.2057290841505</v>
      </c>
      <c r="L49">
        <v>1.0615001407546631E-3</v>
      </c>
      <c r="M49">
        <v>2.0631271243014206E-4</v>
      </c>
      <c r="N49" s="1">
        <v>8.0567963327196505E-6</v>
      </c>
      <c r="O49" s="1">
        <v>3.11616379805605E-6</v>
      </c>
      <c r="P49" s="1">
        <v>-9.2675014944385E-6</v>
      </c>
    </row>
    <row r="50" spans="1:16" x14ac:dyDescent="0.2">
      <c r="A50">
        <v>49</v>
      </c>
      <c r="B50">
        <v>754</v>
      </c>
      <c r="C50">
        <v>225</v>
      </c>
      <c r="D50">
        <v>0.35395073747748601</v>
      </c>
      <c r="E50">
        <v>17.0333996747997</v>
      </c>
      <c r="F50">
        <v>1.0978274217842401</v>
      </c>
      <c r="G50">
        <v>-306.60969190969064</v>
      </c>
      <c r="H50">
        <v>-232.94847320286658</v>
      </c>
      <c r="I50">
        <v>71.717212748398694</v>
      </c>
      <c r="J50">
        <v>35.4171017918028</v>
      </c>
      <c r="K50">
        <v>15.5155531159135</v>
      </c>
      <c r="L50">
        <v>1.0049542591173426E-3</v>
      </c>
      <c r="M50">
        <v>1.9468672388522348E-4</v>
      </c>
      <c r="N50" s="1">
        <v>8.4084316414056099E-6</v>
      </c>
      <c r="O50" s="1">
        <v>3.2099202144447099E-6</v>
      </c>
      <c r="P50" s="1">
        <v>-9.5791169501643297E-6</v>
      </c>
    </row>
    <row r="51" spans="1:16" x14ac:dyDescent="0.2">
      <c r="A51">
        <v>50</v>
      </c>
      <c r="B51">
        <v>753</v>
      </c>
      <c r="C51">
        <v>225</v>
      </c>
      <c r="D51">
        <v>0.35325293573064698</v>
      </c>
      <c r="E51">
        <v>19.787255255672399</v>
      </c>
      <c r="F51">
        <v>1.17264003632533</v>
      </c>
      <c r="G51">
        <v>-352.21394446228163</v>
      </c>
      <c r="H51">
        <v>-271.59984628136306</v>
      </c>
      <c r="I51">
        <v>78.562898971660701</v>
      </c>
      <c r="J51">
        <v>39.237577751276802</v>
      </c>
      <c r="K51">
        <v>16.874108543725999</v>
      </c>
      <c r="L51">
        <v>9.554498368768826E-4</v>
      </c>
      <c r="M51">
        <v>1.8449471381325452E-4</v>
      </c>
      <c r="N51" s="1">
        <v>8.7740407003953306E-6</v>
      </c>
      <c r="O51" s="1">
        <v>3.3064030044649598E-6</v>
      </c>
      <c r="P51" s="1">
        <v>-9.9009582689307998E-6</v>
      </c>
    </row>
    <row r="52" spans="1:16" x14ac:dyDescent="0.2">
      <c r="A52">
        <v>51</v>
      </c>
      <c r="B52">
        <v>752</v>
      </c>
      <c r="C52">
        <v>225</v>
      </c>
      <c r="D52">
        <v>0.35255377261864101</v>
      </c>
      <c r="E52">
        <v>22.675593173131499</v>
      </c>
      <c r="F52">
        <v>1.23928269632905</v>
      </c>
      <c r="G52">
        <v>-399.99740963583622</v>
      </c>
      <c r="H52">
        <v>-312.11444096050298</v>
      </c>
      <c r="I52">
        <v>85.730183745815495</v>
      </c>
      <c r="J52">
        <v>43.241788745790103</v>
      </c>
      <c r="K52">
        <v>18.297353170749599</v>
      </c>
      <c r="L52">
        <v>9.113067764171379E-4</v>
      </c>
      <c r="M52">
        <v>1.7539857041049957E-4</v>
      </c>
      <c r="N52" s="1">
        <v>9.1565137513361594E-6</v>
      </c>
      <c r="O52" s="1">
        <v>3.4066235003529601E-6</v>
      </c>
      <c r="P52" s="1">
        <v>-1.02361607195877E-5</v>
      </c>
    </row>
    <row r="53" spans="1:16" x14ac:dyDescent="0.2">
      <c r="A53">
        <v>52</v>
      </c>
      <c r="B53">
        <v>751</v>
      </c>
      <c r="C53">
        <v>225</v>
      </c>
      <c r="D53">
        <v>0.35185324415369101</v>
      </c>
      <c r="E53">
        <v>25.751795645985101</v>
      </c>
      <c r="F53">
        <v>1.29987186098993</v>
      </c>
      <c r="G53">
        <v>-450.83092977518083</v>
      </c>
      <c r="H53">
        <v>-355.23263367454939</v>
      </c>
      <c r="I53">
        <v>93.3474002010216</v>
      </c>
      <c r="J53">
        <v>47.501279836363999</v>
      </c>
      <c r="K53">
        <v>19.8110263163735</v>
      </c>
      <c r="L53">
        <v>8.7110432976406603E-4</v>
      </c>
      <c r="M53">
        <v>1.6711400530694675E-4</v>
      </c>
      <c r="N53" s="1">
        <v>9.5605447197436902E-6</v>
      </c>
      <c r="O53" s="1">
        <v>3.5122377845863402E-6</v>
      </c>
      <c r="P53" s="1">
        <v>-1.05898457545053E-5</v>
      </c>
    </row>
    <row r="54" spans="1:16" x14ac:dyDescent="0.2">
      <c r="A54">
        <v>53</v>
      </c>
      <c r="B54">
        <v>750</v>
      </c>
      <c r="C54">
        <v>225</v>
      </c>
      <c r="D54">
        <v>0.35115134633240402</v>
      </c>
      <c r="E54">
        <v>29.107945204953701</v>
      </c>
      <c r="F54">
        <v>1.35640640136216</v>
      </c>
      <c r="G54">
        <v>-506.21738913192104</v>
      </c>
      <c r="H54">
        <v>-402.23175318892652</v>
      </c>
      <c r="I54">
        <v>101.636322452058</v>
      </c>
      <c r="J54">
        <v>52.139585859924097</v>
      </c>
      <c r="K54">
        <v>21.4596047141345</v>
      </c>
      <c r="L54">
        <v>8.3348736697698162E-4</v>
      </c>
      <c r="M54">
        <v>1.5937234914792955E-4</v>
      </c>
      <c r="N54" s="1">
        <v>9.9942843132639307E-6</v>
      </c>
      <c r="O54" s="1">
        <v>3.6261348141606701E-6</v>
      </c>
      <c r="P54" s="1">
        <v>-1.0970933947596801E-5</v>
      </c>
    </row>
    <row r="55" spans="1:16" x14ac:dyDescent="0.2">
      <c r="A55">
        <v>54</v>
      </c>
      <c r="B55">
        <v>749</v>
      </c>
      <c r="C55">
        <v>225</v>
      </c>
      <c r="D55">
        <v>0.350448075135744</v>
      </c>
      <c r="E55">
        <v>32.918964778121101</v>
      </c>
      <c r="F55">
        <v>1.4111568836273101</v>
      </c>
      <c r="G55">
        <v>-569.01226868096182</v>
      </c>
      <c r="H55">
        <v>-455.53836482099558</v>
      </c>
      <c r="I55">
        <v>111.018548417194</v>
      </c>
      <c r="J55">
        <v>57.391436708426198</v>
      </c>
      <c r="K55">
        <v>23.327643552646201</v>
      </c>
      <c r="L55">
        <v>7.9689585606099904E-4</v>
      </c>
      <c r="M55">
        <v>1.5186811153105784E-4</v>
      </c>
      <c r="N55" s="1">
        <v>1.04732636918699E-5</v>
      </c>
      <c r="O55" s="1">
        <v>3.75383128297037E-6</v>
      </c>
      <c r="P55" s="1">
        <v>-1.13964438843826E-5</v>
      </c>
    </row>
    <row r="56" spans="1:16" x14ac:dyDescent="0.2">
      <c r="A56">
        <v>55</v>
      </c>
      <c r="B56">
        <v>748</v>
      </c>
      <c r="C56">
        <v>225</v>
      </c>
      <c r="D56">
        <v>0.34974342652891699</v>
      </c>
      <c r="E56">
        <v>38.457736325623003</v>
      </c>
      <c r="F56">
        <v>1.4774060717050701</v>
      </c>
      <c r="G56">
        <v>-660.01125840286477</v>
      </c>
      <c r="H56">
        <v>-532.82090953702561</v>
      </c>
      <c r="I56">
        <v>124.55980723642401</v>
      </c>
      <c r="J56">
        <v>64.963172991531707</v>
      </c>
      <c r="K56">
        <v>26.030579582794601</v>
      </c>
      <c r="L56">
        <v>7.5208007803007374E-4</v>
      </c>
      <c r="M56">
        <v>1.4281712600478053E-4</v>
      </c>
      <c r="N56" s="1">
        <v>1.11084311265608E-5</v>
      </c>
      <c r="O56" s="1">
        <v>3.9359554047476697E-6</v>
      </c>
      <c r="P56" s="1">
        <v>-1.1990569121482501E-5</v>
      </c>
    </row>
    <row r="57" spans="1:16" x14ac:dyDescent="0.2">
      <c r="A57">
        <v>56</v>
      </c>
      <c r="B57">
        <v>747</v>
      </c>
      <c r="C57">
        <v>225</v>
      </c>
      <c r="D57">
        <v>0.34903739646130499</v>
      </c>
      <c r="E57">
        <v>70.199410292801403</v>
      </c>
      <c r="F57">
        <v>1.69617111056068</v>
      </c>
      <c r="G57">
        <v>-1177.2022033050348</v>
      </c>
      <c r="H57">
        <v>-971.81296680492142</v>
      </c>
      <c r="I57">
        <v>201.33723160627099</v>
      </c>
      <c r="J57">
        <v>107.708270364903</v>
      </c>
      <c r="K57">
        <v>41.3869861688638</v>
      </c>
      <c r="L57">
        <v>6.031569689671372E-4</v>
      </c>
      <c r="M57">
        <v>1.137970428033054E-4</v>
      </c>
      <c r="N57" s="1">
        <v>1.4080886832949601E-5</v>
      </c>
      <c r="O57" s="1">
        <v>4.9712283610984902E-6</v>
      </c>
      <c r="P57" s="1">
        <v>-1.5196167012652001E-5</v>
      </c>
    </row>
    <row r="58" spans="1:16" x14ac:dyDescent="0.2">
      <c r="A58">
        <v>57</v>
      </c>
      <c r="B58">
        <v>746</v>
      </c>
      <c r="C58">
        <v>225</v>
      </c>
      <c r="D58">
        <v>0.34832998086640898</v>
      </c>
      <c r="E58">
        <v>87.457417786750895</v>
      </c>
      <c r="F58">
        <v>1.7594205421533999</v>
      </c>
      <c r="G58">
        <v>-1457.8954789011868</v>
      </c>
      <c r="H58">
        <v>-1210.2897086214673</v>
      </c>
      <c r="I58">
        <v>242.958618390814</v>
      </c>
      <c r="J58">
        <v>130.95785071629001</v>
      </c>
      <c r="K58">
        <v>49.7080804113547</v>
      </c>
      <c r="L58">
        <v>5.6077714851866757E-4</v>
      </c>
      <c r="M58">
        <v>1.053657360897308E-4</v>
      </c>
      <c r="N58" s="1">
        <v>1.5794280579675401E-5</v>
      </c>
      <c r="O58" s="1">
        <v>5.5212738400634503E-6</v>
      </c>
      <c r="P58" s="1">
        <v>-1.6935735279870901E-5</v>
      </c>
    </row>
    <row r="59" spans="1:16" x14ac:dyDescent="0.2">
      <c r="A59">
        <v>58</v>
      </c>
      <c r="B59">
        <v>745</v>
      </c>
      <c r="C59">
        <v>225</v>
      </c>
      <c r="D59">
        <v>0.347621175661739</v>
      </c>
      <c r="E59">
        <v>94.563363555568003</v>
      </c>
      <c r="F59">
        <v>1.78038695740773</v>
      </c>
      <c r="G59">
        <v>-1573.3058368002401</v>
      </c>
      <c r="H59">
        <v>-1308.6005544918494</v>
      </c>
      <c r="I59">
        <v>259.99216243817699</v>
      </c>
      <c r="J59">
        <v>140.55748032326699</v>
      </c>
      <c r="K59">
        <v>53.1139386087468</v>
      </c>
      <c r="L59">
        <v>5.471418907625269E-4</v>
      </c>
      <c r="M59">
        <v>1.0247674729499021E-4</v>
      </c>
      <c r="N59" s="1">
        <v>1.6609164450816401E-5</v>
      </c>
      <c r="O59" s="1">
        <v>5.7344912474359797E-6</v>
      </c>
      <c r="P59" s="1">
        <v>-1.7650639109700999E-5</v>
      </c>
    </row>
    <row r="60" spans="1:16" x14ac:dyDescent="0.2">
      <c r="A60">
        <v>59</v>
      </c>
      <c r="B60">
        <v>744</v>
      </c>
      <c r="C60">
        <v>225</v>
      </c>
      <c r="D60">
        <v>0.34691097674876298</v>
      </c>
      <c r="E60">
        <v>98.878999414497002</v>
      </c>
      <c r="F60">
        <v>1.79233451422051</v>
      </c>
      <c r="G60">
        <v>-1643.282044673269</v>
      </c>
      <c r="H60">
        <v>-1368.3856482101091</v>
      </c>
      <c r="I60">
        <v>270.2671928483</v>
      </c>
      <c r="J60">
        <v>146.40954579765599</v>
      </c>
      <c r="K60">
        <v>55.167714860135597</v>
      </c>
      <c r="L60">
        <v>5.3967887193216225E-4</v>
      </c>
      <c r="M60">
        <v>1.0077875696712985E-4</v>
      </c>
      <c r="N60" s="1">
        <v>1.7178866172865099E-5</v>
      </c>
      <c r="O60" s="1">
        <v>5.8550842890611398E-6</v>
      </c>
      <c r="P60" s="1">
        <v>-1.8084307793073599E-5</v>
      </c>
    </row>
    <row r="61" spans="1:16" x14ac:dyDescent="0.2">
      <c r="A61">
        <v>60</v>
      </c>
      <c r="B61">
        <v>743</v>
      </c>
      <c r="C61">
        <v>225</v>
      </c>
      <c r="D61">
        <v>0.34619938001279399</v>
      </c>
      <c r="E61">
        <v>101.434526227893</v>
      </c>
      <c r="F61">
        <v>1.7994348279458099</v>
      </c>
      <c r="G61">
        <v>-1684.5963270092402</v>
      </c>
      <c r="H61">
        <v>-1403.8571538932877</v>
      </c>
      <c r="I61">
        <v>276.28316210503198</v>
      </c>
      <c r="J61">
        <v>149.89658345669699</v>
      </c>
      <c r="K61">
        <v>56.370213943056797</v>
      </c>
      <c r="L61">
        <v>5.3550247831811362E-4</v>
      </c>
      <c r="M61">
        <v>9.9714173170242727E-5</v>
      </c>
      <c r="N61" s="1">
        <v>1.7591973083584601E-5</v>
      </c>
      <c r="O61" s="1">
        <v>5.9175515385273297E-6</v>
      </c>
      <c r="P61" s="1">
        <v>-1.83406989942957E-5</v>
      </c>
    </row>
    <row r="62" spans="1:16" x14ac:dyDescent="0.2">
      <c r="A62">
        <v>61</v>
      </c>
      <c r="B62">
        <v>771</v>
      </c>
      <c r="C62">
        <v>200</v>
      </c>
      <c r="D62">
        <v>0.391946080543984</v>
      </c>
      <c r="E62">
        <v>5.0338693090672697</v>
      </c>
      <c r="F62">
        <v>0.44751467208788998</v>
      </c>
      <c r="G62">
        <v>-110.4534680857109</v>
      </c>
      <c r="H62">
        <v>-63.503395012896604</v>
      </c>
      <c r="I62">
        <v>44.967632774934501</v>
      </c>
      <c r="J62">
        <v>19.802352714085099</v>
      </c>
      <c r="K62">
        <v>11.248501162166599</v>
      </c>
      <c r="L62">
        <v>1.5092134599241451E-3</v>
      </c>
      <c r="M62">
        <v>3.4754657375281306E-4</v>
      </c>
      <c r="N62" s="1">
        <v>4.6027886911239996E-6</v>
      </c>
      <c r="O62" s="1">
        <v>4.8110190187695103E-6</v>
      </c>
      <c r="P62" s="1">
        <v>-1.1588700036196801E-5</v>
      </c>
    </row>
    <row r="63" spans="1:16" x14ac:dyDescent="0.2">
      <c r="A63">
        <v>62</v>
      </c>
      <c r="B63">
        <v>770</v>
      </c>
      <c r="C63">
        <v>200</v>
      </c>
      <c r="D63">
        <v>0.39129607439006903</v>
      </c>
      <c r="E63">
        <v>5.0338467007654897</v>
      </c>
      <c r="F63">
        <v>0.44819099547830699</v>
      </c>
      <c r="G63">
        <v>-110.40801406997296</v>
      </c>
      <c r="H63">
        <v>-63.522919292328012</v>
      </c>
      <c r="I63">
        <v>44.948449843110403</v>
      </c>
      <c r="J63">
        <v>19.816713454448401</v>
      </c>
      <c r="K63">
        <v>11.231476650693001</v>
      </c>
      <c r="L63">
        <v>1.51107917573961E-3</v>
      </c>
      <c r="M63">
        <v>3.4703954022967973E-4</v>
      </c>
      <c r="N63" s="1">
        <v>4.7226348187896602E-6</v>
      </c>
      <c r="O63" s="1">
        <v>4.7979938961304604E-6</v>
      </c>
      <c r="P63" s="1">
        <v>-1.1599310068332099E-5</v>
      </c>
    </row>
    <row r="64" spans="1:16" x14ac:dyDescent="0.2">
      <c r="A64">
        <v>63</v>
      </c>
      <c r="B64">
        <v>769</v>
      </c>
      <c r="C64">
        <v>200</v>
      </c>
      <c r="D64">
        <v>0.390644820803149</v>
      </c>
      <c r="E64">
        <v>5.5483543261261303</v>
      </c>
      <c r="F64">
        <v>0.48307501749360499</v>
      </c>
      <c r="G64">
        <v>-118.95300271688306</v>
      </c>
      <c r="H64">
        <v>-70.721759837737523</v>
      </c>
      <c r="I64">
        <v>46.283304363567602</v>
      </c>
      <c r="J64">
        <v>20.563730587732302</v>
      </c>
      <c r="K64">
        <v>11.4854921600237</v>
      </c>
      <c r="L64">
        <v>1.4890737681131621E-3</v>
      </c>
      <c r="M64">
        <v>3.4097751236492437E-4</v>
      </c>
      <c r="N64" s="1">
        <v>4.8756108887925798E-6</v>
      </c>
      <c r="O64" s="1">
        <v>4.8216394695272302E-6</v>
      </c>
      <c r="P64" s="1">
        <v>-1.16988637718086E-5</v>
      </c>
    </row>
    <row r="65" spans="1:16" x14ac:dyDescent="0.2">
      <c r="A65">
        <v>64</v>
      </c>
      <c r="B65">
        <v>768</v>
      </c>
      <c r="C65">
        <v>200</v>
      </c>
      <c r="D65">
        <v>0.38999231618883101</v>
      </c>
      <c r="E65">
        <v>6.0651682070194202</v>
      </c>
      <c r="F65">
        <v>0.516601780367834</v>
      </c>
      <c r="G65">
        <v>-127.53258768234625</v>
      </c>
      <c r="H65">
        <v>-77.952947371866884</v>
      </c>
      <c r="I65">
        <v>47.622883594727199</v>
      </c>
      <c r="J65">
        <v>21.314538714984</v>
      </c>
      <c r="K65">
        <v>11.7405096875602</v>
      </c>
      <c r="L65">
        <v>1.4679295991721511E-3</v>
      </c>
      <c r="M65">
        <v>3.3514405857667661E-4</v>
      </c>
      <c r="N65" s="1">
        <v>5.03108917291367E-6</v>
      </c>
      <c r="O65" s="1">
        <v>4.8451990647167303E-6</v>
      </c>
      <c r="P65" s="1">
        <v>-1.17988451837318E-5</v>
      </c>
    </row>
    <row r="66" spans="1:16" x14ac:dyDescent="0.2">
      <c r="A66">
        <v>65</v>
      </c>
      <c r="B66">
        <v>767</v>
      </c>
      <c r="C66">
        <v>200</v>
      </c>
      <c r="D66">
        <v>0.38933855693890601</v>
      </c>
      <c r="E66">
        <v>6.5832140964025498</v>
      </c>
      <c r="F66">
        <v>0.54878608725211797</v>
      </c>
      <c r="G66">
        <v>-136.12880640369536</v>
      </c>
      <c r="H66">
        <v>-85.20150882503151</v>
      </c>
      <c r="I66">
        <v>48.964327020068097</v>
      </c>
      <c r="J66">
        <v>22.0676141704046</v>
      </c>
      <c r="K66">
        <v>11.9959566201213</v>
      </c>
      <c r="L66">
        <v>1.4476415310142573E-3</v>
      </c>
      <c r="M66">
        <v>3.2953632837501323E-4</v>
      </c>
      <c r="N66" s="1">
        <v>5.1890089277039298E-6</v>
      </c>
      <c r="O66" s="1">
        <v>4.8685920815198604E-6</v>
      </c>
      <c r="P66" s="1">
        <v>-1.18990590990973E-5</v>
      </c>
    </row>
    <row r="67" spans="1:16" x14ac:dyDescent="0.2">
      <c r="A67">
        <v>66</v>
      </c>
      <c r="B67">
        <v>766</v>
      </c>
      <c r="C67">
        <v>200</v>
      </c>
      <c r="D67">
        <v>0.38868353943126899</v>
      </c>
      <c r="E67">
        <v>7.1021583548011504</v>
      </c>
      <c r="F67">
        <v>0.57968989468238397</v>
      </c>
      <c r="G67">
        <v>-144.7360712057976</v>
      </c>
      <c r="H67">
        <v>-92.462805525830845</v>
      </c>
      <c r="I67">
        <v>50.306726756539597</v>
      </c>
      <c r="J67">
        <v>22.8224878372883</v>
      </c>
      <c r="K67">
        <v>12.2516511327016</v>
      </c>
      <c r="L67">
        <v>1.4281712632049706E-3</v>
      </c>
      <c r="M67">
        <v>3.2414383398757593E-4</v>
      </c>
      <c r="N67" s="1">
        <v>5.3493518277555303E-6</v>
      </c>
      <c r="O67" s="1">
        <v>4.8917913131688802E-6</v>
      </c>
      <c r="P67" s="1">
        <v>-1.1999438363030901E-5</v>
      </c>
    </row>
    <row r="68" spans="1:16" x14ac:dyDescent="0.2">
      <c r="A68">
        <v>67</v>
      </c>
      <c r="B68">
        <v>765</v>
      </c>
      <c r="C68">
        <v>200</v>
      </c>
      <c r="D68">
        <v>0.38802726002986099</v>
      </c>
      <c r="E68">
        <v>7.621667903344</v>
      </c>
      <c r="F68">
        <v>0.60937208650431096</v>
      </c>
      <c r="G68">
        <v>-153.34881095967765</v>
      </c>
      <c r="H68">
        <v>-99.732207203695481</v>
      </c>
      <c r="I68">
        <v>51.649179269117198</v>
      </c>
      <c r="J68">
        <v>23.578691826631101</v>
      </c>
      <c r="K68">
        <v>12.507412256222601</v>
      </c>
      <c r="L68">
        <v>1.4094823334257435E-3</v>
      </c>
      <c r="M68">
        <v>3.1895660943185206E-4</v>
      </c>
      <c r="N68" s="1">
        <v>5.5120965754726301E-6</v>
      </c>
      <c r="O68" s="1">
        <v>4.9147700166643097E-6</v>
      </c>
      <c r="P68" s="1">
        <v>-1.20999159503766E-5</v>
      </c>
    </row>
    <row r="69" spans="1:16" x14ac:dyDescent="0.2">
      <c r="A69">
        <v>68</v>
      </c>
      <c r="B69">
        <v>764</v>
      </c>
      <c r="C69">
        <v>200</v>
      </c>
      <c r="D69">
        <v>0.38736971508460899</v>
      </c>
      <c r="E69">
        <v>8.1414122678370102</v>
      </c>
      <c r="F69">
        <v>0.63788869182765195</v>
      </c>
      <c r="G69">
        <v>-161.9615051162902</v>
      </c>
      <c r="H69">
        <v>-107.00512038951543</v>
      </c>
      <c r="I69">
        <v>52.990790823221303</v>
      </c>
      <c r="J69">
        <v>24.335762438888601</v>
      </c>
      <c r="K69">
        <v>12.7630609730838</v>
      </c>
      <c r="L69">
        <v>1.3915399830936399E-3</v>
      </c>
      <c r="M69">
        <v>3.1396517370377449E-4</v>
      </c>
      <c r="N69" s="1">
        <v>5.6772190127106001E-6</v>
      </c>
      <c r="O69" s="1">
        <v>4.9375020626364502E-6</v>
      </c>
      <c r="P69" s="1">
        <v>-1.22004253437258E-5</v>
      </c>
    </row>
    <row r="70" spans="1:16" x14ac:dyDescent="0.2">
      <c r="A70">
        <v>69</v>
      </c>
      <c r="B70">
        <v>763</v>
      </c>
      <c r="C70">
        <v>200</v>
      </c>
      <c r="D70">
        <v>0.38671090093133698</v>
      </c>
      <c r="E70">
        <v>9.3341294614494696</v>
      </c>
      <c r="F70">
        <v>0.69898893632918102</v>
      </c>
      <c r="G70">
        <v>-181.75562014206685</v>
      </c>
      <c r="H70">
        <v>-123.75613642066429</v>
      </c>
      <c r="I70">
        <v>55.978905167708803</v>
      </c>
      <c r="J70">
        <v>26.004122526704599</v>
      </c>
      <c r="K70">
        <v>13.3537585165062</v>
      </c>
      <c r="L70">
        <v>1.3500579104054979E-3</v>
      </c>
      <c r="M70">
        <v>3.0367087146667803E-4</v>
      </c>
      <c r="N70" s="1">
        <v>5.8846719542424804E-6</v>
      </c>
      <c r="O70" s="1">
        <v>4.9969381491557496E-6</v>
      </c>
      <c r="P70" s="1">
        <v>-1.2392587116991E-5</v>
      </c>
    </row>
    <row r="71" spans="1:16" x14ac:dyDescent="0.2">
      <c r="A71">
        <v>70</v>
      </c>
      <c r="B71">
        <v>762</v>
      </c>
      <c r="C71">
        <v>200</v>
      </c>
      <c r="D71">
        <v>0.38605081389170998</v>
      </c>
      <c r="E71">
        <v>11.8043459531529</v>
      </c>
      <c r="F71">
        <v>0.80960767843805403</v>
      </c>
      <c r="G71">
        <v>-222.76281209818902</v>
      </c>
      <c r="H71">
        <v>-158.49145108634474</v>
      </c>
      <c r="I71">
        <v>62.091974777655203</v>
      </c>
      <c r="J71">
        <v>29.4028923487068</v>
      </c>
      <c r="K71">
        <v>14.580328556081099</v>
      </c>
      <c r="L71">
        <v>1.27266960197678E-3</v>
      </c>
      <c r="M71">
        <v>2.8532792040967847E-4</v>
      </c>
      <c r="N71" s="1">
        <v>6.1736050487854597E-6</v>
      </c>
      <c r="O71" s="1">
        <v>5.1258311193300498E-6</v>
      </c>
      <c r="P71" s="1">
        <v>-1.27589204329508E-5</v>
      </c>
    </row>
    <row r="72" spans="1:16" x14ac:dyDescent="0.2">
      <c r="A72">
        <v>71</v>
      </c>
      <c r="B72">
        <v>761</v>
      </c>
      <c r="C72">
        <v>200</v>
      </c>
      <c r="D72">
        <v>0.38538945027317301</v>
      </c>
      <c r="E72">
        <v>14.3240126415927</v>
      </c>
      <c r="F72">
        <v>0.90483076590778899</v>
      </c>
      <c r="G72">
        <v>-264.5615150140481</v>
      </c>
      <c r="H72">
        <v>-193.91053507859789</v>
      </c>
      <c r="I72">
        <v>68.321052055689094</v>
      </c>
      <c r="J72">
        <v>32.870316490274703</v>
      </c>
      <c r="K72">
        <v>15.8305985840588</v>
      </c>
      <c r="L72">
        <v>1.2060668370474869E-3</v>
      </c>
      <c r="M72">
        <v>2.6951380538392479E-4</v>
      </c>
      <c r="N72" s="1">
        <v>6.4727072747728903E-6</v>
      </c>
      <c r="O72" s="1">
        <v>5.25639575683523E-6</v>
      </c>
      <c r="P72" s="1">
        <v>-1.31320230271269E-5</v>
      </c>
    </row>
    <row r="73" spans="1:16" x14ac:dyDescent="0.2">
      <c r="A73">
        <v>72</v>
      </c>
      <c r="B73">
        <v>760</v>
      </c>
      <c r="C73">
        <v>200</v>
      </c>
      <c r="D73">
        <v>0.38472680636887402</v>
      </c>
      <c r="E73">
        <v>16.9038509796044</v>
      </c>
      <c r="F73">
        <v>0.98796996742232601</v>
      </c>
      <c r="G73">
        <v>-307.3258511584844</v>
      </c>
      <c r="H73">
        <v>-230.16186995366928</v>
      </c>
      <c r="I73">
        <v>74.691292130193901</v>
      </c>
      <c r="J73">
        <v>36.420485013482804</v>
      </c>
      <c r="K73">
        <v>17.109680999421101</v>
      </c>
      <c r="L73">
        <v>1.1479191858775144E-3</v>
      </c>
      <c r="M73">
        <v>2.5568441153051881E-4</v>
      </c>
      <c r="N73" s="1">
        <v>6.7827257475455703E-6</v>
      </c>
      <c r="O73" s="1">
        <v>5.3890686379532901E-6</v>
      </c>
      <c r="P73" s="1">
        <v>-1.3513054461307E-5</v>
      </c>
    </row>
    <row r="74" spans="1:16" x14ac:dyDescent="0.2">
      <c r="A74">
        <v>73</v>
      </c>
      <c r="B74">
        <v>759</v>
      </c>
      <c r="C74">
        <v>200</v>
      </c>
      <c r="D74">
        <v>0.38406287845759102</v>
      </c>
      <c r="E74">
        <v>19.559082340972601</v>
      </c>
      <c r="F74">
        <v>1.06155825470221</v>
      </c>
      <c r="G74">
        <v>-351.30342096290644</v>
      </c>
      <c r="H74">
        <v>-267.4563829352191</v>
      </c>
      <c r="I74">
        <v>81.238636593362301</v>
      </c>
      <c r="J74">
        <v>40.073477543131801</v>
      </c>
      <c r="K74">
        <v>18.424878949727901</v>
      </c>
      <c r="L74">
        <v>1.0964409721287893E-3</v>
      </c>
      <c r="M74">
        <v>2.4342355646951643E-4</v>
      </c>
      <c r="N74" s="1">
        <v>7.1047102618989101E-6</v>
      </c>
      <c r="O74" s="1">
        <v>5.5244956122869298E-6</v>
      </c>
      <c r="P74" s="1">
        <v>-1.39037175909E-5</v>
      </c>
    </row>
    <row r="75" spans="1:16" x14ac:dyDescent="0.2">
      <c r="A75">
        <v>74</v>
      </c>
      <c r="B75">
        <v>758</v>
      </c>
      <c r="C75">
        <v>200</v>
      </c>
      <c r="D75">
        <v>0.383397662803666</v>
      </c>
      <c r="E75">
        <v>22.312012521602899</v>
      </c>
      <c r="F75">
        <v>1.12761265007131</v>
      </c>
      <c r="G75">
        <v>-396.85753500048753</v>
      </c>
      <c r="H75">
        <v>-306.10332986920611</v>
      </c>
      <c r="I75">
        <v>88.016023106215599</v>
      </c>
      <c r="J75">
        <v>43.858813131041998</v>
      </c>
      <c r="K75">
        <v>19.786947690052799</v>
      </c>
      <c r="L75">
        <v>1.0502057178686747E-3</v>
      </c>
      <c r="M75">
        <v>2.3239980162158389E-4</v>
      </c>
      <c r="N75" s="1">
        <v>7.4401931622904602E-6</v>
      </c>
      <c r="O75" s="1">
        <v>5.6636535887747703E-6</v>
      </c>
      <c r="P75" s="1">
        <v>-1.43065760818988E-5</v>
      </c>
    </row>
    <row r="76" spans="1:16" x14ac:dyDescent="0.2">
      <c r="A76">
        <v>75</v>
      </c>
      <c r="B76">
        <v>757</v>
      </c>
      <c r="C76">
        <v>200</v>
      </c>
      <c r="D76">
        <v>0.38273115565694399</v>
      </c>
      <c r="E76">
        <v>25.196508085763401</v>
      </c>
      <c r="F76">
        <v>1.18782670384566</v>
      </c>
      <c r="G76">
        <v>-444.54032583001907</v>
      </c>
      <c r="H76">
        <v>-346.57243011827023</v>
      </c>
      <c r="I76">
        <v>95.104123701963204</v>
      </c>
      <c r="J76">
        <v>47.821418085761003</v>
      </c>
      <c r="K76">
        <v>21.212276171421401</v>
      </c>
      <c r="L76">
        <v>1.0080093046817499E-3</v>
      </c>
      <c r="M76">
        <v>2.2233481729819457E-4</v>
      </c>
      <c r="N76" s="1">
        <v>7.7915008639849597E-6</v>
      </c>
      <c r="O76" s="1">
        <v>5.8080597169266798E-6</v>
      </c>
      <c r="P76" s="1">
        <v>-1.4725600447657001E-5</v>
      </c>
    </row>
    <row r="77" spans="1:16" x14ac:dyDescent="0.2">
      <c r="A77">
        <v>76</v>
      </c>
      <c r="B77">
        <v>756</v>
      </c>
      <c r="C77">
        <v>200</v>
      </c>
      <c r="D77">
        <v>0.38206335325268598</v>
      </c>
      <c r="E77">
        <v>28.266311762667701</v>
      </c>
      <c r="F77">
        <v>1.24373620059267</v>
      </c>
      <c r="G77">
        <v>-495.22851356867568</v>
      </c>
      <c r="H77">
        <v>-389.60926830270557</v>
      </c>
      <c r="I77">
        <v>102.631266808932</v>
      </c>
      <c r="J77">
        <v>52.032699795396098</v>
      </c>
      <c r="K77">
        <v>22.726934979618601</v>
      </c>
      <c r="L77">
        <v>9.6875056950842067E-4</v>
      </c>
      <c r="M77">
        <v>2.1297613241973834E-4</v>
      </c>
      <c r="N77" s="1">
        <v>8.1623308615779194E-6</v>
      </c>
      <c r="O77" s="1">
        <v>5.9601574323967103E-6</v>
      </c>
      <c r="P77" s="1">
        <v>-1.5167176113910201E-5</v>
      </c>
    </row>
    <row r="78" spans="1:16" x14ac:dyDescent="0.2">
      <c r="A78">
        <v>77</v>
      </c>
      <c r="B78">
        <v>755</v>
      </c>
      <c r="C78">
        <v>200</v>
      </c>
      <c r="D78">
        <v>0.38139425181150599</v>
      </c>
      <c r="E78">
        <v>31.611812445222299</v>
      </c>
      <c r="F78">
        <v>1.29690383653093</v>
      </c>
      <c r="G78">
        <v>-550.39712073517603</v>
      </c>
      <c r="H78">
        <v>-436.46798944698003</v>
      </c>
      <c r="I78">
        <v>110.813566095924</v>
      </c>
      <c r="J78">
        <v>56.6128561526384</v>
      </c>
      <c r="K78">
        <v>24.374831467674799</v>
      </c>
      <c r="L78">
        <v>9.3129572946125156E-4</v>
      </c>
      <c r="M78">
        <v>2.0406673932401681E-4</v>
      </c>
      <c r="N78" s="1">
        <v>8.5589106381304695E-6</v>
      </c>
      <c r="O78" s="1">
        <v>6.1240905011134098E-6</v>
      </c>
      <c r="P78" s="1">
        <v>-1.5642124601986302E-5</v>
      </c>
    </row>
    <row r="79" spans="1:16" x14ac:dyDescent="0.2">
      <c r="A79">
        <v>78</v>
      </c>
      <c r="B79">
        <v>754</v>
      </c>
      <c r="C79">
        <v>200</v>
      </c>
      <c r="D79">
        <v>0.38072384753930699</v>
      </c>
      <c r="E79">
        <v>35.397078444094703</v>
      </c>
      <c r="F79">
        <v>1.34919528517022</v>
      </c>
      <c r="G79">
        <v>-612.7236835764661</v>
      </c>
      <c r="H79">
        <v>-489.42506006665349</v>
      </c>
      <c r="I79">
        <v>120.04340827728301</v>
      </c>
      <c r="J79">
        <v>61.7800816010528</v>
      </c>
      <c r="K79">
        <v>26.235696813622301</v>
      </c>
      <c r="L79">
        <v>8.9427236357327478E-4</v>
      </c>
      <c r="M79">
        <v>1.9529962303673358E-4</v>
      </c>
      <c r="N79" s="1">
        <v>8.9925464382297407E-6</v>
      </c>
      <c r="O79" s="1">
        <v>6.30740073788511E-6</v>
      </c>
      <c r="P79" s="1">
        <v>-1.61701370782919E-5</v>
      </c>
    </row>
    <row r="80" spans="1:16" x14ac:dyDescent="0.2">
      <c r="A80">
        <v>79</v>
      </c>
      <c r="B80">
        <v>753</v>
      </c>
      <c r="C80">
        <v>200</v>
      </c>
      <c r="D80">
        <v>0.380052136627202</v>
      </c>
      <c r="E80">
        <v>39.947246073832602</v>
      </c>
      <c r="F80">
        <v>1.4032607290800401</v>
      </c>
      <c r="G80">
        <v>-687.51307054693143</v>
      </c>
      <c r="H80">
        <v>-552.99123027800715</v>
      </c>
      <c r="I80">
        <v>131.09774650345099</v>
      </c>
      <c r="J80">
        <v>67.966459323740196</v>
      </c>
      <c r="K80">
        <v>28.4674438940662</v>
      </c>
      <c r="L80">
        <v>8.5570620917344009E-4</v>
      </c>
      <c r="M80">
        <v>1.8623841742020937E-4</v>
      </c>
      <c r="N80" s="1">
        <v>9.4856212986499803E-6</v>
      </c>
      <c r="O80" s="1">
        <v>6.5249873088540001E-6</v>
      </c>
      <c r="P80" s="1">
        <v>-1.67901249344688E-5</v>
      </c>
    </row>
    <row r="81" spans="1:16" x14ac:dyDescent="0.2">
      <c r="A81">
        <v>80</v>
      </c>
      <c r="B81">
        <v>752</v>
      </c>
      <c r="C81">
        <v>200</v>
      </c>
      <c r="D81">
        <v>0.37937911525142798</v>
      </c>
      <c r="E81">
        <v>66.352397571641106</v>
      </c>
      <c r="F81">
        <v>1.6057925444282299</v>
      </c>
      <c r="G81">
        <v>-1117.7543563331271</v>
      </c>
      <c r="H81">
        <v>-918.32748627961325</v>
      </c>
      <c r="I81">
        <v>194.53913162340999</v>
      </c>
      <c r="J81">
        <v>103.249536896731</v>
      </c>
      <c r="K81">
        <v>41.320653655959603</v>
      </c>
      <c r="L81">
        <v>7.0854602861446562E-4</v>
      </c>
      <c r="M81">
        <v>1.5332681300998856E-4</v>
      </c>
      <c r="N81" s="1">
        <v>1.14588265621285E-5</v>
      </c>
      <c r="O81" s="1">
        <v>7.7842943320119206E-6</v>
      </c>
      <c r="P81" s="1">
        <v>-2.0104714627702401E-5</v>
      </c>
    </row>
    <row r="82" spans="1:16" x14ac:dyDescent="0.2">
      <c r="A82">
        <v>81</v>
      </c>
      <c r="B82">
        <v>751</v>
      </c>
      <c r="C82">
        <v>200</v>
      </c>
      <c r="D82">
        <v>0.378704779573308</v>
      </c>
      <c r="E82">
        <v>85.426730899880695</v>
      </c>
      <c r="F82">
        <v>1.6892020278815301</v>
      </c>
      <c r="G82">
        <v>-1427.9612155133643</v>
      </c>
      <c r="H82">
        <v>-1181.9402575609206</v>
      </c>
      <c r="I82">
        <v>240.22502513241901</v>
      </c>
      <c r="J82">
        <v>128.72237578929199</v>
      </c>
      <c r="K82">
        <v>50.572240318120102</v>
      </c>
      <c r="L82">
        <v>6.486739021047017E-4</v>
      </c>
      <c r="M82">
        <v>1.3975898221422716E-4</v>
      </c>
      <c r="N82" s="1">
        <v>1.29849156502963E-5</v>
      </c>
      <c r="O82" s="1">
        <v>8.6768090435531205E-6</v>
      </c>
      <c r="P82" s="1">
        <v>-2.2493152933312301E-5</v>
      </c>
    </row>
    <row r="83" spans="1:16" x14ac:dyDescent="0.2">
      <c r="A83">
        <v>82</v>
      </c>
      <c r="B83">
        <v>750</v>
      </c>
      <c r="C83">
        <v>200</v>
      </c>
      <c r="D83">
        <v>0.37802912573913899</v>
      </c>
      <c r="E83">
        <v>93.385755936966603</v>
      </c>
      <c r="F83">
        <v>1.7164047896386501</v>
      </c>
      <c r="G83">
        <v>-1557.239863251709</v>
      </c>
      <c r="H83">
        <v>-1292.066948206467</v>
      </c>
      <c r="I83">
        <v>259.17867176849501</v>
      </c>
      <c r="J83">
        <v>139.37552944676699</v>
      </c>
      <c r="K83">
        <v>54.407769368102699</v>
      </c>
      <c r="L83">
        <v>6.2973446786131931E-4</v>
      </c>
      <c r="M83">
        <v>1.3522428489746508E-4</v>
      </c>
      <c r="N83" s="1">
        <v>1.3777302979746999E-5</v>
      </c>
      <c r="O83" s="1">
        <v>9.0300547223881893E-6</v>
      </c>
      <c r="P83" s="1">
        <v>-2.3496233936621299E-5</v>
      </c>
    </row>
    <row r="84" spans="1:16" x14ac:dyDescent="0.2">
      <c r="A84">
        <v>83</v>
      </c>
      <c r="B84">
        <v>749</v>
      </c>
      <c r="C84">
        <v>200</v>
      </c>
      <c r="D84">
        <v>0.37735214988015597</v>
      </c>
      <c r="E84">
        <v>97.566153422133198</v>
      </c>
      <c r="F84">
        <v>1.7297800681647699</v>
      </c>
      <c r="G84">
        <v>-1625.0007348747013</v>
      </c>
      <c r="H84">
        <v>-1349.9934856866869</v>
      </c>
      <c r="I84">
        <v>269.05358193559601</v>
      </c>
      <c r="J84">
        <v>144.99448384073401</v>
      </c>
      <c r="K84">
        <v>56.403790989248002</v>
      </c>
      <c r="L84">
        <v>6.2087176838616779E-4</v>
      </c>
      <c r="M84">
        <v>1.3291232676157966E-4</v>
      </c>
      <c r="N84" s="1">
        <v>1.4320706462963099E-5</v>
      </c>
      <c r="O84" s="1">
        <v>9.2008997071580794E-6</v>
      </c>
      <c r="P84" s="1">
        <v>-2.40302837026341E-5</v>
      </c>
    </row>
    <row r="85" spans="1:16" x14ac:dyDescent="0.2">
      <c r="A85">
        <v>84</v>
      </c>
      <c r="B85">
        <v>748</v>
      </c>
      <c r="C85">
        <v>200</v>
      </c>
      <c r="D85">
        <v>0.37667384811242399</v>
      </c>
      <c r="E85">
        <v>100.683904468245</v>
      </c>
      <c r="F85">
        <v>1.73951954903487</v>
      </c>
      <c r="G85">
        <v>-1675.4625426221533</v>
      </c>
      <c r="H85">
        <v>-1393.253044049198</v>
      </c>
      <c r="I85">
        <v>276.370232029335</v>
      </c>
      <c r="J85">
        <v>149.201041829373</v>
      </c>
      <c r="K85">
        <v>57.8802948918323</v>
      </c>
      <c r="L85">
        <v>6.1470268211882904E-4</v>
      </c>
      <c r="M85">
        <v>1.3119683512302161E-4</v>
      </c>
      <c r="N85" s="1">
        <v>1.4797784130379399E-5</v>
      </c>
      <c r="O85" s="1">
        <v>9.3199069429136397E-6</v>
      </c>
      <c r="P85" s="1">
        <v>-2.44322369547725E-5</v>
      </c>
    </row>
    <row r="86" spans="1:16" x14ac:dyDescent="0.2">
      <c r="A86">
        <v>85</v>
      </c>
      <c r="B86">
        <v>780</v>
      </c>
      <c r="C86">
        <v>175</v>
      </c>
      <c r="D86">
        <v>0.42385272753169101</v>
      </c>
      <c r="E86">
        <v>5.48423249430056</v>
      </c>
      <c r="F86">
        <v>0.39997149020773798</v>
      </c>
      <c r="G86">
        <v>-121.10288994184154</v>
      </c>
      <c r="H86">
        <v>-68.783794543057198</v>
      </c>
      <c r="I86">
        <v>49.681653908168798</v>
      </c>
      <c r="J86">
        <v>21.479682148780601</v>
      </c>
      <c r="K86">
        <v>13.7115585199638</v>
      </c>
      <c r="L86">
        <v>1.6148045595352158E-3</v>
      </c>
      <c r="M86">
        <v>4.4369429851733814E-4</v>
      </c>
      <c r="N86" s="1">
        <v>-8.9173730095407998E-7</v>
      </c>
      <c r="O86" s="1">
        <v>8.6440716517817408E-6</v>
      </c>
      <c r="P86" s="1">
        <v>-1.65366282829147E-5</v>
      </c>
    </row>
    <row r="87" spans="1:16" x14ac:dyDescent="0.2">
      <c r="A87">
        <v>86</v>
      </c>
      <c r="B87">
        <v>779</v>
      </c>
      <c r="C87">
        <v>175</v>
      </c>
      <c r="D87">
        <v>0.42323860666254698</v>
      </c>
      <c r="E87">
        <v>5.9694291662292596</v>
      </c>
      <c r="F87">
        <v>0.427981479133069</v>
      </c>
      <c r="G87">
        <v>-129.15427264013209</v>
      </c>
      <c r="H87">
        <v>-75.576587092294147</v>
      </c>
      <c r="I87">
        <v>50.925098981343901</v>
      </c>
      <c r="J87">
        <v>22.178947343609899</v>
      </c>
      <c r="K87">
        <v>13.9478679739158</v>
      </c>
      <c r="L87">
        <v>1.5974718096440918E-3</v>
      </c>
      <c r="M87">
        <v>4.376372724580373E-4</v>
      </c>
      <c r="N87" s="1">
        <v>-7.6098558698817904E-7</v>
      </c>
      <c r="O87" s="1">
        <v>8.6774566299491593E-6</v>
      </c>
      <c r="P87" s="1">
        <v>-1.6663228057210499E-5</v>
      </c>
    </row>
    <row r="88" spans="1:16" x14ac:dyDescent="0.2">
      <c r="A88">
        <v>87</v>
      </c>
      <c r="B88">
        <v>778</v>
      </c>
      <c r="C88">
        <v>175</v>
      </c>
      <c r="D88">
        <v>0.422623317319128</v>
      </c>
      <c r="E88">
        <v>6.4622506453185098</v>
      </c>
      <c r="F88">
        <v>0.45547212730860998</v>
      </c>
      <c r="G88">
        <v>-137.32940022023337</v>
      </c>
      <c r="H88">
        <v>-82.475977835027507</v>
      </c>
      <c r="I88">
        <v>52.1872225273735</v>
      </c>
      <c r="J88">
        <v>22.889373845881501</v>
      </c>
      <c r="K88">
        <v>14.188026572567701</v>
      </c>
      <c r="L88">
        <v>1.5804340430229261E-3</v>
      </c>
      <c r="M88">
        <v>4.3168987263157292E-4</v>
      </c>
      <c r="N88" s="1">
        <v>-6.2729403175380899E-7</v>
      </c>
      <c r="O88" s="1">
        <v>8.7113629053282504E-6</v>
      </c>
      <c r="P88" s="1">
        <v>-1.6791707484358999E-5</v>
      </c>
    </row>
    <row r="89" spans="1:16" x14ac:dyDescent="0.2">
      <c r="A89">
        <v>88</v>
      </c>
      <c r="B89">
        <v>777</v>
      </c>
      <c r="C89">
        <v>175</v>
      </c>
      <c r="D89">
        <v>0.42200685616340999</v>
      </c>
      <c r="E89">
        <v>6.9560404601654797</v>
      </c>
      <c r="F89">
        <v>0.48210509587884998</v>
      </c>
      <c r="G89">
        <v>-145.51706982336847</v>
      </c>
      <c r="H89">
        <v>-89.389091918595327</v>
      </c>
      <c r="I89">
        <v>53.450624904726702</v>
      </c>
      <c r="J89">
        <v>23.601626229894698</v>
      </c>
      <c r="K89">
        <v>14.4284732097365</v>
      </c>
      <c r="L89">
        <v>1.5639421040636167E-3</v>
      </c>
      <c r="M89">
        <v>4.2592079858021502E-4</v>
      </c>
      <c r="N89" s="1">
        <v>-4.9051199848369299E-7</v>
      </c>
      <c r="O89" s="1">
        <v>8.7450639785467004E-6</v>
      </c>
      <c r="P89" s="1">
        <v>-1.6920679222694901E-5</v>
      </c>
    </row>
    <row r="90" spans="1:16" x14ac:dyDescent="0.2">
      <c r="A90">
        <v>89</v>
      </c>
      <c r="B90">
        <v>776</v>
      </c>
      <c r="C90">
        <v>175</v>
      </c>
      <c r="D90">
        <v>0.42138921984463801</v>
      </c>
      <c r="E90">
        <v>7.4505114147764404</v>
      </c>
      <c r="F90">
        <v>0.50790690893355595</v>
      </c>
      <c r="G90">
        <v>-153.7124733425031</v>
      </c>
      <c r="H90">
        <v>-96.311936625260543</v>
      </c>
      <c r="I90">
        <v>54.714532568160401</v>
      </c>
      <c r="J90">
        <v>24.315304978690399</v>
      </c>
      <c r="K90">
        <v>14.669049157886301</v>
      </c>
      <c r="L90">
        <v>1.5479804974932259E-3</v>
      </c>
      <c r="M90">
        <v>4.2032449185354609E-4</v>
      </c>
      <c r="N90" s="1">
        <v>-3.5060452034266899E-7</v>
      </c>
      <c r="O90" s="1">
        <v>8.7785240560186406E-6</v>
      </c>
      <c r="P90" s="1">
        <v>-1.7050076010989801E-5</v>
      </c>
    </row>
    <row r="91" spans="1:16" x14ac:dyDescent="0.2">
      <c r="A91">
        <v>90</v>
      </c>
      <c r="B91">
        <v>775</v>
      </c>
      <c r="C91">
        <v>175</v>
      </c>
      <c r="D91">
        <v>0.42077040499928797</v>
      </c>
      <c r="E91">
        <v>7.9453772511375602</v>
      </c>
      <c r="F91">
        <v>0.53290356645225401</v>
      </c>
      <c r="G91">
        <v>-161.91082422540009</v>
      </c>
      <c r="H91">
        <v>-103.24053273336656</v>
      </c>
      <c r="I91">
        <v>55.978176708997502</v>
      </c>
      <c r="J91">
        <v>25.030012126972998</v>
      </c>
      <c r="K91">
        <v>14.909596691260701</v>
      </c>
      <c r="L91">
        <v>1.5325339481012043E-3</v>
      </c>
      <c r="M91">
        <v>4.1489550350349533E-4</v>
      </c>
      <c r="N91" s="1">
        <v>-2.0753898204817101E-7</v>
      </c>
      <c r="O91" s="1">
        <v>8.8117078821879603E-6</v>
      </c>
      <c r="P91" s="1">
        <v>-1.7179830551068299E-5</v>
      </c>
    </row>
    <row r="92" spans="1:16" x14ac:dyDescent="0.2">
      <c r="A92">
        <v>91</v>
      </c>
      <c r="B92">
        <v>774</v>
      </c>
      <c r="C92">
        <v>175</v>
      </c>
      <c r="D92">
        <v>0.420150408250972</v>
      </c>
      <c r="E92">
        <v>8.4403542348354694</v>
      </c>
      <c r="F92">
        <v>0.55712056432866097</v>
      </c>
      <c r="G92">
        <v>-170.10738386305391</v>
      </c>
      <c r="H92">
        <v>-110.17093654559849</v>
      </c>
      <c r="I92">
        <v>57.240797441653399</v>
      </c>
      <c r="J92">
        <v>25.745353521796801</v>
      </c>
      <c r="K92">
        <v>15.1499599462931</v>
      </c>
      <c r="L92">
        <v>1.5175873891667441E-3</v>
      </c>
      <c r="M92">
        <v>4.0962849000715154E-4</v>
      </c>
      <c r="N92" s="1">
        <v>-6.1285192727505803E-8</v>
      </c>
      <c r="O92" s="1">
        <v>8.8445809156993505E-6</v>
      </c>
      <c r="P92" s="1">
        <v>-1.7309875855258701E-5</v>
      </c>
    </row>
    <row r="93" spans="1:16" x14ac:dyDescent="0.2">
      <c r="A93">
        <v>92</v>
      </c>
      <c r="B93">
        <v>773</v>
      </c>
      <c r="C93">
        <v>175</v>
      </c>
      <c r="D93">
        <v>0.41952922621038902</v>
      </c>
      <c r="E93">
        <v>8.9351626556699202</v>
      </c>
      <c r="F93">
        <v>0.58058290705568405</v>
      </c>
      <c r="G93">
        <v>-178.29748651125178</v>
      </c>
      <c r="H93">
        <v>-117.09926073074597</v>
      </c>
      <c r="I93">
        <v>58.501647746162298</v>
      </c>
      <c r="J93">
        <v>26.460940963526401</v>
      </c>
      <c r="K93">
        <v>15.389985731724099</v>
      </c>
      <c r="L93">
        <v>1.503125956247843E-3</v>
      </c>
      <c r="M93">
        <v>4.0451821071248612E-4</v>
      </c>
      <c r="N93" s="1">
        <v>8.8184557643207002E-8</v>
      </c>
      <c r="O93" s="1">
        <v>8.8771094924017107E-6</v>
      </c>
      <c r="P93" s="1">
        <v>-1.74401455760894E-5</v>
      </c>
    </row>
    <row r="94" spans="1:16" x14ac:dyDescent="0.2">
      <c r="A94">
        <v>93</v>
      </c>
      <c r="B94">
        <v>772</v>
      </c>
      <c r="C94">
        <v>175</v>
      </c>
      <c r="D94">
        <v>0.418906855475288</v>
      </c>
      <c r="E94">
        <v>9.4295282204763602</v>
      </c>
      <c r="F94">
        <v>0.60331511400884896</v>
      </c>
      <c r="G94">
        <v>-186.47656236823116</v>
      </c>
      <c r="H94">
        <v>-124.02169366287343</v>
      </c>
      <c r="I94">
        <v>59.759997106766697</v>
      </c>
      <c r="J94">
        <v>27.176394194327202</v>
      </c>
      <c r="K94">
        <v>15.6295242759955</v>
      </c>
      <c r="L94">
        <v>1.4891349857152894E-3</v>
      </c>
      <c r="M94">
        <v>3.9955952660939613E-4</v>
      </c>
      <c r="N94" s="1">
        <v>2.4089545772192399E-7</v>
      </c>
      <c r="O94" s="1">
        <v>8.9092609726303304E-6</v>
      </c>
      <c r="P94" s="1">
        <v>-1.75705743126798E-5</v>
      </c>
    </row>
    <row r="95" spans="1:16" x14ac:dyDescent="0.2">
      <c r="A95">
        <v>94</v>
      </c>
      <c r="B95">
        <v>771</v>
      </c>
      <c r="C95">
        <v>175</v>
      </c>
      <c r="D95">
        <v>0.41828329263037001</v>
      </c>
      <c r="E95">
        <v>9.9231833267792506</v>
      </c>
      <c r="F95">
        <v>0.62534122059505504</v>
      </c>
      <c r="G95">
        <v>-194.64015862535763</v>
      </c>
      <c r="H95">
        <v>-130.93451710029225</v>
      </c>
      <c r="I95">
        <v>61.015134820136602</v>
      </c>
      <c r="J95">
        <v>27.891342718882299</v>
      </c>
      <c r="K95">
        <v>15.8684299066942</v>
      </c>
      <c r="L95">
        <v>1.4756000171575372E-3</v>
      </c>
      <c r="M95">
        <v>3.9474740016247974E-4</v>
      </c>
      <c r="N95" s="1">
        <v>3.9687014934419501E-7</v>
      </c>
      <c r="O95" s="1">
        <v>8.9410038722893499E-6</v>
      </c>
      <c r="P95" s="1">
        <v>-1.7701097892209301E-5</v>
      </c>
    </row>
    <row r="96" spans="1:16" x14ac:dyDescent="0.2">
      <c r="A96">
        <v>95</v>
      </c>
      <c r="B96">
        <v>770</v>
      </c>
      <c r="C96">
        <v>175</v>
      </c>
      <c r="D96">
        <v>0.41765853424723398</v>
      </c>
      <c r="E96">
        <v>10.4158682057147</v>
      </c>
      <c r="F96">
        <v>0.64668477535104396</v>
      </c>
      <c r="G96">
        <v>-202.78395830032508</v>
      </c>
      <c r="H96">
        <v>-137.83412204455632</v>
      </c>
      <c r="I96">
        <v>62.266372941552902</v>
      </c>
      <c r="J96">
        <v>28.605427439765698</v>
      </c>
      <c r="K96">
        <v>16.1065616552679</v>
      </c>
      <c r="L96">
        <v>1.4625067988993593E-3</v>
      </c>
      <c r="M96">
        <v>3.9007689597898057E-4</v>
      </c>
      <c r="N96" s="1">
        <v>5.5612871599901103E-7</v>
      </c>
      <c r="O96" s="1">
        <v>8.9723079761306292E-6</v>
      </c>
      <c r="P96" s="1">
        <v>-1.7831653622563401E-5</v>
      </c>
    </row>
    <row r="97" spans="1:16" x14ac:dyDescent="0.2">
      <c r="A97">
        <v>96</v>
      </c>
      <c r="B97">
        <v>769</v>
      </c>
      <c r="C97">
        <v>175</v>
      </c>
      <c r="D97">
        <v>0.41703257688433099</v>
      </c>
      <c r="E97">
        <v>11.510792381066</v>
      </c>
      <c r="F97">
        <v>0.69141156752249699</v>
      </c>
      <c r="G97">
        <v>-220.93318776072513</v>
      </c>
      <c r="H97">
        <v>-153.21582860066445</v>
      </c>
      <c r="I97">
        <v>64.981747169562098</v>
      </c>
      <c r="J97">
        <v>30.127715369499999</v>
      </c>
      <c r="K97">
        <v>16.648249641399701</v>
      </c>
      <c r="L97">
        <v>1.4315274031685627E-3</v>
      </c>
      <c r="M97">
        <v>3.806415580554336E-4</v>
      </c>
      <c r="N97" s="1">
        <v>7.2013905215367601E-7</v>
      </c>
      <c r="O97" s="1">
        <v>9.0538072823849896E-6</v>
      </c>
      <c r="P97" s="1">
        <v>-1.80632461239092E-5</v>
      </c>
    </row>
    <row r="98" spans="1:16" x14ac:dyDescent="0.2">
      <c r="A98">
        <v>97</v>
      </c>
      <c r="B98">
        <v>768</v>
      </c>
      <c r="C98">
        <v>175</v>
      </c>
      <c r="D98">
        <v>0.416405417086878</v>
      </c>
      <c r="E98">
        <v>13.964891792428199</v>
      </c>
      <c r="F98">
        <v>0.78126004813154903</v>
      </c>
      <c r="G98">
        <v>-261.65178777529616</v>
      </c>
      <c r="H98">
        <v>-187.73259007036472</v>
      </c>
      <c r="I98">
        <v>71.000957311770904</v>
      </c>
      <c r="J98">
        <v>33.4740708929615</v>
      </c>
      <c r="K98">
        <v>17.874831595224201</v>
      </c>
      <c r="L98">
        <v>1.3659307273394326E-3</v>
      </c>
      <c r="M98">
        <v>3.6201796483748488E-4</v>
      </c>
      <c r="N98" s="1">
        <v>8.9429232577901701E-7</v>
      </c>
      <c r="O98" s="1">
        <v>9.2483789758238995E-6</v>
      </c>
      <c r="P98" s="1">
        <v>-1.8522964499611E-5</v>
      </c>
    </row>
    <row r="99" spans="1:16" x14ac:dyDescent="0.2">
      <c r="A99">
        <v>98</v>
      </c>
      <c r="B99">
        <v>767</v>
      </c>
      <c r="C99">
        <v>175</v>
      </c>
      <c r="D99">
        <v>0.41577705138682203</v>
      </c>
      <c r="E99">
        <v>16.461804661595501</v>
      </c>
      <c r="F99">
        <v>0.86089608868648304</v>
      </c>
      <c r="G99">
        <v>-303.05120127266019</v>
      </c>
      <c r="H99">
        <v>-222.84018261100917</v>
      </c>
      <c r="I99">
        <v>77.1182513932673</v>
      </c>
      <c r="J99">
        <v>36.878921305532799</v>
      </c>
      <c r="K99">
        <v>19.1217092026892</v>
      </c>
      <c r="L99">
        <v>1.3078173432841118E-3</v>
      </c>
      <c r="M99">
        <v>3.4548917252079115E-4</v>
      </c>
      <c r="N99" s="1">
        <v>1.07749685727863E-6</v>
      </c>
      <c r="O99" s="1">
        <v>9.4450177627671502E-6</v>
      </c>
      <c r="P99" s="1">
        <v>-1.8990299235188799E-5</v>
      </c>
    </row>
    <row r="100" spans="1:16" x14ac:dyDescent="0.2">
      <c r="A100">
        <v>99</v>
      </c>
      <c r="B100">
        <v>766</v>
      </c>
      <c r="C100">
        <v>175</v>
      </c>
      <c r="D100">
        <v>0.41514747630275201</v>
      </c>
      <c r="E100">
        <v>19.011768456017901</v>
      </c>
      <c r="F100">
        <v>0.93223220070474999</v>
      </c>
      <c r="G100">
        <v>-345.29776430614311</v>
      </c>
      <c r="H100">
        <v>-258.68040077924428</v>
      </c>
      <c r="I100">
        <v>83.357529718010596</v>
      </c>
      <c r="J100">
        <v>40.355592437485001</v>
      </c>
      <c r="K100">
        <v>20.393812230091701</v>
      </c>
      <c r="L100">
        <v>1.2557741527637039E-3</v>
      </c>
      <c r="M100">
        <v>3.3066260792825408E-4</v>
      </c>
      <c r="N100" s="1">
        <v>1.27007827798915E-6</v>
      </c>
      <c r="O100" s="1">
        <v>9.6443686295810307E-6</v>
      </c>
      <c r="P100" s="1">
        <v>-1.9466630804329801E-5</v>
      </c>
    </row>
    <row r="101" spans="1:16" x14ac:dyDescent="0.2">
      <c r="A101">
        <v>100</v>
      </c>
      <c r="B101">
        <v>765</v>
      </c>
      <c r="C101">
        <v>175</v>
      </c>
      <c r="D101">
        <v>0.41451668833983701</v>
      </c>
      <c r="E101">
        <v>21.629297155748901</v>
      </c>
      <c r="F101">
        <v>0.99682557531182503</v>
      </c>
      <c r="G101">
        <v>-388.6276797180962</v>
      </c>
      <c r="H101">
        <v>-295.45441339469693</v>
      </c>
      <c r="I101">
        <v>89.752891737575297</v>
      </c>
      <c r="J101">
        <v>43.923057828052798</v>
      </c>
      <c r="K101">
        <v>21.698176382546102</v>
      </c>
      <c r="L101">
        <v>1.208646952248683E-3</v>
      </c>
      <c r="M101">
        <v>3.1721857868681133E-4</v>
      </c>
      <c r="N101" s="1">
        <v>1.4724456667922301E-6</v>
      </c>
      <c r="O101" s="1">
        <v>9.8473837785759902E-6</v>
      </c>
      <c r="P101" s="1">
        <v>-1.9953983235426502E-5</v>
      </c>
    </row>
    <row r="102" spans="1:16" x14ac:dyDescent="0.2">
      <c r="A102">
        <v>101</v>
      </c>
      <c r="B102">
        <v>764</v>
      </c>
      <c r="C102">
        <v>175</v>
      </c>
      <c r="D102">
        <v>0.41388468398978101</v>
      </c>
      <c r="E102">
        <v>24.335405234452601</v>
      </c>
      <c r="F102">
        <v>1.0559932766162401</v>
      </c>
      <c r="G102">
        <v>-433.38334322819844</v>
      </c>
      <c r="H102">
        <v>-333.45364323654775</v>
      </c>
      <c r="I102">
        <v>96.353936585177394</v>
      </c>
      <c r="J102">
        <v>47.608877788101999</v>
      </c>
      <c r="K102">
        <v>23.045038044589901</v>
      </c>
      <c r="L102">
        <v>1.1654546372614608E-3</v>
      </c>
      <c r="M102">
        <v>3.0488661827363279E-4</v>
      </c>
      <c r="N102" s="1">
        <v>1.68514078163399E-6</v>
      </c>
      <c r="O102" s="1">
        <v>1.00554819567424E-5</v>
      </c>
      <c r="P102" s="1">
        <v>-2.0455360681685598E-5</v>
      </c>
    </row>
    <row r="103" spans="1:16" x14ac:dyDescent="0.2">
      <c r="A103">
        <v>102</v>
      </c>
      <c r="B103">
        <v>763</v>
      </c>
      <c r="C103">
        <v>175</v>
      </c>
      <c r="D103">
        <v>0.41325145973073701</v>
      </c>
      <c r="E103">
        <v>27.1613184941437</v>
      </c>
      <c r="F103">
        <v>1.1109078993903501</v>
      </c>
      <c r="G103">
        <v>-480.07392835537644</v>
      </c>
      <c r="H103">
        <v>-373.11127936999679</v>
      </c>
      <c r="I103">
        <v>103.23459403215</v>
      </c>
      <c r="J103">
        <v>51.454097398786303</v>
      </c>
      <c r="K103">
        <v>24.449658256142801</v>
      </c>
      <c r="L103">
        <v>1.1253171001937151E-3</v>
      </c>
      <c r="M103">
        <v>2.9342582849099281E-4</v>
      </c>
      <c r="N103" s="1">
        <v>1.9089212989948902E-6</v>
      </c>
      <c r="O103" s="1">
        <v>1.0270812192888401E-5</v>
      </c>
      <c r="P103" s="1">
        <v>-2.0975305045196702E-5</v>
      </c>
    </row>
    <row r="104" spans="1:16" x14ac:dyDescent="0.2">
      <c r="A104">
        <v>103</v>
      </c>
      <c r="B104">
        <v>762</v>
      </c>
      <c r="C104">
        <v>175</v>
      </c>
      <c r="D104">
        <v>0.41261701202724399</v>
      </c>
      <c r="E104">
        <v>30.155029702150301</v>
      </c>
      <c r="F104">
        <v>1.1626913617833099</v>
      </c>
      <c r="G104">
        <v>-529.48237881542718</v>
      </c>
      <c r="H104">
        <v>-415.09326235927028</v>
      </c>
      <c r="I104">
        <v>110.508705820454</v>
      </c>
      <c r="J104">
        <v>55.5218902343845</v>
      </c>
      <c r="K104">
        <v>25.935541187731101</v>
      </c>
      <c r="L104">
        <v>1.0873832628584747E-3</v>
      </c>
      <c r="M104">
        <v>2.8260558390298749E-4</v>
      </c>
      <c r="N104" s="1">
        <v>2.1449084147923898E-6</v>
      </c>
      <c r="O104" s="1">
        <v>1.04967167655737E-5</v>
      </c>
      <c r="P104" s="1">
        <v>-2.1520875074994401E-5</v>
      </c>
    </row>
    <row r="105" spans="1:16" x14ac:dyDescent="0.2">
      <c r="A105">
        <v>104</v>
      </c>
      <c r="B105">
        <v>761</v>
      </c>
      <c r="C105">
        <v>175</v>
      </c>
      <c r="D105">
        <v>0.411981337330175</v>
      </c>
      <c r="E105">
        <v>33.3935934508632</v>
      </c>
      <c r="F105">
        <v>1.2125283827562601</v>
      </c>
      <c r="G105">
        <v>-582.86599832404875</v>
      </c>
      <c r="H105">
        <v>-460.46889227866313</v>
      </c>
      <c r="I105">
        <v>118.359210679022</v>
      </c>
      <c r="J105">
        <v>59.913752331185599</v>
      </c>
      <c r="K105">
        <v>27.540463320911499</v>
      </c>
      <c r="L105">
        <v>1.0507422988852288E-3</v>
      </c>
      <c r="M105">
        <v>2.7218215834720985E-4</v>
      </c>
      <c r="N105" s="1">
        <v>2.3948643215280799E-6</v>
      </c>
      <c r="O105" s="1">
        <v>1.0738594136475E-5</v>
      </c>
      <c r="P105" s="1">
        <v>-2.2103471609036601E-5</v>
      </c>
    </row>
    <row r="106" spans="1:16" x14ac:dyDescent="0.2">
      <c r="A106">
        <v>105</v>
      </c>
      <c r="B106">
        <v>760</v>
      </c>
      <c r="C106">
        <v>175</v>
      </c>
      <c r="D106">
        <v>0.41134443207665999</v>
      </c>
      <c r="E106">
        <v>37.007407205149597</v>
      </c>
      <c r="F106">
        <v>1.2618299845255401</v>
      </c>
      <c r="G106">
        <v>-642.35240661771525</v>
      </c>
      <c r="H106">
        <v>-511.04768404504546</v>
      </c>
      <c r="I106">
        <v>127.095683718366</v>
      </c>
      <c r="J106">
        <v>64.801441880913899</v>
      </c>
      <c r="K106">
        <v>29.328362504449998</v>
      </c>
      <c r="L106">
        <v>1.0142937433628438E-3</v>
      </c>
      <c r="M106">
        <v>2.618650179240177E-4</v>
      </c>
      <c r="N106" s="1">
        <v>2.6617455874617602E-6</v>
      </c>
      <c r="O106" s="1">
        <v>1.10055893281437E-5</v>
      </c>
      <c r="P106" s="1">
        <v>-2.2742415464184299E-5</v>
      </c>
    </row>
    <row r="107" spans="1:16" x14ac:dyDescent="0.2">
      <c r="A107">
        <v>106</v>
      </c>
      <c r="B107">
        <v>759</v>
      </c>
      <c r="C107">
        <v>175</v>
      </c>
      <c r="D107">
        <v>0.41070629269001901</v>
      </c>
      <c r="E107">
        <v>41.227844488990598</v>
      </c>
      <c r="F107">
        <v>1.31246221673584</v>
      </c>
      <c r="G107">
        <v>-711.71559203588299</v>
      </c>
      <c r="H107">
        <v>-570.03992035767908</v>
      </c>
      <c r="I107">
        <v>137.26685310554899</v>
      </c>
      <c r="J107">
        <v>70.489495022259703</v>
      </c>
      <c r="K107">
        <v>31.412595321430398</v>
      </c>
      <c r="L107">
        <v>9.7656356146313635E-4</v>
      </c>
      <c r="M107">
        <v>2.5126965493228124E-4</v>
      </c>
      <c r="N107" s="1">
        <v>2.9508280374605002E-6</v>
      </c>
      <c r="O107" s="1">
        <v>1.13138586694594E-5</v>
      </c>
      <c r="P107" s="1">
        <v>-2.3471875668656899E-5</v>
      </c>
    </row>
    <row r="108" spans="1:16" x14ac:dyDescent="0.2">
      <c r="A108">
        <v>107</v>
      </c>
      <c r="B108">
        <v>758</v>
      </c>
      <c r="C108">
        <v>175</v>
      </c>
      <c r="D108">
        <v>0.41006691557969399</v>
      </c>
      <c r="E108">
        <v>47.006219232267497</v>
      </c>
      <c r="F108">
        <v>1.37207764912462</v>
      </c>
      <c r="G108">
        <v>-806.48093129062374</v>
      </c>
      <c r="H108">
        <v>-650.65212709336322</v>
      </c>
      <c r="I108">
        <v>151.12571845780599</v>
      </c>
      <c r="J108">
        <v>78.228977539168199</v>
      </c>
      <c r="K108">
        <v>34.259153818486197</v>
      </c>
      <c r="L108">
        <v>9.314840334125672E-4</v>
      </c>
      <c r="M108">
        <v>2.3882291890613049E-4</v>
      </c>
      <c r="N108" s="1">
        <v>3.28123028826866E-6</v>
      </c>
      <c r="O108" s="1">
        <v>1.1730183869410199E-5</v>
      </c>
      <c r="P108" s="1">
        <v>-2.4431994381431699E-5</v>
      </c>
    </row>
    <row r="109" spans="1:16" x14ac:dyDescent="0.2">
      <c r="A109">
        <v>108</v>
      </c>
      <c r="B109">
        <v>757</v>
      </c>
      <c r="C109">
        <v>175</v>
      </c>
      <c r="D109">
        <v>0.40942629714119499</v>
      </c>
      <c r="E109">
        <v>79.700970062263593</v>
      </c>
      <c r="F109">
        <v>1.5845612612034801</v>
      </c>
      <c r="G109">
        <v>-1338.23544659752</v>
      </c>
      <c r="H109">
        <v>-1102.3073610694662</v>
      </c>
      <c r="I109">
        <v>229.028284759228</v>
      </c>
      <c r="J109">
        <v>121.45981020575501</v>
      </c>
      <c r="K109">
        <v>50.298446651239097</v>
      </c>
      <c r="L109">
        <v>7.6824425041682666E-4</v>
      </c>
      <c r="M109">
        <v>1.9582707366004419E-4</v>
      </c>
      <c r="N109" s="1">
        <v>4.1425900007147002E-6</v>
      </c>
      <c r="O109" s="1">
        <v>1.41081743451738E-5</v>
      </c>
      <c r="P109" s="1">
        <v>-2.95011962491612E-5</v>
      </c>
    </row>
    <row r="110" spans="1:16" x14ac:dyDescent="0.2">
      <c r="A110">
        <v>109</v>
      </c>
      <c r="B110">
        <v>756</v>
      </c>
      <c r="C110">
        <v>175</v>
      </c>
      <c r="D110">
        <v>0.40878443375601398</v>
      </c>
      <c r="E110">
        <v>90.185403967837303</v>
      </c>
      <c r="F110">
        <v>1.62767153746911</v>
      </c>
      <c r="G110">
        <v>-1508.5982686822492</v>
      </c>
      <c r="H110">
        <v>-1247.321965420193</v>
      </c>
      <c r="I110">
        <v>253.881357965902</v>
      </c>
      <c r="J110">
        <v>135.35095398915999</v>
      </c>
      <c r="K110">
        <v>55.4076187312752</v>
      </c>
      <c r="L110">
        <v>7.3612288998598939E-4</v>
      </c>
      <c r="M110">
        <v>1.8696092910705023E-4</v>
      </c>
      <c r="N110" s="1">
        <v>4.6436079736531699E-6</v>
      </c>
      <c r="O110" s="1">
        <v>1.4839675727812201E-5</v>
      </c>
      <c r="P110" s="1">
        <v>-3.1154252882505098E-5</v>
      </c>
    </row>
    <row r="111" spans="1:16" x14ac:dyDescent="0.2">
      <c r="A111">
        <v>110</v>
      </c>
      <c r="B111">
        <v>755</v>
      </c>
      <c r="C111">
        <v>175</v>
      </c>
      <c r="D111">
        <v>0.40814132179156798</v>
      </c>
      <c r="E111">
        <v>95.598419597229494</v>
      </c>
      <c r="F111">
        <v>1.6476345359186999</v>
      </c>
      <c r="G111">
        <v>-1596.4163206148353</v>
      </c>
      <c r="H111">
        <v>-1322.291275338514</v>
      </c>
      <c r="I111">
        <v>266.62538829714401</v>
      </c>
      <c r="J111">
        <v>142.54604759494899</v>
      </c>
      <c r="K111">
        <v>58.021616756123997</v>
      </c>
      <c r="L111">
        <v>7.2193845855396573E-4</v>
      </c>
      <c r="M111">
        <v>1.8276442699076986E-4</v>
      </c>
      <c r="N111" s="1">
        <v>5.0656095138519198E-6</v>
      </c>
      <c r="O111" s="1">
        <v>1.51959472778574E-5</v>
      </c>
      <c r="P111" s="1">
        <v>-3.20294463865266E-5</v>
      </c>
    </row>
    <row r="112" spans="1:16" x14ac:dyDescent="0.2">
      <c r="A112">
        <v>111</v>
      </c>
      <c r="B112">
        <v>754</v>
      </c>
      <c r="C112">
        <v>175</v>
      </c>
      <c r="D112">
        <v>0.40749695760112897</v>
      </c>
      <c r="E112">
        <v>98.7900522103443</v>
      </c>
      <c r="F112">
        <v>1.65911833173978</v>
      </c>
      <c r="G112">
        <v>-1648.0727939167377</v>
      </c>
      <c r="H112">
        <v>-1366.5674356758113</v>
      </c>
      <c r="I112">
        <v>274.07028676969497</v>
      </c>
      <c r="J112">
        <v>146.810209624951</v>
      </c>
      <c r="K112">
        <v>59.543704822278002</v>
      </c>
      <c r="L112">
        <v>7.1432771671368965E-4</v>
      </c>
      <c r="M112">
        <v>1.8027809970042646E-4</v>
      </c>
      <c r="N112" s="1">
        <v>5.4537400671961997E-6</v>
      </c>
      <c r="O112" s="1">
        <v>1.5388593791632301E-5</v>
      </c>
      <c r="P112" s="1">
        <v>-3.2565165189141897E-5</v>
      </c>
    </row>
    <row r="113" spans="1:16" x14ac:dyDescent="0.2">
      <c r="A113">
        <v>112</v>
      </c>
      <c r="B113">
        <v>753</v>
      </c>
      <c r="C113">
        <v>175</v>
      </c>
      <c r="D113">
        <v>0.40685133752375702</v>
      </c>
      <c r="E113">
        <v>101.345995884351</v>
      </c>
      <c r="F113">
        <v>1.66821293897023</v>
      </c>
      <c r="G113">
        <v>-1689.3822303627296</v>
      </c>
      <c r="H113">
        <v>-1402.0722948183036</v>
      </c>
      <c r="I113">
        <v>279.99409794680702</v>
      </c>
      <c r="J113">
        <v>150.23867938587</v>
      </c>
      <c r="K113">
        <v>60.751234759580903</v>
      </c>
      <c r="L113">
        <v>7.0860595206062831E-4</v>
      </c>
      <c r="M113">
        <v>1.7828643604481998E-4</v>
      </c>
      <c r="N113" s="1">
        <v>5.8377004733311098E-6</v>
      </c>
      <c r="O113" s="1">
        <v>1.5533722202398899E-5</v>
      </c>
      <c r="P113" s="1">
        <v>-3.3003974381608699E-5</v>
      </c>
    </row>
    <row r="114" spans="1:16" x14ac:dyDescent="0.2">
      <c r="A114">
        <v>113</v>
      </c>
      <c r="B114">
        <v>792</v>
      </c>
      <c r="C114">
        <v>150</v>
      </c>
      <c r="D114">
        <v>0.456950194808243</v>
      </c>
      <c r="E114">
        <v>5.9576419196845096</v>
      </c>
      <c r="F114">
        <v>0.34538998947148503</v>
      </c>
      <c r="G114">
        <v>-132.60972462878362</v>
      </c>
      <c r="H114">
        <v>-74.142270268884488</v>
      </c>
      <c r="I114">
        <v>54.894487807770403</v>
      </c>
      <c r="J114">
        <v>22.9002517123721</v>
      </c>
      <c r="K114">
        <v>17.249028927563501</v>
      </c>
      <c r="L114">
        <v>1.6871577057192089E-3</v>
      </c>
      <c r="M114">
        <v>5.7843369134338136E-4</v>
      </c>
      <c r="N114" s="1">
        <v>-1.2285825244864599E-5</v>
      </c>
      <c r="O114" s="1">
        <v>1.6332086150108899E-5</v>
      </c>
      <c r="P114" s="1">
        <v>-2.3221759118224799E-5</v>
      </c>
    </row>
    <row r="115" spans="1:16" x14ac:dyDescent="0.2">
      <c r="A115">
        <v>114</v>
      </c>
      <c r="B115">
        <v>791</v>
      </c>
      <c r="C115">
        <v>150</v>
      </c>
      <c r="D115">
        <v>0.45637410139548201</v>
      </c>
      <c r="E115">
        <v>6.2171989950295101</v>
      </c>
      <c r="F115">
        <v>0.35813407712061901</v>
      </c>
      <c r="G115">
        <v>-136.88799370805026</v>
      </c>
      <c r="H115">
        <v>-77.78810951564023</v>
      </c>
      <c r="I115">
        <v>55.540386643172297</v>
      </c>
      <c r="J115">
        <v>23.280569728282298</v>
      </c>
      <c r="K115">
        <v>17.359976031924901</v>
      </c>
      <c r="L115">
        <v>1.6816387648942788E-3</v>
      </c>
      <c r="M115">
        <v>5.7490891952444373E-4</v>
      </c>
      <c r="N115" s="1">
        <v>-1.22157897275921E-5</v>
      </c>
      <c r="O115" s="1">
        <v>1.6348901721960901E-5</v>
      </c>
      <c r="P115" s="1">
        <v>-2.33316458089705E-5</v>
      </c>
    </row>
    <row r="116" spans="1:16" x14ac:dyDescent="0.2">
      <c r="A116">
        <v>115</v>
      </c>
      <c r="B116">
        <v>790</v>
      </c>
      <c r="C116">
        <v>150</v>
      </c>
      <c r="D116">
        <v>0.45579692423458601</v>
      </c>
      <c r="E116">
        <v>6.6865274385431901</v>
      </c>
      <c r="F116">
        <v>0.380238760388943</v>
      </c>
      <c r="G116">
        <v>-144.66840081623431</v>
      </c>
      <c r="H116">
        <v>-84.361397090355183</v>
      </c>
      <c r="I116">
        <v>56.728061310202399</v>
      </c>
      <c r="J116">
        <v>23.950711697668101</v>
      </c>
      <c r="K116">
        <v>17.585075839463599</v>
      </c>
      <c r="L116">
        <v>1.6690736681188741E-3</v>
      </c>
      <c r="M116">
        <v>5.6895619296738655E-4</v>
      </c>
      <c r="N116" s="1">
        <v>-1.21706983566471E-5</v>
      </c>
      <c r="O116" s="1">
        <v>1.6401197328992499E-5</v>
      </c>
      <c r="P116" s="1">
        <v>-2.3493151068202198E-5</v>
      </c>
    </row>
    <row r="117" spans="1:16" x14ac:dyDescent="0.2">
      <c r="A117">
        <v>116</v>
      </c>
      <c r="B117">
        <v>789</v>
      </c>
      <c r="C117">
        <v>150</v>
      </c>
      <c r="D117">
        <v>0.45521866026455898</v>
      </c>
      <c r="E117">
        <v>7.1566380944126298</v>
      </c>
      <c r="F117">
        <v>0.40182445283408302</v>
      </c>
      <c r="G117">
        <v>-152.45853213142956</v>
      </c>
      <c r="H117">
        <v>-90.945827960014554</v>
      </c>
      <c r="I117">
        <v>57.916636311160197</v>
      </c>
      <c r="J117">
        <v>24.622375961282899</v>
      </c>
      <c r="K117">
        <v>17.8103598323511</v>
      </c>
      <c r="L117">
        <v>1.6568243769756934E-3</v>
      </c>
      <c r="M117">
        <v>5.6313739576719973E-4</v>
      </c>
      <c r="N117" s="1">
        <v>-1.2122722184086801E-5</v>
      </c>
      <c r="O117" s="1">
        <v>1.64532879686238E-5</v>
      </c>
      <c r="P117" s="1">
        <v>-2.36555494861858E-5</v>
      </c>
    </row>
    <row r="118" spans="1:16" x14ac:dyDescent="0.2">
      <c r="A118">
        <v>117</v>
      </c>
      <c r="B118">
        <v>788</v>
      </c>
      <c r="C118">
        <v>150</v>
      </c>
      <c r="D118">
        <v>0.45463930641285699</v>
      </c>
      <c r="E118">
        <v>7.6272852255316099</v>
      </c>
      <c r="F118">
        <v>0.42289957385485499</v>
      </c>
      <c r="G118">
        <v>-160.25427359822262</v>
      </c>
      <c r="H118">
        <v>-97.537986422835658</v>
      </c>
      <c r="I118">
        <v>59.105456072339699</v>
      </c>
      <c r="J118">
        <v>25.2952259797596</v>
      </c>
      <c r="K118">
        <v>18.0356890786307</v>
      </c>
      <c r="L118">
        <v>1.6448872924980133E-3</v>
      </c>
      <c r="M118">
        <v>5.5745037482915309E-4</v>
      </c>
      <c r="N118" s="1">
        <v>-1.2071773659140101E-5</v>
      </c>
      <c r="O118" s="1">
        <v>1.6505125809294001E-5</v>
      </c>
      <c r="P118" s="1">
        <v>-2.3818780025699401E-5</v>
      </c>
    </row>
    <row r="119" spans="1:16" x14ac:dyDescent="0.2">
      <c r="A119">
        <v>118</v>
      </c>
      <c r="B119">
        <v>787</v>
      </c>
      <c r="C119">
        <v>150</v>
      </c>
      <c r="D119">
        <v>0.45405885959534198</v>
      </c>
      <c r="E119">
        <v>8.0982239656782191</v>
      </c>
      <c r="F119">
        <v>0.44347280957678498</v>
      </c>
      <c r="G119">
        <v>-168.05153052607773</v>
      </c>
      <c r="H119">
        <v>-104.13446922632797</v>
      </c>
      <c r="I119">
        <v>60.2938690698019</v>
      </c>
      <c r="J119">
        <v>25.968926530980301</v>
      </c>
      <c r="K119">
        <v>18.260925564763401</v>
      </c>
      <c r="L119">
        <v>1.6332585607024841E-3</v>
      </c>
      <c r="M119">
        <v>5.5189290346877983E-4</v>
      </c>
      <c r="N119" s="1">
        <v>-1.20177660403659E-5</v>
      </c>
      <c r="O119" s="1">
        <v>1.6556663602629701E-5</v>
      </c>
      <c r="P119" s="1">
        <v>-2.3982781506410799E-5</v>
      </c>
    </row>
    <row r="120" spans="1:16" x14ac:dyDescent="0.2">
      <c r="A120">
        <v>119</v>
      </c>
      <c r="B120">
        <v>786</v>
      </c>
      <c r="C120">
        <v>150</v>
      </c>
      <c r="D120">
        <v>0.45347731671623798</v>
      </c>
      <c r="E120">
        <v>8.5692115555620401</v>
      </c>
      <c r="F120">
        <v>0.46355310338296302</v>
      </c>
      <c r="G120">
        <v>-175.84624816252278</v>
      </c>
      <c r="H120">
        <v>-110.73190273587039</v>
      </c>
      <c r="I120">
        <v>61.481231063009197</v>
      </c>
      <c r="J120">
        <v>26.643145438626199</v>
      </c>
      <c r="K120">
        <v>18.485932880234799</v>
      </c>
      <c r="L120">
        <v>1.6219340762867625E-3</v>
      </c>
      <c r="M120">
        <v>5.464626839130519E-4</v>
      </c>
      <c r="N120" s="1">
        <v>-1.19606136101118E-5</v>
      </c>
      <c r="O120" s="1">
        <v>1.6607854899208701E-5</v>
      </c>
      <c r="P120" s="1">
        <v>-2.4147492915060102E-5</v>
      </c>
    </row>
    <row r="121" spans="1:16" x14ac:dyDescent="0.2">
      <c r="A121">
        <v>120</v>
      </c>
      <c r="B121">
        <v>785</v>
      </c>
      <c r="C121">
        <v>150</v>
      </c>
      <c r="D121">
        <v>0.452894674668055</v>
      </c>
      <c r="E121">
        <v>9.04000851321676</v>
      </c>
      <c r="F121">
        <v>0.48314964200998101</v>
      </c>
      <c r="G121">
        <v>-183.6344311360474</v>
      </c>
      <c r="H121">
        <v>-117.32695918687634</v>
      </c>
      <c r="I121">
        <v>62.6669081446693</v>
      </c>
      <c r="J121">
        <v>27.317555210594499</v>
      </c>
      <c r="K121">
        <v>18.710576863120199</v>
      </c>
      <c r="L121">
        <v>1.6109094898424368E-3</v>
      </c>
      <c r="M121">
        <v>5.4115735098081224E-4</v>
      </c>
      <c r="N121" s="1">
        <v>-1.19002318730559E-5</v>
      </c>
      <c r="O121" s="1">
        <v>1.6658654249997202E-5</v>
      </c>
      <c r="P121" s="1">
        <v>-2.4312853701853401E-5</v>
      </c>
    </row>
    <row r="122" spans="1:16" x14ac:dyDescent="0.2">
      <c r="A122">
        <v>121</v>
      </c>
      <c r="B122">
        <v>784</v>
      </c>
      <c r="C122">
        <v>150</v>
      </c>
      <c r="D122">
        <v>0.45231093033155201</v>
      </c>
      <c r="E122">
        <v>9.5103797236998897</v>
      </c>
      <c r="F122">
        <v>0.50227183771933404</v>
      </c>
      <c r="G122">
        <v>-191.41216151729165</v>
      </c>
      <c r="H122">
        <v>-123.91637181281945</v>
      </c>
      <c r="I122">
        <v>63.850279564241099</v>
      </c>
      <c r="J122">
        <v>27.991834564799799</v>
      </c>
      <c r="K122">
        <v>18.934726197040298</v>
      </c>
      <c r="L122">
        <v>1.6001802182585392E-3</v>
      </c>
      <c r="M122">
        <v>5.3597447680811408E-4</v>
      </c>
      <c r="N122" s="1">
        <v>-1.1836537735828599E-5</v>
      </c>
      <c r="O122" s="1">
        <v>1.67090173894764E-5</v>
      </c>
      <c r="P122" s="1">
        <v>-2.4478804056863999E-5</v>
      </c>
    </row>
    <row r="123" spans="1:16" x14ac:dyDescent="0.2">
      <c r="A123">
        <v>122</v>
      </c>
      <c r="B123">
        <v>783</v>
      </c>
      <c r="C123">
        <v>150</v>
      </c>
      <c r="D123">
        <v>0.45172608057567798</v>
      </c>
      <c r="E123">
        <v>9.9800954425050001</v>
      </c>
      <c r="F123">
        <v>0.52092930730988196</v>
      </c>
      <c r="G123">
        <v>-199.17561541099838</v>
      </c>
      <c r="H123">
        <v>-130.49694877136344</v>
      </c>
      <c r="I123">
        <v>65.030740314349799</v>
      </c>
      <c r="J123">
        <v>28.665669835611201</v>
      </c>
      <c r="K123">
        <v>19.158252957666999</v>
      </c>
      <c r="L123">
        <v>1.5897414577868885E-3</v>
      </c>
      <c r="M123">
        <v>5.3091157641714038E-4</v>
      </c>
      <c r="N123" s="1">
        <v>-1.1769449668095599E-5</v>
      </c>
      <c r="O123" s="1">
        <v>1.6758901400871901E-5</v>
      </c>
      <c r="P123" s="1">
        <v>-2.4645285166514099E-5</v>
      </c>
    </row>
    <row r="124" spans="1:16" x14ac:dyDescent="0.2">
      <c r="A124">
        <v>123</v>
      </c>
      <c r="B124">
        <v>782</v>
      </c>
      <c r="C124">
        <v>150</v>
      </c>
      <c r="D124">
        <v>0.451140122257502</v>
      </c>
      <c r="E124">
        <v>10.4489322001017</v>
      </c>
      <c r="F124">
        <v>0.539131848400207</v>
      </c>
      <c r="G124">
        <v>-206.92107787185606</v>
      </c>
      <c r="H124">
        <v>-137.06558569423427</v>
      </c>
      <c r="I124">
        <v>66.207703447726402</v>
      </c>
      <c r="J124">
        <v>29.3387562431578</v>
      </c>
      <c r="K124">
        <v>19.3810331018421</v>
      </c>
      <c r="L124">
        <v>1.5795881994863845E-3</v>
      </c>
      <c r="M124">
        <v>5.2596611401487469E-4</v>
      </c>
      <c r="N124" s="1">
        <v>-1.16988878436854E-5</v>
      </c>
      <c r="O124" s="1">
        <v>1.6808264861311302E-5</v>
      </c>
      <c r="P124" s="1">
        <v>-2.4812239446384899E-5</v>
      </c>
    </row>
    <row r="125" spans="1:16" x14ac:dyDescent="0.2">
      <c r="A125">
        <v>124</v>
      </c>
      <c r="B125">
        <v>781</v>
      </c>
      <c r="C125">
        <v>150</v>
      </c>
      <c r="D125">
        <v>0.45055305222216901</v>
      </c>
      <c r="E125">
        <v>10.9166736046169</v>
      </c>
      <c r="F125">
        <v>0.55688941369956002</v>
      </c>
      <c r="G125">
        <v>-214.64495609740771</v>
      </c>
      <c r="H125">
        <v>-143.61927681996906</v>
      </c>
      <c r="I125">
        <v>67.3806021172295</v>
      </c>
      <c r="J125">
        <v>30.010799020953002</v>
      </c>
      <c r="K125">
        <v>19.602946897651801</v>
      </c>
      <c r="L125">
        <v>1.569715246532419E-3</v>
      </c>
      <c r="M125">
        <v>5.2113550983181982E-4</v>
      </c>
      <c r="N125" s="1">
        <v>-1.1624774261651299E-5</v>
      </c>
      <c r="O125" s="1">
        <v>1.6857067966385502E-5</v>
      </c>
      <c r="P125" s="1">
        <v>-2.49796107489377E-5</v>
      </c>
    </row>
    <row r="126" spans="1:16" x14ac:dyDescent="0.2">
      <c r="A126">
        <v>125</v>
      </c>
      <c r="B126">
        <v>780</v>
      </c>
      <c r="C126">
        <v>150</v>
      </c>
      <c r="D126">
        <v>0.44996486730285301</v>
      </c>
      <c r="E126">
        <v>11.383111042140399</v>
      </c>
      <c r="F126">
        <v>0.57421208393092305</v>
      </c>
      <c r="G126">
        <v>-222.34379089467072</v>
      </c>
      <c r="H126">
        <v>-150.15512470279185</v>
      </c>
      <c r="I126">
        <v>68.548891340331707</v>
      </c>
      <c r="J126">
        <v>30.681514401677699</v>
      </c>
      <c r="K126">
        <v>19.823879295981101</v>
      </c>
      <c r="L126">
        <v>1.5601172329089889E-3</v>
      </c>
      <c r="M126">
        <v>5.1641714732567892E-4</v>
      </c>
      <c r="N126" s="1">
        <v>-1.15470328481725E-5</v>
      </c>
      <c r="O126" s="1">
        <v>1.69052726349217E-5</v>
      </c>
      <c r="P126" s="1">
        <v>-2.5147344546670201E-5</v>
      </c>
    </row>
    <row r="127" spans="1:16" x14ac:dyDescent="0.2">
      <c r="A127">
        <v>126</v>
      </c>
      <c r="B127">
        <v>779</v>
      </c>
      <c r="C127">
        <v>150</v>
      </c>
      <c r="D127">
        <v>0.44937556432067799</v>
      </c>
      <c r="E127">
        <v>11.848044265411801</v>
      </c>
      <c r="F127">
        <v>0.59111003967796705</v>
      </c>
      <c r="G127">
        <v>-230.01426626921193</v>
      </c>
      <c r="H127">
        <v>-156.67034836943702</v>
      </c>
      <c r="I127">
        <v>69.712049464304798</v>
      </c>
      <c r="J127">
        <v>31.3506304478177</v>
      </c>
      <c r="K127">
        <v>20.043720238395199</v>
      </c>
      <c r="L127">
        <v>1.5507886432923196E-3</v>
      </c>
      <c r="M127">
        <v>5.1180838067633322E-4</v>
      </c>
      <c r="N127" s="1">
        <v>-1.14655895385161E-5</v>
      </c>
      <c r="O127" s="1">
        <v>1.6952842592279301E-5</v>
      </c>
      <c r="P127" s="1">
        <v>-2.5315388087510001E-5</v>
      </c>
    </row>
    <row r="128" spans="1:16" x14ac:dyDescent="0.2">
      <c r="A128">
        <v>127</v>
      </c>
      <c r="B128">
        <v>778</v>
      </c>
      <c r="C128">
        <v>150</v>
      </c>
      <c r="D128">
        <v>0.44878514008467002</v>
      </c>
      <c r="E128">
        <v>12.311281886185601</v>
      </c>
      <c r="F128">
        <v>0.607593533159133</v>
      </c>
      <c r="G128">
        <v>-237.65321739677401</v>
      </c>
      <c r="H128">
        <v>-163.16229013722841</v>
      </c>
      <c r="I128">
        <v>70.8695793746231</v>
      </c>
      <c r="J128">
        <v>32.017887748973003</v>
      </c>
      <c r="K128">
        <v>20.262364910591</v>
      </c>
      <c r="L128">
        <v>1.5417238333633669E-3</v>
      </c>
      <c r="M128">
        <v>5.073065423087899E-4</v>
      </c>
      <c r="N128" s="1">
        <v>-1.13803723420712E-5</v>
      </c>
      <c r="O128" s="1">
        <v>1.6999743435739701E-5</v>
      </c>
      <c r="P128" s="1">
        <v>-2.54836905270412E-5</v>
      </c>
    </row>
    <row r="129" spans="1:16" x14ac:dyDescent="0.2">
      <c r="A129">
        <v>128</v>
      </c>
      <c r="B129">
        <v>777</v>
      </c>
      <c r="C129">
        <v>150</v>
      </c>
      <c r="D129">
        <v>0.44819359139171</v>
      </c>
      <c r="E129">
        <v>12.7726417557251</v>
      </c>
      <c r="F129">
        <v>0.62367285977917397</v>
      </c>
      <c r="G129">
        <v>-245.257636720161</v>
      </c>
      <c r="H129">
        <v>-169.62842087743212</v>
      </c>
      <c r="I129">
        <v>72.021009405533803</v>
      </c>
      <c r="J129">
        <v>32.683039963425699</v>
      </c>
      <c r="K129">
        <v>20.479713932473501</v>
      </c>
      <c r="L129">
        <v>1.5329170506658187E-3</v>
      </c>
      <c r="M129">
        <v>5.0290895047994263E-4</v>
      </c>
      <c r="N129" s="1">
        <v>-1.12913113887212E-5</v>
      </c>
      <c r="O129" s="1">
        <v>1.7045942678816101E-5</v>
      </c>
      <c r="P129" s="1">
        <v>-2.5652203032149501E-5</v>
      </c>
    </row>
    <row r="130" spans="1:16" x14ac:dyDescent="0.2">
      <c r="A130">
        <v>129</v>
      </c>
      <c r="B130">
        <v>776</v>
      </c>
      <c r="C130">
        <v>150</v>
      </c>
      <c r="D130">
        <v>0.447600915026452</v>
      </c>
      <c r="E130">
        <v>14.5953878396561</v>
      </c>
      <c r="F130">
        <v>0.68214809255392195</v>
      </c>
      <c r="G130">
        <v>-275.48227639773933</v>
      </c>
      <c r="H130">
        <v>-195.26514084158632</v>
      </c>
      <c r="I130">
        <v>76.462696328145597</v>
      </c>
      <c r="J130">
        <v>35.154193326303499</v>
      </c>
      <c r="K130">
        <v>21.3962158642295</v>
      </c>
      <c r="L130">
        <v>1.4905281716889468E-3</v>
      </c>
      <c r="M130">
        <v>4.8747034452151347E-4</v>
      </c>
      <c r="N130" s="1">
        <v>-1.1322482308523401E-5</v>
      </c>
      <c r="O130" s="1">
        <v>1.7273867525749898E-5</v>
      </c>
      <c r="P130" s="1">
        <v>-2.6096505251927199E-5</v>
      </c>
    </row>
    <row r="131" spans="1:16" x14ac:dyDescent="0.2">
      <c r="A131">
        <v>130</v>
      </c>
      <c r="B131">
        <v>775</v>
      </c>
      <c r="C131">
        <v>150</v>
      </c>
      <c r="D131">
        <v>0.44700710776129698</v>
      </c>
      <c r="E131">
        <v>17.0210814558123</v>
      </c>
      <c r="F131">
        <v>0.75244065168739205</v>
      </c>
      <c r="G131">
        <v>-315.70173166107435</v>
      </c>
      <c r="H131">
        <v>-229.38326687391455</v>
      </c>
      <c r="I131">
        <v>82.356761296527097</v>
      </c>
      <c r="J131">
        <v>38.4257640534342</v>
      </c>
      <c r="K131">
        <v>22.621161439964101</v>
      </c>
      <c r="L131">
        <v>1.4385179763217507E-3</v>
      </c>
      <c r="M131">
        <v>4.6895533307828415E-4</v>
      </c>
      <c r="N131" s="1">
        <v>-1.14009166921757E-5</v>
      </c>
      <c r="O131" s="1">
        <v>1.7580707171158601E-5</v>
      </c>
      <c r="P131" s="1">
        <v>-2.6663912577274899E-5</v>
      </c>
    </row>
    <row r="132" spans="1:16" x14ac:dyDescent="0.2">
      <c r="A132">
        <v>131</v>
      </c>
      <c r="B132">
        <v>774</v>
      </c>
      <c r="C132">
        <v>150</v>
      </c>
      <c r="D132">
        <v>0.44641216635630598</v>
      </c>
      <c r="E132">
        <v>19.485687993497699</v>
      </c>
      <c r="F132">
        <v>0.81651774128351096</v>
      </c>
      <c r="G132">
        <v>-356.5364173766132</v>
      </c>
      <c r="H132">
        <v>-264.03718097236549</v>
      </c>
      <c r="I132">
        <v>88.337949818846198</v>
      </c>
      <c r="J132">
        <v>41.7494335164128</v>
      </c>
      <c r="K132">
        <v>23.864377965465302</v>
      </c>
      <c r="L132">
        <v>1.3911434994477053E-3</v>
      </c>
      <c r="M132">
        <v>4.5205934179883694E-4</v>
      </c>
      <c r="N132" s="1">
        <v>-1.1474187847666899E-5</v>
      </c>
      <c r="O132" s="1">
        <v>1.78905115278004E-5</v>
      </c>
      <c r="P132" s="1">
        <v>-2.72402360716796E-5</v>
      </c>
    </row>
    <row r="133" spans="1:16" x14ac:dyDescent="0.2">
      <c r="A133">
        <v>132</v>
      </c>
      <c r="B133">
        <v>773</v>
      </c>
      <c r="C133">
        <v>150</v>
      </c>
      <c r="D133">
        <v>0.44581608755914398</v>
      </c>
      <c r="E133">
        <v>22.000102447244299</v>
      </c>
      <c r="F133">
        <v>0.87540945398939196</v>
      </c>
      <c r="G133">
        <v>-398.16363942092352</v>
      </c>
      <c r="H133">
        <v>-299.37786708840133</v>
      </c>
      <c r="I133">
        <v>94.431672732707</v>
      </c>
      <c r="J133">
        <v>45.1392715726181</v>
      </c>
      <c r="K133">
        <v>25.131214138693601</v>
      </c>
      <c r="L133">
        <v>1.3476220472874172E-3</v>
      </c>
      <c r="M133">
        <v>4.3651334981736255E-4</v>
      </c>
      <c r="N133" s="1">
        <v>-1.1542782383339E-5</v>
      </c>
      <c r="O133" s="1">
        <v>1.8204419745229799E-5</v>
      </c>
      <c r="P133" s="1">
        <v>-2.7827316438500999E-5</v>
      </c>
    </row>
    <row r="134" spans="1:16" x14ac:dyDescent="0.2">
      <c r="A134">
        <v>133</v>
      </c>
      <c r="B134">
        <v>772</v>
      </c>
      <c r="C134">
        <v>150</v>
      </c>
      <c r="D134">
        <v>0.44521886810505501</v>
      </c>
      <c r="E134">
        <v>24.579607239315699</v>
      </c>
      <c r="F134">
        <v>0.93001657941982097</v>
      </c>
      <c r="G134">
        <v>-440.83240314053245</v>
      </c>
      <c r="H134">
        <v>-335.61723889947251</v>
      </c>
      <c r="I134">
        <v>100.673742730532</v>
      </c>
      <c r="J134">
        <v>48.615083785734598</v>
      </c>
      <c r="K134">
        <v>26.429214041161899</v>
      </c>
      <c r="L134">
        <v>1.3072649744166067E-3</v>
      </c>
      <c r="M134">
        <v>4.2208193766260987E-4</v>
      </c>
      <c r="N134" s="1">
        <v>-1.16074745746811E-5</v>
      </c>
      <c r="O134" s="1">
        <v>1.8524077903226798E-5</v>
      </c>
      <c r="P134" s="1">
        <v>-2.84278010217202E-5</v>
      </c>
    </row>
    <row r="135" spans="1:16" x14ac:dyDescent="0.2">
      <c r="A135">
        <v>134</v>
      </c>
      <c r="B135">
        <v>771</v>
      </c>
      <c r="C135">
        <v>150</v>
      </c>
      <c r="D135">
        <v>0.44462050471675502</v>
      </c>
      <c r="E135">
        <v>27.245956164956901</v>
      </c>
      <c r="F135">
        <v>0.98115894642274304</v>
      </c>
      <c r="G135">
        <v>-484.89743254414441</v>
      </c>
      <c r="H135">
        <v>-373.05706937912333</v>
      </c>
      <c r="I135">
        <v>107.115298636343</v>
      </c>
      <c r="J135">
        <v>52.2051318077364</v>
      </c>
      <c r="K135">
        <v>27.769156327111201</v>
      </c>
      <c r="L135">
        <v>1.2694401106118586E-3</v>
      </c>
      <c r="M135">
        <v>4.0855062969362432E-4</v>
      </c>
      <c r="N135" s="1">
        <v>-1.1669456289417299E-5</v>
      </c>
      <c r="O135" s="1">
        <v>1.8851875877051602E-5</v>
      </c>
      <c r="P135" s="1">
        <v>-2.90455246586909E-5</v>
      </c>
    </row>
    <row r="136" spans="1:16" x14ac:dyDescent="0.2">
      <c r="A136">
        <v>135</v>
      </c>
      <c r="B136">
        <v>770</v>
      </c>
      <c r="C136">
        <v>150</v>
      </c>
      <c r="D136">
        <v>0.44402099410439499</v>
      </c>
      <c r="E136">
        <v>30.0307499247319</v>
      </c>
      <c r="F136">
        <v>1.0296232902625999</v>
      </c>
      <c r="G136">
        <v>-530.87425307198248</v>
      </c>
      <c r="H136">
        <v>-412.13584053566075</v>
      </c>
      <c r="I136">
        <v>113.830771417698</v>
      </c>
      <c r="J136">
        <v>55.950535181067501</v>
      </c>
      <c r="K136">
        <v>29.1667352601091</v>
      </c>
      <c r="L136">
        <v>1.2335338249805121E-3</v>
      </c>
      <c r="M136">
        <v>3.9571333144771309E-4</v>
      </c>
      <c r="N136" s="1">
        <v>-1.1730545146870601E-5</v>
      </c>
      <c r="O136" s="1">
        <v>1.9191328463421301E-5</v>
      </c>
      <c r="P136" s="1">
        <v>-2.9686122724204802E-5</v>
      </c>
    </row>
    <row r="137" spans="1:16" x14ac:dyDescent="0.2">
      <c r="A137">
        <v>136</v>
      </c>
      <c r="B137">
        <v>769</v>
      </c>
      <c r="C137">
        <v>150</v>
      </c>
      <c r="D137">
        <v>0.44342033296550898</v>
      </c>
      <c r="E137">
        <v>32.981125930523099</v>
      </c>
      <c r="F137">
        <v>1.0762181557206001</v>
      </c>
      <c r="G137">
        <v>-579.53200591686948</v>
      </c>
      <c r="H137">
        <v>-453.50769836645827</v>
      </c>
      <c r="I137">
        <v>120.931294892667</v>
      </c>
      <c r="J137">
        <v>59.912683694698003</v>
      </c>
      <c r="K137">
        <v>30.645390765071902</v>
      </c>
      <c r="L137">
        <v>1.1989065986468047E-3</v>
      </c>
      <c r="M137">
        <v>3.8335788413069414E-4</v>
      </c>
      <c r="N137" s="1">
        <v>-1.17935319067837E-5</v>
      </c>
      <c r="O137" s="1">
        <v>1.9547713828070802E-5</v>
      </c>
      <c r="P137" s="1">
        <v>-3.0358058404633899E-5</v>
      </c>
    </row>
    <row r="138" spans="1:16" x14ac:dyDescent="0.2">
      <c r="A138">
        <v>137</v>
      </c>
      <c r="B138">
        <v>768</v>
      </c>
      <c r="C138">
        <v>150</v>
      </c>
      <c r="D138">
        <v>0.442818517984921</v>
      </c>
      <c r="E138">
        <v>36.169638333901098</v>
      </c>
      <c r="F138">
        <v>1.12184476135912</v>
      </c>
      <c r="G138">
        <v>-632.05454135888942</v>
      </c>
      <c r="H138">
        <v>-498.17952305766238</v>
      </c>
      <c r="I138">
        <v>128.58795587813</v>
      </c>
      <c r="J138">
        <v>64.186093747808798</v>
      </c>
      <c r="K138">
        <v>32.241215166063697</v>
      </c>
      <c r="L138">
        <v>1.1648346585109684E-3</v>
      </c>
      <c r="M138">
        <v>3.7124738135628873E-4</v>
      </c>
      <c r="N138" s="1">
        <v>-1.1862775394390999E-5</v>
      </c>
      <c r="O138" s="1">
        <v>1.99291737112164E-5</v>
      </c>
      <c r="P138" s="1">
        <v>-3.1074394521766297E-5</v>
      </c>
    </row>
    <row r="139" spans="1:16" x14ac:dyDescent="0.2">
      <c r="A139">
        <v>138</v>
      </c>
      <c r="B139">
        <v>767</v>
      </c>
      <c r="C139">
        <v>150</v>
      </c>
      <c r="D139">
        <v>0.44221554583473799</v>
      </c>
      <c r="E139">
        <v>39.7112835819701</v>
      </c>
      <c r="F139">
        <v>1.1675878835956099</v>
      </c>
      <c r="G139">
        <v>-690.31780251251553</v>
      </c>
      <c r="H139">
        <v>-547.74704896628919</v>
      </c>
      <c r="I139">
        <v>137.07175375660501</v>
      </c>
      <c r="J139">
        <v>68.920523815132697</v>
      </c>
      <c r="K139">
        <v>34.011387185415302</v>
      </c>
      <c r="L139">
        <v>1.1304340256074481E-3</v>
      </c>
      <c r="M139">
        <v>3.5909617634804721E-4</v>
      </c>
      <c r="N139" s="1">
        <v>-1.1945200194337101E-5</v>
      </c>
      <c r="O139" s="1">
        <v>2.0348585333159999E-5</v>
      </c>
      <c r="P139" s="1">
        <v>-3.1855815972837698E-5</v>
      </c>
    </row>
    <row r="140" spans="1:16" x14ac:dyDescent="0.2">
      <c r="A140">
        <v>139</v>
      </c>
      <c r="B140">
        <v>766</v>
      </c>
      <c r="C140">
        <v>150</v>
      </c>
      <c r="D140">
        <v>0.44161141317423203</v>
      </c>
      <c r="E140">
        <v>43.7884451534199</v>
      </c>
      <c r="F140">
        <v>1.21477835222329</v>
      </c>
      <c r="G140">
        <v>-757.29539682755376</v>
      </c>
      <c r="H140">
        <v>-604.74050925463382</v>
      </c>
      <c r="I140">
        <v>146.81175090464001</v>
      </c>
      <c r="J140">
        <v>74.353239565340502</v>
      </c>
      <c r="K140">
        <v>36.046448369184297</v>
      </c>
      <c r="L140">
        <v>1.0946064639107912E-3</v>
      </c>
      <c r="M140">
        <v>3.4655337277154425E-4</v>
      </c>
      <c r="N140" s="1">
        <v>-1.20516431771922E-5</v>
      </c>
      <c r="O140" s="1">
        <v>2.0826213940818501E-5</v>
      </c>
      <c r="P140" s="1">
        <v>-3.2734952042566502E-5</v>
      </c>
    </row>
    <row r="141" spans="1:16" x14ac:dyDescent="0.2">
      <c r="A141">
        <v>140</v>
      </c>
      <c r="B141">
        <v>765</v>
      </c>
      <c r="C141">
        <v>150</v>
      </c>
      <c r="D141">
        <v>0.44100611664981298</v>
      </c>
      <c r="E141">
        <v>48.654187804165097</v>
      </c>
      <c r="F141">
        <v>1.2646816489645301</v>
      </c>
      <c r="G141">
        <v>-837.10760837985424</v>
      </c>
      <c r="H141">
        <v>-672.66867153489272</v>
      </c>
      <c r="I141">
        <v>158.40062771532899</v>
      </c>
      <c r="J141">
        <v>80.812563397882698</v>
      </c>
      <c r="K141">
        <v>38.471490310625597</v>
      </c>
      <c r="L141">
        <v>1.0562934416845366E-3</v>
      </c>
      <c r="M141">
        <v>3.3328512601041511E-4</v>
      </c>
      <c r="N141" s="1">
        <v>-1.2196372579638101E-5</v>
      </c>
      <c r="O141" s="1">
        <v>2.1389577437731499E-5</v>
      </c>
      <c r="P141" s="1">
        <v>-3.37564038575062E-5</v>
      </c>
    </row>
    <row r="142" spans="1:16" x14ac:dyDescent="0.2">
      <c r="A142">
        <v>141</v>
      </c>
      <c r="B142">
        <v>764</v>
      </c>
      <c r="C142">
        <v>150</v>
      </c>
      <c r="D142">
        <v>0.44039965289495597</v>
      </c>
      <c r="E142">
        <v>75.8192654298647</v>
      </c>
      <c r="F142">
        <v>1.4580589232112999</v>
      </c>
      <c r="G142">
        <v>-1278.8983448613183</v>
      </c>
      <c r="H142">
        <v>-1047.8977990903836</v>
      </c>
      <c r="I142">
        <v>222.73145069709801</v>
      </c>
      <c r="J142">
        <v>116.359558139846</v>
      </c>
      <c r="K142">
        <v>52.000138144538198</v>
      </c>
      <c r="L142">
        <v>9.0211076585191251E-4</v>
      </c>
      <c r="M142">
        <v>2.8317236111611227E-4</v>
      </c>
      <c r="N142" s="1">
        <v>-1.3841406432047501E-5</v>
      </c>
      <c r="O142" s="1">
        <v>2.4563273644884901E-5</v>
      </c>
      <c r="P142" s="1">
        <v>-3.8922026391545902E-5</v>
      </c>
    </row>
    <row r="143" spans="1:16" x14ac:dyDescent="0.2">
      <c r="A143">
        <v>142</v>
      </c>
      <c r="B143">
        <v>763</v>
      </c>
      <c r="C143">
        <v>150</v>
      </c>
      <c r="D143">
        <v>0.43979201853014099</v>
      </c>
      <c r="E143">
        <v>87.901973121052507</v>
      </c>
      <c r="F143">
        <v>1.51613107226701</v>
      </c>
      <c r="G143">
        <v>-1475.2728189944144</v>
      </c>
      <c r="H143">
        <v>-1214.9897452761418</v>
      </c>
      <c r="I143">
        <v>251.207607522535</v>
      </c>
      <c r="J143">
        <v>132.18684017794601</v>
      </c>
      <c r="K143">
        <v>57.977819153601303</v>
      </c>
      <c r="L143">
        <v>8.5701195180976791E-4</v>
      </c>
      <c r="M143">
        <v>2.6801062848703992E-4</v>
      </c>
      <c r="N143" s="1">
        <v>-1.4392436790264801E-5</v>
      </c>
      <c r="O143" s="1">
        <v>2.5933326259125199E-5</v>
      </c>
      <c r="P143" s="1">
        <v>-4.12601745244355E-5</v>
      </c>
    </row>
    <row r="144" spans="1:16" x14ac:dyDescent="0.2">
      <c r="A144">
        <v>143</v>
      </c>
      <c r="B144">
        <v>762</v>
      </c>
      <c r="C144">
        <v>150</v>
      </c>
      <c r="D144">
        <v>0.439183210162781</v>
      </c>
      <c r="E144">
        <v>93.966800865468599</v>
      </c>
      <c r="F144">
        <v>1.54173154231994</v>
      </c>
      <c r="G144">
        <v>-1573.6903814441848</v>
      </c>
      <c r="H144">
        <v>-1298.9534542402944</v>
      </c>
      <c r="I144">
        <v>265.413487361855</v>
      </c>
      <c r="J144">
        <v>140.157078674807</v>
      </c>
      <c r="K144">
        <v>60.948873578904902</v>
      </c>
      <c r="L144">
        <v>8.3817678102236825E-4</v>
      </c>
      <c r="M144">
        <v>2.6125242526223505E-4</v>
      </c>
      <c r="N144" s="1">
        <v>-1.4513844824625401E-5</v>
      </c>
      <c r="O144" s="1">
        <v>2.6592295494044E-5</v>
      </c>
      <c r="P144" s="1">
        <v>-4.2481407094094697E-5</v>
      </c>
    </row>
    <row r="145" spans="1:16" x14ac:dyDescent="0.2">
      <c r="A145">
        <v>144</v>
      </c>
      <c r="B145">
        <v>761</v>
      </c>
      <c r="C145">
        <v>150</v>
      </c>
      <c r="D145">
        <v>0.43857322438717999</v>
      </c>
      <c r="E145">
        <v>97.531960267824303</v>
      </c>
      <c r="F145">
        <v>1.5562314079939401</v>
      </c>
      <c r="G145">
        <v>-1631.4195548216451</v>
      </c>
      <c r="H145">
        <v>-1348.3833894322761</v>
      </c>
      <c r="I145">
        <v>273.69540280779802</v>
      </c>
      <c r="J145">
        <v>144.865425526114</v>
      </c>
      <c r="K145">
        <v>62.671887848316501</v>
      </c>
      <c r="L145">
        <v>8.2832226596464282E-4</v>
      </c>
      <c r="M145">
        <v>2.5736569151330128E-4</v>
      </c>
      <c r="N145" s="1">
        <v>-1.44550805826904E-5</v>
      </c>
      <c r="O145" s="1">
        <v>2.69566632958975E-5</v>
      </c>
      <c r="P145" s="1">
        <v>-4.3239983772848798E-5</v>
      </c>
    </row>
    <row r="146" spans="1:16" x14ac:dyDescent="0.2">
      <c r="A146">
        <v>145</v>
      </c>
      <c r="B146">
        <v>760</v>
      </c>
      <c r="C146">
        <v>150</v>
      </c>
      <c r="D146">
        <v>0.43796205778444602</v>
      </c>
      <c r="E146">
        <v>100.17394717163801</v>
      </c>
      <c r="F146">
        <v>1.56687678612513</v>
      </c>
      <c r="G146">
        <v>-1674.1279986202153</v>
      </c>
      <c r="H146">
        <v>-1385.076451416654</v>
      </c>
      <c r="I146">
        <v>279.78275168235098</v>
      </c>
      <c r="J146">
        <v>148.36949373937199</v>
      </c>
      <c r="K146">
        <v>63.9322428277003</v>
      </c>
      <c r="L146">
        <v>8.215948370722656E-4</v>
      </c>
      <c r="M146">
        <v>2.544816447836905E-4</v>
      </c>
      <c r="N146" s="1">
        <v>-1.43242506960793E-5</v>
      </c>
      <c r="O146" s="1">
        <v>2.72108539523275E-5</v>
      </c>
      <c r="P146" s="1">
        <v>-4.3827206118045299E-5</v>
      </c>
    </row>
    <row r="147" spans="1:16" x14ac:dyDescent="0.2">
      <c r="A147">
        <v>146</v>
      </c>
      <c r="B147">
        <v>806</v>
      </c>
      <c r="C147">
        <v>125</v>
      </c>
      <c r="D147">
        <v>0.490386415234215</v>
      </c>
      <c r="E147">
        <v>6.4690029488672298</v>
      </c>
      <c r="F147">
        <v>0.28550077203207203</v>
      </c>
      <c r="G147">
        <v>-145.34842670094952</v>
      </c>
      <c r="H147">
        <v>-79.742147331191248</v>
      </c>
      <c r="I147">
        <v>60.797832859646803</v>
      </c>
      <c r="J147">
        <v>23.930812815888</v>
      </c>
      <c r="K147">
        <v>22.658442927574701</v>
      </c>
      <c r="L147">
        <v>1.6974068773031822E-3</v>
      </c>
      <c r="M147">
        <v>7.6475014385040882E-4</v>
      </c>
      <c r="N147" s="1">
        <v>-2.9548063051679901E-5</v>
      </c>
      <c r="O147" s="1">
        <v>3.28451609296583E-5</v>
      </c>
      <c r="P147" s="1">
        <v>-3.23918105708002E-5</v>
      </c>
    </row>
    <row r="148" spans="1:16" x14ac:dyDescent="0.2">
      <c r="A148">
        <v>147</v>
      </c>
      <c r="B148">
        <v>805</v>
      </c>
      <c r="C148">
        <v>125</v>
      </c>
      <c r="D148">
        <v>0.48984881509993899</v>
      </c>
      <c r="E148">
        <v>6.6880503176063497</v>
      </c>
      <c r="F148">
        <v>0.294103292679675</v>
      </c>
      <c r="G148">
        <v>-148.94424562301333</v>
      </c>
      <c r="H148">
        <v>-82.8236060213614</v>
      </c>
      <c r="I148">
        <v>61.331306439502903</v>
      </c>
      <c r="J148">
        <v>24.251141408188801</v>
      </c>
      <c r="K148">
        <v>22.740480926511399</v>
      </c>
      <c r="L148">
        <v>1.695652542292923E-3</v>
      </c>
      <c r="M148">
        <v>7.6190214636183721E-4</v>
      </c>
      <c r="N148" s="1">
        <v>-2.9610480287262899E-5</v>
      </c>
      <c r="O148" s="1">
        <v>3.2865327971709298E-5</v>
      </c>
      <c r="P148" s="1">
        <v>-3.25177673546613E-5</v>
      </c>
    </row>
    <row r="149" spans="1:16" x14ac:dyDescent="0.2">
      <c r="A149">
        <v>148</v>
      </c>
      <c r="B149">
        <v>804</v>
      </c>
      <c r="C149">
        <v>125</v>
      </c>
      <c r="D149">
        <v>0.48931021677575198</v>
      </c>
      <c r="E149">
        <v>7.1358030589767596</v>
      </c>
      <c r="F149">
        <v>0.31091726570814898</v>
      </c>
      <c r="G149">
        <v>-156.36080693906945</v>
      </c>
      <c r="H149">
        <v>-89.096099344859354</v>
      </c>
      <c r="I149">
        <v>62.450382730665503</v>
      </c>
      <c r="J149">
        <v>24.881260830371598</v>
      </c>
      <c r="K149">
        <v>22.950809897045001</v>
      </c>
      <c r="L149">
        <v>1.6878478580285967E-3</v>
      </c>
      <c r="M149">
        <v>7.5630385518499145E-4</v>
      </c>
      <c r="N149" s="1">
        <v>-2.97301890398276E-5</v>
      </c>
      <c r="O149" s="1">
        <v>3.2949496450171797E-5</v>
      </c>
      <c r="P149" s="1">
        <v>-3.2708195257753297E-5</v>
      </c>
    </row>
    <row r="150" spans="1:16" x14ac:dyDescent="0.2">
      <c r="A150">
        <v>149</v>
      </c>
      <c r="B150">
        <v>803</v>
      </c>
      <c r="C150">
        <v>125</v>
      </c>
      <c r="D150">
        <v>0.48877061747897599</v>
      </c>
      <c r="E150">
        <v>7.5840080321399697</v>
      </c>
      <c r="F150">
        <v>0.327445489279511</v>
      </c>
      <c r="G150">
        <v>-163.78183247875427</v>
      </c>
      <c r="H150">
        <v>-95.375148116932706</v>
      </c>
      <c r="I150">
        <v>63.569595567728697</v>
      </c>
      <c r="J150">
        <v>25.512395110447599</v>
      </c>
      <c r="K150">
        <v>23.161131487342502</v>
      </c>
      <c r="L150">
        <v>1.6802032443893147E-3</v>
      </c>
      <c r="M150">
        <v>7.5079732164141607E-4</v>
      </c>
      <c r="N150" s="1">
        <v>-2.9848766357868301E-5</v>
      </c>
      <c r="O150" s="1">
        <v>3.3033459132465202E-5</v>
      </c>
      <c r="P150" s="1">
        <v>-3.2899790490913102E-5</v>
      </c>
    </row>
    <row r="151" spans="1:16" x14ac:dyDescent="0.2">
      <c r="A151">
        <v>150</v>
      </c>
      <c r="B151">
        <v>802</v>
      </c>
      <c r="C151">
        <v>125</v>
      </c>
      <c r="D151">
        <v>0.48823001441659297</v>
      </c>
      <c r="E151">
        <v>8.0324560147604593</v>
      </c>
      <c r="F151">
        <v>0.34368853627342</v>
      </c>
      <c r="G151">
        <v>-171.20382179027092</v>
      </c>
      <c r="H151">
        <v>-101.65784544812796</v>
      </c>
      <c r="I151">
        <v>64.688393251128602</v>
      </c>
      <c r="J151">
        <v>26.1442635826856</v>
      </c>
      <c r="K151">
        <v>23.371323646274501</v>
      </c>
      <c r="L151">
        <v>1.6727197997865816E-3</v>
      </c>
      <c r="M151">
        <v>7.453824682922117E-4</v>
      </c>
      <c r="N151" s="1">
        <v>-2.99661115055224E-5</v>
      </c>
      <c r="O151" s="1">
        <v>3.3117151202861397E-5</v>
      </c>
      <c r="P151" s="1">
        <v>-3.3092501323737102E-5</v>
      </c>
    </row>
    <row r="152" spans="1:16" x14ac:dyDescent="0.2">
      <c r="A152">
        <v>151</v>
      </c>
      <c r="B152">
        <v>801</v>
      </c>
      <c r="C152">
        <v>125</v>
      </c>
      <c r="D152">
        <v>0.487688404785181</v>
      </c>
      <c r="E152">
        <v>8.4809392828513506</v>
      </c>
      <c r="F152">
        <v>0.35964733363184298</v>
      </c>
      <c r="G152">
        <v>-178.62330336178846</v>
      </c>
      <c r="H152">
        <v>-107.94130552512681</v>
      </c>
      <c r="I152">
        <v>65.806229347889499</v>
      </c>
      <c r="J152">
        <v>26.776587700278299</v>
      </c>
      <c r="K152">
        <v>23.5812655614818</v>
      </c>
      <c r="L152">
        <v>1.6653983659375986E-3</v>
      </c>
      <c r="M152">
        <v>7.4005909599531342E-4</v>
      </c>
      <c r="N152" s="1">
        <v>-3.0082123298822701E-5</v>
      </c>
      <c r="O152" s="1">
        <v>3.3200508742390202E-5</v>
      </c>
      <c r="P152" s="1">
        <v>-3.3286276221318401E-5</v>
      </c>
    </row>
    <row r="153" spans="1:16" x14ac:dyDescent="0.2">
      <c r="A153">
        <v>152</v>
      </c>
      <c r="B153">
        <v>800</v>
      </c>
      <c r="C153">
        <v>125</v>
      </c>
      <c r="D153">
        <v>0.48714578577086598</v>
      </c>
      <c r="E153">
        <v>8.9292525328362</v>
      </c>
      <c r="F153">
        <v>0.37532315858814702</v>
      </c>
      <c r="G153">
        <v>-186.03684995297181</v>
      </c>
      <c r="H153">
        <v>-114.22267641057482</v>
      </c>
      <c r="I153">
        <v>66.922565075320804</v>
      </c>
      <c r="J153">
        <v>27.409092297256802</v>
      </c>
      <c r="K153">
        <v>23.790838184420501</v>
      </c>
      <c r="L153">
        <v>1.6582395266105609E-3</v>
      </c>
      <c r="M153">
        <v>7.348268849135791E-4</v>
      </c>
      <c r="N153" s="1">
        <v>-3.01967003624899E-5</v>
      </c>
      <c r="O153" s="1">
        <v>3.3283468991334503E-5</v>
      </c>
      <c r="P153" s="1">
        <v>-3.3481064108291701E-5</v>
      </c>
    </row>
    <row r="154" spans="1:16" x14ac:dyDescent="0.2">
      <c r="A154">
        <v>153</v>
      </c>
      <c r="B154">
        <v>799</v>
      </c>
      <c r="C154">
        <v>125</v>
      </c>
      <c r="D154">
        <v>0.48660215454927003</v>
      </c>
      <c r="E154">
        <v>9.3771937534245797</v>
      </c>
      <c r="F154">
        <v>0.39071763187536301</v>
      </c>
      <c r="G154">
        <v>-193.44109306335045</v>
      </c>
      <c r="H154">
        <v>-120.49915214365276</v>
      </c>
      <c r="I154">
        <v>68.036871545177704</v>
      </c>
      <c r="J154">
        <v>28.041506782212998</v>
      </c>
      <c r="K154">
        <v>23.999924724195299</v>
      </c>
      <c r="L154">
        <v>1.6512436086566003E-3</v>
      </c>
      <c r="M154">
        <v>7.2968539656171271E-4</v>
      </c>
      <c r="N154" s="1">
        <v>-3.0309741373415401E-5</v>
      </c>
      <c r="O154" s="1">
        <v>3.3365970593967899E-5</v>
      </c>
      <c r="P154" s="1">
        <v>-3.36768146202747E-5</v>
      </c>
    </row>
    <row r="155" spans="1:16" x14ac:dyDescent="0.2">
      <c r="A155">
        <v>154</v>
      </c>
      <c r="B155">
        <v>798</v>
      </c>
      <c r="C155">
        <v>125</v>
      </c>
      <c r="D155">
        <v>0.48605750828548999</v>
      </c>
      <c r="E155">
        <v>9.8245650240541895</v>
      </c>
      <c r="F155">
        <v>0.40583270767736601</v>
      </c>
      <c r="G155">
        <v>-200.8327361512539</v>
      </c>
      <c r="H155">
        <v>-126.76798381809184</v>
      </c>
      <c r="I155">
        <v>69.148631808583204</v>
      </c>
      <c r="J155">
        <v>28.673566232036201</v>
      </c>
      <c r="K155">
        <v>24.208411096979901</v>
      </c>
      <c r="L155">
        <v>1.6444106855526867E-3</v>
      </c>
      <c r="M155">
        <v>7.2463407697277076E-4</v>
      </c>
      <c r="N155" s="1">
        <v>-3.0421145284275501E-5</v>
      </c>
      <c r="O155" s="1">
        <v>3.34479538187828E-5</v>
      </c>
      <c r="P155" s="1">
        <v>-3.3873478335590598E-5</v>
      </c>
    </row>
    <row r="156" spans="1:16" x14ac:dyDescent="0.2">
      <c r="A156">
        <v>155</v>
      </c>
      <c r="B156">
        <v>797</v>
      </c>
      <c r="C156">
        <v>125</v>
      </c>
      <c r="D156">
        <v>0.48551184413399801</v>
      </c>
      <c r="E156">
        <v>10.2711732545639</v>
      </c>
      <c r="F156">
        <v>0.42067066132676501</v>
      </c>
      <c r="G156">
        <v>-208.20856685104641</v>
      </c>
      <c r="H156">
        <v>-133.02648984263007</v>
      </c>
      <c r="I156">
        <v>70.257342740342494</v>
      </c>
      <c r="J156">
        <v>29.305012405653301</v>
      </c>
      <c r="K156">
        <v>24.416186339616299</v>
      </c>
      <c r="L156">
        <v>1.6377405827528938E-3</v>
      </c>
      <c r="M156">
        <v>7.1967226064869076E-4</v>
      </c>
      <c r="N156" s="1">
        <v>-3.0530811531146998E-5</v>
      </c>
      <c r="O156" s="1">
        <v>3.3529360758905602E-5</v>
      </c>
      <c r="P156" s="1">
        <v>-3.4071006991598597E-5</v>
      </c>
    </row>
    <row r="157" spans="1:16" x14ac:dyDescent="0.2">
      <c r="A157">
        <v>156</v>
      </c>
      <c r="B157">
        <v>796</v>
      </c>
      <c r="C157">
        <v>125</v>
      </c>
      <c r="D157">
        <v>0.48496515923864703</v>
      </c>
      <c r="E157">
        <v>10.716830840815801</v>
      </c>
      <c r="F157">
        <v>0.43523407440227702</v>
      </c>
      <c r="G157">
        <v>-215.56546776905955</v>
      </c>
      <c r="H157">
        <v>-139.27206503209143</v>
      </c>
      <c r="I157">
        <v>71.362516698198206</v>
      </c>
      <c r="J157">
        <v>29.935594643332202</v>
      </c>
      <c r="K157">
        <v>24.623142973200402</v>
      </c>
      <c r="L157">
        <v>1.6312328851457556E-3</v>
      </c>
      <c r="M157">
        <v>7.1479917541178645E-4</v>
      </c>
      <c r="N157" s="1">
        <v>-3.0638640218221103E-5</v>
      </c>
      <c r="O157" s="1">
        <v>3.3610135505585897E-5</v>
      </c>
      <c r="P157" s="1">
        <v>-3.4269353678027803E-5</v>
      </c>
    </row>
    <row r="158" spans="1:16" x14ac:dyDescent="0.2">
      <c r="A158">
        <v>157</v>
      </c>
      <c r="B158">
        <v>795</v>
      </c>
      <c r="C158">
        <v>125</v>
      </c>
      <c r="D158">
        <v>0.48441745073257497</v>
      </c>
      <c r="E158">
        <v>11.1613562503682</v>
      </c>
      <c r="F158">
        <v>0.449525818128932</v>
      </c>
      <c r="G158">
        <v>-222.90042609618146</v>
      </c>
      <c r="H158">
        <v>-145.50218872619448</v>
      </c>
      <c r="I158">
        <v>72.463682993796994</v>
      </c>
      <c r="J158">
        <v>30.565070670569501</v>
      </c>
      <c r="K158">
        <v>24.8291773247314</v>
      </c>
      <c r="L158">
        <v>1.6248869459765869E-3</v>
      </c>
      <c r="M158">
        <v>7.1001394785405404E-4</v>
      </c>
      <c r="N158" s="1">
        <v>-3.0744532283042501E-5</v>
      </c>
      <c r="O158" s="1">
        <v>3.3690224298921102E-5</v>
      </c>
      <c r="P158" s="1">
        <v>-3.4468473011039099E-5</v>
      </c>
    </row>
    <row r="159" spans="1:16" x14ac:dyDescent="0.2">
      <c r="A159">
        <v>158</v>
      </c>
      <c r="B159">
        <v>794</v>
      </c>
      <c r="C159">
        <v>125</v>
      </c>
      <c r="D159">
        <v>0.48386871573818202</v>
      </c>
      <c r="E159">
        <v>11.604574526143701</v>
      </c>
      <c r="F159">
        <v>0.46354903507849798</v>
      </c>
      <c r="G159">
        <v>-230.21054183981883</v>
      </c>
      <c r="H159">
        <v>-151.71443176813693</v>
      </c>
      <c r="I159">
        <v>73.560389146649499</v>
      </c>
      <c r="J159">
        <v>31.1932072906786</v>
      </c>
      <c r="K159">
        <v>25.034189800823601</v>
      </c>
      <c r="L159">
        <v>1.6187018972644669E-3</v>
      </c>
      <c r="M159">
        <v>7.0531560938471942E-4</v>
      </c>
      <c r="N159" s="1">
        <v>-3.0848389639866297E-5</v>
      </c>
      <c r="O159" s="1">
        <v>3.3769575653641801E-5</v>
      </c>
      <c r="P159" s="1">
        <v>-3.4668321285334797E-5</v>
      </c>
    </row>
    <row r="160" spans="1:16" x14ac:dyDescent="0.2">
      <c r="A160">
        <v>159</v>
      </c>
      <c r="B160">
        <v>793</v>
      </c>
      <c r="C160">
        <v>125</v>
      </c>
      <c r="D160">
        <v>0.48331895136707098</v>
      </c>
      <c r="E160">
        <v>12.046317709721301</v>
      </c>
      <c r="F160">
        <v>0.477307119595059</v>
      </c>
      <c r="G160">
        <v>-237.49303470331355</v>
      </c>
      <c r="H160">
        <v>-157.90646236643619</v>
      </c>
      <c r="I160">
        <v>74.652201923972299</v>
      </c>
      <c r="J160">
        <v>31.8197809674684</v>
      </c>
      <c r="K160">
        <v>25.238085113713101</v>
      </c>
      <c r="L160">
        <v>1.6126766614187138E-3</v>
      </c>
      <c r="M160">
        <v>7.0070310273252236E-4</v>
      </c>
      <c r="N160" s="1">
        <v>-3.0950115300094701E-5</v>
      </c>
      <c r="O160" s="1">
        <v>3.3848140459205802E-5</v>
      </c>
      <c r="P160" s="1">
        <v>-3.4868856603021899E-5</v>
      </c>
    </row>
    <row r="161" spans="1:16" x14ac:dyDescent="0.2">
      <c r="A161">
        <v>160</v>
      </c>
      <c r="B161">
        <v>792</v>
      </c>
      <c r="C161">
        <v>125</v>
      </c>
      <c r="D161">
        <v>0.48276815471999501</v>
      </c>
      <c r="E161">
        <v>12.486425194628</v>
      </c>
      <c r="F161">
        <v>0.49080369752477498</v>
      </c>
      <c r="G161">
        <v>-244.74524979101682</v>
      </c>
      <c r="H161">
        <v>-164.07605098433629</v>
      </c>
      <c r="I161">
        <v>75.738708196827304</v>
      </c>
      <c r="J161">
        <v>32.4445783131886</v>
      </c>
      <c r="K161">
        <v>25.440772466873501</v>
      </c>
      <c r="L161">
        <v>1.6068099636349724E-3</v>
      </c>
      <c r="M161">
        <v>6.961752887072088E-4</v>
      </c>
      <c r="N161" s="1">
        <v>-3.1049613474350103E-5</v>
      </c>
      <c r="O161" s="1">
        <v>3.3925872059482797E-5</v>
      </c>
      <c r="P161" s="1">
        <v>-3.5070038984134803E-5</v>
      </c>
    </row>
    <row r="162" spans="1:16" x14ac:dyDescent="0.2">
      <c r="A162">
        <v>161</v>
      </c>
      <c r="B162">
        <v>791</v>
      </c>
      <c r="C162">
        <v>125</v>
      </c>
      <c r="D162">
        <v>0.48221632288681698</v>
      </c>
      <c r="E162">
        <v>12.924743999254201</v>
      </c>
      <c r="F162">
        <v>0.50404260520601296</v>
      </c>
      <c r="G162">
        <v>-251.96466196594932</v>
      </c>
      <c r="H162">
        <v>-170.22107411274229</v>
      </c>
      <c r="I162">
        <v>76.819515584064803</v>
      </c>
      <c r="J162">
        <v>33.067396466608301</v>
      </c>
      <c r="K162">
        <v>25.642165693456899</v>
      </c>
      <c r="L162">
        <v>1.6011003451162379E-3</v>
      </c>
      <c r="M162">
        <v>6.9173095323325307E-4</v>
      </c>
      <c r="N162" s="1">
        <v>-3.1146789651584697E-5</v>
      </c>
      <c r="O162" s="1">
        <v>3.4002726307431303E-5</v>
      </c>
      <c r="P162" s="1">
        <v>-3.5271830453615903E-5</v>
      </c>
    </row>
    <row r="163" spans="1:16" x14ac:dyDescent="0.2">
      <c r="A163">
        <v>162</v>
      </c>
      <c r="B163">
        <v>790</v>
      </c>
      <c r="C163">
        <v>125</v>
      </c>
      <c r="D163">
        <v>0.48166345294643498</v>
      </c>
      <c r="E163">
        <v>13.3611289685362</v>
      </c>
      <c r="F163">
        <v>0.517027868176693</v>
      </c>
      <c r="G163">
        <v>-259.14887901723466</v>
      </c>
      <c r="H163">
        <v>-176.3395170539138</v>
      </c>
      <c r="I163">
        <v>77.894252910852302</v>
      </c>
      <c r="J163">
        <v>33.688043374555797</v>
      </c>
      <c r="K163">
        <v>25.842183353973599</v>
      </c>
      <c r="L163">
        <v>1.5955461767823149E-3</v>
      </c>
      <c r="M163">
        <v>6.8736881450105194E-4</v>
      </c>
      <c r="N163" s="1">
        <v>-3.1241550659230502E-5</v>
      </c>
      <c r="O163" s="1">
        <v>3.4078661599352202E-5</v>
      </c>
      <c r="P163" s="1">
        <v>-3.5474195108948298E-5</v>
      </c>
    </row>
    <row r="164" spans="1:16" x14ac:dyDescent="0.2">
      <c r="A164">
        <v>163</v>
      </c>
      <c r="B164">
        <v>789</v>
      </c>
      <c r="C164">
        <v>125</v>
      </c>
      <c r="D164">
        <v>0.48110954196676597</v>
      </c>
      <c r="E164">
        <v>13.7954429138475</v>
      </c>
      <c r="F164">
        <v>0.52976368002556695</v>
      </c>
      <c r="G164">
        <v>-266.29564379497918</v>
      </c>
      <c r="H164">
        <v>-182.42947584764082</v>
      </c>
      <c r="I164">
        <v>78.962570504997203</v>
      </c>
      <c r="J164">
        <v>34.306337989117402</v>
      </c>
      <c r="K164">
        <v>26.0407487979957</v>
      </c>
      <c r="L164">
        <v>1.590145673144553E-3</v>
      </c>
      <c r="M164">
        <v>6.830875300900158E-4</v>
      </c>
      <c r="N164" s="1">
        <v>-3.1333804705691398E-5</v>
      </c>
      <c r="O164" s="1">
        <v>3.4153638890399098E-5</v>
      </c>
      <c r="P164" s="1">
        <v>-3.5677099169731703E-5</v>
      </c>
    </row>
    <row r="165" spans="1:16" x14ac:dyDescent="0.2">
      <c r="A165">
        <v>164</v>
      </c>
      <c r="B165">
        <v>788</v>
      </c>
      <c r="C165">
        <v>125</v>
      </c>
      <c r="D165">
        <v>0.48055458700466802</v>
      </c>
      <c r="E165">
        <v>14.2275566838878</v>
      </c>
      <c r="F165">
        <v>0.54225438128224901</v>
      </c>
      <c r="G165">
        <v>-273.4028351961843</v>
      </c>
      <c r="H165">
        <v>-188.48915823944992</v>
      </c>
      <c r="I165">
        <v>80.024140314950301</v>
      </c>
      <c r="J165">
        <v>34.922110371256203</v>
      </c>
      <c r="K165">
        <v>26.237790186672999</v>
      </c>
      <c r="L165">
        <v>1.5848969064274957E-3</v>
      </c>
      <c r="M165">
        <v>6.7888570409746789E-4</v>
      </c>
      <c r="N165" s="1">
        <v>-3.1423461404280303E-5</v>
      </c>
      <c r="O165" s="1">
        <v>3.4227621690617602E-5</v>
      </c>
      <c r="P165" s="1">
        <v>-3.5880511007995801E-5</v>
      </c>
    </row>
    <row r="166" spans="1:16" x14ac:dyDescent="0.2">
      <c r="A166">
        <v>165</v>
      </c>
      <c r="B166">
        <v>787</v>
      </c>
      <c r="C166">
        <v>125</v>
      </c>
      <c r="D166">
        <v>0.479998585105882</v>
      </c>
      <c r="E166">
        <v>14.6573491833694</v>
      </c>
      <c r="F166">
        <v>0.55450443889133205</v>
      </c>
      <c r="G166">
        <v>-280.46846828189439</v>
      </c>
      <c r="H166">
        <v>-194.51688392454952</v>
      </c>
      <c r="I166">
        <v>81.078655892172904</v>
      </c>
      <c r="J166">
        <v>35.535201723317499</v>
      </c>
      <c r="K166">
        <v>26.433240485279299</v>
      </c>
      <c r="L166">
        <v>1.5797978205150038E-3</v>
      </c>
      <c r="M166">
        <v>6.7476189408756761E-4</v>
      </c>
      <c r="N166" s="1">
        <v>-3.1510431782378198E-5</v>
      </c>
      <c r="O166" s="1">
        <v>3.4300576045742397E-5</v>
      </c>
      <c r="P166" s="1">
        <v>-3.60844011632211E-5</v>
      </c>
    </row>
    <row r="167" spans="1:16" x14ac:dyDescent="0.2">
      <c r="A167">
        <v>166</v>
      </c>
      <c r="B167">
        <v>786</v>
      </c>
      <c r="C167">
        <v>125</v>
      </c>
      <c r="D167">
        <v>0.47944153330501299</v>
      </c>
      <c r="E167">
        <v>15.6879786686456</v>
      </c>
      <c r="F167">
        <v>0.58220883428283998</v>
      </c>
      <c r="G167">
        <v>-297.51953727080979</v>
      </c>
      <c r="H167">
        <v>-209.00472600204048</v>
      </c>
      <c r="I167">
        <v>83.575312907045898</v>
      </c>
      <c r="J167">
        <v>36.934144445864</v>
      </c>
      <c r="K167">
        <v>26.945621132612899</v>
      </c>
      <c r="L167">
        <v>1.562482186429475E-3</v>
      </c>
      <c r="M167">
        <v>6.6541074484855627E-4</v>
      </c>
      <c r="N167" s="1">
        <v>-3.1720701989157201E-5</v>
      </c>
      <c r="O167" s="1">
        <v>3.4508037230688099E-5</v>
      </c>
      <c r="P167" s="1">
        <v>-3.64318593558063E-5</v>
      </c>
    </row>
    <row r="168" spans="1:16" x14ac:dyDescent="0.2">
      <c r="A168">
        <v>167</v>
      </c>
      <c r="B168">
        <v>785</v>
      </c>
      <c r="C168">
        <v>125</v>
      </c>
      <c r="D168">
        <v>0.47888342862543298</v>
      </c>
      <c r="E168">
        <v>18.035940644808601</v>
      </c>
      <c r="F168">
        <v>0.64065428991040096</v>
      </c>
      <c r="G168">
        <v>-336.45115590853982</v>
      </c>
      <c r="H168">
        <v>-242.03384378029278</v>
      </c>
      <c r="I168">
        <v>89.232487158044705</v>
      </c>
      <c r="J168">
        <v>40.055723894129102</v>
      </c>
      <c r="K168">
        <v>28.1523762953823</v>
      </c>
      <c r="L168">
        <v>1.5207496886049832E-3</v>
      </c>
      <c r="M168">
        <v>6.4565789349838205E-4</v>
      </c>
      <c r="N168" s="1">
        <v>-3.2203041714963701E-5</v>
      </c>
      <c r="O168" s="1">
        <v>3.5009575516108101E-5</v>
      </c>
      <c r="P168" s="1">
        <v>-3.7093485556309297E-5</v>
      </c>
    </row>
    <row r="169" spans="1:16" x14ac:dyDescent="0.2">
      <c r="A169">
        <v>168</v>
      </c>
      <c r="B169">
        <v>784</v>
      </c>
      <c r="C169">
        <v>125</v>
      </c>
      <c r="D169">
        <v>0.47832426807926898</v>
      </c>
      <c r="E169">
        <v>20.4116730227997</v>
      </c>
      <c r="F169">
        <v>0.69493969556976398</v>
      </c>
      <c r="G169">
        <v>-375.81537026339953</v>
      </c>
      <c r="H169">
        <v>-275.44347368455539</v>
      </c>
      <c r="I169">
        <v>94.949632541079396</v>
      </c>
      <c r="J169">
        <v>43.213894391420503</v>
      </c>
      <c r="K169">
        <v>29.3718622679405</v>
      </c>
      <c r="L169">
        <v>1.482043911481986E-3</v>
      </c>
      <c r="M169">
        <v>6.2729818520954267E-4</v>
      </c>
      <c r="N169" s="1">
        <v>-3.2687118347779697E-5</v>
      </c>
      <c r="O169" s="1">
        <v>3.55143837455489E-5</v>
      </c>
      <c r="P169" s="1">
        <v>-3.7763458974823199E-5</v>
      </c>
    </row>
    <row r="170" spans="1:16" x14ac:dyDescent="0.2">
      <c r="A170">
        <v>169</v>
      </c>
      <c r="B170">
        <v>783</v>
      </c>
      <c r="C170">
        <v>125</v>
      </c>
      <c r="D170">
        <v>0.47776404866733202</v>
      </c>
      <c r="E170">
        <v>22.823755966309601</v>
      </c>
      <c r="F170">
        <v>0.74567000899419</v>
      </c>
      <c r="G170">
        <v>-415.75192214918894</v>
      </c>
      <c r="H170">
        <v>-309.35251094322001</v>
      </c>
      <c r="I170">
        <v>100.74665785490799</v>
      </c>
      <c r="J170">
        <v>46.419590417395597</v>
      </c>
      <c r="K170">
        <v>30.608386673745699</v>
      </c>
      <c r="L170">
        <v>1.4459117669286686E-3</v>
      </c>
      <c r="M170">
        <v>6.101278081617822E-4</v>
      </c>
      <c r="N170" s="1">
        <v>-3.3174215887799497E-5</v>
      </c>
      <c r="O170" s="1">
        <v>3.6023984240994401E-5</v>
      </c>
      <c r="P170" s="1">
        <v>-3.8443499475654702E-5</v>
      </c>
    </row>
    <row r="171" spans="1:16" x14ac:dyDescent="0.2">
      <c r="A171">
        <v>170</v>
      </c>
      <c r="B171">
        <v>782</v>
      </c>
      <c r="C171">
        <v>125</v>
      </c>
      <c r="D171">
        <v>0.47720276737904699</v>
      </c>
      <c r="E171">
        <v>25.283855438877101</v>
      </c>
      <c r="F171">
        <v>0.79339722927816503</v>
      </c>
      <c r="G171">
        <v>-456.45100637907279</v>
      </c>
      <c r="H171">
        <v>-343.92270757355851</v>
      </c>
      <c r="I171">
        <v>106.650746614281</v>
      </c>
      <c r="J171">
        <v>49.687728434010502</v>
      </c>
      <c r="K171">
        <v>31.867839344335</v>
      </c>
      <c r="L171">
        <v>1.411936421749654E-3</v>
      </c>
      <c r="M171">
        <v>5.9396050449072224E-4</v>
      </c>
      <c r="N171" s="1">
        <v>-3.3666177526410699E-5</v>
      </c>
      <c r="O171" s="1">
        <v>3.6540503070127499E-5</v>
      </c>
      <c r="P171" s="1">
        <v>-3.9135998464591202E-5</v>
      </c>
    </row>
    <row r="172" spans="1:16" x14ac:dyDescent="0.2">
      <c r="A172">
        <v>171</v>
      </c>
      <c r="B172">
        <v>781</v>
      </c>
      <c r="C172">
        <v>125</v>
      </c>
      <c r="D172">
        <v>0.476640421192431</v>
      </c>
      <c r="E172">
        <v>27.807940954622499</v>
      </c>
      <c r="F172">
        <v>0.83864161211454502</v>
      </c>
      <c r="G172">
        <v>-498.17314590520425</v>
      </c>
      <c r="H172">
        <v>-379.3755733684327</v>
      </c>
      <c r="I172">
        <v>112.699212956507</v>
      </c>
      <c r="J172">
        <v>53.0387743639684</v>
      </c>
      <c r="K172">
        <v>33.1583128632357</v>
      </c>
      <c r="L172">
        <v>1.3797208168855658E-3</v>
      </c>
      <c r="M172">
        <v>5.7862037524904198E-4</v>
      </c>
      <c r="N172" s="1">
        <v>-3.4165621782079697E-5</v>
      </c>
      <c r="O172" s="1">
        <v>3.7066902379488502E-5</v>
      </c>
      <c r="P172" s="1">
        <v>-3.9844280886452999E-5</v>
      </c>
    </row>
    <row r="173" spans="1:16" x14ac:dyDescent="0.2">
      <c r="A173">
        <v>172</v>
      </c>
      <c r="B173">
        <v>780</v>
      </c>
      <c r="C173">
        <v>125</v>
      </c>
      <c r="D173">
        <v>0.47607700707401701</v>
      </c>
      <c r="E173">
        <v>30.418118967732301</v>
      </c>
      <c r="F173">
        <v>0.88191376497668805</v>
      </c>
      <c r="G173">
        <v>-541.27910358493216</v>
      </c>
      <c r="H173">
        <v>-416.01781576894768</v>
      </c>
      <c r="I173">
        <v>118.94379598477001</v>
      </c>
      <c r="J173">
        <v>56.501101210574802</v>
      </c>
      <c r="K173">
        <v>34.491035490909198</v>
      </c>
      <c r="L173">
        <v>1.3488701248589776E-3</v>
      </c>
      <c r="M173">
        <v>5.6393435550733525E-4</v>
      </c>
      <c r="N173" s="1">
        <v>-3.4676265436993401E-5</v>
      </c>
      <c r="O173" s="1">
        <v>3.7607327896654897E-5</v>
      </c>
      <c r="P173" s="1">
        <v>-4.0572997245684601E-5</v>
      </c>
    </row>
    <row r="174" spans="1:16" x14ac:dyDescent="0.2">
      <c r="A174">
        <v>173</v>
      </c>
      <c r="B174">
        <v>779</v>
      </c>
      <c r="C174">
        <v>125</v>
      </c>
      <c r="D174">
        <v>0.475512521978807</v>
      </c>
      <c r="E174">
        <v>33.145459179465902</v>
      </c>
      <c r="F174">
        <v>0.92373995705604395</v>
      </c>
      <c r="G174">
        <v>-586.27597611688475</v>
      </c>
      <c r="H174">
        <v>-454.28054949520305</v>
      </c>
      <c r="I174">
        <v>125.457271461324</v>
      </c>
      <c r="J174">
        <v>60.114620148152099</v>
      </c>
      <c r="K174">
        <v>35.881807348791497</v>
      </c>
      <c r="L174">
        <v>1.3189712224970333E-3</v>
      </c>
      <c r="M174">
        <v>5.4972355927237245E-4</v>
      </c>
      <c r="N174" s="1">
        <v>-3.5203417783318203E-5</v>
      </c>
      <c r="O174" s="1">
        <v>3.81676412703833E-5</v>
      </c>
      <c r="P174" s="1">
        <v>-4.1328724444617503E-5</v>
      </c>
    </row>
    <row r="175" spans="1:16" x14ac:dyDescent="0.2">
      <c r="A175">
        <v>174</v>
      </c>
      <c r="B175">
        <v>778</v>
      </c>
      <c r="C175">
        <v>125</v>
      </c>
      <c r="D175">
        <v>0.47494696285021398</v>
      </c>
      <c r="E175">
        <v>36.034397833402302</v>
      </c>
      <c r="F175">
        <v>0.96469285075841305</v>
      </c>
      <c r="G175">
        <v>-633.88897161704222</v>
      </c>
      <c r="H175">
        <v>-494.78036935872899</v>
      </c>
      <c r="I175">
        <v>132.34373582411899</v>
      </c>
      <c r="J175">
        <v>63.936431545623101</v>
      </c>
      <c r="K175">
        <v>37.353234042392899</v>
      </c>
      <c r="L175">
        <v>1.2895673072050647E-3</v>
      </c>
      <c r="M175">
        <v>5.3579273467537435E-4</v>
      </c>
      <c r="N175" s="1">
        <v>-3.5754743907349502E-5</v>
      </c>
      <c r="O175" s="1">
        <v>3.8756242977243001E-5</v>
      </c>
      <c r="P175" s="1">
        <v>-4.2120895759040202E-5</v>
      </c>
    </row>
    <row r="176" spans="1:16" x14ac:dyDescent="0.2">
      <c r="A176">
        <v>175</v>
      </c>
      <c r="B176">
        <v>777</v>
      </c>
      <c r="C176">
        <v>125</v>
      </c>
      <c r="D176">
        <v>0.47438032662001101</v>
      </c>
      <c r="E176">
        <v>39.149440584480203</v>
      </c>
      <c r="F176">
        <v>1.00542716385095</v>
      </c>
      <c r="G176">
        <v>-685.17058163967806</v>
      </c>
      <c r="H176">
        <v>-538.4122832675647</v>
      </c>
      <c r="I176">
        <v>139.75421897109601</v>
      </c>
      <c r="J176">
        <v>68.049413235897205</v>
      </c>
      <c r="K176">
        <v>38.938117043238798</v>
      </c>
      <c r="L176">
        <v>1.260127944827381E-3</v>
      </c>
      <c r="M176">
        <v>5.2191799434503025E-4</v>
      </c>
      <c r="N176" s="1">
        <v>-3.6341410392008703E-5</v>
      </c>
      <c r="O176" s="1">
        <v>3.9385309163333799E-5</v>
      </c>
      <c r="P176" s="1">
        <v>-4.29632030978334E-5</v>
      </c>
    </row>
    <row r="177" spans="1:16" x14ac:dyDescent="0.2">
      <c r="A177">
        <v>176</v>
      </c>
      <c r="B177">
        <v>776</v>
      </c>
      <c r="C177">
        <v>125</v>
      </c>
      <c r="D177">
        <v>0.47381261020826598</v>
      </c>
      <c r="E177">
        <v>42.584114152766503</v>
      </c>
      <c r="F177">
        <v>1.0467054526578301</v>
      </c>
      <c r="G177">
        <v>-741.64609725504386</v>
      </c>
      <c r="H177">
        <v>-586.47372162010868</v>
      </c>
      <c r="I177">
        <v>147.90740726576601</v>
      </c>
      <c r="J177">
        <v>72.573650077749903</v>
      </c>
      <c r="K177">
        <v>40.683951769464301</v>
      </c>
      <c r="L177">
        <v>1.2300266237717653E-3</v>
      </c>
      <c r="M177">
        <v>5.0783790995994986E-4</v>
      </c>
      <c r="N177" s="1">
        <v>-3.6979566710932799E-5</v>
      </c>
      <c r="O177" s="1">
        <v>4.00723955426304E-5</v>
      </c>
      <c r="P177" s="1">
        <v>-4.3875432591169797E-5</v>
      </c>
    </row>
    <row r="178" spans="1:16" x14ac:dyDescent="0.2">
      <c r="A178">
        <v>177</v>
      </c>
      <c r="B178">
        <v>775</v>
      </c>
      <c r="C178">
        <v>125</v>
      </c>
      <c r="D178">
        <v>0.473243810523307</v>
      </c>
      <c r="E178">
        <v>46.466479942067302</v>
      </c>
      <c r="F178">
        <v>1.08934121416865</v>
      </c>
      <c r="G178">
        <v>-805.40209107379258</v>
      </c>
      <c r="H178">
        <v>-640.74051413518782</v>
      </c>
      <c r="I178">
        <v>157.10189710198199</v>
      </c>
      <c r="J178">
        <v>77.673318833952706</v>
      </c>
      <c r="K178">
        <v>42.655578745846697</v>
      </c>
      <c r="L178">
        <v>1.1985860943788393E-3</v>
      </c>
      <c r="M178">
        <v>4.9327302557032561E-4</v>
      </c>
      <c r="N178" s="1">
        <v>-3.7691063558226399E-5</v>
      </c>
      <c r="O178" s="1">
        <v>4.0841234111289698E-5</v>
      </c>
      <c r="P178" s="1">
        <v>-4.4884454519384802E-5</v>
      </c>
    </row>
    <row r="179" spans="1:16" x14ac:dyDescent="0.2">
      <c r="A179">
        <v>178</v>
      </c>
      <c r="B179">
        <v>774</v>
      </c>
      <c r="C179">
        <v>125</v>
      </c>
      <c r="D179">
        <v>0.47267392446163797</v>
      </c>
      <c r="E179">
        <v>50.932032760986999</v>
      </c>
      <c r="F179">
        <v>1.1338128158980101</v>
      </c>
      <c r="G179">
        <v>-878.64063165227333</v>
      </c>
      <c r="H179">
        <v>-703.08961960234763</v>
      </c>
      <c r="I179">
        <v>167.651145522127</v>
      </c>
      <c r="J179">
        <v>83.521393835589294</v>
      </c>
      <c r="K179">
        <v>44.921024041033903</v>
      </c>
      <c r="L179">
        <v>1.1653973073102919E-3</v>
      </c>
      <c r="M179">
        <v>4.7805869323409882E-4</v>
      </c>
      <c r="N179" s="1">
        <v>-3.8498087855343602E-5</v>
      </c>
      <c r="O179" s="1">
        <v>4.1716011324722198E-5</v>
      </c>
      <c r="P179" s="1">
        <v>-4.60180454148281E-5</v>
      </c>
    </row>
    <row r="180" spans="1:16" x14ac:dyDescent="0.2">
      <c r="A180">
        <v>179</v>
      </c>
      <c r="B180">
        <v>773</v>
      </c>
      <c r="C180">
        <v>125</v>
      </c>
      <c r="D180">
        <v>0.472102948907902</v>
      </c>
      <c r="E180">
        <v>69.950506296679293</v>
      </c>
      <c r="F180">
        <v>1.28089813867953</v>
      </c>
      <c r="G180">
        <v>-1187.9187886099644</v>
      </c>
      <c r="H180">
        <v>-965.67873117681472</v>
      </c>
      <c r="I180">
        <v>212.44122717222001</v>
      </c>
      <c r="J180">
        <v>108.100539641482</v>
      </c>
      <c r="K180">
        <v>54.610514438556599</v>
      </c>
      <c r="L180">
        <v>1.0490640797014648E-3</v>
      </c>
      <c r="M180">
        <v>4.284941002365746E-4</v>
      </c>
      <c r="N180" s="1">
        <v>-4.1990176504972201E-5</v>
      </c>
      <c r="O180" s="1">
        <v>4.5478865838360401E-5</v>
      </c>
      <c r="P180" s="1">
        <v>-5.0358107198932397E-5</v>
      </c>
    </row>
    <row r="181" spans="1:16" x14ac:dyDescent="0.2">
      <c r="A181">
        <v>180</v>
      </c>
      <c r="B181">
        <v>772</v>
      </c>
      <c r="C181">
        <v>125</v>
      </c>
      <c r="D181">
        <v>0.47153088073482102</v>
      </c>
      <c r="E181">
        <v>84.321842069250806</v>
      </c>
      <c r="F181">
        <v>1.3624138947217199</v>
      </c>
      <c r="G181">
        <v>-1421.5635285669227</v>
      </c>
      <c r="H181">
        <v>-1164.3285543728693</v>
      </c>
      <c r="I181">
        <v>246.12796238343299</v>
      </c>
      <c r="J181">
        <v>126.659040922624</v>
      </c>
      <c r="K181">
        <v>61.891501837973898</v>
      </c>
      <c r="L181">
        <v>9.8537038759709044E-4</v>
      </c>
      <c r="M181">
        <v>4.0095378556999838E-4</v>
      </c>
      <c r="N181" s="1">
        <v>-4.4561775307282197E-5</v>
      </c>
      <c r="O181" s="1">
        <v>4.82601914204342E-5</v>
      </c>
      <c r="P181" s="1">
        <v>-5.3640310511108899E-5</v>
      </c>
    </row>
    <row r="182" spans="1:16" x14ac:dyDescent="0.2">
      <c r="A182">
        <v>181</v>
      </c>
      <c r="B182">
        <v>771</v>
      </c>
      <c r="C182">
        <v>125</v>
      </c>
      <c r="D182">
        <v>0.47095771680314102</v>
      </c>
      <c r="E182">
        <v>91.638429700463604</v>
      </c>
      <c r="F182">
        <v>1.3977472743032</v>
      </c>
      <c r="G182">
        <v>-1540.3602663808349</v>
      </c>
      <c r="H182">
        <v>-1265.5581513451878</v>
      </c>
      <c r="I182">
        <v>263.18819120335701</v>
      </c>
      <c r="J182">
        <v>136.131565947686</v>
      </c>
      <c r="K182">
        <v>65.561515579521895</v>
      </c>
      <c r="L182">
        <v>9.5918976433844187E-4</v>
      </c>
      <c r="M182">
        <v>3.8900918899792983E-4</v>
      </c>
      <c r="N182" s="1">
        <v>-4.58223786757809E-5</v>
      </c>
      <c r="O182" s="1">
        <v>4.9637222545300099E-5</v>
      </c>
      <c r="P182" s="1">
        <v>-5.53809296901615E-5</v>
      </c>
    </row>
    <row r="183" spans="1:16" x14ac:dyDescent="0.2">
      <c r="A183">
        <v>182</v>
      </c>
      <c r="B183">
        <v>770</v>
      </c>
      <c r="C183">
        <v>125</v>
      </c>
      <c r="D183">
        <v>0.47038345396155901</v>
      </c>
      <c r="E183">
        <v>95.899783793641902</v>
      </c>
      <c r="F183">
        <v>1.4171826458469601</v>
      </c>
      <c r="G183">
        <v>-1609.4217523538632</v>
      </c>
      <c r="H183">
        <v>-1324.5912003165322</v>
      </c>
      <c r="I183">
        <v>273.05419653671999</v>
      </c>
      <c r="J183">
        <v>141.67157304629899</v>
      </c>
      <c r="K183">
        <v>67.6693184711757</v>
      </c>
      <c r="L183">
        <v>9.4593232277233102E-4</v>
      </c>
      <c r="M183">
        <v>3.8243140722691492E-4</v>
      </c>
      <c r="N183" s="1">
        <v>-4.6515205003116998E-5</v>
      </c>
      <c r="O183" s="1">
        <v>5.0408443051166198E-5</v>
      </c>
      <c r="P183" s="1">
        <v>-5.6456546139429399E-5</v>
      </c>
    </row>
    <row r="184" spans="1:16" x14ac:dyDescent="0.2">
      <c r="A184">
        <v>183</v>
      </c>
      <c r="B184">
        <v>769</v>
      </c>
      <c r="C184">
        <v>125</v>
      </c>
      <c r="D184">
        <v>0.46980808904668597</v>
      </c>
      <c r="E184">
        <v>98.639327109085102</v>
      </c>
      <c r="F184">
        <v>1.4295665137235101</v>
      </c>
      <c r="G184">
        <v>-1653.7105313987681</v>
      </c>
      <c r="H184">
        <v>-1362.6038275703579</v>
      </c>
      <c r="I184">
        <v>279.33857887233501</v>
      </c>
      <c r="J184">
        <v>145.25375309371199</v>
      </c>
      <c r="K184">
        <v>68.999466734964898</v>
      </c>
      <c r="L184">
        <v>9.3841191434312378E-4</v>
      </c>
      <c r="M184">
        <v>3.7823303907300808E-4</v>
      </c>
      <c r="N184" s="1">
        <v>-4.6923760214829697E-5</v>
      </c>
      <c r="O184" s="1">
        <v>5.0878581823308902E-5</v>
      </c>
      <c r="P184" s="1">
        <v>-5.7202092247933602E-5</v>
      </c>
    </row>
    <row r="185" spans="1:16" x14ac:dyDescent="0.2">
      <c r="A185">
        <v>184</v>
      </c>
      <c r="B185">
        <v>768</v>
      </c>
      <c r="C185">
        <v>125</v>
      </c>
      <c r="D185">
        <v>0.46923161888296799</v>
      </c>
      <c r="E185">
        <v>100.60656502711301</v>
      </c>
      <c r="F185">
        <v>1.4385827907866899</v>
      </c>
      <c r="G185">
        <v>-1685.4294870197832</v>
      </c>
      <c r="H185">
        <v>-1389.9538636406237</v>
      </c>
      <c r="I185">
        <v>283.80316444581598</v>
      </c>
      <c r="J185">
        <v>147.842465226511</v>
      </c>
      <c r="K185">
        <v>69.934497806758998</v>
      </c>
      <c r="L185">
        <v>9.3363298213571314E-4</v>
      </c>
      <c r="M185">
        <v>3.7517106171801941E-4</v>
      </c>
      <c r="N185" s="1">
        <v>-4.7185269543394199E-5</v>
      </c>
      <c r="O185" s="1">
        <v>5.1195255652827901E-5</v>
      </c>
      <c r="P185" s="1">
        <v>-5.7780347986430401E-5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1CD1-2AFF-4FA9-A10F-EFA5761B6495}">
  <sheetPr codeName="Sheet6"/>
  <dimension ref="A1:AP10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127</v>
      </c>
      <c r="AK1" t="s">
        <v>128</v>
      </c>
      <c r="AL1" t="s">
        <v>129</v>
      </c>
      <c r="AM1" t="s">
        <v>130</v>
      </c>
      <c r="AN1" t="s">
        <v>131</v>
      </c>
      <c r="AO1" t="s">
        <v>132</v>
      </c>
      <c r="AP1" t="s">
        <v>133</v>
      </c>
    </row>
    <row r="2" spans="1:42" x14ac:dyDescent="0.2">
      <c r="A2">
        <v>21</v>
      </c>
      <c r="B2">
        <v>736</v>
      </c>
      <c r="C2">
        <v>275</v>
      </c>
      <c r="D2">
        <v>0.28667740177377199</v>
      </c>
      <c r="E2">
        <v>4.1323841599797399E-2</v>
      </c>
      <c r="F2">
        <v>3.5792102546814699</v>
      </c>
      <c r="G2">
        <v>-0.52726657089989304</v>
      </c>
      <c r="H2">
        <v>-0.44841351138487195</v>
      </c>
      <c r="I2">
        <v>7.8138095937195604E-2</v>
      </c>
      <c r="J2">
        <v>4.6207630585163403E-2</v>
      </c>
      <c r="K2">
        <v>1.1545519446852099E-2</v>
      </c>
      <c r="L2">
        <v>4.4483614623847823E-5</v>
      </c>
      <c r="M2">
        <v>9.1425918789235784E-7</v>
      </c>
      <c r="N2" s="1">
        <v>5.6943399322362899E-11</v>
      </c>
      <c r="O2" s="1">
        <v>1.1270020347387499E-14</v>
      </c>
      <c r="P2" s="1">
        <v>-3.30296382651354E-14</v>
      </c>
      <c r="Q2">
        <v>50.077586393621999</v>
      </c>
      <c r="R2">
        <v>1.3659574610520499E-2</v>
      </c>
      <c r="S2">
        <v>1.72446480137848</v>
      </c>
      <c r="T2">
        <v>0.49667719140465599</v>
      </c>
      <c r="V2">
        <v>32.039656651575299</v>
      </c>
      <c r="X2">
        <v>15.447730757461599</v>
      </c>
      <c r="AA2">
        <v>0.182391877935692</v>
      </c>
      <c r="AB2">
        <v>1.7832752011535901E-2</v>
      </c>
      <c r="AJ2">
        <v>-1.0841839296641</v>
      </c>
      <c r="AK2">
        <v>0.99102881846538204</v>
      </c>
      <c r="AL2">
        <v>1.0451524076860901</v>
      </c>
      <c r="AM2">
        <v>3.2075398670996201E-2</v>
      </c>
      <c r="AN2">
        <v>-3.1274045984010401E-2</v>
      </c>
      <c r="AO2">
        <v>4.5852695395725299E-2</v>
      </c>
      <c r="AP2">
        <v>1.3486554299234001E-3</v>
      </c>
    </row>
    <row r="3" spans="1:42" x14ac:dyDescent="0.2">
      <c r="A3">
        <v>22</v>
      </c>
      <c r="B3">
        <v>735</v>
      </c>
      <c r="C3">
        <v>275</v>
      </c>
      <c r="D3">
        <v>0.285900411645091</v>
      </c>
      <c r="E3">
        <v>6.8117837547456803E-2</v>
      </c>
      <c r="F3">
        <v>3.5791713790348898</v>
      </c>
      <c r="G3">
        <v>-0.86885587673460352</v>
      </c>
      <c r="H3">
        <v>-0.73908529166092896</v>
      </c>
      <c r="I3">
        <v>0.128721504809477</v>
      </c>
      <c r="J3">
        <v>7.6143816002495202E-2</v>
      </c>
      <c r="K3">
        <v>1.9031733977998101E-2</v>
      </c>
      <c r="L3">
        <v>4.4485818136046945E-5</v>
      </c>
      <c r="M3">
        <v>9.1451447825701202E-7</v>
      </c>
      <c r="N3" s="1">
        <v>9.3015840749124097E-11</v>
      </c>
      <c r="O3" s="1">
        <v>1.8529665673450001E-14</v>
      </c>
      <c r="P3" s="1">
        <v>-4.3620541758618198E-14</v>
      </c>
      <c r="Q3">
        <v>50.1081903298683</v>
      </c>
      <c r="R3">
        <v>1.31259954968704E-2</v>
      </c>
      <c r="S3">
        <v>1.6702664366845501</v>
      </c>
      <c r="T3">
        <v>0.48873986496354399</v>
      </c>
      <c r="V3">
        <v>32.059622536886501</v>
      </c>
      <c r="X3">
        <v>15.4486618968544</v>
      </c>
      <c r="AA3">
        <v>0.193506220684316</v>
      </c>
      <c r="AB3">
        <v>1.7886718561362001E-2</v>
      </c>
      <c r="AJ3">
        <v>-1.083091610219</v>
      </c>
      <c r="AK3">
        <v>0.99055936711328296</v>
      </c>
      <c r="AL3">
        <v>1.04590109611354</v>
      </c>
      <c r="AM3">
        <v>3.0931278158192198E-2</v>
      </c>
      <c r="AN3">
        <v>-3.0161156716537799E-2</v>
      </c>
      <c r="AO3">
        <v>4.45081627657858E-2</v>
      </c>
      <c r="AP3">
        <v>1.35286278473506E-3</v>
      </c>
    </row>
    <row r="4" spans="1:42" x14ac:dyDescent="0.2">
      <c r="A4">
        <v>39</v>
      </c>
      <c r="B4">
        <v>740</v>
      </c>
      <c r="C4">
        <v>250</v>
      </c>
      <c r="D4">
        <v>0.31691309282929903</v>
      </c>
      <c r="E4">
        <v>3.0145099957852101E-2</v>
      </c>
      <c r="F4">
        <v>3.5694727376545501</v>
      </c>
      <c r="G4">
        <v>-0.38693344677996738</v>
      </c>
      <c r="H4">
        <v>-0.32897665415179278</v>
      </c>
      <c r="I4">
        <v>5.7204552759388599E-2</v>
      </c>
      <c r="J4">
        <v>3.3818516498708699E-2</v>
      </c>
      <c r="K4">
        <v>8.44525289123234E-3</v>
      </c>
      <c r="L4">
        <v>4.4514767148767337E-5</v>
      </c>
      <c r="M4">
        <v>9.1237213493683874E-7</v>
      </c>
      <c r="N4" s="1">
        <v>3.8906489405215297E-11</v>
      </c>
      <c r="O4" s="1">
        <v>8.3492972055569594E-15</v>
      </c>
      <c r="P4" s="1">
        <v>-1.16963772284209E-14</v>
      </c>
      <c r="Q4">
        <v>50.276681385288697</v>
      </c>
      <c r="R4">
        <v>1.37247594600294E-2</v>
      </c>
      <c r="S4">
        <v>1.6372787346644</v>
      </c>
      <c r="T4">
        <v>0.48276417947278699</v>
      </c>
      <c r="V4">
        <v>31.521079111623099</v>
      </c>
      <c r="X4">
        <v>15.8836022647536</v>
      </c>
      <c r="AA4">
        <v>0.16721678888914701</v>
      </c>
      <c r="AB4">
        <v>1.7652775848188799E-2</v>
      </c>
      <c r="AJ4">
        <v>-1.0627444417556</v>
      </c>
      <c r="AK4">
        <v>0.99169972896127301</v>
      </c>
      <c r="AL4">
        <v>1.0253822319674299</v>
      </c>
      <c r="AM4">
        <v>3.0200202043712099E-2</v>
      </c>
      <c r="AN4">
        <v>-2.9397259992291001E-2</v>
      </c>
      <c r="AO4">
        <v>4.3528200002039101E-2</v>
      </c>
      <c r="AP4">
        <v>1.3313387734364801E-3</v>
      </c>
    </row>
    <row r="5" spans="1:42" x14ac:dyDescent="0.2">
      <c r="A5">
        <v>40</v>
      </c>
      <c r="B5">
        <v>739</v>
      </c>
      <c r="C5">
        <v>250</v>
      </c>
      <c r="D5">
        <v>0.31616904609000601</v>
      </c>
      <c r="E5">
        <v>5.7216602459277101E-2</v>
      </c>
      <c r="F5">
        <v>3.5695704168580802</v>
      </c>
      <c r="G5">
        <v>-0.73414743501590674</v>
      </c>
      <c r="H5">
        <v>-0.62432273756054735</v>
      </c>
      <c r="I5">
        <v>0.108506345359244</v>
      </c>
      <c r="J5">
        <v>6.4170915403858303E-2</v>
      </c>
      <c r="K5">
        <v>1.6028988303202801E-2</v>
      </c>
      <c r="L5">
        <v>4.4519476266369697E-5</v>
      </c>
      <c r="M5">
        <v>9.1260448854949974E-7</v>
      </c>
      <c r="N5" s="1">
        <v>7.3347456139573095E-11</v>
      </c>
      <c r="O5" s="1">
        <v>1.5810544614281999E-14</v>
      </c>
      <c r="P5" s="1">
        <v>-1.6393326860269801E-14</v>
      </c>
      <c r="Q5">
        <v>50.3025159856995</v>
      </c>
      <c r="R5">
        <v>1.3201862076261599E-2</v>
      </c>
      <c r="S5">
        <v>1.58957121004738</v>
      </c>
      <c r="T5">
        <v>0.47564226608694299</v>
      </c>
      <c r="V5">
        <v>31.5461699029117</v>
      </c>
      <c r="X5">
        <v>15.882516514782701</v>
      </c>
      <c r="AA5">
        <v>0.17266874117294301</v>
      </c>
      <c r="AB5">
        <v>1.77135172224493E-2</v>
      </c>
      <c r="AJ5">
        <v>-1.06222983261796</v>
      </c>
      <c r="AK5">
        <v>0.99146703431014405</v>
      </c>
      <c r="AL5">
        <v>1.0263064336163299</v>
      </c>
      <c r="AM5">
        <v>2.9196363902722799E-2</v>
      </c>
      <c r="AN5">
        <v>-2.8423931728129501E-2</v>
      </c>
      <c r="AO5">
        <v>4.2347872152525501E-2</v>
      </c>
      <c r="AP5">
        <v>1.3360603643595499E-3</v>
      </c>
    </row>
    <row r="6" spans="1:42" x14ac:dyDescent="0.2">
      <c r="A6">
        <v>59</v>
      </c>
      <c r="B6">
        <v>744</v>
      </c>
      <c r="C6">
        <v>225</v>
      </c>
      <c r="D6">
        <v>0.34691097674876298</v>
      </c>
      <c r="E6">
        <v>2.8736659247272301E-2</v>
      </c>
      <c r="F6">
        <v>3.5593354934098298</v>
      </c>
      <c r="G6">
        <v>-0.3710791218247263</v>
      </c>
      <c r="H6">
        <v>-0.31540973245754089</v>
      </c>
      <c r="I6">
        <v>5.4730756886580599E-2</v>
      </c>
      <c r="J6">
        <v>3.23333630916205E-2</v>
      </c>
      <c r="K6">
        <v>8.0736023059581399E-3</v>
      </c>
      <c r="L6">
        <v>4.4507151499329533E-5</v>
      </c>
      <c r="M6">
        <v>9.1049030645400108E-7</v>
      </c>
      <c r="N6" s="1">
        <v>3.4819561685766598E-11</v>
      </c>
      <c r="O6" s="1">
        <v>8.0515129799650203E-15</v>
      </c>
      <c r="P6" s="1">
        <v>8.0382130047989702E-15</v>
      </c>
      <c r="Q6">
        <v>50.4900110837496</v>
      </c>
      <c r="R6">
        <v>1.3600384247292501E-2</v>
      </c>
      <c r="S6">
        <v>1.52745274603587</v>
      </c>
      <c r="T6">
        <v>0.46620110844437901</v>
      </c>
      <c r="V6">
        <v>30.9882607919386</v>
      </c>
      <c r="X6">
        <v>16.3168017881137</v>
      </c>
      <c r="AA6">
        <v>0.180264728916466</v>
      </c>
      <c r="AB6">
        <v>1.74073685539314E-2</v>
      </c>
      <c r="AJ6">
        <v>-1.0392331171349101</v>
      </c>
      <c r="AK6">
        <v>0.99119884706386197</v>
      </c>
      <c r="AL6">
        <v>1.00526309137589</v>
      </c>
      <c r="AM6">
        <v>2.7853574779718199E-2</v>
      </c>
      <c r="AN6">
        <v>-2.7060108519036501E-2</v>
      </c>
      <c r="AO6">
        <v>4.0668510848181898E-2</v>
      </c>
      <c r="AP6">
        <v>1.3092015862904501E-3</v>
      </c>
    </row>
    <row r="7" spans="1:42" x14ac:dyDescent="0.2">
      <c r="A7">
        <v>60</v>
      </c>
      <c r="B7">
        <v>743</v>
      </c>
      <c r="C7">
        <v>225</v>
      </c>
      <c r="D7">
        <v>0.34619938001279399</v>
      </c>
      <c r="E7">
        <v>5.2424238423086501E-2</v>
      </c>
      <c r="F7">
        <v>3.5594611579587498</v>
      </c>
      <c r="G7">
        <v>-0.67671232597967645</v>
      </c>
      <c r="H7">
        <v>-0.57531994849905777</v>
      </c>
      <c r="I7">
        <v>9.9780915692189706E-2</v>
      </c>
      <c r="J7">
        <v>5.8969269710985199E-2</v>
      </c>
      <c r="K7">
        <v>1.4728138922339E-2</v>
      </c>
      <c r="L7">
        <v>4.4511053185941478E-5</v>
      </c>
      <c r="M7">
        <v>9.1071526717006794E-7</v>
      </c>
      <c r="N7" s="1">
        <v>6.3088827661503496E-11</v>
      </c>
      <c r="O7" s="1">
        <v>1.4651560657650099E-14</v>
      </c>
      <c r="P7" s="1">
        <v>1.9962284819710999E-14</v>
      </c>
      <c r="Q7">
        <v>50.513484379858802</v>
      </c>
      <c r="R7">
        <v>1.3080855590910601E-2</v>
      </c>
      <c r="S7">
        <v>1.4831744198441299</v>
      </c>
      <c r="T7">
        <v>0.45938025688105999</v>
      </c>
      <c r="V7">
        <v>31.013386117675999</v>
      </c>
      <c r="X7">
        <v>16.313662359061599</v>
      </c>
      <c r="AA7">
        <v>0.186370312909522</v>
      </c>
      <c r="AB7">
        <v>1.7461298177873199E-2</v>
      </c>
      <c r="AJ7">
        <v>-1.0387789545095301</v>
      </c>
      <c r="AK7">
        <v>0.99094004885275599</v>
      </c>
      <c r="AL7">
        <v>1.0061880039886399</v>
      </c>
      <c r="AM7">
        <v>2.69267348529862E-2</v>
      </c>
      <c r="AN7">
        <v>-2.61634953305462E-2</v>
      </c>
      <c r="AO7">
        <v>3.95742611510378E-2</v>
      </c>
      <c r="AP7">
        <v>1.3134009946583901E-3</v>
      </c>
    </row>
    <row r="8" spans="1:42" x14ac:dyDescent="0.2">
      <c r="A8">
        <v>84</v>
      </c>
      <c r="B8">
        <v>748</v>
      </c>
      <c r="C8">
        <v>200</v>
      </c>
      <c r="D8">
        <v>0.37667384811242399</v>
      </c>
      <c r="E8">
        <v>3.5707003462018702E-2</v>
      </c>
      <c r="F8">
        <v>3.5492834622433902</v>
      </c>
      <c r="G8">
        <v>-0.46381563772853496</v>
      </c>
      <c r="H8">
        <v>-0.39412010469002723</v>
      </c>
      <c r="I8">
        <v>6.8252003171431902E-2</v>
      </c>
      <c r="J8">
        <v>4.0287206205031401E-2</v>
      </c>
      <c r="K8">
        <v>1.00603414299993E-2</v>
      </c>
      <c r="L8">
        <v>4.4474139067123419E-5</v>
      </c>
      <c r="M8">
        <v>9.0854266938767486E-7</v>
      </c>
      <c r="N8" s="1">
        <v>4.1288976044453E-11</v>
      </c>
      <c r="O8" s="1">
        <v>1.00942632028719E-14</v>
      </c>
      <c r="P8" s="1">
        <v>3.4416764727522598E-14</v>
      </c>
      <c r="Q8">
        <v>50.705367317949801</v>
      </c>
      <c r="R8">
        <v>1.33263088535444E-2</v>
      </c>
      <c r="S8">
        <v>1.41045831970615</v>
      </c>
      <c r="T8">
        <v>0.44911444089333802</v>
      </c>
      <c r="V8">
        <v>30.4633632107981</v>
      </c>
      <c r="X8">
        <v>16.7438730628492</v>
      </c>
      <c r="AA8">
        <v>0.19729414374343299</v>
      </c>
      <c r="AB8">
        <v>1.7203195206207899E-2</v>
      </c>
      <c r="AJ8">
        <v>-1.01581575877309</v>
      </c>
      <c r="AK8">
        <v>0.99053215034646003</v>
      </c>
      <c r="AL8">
        <v>0.98555967307653403</v>
      </c>
      <c r="AM8">
        <v>2.53594446097598E-2</v>
      </c>
      <c r="AN8">
        <v>-2.4584073346015901E-2</v>
      </c>
      <c r="AO8">
        <v>3.7658221423333103E-2</v>
      </c>
      <c r="AP8">
        <v>1.2903426630272101E-3</v>
      </c>
    </row>
    <row r="9" spans="1:42" x14ac:dyDescent="0.2">
      <c r="A9">
        <v>112</v>
      </c>
      <c r="B9">
        <v>753</v>
      </c>
      <c r="C9">
        <v>175</v>
      </c>
      <c r="D9">
        <v>0.40685133752375702</v>
      </c>
      <c r="E9">
        <v>3.2616410504377198E-2</v>
      </c>
      <c r="F9">
        <v>3.5391204129843401</v>
      </c>
      <c r="G9">
        <v>-0.42627236826293191</v>
      </c>
      <c r="H9">
        <v>-0.36202803847481979</v>
      </c>
      <c r="I9">
        <v>6.2607152743860001E-2</v>
      </c>
      <c r="J9">
        <v>3.6904818991730502E-2</v>
      </c>
      <c r="K9">
        <v>9.2159651829629603E-3</v>
      </c>
      <c r="L9">
        <v>4.4414861721124685E-5</v>
      </c>
      <c r="M9">
        <v>9.0634092490677039E-7</v>
      </c>
      <c r="N9" s="1">
        <v>3.68591649782275E-11</v>
      </c>
      <c r="O9" s="1">
        <v>9.2953298790418499E-15</v>
      </c>
      <c r="P9" s="1">
        <v>5.2222164335423801E-14</v>
      </c>
      <c r="Q9">
        <v>50.9073922484204</v>
      </c>
      <c r="R9">
        <v>1.33058891053177E-2</v>
      </c>
      <c r="S9">
        <v>1.3170519909712499</v>
      </c>
      <c r="T9">
        <v>0.43670685592048902</v>
      </c>
      <c r="V9">
        <v>29.924135562677101</v>
      </c>
      <c r="X9">
        <v>17.1702799005167</v>
      </c>
      <c r="AA9">
        <v>0.21411321247309301</v>
      </c>
      <c r="AB9">
        <v>1.70143399155155E-2</v>
      </c>
      <c r="AJ9">
        <v>-0.99263422036997995</v>
      </c>
      <c r="AK9">
        <v>0.98987709239541899</v>
      </c>
      <c r="AL9">
        <v>0.96545364537516998</v>
      </c>
      <c r="AM9">
        <v>2.3352801601551901E-2</v>
      </c>
      <c r="AN9">
        <v>-2.2580746203845301E-2</v>
      </c>
      <c r="AO9">
        <v>3.5258757276583598E-2</v>
      </c>
      <c r="AP9">
        <v>1.27266992510019E-3</v>
      </c>
    </row>
    <row r="10" spans="1:42" x14ac:dyDescent="0.2">
      <c r="A10">
        <v>145</v>
      </c>
      <c r="B10">
        <v>760</v>
      </c>
      <c r="C10">
        <v>150</v>
      </c>
      <c r="D10">
        <v>0.43796205778444602</v>
      </c>
      <c r="E10">
        <v>1.0546757046876999E-2</v>
      </c>
      <c r="F10">
        <v>3.52854762933196</v>
      </c>
      <c r="G10">
        <v>-0.13876094811322401</v>
      </c>
      <c r="H10">
        <v>-0.1177318642708402</v>
      </c>
      <c r="I10">
        <v>2.0354337552517799E-2</v>
      </c>
      <c r="J10">
        <v>1.19710726975789E-2</v>
      </c>
      <c r="K10">
        <v>2.9889796468111499E-3</v>
      </c>
      <c r="L10">
        <v>4.4329686717236131E-5</v>
      </c>
      <c r="M10">
        <v>9.0372797519647561E-7</v>
      </c>
      <c r="N10" s="1">
        <v>1.1989266012264701E-11</v>
      </c>
      <c r="O10" s="1">
        <v>3.0319638066137E-15</v>
      </c>
      <c r="P10" s="1">
        <v>2.27791742963462E-14</v>
      </c>
      <c r="Q10">
        <v>51.090139254293497</v>
      </c>
      <c r="R10">
        <v>1.38739285369479E-2</v>
      </c>
      <c r="S10">
        <v>1.2635467999736401</v>
      </c>
      <c r="T10">
        <v>0.43270015223734798</v>
      </c>
      <c r="V10">
        <v>29.349264531283499</v>
      </c>
      <c r="X10">
        <v>17.607338892687999</v>
      </c>
      <c r="AA10">
        <v>0.226295183861317</v>
      </c>
      <c r="AB10">
        <v>1.6841257125518299E-2</v>
      </c>
      <c r="AJ10">
        <v>-0.969520851260951</v>
      </c>
      <c r="AK10">
        <v>0.98941718763869801</v>
      </c>
      <c r="AL10">
        <v>0.94416891732362196</v>
      </c>
      <c r="AM10">
        <v>2.2153287102998302E-2</v>
      </c>
      <c r="AN10">
        <v>-2.1350599269357201E-2</v>
      </c>
      <c r="AO10">
        <v>3.3875976887323203E-2</v>
      </c>
      <c r="AP10">
        <v>1.2560815776665E-3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7399-A176-4CED-ACF0-D84E6073DC7D}">
  <sheetPr codeName="Sheet7"/>
  <dimension ref="A1:AN2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123</v>
      </c>
      <c r="AK1" t="s">
        <v>124</v>
      </c>
      <c r="AL1" t="s">
        <v>125</v>
      </c>
      <c r="AM1" t="s">
        <v>126</v>
      </c>
      <c r="AN1" t="s">
        <v>80</v>
      </c>
    </row>
    <row r="2" spans="1:40" x14ac:dyDescent="0.2">
      <c r="A2">
        <v>19</v>
      </c>
      <c r="B2">
        <v>738</v>
      </c>
      <c r="C2">
        <v>275</v>
      </c>
      <c r="D2">
        <v>0.28822677149780002</v>
      </c>
      <c r="E2">
        <v>1.85878804812061E-2</v>
      </c>
      <c r="F2">
        <v>4.6744377768887899</v>
      </c>
      <c r="G2">
        <v>-0.17451687201042435</v>
      </c>
      <c r="H2">
        <v>-0.14163250537724073</v>
      </c>
      <c r="I2">
        <v>3.25217491303798E-2</v>
      </c>
      <c r="J2">
        <v>1.6971697784260199E-2</v>
      </c>
      <c r="K2">
        <v>3.9764954350462803E-3</v>
      </c>
      <c r="L2">
        <v>3.1831086837205762E-5</v>
      </c>
      <c r="M2">
        <v>5.5354096912875265E-7</v>
      </c>
      <c r="N2" s="1">
        <v>2.2015091033442601E-11</v>
      </c>
      <c r="O2" s="1">
        <v>8.7137264898859807E-15</v>
      </c>
      <c r="P2" s="1">
        <v>2.5048376622006799E-14</v>
      </c>
      <c r="R2">
        <v>47.227248963010901</v>
      </c>
      <c r="S2">
        <v>2.09667467227092</v>
      </c>
      <c r="T2">
        <v>9.7211470555366208</v>
      </c>
      <c r="V2">
        <v>38.383149360311698</v>
      </c>
      <c r="W2">
        <v>0.64956298461414397</v>
      </c>
      <c r="X2">
        <v>1.9222169642556199</v>
      </c>
      <c r="AJ2">
        <v>7.0915444771905603E-2</v>
      </c>
      <c r="AK2">
        <v>9.0515862613681997E-2</v>
      </c>
      <c r="AL2">
        <v>0.79437666792762096</v>
      </c>
      <c r="AM2">
        <v>1.36156032433271E-2</v>
      </c>
      <c r="AN2">
        <v>3.05764214434638E-2</v>
      </c>
    </row>
    <row r="3" spans="1:40" x14ac:dyDescent="0.2">
      <c r="A3">
        <v>20</v>
      </c>
      <c r="B3">
        <v>737</v>
      </c>
      <c r="C3">
        <v>275</v>
      </c>
      <c r="D3">
        <v>0.28745285353660599</v>
      </c>
      <c r="E3">
        <v>2.9448532121552799E-2</v>
      </c>
      <c r="F3">
        <v>4.6645390393047004</v>
      </c>
      <c r="G3">
        <v>-0.2784146386912934</v>
      </c>
      <c r="H3">
        <v>-0.22623469195207788</v>
      </c>
      <c r="I3">
        <v>5.1655641973187602E-2</v>
      </c>
      <c r="J3">
        <v>2.6920966695264399E-2</v>
      </c>
      <c r="K3">
        <v>6.3132780910206401E-3</v>
      </c>
      <c r="L3">
        <v>3.1605138229077781E-5</v>
      </c>
      <c r="M3">
        <v>5.5307297589481032E-7</v>
      </c>
      <c r="N3" s="1">
        <v>3.4572139600472602E-11</v>
      </c>
      <c r="O3" s="1">
        <v>1.3812686153612801E-14</v>
      </c>
      <c r="P3" s="1">
        <v>4.4310231724058303E-14</v>
      </c>
      <c r="R3">
        <v>47.341644172558098</v>
      </c>
      <c r="S3">
        <v>2.0565259930353399</v>
      </c>
      <c r="T3">
        <v>9.9022466359578196</v>
      </c>
      <c r="V3">
        <v>37.352741428921597</v>
      </c>
      <c r="W3">
        <v>0.97218332774343896</v>
      </c>
      <c r="X3">
        <v>2.3746584417836099</v>
      </c>
      <c r="AJ3">
        <v>8.7325123163131096E-2</v>
      </c>
      <c r="AK3">
        <v>9.1905298608226896E-2</v>
      </c>
      <c r="AL3">
        <v>0.77056270404697502</v>
      </c>
      <c r="AM3">
        <v>2.03125018378232E-2</v>
      </c>
      <c r="AN3">
        <v>2.9894372343842599E-2</v>
      </c>
    </row>
    <row r="4" spans="1:40" x14ac:dyDescent="0.2">
      <c r="A4">
        <v>21</v>
      </c>
      <c r="B4">
        <v>736</v>
      </c>
      <c r="C4">
        <v>275</v>
      </c>
      <c r="D4">
        <v>0.28667740177377199</v>
      </c>
      <c r="E4">
        <v>3.8582673804689202E-2</v>
      </c>
      <c r="F4">
        <v>4.6662376696565104</v>
      </c>
      <c r="G4">
        <v>-0.36514270947714617</v>
      </c>
      <c r="H4">
        <v>-0.29679343111141721</v>
      </c>
      <c r="I4">
        <v>6.7729552956179995E-2</v>
      </c>
      <c r="J4">
        <v>3.5227692551321299E-2</v>
      </c>
      <c r="K4">
        <v>8.2684759191722201E-3</v>
      </c>
      <c r="L4">
        <v>3.1487566768441239E-5</v>
      </c>
      <c r="M4">
        <v>5.5293034979126389E-7</v>
      </c>
      <c r="N4" s="1">
        <v>4.72146340895235E-11</v>
      </c>
      <c r="O4" s="1">
        <v>1.8086620444470201E-14</v>
      </c>
      <c r="P4" s="1">
        <v>5.6288008603570098E-14</v>
      </c>
      <c r="R4">
        <v>47.341629691439998</v>
      </c>
      <c r="S4">
        <v>2.0093667428459798</v>
      </c>
      <c r="T4">
        <v>10.011251535859101</v>
      </c>
      <c r="V4">
        <v>36.8903714972177</v>
      </c>
      <c r="W4">
        <v>1.2990834252240799</v>
      </c>
      <c r="X4">
        <v>2.44829710741298</v>
      </c>
      <c r="AJ4">
        <v>9.0003760697545801E-2</v>
      </c>
      <c r="AK4">
        <v>9.2886728346078196E-2</v>
      </c>
      <c r="AL4">
        <v>0.76077636860457498</v>
      </c>
      <c r="AM4">
        <v>2.7133809537850599E-2</v>
      </c>
      <c r="AN4">
        <v>2.9199332813949899E-2</v>
      </c>
    </row>
    <row r="5" spans="1:40" x14ac:dyDescent="0.2">
      <c r="A5">
        <v>22</v>
      </c>
      <c r="B5">
        <v>735</v>
      </c>
      <c r="C5">
        <v>275</v>
      </c>
      <c r="D5">
        <v>0.285900411645091</v>
      </c>
      <c r="E5">
        <v>4.4176379867787802E-2</v>
      </c>
      <c r="F5">
        <v>4.6696227574448699</v>
      </c>
      <c r="G5">
        <v>-0.418020116965934</v>
      </c>
      <c r="H5">
        <v>-0.33981542887988847</v>
      </c>
      <c r="I5">
        <v>7.7572472435694498E-2</v>
      </c>
      <c r="J5">
        <v>4.0281229253715897E-2</v>
      </c>
      <c r="K5">
        <v>9.4603744590195295E-3</v>
      </c>
      <c r="L5">
        <v>3.1405562458022576E-5</v>
      </c>
      <c r="M5">
        <v>5.5285468046933181E-7</v>
      </c>
      <c r="N5" s="1">
        <v>5.5231722365398103E-11</v>
      </c>
      <c r="O5" s="1">
        <v>2.0690035640561001E-14</v>
      </c>
      <c r="P5" s="1">
        <v>6.3067727068498296E-14</v>
      </c>
      <c r="R5">
        <v>47.319021368329402</v>
      </c>
      <c r="S5">
        <v>1.9642597300017099</v>
      </c>
      <c r="T5">
        <v>10.1062491439416</v>
      </c>
      <c r="V5">
        <v>36.575252820144399</v>
      </c>
      <c r="W5">
        <v>1.5826795253085799</v>
      </c>
      <c r="X5">
        <v>2.4525374122741801</v>
      </c>
      <c r="AJ5">
        <v>9.0177075011928898E-2</v>
      </c>
      <c r="AK5">
        <v>9.3786269218599602E-2</v>
      </c>
      <c r="AL5">
        <v>0.75442363992129902</v>
      </c>
      <c r="AM5">
        <v>3.3063641324829703E-2</v>
      </c>
      <c r="AN5">
        <v>2.8549374523342101E-2</v>
      </c>
    </row>
    <row r="6" spans="1:40" x14ac:dyDescent="0.2">
      <c r="A6">
        <v>37</v>
      </c>
      <c r="B6">
        <v>742</v>
      </c>
      <c r="C6">
        <v>250</v>
      </c>
      <c r="D6">
        <v>0.318396788651924</v>
      </c>
      <c r="E6">
        <v>1.1900681407162401E-2</v>
      </c>
      <c r="F6">
        <v>4.6720384677501201</v>
      </c>
      <c r="G6">
        <v>-0.11199287138748111</v>
      </c>
      <c r="H6">
        <v>-9.0795555272703971E-2</v>
      </c>
      <c r="I6">
        <v>2.0880969427943801E-2</v>
      </c>
      <c r="J6">
        <v>1.08747585674022E-2</v>
      </c>
      <c r="K6">
        <v>2.5472139172889301E-3</v>
      </c>
      <c r="L6">
        <v>3.1802911195270412E-5</v>
      </c>
      <c r="M6">
        <v>5.5381145199402305E-7</v>
      </c>
      <c r="N6" s="1">
        <v>1.3993555573243299E-11</v>
      </c>
      <c r="O6" s="1">
        <v>5.5747639596738801E-15</v>
      </c>
      <c r="P6" s="1">
        <v>1.6866832869406501E-14</v>
      </c>
      <c r="R6">
        <v>47.222064560274802</v>
      </c>
      <c r="S6">
        <v>2.0597200452493798</v>
      </c>
      <c r="T6">
        <v>9.8421097389066698</v>
      </c>
      <c r="V6">
        <v>38.122927229642499</v>
      </c>
      <c r="W6">
        <v>0.73763966179558804</v>
      </c>
      <c r="X6">
        <v>2.0155387641309201</v>
      </c>
      <c r="AJ6">
        <v>7.4321836716484194E-2</v>
      </c>
      <c r="AK6">
        <v>9.1597208429123597E-2</v>
      </c>
      <c r="AL6">
        <v>0.78860398475168803</v>
      </c>
      <c r="AM6">
        <v>1.54542072595112E-2</v>
      </c>
      <c r="AN6">
        <v>3.0022762843192601E-2</v>
      </c>
    </row>
    <row r="7" spans="1:40" x14ac:dyDescent="0.2">
      <c r="A7">
        <v>38</v>
      </c>
      <c r="B7">
        <v>741</v>
      </c>
      <c r="C7">
        <v>250</v>
      </c>
      <c r="D7">
        <v>0.31765567223783697</v>
      </c>
      <c r="E7">
        <v>2.4345503454523101E-2</v>
      </c>
      <c r="F7">
        <v>4.6629381886278596</v>
      </c>
      <c r="G7">
        <v>-0.23060838475697851</v>
      </c>
      <c r="H7">
        <v>-0.18718277664121102</v>
      </c>
      <c r="I7">
        <v>4.2819709230160603E-2</v>
      </c>
      <c r="J7">
        <v>2.2270076876513799E-2</v>
      </c>
      <c r="K7">
        <v>5.2210650173098502E-3</v>
      </c>
      <c r="L7">
        <v>3.1583439074181262E-5</v>
      </c>
      <c r="M7">
        <v>5.5335328976339737E-7</v>
      </c>
      <c r="N7" s="1">
        <v>2.8296168302484301E-11</v>
      </c>
      <c r="O7" s="1">
        <v>1.14089420187013E-14</v>
      </c>
      <c r="P7" s="1">
        <v>3.8253362740462902E-14</v>
      </c>
      <c r="R7">
        <v>47.325303756363901</v>
      </c>
      <c r="S7">
        <v>2.0226721100510598</v>
      </c>
      <c r="T7">
        <v>10.0199423910926</v>
      </c>
      <c r="V7">
        <v>37.131625707339197</v>
      </c>
      <c r="W7">
        <v>1.0597535103924101</v>
      </c>
      <c r="X7">
        <v>2.4407025247607499</v>
      </c>
      <c r="AJ7">
        <v>8.9727151558368398E-2</v>
      </c>
      <c r="AK7">
        <v>9.2970038660412493E-2</v>
      </c>
      <c r="AL7">
        <v>0.76577369369676995</v>
      </c>
      <c r="AM7">
        <v>2.21355892870806E-2</v>
      </c>
      <c r="AN7">
        <v>2.9393526797367599E-2</v>
      </c>
    </row>
    <row r="8" spans="1:40" x14ac:dyDescent="0.2">
      <c r="A8">
        <v>39</v>
      </c>
      <c r="B8">
        <v>740</v>
      </c>
      <c r="C8">
        <v>250</v>
      </c>
      <c r="D8">
        <v>0.31691309282929903</v>
      </c>
      <c r="E8">
        <v>3.35965274567121E-2</v>
      </c>
      <c r="F8">
        <v>4.6628642510013698</v>
      </c>
      <c r="G8">
        <v>-0.31882938167082842</v>
      </c>
      <c r="H8">
        <v>-0.25890288859417243</v>
      </c>
      <c r="I8">
        <v>5.9148687831669398E-2</v>
      </c>
      <c r="J8">
        <v>3.0707881736175901E-2</v>
      </c>
      <c r="K8">
        <v>7.2051266449580003E-3</v>
      </c>
      <c r="L8">
        <v>3.1455344007263847E-5</v>
      </c>
      <c r="M8">
        <v>5.531585369534369E-7</v>
      </c>
      <c r="N8" s="1">
        <v>3.9892984255604103E-11</v>
      </c>
      <c r="O8" s="1">
        <v>1.57356859350778E-14</v>
      </c>
      <c r="P8" s="1">
        <v>5.30677209906566E-14</v>
      </c>
      <c r="R8">
        <v>47.3377330643848</v>
      </c>
      <c r="S8">
        <v>1.9807163164458801</v>
      </c>
      <c r="T8">
        <v>10.142493094715499</v>
      </c>
      <c r="V8">
        <v>36.592526824982002</v>
      </c>
      <c r="W8">
        <v>1.37788931716962</v>
      </c>
      <c r="X8">
        <v>2.5686413823019598</v>
      </c>
      <c r="AJ8">
        <v>9.4359033989713695E-2</v>
      </c>
      <c r="AK8">
        <v>9.4035857268771894E-2</v>
      </c>
      <c r="AL8">
        <v>0.75408423146016001</v>
      </c>
      <c r="AM8">
        <v>2.8758851469022899E-2</v>
      </c>
      <c r="AN8">
        <v>2.8762025812331199E-2</v>
      </c>
    </row>
    <row r="9" spans="1:40" x14ac:dyDescent="0.2">
      <c r="A9">
        <v>40</v>
      </c>
      <c r="B9">
        <v>739</v>
      </c>
      <c r="C9">
        <v>250</v>
      </c>
      <c r="D9">
        <v>0.31616904609000601</v>
      </c>
      <c r="E9">
        <v>3.9962907137870103E-2</v>
      </c>
      <c r="F9">
        <v>4.6662510467279601</v>
      </c>
      <c r="G9">
        <v>-0.37920113551973694</v>
      </c>
      <c r="H9">
        <v>-0.30796638756645728</v>
      </c>
      <c r="I9">
        <v>7.0379635383371802E-2</v>
      </c>
      <c r="J9">
        <v>3.6479858314357502E-2</v>
      </c>
      <c r="K9">
        <v>8.5642428445620502E-3</v>
      </c>
      <c r="L9">
        <v>3.1375742129345807E-5</v>
      </c>
      <c r="M9">
        <v>5.5307590186377623E-7</v>
      </c>
      <c r="N9" s="1">
        <v>4.8324582729671899E-11</v>
      </c>
      <c r="O9" s="1">
        <v>1.8698907831074701E-14</v>
      </c>
      <c r="P9" s="1">
        <v>6.2200820495205294E-14</v>
      </c>
      <c r="R9">
        <v>47.311887043799302</v>
      </c>
      <c r="S9">
        <v>1.93856462289694</v>
      </c>
      <c r="T9">
        <v>10.241022570640601</v>
      </c>
      <c r="V9">
        <v>36.269871651734498</v>
      </c>
      <c r="W9">
        <v>1.6654045770027199</v>
      </c>
      <c r="X9">
        <v>2.5732495339258801</v>
      </c>
      <c r="AJ9">
        <v>9.45450978387464E-2</v>
      </c>
      <c r="AK9">
        <v>9.4966228876741707E-2</v>
      </c>
      <c r="AL9">
        <v>0.74756778843039096</v>
      </c>
      <c r="AM9">
        <v>3.47659467290269E-2</v>
      </c>
      <c r="AN9">
        <v>2.81549381250937E-2</v>
      </c>
    </row>
    <row r="10" spans="1:40" x14ac:dyDescent="0.2">
      <c r="A10">
        <v>57</v>
      </c>
      <c r="B10">
        <v>746</v>
      </c>
      <c r="C10">
        <v>225</v>
      </c>
      <c r="D10">
        <v>0.34832998086640898</v>
      </c>
      <c r="E10">
        <v>9.0549355033507795E-3</v>
      </c>
      <c r="F10">
        <v>4.6673554724314599</v>
      </c>
      <c r="G10">
        <v>-8.5559765152694728E-2</v>
      </c>
      <c r="H10">
        <v>-6.9308992065450895E-2</v>
      </c>
      <c r="I10">
        <v>1.5945418326295199E-2</v>
      </c>
      <c r="J10">
        <v>8.2833093677935708E-3</v>
      </c>
      <c r="K10">
        <v>1.9400569673416301E-3</v>
      </c>
      <c r="L10">
        <v>3.1714754331725462E-5</v>
      </c>
      <c r="M10">
        <v>5.5394312492323642E-7</v>
      </c>
      <c r="N10" s="1">
        <v>1.0533866250411899E-11</v>
      </c>
      <c r="O10" s="1">
        <v>4.2386097586362604E-15</v>
      </c>
      <c r="P10" s="1">
        <v>1.3855719812617101E-14</v>
      </c>
      <c r="R10">
        <v>47.240673067719101</v>
      </c>
      <c r="S10">
        <v>2.0107041464848598</v>
      </c>
      <c r="T10">
        <v>10.0186139286873</v>
      </c>
      <c r="V10">
        <v>37.5898146511826</v>
      </c>
      <c r="W10">
        <v>0.91957014533230796</v>
      </c>
      <c r="X10">
        <v>2.2206240605937202</v>
      </c>
      <c r="AJ10">
        <v>8.1780023882021893E-2</v>
      </c>
      <c r="AK10">
        <v>9.3121205495253004E-2</v>
      </c>
      <c r="AL10">
        <v>0.776586478674262</v>
      </c>
      <c r="AM10">
        <v>1.92412928109808E-2</v>
      </c>
      <c r="AN10">
        <v>2.9270999137482202E-2</v>
      </c>
    </row>
    <row r="11" spans="1:40" x14ac:dyDescent="0.2">
      <c r="A11">
        <v>58</v>
      </c>
      <c r="B11">
        <v>745</v>
      </c>
      <c r="C11">
        <v>225</v>
      </c>
      <c r="D11">
        <v>0.347621175661739</v>
      </c>
      <c r="E11">
        <v>2.0565158218297599E-2</v>
      </c>
      <c r="F11">
        <v>4.6595893177675602</v>
      </c>
      <c r="G11">
        <v>-0.19544417319269988</v>
      </c>
      <c r="H11">
        <v>-0.15849393174974971</v>
      </c>
      <c r="I11">
        <v>3.6291549813829101E-2</v>
      </c>
      <c r="J11">
        <v>1.88271893717269E-2</v>
      </c>
      <c r="K11">
        <v>4.4135130407051597E-3</v>
      </c>
      <c r="L11">
        <v>3.151157629799565E-5</v>
      </c>
      <c r="M11">
        <v>5.5352281863088639E-7</v>
      </c>
      <c r="N11" s="1">
        <v>2.34446612226309E-11</v>
      </c>
      <c r="O11" s="1">
        <v>9.6279584640850506E-15</v>
      </c>
      <c r="P11" s="1">
        <v>3.4647242583882102E-14</v>
      </c>
      <c r="R11">
        <v>47.326864933870603</v>
      </c>
      <c r="S11">
        <v>1.97473054836684</v>
      </c>
      <c r="T11">
        <v>10.1917246871052</v>
      </c>
      <c r="V11">
        <v>36.671811364216403</v>
      </c>
      <c r="W11">
        <v>1.23500293883181</v>
      </c>
      <c r="X11">
        <v>2.5998655276089901</v>
      </c>
      <c r="AJ11">
        <v>9.5489997603347102E-2</v>
      </c>
      <c r="AK11">
        <v>9.4476421820805401E-2</v>
      </c>
      <c r="AL11">
        <v>0.75559105387007897</v>
      </c>
      <c r="AM11">
        <v>2.5772240863580199E-2</v>
      </c>
      <c r="AN11">
        <v>2.8670285842187899E-2</v>
      </c>
    </row>
    <row r="12" spans="1:40" x14ac:dyDescent="0.2">
      <c r="A12">
        <v>59</v>
      </c>
      <c r="B12">
        <v>744</v>
      </c>
      <c r="C12">
        <v>225</v>
      </c>
      <c r="D12">
        <v>0.34691097674876298</v>
      </c>
      <c r="E12">
        <v>2.9885648387917602E-2</v>
      </c>
      <c r="F12">
        <v>4.6606122566067496</v>
      </c>
      <c r="G12">
        <v>-0.28438496735203289</v>
      </c>
      <c r="H12">
        <v>-0.23069811066715173</v>
      </c>
      <c r="I12">
        <v>5.2781651363988699E-2</v>
      </c>
      <c r="J12">
        <v>2.73344262239557E-2</v>
      </c>
      <c r="K12">
        <v>6.4123867729079E-3</v>
      </c>
      <c r="L12">
        <v>3.1399007045527345E-5</v>
      </c>
      <c r="M12">
        <v>5.5335541020093961E-7</v>
      </c>
      <c r="N12" s="1">
        <v>3.4576867921368799E-11</v>
      </c>
      <c r="O12" s="1">
        <v>1.3980489177611E-14</v>
      </c>
      <c r="P12" s="1">
        <v>5.0661773183172497E-14</v>
      </c>
      <c r="R12">
        <v>47.324356268250902</v>
      </c>
      <c r="S12">
        <v>1.93356296483574</v>
      </c>
      <c r="T12">
        <v>10.3133924150219</v>
      </c>
      <c r="V12">
        <v>36.185663572010696</v>
      </c>
      <c r="W12">
        <v>1.5515675643461699</v>
      </c>
      <c r="X12">
        <v>2.69145721553447</v>
      </c>
      <c r="AJ12">
        <v>9.8806262262655195E-2</v>
      </c>
      <c r="AK12">
        <v>9.5558052275514005E-2</v>
      </c>
      <c r="AL12">
        <v>0.74521395639130505</v>
      </c>
      <c r="AM12">
        <v>3.2362709580521502E-2</v>
      </c>
      <c r="AN12">
        <v>2.8059019490003601E-2</v>
      </c>
    </row>
    <row r="13" spans="1:40" x14ac:dyDescent="0.2">
      <c r="A13">
        <v>60</v>
      </c>
      <c r="B13">
        <v>743</v>
      </c>
      <c r="C13">
        <v>225</v>
      </c>
      <c r="D13">
        <v>0.34619938001279399</v>
      </c>
      <c r="E13">
        <v>3.6269661156553903E-2</v>
      </c>
      <c r="F13">
        <v>4.6639941592872702</v>
      </c>
      <c r="G13">
        <v>-0.34508305926864746</v>
      </c>
      <c r="H13">
        <v>-0.27997246690128219</v>
      </c>
      <c r="I13">
        <v>6.4075768702814798E-2</v>
      </c>
      <c r="J13">
        <v>3.3134313799388998E-2</v>
      </c>
      <c r="K13">
        <v>7.7765237086181299E-3</v>
      </c>
      <c r="L13">
        <v>3.1326105309617612E-5</v>
      </c>
      <c r="M13">
        <v>5.5327312579853479E-7</v>
      </c>
      <c r="N13" s="1">
        <v>4.2354639853288898E-11</v>
      </c>
      <c r="O13" s="1">
        <v>1.6948145986086799E-14</v>
      </c>
      <c r="P13" s="1">
        <v>6.1251921774224701E-14</v>
      </c>
      <c r="R13">
        <v>47.294793062268901</v>
      </c>
      <c r="S13">
        <v>1.8930141576711299</v>
      </c>
      <c r="T13">
        <v>10.416608634874001</v>
      </c>
      <c r="V13">
        <v>35.864708755492899</v>
      </c>
      <c r="W13">
        <v>1.8357393280416501</v>
      </c>
      <c r="X13">
        <v>2.69513606165129</v>
      </c>
      <c r="AJ13">
        <v>9.8959085124690899E-2</v>
      </c>
      <c r="AK13">
        <v>9.6531727962998706E-2</v>
      </c>
      <c r="AL13">
        <v>0.73873679928570501</v>
      </c>
      <c r="AM13">
        <v>3.8296861338249499E-2</v>
      </c>
      <c r="AN13">
        <v>2.7475526288355E-2</v>
      </c>
    </row>
    <row r="14" spans="1:40" x14ac:dyDescent="0.2">
      <c r="A14">
        <v>82</v>
      </c>
      <c r="B14">
        <v>750</v>
      </c>
      <c r="C14">
        <v>200</v>
      </c>
      <c r="D14">
        <v>0.37802912573913899</v>
      </c>
      <c r="E14">
        <v>1.11571364065833E-2</v>
      </c>
      <c r="F14">
        <v>4.6603771858696001</v>
      </c>
      <c r="G14">
        <v>-0.10606038842170352</v>
      </c>
      <c r="H14">
        <v>-8.5866875441403936E-2</v>
      </c>
      <c r="I14">
        <v>1.97366104484187E-2</v>
      </c>
      <c r="J14">
        <v>1.02195149082195E-2</v>
      </c>
      <c r="K14">
        <v>2.39404150385339E-3</v>
      </c>
      <c r="L14">
        <v>3.1553326865369177E-5</v>
      </c>
      <c r="M14">
        <v>5.5389236278839713E-7</v>
      </c>
      <c r="N14" s="1">
        <v>1.26378334222641E-11</v>
      </c>
      <c r="O14" s="1">
        <v>5.2174727646895204E-15</v>
      </c>
      <c r="P14" s="1">
        <v>1.9118682009937501E-14</v>
      </c>
      <c r="R14">
        <v>47.2767309053811</v>
      </c>
      <c r="S14">
        <v>1.9510598581688701</v>
      </c>
      <c r="T14">
        <v>10.272491024949399</v>
      </c>
      <c r="V14">
        <v>36.714853934055199</v>
      </c>
      <c r="W14">
        <v>1.2336866880464601</v>
      </c>
      <c r="X14">
        <v>2.5511775893988502</v>
      </c>
      <c r="AJ14">
        <v>9.3750856607798E-2</v>
      </c>
      <c r="AK14">
        <v>9.5275026926921497E-2</v>
      </c>
      <c r="AL14">
        <v>0.75687438321156297</v>
      </c>
      <c r="AM14">
        <v>2.5758266109089701E-2</v>
      </c>
      <c r="AN14">
        <v>2.83414671446275E-2</v>
      </c>
    </row>
    <row r="15" spans="1:40" x14ac:dyDescent="0.2">
      <c r="A15">
        <v>83</v>
      </c>
      <c r="B15">
        <v>749</v>
      </c>
      <c r="C15">
        <v>200</v>
      </c>
      <c r="D15">
        <v>0.37735214988015597</v>
      </c>
      <c r="E15">
        <v>1.9837742394406999E-2</v>
      </c>
      <c r="F15">
        <v>4.6543917658771798</v>
      </c>
      <c r="G15">
        <v>-0.18946251805476078</v>
      </c>
      <c r="H15">
        <v>-0.1535321071046562</v>
      </c>
      <c r="I15">
        <v>3.5151798610873697E-2</v>
      </c>
      <c r="J15">
        <v>1.8179699768833501E-2</v>
      </c>
      <c r="K15">
        <v>4.2621556998798001E-3</v>
      </c>
      <c r="L15">
        <v>3.1383094352312476E-5</v>
      </c>
      <c r="M15">
        <v>5.5354703900321993E-7</v>
      </c>
      <c r="N15" s="1">
        <v>2.1682516599769499E-11</v>
      </c>
      <c r="O15" s="1">
        <v>9.2754985140980997E-15</v>
      </c>
      <c r="P15" s="1">
        <v>3.7094417477771799E-14</v>
      </c>
      <c r="R15">
        <v>47.340579965496602</v>
      </c>
      <c r="S15">
        <v>1.91709169598742</v>
      </c>
      <c r="T15">
        <v>10.4341397285319</v>
      </c>
      <c r="V15">
        <v>35.916362099762502</v>
      </c>
      <c r="W15">
        <v>1.5273568066577801</v>
      </c>
      <c r="X15">
        <v>2.8644697035636502</v>
      </c>
      <c r="AJ15">
        <v>0.10503377489955799</v>
      </c>
      <c r="AK15">
        <v>9.6562865645202695E-2</v>
      </c>
      <c r="AL15">
        <v>0.73879599219388103</v>
      </c>
      <c r="AM15">
        <v>3.18201658834147E-2</v>
      </c>
      <c r="AN15">
        <v>2.7787201377942099E-2</v>
      </c>
    </row>
    <row r="16" spans="1:40" x14ac:dyDescent="0.2">
      <c r="A16">
        <v>84</v>
      </c>
      <c r="B16">
        <v>748</v>
      </c>
      <c r="C16">
        <v>200</v>
      </c>
      <c r="D16">
        <v>0.37667384811242399</v>
      </c>
      <c r="E16">
        <v>2.89111527117503E-2</v>
      </c>
      <c r="F16">
        <v>4.6596008765177297</v>
      </c>
      <c r="G16">
        <v>-0.27587811305640103</v>
      </c>
      <c r="H16">
        <v>-0.2235555071751944</v>
      </c>
      <c r="I16">
        <v>5.1238903081042501E-2</v>
      </c>
      <c r="J16">
        <v>2.6452590281569901E-2</v>
      </c>
      <c r="K16">
        <v>6.2046414441737597E-3</v>
      </c>
      <c r="L16">
        <v>3.1318282518746272E-5</v>
      </c>
      <c r="M16">
        <v>5.5348969674332517E-7</v>
      </c>
      <c r="N16" s="1">
        <v>3.2417791440356301E-11</v>
      </c>
      <c r="O16" s="1">
        <v>1.34995523157124E-14</v>
      </c>
      <c r="P16" s="1">
        <v>5.2769053740073997E-14</v>
      </c>
      <c r="R16">
        <v>47.291799886595904</v>
      </c>
      <c r="S16">
        <v>1.87477526527031</v>
      </c>
      <c r="T16">
        <v>10.537299483824199</v>
      </c>
      <c r="V16">
        <v>35.634852124158002</v>
      </c>
      <c r="W16">
        <v>1.8426002072879499</v>
      </c>
      <c r="X16">
        <v>2.8186730328633698</v>
      </c>
      <c r="AJ16">
        <v>0.10341252004012801</v>
      </c>
      <c r="AK16">
        <v>9.7572290650010093E-2</v>
      </c>
      <c r="AL16">
        <v>0.73341676032017</v>
      </c>
      <c r="AM16">
        <v>3.8409329897548299E-2</v>
      </c>
      <c r="AN16">
        <v>2.71890990921426E-2</v>
      </c>
    </row>
    <row r="17" spans="1:40" x14ac:dyDescent="0.2">
      <c r="A17">
        <v>110</v>
      </c>
      <c r="B17">
        <v>755</v>
      </c>
      <c r="C17">
        <v>175</v>
      </c>
      <c r="D17">
        <v>0.40814132179156798</v>
      </c>
      <c r="E17">
        <v>8.2517270069394598E-3</v>
      </c>
      <c r="F17">
        <v>4.6566759154571997</v>
      </c>
      <c r="G17">
        <v>-7.8743291573979773E-2</v>
      </c>
      <c r="H17">
        <v>-6.367454168583872E-2</v>
      </c>
      <c r="I17">
        <v>1.4656178464369E-2</v>
      </c>
      <c r="J17">
        <v>7.5661350934296597E-3</v>
      </c>
      <c r="K17">
        <v>1.7720208914579899E-3</v>
      </c>
      <c r="L17">
        <v>3.1472206952417422E-5</v>
      </c>
      <c r="M17">
        <v>5.5396117278410219E-7</v>
      </c>
      <c r="N17" s="1">
        <v>9.0515336770642595E-12</v>
      </c>
      <c r="O17" s="1">
        <v>3.8533212088578003E-15</v>
      </c>
      <c r="P17" s="1">
        <v>1.5364180793940098E-14</v>
      </c>
      <c r="R17">
        <v>47.265337819039097</v>
      </c>
      <c r="S17">
        <v>1.9073839518696201</v>
      </c>
      <c r="T17">
        <v>10.482507069147299</v>
      </c>
      <c r="V17">
        <v>36.163589017205702</v>
      </c>
      <c r="W17">
        <v>1.44862329604535</v>
      </c>
      <c r="X17">
        <v>2.7325588466928501</v>
      </c>
      <c r="AJ17">
        <v>0.10030571012324201</v>
      </c>
      <c r="AK17">
        <v>9.7115836158583699E-2</v>
      </c>
      <c r="AL17">
        <v>0.74468928833695103</v>
      </c>
      <c r="AM17">
        <v>3.0212648091309399E-2</v>
      </c>
      <c r="AN17">
        <v>2.7676517289912599E-2</v>
      </c>
    </row>
    <row r="18" spans="1:40" x14ac:dyDescent="0.2">
      <c r="A18">
        <v>111</v>
      </c>
      <c r="B18">
        <v>754</v>
      </c>
      <c r="C18">
        <v>175</v>
      </c>
      <c r="D18">
        <v>0.40749695760112897</v>
      </c>
      <c r="E18">
        <v>1.63943118187144E-2</v>
      </c>
      <c r="F18">
        <v>4.6516146875962399</v>
      </c>
      <c r="G18">
        <v>-0.15709186101218262</v>
      </c>
      <c r="H18">
        <v>-0.12713834660355661</v>
      </c>
      <c r="I18">
        <v>2.9161772290927201E-2</v>
      </c>
      <c r="J18">
        <v>1.503812380977E-2</v>
      </c>
      <c r="K18">
        <v>3.52443461459321E-3</v>
      </c>
      <c r="L18">
        <v>3.1319915157009475E-5</v>
      </c>
      <c r="M18">
        <v>5.5365356838275048E-7</v>
      </c>
      <c r="N18" s="1">
        <v>1.72192882424478E-11</v>
      </c>
      <c r="O18" s="1">
        <v>7.6535021322110507E-15</v>
      </c>
      <c r="P18" s="1">
        <v>3.3037414668804299E-14</v>
      </c>
      <c r="R18">
        <v>47.317439906754203</v>
      </c>
      <c r="S18">
        <v>1.8747820875511401</v>
      </c>
      <c r="T18">
        <v>10.638629295922</v>
      </c>
      <c r="V18">
        <v>35.423797916117202</v>
      </c>
      <c r="W18">
        <v>1.73317420891886</v>
      </c>
      <c r="X18">
        <v>3.0121765847364301</v>
      </c>
      <c r="AJ18">
        <v>0.110355927232116</v>
      </c>
      <c r="AK18">
        <v>9.83715848711956E-2</v>
      </c>
      <c r="AL18">
        <v>0.72804430003060805</v>
      </c>
      <c r="AM18">
        <v>3.6077351468344898E-2</v>
      </c>
      <c r="AN18">
        <v>2.71508363977346E-2</v>
      </c>
    </row>
    <row r="19" spans="1:40" x14ac:dyDescent="0.2">
      <c r="A19">
        <v>112</v>
      </c>
      <c r="B19">
        <v>753</v>
      </c>
      <c r="C19">
        <v>175</v>
      </c>
      <c r="D19">
        <v>0.40685133752375702</v>
      </c>
      <c r="E19">
        <v>2.5196655185397401E-2</v>
      </c>
      <c r="F19">
        <v>4.6572963441012103</v>
      </c>
      <c r="G19">
        <v>-0.24115659803663395</v>
      </c>
      <c r="H19">
        <v>-0.19516166903754076</v>
      </c>
      <c r="I19">
        <v>4.4822812453435799E-2</v>
      </c>
      <c r="J19">
        <v>2.30765038621932E-2</v>
      </c>
      <c r="K19">
        <v>5.4101464291209898E-3</v>
      </c>
      <c r="L19">
        <v>3.1268078795750218E-5</v>
      </c>
      <c r="M19">
        <v>5.5361051353525642E-7</v>
      </c>
      <c r="N19" s="1">
        <v>2.70079234812198E-11</v>
      </c>
      <c r="O19" s="1">
        <v>1.1744950406865901E-14</v>
      </c>
      <c r="P19" s="1">
        <v>4.9794846700518701E-14</v>
      </c>
      <c r="R19">
        <v>47.259848438144999</v>
      </c>
      <c r="S19">
        <v>1.83402559025033</v>
      </c>
      <c r="T19">
        <v>10.7430571636346</v>
      </c>
      <c r="V19">
        <v>35.172451418500899</v>
      </c>
      <c r="W19">
        <v>2.04190076460729</v>
      </c>
      <c r="X19">
        <v>2.9487166248616501</v>
      </c>
      <c r="AJ19">
        <v>0.108105452886781</v>
      </c>
      <c r="AK19">
        <v>9.9405681050209804E-2</v>
      </c>
      <c r="AL19">
        <v>0.72337692162862999</v>
      </c>
      <c r="AM19">
        <v>4.2533036383626897E-2</v>
      </c>
      <c r="AN19">
        <v>2.6578908050751401E-2</v>
      </c>
    </row>
    <row r="20" spans="1:40" x14ac:dyDescent="0.2">
      <c r="A20">
        <v>145</v>
      </c>
      <c r="B20">
        <v>760</v>
      </c>
      <c r="C20">
        <v>150</v>
      </c>
      <c r="D20">
        <v>0.43796205778444602</v>
      </c>
      <c r="E20">
        <v>1.4111526254083901E-2</v>
      </c>
      <c r="F20">
        <v>4.6516961690225402</v>
      </c>
      <c r="G20">
        <v>-0.1355298524749359</v>
      </c>
      <c r="H20">
        <v>-0.1094881920609965</v>
      </c>
      <c r="I20">
        <v>2.5206078898455501E-2</v>
      </c>
      <c r="J20">
        <v>1.2951749013339399E-2</v>
      </c>
      <c r="K20">
        <v>3.0336302590134802E-3</v>
      </c>
      <c r="L20">
        <v>3.1275771955230602E-5</v>
      </c>
      <c r="M20">
        <v>5.537386105422027E-7</v>
      </c>
      <c r="N20" s="1">
        <v>1.43573740966103E-11</v>
      </c>
      <c r="O20" s="1">
        <v>6.5722192488856199E-15</v>
      </c>
      <c r="P20" s="1">
        <v>3.0112228216015303E-14</v>
      </c>
      <c r="R20">
        <v>47.249346497703698</v>
      </c>
      <c r="S20">
        <v>1.83138590237151</v>
      </c>
      <c r="T20">
        <v>10.870839055047099</v>
      </c>
      <c r="V20">
        <v>34.968820479119103</v>
      </c>
      <c r="W20">
        <v>1.99571470017163</v>
      </c>
      <c r="X20">
        <v>3.0838933655867602</v>
      </c>
      <c r="AJ20">
        <v>0.11295399028842899</v>
      </c>
      <c r="AK20">
        <v>0.100492591823025</v>
      </c>
      <c r="AL20">
        <v>0.71850642664610598</v>
      </c>
      <c r="AM20">
        <v>4.1531524683959001E-2</v>
      </c>
      <c r="AN20">
        <v>2.65154665584794E-2</v>
      </c>
    </row>
    <row r="21" spans="1:40" x14ac:dyDescent="0.2">
      <c r="A21">
        <v>184</v>
      </c>
      <c r="B21">
        <v>768</v>
      </c>
      <c r="C21">
        <v>125</v>
      </c>
      <c r="D21">
        <v>0.46923161888296799</v>
      </c>
      <c r="E21">
        <v>6.9681487192576903E-3</v>
      </c>
      <c r="F21">
        <v>4.6469294317563303</v>
      </c>
      <c r="G21">
        <v>-6.7227725199758739E-2</v>
      </c>
      <c r="H21">
        <v>-5.4197997465305479E-2</v>
      </c>
      <c r="I21">
        <v>1.25147459390608E-2</v>
      </c>
      <c r="J21">
        <v>6.4080566634543102E-3</v>
      </c>
      <c r="K21">
        <v>1.49951679309751E-3</v>
      </c>
      <c r="L21">
        <v>3.1224697485583536E-5</v>
      </c>
      <c r="M21">
        <v>5.5366128903405979E-7</v>
      </c>
      <c r="N21" s="1">
        <v>6.56521399160811E-12</v>
      </c>
      <c r="O21" s="1">
        <v>3.2384529596949399E-15</v>
      </c>
      <c r="P21" s="1">
        <v>1.6388945382162798E-14</v>
      </c>
      <c r="R21">
        <v>47.208104970736301</v>
      </c>
      <c r="S21">
        <v>1.8071281343957599</v>
      </c>
      <c r="T21">
        <v>11.1290935436579</v>
      </c>
      <c r="V21">
        <v>34.391013118214303</v>
      </c>
      <c r="W21">
        <v>2.1849499834750001</v>
      </c>
      <c r="X21">
        <v>3.2797102495204999</v>
      </c>
      <c r="AJ21">
        <v>0.119973324242034</v>
      </c>
      <c r="AK21">
        <v>0.102749038039915</v>
      </c>
      <c r="AL21">
        <v>0.70573496341818298</v>
      </c>
      <c r="AM21">
        <v>4.5411715559663203E-2</v>
      </c>
      <c r="AN21">
        <v>2.61309587402027E-2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449A7-CF35-4E38-AF35-03C458FFE423}">
  <sheetPr codeName="Sheet8"/>
  <dimension ref="A1:AN3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101</v>
      </c>
      <c r="AN1" t="s">
        <v>122</v>
      </c>
    </row>
    <row r="2" spans="1:40" x14ac:dyDescent="0.2">
      <c r="A2">
        <v>19</v>
      </c>
      <c r="B2">
        <v>738</v>
      </c>
      <c r="C2">
        <v>275</v>
      </c>
      <c r="D2">
        <v>0.28822677149780002</v>
      </c>
      <c r="E2">
        <v>0.364624434513525</v>
      </c>
      <c r="F2">
        <v>4.9474200577048002</v>
      </c>
      <c r="G2">
        <v>-2.4230920198103991</v>
      </c>
      <c r="H2">
        <v>-1.7754940101419094</v>
      </c>
      <c r="I2">
        <v>0.64045691506550795</v>
      </c>
      <c r="J2">
        <v>0.32276057661941099</v>
      </c>
      <c r="K2">
        <v>7.3699914351457105E-2</v>
      </c>
      <c r="L2">
        <v>3.5317744864863441E-5</v>
      </c>
      <c r="M2">
        <v>4.0947544141359196E-7</v>
      </c>
      <c r="N2" s="1">
        <v>1.4256497324758599E-9</v>
      </c>
      <c r="O2" s="1">
        <v>1.7702436874709501E-13</v>
      </c>
      <c r="P2">
        <v>0</v>
      </c>
      <c r="R2">
        <v>9.1509147631164804</v>
      </c>
      <c r="S2">
        <v>1.6689278149918301</v>
      </c>
      <c r="T2">
        <v>49.727851101726699</v>
      </c>
      <c r="V2">
        <v>38.744592185296497</v>
      </c>
      <c r="X2">
        <v>0.70771413486842605</v>
      </c>
      <c r="AJ2">
        <v>0</v>
      </c>
      <c r="AK2">
        <v>-2.6927039420639801E-3</v>
      </c>
      <c r="AL2">
        <v>0.70404645830120804</v>
      </c>
      <c r="AM2">
        <v>3.9700021235090199E-2</v>
      </c>
      <c r="AN2">
        <v>0.25894622440576498</v>
      </c>
    </row>
    <row r="3" spans="1:40" x14ac:dyDescent="0.2">
      <c r="A3">
        <v>20</v>
      </c>
      <c r="B3">
        <v>737</v>
      </c>
      <c r="C3">
        <v>275</v>
      </c>
      <c r="D3">
        <v>0.28745285353660599</v>
      </c>
      <c r="E3">
        <v>0.48099620525599801</v>
      </c>
      <c r="F3">
        <v>4.9428599377089997</v>
      </c>
      <c r="G3">
        <v>-3.20201425384418</v>
      </c>
      <c r="H3">
        <v>-2.3484886070092177</v>
      </c>
      <c r="I3">
        <v>0.84494941032021198</v>
      </c>
      <c r="J3">
        <v>0.42598356320946601</v>
      </c>
      <c r="K3">
        <v>9.73113159825722E-2</v>
      </c>
      <c r="L3">
        <v>3.5715832482574892E-5</v>
      </c>
      <c r="M3">
        <v>4.1549750633344589E-7</v>
      </c>
      <c r="N3" s="1">
        <v>1.9003792495117601E-9</v>
      </c>
      <c r="O3" s="1">
        <v>2.3503606589290098E-13</v>
      </c>
      <c r="P3">
        <v>0</v>
      </c>
      <c r="R3">
        <v>9.0293534420671602</v>
      </c>
      <c r="S3">
        <v>1.6686199393763901</v>
      </c>
      <c r="T3">
        <v>50.050136429743901</v>
      </c>
      <c r="V3">
        <v>38.382435839383902</v>
      </c>
      <c r="X3">
        <v>0.86945434942850197</v>
      </c>
      <c r="AJ3">
        <v>0</v>
      </c>
      <c r="AK3">
        <v>-1.1759404138557399E-2</v>
      </c>
      <c r="AL3">
        <v>0.70781928328939803</v>
      </c>
      <c r="AM3">
        <v>4.8718639568902898E-2</v>
      </c>
      <c r="AN3">
        <v>0.25522148128025501</v>
      </c>
    </row>
    <row r="4" spans="1:40" x14ac:dyDescent="0.2">
      <c r="A4">
        <v>21</v>
      </c>
      <c r="B4">
        <v>736</v>
      </c>
      <c r="C4">
        <v>275</v>
      </c>
      <c r="D4">
        <v>0.28667740177377199</v>
      </c>
      <c r="E4">
        <v>0.52289311102156399</v>
      </c>
      <c r="F4">
        <v>4.9436162871295499</v>
      </c>
      <c r="G4">
        <v>-3.4769173811723131</v>
      </c>
      <c r="H4">
        <v>-2.550631964757168</v>
      </c>
      <c r="I4">
        <v>0.91788675262859198</v>
      </c>
      <c r="J4">
        <v>0.46303288322726799</v>
      </c>
      <c r="K4">
        <v>0.105771378814915</v>
      </c>
      <c r="L4">
        <v>3.5870659823282939E-5</v>
      </c>
      <c r="M4">
        <v>4.1763000156869407E-7</v>
      </c>
      <c r="N4" s="1">
        <v>2.0752782062681399E-9</v>
      </c>
      <c r="O4" s="1">
        <v>2.5657822456475001E-13</v>
      </c>
      <c r="P4">
        <v>0</v>
      </c>
      <c r="R4">
        <v>8.9433111343203802</v>
      </c>
      <c r="S4">
        <v>1.63969756487952</v>
      </c>
      <c r="T4">
        <v>50.2596294186555</v>
      </c>
      <c r="V4">
        <v>38.270454202024801</v>
      </c>
      <c r="X4">
        <v>0.886907680119705</v>
      </c>
      <c r="AJ4">
        <v>0</v>
      </c>
      <c r="AK4">
        <v>-1.33794666880785E-2</v>
      </c>
      <c r="AL4">
        <v>0.71086015393064905</v>
      </c>
      <c r="AM4">
        <v>4.9702078222788798E-2</v>
      </c>
      <c r="AN4">
        <v>0.252817234534639</v>
      </c>
    </row>
    <row r="5" spans="1:40" x14ac:dyDescent="0.2">
      <c r="A5">
        <v>22</v>
      </c>
      <c r="B5">
        <v>735</v>
      </c>
      <c r="C5">
        <v>275</v>
      </c>
      <c r="D5">
        <v>0.285900411645091</v>
      </c>
      <c r="E5">
        <v>0.54182414079292895</v>
      </c>
      <c r="F5">
        <v>4.9452046836389103</v>
      </c>
      <c r="G5">
        <v>-3.5971567340476884</v>
      </c>
      <c r="H5">
        <v>-2.6390902319358638</v>
      </c>
      <c r="I5">
        <v>0.95032138284166501</v>
      </c>
      <c r="J5">
        <v>0.47969019381285399</v>
      </c>
      <c r="K5">
        <v>0.109565564108102</v>
      </c>
      <c r="L5">
        <v>3.5971627337374795E-5</v>
      </c>
      <c r="M5">
        <v>4.1895636473612264E-7</v>
      </c>
      <c r="N5" s="1">
        <v>2.15727245102477E-9</v>
      </c>
      <c r="O5" s="1">
        <v>2.6678586946239901E-13</v>
      </c>
      <c r="P5">
        <v>0</v>
      </c>
      <c r="R5">
        <v>8.8711964629661608</v>
      </c>
      <c r="S5">
        <v>1.60699650379499</v>
      </c>
      <c r="T5">
        <v>50.433241057421199</v>
      </c>
      <c r="V5">
        <v>38.209109686485903</v>
      </c>
      <c r="X5">
        <v>0.87945628933167197</v>
      </c>
      <c r="AJ5">
        <v>0</v>
      </c>
      <c r="AK5">
        <v>-1.3690496646328E-2</v>
      </c>
      <c r="AL5">
        <v>0.71353506800825495</v>
      </c>
      <c r="AM5">
        <v>4.9299662507991303E-2</v>
      </c>
      <c r="AN5">
        <v>0.25085576613008098</v>
      </c>
    </row>
    <row r="6" spans="1:40" x14ac:dyDescent="0.2">
      <c r="A6">
        <v>37</v>
      </c>
      <c r="B6">
        <v>742</v>
      </c>
      <c r="C6">
        <v>250</v>
      </c>
      <c r="D6">
        <v>0.318396788651924</v>
      </c>
      <c r="E6">
        <v>0.39805835796053302</v>
      </c>
      <c r="F6">
        <v>4.9445565302447498</v>
      </c>
      <c r="G6">
        <v>-2.6527443642478952</v>
      </c>
      <c r="H6">
        <v>-1.941280407746552</v>
      </c>
      <c r="I6">
        <v>0.700846137517946</v>
      </c>
      <c r="J6">
        <v>0.35251796166128602</v>
      </c>
      <c r="K6">
        <v>8.0504359799649997E-2</v>
      </c>
      <c r="L6">
        <v>3.5349283854101109E-5</v>
      </c>
      <c r="M6">
        <v>4.0984015788494128E-7</v>
      </c>
      <c r="N6" s="1">
        <v>1.5543754819224601E-9</v>
      </c>
      <c r="O6" s="1">
        <v>1.92814367239471E-13</v>
      </c>
      <c r="P6">
        <v>0</v>
      </c>
      <c r="R6">
        <v>9.2362907725054999</v>
      </c>
      <c r="S6">
        <v>1.64285690829021</v>
      </c>
      <c r="T6">
        <v>49.6140923763435</v>
      </c>
      <c r="V6">
        <v>38.761301867354497</v>
      </c>
      <c r="X6">
        <v>0.74545807550615895</v>
      </c>
      <c r="AJ6">
        <v>0</v>
      </c>
      <c r="AK6">
        <v>-5.38687311091662E-3</v>
      </c>
      <c r="AL6">
        <v>0.70227629792783497</v>
      </c>
      <c r="AM6">
        <v>4.1807810858900403E-2</v>
      </c>
      <c r="AN6">
        <v>0.26130276432417998</v>
      </c>
    </row>
    <row r="7" spans="1:40" x14ac:dyDescent="0.2">
      <c r="A7">
        <v>38</v>
      </c>
      <c r="B7">
        <v>741</v>
      </c>
      <c r="C7">
        <v>250</v>
      </c>
      <c r="D7">
        <v>0.31765567223783697</v>
      </c>
      <c r="E7">
        <v>0.494470830872557</v>
      </c>
      <c r="F7">
        <v>4.9403018101455096</v>
      </c>
      <c r="G7">
        <v>-3.3004575541280974</v>
      </c>
      <c r="H7">
        <v>-2.4174948949015134</v>
      </c>
      <c r="I7">
        <v>0.87064305992859403</v>
      </c>
      <c r="J7">
        <v>0.43810738703920699</v>
      </c>
      <c r="K7">
        <v>0.100089194926735</v>
      </c>
      <c r="L7">
        <v>3.5733487755504807E-5</v>
      </c>
      <c r="M7">
        <v>4.1562811547658204E-7</v>
      </c>
      <c r="N7" s="1">
        <v>1.9504722549735199E-9</v>
      </c>
      <c r="O7" s="1">
        <v>2.4104341441377802E-13</v>
      </c>
      <c r="P7">
        <v>0</v>
      </c>
      <c r="R7">
        <v>9.1150279829637206</v>
      </c>
      <c r="S7">
        <v>1.6428304085427701</v>
      </c>
      <c r="T7">
        <v>49.930624703480397</v>
      </c>
      <c r="V7">
        <v>38.413296752852403</v>
      </c>
      <c r="X7">
        <v>0.898220152160639</v>
      </c>
      <c r="AJ7">
        <v>0</v>
      </c>
      <c r="AK7">
        <v>-1.3940248198385101E-2</v>
      </c>
      <c r="AL7">
        <v>0.70601597162929797</v>
      </c>
      <c r="AM7">
        <v>5.0322425352981003E-2</v>
      </c>
      <c r="AN7">
        <v>0.25760185121610502</v>
      </c>
    </row>
    <row r="8" spans="1:40" x14ac:dyDescent="0.2">
      <c r="A8">
        <v>39</v>
      </c>
      <c r="B8">
        <v>740</v>
      </c>
      <c r="C8">
        <v>250</v>
      </c>
      <c r="D8">
        <v>0.31691309282929903</v>
      </c>
      <c r="E8">
        <v>0.53294687384719797</v>
      </c>
      <c r="F8">
        <v>4.9402385329860303</v>
      </c>
      <c r="G8">
        <v>-3.5548115455468032</v>
      </c>
      <c r="H8">
        <v>-2.6046448315183635</v>
      </c>
      <c r="I8">
        <v>0.93783419437244098</v>
      </c>
      <c r="J8">
        <v>0.47218873216442098</v>
      </c>
      <c r="K8">
        <v>0.107878773522514</v>
      </c>
      <c r="L8">
        <v>3.5923844566387625E-5</v>
      </c>
      <c r="M8">
        <v>4.1832804361114476E-7</v>
      </c>
      <c r="N8" s="1">
        <v>2.1135879262117101E-9</v>
      </c>
      <c r="O8" s="1">
        <v>2.60973776647631E-13</v>
      </c>
      <c r="P8">
        <v>0</v>
      </c>
      <c r="R8">
        <v>9.0224276885285395</v>
      </c>
      <c r="S8">
        <v>1.6206987612666699</v>
      </c>
      <c r="T8">
        <v>50.1562845926763</v>
      </c>
      <c r="V8">
        <v>38.263622006363498</v>
      </c>
      <c r="X8">
        <v>0.93696695116494499</v>
      </c>
      <c r="AJ8">
        <v>0</v>
      </c>
      <c r="AK8">
        <v>-1.6599761088813E-2</v>
      </c>
      <c r="AL8">
        <v>0.70914743929949597</v>
      </c>
      <c r="AM8">
        <v>5.2488806449361602E-2</v>
      </c>
      <c r="AN8">
        <v>0.25496351533995398</v>
      </c>
    </row>
    <row r="9" spans="1:40" x14ac:dyDescent="0.2">
      <c r="A9">
        <v>40</v>
      </c>
      <c r="B9">
        <v>739</v>
      </c>
      <c r="C9">
        <v>250</v>
      </c>
      <c r="D9">
        <v>0.31616904609000601</v>
      </c>
      <c r="E9">
        <v>0.54987540253426703</v>
      </c>
      <c r="F9">
        <v>4.9418223304879003</v>
      </c>
      <c r="G9">
        <v>-3.662019004651599</v>
      </c>
      <c r="H9">
        <v>-2.6834542118928821</v>
      </c>
      <c r="I9">
        <v>0.96681795461020303</v>
      </c>
      <c r="J9">
        <v>0.48708227578192598</v>
      </c>
      <c r="K9">
        <v>0.11126976361369401</v>
      </c>
      <c r="L9">
        <v>3.6027283975946883E-5</v>
      </c>
      <c r="M9">
        <v>4.1967995293146947E-7</v>
      </c>
      <c r="N9" s="1">
        <v>2.18783320581332E-9</v>
      </c>
      <c r="O9" s="1">
        <v>2.70215557108534E-13</v>
      </c>
      <c r="P9">
        <v>0</v>
      </c>
      <c r="R9">
        <v>8.9468813587182705</v>
      </c>
      <c r="S9">
        <v>1.59033194005357</v>
      </c>
      <c r="T9">
        <v>50.333654382756599</v>
      </c>
      <c r="V9">
        <v>38.199840706809901</v>
      </c>
      <c r="X9">
        <v>0.92929161166157204</v>
      </c>
      <c r="AJ9">
        <v>0</v>
      </c>
      <c r="AK9">
        <v>-1.6847283589863499E-2</v>
      </c>
      <c r="AL9">
        <v>0.71186844150918804</v>
      </c>
      <c r="AM9">
        <v>5.2074431593158103E-2</v>
      </c>
      <c r="AN9">
        <v>0.252904410487516</v>
      </c>
    </row>
    <row r="10" spans="1:40" x14ac:dyDescent="0.2">
      <c r="A10">
        <v>56</v>
      </c>
      <c r="B10">
        <v>747</v>
      </c>
      <c r="C10">
        <v>225</v>
      </c>
      <c r="D10">
        <v>0.34903739646130499</v>
      </c>
      <c r="E10">
        <v>0.27632086996817501</v>
      </c>
      <c r="F10">
        <v>4.9500899670747396</v>
      </c>
      <c r="G10">
        <v>-1.8360093291270347</v>
      </c>
      <c r="H10">
        <v>-1.3391084121926593</v>
      </c>
      <c r="I10">
        <v>0.48708613138692902</v>
      </c>
      <c r="J10">
        <v>0.24467159865717</v>
      </c>
      <c r="K10">
        <v>5.5821383410424502E-2</v>
      </c>
      <c r="L10">
        <v>3.5777482028422026E-5</v>
      </c>
      <c r="M10">
        <v>4.133759703189375E-7</v>
      </c>
      <c r="N10" s="1">
        <v>1.08975127627678E-9</v>
      </c>
      <c r="O10" s="1">
        <v>1.35591714259343E-13</v>
      </c>
      <c r="P10">
        <v>0</v>
      </c>
      <c r="R10">
        <v>8.8612641802984502</v>
      </c>
      <c r="S10">
        <v>1.65730675179801</v>
      </c>
      <c r="T10">
        <v>50.261086261383603</v>
      </c>
      <c r="V10">
        <v>38.585766828327202</v>
      </c>
      <c r="X10">
        <v>0.634575978192646</v>
      </c>
      <c r="AJ10">
        <v>0</v>
      </c>
      <c r="AK10">
        <v>1.1534175302120801E-3</v>
      </c>
      <c r="AL10">
        <v>0.71224020478005501</v>
      </c>
      <c r="AM10">
        <v>3.56294801886076E-2</v>
      </c>
      <c r="AN10">
        <v>0.25097689750112401</v>
      </c>
    </row>
    <row r="11" spans="1:40" x14ac:dyDescent="0.2">
      <c r="A11">
        <v>57</v>
      </c>
      <c r="B11">
        <v>746</v>
      </c>
      <c r="C11">
        <v>225</v>
      </c>
      <c r="D11">
        <v>0.34832998086640898</v>
      </c>
      <c r="E11">
        <v>0.45609118343563598</v>
      </c>
      <c r="F11">
        <v>4.9404780302421996</v>
      </c>
      <c r="G11">
        <v>-3.0496267177155589</v>
      </c>
      <c r="H11">
        <v>-2.2291649103767055</v>
      </c>
      <c r="I11">
        <v>0.80504519191370605</v>
      </c>
      <c r="J11">
        <v>0.40415490895846901</v>
      </c>
      <c r="K11">
        <v>9.2317217209298294E-2</v>
      </c>
      <c r="L11">
        <v>3.5481358745133759E-5</v>
      </c>
      <c r="M11">
        <v>4.1166714319627219E-7</v>
      </c>
      <c r="N11" s="1">
        <v>1.7831864949144101E-9</v>
      </c>
      <c r="O11" s="1">
        <v>2.20749929317722E-13</v>
      </c>
      <c r="P11">
        <v>0</v>
      </c>
      <c r="R11">
        <v>9.2957865259231802</v>
      </c>
      <c r="S11">
        <v>1.6147254031054801</v>
      </c>
      <c r="T11">
        <v>49.5748378828238</v>
      </c>
      <c r="V11">
        <v>38.690446994032499</v>
      </c>
      <c r="X11">
        <v>0.82420319411499099</v>
      </c>
      <c r="AJ11">
        <v>0</v>
      </c>
      <c r="AK11">
        <v>-1.04215693290094E-2</v>
      </c>
      <c r="AL11">
        <v>0.70136724495401004</v>
      </c>
      <c r="AM11">
        <v>4.6200823216805999E-2</v>
      </c>
      <c r="AN11">
        <v>0.262853501158192</v>
      </c>
    </row>
    <row r="12" spans="1:40" x14ac:dyDescent="0.2">
      <c r="A12">
        <v>58</v>
      </c>
      <c r="B12">
        <v>745</v>
      </c>
      <c r="C12">
        <v>225</v>
      </c>
      <c r="D12">
        <v>0.347621175661739</v>
      </c>
      <c r="E12">
        <v>0.52235838739659302</v>
      </c>
      <c r="F12">
        <v>4.9367995192786802</v>
      </c>
      <c r="G12">
        <v>-3.4971067838850152</v>
      </c>
      <c r="H12">
        <v>-2.5584001935108041</v>
      </c>
      <c r="I12">
        <v>0.92197278433846797</v>
      </c>
      <c r="J12">
        <v>0.46306679065970302</v>
      </c>
      <c r="K12">
        <v>0.10580911486414001</v>
      </c>
      <c r="L12">
        <v>3.5838798584353388E-5</v>
      </c>
      <c r="M12">
        <v>4.1702137179929746E-7</v>
      </c>
      <c r="N12" s="1">
        <v>2.0616542492182402E-9</v>
      </c>
      <c r="O12" s="1">
        <v>2.5437303340905099E-13</v>
      </c>
      <c r="P12">
        <v>0</v>
      </c>
      <c r="R12">
        <v>9.1784197007449997</v>
      </c>
      <c r="S12">
        <v>1.61179685961783</v>
      </c>
      <c r="T12">
        <v>49.878674419422502</v>
      </c>
      <c r="V12">
        <v>38.370054985104602</v>
      </c>
      <c r="X12">
        <v>0.96105403511000498</v>
      </c>
      <c r="AJ12">
        <v>0</v>
      </c>
      <c r="AK12">
        <v>-1.81410549596112E-2</v>
      </c>
      <c r="AL12">
        <v>0.70502076310125295</v>
      </c>
      <c r="AM12">
        <v>5.3822771152620498E-2</v>
      </c>
      <c r="AN12">
        <v>0.25929752070573697</v>
      </c>
    </row>
    <row r="13" spans="1:40" x14ac:dyDescent="0.2">
      <c r="A13">
        <v>59</v>
      </c>
      <c r="B13">
        <v>744</v>
      </c>
      <c r="C13">
        <v>225</v>
      </c>
      <c r="D13">
        <v>0.34691097674876298</v>
      </c>
      <c r="E13">
        <v>0.54969671915245299</v>
      </c>
      <c r="F13">
        <v>4.9372435986736196</v>
      </c>
      <c r="G13">
        <v>-3.6765652561033764</v>
      </c>
      <c r="H13">
        <v>-2.690358758653161</v>
      </c>
      <c r="I13">
        <v>0.96957823079212901</v>
      </c>
      <c r="J13">
        <v>0.48726581815613601</v>
      </c>
      <c r="K13">
        <v>0.11133676274351199</v>
      </c>
      <c r="L13">
        <v>3.6007973878385808E-5</v>
      </c>
      <c r="M13">
        <v>4.1937124766038749E-7</v>
      </c>
      <c r="N13" s="1">
        <v>2.18014949813463E-9</v>
      </c>
      <c r="O13" s="1">
        <v>2.6885308646346002E-13</v>
      </c>
      <c r="P13">
        <v>0</v>
      </c>
      <c r="R13">
        <v>9.0874023341499193</v>
      </c>
      <c r="S13">
        <v>1.58768926556125</v>
      </c>
      <c r="T13">
        <v>50.096142803888299</v>
      </c>
      <c r="V13">
        <v>38.242784784601398</v>
      </c>
      <c r="X13">
        <v>0.98598081179903496</v>
      </c>
      <c r="AJ13">
        <v>0</v>
      </c>
      <c r="AK13">
        <v>-2.0071367076534001E-2</v>
      </c>
      <c r="AL13">
        <v>0.70811667326093997</v>
      </c>
      <c r="AM13">
        <v>5.5220487830473702E-2</v>
      </c>
      <c r="AN13">
        <v>0.25673420598511898</v>
      </c>
    </row>
    <row r="14" spans="1:40" x14ac:dyDescent="0.2">
      <c r="A14">
        <v>60</v>
      </c>
      <c r="B14">
        <v>743</v>
      </c>
      <c r="C14">
        <v>225</v>
      </c>
      <c r="D14">
        <v>0.34619938001279399</v>
      </c>
      <c r="E14">
        <v>0.56250204164843498</v>
      </c>
      <c r="F14">
        <v>4.9388351162894502</v>
      </c>
      <c r="G14">
        <v>-3.7563539659623455</v>
      </c>
      <c r="H14">
        <v>-2.7490024645107662</v>
      </c>
      <c r="I14">
        <v>0.99134133882948205</v>
      </c>
      <c r="J14">
        <v>0.49851018002567798</v>
      </c>
      <c r="K14">
        <v>0.113893666908046</v>
      </c>
      <c r="L14">
        <v>3.6112002565937089E-5</v>
      </c>
      <c r="M14">
        <v>4.2072583355206506E-7</v>
      </c>
      <c r="N14" s="1">
        <v>2.2382417176783899E-9</v>
      </c>
      <c r="O14" s="1">
        <v>2.76097262979231E-13</v>
      </c>
      <c r="P14">
        <v>0</v>
      </c>
      <c r="R14">
        <v>9.0105062102206901</v>
      </c>
      <c r="S14">
        <v>1.5582449835032901</v>
      </c>
      <c r="T14">
        <v>50.274806168937701</v>
      </c>
      <c r="V14">
        <v>38.178557751800703</v>
      </c>
      <c r="X14">
        <v>0.977884885537469</v>
      </c>
      <c r="AJ14">
        <v>0</v>
      </c>
      <c r="AK14">
        <v>-2.0275862614635601E-2</v>
      </c>
      <c r="AL14">
        <v>0.71085455511675</v>
      </c>
      <c r="AM14">
        <v>5.4783443002095603E-2</v>
      </c>
      <c r="AN14">
        <v>0.25463786449578901</v>
      </c>
    </row>
    <row r="15" spans="1:40" x14ac:dyDescent="0.2">
      <c r="A15">
        <v>80</v>
      </c>
      <c r="B15">
        <v>752</v>
      </c>
      <c r="C15">
        <v>200</v>
      </c>
      <c r="D15">
        <v>0.37937911525142798</v>
      </c>
      <c r="E15">
        <v>0.23344260901656499</v>
      </c>
      <c r="F15">
        <v>4.95331853988385</v>
      </c>
      <c r="G15">
        <v>-1.5477035175648721</v>
      </c>
      <c r="H15">
        <v>-1.1252557246688353</v>
      </c>
      <c r="I15">
        <v>0.41208388323273298</v>
      </c>
      <c r="J15">
        <v>0.20672834159484199</v>
      </c>
      <c r="K15">
        <v>4.7128527498665501E-2</v>
      </c>
      <c r="L15">
        <v>3.6489808814096755E-5</v>
      </c>
      <c r="M15">
        <v>4.2078885571691892E-7</v>
      </c>
      <c r="N15" s="1">
        <v>9.3631548223661103E-10</v>
      </c>
      <c r="O15" s="1">
        <v>1.1661140448762299E-13</v>
      </c>
      <c r="P15">
        <v>0</v>
      </c>
      <c r="R15">
        <v>8.3698441673491306</v>
      </c>
      <c r="S15">
        <v>1.6828488437395599</v>
      </c>
      <c r="T15">
        <v>51.165038389180602</v>
      </c>
      <c r="V15">
        <v>38.174554087298603</v>
      </c>
      <c r="X15">
        <v>0.60771451243196195</v>
      </c>
      <c r="AJ15">
        <v>0</v>
      </c>
      <c r="AK15">
        <v>3.2302469861248601E-3</v>
      </c>
      <c r="AL15">
        <v>0.72544300209814605</v>
      </c>
      <c r="AM15">
        <v>3.4139789784368699E-2</v>
      </c>
      <c r="AN15">
        <v>0.23718696113136001</v>
      </c>
    </row>
    <row r="16" spans="1:40" x14ac:dyDescent="0.2">
      <c r="A16">
        <v>81</v>
      </c>
      <c r="B16">
        <v>751</v>
      </c>
      <c r="C16">
        <v>200</v>
      </c>
      <c r="D16">
        <v>0.378704779573308</v>
      </c>
      <c r="E16">
        <v>0.44310951266376802</v>
      </c>
      <c r="F16">
        <v>4.9401707905977004</v>
      </c>
      <c r="G16">
        <v>-2.9667259265149091</v>
      </c>
      <c r="H16">
        <v>-2.1638204935521403</v>
      </c>
      <c r="I16">
        <v>0.78397249715644002</v>
      </c>
      <c r="J16">
        <v>0.39276653372350201</v>
      </c>
      <c r="K16">
        <v>8.9695180884658707E-2</v>
      </c>
      <c r="L16">
        <v>3.5580688053643508E-5</v>
      </c>
      <c r="M16">
        <v>4.1214979516437563E-7</v>
      </c>
      <c r="N16" s="1">
        <v>1.73316198709399E-9</v>
      </c>
      <c r="O16" s="1">
        <v>2.1466521434974801E-13</v>
      </c>
      <c r="P16">
        <v>0</v>
      </c>
      <c r="R16">
        <v>9.2751296204341696</v>
      </c>
      <c r="S16">
        <v>1.6008955280429</v>
      </c>
      <c r="T16">
        <v>49.620713811410397</v>
      </c>
      <c r="V16">
        <v>38.698053967366299</v>
      </c>
      <c r="X16">
        <v>0.80520707274604397</v>
      </c>
      <c r="AJ16">
        <v>0</v>
      </c>
      <c r="AK16">
        <v>-9.6655173194058995E-3</v>
      </c>
      <c r="AL16">
        <v>0.70218586980836595</v>
      </c>
      <c r="AM16">
        <v>4.5146896680931498E-2</v>
      </c>
      <c r="AN16">
        <v>0.26233275083010699</v>
      </c>
    </row>
    <row r="17" spans="1:40" x14ac:dyDescent="0.2">
      <c r="A17">
        <v>82</v>
      </c>
      <c r="B17">
        <v>750</v>
      </c>
      <c r="C17">
        <v>200</v>
      </c>
      <c r="D17">
        <v>0.37802912573913899</v>
      </c>
      <c r="E17">
        <v>0.51905913423610395</v>
      </c>
      <c r="F17">
        <v>4.9350411291265397</v>
      </c>
      <c r="G17">
        <v>-3.4841138512035696</v>
      </c>
      <c r="H17">
        <v>-2.5442224164502396</v>
      </c>
      <c r="I17">
        <v>0.91862525998468403</v>
      </c>
      <c r="J17">
        <v>0.46030872765040598</v>
      </c>
      <c r="K17">
        <v>0.10517827929996799</v>
      </c>
      <c r="L17">
        <v>3.5738713888191179E-5</v>
      </c>
      <c r="M17">
        <v>4.1527995577129501E-7</v>
      </c>
      <c r="N17" s="1">
        <v>2.0382830831837001E-9</v>
      </c>
      <c r="O17" s="1">
        <v>2.5153017081393401E-13</v>
      </c>
      <c r="P17">
        <v>0</v>
      </c>
      <c r="R17">
        <v>9.3174195235258193</v>
      </c>
      <c r="S17">
        <v>1.5860113147377199</v>
      </c>
      <c r="T17">
        <v>49.634728917796203</v>
      </c>
      <c r="V17">
        <v>38.511866184233902</v>
      </c>
      <c r="X17">
        <v>0.94997405970624904</v>
      </c>
      <c r="AJ17">
        <v>0</v>
      </c>
      <c r="AK17">
        <v>-1.8093035725358801E-2</v>
      </c>
      <c r="AL17">
        <v>0.70163727206202298</v>
      </c>
      <c r="AM17">
        <v>5.3207148812365802E-2</v>
      </c>
      <c r="AN17">
        <v>0.26324861485096901</v>
      </c>
    </row>
    <row r="18" spans="1:40" x14ac:dyDescent="0.2">
      <c r="A18">
        <v>83</v>
      </c>
      <c r="B18">
        <v>749</v>
      </c>
      <c r="C18">
        <v>200</v>
      </c>
      <c r="D18">
        <v>0.37735214988015597</v>
      </c>
      <c r="E18">
        <v>0.55647149603448298</v>
      </c>
      <c r="F18">
        <v>4.9321771919869102</v>
      </c>
      <c r="G18">
        <v>-3.7383191455695965</v>
      </c>
      <c r="H18">
        <v>-2.7318447197628024</v>
      </c>
      <c r="I18">
        <v>0.98466411564525103</v>
      </c>
      <c r="J18">
        <v>0.49364448899600399</v>
      </c>
      <c r="K18">
        <v>0.112824717031366</v>
      </c>
      <c r="L18">
        <v>3.6052178363075631E-5</v>
      </c>
      <c r="M18">
        <v>4.1994885892597609E-7</v>
      </c>
      <c r="N18" s="1">
        <v>2.2034934192287601E-9</v>
      </c>
      <c r="O18" s="1">
        <v>2.7117663622925801E-13</v>
      </c>
      <c r="P18">
        <v>0</v>
      </c>
      <c r="R18">
        <v>9.2084854313022504</v>
      </c>
      <c r="S18">
        <v>1.5794993796008701</v>
      </c>
      <c r="T18">
        <v>49.9139284760588</v>
      </c>
      <c r="V18">
        <v>38.234557712403301</v>
      </c>
      <c r="X18">
        <v>1.0635290006346101</v>
      </c>
      <c r="AJ18">
        <v>0</v>
      </c>
      <c r="AK18">
        <v>-2.4579497926732401E-2</v>
      </c>
      <c r="AL18">
        <v>0.70507297675236802</v>
      </c>
      <c r="AM18">
        <v>5.95241082789102E-2</v>
      </c>
      <c r="AN18">
        <v>0.25998241289545299</v>
      </c>
    </row>
    <row r="19" spans="1:40" x14ac:dyDescent="0.2">
      <c r="A19">
        <v>84</v>
      </c>
      <c r="B19">
        <v>748</v>
      </c>
      <c r="C19">
        <v>200</v>
      </c>
      <c r="D19">
        <v>0.37667384811242399</v>
      </c>
      <c r="E19">
        <v>0.56845705785334499</v>
      </c>
      <c r="F19">
        <v>4.9346063771915603</v>
      </c>
      <c r="G19">
        <v>-3.8110684150574685</v>
      </c>
      <c r="H19">
        <v>-2.7849016191786515</v>
      </c>
      <c r="I19">
        <v>1.00491288829145</v>
      </c>
      <c r="J19">
        <v>0.50412291661895503</v>
      </c>
      <c r="K19">
        <v>0.115198055204733</v>
      </c>
      <c r="L19">
        <v>3.6132856226273096E-5</v>
      </c>
      <c r="M19">
        <v>4.2087445482715625E-7</v>
      </c>
      <c r="N19" s="1">
        <v>2.2571391253314E-9</v>
      </c>
      <c r="O19" s="1">
        <v>2.7800845610296699E-13</v>
      </c>
      <c r="P19">
        <v>0</v>
      </c>
      <c r="R19">
        <v>9.1279897844430806</v>
      </c>
      <c r="S19">
        <v>1.5463770876126399</v>
      </c>
      <c r="T19">
        <v>50.092504923417003</v>
      </c>
      <c r="V19">
        <v>38.198738916934197</v>
      </c>
      <c r="X19">
        <v>1.0343892875929901</v>
      </c>
      <c r="AJ19">
        <v>0</v>
      </c>
      <c r="AK19">
        <v>-2.3692825979163199E-2</v>
      </c>
      <c r="AL19">
        <v>0.707937362656474</v>
      </c>
      <c r="AM19">
        <v>5.7921172132445999E-2</v>
      </c>
      <c r="AN19">
        <v>0.25783429119024198</v>
      </c>
    </row>
    <row r="20" spans="1:40" x14ac:dyDescent="0.2">
      <c r="A20">
        <v>108</v>
      </c>
      <c r="B20">
        <v>757</v>
      </c>
      <c r="C20">
        <v>175</v>
      </c>
      <c r="D20">
        <v>0.40942629714119499</v>
      </c>
      <c r="E20">
        <v>0.37862872213836202</v>
      </c>
      <c r="F20">
        <v>4.9456811113021901</v>
      </c>
      <c r="G20">
        <v>-2.5260517981770425</v>
      </c>
      <c r="H20">
        <v>-1.834959382301371</v>
      </c>
      <c r="I20">
        <v>0.67086581165429404</v>
      </c>
      <c r="J20">
        <v>0.33561466976679799</v>
      </c>
      <c r="K20">
        <v>7.6557447521858002E-2</v>
      </c>
      <c r="L20">
        <v>3.6384485305848089E-5</v>
      </c>
      <c r="M20">
        <v>4.20016047858236E-7</v>
      </c>
      <c r="N20" s="1">
        <v>1.5097488928875499E-9</v>
      </c>
      <c r="O20" s="1">
        <v>1.8742413328802201E-13</v>
      </c>
      <c r="P20">
        <v>0</v>
      </c>
      <c r="R20">
        <v>8.6704323852561807</v>
      </c>
      <c r="S20">
        <v>1.6397783947337199</v>
      </c>
      <c r="T20">
        <v>50.701914907396002</v>
      </c>
      <c r="V20">
        <v>38.257143941654199</v>
      </c>
      <c r="X20">
        <v>0.73073037095974103</v>
      </c>
      <c r="AJ20">
        <v>0</v>
      </c>
      <c r="AK20">
        <v>-4.6322873135121604E-3</v>
      </c>
      <c r="AL20">
        <v>0.71816180937797902</v>
      </c>
      <c r="AM20">
        <v>4.10096767485571E-2</v>
      </c>
      <c r="AN20">
        <v>0.245460801186975</v>
      </c>
    </row>
    <row r="21" spans="1:40" x14ac:dyDescent="0.2">
      <c r="A21">
        <v>109</v>
      </c>
      <c r="B21">
        <v>756</v>
      </c>
      <c r="C21">
        <v>175</v>
      </c>
      <c r="D21">
        <v>0.40878443375601398</v>
      </c>
      <c r="E21">
        <v>0.49407198345826597</v>
      </c>
      <c r="F21">
        <v>4.93546348231874</v>
      </c>
      <c r="G21">
        <v>-3.3205856013640269</v>
      </c>
      <c r="H21">
        <v>-2.4182326868472339</v>
      </c>
      <c r="I21">
        <v>0.87679435895330304</v>
      </c>
      <c r="J21">
        <v>0.43825807551989199</v>
      </c>
      <c r="K21">
        <v>0.100106501694982</v>
      </c>
      <c r="L21">
        <v>3.5758040479578787E-5</v>
      </c>
      <c r="M21">
        <v>4.1436130555552522E-7</v>
      </c>
      <c r="N21" s="1">
        <v>1.9362011314125501E-9</v>
      </c>
      <c r="O21" s="1">
        <v>2.3925550171288199E-13</v>
      </c>
      <c r="P21">
        <v>0</v>
      </c>
      <c r="R21">
        <v>9.3253043613685005</v>
      </c>
      <c r="S21">
        <v>1.57771049127556</v>
      </c>
      <c r="T21">
        <v>49.600278162299801</v>
      </c>
      <c r="V21">
        <v>38.600445396680001</v>
      </c>
      <c r="X21">
        <v>0.89626158837604697</v>
      </c>
      <c r="AJ21">
        <v>0</v>
      </c>
      <c r="AK21">
        <v>-1.52752736568745E-2</v>
      </c>
      <c r="AL21">
        <v>0.701464533433653</v>
      </c>
      <c r="AM21">
        <v>5.0221263326923803E-2</v>
      </c>
      <c r="AN21">
        <v>0.26358947689629603</v>
      </c>
    </row>
    <row r="22" spans="1:40" x14ac:dyDescent="0.2">
      <c r="A22">
        <v>110</v>
      </c>
      <c r="B22">
        <v>755</v>
      </c>
      <c r="C22">
        <v>175</v>
      </c>
      <c r="D22">
        <v>0.40814132179156798</v>
      </c>
      <c r="E22">
        <v>0.54556855392856596</v>
      </c>
      <c r="F22">
        <v>4.9307798440585104</v>
      </c>
      <c r="G22">
        <v>-3.6754557448600149</v>
      </c>
      <c r="H22">
        <v>-2.6797757733640086</v>
      </c>
      <c r="I22">
        <v>0.96841897728542103</v>
      </c>
      <c r="J22">
        <v>0.48414019203316699</v>
      </c>
      <c r="K22">
        <v>0.110645490405734</v>
      </c>
      <c r="L22">
        <v>3.5856036490838397E-5</v>
      </c>
      <c r="M22">
        <v>4.1667181374498596E-7</v>
      </c>
      <c r="N22" s="1">
        <v>2.1431750014940599E-9</v>
      </c>
      <c r="O22" s="1">
        <v>2.6396743204950002E-13</v>
      </c>
      <c r="P22">
        <v>0</v>
      </c>
      <c r="R22">
        <v>9.3942093455591191</v>
      </c>
      <c r="S22">
        <v>1.55922257079757</v>
      </c>
      <c r="T22">
        <v>49.557960369793499</v>
      </c>
      <c r="V22">
        <v>38.464624803477697</v>
      </c>
      <c r="X22">
        <v>1.02398291037198</v>
      </c>
      <c r="AJ22">
        <v>0</v>
      </c>
      <c r="AK22">
        <v>-2.2820090414498399E-2</v>
      </c>
      <c r="AL22">
        <v>0.70020807875787305</v>
      </c>
      <c r="AM22">
        <v>5.7324152860409303E-2</v>
      </c>
      <c r="AN22">
        <v>0.26528785879621503</v>
      </c>
    </row>
    <row r="23" spans="1:40" x14ac:dyDescent="0.2">
      <c r="A23">
        <v>111</v>
      </c>
      <c r="B23">
        <v>754</v>
      </c>
      <c r="C23">
        <v>175</v>
      </c>
      <c r="D23">
        <v>0.40749695760112897</v>
      </c>
      <c r="E23">
        <v>0.57299008046449995</v>
      </c>
      <c r="F23">
        <v>4.9283189899354296</v>
      </c>
      <c r="G23">
        <v>-3.8625411548756765</v>
      </c>
      <c r="H23">
        <v>-2.8180805040394463</v>
      </c>
      <c r="I23">
        <v>1.0168530894574599</v>
      </c>
      <c r="J23">
        <v>0.50861589188300105</v>
      </c>
      <c r="K23">
        <v>0.11626481192363</v>
      </c>
      <c r="L23">
        <v>3.614908053007698E-5</v>
      </c>
      <c r="M23">
        <v>4.2101299205564862E-7</v>
      </c>
      <c r="N23" s="1">
        <v>2.2685990503798599E-9</v>
      </c>
      <c r="O23" s="1">
        <v>2.7873688661096901E-13</v>
      </c>
      <c r="P23">
        <v>0</v>
      </c>
      <c r="R23">
        <v>9.2884396039650596</v>
      </c>
      <c r="S23">
        <v>1.5513283907705799</v>
      </c>
      <c r="T23">
        <v>49.826427267703302</v>
      </c>
      <c r="V23">
        <v>38.207846765275299</v>
      </c>
      <c r="X23">
        <v>1.1259579722856501</v>
      </c>
      <c r="AJ23">
        <v>0</v>
      </c>
      <c r="AK23">
        <v>-2.8685385068807401E-2</v>
      </c>
      <c r="AL23">
        <v>0.70355689196694704</v>
      </c>
      <c r="AM23">
        <v>6.2993087894849503E-2</v>
      </c>
      <c r="AN23">
        <v>0.26213540520701001</v>
      </c>
    </row>
    <row r="24" spans="1:40" x14ac:dyDescent="0.2">
      <c r="A24">
        <v>112</v>
      </c>
      <c r="B24">
        <v>753</v>
      </c>
      <c r="C24">
        <v>175</v>
      </c>
      <c r="D24">
        <v>0.40685133752375702</v>
      </c>
      <c r="E24">
        <v>0.58056425878141005</v>
      </c>
      <c r="F24">
        <v>4.9310038459165302</v>
      </c>
      <c r="G24">
        <v>-3.9051380256845354</v>
      </c>
      <c r="H24">
        <v>-2.8489410326645066</v>
      </c>
      <c r="I24">
        <v>1.02928128735567</v>
      </c>
      <c r="J24">
        <v>0.51516743922566999</v>
      </c>
      <c r="K24">
        <v>0.117737539235988</v>
      </c>
      <c r="L24">
        <v>3.6218437772301575E-5</v>
      </c>
      <c r="M24">
        <v>4.2175261675416213E-7</v>
      </c>
      <c r="N24" s="1">
        <v>2.30427865270085E-9</v>
      </c>
      <c r="O24" s="1">
        <v>2.8340821204695401E-13</v>
      </c>
      <c r="P24">
        <v>0</v>
      </c>
      <c r="R24">
        <v>9.2081876964666201</v>
      </c>
      <c r="S24">
        <v>1.5182478063034099</v>
      </c>
      <c r="T24">
        <v>50.000522296030901</v>
      </c>
      <c r="V24">
        <v>38.183564204646103</v>
      </c>
      <c r="X24">
        <v>1.08947799655291</v>
      </c>
      <c r="AJ24">
        <v>0</v>
      </c>
      <c r="AK24">
        <v>-2.7390788208378699E-2</v>
      </c>
      <c r="AL24">
        <v>0.706395304287465</v>
      </c>
      <c r="AM24">
        <v>6.0984991821619899E-2</v>
      </c>
      <c r="AN24">
        <v>0.260010492099293</v>
      </c>
    </row>
    <row r="25" spans="1:40" x14ac:dyDescent="0.2">
      <c r="A25">
        <v>141</v>
      </c>
      <c r="B25">
        <v>764</v>
      </c>
      <c r="C25">
        <v>150</v>
      </c>
      <c r="D25">
        <v>0.44039965289495597</v>
      </c>
      <c r="E25">
        <v>0.33095359252649698</v>
      </c>
      <c r="F25">
        <v>4.9488962439236701</v>
      </c>
      <c r="G25">
        <v>-2.2037645409278439</v>
      </c>
      <c r="H25">
        <v>-1.5942052373719757</v>
      </c>
      <c r="I25">
        <v>0.58772530835064096</v>
      </c>
      <c r="J25">
        <v>0.29341193957646</v>
      </c>
      <c r="K25">
        <v>6.6874223304407995E-2</v>
      </c>
      <c r="L25">
        <v>3.7145909785942164E-5</v>
      </c>
      <c r="M25">
        <v>4.2741729402812126E-7</v>
      </c>
      <c r="N25" s="1">
        <v>1.34226152619405E-9</v>
      </c>
      <c r="O25" s="1">
        <v>1.66845555843054E-13</v>
      </c>
      <c r="P25">
        <v>0</v>
      </c>
      <c r="R25">
        <v>8.1528105611344799</v>
      </c>
      <c r="S25">
        <v>1.6765275919716101</v>
      </c>
      <c r="T25">
        <v>51.636874825701497</v>
      </c>
      <c r="V25">
        <v>37.841752566630703</v>
      </c>
      <c r="X25">
        <v>0.69203445456157897</v>
      </c>
      <c r="AJ25">
        <v>0</v>
      </c>
      <c r="AK25">
        <v>-1.64633887907084E-3</v>
      </c>
      <c r="AL25">
        <v>0.73184078136212705</v>
      </c>
      <c r="AM25">
        <v>3.8861147258412401E-2</v>
      </c>
      <c r="AN25">
        <v>0.23094441025853099</v>
      </c>
    </row>
    <row r="26" spans="1:40" x14ac:dyDescent="0.2">
      <c r="A26">
        <v>142</v>
      </c>
      <c r="B26">
        <v>763</v>
      </c>
      <c r="C26">
        <v>150</v>
      </c>
      <c r="D26">
        <v>0.43979201853014099</v>
      </c>
      <c r="E26">
        <v>0.466003299642334</v>
      </c>
      <c r="F26">
        <v>4.9381950091086004</v>
      </c>
      <c r="G26">
        <v>-3.12805265742898</v>
      </c>
      <c r="H26">
        <v>-2.2690513749209611</v>
      </c>
      <c r="I26">
        <v>0.82903178353329099</v>
      </c>
      <c r="J26">
        <v>0.41347216311664498</v>
      </c>
      <c r="K26">
        <v>9.4367131873646301E-2</v>
      </c>
      <c r="L26">
        <v>3.6384101108723942E-5</v>
      </c>
      <c r="M26">
        <v>4.2023184954275609E-7</v>
      </c>
      <c r="N26" s="1">
        <v>1.85153369073164E-9</v>
      </c>
      <c r="O26" s="1">
        <v>2.2910290101377599E-13</v>
      </c>
      <c r="P26">
        <v>0</v>
      </c>
      <c r="R26">
        <v>8.9058117512736299</v>
      </c>
      <c r="S26">
        <v>1.60481871911174</v>
      </c>
      <c r="T26">
        <v>50.3563221493757</v>
      </c>
      <c r="V26">
        <v>38.277062840023902</v>
      </c>
      <c r="X26">
        <v>0.85598454021500203</v>
      </c>
      <c r="AJ26">
        <v>0</v>
      </c>
      <c r="AK26">
        <v>-1.2424957620269701E-2</v>
      </c>
      <c r="AL26">
        <v>0.71255916611346304</v>
      </c>
      <c r="AM26">
        <v>4.7991474394410399E-2</v>
      </c>
      <c r="AN26">
        <v>0.251874317112395</v>
      </c>
    </row>
    <row r="27" spans="1:40" x14ac:dyDescent="0.2">
      <c r="A27">
        <v>143</v>
      </c>
      <c r="B27">
        <v>762</v>
      </c>
      <c r="C27">
        <v>150</v>
      </c>
      <c r="D27">
        <v>0.439183210162781</v>
      </c>
      <c r="E27">
        <v>0.533519438157392</v>
      </c>
      <c r="F27">
        <v>4.9301947758856901</v>
      </c>
      <c r="G27">
        <v>-3.6012247510552267</v>
      </c>
      <c r="H27">
        <v>-2.6176567349895521</v>
      </c>
      <c r="I27">
        <v>0.95016955616642396</v>
      </c>
      <c r="J27">
        <v>0.47364384929669701</v>
      </c>
      <c r="K27">
        <v>0.108214677595886</v>
      </c>
      <c r="L27">
        <v>3.5949807924817621E-5</v>
      </c>
      <c r="M27">
        <v>4.1656909236288137E-7</v>
      </c>
      <c r="N27" s="1">
        <v>2.09451098024114E-9</v>
      </c>
      <c r="O27" s="1">
        <v>2.58164621952133E-13</v>
      </c>
      <c r="P27">
        <v>0</v>
      </c>
      <c r="R27">
        <v>9.3854081971141898</v>
      </c>
      <c r="S27">
        <v>1.5559273651612</v>
      </c>
      <c r="T27">
        <v>49.563148507682598</v>
      </c>
      <c r="V27">
        <v>38.500570134026098</v>
      </c>
      <c r="X27">
        <v>0.99494579601579003</v>
      </c>
      <c r="AJ27">
        <v>0</v>
      </c>
      <c r="AK27">
        <v>-2.1272746302746399E-2</v>
      </c>
      <c r="AL27">
        <v>0.70045520463436195</v>
      </c>
      <c r="AM27">
        <v>5.5712435509798201E-2</v>
      </c>
      <c r="AN27">
        <v>0.26510510615858501</v>
      </c>
    </row>
    <row r="28" spans="1:40" x14ac:dyDescent="0.2">
      <c r="A28">
        <v>144</v>
      </c>
      <c r="B28">
        <v>761</v>
      </c>
      <c r="C28">
        <v>150</v>
      </c>
      <c r="D28">
        <v>0.43857322438717999</v>
      </c>
      <c r="E28">
        <v>0.57322982870227701</v>
      </c>
      <c r="F28">
        <v>4.9239864291305704</v>
      </c>
      <c r="G28">
        <v>-3.8849616447090822</v>
      </c>
      <c r="H28">
        <v>-2.8285119851879008</v>
      </c>
      <c r="I28">
        <v>1.0215632737235201</v>
      </c>
      <c r="J28">
        <v>0.50911306859489602</v>
      </c>
      <c r="K28">
        <v>0.11641580190209599</v>
      </c>
      <c r="L28">
        <v>3.5693051791359774E-5</v>
      </c>
      <c r="M28">
        <v>4.1476880441490358E-7</v>
      </c>
      <c r="N28" s="1">
        <v>2.2342651118871699E-9</v>
      </c>
      <c r="O28" s="1">
        <v>2.7447784600302499E-13</v>
      </c>
      <c r="P28">
        <v>0</v>
      </c>
      <c r="R28">
        <v>9.7101834178480697</v>
      </c>
      <c r="S28">
        <v>1.5185274245074201</v>
      </c>
      <c r="T28">
        <v>49.044568975143797</v>
      </c>
      <c r="V28">
        <v>38.612661034212202</v>
      </c>
      <c r="X28">
        <v>1.1140591482884401</v>
      </c>
      <c r="AJ28">
        <v>0</v>
      </c>
      <c r="AK28">
        <v>-2.8741149323048699E-2</v>
      </c>
      <c r="AL28">
        <v>0.69242209380938402</v>
      </c>
      <c r="AM28">
        <v>6.2318858211852401E-2</v>
      </c>
      <c r="AN28">
        <v>0.27400019730181202</v>
      </c>
    </row>
    <row r="29" spans="1:40" x14ac:dyDescent="0.2">
      <c r="A29">
        <v>145</v>
      </c>
      <c r="B29">
        <v>760</v>
      </c>
      <c r="C29">
        <v>150</v>
      </c>
      <c r="D29">
        <v>0.43796205778444602</v>
      </c>
      <c r="E29">
        <v>0.58548987113224704</v>
      </c>
      <c r="F29">
        <v>4.9252507847384699</v>
      </c>
      <c r="G29">
        <v>-3.9595586330273882</v>
      </c>
      <c r="H29">
        <v>-2.8825834398212149</v>
      </c>
      <c r="I29">
        <v>1.0424190032484799</v>
      </c>
      <c r="J29">
        <v>0.52000564223109103</v>
      </c>
      <c r="K29">
        <v>0.118875138895762</v>
      </c>
      <c r="L29">
        <v>3.6197808098636691E-5</v>
      </c>
      <c r="M29">
        <v>4.2108293511360635E-7</v>
      </c>
      <c r="N29" s="1">
        <v>2.31399647894191E-9</v>
      </c>
      <c r="O29" s="1">
        <v>2.84054678150502E-13</v>
      </c>
      <c r="P29">
        <v>0</v>
      </c>
      <c r="R29">
        <v>9.3871141271273206</v>
      </c>
      <c r="S29">
        <v>1.51811167380275</v>
      </c>
      <c r="T29">
        <v>49.692971427198302</v>
      </c>
      <c r="V29">
        <v>38.242605096456103</v>
      </c>
      <c r="X29">
        <v>1.15919767541548</v>
      </c>
      <c r="AJ29">
        <v>0</v>
      </c>
      <c r="AK29">
        <v>-3.1274426108052103E-2</v>
      </c>
      <c r="AL29">
        <v>0.70155618854860102</v>
      </c>
      <c r="AM29">
        <v>6.4841975644059496E-2</v>
      </c>
      <c r="AN29">
        <v>0.26487626191538999</v>
      </c>
    </row>
    <row r="30" spans="1:40" x14ac:dyDescent="0.2">
      <c r="A30">
        <v>179</v>
      </c>
      <c r="B30">
        <v>773</v>
      </c>
      <c r="C30">
        <v>125</v>
      </c>
      <c r="D30">
        <v>0.472102948907902</v>
      </c>
      <c r="E30">
        <v>0.254077645503961</v>
      </c>
      <c r="F30">
        <v>4.9525732772918696</v>
      </c>
      <c r="G30">
        <v>-1.688017244537996</v>
      </c>
      <c r="H30">
        <v>-1.2146099963786094</v>
      </c>
      <c r="I30">
        <v>0.45252329795859703</v>
      </c>
      <c r="J30">
        <v>0.22530157659321101</v>
      </c>
      <c r="K30">
        <v>5.1302147646948897E-2</v>
      </c>
      <c r="L30">
        <v>3.8087633629669115E-5</v>
      </c>
      <c r="M30">
        <v>4.3628786353872987E-7</v>
      </c>
      <c r="N30" s="1">
        <v>1.0516063267586401E-9</v>
      </c>
      <c r="O30" s="1">
        <v>1.30918347460031E-13</v>
      </c>
      <c r="P30">
        <v>0</v>
      </c>
      <c r="R30">
        <v>7.5131212593285204</v>
      </c>
      <c r="S30">
        <v>1.7343497176325899</v>
      </c>
      <c r="T30">
        <v>52.777214496216203</v>
      </c>
      <c r="V30">
        <v>37.332064011522299</v>
      </c>
      <c r="X30">
        <v>0.64325051530029798</v>
      </c>
      <c r="AJ30">
        <v>0</v>
      </c>
      <c r="AK30">
        <v>2.3782350802001601E-3</v>
      </c>
      <c r="AL30">
        <v>0.748507946805966</v>
      </c>
      <c r="AM30">
        <v>3.6146090943845299E-2</v>
      </c>
      <c r="AN30">
        <v>0.21296772716998799</v>
      </c>
    </row>
    <row r="31" spans="1:40" x14ac:dyDescent="0.2">
      <c r="A31">
        <v>180</v>
      </c>
      <c r="B31">
        <v>772</v>
      </c>
      <c r="C31">
        <v>125</v>
      </c>
      <c r="D31">
        <v>0.47153088073482102</v>
      </c>
      <c r="E31">
        <v>0.41929959680953999</v>
      </c>
      <c r="F31">
        <v>4.9416812936724099</v>
      </c>
      <c r="G31">
        <v>-2.8097013491350071</v>
      </c>
      <c r="H31">
        <v>-2.0276500246740987</v>
      </c>
      <c r="I31">
        <v>0.74826706641238905</v>
      </c>
      <c r="J31">
        <v>0.37213807278695898</v>
      </c>
      <c r="K31">
        <v>8.48495829438521E-2</v>
      </c>
      <c r="L31">
        <v>3.7187686048354161E-5</v>
      </c>
      <c r="M31">
        <v>4.2752558698971066E-7</v>
      </c>
      <c r="N31" s="1">
        <v>1.69499413850422E-9</v>
      </c>
      <c r="O31" s="1">
        <v>2.10102391121262E-13</v>
      </c>
      <c r="P31">
        <v>0</v>
      </c>
      <c r="R31">
        <v>8.3604949561690507</v>
      </c>
      <c r="S31">
        <v>1.65191280575039</v>
      </c>
      <c r="T31">
        <v>51.323818066833098</v>
      </c>
      <c r="V31">
        <v>37.862706080372803</v>
      </c>
      <c r="X31">
        <v>0.80106809087446695</v>
      </c>
      <c r="AJ31">
        <v>0</v>
      </c>
      <c r="AK31">
        <v>-8.3080278330313999E-3</v>
      </c>
      <c r="AL31">
        <v>0.72674996499608102</v>
      </c>
      <c r="AM31">
        <v>4.4943484351720298E-2</v>
      </c>
      <c r="AN31">
        <v>0.23661457848522899</v>
      </c>
    </row>
    <row r="32" spans="1:40" x14ac:dyDescent="0.2">
      <c r="A32">
        <v>181</v>
      </c>
      <c r="B32">
        <v>771</v>
      </c>
      <c r="C32">
        <v>125</v>
      </c>
      <c r="D32">
        <v>0.47095771680314102</v>
      </c>
      <c r="E32">
        <v>0.50282949435119995</v>
      </c>
      <c r="F32">
        <v>4.9331256547564797</v>
      </c>
      <c r="G32">
        <v>-3.3905166958868991</v>
      </c>
      <c r="H32">
        <v>-2.4523636414317487</v>
      </c>
      <c r="I32">
        <v>0.89848494417004199</v>
      </c>
      <c r="J32">
        <v>0.446557854102553</v>
      </c>
      <c r="K32">
        <v>0.101929188417565</v>
      </c>
      <c r="L32">
        <v>3.6626817970699811E-5</v>
      </c>
      <c r="M32">
        <v>4.2245252139501907E-7</v>
      </c>
      <c r="N32" s="1">
        <v>2.0022574394510199E-9</v>
      </c>
      <c r="O32" s="1">
        <v>2.4722921354001301E-13</v>
      </c>
      <c r="P32">
        <v>0</v>
      </c>
      <c r="R32">
        <v>8.9334390637797902</v>
      </c>
      <c r="S32">
        <v>1.59456233703575</v>
      </c>
      <c r="T32">
        <v>50.3606642599403</v>
      </c>
      <c r="V32">
        <v>38.170854683355003</v>
      </c>
      <c r="X32">
        <v>0.94047965588901505</v>
      </c>
      <c r="AJ32">
        <v>0</v>
      </c>
      <c r="AK32">
        <v>-1.7378854215880101E-2</v>
      </c>
      <c r="AL32">
        <v>0.71218226513975202</v>
      </c>
      <c r="AM32">
        <v>5.2696328035504503E-2</v>
      </c>
      <c r="AN32">
        <v>0.25250026104062301</v>
      </c>
    </row>
    <row r="33" spans="1:40" x14ac:dyDescent="0.2">
      <c r="A33">
        <v>182</v>
      </c>
      <c r="B33">
        <v>770</v>
      </c>
      <c r="C33">
        <v>125</v>
      </c>
      <c r="D33">
        <v>0.47038345396155901</v>
      </c>
      <c r="E33">
        <v>0.55141481154808003</v>
      </c>
      <c r="F33">
        <v>4.9263612700381998</v>
      </c>
      <c r="G33">
        <v>-3.7353583601936005</v>
      </c>
      <c r="H33">
        <v>-2.7066931525072513</v>
      </c>
      <c r="I33">
        <v>0.98611437251243705</v>
      </c>
      <c r="J33">
        <v>0.48994209708352898</v>
      </c>
      <c r="K33">
        <v>0.111931460427343</v>
      </c>
      <c r="L33">
        <v>3.6273814993857953E-5</v>
      </c>
      <c r="M33">
        <v>4.1959297272183057E-7</v>
      </c>
      <c r="N33" s="1">
        <v>2.1746571875103999E-9</v>
      </c>
      <c r="O33" s="1">
        <v>2.6760777070757601E-13</v>
      </c>
      <c r="P33">
        <v>0</v>
      </c>
      <c r="R33">
        <v>9.3315989510492905</v>
      </c>
      <c r="S33">
        <v>1.5512760820779301</v>
      </c>
      <c r="T33">
        <v>49.708733627567199</v>
      </c>
      <c r="V33">
        <v>38.346266168018197</v>
      </c>
      <c r="X33">
        <v>1.0621251712873001</v>
      </c>
      <c r="AJ33">
        <v>0</v>
      </c>
      <c r="AK33">
        <v>-2.5126519001705198E-2</v>
      </c>
      <c r="AL33">
        <v>0.70220750767470996</v>
      </c>
      <c r="AM33">
        <v>5.94483375358838E-2</v>
      </c>
      <c r="AN33">
        <v>0.26347067379111</v>
      </c>
    </row>
    <row r="34" spans="1:40" x14ac:dyDescent="0.2">
      <c r="A34">
        <v>183</v>
      </c>
      <c r="B34">
        <v>769</v>
      </c>
      <c r="C34">
        <v>125</v>
      </c>
      <c r="D34">
        <v>0.46980808904668597</v>
      </c>
      <c r="E34">
        <v>0.58269960840868296</v>
      </c>
      <c r="F34">
        <v>4.9209016352069996</v>
      </c>
      <c r="G34">
        <v>-3.9612371926688512</v>
      </c>
      <c r="H34">
        <v>-2.8746863489922689</v>
      </c>
      <c r="I34">
        <v>1.0426050411904</v>
      </c>
      <c r="J34">
        <v>0.51793452096460801</v>
      </c>
      <c r="K34">
        <v>0.118413179454697</v>
      </c>
      <c r="L34">
        <v>3.6047191695416352E-5</v>
      </c>
      <c r="M34">
        <v>4.1804757727126581E-7</v>
      </c>
      <c r="N34" s="1">
        <v>2.2837286062272401E-9</v>
      </c>
      <c r="O34" s="1">
        <v>2.80198050696054E-13</v>
      </c>
      <c r="P34">
        <v>0</v>
      </c>
      <c r="R34">
        <v>9.6189357500560497</v>
      </c>
      <c r="S34">
        <v>1.5161239806289699</v>
      </c>
      <c r="T34">
        <v>49.253011506833701</v>
      </c>
      <c r="V34">
        <v>38.443212583560303</v>
      </c>
      <c r="X34">
        <v>1.16871617892085</v>
      </c>
      <c r="AJ34">
        <v>0</v>
      </c>
      <c r="AK34">
        <v>-3.1841703199589698E-2</v>
      </c>
      <c r="AL34">
        <v>0.69514604220931997</v>
      </c>
      <c r="AM34">
        <v>6.5355714107169893E-2</v>
      </c>
      <c r="AN34">
        <v>0.27133994688309798</v>
      </c>
    </row>
    <row r="35" spans="1:40" x14ac:dyDescent="0.2">
      <c r="A35">
        <v>184</v>
      </c>
      <c r="B35">
        <v>768</v>
      </c>
      <c r="C35">
        <v>125</v>
      </c>
      <c r="D35">
        <v>0.46923161888296799</v>
      </c>
      <c r="E35">
        <v>0.59874718671721705</v>
      </c>
      <c r="F35">
        <v>4.91893342623798</v>
      </c>
      <c r="G35">
        <v>-4.0720491147559583</v>
      </c>
      <c r="H35">
        <v>-2.956965227793499</v>
      </c>
      <c r="I35">
        <v>1.0710117533136001</v>
      </c>
      <c r="J35">
        <v>0.53231549907084597</v>
      </c>
      <c r="K35">
        <v>0.12172297017142999</v>
      </c>
      <c r="L35">
        <v>3.6277956728739843E-5</v>
      </c>
      <c r="M35">
        <v>4.2151761013165337E-7</v>
      </c>
      <c r="N35" s="1">
        <v>2.3613086528801601E-9</v>
      </c>
      <c r="O35" s="1">
        <v>2.8914522715880201E-13</v>
      </c>
      <c r="P35">
        <v>0</v>
      </c>
      <c r="R35">
        <v>9.5397469026874493</v>
      </c>
      <c r="S35">
        <v>1.50518301618748</v>
      </c>
      <c r="T35">
        <v>49.4635119808977</v>
      </c>
      <c r="V35">
        <v>38.2398481010027</v>
      </c>
      <c r="X35">
        <v>1.25170999922449</v>
      </c>
      <c r="AJ35">
        <v>0</v>
      </c>
      <c r="AK35">
        <v>-3.67064670755562E-2</v>
      </c>
      <c r="AL35">
        <v>0.69777141170221402</v>
      </c>
      <c r="AM35">
        <v>6.9962156666928899E-2</v>
      </c>
      <c r="AN35">
        <v>0.268972898706412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03A49-F965-4554-9CF7-CD0A621C1E13}">
  <sheetPr codeName="Sheet9"/>
  <dimension ref="A1:AL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18</v>
      </c>
      <c r="B2">
        <v>739</v>
      </c>
      <c r="C2">
        <v>275</v>
      </c>
      <c r="D2">
        <v>0.28899916020352701</v>
      </c>
      <c r="E2">
        <v>0.45938760324621403</v>
      </c>
      <c r="F2">
        <v>2.2578336081000798</v>
      </c>
      <c r="G2">
        <v>-7.6243274563089525</v>
      </c>
      <c r="H2">
        <v>-6.4428390495644825</v>
      </c>
      <c r="I2">
        <v>1.1673056431798301</v>
      </c>
      <c r="J2">
        <v>0.712354409406043</v>
      </c>
      <c r="K2">
        <v>0.203463887506208</v>
      </c>
      <c r="L2">
        <v>1.2458644449021805E-5</v>
      </c>
      <c r="M2">
        <v>1.5426222337014338E-6</v>
      </c>
      <c r="N2">
        <v>0</v>
      </c>
      <c r="O2" s="1">
        <v>5.1597727809667899E-13</v>
      </c>
      <c r="P2">
        <v>0</v>
      </c>
      <c r="Q2">
        <v>55.056654051570703</v>
      </c>
      <c r="S2">
        <v>23.3573783817709</v>
      </c>
      <c r="AB2">
        <v>14.125722317894001</v>
      </c>
      <c r="AC2">
        <v>0.11014442618142201</v>
      </c>
      <c r="AE2">
        <v>7.3501008225827</v>
      </c>
      <c r="AJ2">
        <v>5.1039584434962202E-3</v>
      </c>
      <c r="AK2">
        <v>0.89050301764317696</v>
      </c>
      <c r="AL2">
        <v>0.104393023913326</v>
      </c>
    </row>
    <row r="3" spans="1:38" x14ac:dyDescent="0.2">
      <c r="A3">
        <v>19</v>
      </c>
      <c r="B3">
        <v>738</v>
      </c>
      <c r="C3">
        <v>275</v>
      </c>
      <c r="D3">
        <v>0.28822677149780002</v>
      </c>
      <c r="E3">
        <v>2.1664688407408401</v>
      </c>
      <c r="F3">
        <v>2.2578531217053999</v>
      </c>
      <c r="G3">
        <v>-35.951377747345781</v>
      </c>
      <c r="H3">
        <v>-30.388039325296216</v>
      </c>
      <c r="I3">
        <v>5.5019912199471497</v>
      </c>
      <c r="J3">
        <v>3.3587588916993099</v>
      </c>
      <c r="K3">
        <v>0.95952602935679798</v>
      </c>
      <c r="L3">
        <v>1.2458799668777139E-5</v>
      </c>
      <c r="M3">
        <v>1.5426414529228082E-6</v>
      </c>
      <c r="N3">
        <v>0</v>
      </c>
      <c r="O3" s="1">
        <v>2.4333546519289098E-12</v>
      </c>
      <c r="P3">
        <v>0</v>
      </c>
      <c r="Q3">
        <v>55.054205340267799</v>
      </c>
      <c r="S3">
        <v>23.356339534106901</v>
      </c>
      <c r="AB3">
        <v>14.125700424081201</v>
      </c>
      <c r="AC3">
        <v>0.109217897805928</v>
      </c>
      <c r="AE3">
        <v>7.3545368037379601</v>
      </c>
      <c r="AJ3">
        <v>5.0612493532000303E-3</v>
      </c>
      <c r="AK3">
        <v>0.89108009174222003</v>
      </c>
      <c r="AL3">
        <v>0.103858658904579</v>
      </c>
    </row>
    <row r="4" spans="1:38" x14ac:dyDescent="0.2">
      <c r="A4">
        <v>20</v>
      </c>
      <c r="B4">
        <v>737</v>
      </c>
      <c r="C4">
        <v>275</v>
      </c>
      <c r="D4">
        <v>0.28745285353660599</v>
      </c>
      <c r="E4">
        <v>3.1320930032032699</v>
      </c>
      <c r="F4">
        <v>2.25787267454184</v>
      </c>
      <c r="G4">
        <v>-51.96830652507122</v>
      </c>
      <c r="H4">
        <v>-43.937675777099791</v>
      </c>
      <c r="I4">
        <v>7.9499388684565897</v>
      </c>
      <c r="J4">
        <v>4.85478739050179</v>
      </c>
      <c r="K4">
        <v>1.3871876118252799</v>
      </c>
      <c r="L4">
        <v>1.2458954892400226E-5</v>
      </c>
      <c r="M4">
        <v>1.5426606726230854E-6</v>
      </c>
      <c r="N4">
        <v>0</v>
      </c>
      <c r="O4" s="1">
        <v>3.5179467575676599E-12</v>
      </c>
      <c r="P4">
        <v>0</v>
      </c>
      <c r="Q4">
        <v>55.051761356272898</v>
      </c>
      <c r="S4">
        <v>23.355302691968401</v>
      </c>
      <c r="AB4">
        <v>14.1256768765567</v>
      </c>
      <c r="AC4">
        <v>0.108295735881879</v>
      </c>
      <c r="AE4">
        <v>7.3589633393199803</v>
      </c>
      <c r="AJ4">
        <v>5.0187383865658002E-3</v>
      </c>
      <c r="AK4">
        <v>0.89165599612902002</v>
      </c>
      <c r="AL4">
        <v>0.103325265484413</v>
      </c>
    </row>
    <row r="5" spans="1:38" x14ac:dyDescent="0.2">
      <c r="A5">
        <v>21</v>
      </c>
      <c r="B5">
        <v>736</v>
      </c>
      <c r="C5">
        <v>275</v>
      </c>
      <c r="D5">
        <v>0.28667740177377199</v>
      </c>
      <c r="E5">
        <v>3.9162498501937701</v>
      </c>
      <c r="F5">
        <v>2.2578922672152202</v>
      </c>
      <c r="G5">
        <v>-64.970339073065517</v>
      </c>
      <c r="H5">
        <v>-54.944597398550108</v>
      </c>
      <c r="I5">
        <v>9.9348379076603202</v>
      </c>
      <c r="J5">
        <v>6.0689671545424702</v>
      </c>
      <c r="K5">
        <v>1.7344715277420499</v>
      </c>
      <c r="L5">
        <v>1.2459110119891211E-5</v>
      </c>
      <c r="M5">
        <v>1.5426798928022831E-6</v>
      </c>
      <c r="N5">
        <v>0</v>
      </c>
      <c r="O5" s="1">
        <v>4.3987233290057703E-12</v>
      </c>
      <c r="P5">
        <v>0</v>
      </c>
      <c r="Q5">
        <v>55.049322132120899</v>
      </c>
      <c r="S5">
        <v>23.354267869158001</v>
      </c>
      <c r="AB5">
        <v>14.125651637857599</v>
      </c>
      <c r="AC5">
        <v>0.10737801010237701</v>
      </c>
      <c r="AE5">
        <v>7.3633803507610196</v>
      </c>
      <c r="AJ5">
        <v>4.9764288079155198E-3</v>
      </c>
      <c r="AK5">
        <v>0.89223072045193996</v>
      </c>
      <c r="AL5">
        <v>0.10279285074014401</v>
      </c>
    </row>
    <row r="6" spans="1:38" x14ac:dyDescent="0.2">
      <c r="A6">
        <v>22</v>
      </c>
      <c r="B6">
        <v>735</v>
      </c>
      <c r="C6">
        <v>275</v>
      </c>
      <c r="D6">
        <v>0.285900411645091</v>
      </c>
      <c r="E6">
        <v>4.5934036960989397</v>
      </c>
      <c r="F6">
        <v>2.2579119002932102</v>
      </c>
      <c r="G6">
        <v>-76.193896947617006</v>
      </c>
      <c r="H6">
        <v>-64.45273768957523</v>
      </c>
      <c r="I6">
        <v>11.646242382623299</v>
      </c>
      <c r="J6">
        <v>7.1168446476331404</v>
      </c>
      <c r="K6">
        <v>2.0343591331009998</v>
      </c>
      <c r="L6">
        <v>1.2459265351250234E-5</v>
      </c>
      <c r="M6">
        <v>1.5426991134604195E-6</v>
      </c>
      <c r="N6">
        <v>0</v>
      </c>
      <c r="O6" s="1">
        <v>5.1593204777288197E-12</v>
      </c>
      <c r="P6">
        <v>0</v>
      </c>
      <c r="Q6">
        <v>55.0468877004311</v>
      </c>
      <c r="S6">
        <v>23.353235079514199</v>
      </c>
      <c r="AB6">
        <v>14.1256246734792</v>
      </c>
      <c r="AC6">
        <v>0.106464785697738</v>
      </c>
      <c r="AE6">
        <v>7.3677877608776399</v>
      </c>
      <c r="AJ6">
        <v>4.9343236753017303E-3</v>
      </c>
      <c r="AK6">
        <v>0.89280425452313195</v>
      </c>
      <c r="AL6">
        <v>0.102261421801565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C93F5-04F0-4D0D-A7F4-7EE976B75AF7}">
  <sheetPr codeName="Sheet10"/>
  <dimension ref="A1:AL16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10</v>
      </c>
      <c r="B2">
        <v>747</v>
      </c>
      <c r="C2">
        <v>275</v>
      </c>
      <c r="D2">
        <v>0.29512375631034898</v>
      </c>
      <c r="E2">
        <v>1.2316562491168701</v>
      </c>
      <c r="F2">
        <v>2.5766875071729101</v>
      </c>
      <c r="G2">
        <v>-19.93873600383009</v>
      </c>
      <c r="H2">
        <v>-17.307697775376266</v>
      </c>
      <c r="I2">
        <v>2.5790699685868002</v>
      </c>
      <c r="J2">
        <v>1.5143244475459401</v>
      </c>
      <c r="K2">
        <v>0.477999852790925</v>
      </c>
      <c r="L2">
        <v>3.2252543207576673E-5</v>
      </c>
      <c r="M2">
        <v>1.8169158820649805E-6</v>
      </c>
      <c r="N2" s="1">
        <v>-2.61174983447968E-8</v>
      </c>
      <c r="O2" s="1">
        <v>4.1542244276326701E-12</v>
      </c>
      <c r="P2" s="1">
        <v>8.6117225177301695E-11</v>
      </c>
      <c r="Q2">
        <v>65.386630804055301</v>
      </c>
      <c r="S2">
        <v>21.378785909502501</v>
      </c>
      <c r="AA2">
        <v>2.3806408709771398</v>
      </c>
      <c r="AB2">
        <v>9.4227904060024894</v>
      </c>
      <c r="AC2">
        <v>1.4311520094625201</v>
      </c>
      <c r="AJ2">
        <v>0.80675089857382098</v>
      </c>
      <c r="AK2">
        <v>0.112632727838619</v>
      </c>
      <c r="AL2">
        <v>8.0616373587559506E-2</v>
      </c>
    </row>
    <row r="3" spans="1:38" x14ac:dyDescent="0.2">
      <c r="A3">
        <v>11</v>
      </c>
      <c r="B3">
        <v>746</v>
      </c>
      <c r="C3">
        <v>275</v>
      </c>
      <c r="D3">
        <v>0.29436344012167098</v>
      </c>
      <c r="E3">
        <v>2.6845757046924699</v>
      </c>
      <c r="F3">
        <v>2.5752993951473</v>
      </c>
      <c r="G3">
        <v>-43.439853027777502</v>
      </c>
      <c r="H3">
        <v>-37.713040985859614</v>
      </c>
      <c r="I3">
        <v>5.6192042799567101</v>
      </c>
      <c r="J3">
        <v>3.30233330450258</v>
      </c>
      <c r="K3">
        <v>1.04243246814373</v>
      </c>
      <c r="L3">
        <v>3.2344842438453531E-5</v>
      </c>
      <c r="M3">
        <v>1.81956666310958E-6</v>
      </c>
      <c r="N3" s="1">
        <v>-5.8745958580558197E-8</v>
      </c>
      <c r="O3" s="1">
        <v>9.06518224483311E-12</v>
      </c>
      <c r="P3" s="1">
        <v>1.92883168167574E-10</v>
      </c>
      <c r="Q3">
        <v>65.507177748273904</v>
      </c>
      <c r="S3">
        <v>21.275922691705599</v>
      </c>
      <c r="AA3">
        <v>2.2676496816084799</v>
      </c>
      <c r="AB3">
        <v>9.4217535091395792</v>
      </c>
      <c r="AC3">
        <v>1.52749636927234</v>
      </c>
      <c r="AJ3">
        <v>0.80666821962824498</v>
      </c>
      <c r="AK3">
        <v>0.107287706863508</v>
      </c>
      <c r="AL3">
        <v>8.6044073508245195E-2</v>
      </c>
    </row>
    <row r="4" spans="1:38" x14ac:dyDescent="0.2">
      <c r="A4">
        <v>12</v>
      </c>
      <c r="B4">
        <v>745</v>
      </c>
      <c r="C4">
        <v>275</v>
      </c>
      <c r="D4">
        <v>0.29360163040809401</v>
      </c>
      <c r="E4">
        <v>4.2053629041518601</v>
      </c>
      <c r="F4">
        <v>2.57386290430343</v>
      </c>
      <c r="G4">
        <v>-68.015177942441198</v>
      </c>
      <c r="H4">
        <v>-59.056759725541717</v>
      </c>
      <c r="I4">
        <v>8.7987214230707398</v>
      </c>
      <c r="J4">
        <v>5.1754454107684502</v>
      </c>
      <c r="K4">
        <v>1.6338721449074001</v>
      </c>
      <c r="L4">
        <v>3.2430153929614876E-5</v>
      </c>
      <c r="M4">
        <v>1.822049018237283E-6</v>
      </c>
      <c r="N4" s="1">
        <v>-9.4870893551001495E-8</v>
      </c>
      <c r="O4" s="1">
        <v>1.42173789104468E-11</v>
      </c>
      <c r="P4" s="1">
        <v>3.1023764703539899E-10</v>
      </c>
      <c r="Q4">
        <v>65.623370679049899</v>
      </c>
      <c r="S4">
        <v>21.1733709633152</v>
      </c>
      <c r="AA4">
        <v>2.1559314237032199</v>
      </c>
      <c r="AB4">
        <v>9.4118305367480204</v>
      </c>
      <c r="AC4">
        <v>1.6354963971836201</v>
      </c>
      <c r="AJ4">
        <v>0.80586019842175505</v>
      </c>
      <c r="AK4">
        <v>0.10200732064495301</v>
      </c>
      <c r="AL4">
        <v>9.2132480933291502E-2</v>
      </c>
    </row>
    <row r="5" spans="1:38" x14ac:dyDescent="0.2">
      <c r="A5">
        <v>13</v>
      </c>
      <c r="B5">
        <v>744</v>
      </c>
      <c r="C5">
        <v>275</v>
      </c>
      <c r="D5">
        <v>0.29283832276459099</v>
      </c>
      <c r="E5">
        <v>5.8085412706840804</v>
      </c>
      <c r="F5">
        <v>2.5723593847213202</v>
      </c>
      <c r="G5">
        <v>-93.894544930325821</v>
      </c>
      <c r="H5">
        <v>-81.538622203218964</v>
      </c>
      <c r="I5">
        <v>12.1475915323274</v>
      </c>
      <c r="J5">
        <v>7.1513495773891096</v>
      </c>
      <c r="K5">
        <v>2.2580597816868901</v>
      </c>
      <c r="L5">
        <v>3.2506907919259411E-5</v>
      </c>
      <c r="M5">
        <v>1.8243462402199114E-6</v>
      </c>
      <c r="N5" s="1">
        <v>-1.3492848555632501E-7</v>
      </c>
      <c r="O5" s="1">
        <v>1.9662120434112401E-11</v>
      </c>
      <c r="P5" s="1">
        <v>4.3954308792138598E-10</v>
      </c>
      <c r="Q5">
        <v>65.735175592565497</v>
      </c>
      <c r="S5">
        <v>21.070495724639301</v>
      </c>
      <c r="AA5">
        <v>2.0449701503396098</v>
      </c>
      <c r="AB5">
        <v>9.3912809788952103</v>
      </c>
      <c r="AC5">
        <v>1.7580775535603399</v>
      </c>
      <c r="AJ5">
        <v>0.80418452282038499</v>
      </c>
      <c r="AK5">
        <v>9.6767303563540505E-2</v>
      </c>
      <c r="AL5">
        <v>9.9048173616073903E-2</v>
      </c>
    </row>
    <row r="6" spans="1:38" x14ac:dyDescent="0.2">
      <c r="A6">
        <v>14</v>
      </c>
      <c r="B6">
        <v>743</v>
      </c>
      <c r="C6">
        <v>275</v>
      </c>
      <c r="D6">
        <v>0.29207351276878402</v>
      </c>
      <c r="E6">
        <v>7.5160932405628902</v>
      </c>
      <c r="F6">
        <v>2.57076057529118</v>
      </c>
      <c r="G6">
        <v>-121.42606960922933</v>
      </c>
      <c r="H6">
        <v>-105.46109359927348</v>
      </c>
      <c r="I6">
        <v>15.7112394921574</v>
      </c>
      <c r="J6">
        <v>9.2567689976584902</v>
      </c>
      <c r="K6">
        <v>2.9236846530181202</v>
      </c>
      <c r="L6">
        <v>3.2572860093713996E-5</v>
      </c>
      <c r="M6">
        <v>1.8264364116440485E-6</v>
      </c>
      <c r="N6" s="1">
        <v>-1.79509121104084E-7</v>
      </c>
      <c r="O6" s="1">
        <v>2.5477743012864001E-11</v>
      </c>
      <c r="P6" s="1">
        <v>5.8266529802022496E-10</v>
      </c>
      <c r="Q6">
        <v>65.842657897679601</v>
      </c>
      <c r="S6">
        <v>20.966280374452701</v>
      </c>
      <c r="AA6">
        <v>1.9339118928346799</v>
      </c>
      <c r="AB6">
        <v>9.3575854434371806</v>
      </c>
      <c r="AC6">
        <v>1.8995643915957099</v>
      </c>
      <c r="AJ6">
        <v>0.80143490986803101</v>
      </c>
      <c r="AK6">
        <v>9.15275693542143E-2</v>
      </c>
      <c r="AL6">
        <v>0.107037520777754</v>
      </c>
    </row>
    <row r="7" spans="1:38" x14ac:dyDescent="0.2">
      <c r="A7">
        <v>15</v>
      </c>
      <c r="B7">
        <v>742</v>
      </c>
      <c r="C7">
        <v>275</v>
      </c>
      <c r="D7">
        <v>0.291307195980888</v>
      </c>
      <c r="E7">
        <v>9.3639236317847008</v>
      </c>
      <c r="F7">
        <v>2.56902127271072</v>
      </c>
      <c r="G7">
        <v>-151.1787393451167</v>
      </c>
      <c r="H7">
        <v>-131.31840182191178</v>
      </c>
      <c r="I7">
        <v>19.563943775013399</v>
      </c>
      <c r="J7">
        <v>11.5352929145005</v>
      </c>
      <c r="K7">
        <v>3.6449381448306402</v>
      </c>
      <c r="L7">
        <v>3.2624547436033928E-5</v>
      </c>
      <c r="M7">
        <v>1.8282875780978988E-6</v>
      </c>
      <c r="N7" s="1">
        <v>-2.29485480154525E-7</v>
      </c>
      <c r="O7" s="1">
        <v>3.1793069559970102E-11</v>
      </c>
      <c r="P7" s="1">
        <v>7.4239502040914502E-10</v>
      </c>
      <c r="Q7">
        <v>65.946029450626497</v>
      </c>
      <c r="S7">
        <v>20.859046831667801</v>
      </c>
      <c r="AA7">
        <v>1.8213227833530401</v>
      </c>
      <c r="AB7">
        <v>9.3068167328959905</v>
      </c>
      <c r="AC7">
        <v>2.0667842014564899</v>
      </c>
      <c r="AJ7">
        <v>0.79728940180241403</v>
      </c>
      <c r="AK7">
        <v>8.6220897609194005E-2</v>
      </c>
      <c r="AL7">
        <v>0.116489700588391</v>
      </c>
    </row>
    <row r="8" spans="1:38" x14ac:dyDescent="0.2">
      <c r="A8">
        <v>16</v>
      </c>
      <c r="B8">
        <v>741</v>
      </c>
      <c r="C8">
        <v>275</v>
      </c>
      <c r="D8">
        <v>0.29053936794360102</v>
      </c>
      <c r="E8">
        <v>11.416696719500299</v>
      </c>
      <c r="F8">
        <v>2.56706312381993</v>
      </c>
      <c r="G8">
        <v>-184.17785546850979</v>
      </c>
      <c r="H8">
        <v>-160.00094026085466</v>
      </c>
      <c r="I8">
        <v>23.839585078790201</v>
      </c>
      <c r="J8">
        <v>14.0653461778878</v>
      </c>
      <c r="K8">
        <v>4.4473766981279601</v>
      </c>
      <c r="L8">
        <v>3.2656062235941207E-5</v>
      </c>
      <c r="M8">
        <v>1.8298465561217021E-6</v>
      </c>
      <c r="N8" s="1">
        <v>-2.8630319141238598E-7</v>
      </c>
      <c r="O8" s="1">
        <v>3.8841299481684E-11</v>
      </c>
      <c r="P8" s="1">
        <v>9.2340597732377996E-10</v>
      </c>
      <c r="Q8">
        <v>66.045734954628699</v>
      </c>
      <c r="S8">
        <v>20.745841721273599</v>
      </c>
      <c r="AA8">
        <v>1.7046624918528499</v>
      </c>
      <c r="AB8">
        <v>9.2322231880022798</v>
      </c>
      <c r="AC8">
        <v>2.2715376442425099</v>
      </c>
      <c r="AJ8">
        <v>0.79119383083971295</v>
      </c>
      <c r="AK8">
        <v>8.0728297385412803E-2</v>
      </c>
      <c r="AL8">
        <v>0.12807787177487301</v>
      </c>
    </row>
    <row r="9" spans="1:38" x14ac:dyDescent="0.2">
      <c r="A9">
        <v>17</v>
      </c>
      <c r="B9">
        <v>740</v>
      </c>
      <c r="C9">
        <v>275</v>
      </c>
      <c r="D9">
        <v>0.28977002418201098</v>
      </c>
      <c r="E9">
        <v>13.808615950677799</v>
      </c>
      <c r="F9">
        <v>2.5647322782886</v>
      </c>
      <c r="G9">
        <v>-222.55195546546017</v>
      </c>
      <c r="H9">
        <v>-193.35689328826601</v>
      </c>
      <c r="I9">
        <v>28.8161300668155</v>
      </c>
      <c r="J9">
        <v>17.009546434795698</v>
      </c>
      <c r="K9">
        <v>5.3840379627818296</v>
      </c>
      <c r="L9">
        <v>3.2655781763532576E-5</v>
      </c>
      <c r="M9">
        <v>1.8310082652979427E-6</v>
      </c>
      <c r="N9" s="1">
        <v>-3.5276504785739601E-7</v>
      </c>
      <c r="O9" s="1">
        <v>4.71082864165832E-11</v>
      </c>
      <c r="P9" s="1">
        <v>1.1348459597049301E-9</v>
      </c>
      <c r="Q9">
        <v>66.142629981109906</v>
      </c>
      <c r="S9">
        <v>20.6208438435172</v>
      </c>
      <c r="AA9">
        <v>1.5789288330383999</v>
      </c>
      <c r="AB9">
        <v>9.1204503718408496</v>
      </c>
      <c r="AC9">
        <v>2.5371469704935299</v>
      </c>
      <c r="AJ9">
        <v>0.78205074686945797</v>
      </c>
      <c r="AK9">
        <v>7.48155712746299E-2</v>
      </c>
      <c r="AL9">
        <v>0.14313368185591099</v>
      </c>
    </row>
    <row r="10" spans="1:38" x14ac:dyDescent="0.2">
      <c r="A10">
        <v>18</v>
      </c>
      <c r="B10">
        <v>739</v>
      </c>
      <c r="C10">
        <v>275</v>
      </c>
      <c r="D10">
        <v>0.28899916020352701</v>
      </c>
      <c r="E10">
        <v>16.992445613762101</v>
      </c>
      <c r="F10">
        <v>2.5645049888611302</v>
      </c>
      <c r="G10">
        <v>-273.79711463773833</v>
      </c>
      <c r="H10">
        <v>-237.92761467795151</v>
      </c>
      <c r="I10">
        <v>35.4389171168175</v>
      </c>
      <c r="J10">
        <v>20.9419402554072</v>
      </c>
      <c r="K10">
        <v>6.6260138652755298</v>
      </c>
      <c r="L10">
        <v>3.2709707810193548E-5</v>
      </c>
      <c r="M10">
        <v>1.8312819431515301E-6</v>
      </c>
      <c r="N10" s="1">
        <v>-4.4717807918508202E-7</v>
      </c>
      <c r="O10" s="1">
        <v>5.7890321466778198E-11</v>
      </c>
      <c r="P10" s="1">
        <v>1.4335619311039601E-9</v>
      </c>
      <c r="Q10">
        <v>66.151322800743699</v>
      </c>
      <c r="S10">
        <v>20.606231218440701</v>
      </c>
      <c r="AA10">
        <v>1.5648449171059</v>
      </c>
      <c r="AB10">
        <v>9.1015129578954905</v>
      </c>
      <c r="AC10">
        <v>2.5760881058141001</v>
      </c>
      <c r="AJ10">
        <v>0.78050052408192405</v>
      </c>
      <c r="AK10">
        <v>7.4155215472030106E-2</v>
      </c>
      <c r="AL10">
        <v>0.14534426044604501</v>
      </c>
    </row>
    <row r="11" spans="1:38" x14ac:dyDescent="0.2">
      <c r="A11">
        <v>19</v>
      </c>
      <c r="B11">
        <v>738</v>
      </c>
      <c r="C11">
        <v>275</v>
      </c>
      <c r="D11">
        <v>0.28822677149780002</v>
      </c>
      <c r="E11">
        <v>23.288808475788201</v>
      </c>
      <c r="F11">
        <v>2.5653381117659899</v>
      </c>
      <c r="G11">
        <v>-375.26866625353864</v>
      </c>
      <c r="H11">
        <v>-326.18686119832017</v>
      </c>
      <c r="I11">
        <v>48.540577614813301</v>
      </c>
      <c r="J11">
        <v>28.722469801066801</v>
      </c>
      <c r="K11">
        <v>9.0782608222180894</v>
      </c>
      <c r="L11">
        <v>3.2772476238811818E-5</v>
      </c>
      <c r="M11">
        <v>1.8306653814962626E-6</v>
      </c>
      <c r="N11" s="1">
        <v>-6.3346303989965595E-7</v>
      </c>
      <c r="O11" s="1">
        <v>7.9068964398751799E-11</v>
      </c>
      <c r="P11" s="1">
        <v>2.0232949574341301E-9</v>
      </c>
      <c r="Q11">
        <v>66.100673882367502</v>
      </c>
      <c r="S11">
        <v>20.652690913901299</v>
      </c>
      <c r="AA11">
        <v>1.6149928742581301</v>
      </c>
      <c r="AB11">
        <v>9.1104446908032006</v>
      </c>
      <c r="AC11">
        <v>2.5211976386697001</v>
      </c>
      <c r="AJ11">
        <v>0.78123098618855102</v>
      </c>
      <c r="AK11">
        <v>7.6528162447135506E-2</v>
      </c>
      <c r="AL11">
        <v>0.142240851364313</v>
      </c>
    </row>
    <row r="12" spans="1:38" x14ac:dyDescent="0.2">
      <c r="A12">
        <v>20</v>
      </c>
      <c r="B12">
        <v>737</v>
      </c>
      <c r="C12">
        <v>275</v>
      </c>
      <c r="D12">
        <v>0.28745285353660599</v>
      </c>
      <c r="E12">
        <v>24.7089024435193</v>
      </c>
      <c r="F12">
        <v>2.56615789143595</v>
      </c>
      <c r="G12">
        <v>-398.16920998927708</v>
      </c>
      <c r="H12">
        <v>-346.17827731828913</v>
      </c>
      <c r="I12">
        <v>51.4685271207127</v>
      </c>
      <c r="J12">
        <v>30.496312295262801</v>
      </c>
      <c r="K12">
        <v>9.62875375906542</v>
      </c>
      <c r="L12">
        <v>3.2836230726507983E-5</v>
      </c>
      <c r="M12">
        <v>1.8300330302313158E-6</v>
      </c>
      <c r="N12" s="1">
        <v>-6.9456394898385595E-7</v>
      </c>
      <c r="O12" s="1">
        <v>8.3598178767577295E-11</v>
      </c>
      <c r="P12" s="1">
        <v>2.2105043378976399E-9</v>
      </c>
      <c r="Q12">
        <v>66.0496669474594</v>
      </c>
      <c r="S12">
        <v>20.698891200909301</v>
      </c>
      <c r="AA12">
        <v>1.66501035504414</v>
      </c>
      <c r="AB12">
        <v>9.1178985300813906</v>
      </c>
      <c r="AC12">
        <v>2.4685329665057099</v>
      </c>
      <c r="AJ12">
        <v>0.78184039430713903</v>
      </c>
      <c r="AK12">
        <v>7.8895290415180896E-2</v>
      </c>
      <c r="AL12">
        <v>0.13926431527767899</v>
      </c>
    </row>
    <row r="13" spans="1:38" x14ac:dyDescent="0.2">
      <c r="A13">
        <v>21</v>
      </c>
      <c r="B13">
        <v>736</v>
      </c>
      <c r="C13">
        <v>275</v>
      </c>
      <c r="D13">
        <v>0.28667740177377199</v>
      </c>
      <c r="E13">
        <v>25.089828149413702</v>
      </c>
      <c r="F13">
        <v>2.5669651311350101</v>
      </c>
      <c r="G13">
        <v>-404.32297658096081</v>
      </c>
      <c r="H13">
        <v>-351.61577624636635</v>
      </c>
      <c r="I13">
        <v>52.229302219287902</v>
      </c>
      <c r="J13">
        <v>30.989696792173199</v>
      </c>
      <c r="K13">
        <v>9.7741211382641495</v>
      </c>
      <c r="L13">
        <v>3.2901120261441351E-5</v>
      </c>
      <c r="M13">
        <v>1.8293866717018566E-6</v>
      </c>
      <c r="N13" s="1">
        <v>-7.2875221352808596E-7</v>
      </c>
      <c r="O13" s="1">
        <v>8.4586336726978596E-11</v>
      </c>
      <c r="P13" s="1">
        <v>2.3112007855312602E-9</v>
      </c>
      <c r="Q13">
        <v>65.998334645642998</v>
      </c>
      <c r="S13">
        <v>20.744845505486399</v>
      </c>
      <c r="AA13">
        <v>1.7149008177260601</v>
      </c>
      <c r="AB13">
        <v>9.1239824317278995</v>
      </c>
      <c r="AC13">
        <v>2.4179365994164801</v>
      </c>
      <c r="AJ13">
        <v>0.78233761311781103</v>
      </c>
      <c r="AK13">
        <v>8.12567724687452E-2</v>
      </c>
      <c r="AL13">
        <v>0.13640561441344301</v>
      </c>
    </row>
    <row r="14" spans="1:38" x14ac:dyDescent="0.2">
      <c r="A14">
        <v>22</v>
      </c>
      <c r="B14">
        <v>735</v>
      </c>
      <c r="C14">
        <v>275</v>
      </c>
      <c r="D14">
        <v>0.285900411645091</v>
      </c>
      <c r="E14">
        <v>24.943449559647</v>
      </c>
      <c r="F14">
        <v>2.5677605575336599</v>
      </c>
      <c r="G14">
        <v>-401.97706982294369</v>
      </c>
      <c r="H14">
        <v>-349.66231235162917</v>
      </c>
      <c r="I14">
        <v>51.891838983598198</v>
      </c>
      <c r="J14">
        <v>30.8325075225215</v>
      </c>
      <c r="K14">
        <v>9.7140870422923093</v>
      </c>
      <c r="L14">
        <v>3.2967286898475678E-5</v>
      </c>
      <c r="M14">
        <v>1.8287279339391092E-6</v>
      </c>
      <c r="N14" s="1">
        <v>-7.4851903663346601E-7</v>
      </c>
      <c r="O14" s="1">
        <v>8.37898853747817E-11</v>
      </c>
      <c r="P14" s="1">
        <v>2.36578401275072E-9</v>
      </c>
      <c r="Q14">
        <v>65.946706319653998</v>
      </c>
      <c r="S14">
        <v>20.790565786516702</v>
      </c>
      <c r="AA14">
        <v>1.76466728177937</v>
      </c>
      <c r="AB14">
        <v>9.1287931362244201</v>
      </c>
      <c r="AC14">
        <v>2.3692674758254499</v>
      </c>
      <c r="AJ14">
        <v>0.78273058222473901</v>
      </c>
      <c r="AK14">
        <v>8.3612760242478198E-2</v>
      </c>
      <c r="AL14">
        <v>0.133656657532782</v>
      </c>
    </row>
    <row r="15" spans="1:38" x14ac:dyDescent="0.2">
      <c r="A15">
        <v>26</v>
      </c>
      <c r="B15">
        <v>753</v>
      </c>
      <c r="C15">
        <v>250</v>
      </c>
      <c r="D15">
        <v>0.32645373483409301</v>
      </c>
      <c r="E15">
        <v>0.62768325565324401</v>
      </c>
      <c r="F15">
        <v>2.5757327271889601</v>
      </c>
      <c r="G15">
        <v>-10.178064144012929</v>
      </c>
      <c r="H15">
        <v>-8.8245388151837112</v>
      </c>
      <c r="I15">
        <v>1.3190326256680001</v>
      </c>
      <c r="J15">
        <v>0.76955332017499101</v>
      </c>
      <c r="K15">
        <v>0.24369114428198799</v>
      </c>
      <c r="L15">
        <v>3.1918077616350055E-5</v>
      </c>
      <c r="M15">
        <v>1.8167494625983462E-6</v>
      </c>
      <c r="N15" s="1">
        <v>-1.0846388898955501E-8</v>
      </c>
      <c r="O15" s="1">
        <v>2.1353220583037901E-12</v>
      </c>
      <c r="P15" s="1">
        <v>3.6818694347151797E-11</v>
      </c>
      <c r="Q15">
        <v>65.3611494700626</v>
      </c>
      <c r="S15">
        <v>21.416135490946601</v>
      </c>
      <c r="AA15">
        <v>2.4174003790326699</v>
      </c>
      <c r="AB15">
        <v>9.4639234029868309</v>
      </c>
      <c r="AC15">
        <v>1.3413912569712401</v>
      </c>
      <c r="AJ15">
        <v>0.81010679358881699</v>
      </c>
      <c r="AK15">
        <v>0.114348489931953</v>
      </c>
      <c r="AL15">
        <v>7.5544716479229002E-2</v>
      </c>
    </row>
    <row r="16" spans="1:38" x14ac:dyDescent="0.2">
      <c r="A16">
        <v>27</v>
      </c>
      <c r="B16">
        <v>752</v>
      </c>
      <c r="C16">
        <v>250</v>
      </c>
      <c r="D16">
        <v>0.32572842998585799</v>
      </c>
      <c r="E16">
        <v>2.0244030561962099</v>
      </c>
      <c r="F16">
        <v>2.5744553630478602</v>
      </c>
      <c r="G16">
        <v>-32.812822330216186</v>
      </c>
      <c r="H16">
        <v>-28.453403047232801</v>
      </c>
      <c r="I16">
        <v>4.2524696707636798</v>
      </c>
      <c r="J16">
        <v>2.4830085009638099</v>
      </c>
      <c r="K16">
        <v>0.78634226300958199</v>
      </c>
      <c r="L16">
        <v>3.2003244239721423E-5</v>
      </c>
      <c r="M16">
        <v>1.8193401449201717E-6</v>
      </c>
      <c r="N16" s="1">
        <v>-3.6108418073932598E-8</v>
      </c>
      <c r="O16" s="1">
        <v>6.8954198029954197E-12</v>
      </c>
      <c r="P16" s="1">
        <v>1.2197007570674E-10</v>
      </c>
      <c r="Q16">
        <v>65.477530612318205</v>
      </c>
      <c r="S16">
        <v>21.3189355331744</v>
      </c>
      <c r="AA16">
        <v>2.3100534701094899</v>
      </c>
      <c r="AB16">
        <v>9.4684502122397802</v>
      </c>
      <c r="AC16">
        <v>1.4250301721579499</v>
      </c>
      <c r="AJ16">
        <v>0.81047796854492005</v>
      </c>
      <c r="AK16">
        <v>0.109268539115198</v>
      </c>
      <c r="AL16">
        <v>8.0253492339881105E-2</v>
      </c>
    </row>
    <row r="17" spans="1:38" x14ac:dyDescent="0.2">
      <c r="A17">
        <v>28</v>
      </c>
      <c r="B17">
        <v>751</v>
      </c>
      <c r="C17">
        <v>250</v>
      </c>
      <c r="D17">
        <v>0.32500170873407402</v>
      </c>
      <c r="E17">
        <v>3.4710536296312702</v>
      </c>
      <c r="F17">
        <v>2.5731518916409</v>
      </c>
      <c r="G17">
        <v>-56.236611512497547</v>
      </c>
      <c r="H17">
        <v>-48.772280691017443</v>
      </c>
      <c r="I17">
        <v>7.2883179431529497</v>
      </c>
      <c r="J17">
        <v>4.2590596618076999</v>
      </c>
      <c r="K17">
        <v>1.3489501497782801</v>
      </c>
      <c r="L17">
        <v>3.2082850260056571E-5</v>
      </c>
      <c r="M17">
        <v>1.8217750939402771E-6</v>
      </c>
      <c r="N17" s="1">
        <v>-6.3853848386429495E-8</v>
      </c>
      <c r="O17" s="1">
        <v>1.18375706888913E-11</v>
      </c>
      <c r="P17" s="1">
        <v>2.1467832145031199E-10</v>
      </c>
      <c r="Q17">
        <v>65.589355181214799</v>
      </c>
      <c r="S17">
        <v>21.222890489454901</v>
      </c>
      <c r="AA17">
        <v>2.20472259120602</v>
      </c>
      <c r="AB17">
        <v>9.4658506994136999</v>
      </c>
      <c r="AC17">
        <v>1.5171810387104201</v>
      </c>
      <c r="AJ17">
        <v>0.81026771991347202</v>
      </c>
      <c r="AK17">
        <v>0.104287829745349</v>
      </c>
      <c r="AL17">
        <v>8.5444450341177397E-2</v>
      </c>
    </row>
    <row r="18" spans="1:38" x14ac:dyDescent="0.2">
      <c r="A18">
        <v>29</v>
      </c>
      <c r="B18">
        <v>750</v>
      </c>
      <c r="C18">
        <v>250</v>
      </c>
      <c r="D18">
        <v>0.324273566925672</v>
      </c>
      <c r="E18">
        <v>4.97553633207208</v>
      </c>
      <c r="F18">
        <v>2.5718122391429401</v>
      </c>
      <c r="G18">
        <v>-80.574206135135952</v>
      </c>
      <c r="H18">
        <v>-69.889595671249509</v>
      </c>
      <c r="I18">
        <v>10.4428582943717</v>
      </c>
      <c r="J18">
        <v>6.1072902289389397</v>
      </c>
      <c r="K18">
        <v>1.9346421392450299</v>
      </c>
      <c r="L18">
        <v>3.2155997015849322E-5</v>
      </c>
      <c r="M18">
        <v>1.824043229759559E-6</v>
      </c>
      <c r="N18" s="1">
        <v>-9.4314556972482006E-8</v>
      </c>
      <c r="O18" s="1">
        <v>1.69896379451007E-11</v>
      </c>
      <c r="P18" s="1">
        <v>3.1566884438298601E-10</v>
      </c>
      <c r="Q18">
        <v>65.696528531591994</v>
      </c>
      <c r="S18">
        <v>21.127689620224199</v>
      </c>
      <c r="AA18">
        <v>2.1011734631548502</v>
      </c>
      <c r="AB18">
        <v>9.4550993086782391</v>
      </c>
      <c r="AC18">
        <v>1.61950907635053</v>
      </c>
      <c r="AJ18">
        <v>0.80939232544581696</v>
      </c>
      <c r="AK18">
        <v>9.9395262503753107E-2</v>
      </c>
      <c r="AL18">
        <v>9.1212412050429306E-2</v>
      </c>
    </row>
    <row r="19" spans="1:38" x14ac:dyDescent="0.2">
      <c r="A19">
        <v>30</v>
      </c>
      <c r="B19">
        <v>749</v>
      </c>
      <c r="C19">
        <v>250</v>
      </c>
      <c r="D19">
        <v>0.32354400039133302</v>
      </c>
      <c r="E19">
        <v>6.5489066906143298</v>
      </c>
      <c r="F19">
        <v>2.5704221271742602</v>
      </c>
      <c r="G19">
        <v>-106.00036961606288</v>
      </c>
      <c r="H19">
        <v>-91.957135059798546</v>
      </c>
      <c r="I19">
        <v>13.7389175329103</v>
      </c>
      <c r="J19">
        <v>8.04108617638685</v>
      </c>
      <c r="K19">
        <v>2.5477942402455498</v>
      </c>
      <c r="L19">
        <v>3.2221511678966181E-5</v>
      </c>
      <c r="M19">
        <v>1.8261314864782084E-6</v>
      </c>
      <c r="N19" s="1">
        <v>-1.27776945128946E-7</v>
      </c>
      <c r="O19" s="1">
        <v>2.2391023467742101E-11</v>
      </c>
      <c r="P19" s="1">
        <v>4.2584908306274599E-10</v>
      </c>
      <c r="Q19">
        <v>65.799007872957205</v>
      </c>
      <c r="S19">
        <v>21.032851102500398</v>
      </c>
      <c r="AA19">
        <v>1.9990185616387499</v>
      </c>
      <c r="AB19">
        <v>9.4348375221264806</v>
      </c>
      <c r="AC19">
        <v>1.73428494077697</v>
      </c>
      <c r="AJ19">
        <v>0.80774070792492003</v>
      </c>
      <c r="AK19">
        <v>9.45725637025044E-2</v>
      </c>
      <c r="AL19">
        <v>9.7686728372574805E-2</v>
      </c>
    </row>
    <row r="20" spans="1:38" x14ac:dyDescent="0.2">
      <c r="A20">
        <v>31</v>
      </c>
      <c r="B20">
        <v>748</v>
      </c>
      <c r="C20">
        <v>250</v>
      </c>
      <c r="D20">
        <v>0.32281300494540499</v>
      </c>
      <c r="E20">
        <v>8.2074918808734605</v>
      </c>
      <c r="F20">
        <v>2.56896079115098</v>
      </c>
      <c r="G20">
        <v>-132.77349583266502</v>
      </c>
      <c r="H20">
        <v>-115.19922908209998</v>
      </c>
      <c r="I20">
        <v>17.2102695495911</v>
      </c>
      <c r="J20">
        <v>10.080194714975001</v>
      </c>
      <c r="K20">
        <v>3.1948684889021601</v>
      </c>
      <c r="L20">
        <v>3.2277780376029418E-5</v>
      </c>
      <c r="M20">
        <v>1.8280232130435029E-6</v>
      </c>
      <c r="N20" s="1">
        <v>-1.6461690196785299E-7</v>
      </c>
      <c r="O20" s="1">
        <v>2.8100417617837201E-11</v>
      </c>
      <c r="P20" s="1">
        <v>5.4642662542313504E-10</v>
      </c>
      <c r="Q20">
        <v>65.896812883857905</v>
      </c>
      <c r="S20">
        <v>20.937636614781798</v>
      </c>
      <c r="AA20">
        <v>1.8976441721389701</v>
      </c>
      <c r="AB20">
        <v>9.4031735865410404</v>
      </c>
      <c r="AC20">
        <v>1.8647327426801901</v>
      </c>
      <c r="AJ20">
        <v>0.80515797323827198</v>
      </c>
      <c r="AK20">
        <v>8.97908775163547E-2</v>
      </c>
      <c r="AL20">
        <v>0.105051149245373</v>
      </c>
    </row>
    <row r="21" spans="1:38" x14ac:dyDescent="0.2">
      <c r="A21">
        <v>32</v>
      </c>
      <c r="B21">
        <v>747</v>
      </c>
      <c r="C21">
        <v>250</v>
      </c>
      <c r="D21">
        <v>0.32208057638582899</v>
      </c>
      <c r="E21">
        <v>9.9768484224722105</v>
      </c>
      <c r="F21">
        <v>2.5673968611732798</v>
      </c>
      <c r="G21">
        <v>-161.29846573110723</v>
      </c>
      <c r="H21">
        <v>-139.96727441245352</v>
      </c>
      <c r="I21">
        <v>20.909857686275199</v>
      </c>
      <c r="J21">
        <v>12.2555050978685</v>
      </c>
      <c r="K21">
        <v>3.8859782736950299</v>
      </c>
      <c r="L21">
        <v>3.2322438359659681E-5</v>
      </c>
      <c r="M21">
        <v>1.829695085596122E-6</v>
      </c>
      <c r="N21" s="1">
        <v>-2.0536511161073301E-7</v>
      </c>
      <c r="O21" s="1">
        <v>3.4210290672567499E-11</v>
      </c>
      <c r="P21" s="1">
        <v>6.7912987407510896E-10</v>
      </c>
      <c r="Q21">
        <v>65.990038071636306</v>
      </c>
      <c r="S21">
        <v>20.840899461148901</v>
      </c>
      <c r="AA21">
        <v>1.79608220678446</v>
      </c>
      <c r="AB21">
        <v>9.3573118940336908</v>
      </c>
      <c r="AC21">
        <v>2.01566836639656</v>
      </c>
      <c r="AJ21">
        <v>0.80141493429668698</v>
      </c>
      <c r="AK21">
        <v>8.5004775862749404E-2</v>
      </c>
      <c r="AL21">
        <v>0.113580289840562</v>
      </c>
    </row>
    <row r="22" spans="1:38" x14ac:dyDescent="0.2">
      <c r="A22">
        <v>33</v>
      </c>
      <c r="B22">
        <v>746</v>
      </c>
      <c r="C22">
        <v>250</v>
      </c>
      <c r="D22">
        <v>0.32134671049404001</v>
      </c>
      <c r="E22">
        <v>11.899865069455799</v>
      </c>
      <c r="F22">
        <v>2.5656802375123</v>
      </c>
      <c r="G22">
        <v>-192.25529502411149</v>
      </c>
      <c r="H22">
        <v>-166.85132794579474</v>
      </c>
      <c r="I22">
        <v>24.926622261999398</v>
      </c>
      <c r="J22">
        <v>14.6188318496996</v>
      </c>
      <c r="K22">
        <v>4.6380935922841102</v>
      </c>
      <c r="L22">
        <v>3.2351746005882708E-5</v>
      </c>
      <c r="M22">
        <v>1.83111073230762E-6</v>
      </c>
      <c r="N22" s="1">
        <v>-2.5083945247262899E-7</v>
      </c>
      <c r="O22" s="1">
        <v>4.0876582088968797E-11</v>
      </c>
      <c r="P22" s="1">
        <v>8.2665604259643201E-10</v>
      </c>
      <c r="Q22">
        <v>66.0788674998673</v>
      </c>
      <c r="S22">
        <v>20.7407876826407</v>
      </c>
      <c r="AA22">
        <v>1.6927618317509801</v>
      </c>
      <c r="AB22">
        <v>9.2928074692245204</v>
      </c>
      <c r="AC22">
        <v>2.19477551651639</v>
      </c>
      <c r="AJ22">
        <v>0.79614677036708104</v>
      </c>
      <c r="AK22">
        <v>8.0140647430153394E-2</v>
      </c>
      <c r="AL22">
        <v>0.123712582202764</v>
      </c>
    </row>
    <row r="23" spans="1:38" x14ac:dyDescent="0.2">
      <c r="A23">
        <v>34</v>
      </c>
      <c r="B23">
        <v>745</v>
      </c>
      <c r="C23">
        <v>250</v>
      </c>
      <c r="D23">
        <v>0.32061140303491598</v>
      </c>
      <c r="E23">
        <v>14.055558469200401</v>
      </c>
      <c r="F23">
        <v>2.5637241557900698</v>
      </c>
      <c r="G23">
        <v>-226.89745057902255</v>
      </c>
      <c r="H23">
        <v>-196.93887691866323</v>
      </c>
      <c r="I23">
        <v>29.4245186469178</v>
      </c>
      <c r="J23">
        <v>17.265594362296401</v>
      </c>
      <c r="K23">
        <v>5.4824769027730698</v>
      </c>
      <c r="L23">
        <v>3.2359181459530405E-5</v>
      </c>
      <c r="M23">
        <v>1.8322060345844765E-6</v>
      </c>
      <c r="N23" s="1">
        <v>-3.0244703518585899E-7</v>
      </c>
      <c r="O23" s="1">
        <v>4.83876270594667E-11</v>
      </c>
      <c r="P23" s="1">
        <v>9.936956430335751E-10</v>
      </c>
      <c r="Q23">
        <v>66.163586293555298</v>
      </c>
      <c r="S23">
        <v>20.634093477505001</v>
      </c>
      <c r="AA23">
        <v>1.58497004772572</v>
      </c>
      <c r="AB23">
        <v>9.2018860285618498</v>
      </c>
      <c r="AC23">
        <v>2.4154641526519698</v>
      </c>
      <c r="AJ23">
        <v>0.78871468699962899</v>
      </c>
      <c r="AK23">
        <v>7.5071471370655896E-2</v>
      </c>
      <c r="AL23">
        <v>0.13621384162971401</v>
      </c>
    </row>
    <row r="24" spans="1:38" x14ac:dyDescent="0.2">
      <c r="A24">
        <v>35</v>
      </c>
      <c r="B24">
        <v>744</v>
      </c>
      <c r="C24">
        <v>250</v>
      </c>
      <c r="D24">
        <v>0.31987464975667701</v>
      </c>
      <c r="E24">
        <v>16.6109487989774</v>
      </c>
      <c r="F24">
        <v>2.5613593758372102</v>
      </c>
      <c r="G24">
        <v>-267.87489349572155</v>
      </c>
      <c r="H24">
        <v>-232.52877437190543</v>
      </c>
      <c r="I24">
        <v>34.7501539830075</v>
      </c>
      <c r="J24">
        <v>20.397365725577199</v>
      </c>
      <c r="K24">
        <v>6.4852081889320798</v>
      </c>
      <c r="L24">
        <v>3.2331727924471201E-5</v>
      </c>
      <c r="M24">
        <v>1.832849181095402E-6</v>
      </c>
      <c r="N24" s="1">
        <v>-3.62999262641082E-7</v>
      </c>
      <c r="O24" s="1">
        <v>5.7354595001301502E-11</v>
      </c>
      <c r="P24" s="1">
        <v>1.1897063096401699E-9</v>
      </c>
      <c r="Q24">
        <v>66.244530245657003</v>
      </c>
      <c r="S24">
        <v>20.514609829991901</v>
      </c>
      <c r="AA24">
        <v>1.4675076504644999</v>
      </c>
      <c r="AB24">
        <v>9.0690233698895995</v>
      </c>
      <c r="AC24">
        <v>2.7043289039968701</v>
      </c>
      <c r="AJ24">
        <v>0.77784145553526496</v>
      </c>
      <c r="AK24">
        <v>6.95539387758497E-2</v>
      </c>
      <c r="AL24">
        <v>0.15260460568888401</v>
      </c>
    </row>
    <row r="25" spans="1:38" x14ac:dyDescent="0.2">
      <c r="A25">
        <v>36</v>
      </c>
      <c r="B25">
        <v>743</v>
      </c>
      <c r="C25">
        <v>250</v>
      </c>
      <c r="D25">
        <v>0.31913644639078897</v>
      </c>
      <c r="E25">
        <v>19.7829705056653</v>
      </c>
      <c r="F25">
        <v>2.56100226184126</v>
      </c>
      <c r="G25">
        <v>-318.93894551985437</v>
      </c>
      <c r="H25">
        <v>-276.9095554047413</v>
      </c>
      <c r="I25">
        <v>41.361403449405202</v>
      </c>
      <c r="J25">
        <v>24.302131082433299</v>
      </c>
      <c r="K25">
        <v>7.72469856838085</v>
      </c>
      <c r="L25">
        <v>3.2377795086878191E-5</v>
      </c>
      <c r="M25">
        <v>1.8332434846932887E-6</v>
      </c>
      <c r="N25" s="1">
        <v>-4.4514452803763599E-7</v>
      </c>
      <c r="O25" s="1">
        <v>6.8247649829232502E-11</v>
      </c>
      <c r="P25" s="1">
        <v>1.45336217331051E-9</v>
      </c>
      <c r="Q25">
        <v>66.261673815605903</v>
      </c>
      <c r="S25">
        <v>20.4922264712146</v>
      </c>
      <c r="AA25">
        <v>1.4450409326060301</v>
      </c>
      <c r="AB25">
        <v>9.0485460112494707</v>
      </c>
      <c r="AC25">
        <v>2.75251276932384</v>
      </c>
      <c r="AJ25">
        <v>0.77616441858407403</v>
      </c>
      <c r="AK25">
        <v>6.8496104032684996E-2</v>
      </c>
      <c r="AL25">
        <v>0.15533947738324</v>
      </c>
    </row>
    <row r="26" spans="1:38" x14ac:dyDescent="0.2">
      <c r="A26">
        <v>37</v>
      </c>
      <c r="B26">
        <v>742</v>
      </c>
      <c r="C26">
        <v>250</v>
      </c>
      <c r="D26">
        <v>0.318396788651924</v>
      </c>
      <c r="E26">
        <v>27.547075819405102</v>
      </c>
      <c r="F26">
        <v>2.56081399960373</v>
      </c>
      <c r="G26">
        <v>-444.03844074393834</v>
      </c>
      <c r="H26">
        <v>-385.60376190164504</v>
      </c>
      <c r="I26">
        <v>57.562605370923698</v>
      </c>
      <c r="J26">
        <v>33.860156149814998</v>
      </c>
      <c r="K26">
        <v>10.7571560541561</v>
      </c>
      <c r="L26">
        <v>3.2450864592764512E-5</v>
      </c>
      <c r="M26">
        <v>1.8340607546548288E-6</v>
      </c>
      <c r="N26" s="1">
        <v>-6.4045621262101303E-7</v>
      </c>
      <c r="O26" s="1">
        <v>9.4909347079296703E-11</v>
      </c>
      <c r="P26" s="1">
        <v>2.08247058552423E-9</v>
      </c>
      <c r="Q26">
        <v>66.288083541296501</v>
      </c>
      <c r="S26">
        <v>20.472493275108899</v>
      </c>
      <c r="AA26">
        <v>1.4225984953212201</v>
      </c>
      <c r="AB26">
        <v>9.0556655298362703</v>
      </c>
      <c r="AC26">
        <v>2.7611591584370201</v>
      </c>
      <c r="AJ26">
        <v>0.77674802966752099</v>
      </c>
      <c r="AK26">
        <v>6.7429963113506006E-2</v>
      </c>
      <c r="AL26">
        <v>0.15582200721897199</v>
      </c>
    </row>
    <row r="27" spans="1:38" x14ac:dyDescent="0.2">
      <c r="A27">
        <v>38</v>
      </c>
      <c r="B27">
        <v>741</v>
      </c>
      <c r="C27">
        <v>250</v>
      </c>
      <c r="D27">
        <v>0.31765567223783697</v>
      </c>
      <c r="E27">
        <v>29.697150626250099</v>
      </c>
      <c r="F27">
        <v>2.5608970455237499</v>
      </c>
      <c r="G27">
        <v>-478.64705634841192</v>
      </c>
      <c r="H27">
        <v>-415.74887427159598</v>
      </c>
      <c r="I27">
        <v>62.020590718154097</v>
      </c>
      <c r="J27">
        <v>36.526195197830603</v>
      </c>
      <c r="K27">
        <v>11.5963859922281</v>
      </c>
      <c r="L27">
        <v>3.2522206733356228E-5</v>
      </c>
      <c r="M27">
        <v>1.8345389634354693E-6</v>
      </c>
      <c r="N27" s="1">
        <v>-7.1360344171196002E-7</v>
      </c>
      <c r="O27" s="1">
        <v>1.0212957017227201E-10</v>
      </c>
      <c r="P27" s="1">
        <v>2.3109823417003701E-9</v>
      </c>
      <c r="Q27">
        <v>66.295486382423206</v>
      </c>
      <c r="S27">
        <v>20.4697039673418</v>
      </c>
      <c r="AA27">
        <v>1.41856993607958</v>
      </c>
      <c r="AB27">
        <v>9.0648498314166908</v>
      </c>
      <c r="AC27">
        <v>2.7513898827385299</v>
      </c>
      <c r="AJ27">
        <v>0.77750042226859295</v>
      </c>
      <c r="AK27">
        <v>6.7235952468644694E-2</v>
      </c>
      <c r="AL27">
        <v>0.155263625262761</v>
      </c>
    </row>
    <row r="28" spans="1:38" x14ac:dyDescent="0.2">
      <c r="A28">
        <v>39</v>
      </c>
      <c r="B28">
        <v>740</v>
      </c>
      <c r="C28">
        <v>250</v>
      </c>
      <c r="D28">
        <v>0.31691309282929903</v>
      </c>
      <c r="E28">
        <v>30.884233684694301</v>
      </c>
      <c r="F28">
        <v>2.56101424482073</v>
      </c>
      <c r="G28">
        <v>-497.73284788244217</v>
      </c>
      <c r="H28">
        <v>-432.4217905457221</v>
      </c>
      <c r="I28">
        <v>64.463364098820605</v>
      </c>
      <c r="J28">
        <v>38.011314308579998</v>
      </c>
      <c r="K28">
        <v>12.0593759863511</v>
      </c>
      <c r="L28">
        <v>3.2595180005662132E-5</v>
      </c>
      <c r="M28">
        <v>1.8349799798429493E-6</v>
      </c>
      <c r="N28" s="1">
        <v>-7.6707586928168902E-7</v>
      </c>
      <c r="O28" s="1">
        <v>1.06004053710122E-10</v>
      </c>
      <c r="P28" s="1">
        <v>2.4743714634925699E-9</v>
      </c>
      <c r="Q28">
        <v>66.300503461648702</v>
      </c>
      <c r="S28">
        <v>20.469035043333498</v>
      </c>
      <c r="AA28">
        <v>1.41684740007412</v>
      </c>
      <c r="AB28">
        <v>9.0742764522117305</v>
      </c>
      <c r="AC28">
        <v>2.7393376427318099</v>
      </c>
      <c r="AJ28">
        <v>0.77827255455669597</v>
      </c>
      <c r="AK28">
        <v>6.7151168971658404E-2</v>
      </c>
      <c r="AL28">
        <v>0.15457627647164501</v>
      </c>
    </row>
    <row r="29" spans="1:38" x14ac:dyDescent="0.2">
      <c r="A29">
        <v>40</v>
      </c>
      <c r="B29">
        <v>739</v>
      </c>
      <c r="C29">
        <v>250</v>
      </c>
      <c r="D29">
        <v>0.31616904609000601</v>
      </c>
      <c r="E29">
        <v>31.579099642163101</v>
      </c>
      <c r="F29">
        <v>2.56114888877309</v>
      </c>
      <c r="G29">
        <v>-508.88510638011695</v>
      </c>
      <c r="H29">
        <v>-442.20828948540259</v>
      </c>
      <c r="I29">
        <v>65.876418411020495</v>
      </c>
      <c r="J29">
        <v>38.8930743733534</v>
      </c>
      <c r="K29">
        <v>12.330052259199499</v>
      </c>
      <c r="L29">
        <v>3.2670073114848063E-5</v>
      </c>
      <c r="M29">
        <v>1.8354048293218999E-6</v>
      </c>
      <c r="N29" s="1">
        <v>-8.1074211540689304E-7</v>
      </c>
      <c r="O29" s="1">
        <v>1.08166231918968E-10</v>
      </c>
      <c r="P29" s="1">
        <v>2.6051476615709398E-9</v>
      </c>
      <c r="Q29">
        <v>66.304291385668293</v>
      </c>
      <c r="S29">
        <v>20.469448142812102</v>
      </c>
      <c r="AA29">
        <v>1.41630435108802</v>
      </c>
      <c r="AB29">
        <v>9.0838006317787805</v>
      </c>
      <c r="AC29">
        <v>2.72615548865266</v>
      </c>
      <c r="AJ29">
        <v>0.77905258451641601</v>
      </c>
      <c r="AK29">
        <v>6.7122258108042801E-2</v>
      </c>
      <c r="AL29">
        <v>0.15382515737554101</v>
      </c>
    </row>
    <row r="30" spans="1:38" x14ac:dyDescent="0.2">
      <c r="A30">
        <v>42</v>
      </c>
      <c r="B30">
        <v>761</v>
      </c>
      <c r="C30">
        <v>225</v>
      </c>
      <c r="D30">
        <v>0.35879756321617101</v>
      </c>
      <c r="E30">
        <v>2.1160013984595601E-2</v>
      </c>
      <c r="F30">
        <v>2.5746563650708301</v>
      </c>
      <c r="G30">
        <v>-0.34374585811178543</v>
      </c>
      <c r="H30">
        <v>-0.29754994533830287</v>
      </c>
      <c r="I30">
        <v>4.4670417998822702E-2</v>
      </c>
      <c r="J30">
        <v>2.5865718499355098E-2</v>
      </c>
      <c r="K30">
        <v>8.21857793205482E-3</v>
      </c>
      <c r="L30">
        <v>3.1542674277678509E-5</v>
      </c>
      <c r="M30">
        <v>1.8156315734887394E-6</v>
      </c>
      <c r="N30" s="1">
        <v>-2.8007912182761099E-10</v>
      </c>
      <c r="O30" s="1">
        <v>7.2614705636885499E-14</v>
      </c>
      <c r="P30" s="1">
        <v>9.9437964679823896E-13</v>
      </c>
      <c r="Q30">
        <v>65.309258419993</v>
      </c>
      <c r="S30">
        <v>21.465083434472799</v>
      </c>
      <c r="AA30">
        <v>2.4698910007662902</v>
      </c>
      <c r="AB30">
        <v>9.4766103778147102</v>
      </c>
      <c r="AC30">
        <v>1.2791567669530299</v>
      </c>
      <c r="AJ30">
        <v>0.81114088715977395</v>
      </c>
      <c r="AK30">
        <v>0.116823939187943</v>
      </c>
      <c r="AL30">
        <v>7.2035173652281695E-2</v>
      </c>
    </row>
    <row r="31" spans="1:38" x14ac:dyDescent="0.2">
      <c r="A31">
        <v>43</v>
      </c>
      <c r="B31">
        <v>760</v>
      </c>
      <c r="C31">
        <v>225</v>
      </c>
      <c r="D31">
        <v>0.35810918066108399</v>
      </c>
      <c r="E31">
        <v>0.51686206811997204</v>
      </c>
      <c r="F31">
        <v>2.5742074449827999</v>
      </c>
      <c r="G31">
        <v>-8.3947012529075646</v>
      </c>
      <c r="H31">
        <v>-7.2679294300108079</v>
      </c>
      <c r="I31">
        <v>1.0906178414526</v>
      </c>
      <c r="J31">
        <v>0.63203076442479</v>
      </c>
      <c r="K31">
        <v>0.20078493251480101</v>
      </c>
      <c r="L31">
        <v>3.1603421828364633E-5</v>
      </c>
      <c r="M31">
        <v>1.8169979634929086E-6</v>
      </c>
      <c r="N31" s="1">
        <v>-7.0648127620695997E-9</v>
      </c>
      <c r="O31" s="1">
        <v>1.77369074778914E-12</v>
      </c>
      <c r="P31" s="1">
        <v>2.4933787173742499E-11</v>
      </c>
      <c r="Q31">
        <v>65.3632701679565</v>
      </c>
      <c r="S31">
        <v>21.4237652181897</v>
      </c>
      <c r="AA31">
        <v>2.4232001462686998</v>
      </c>
      <c r="AB31">
        <v>9.4886515864364291</v>
      </c>
      <c r="AC31">
        <v>1.3011128811485</v>
      </c>
      <c r="AJ31">
        <v>0.81212390062806405</v>
      </c>
      <c r="AK31">
        <v>0.11460877449215801</v>
      </c>
      <c r="AL31">
        <v>7.3267324879777204E-2</v>
      </c>
    </row>
    <row r="32" spans="1:38" x14ac:dyDescent="0.2">
      <c r="A32">
        <v>44</v>
      </c>
      <c r="B32">
        <v>759</v>
      </c>
      <c r="C32">
        <v>225</v>
      </c>
      <c r="D32">
        <v>0.35741946422516302</v>
      </c>
      <c r="E32">
        <v>1.0142842031727</v>
      </c>
      <c r="F32">
        <v>2.5737688897029298</v>
      </c>
      <c r="G32">
        <v>-16.470216342380436</v>
      </c>
      <c r="H32">
        <v>-14.262250640655967</v>
      </c>
      <c r="I32">
        <v>2.1391907200740801</v>
      </c>
      <c r="J32">
        <v>1.24074245073362</v>
      </c>
      <c r="K32">
        <v>0.39408519048878998</v>
      </c>
      <c r="L32">
        <v>3.1664232760791734E-5</v>
      </c>
      <c r="M32">
        <v>1.8183271465512639E-6</v>
      </c>
      <c r="N32" s="1">
        <v>-1.4315632523148601E-8</v>
      </c>
      <c r="O32" s="1">
        <v>3.4804330456400001E-12</v>
      </c>
      <c r="P32" s="1">
        <v>5.0231995789094398E-11</v>
      </c>
      <c r="Q32">
        <v>65.415656825078798</v>
      </c>
      <c r="S32">
        <v>21.383513891133099</v>
      </c>
      <c r="AA32">
        <v>2.3777686790383599</v>
      </c>
      <c r="AB32">
        <v>9.4998683560646402</v>
      </c>
      <c r="AC32">
        <v>1.3231922486849701</v>
      </c>
      <c r="AJ32">
        <v>0.81303953897340997</v>
      </c>
      <c r="AK32">
        <v>0.112453887006649</v>
      </c>
      <c r="AL32">
        <v>7.4506574019940097E-2</v>
      </c>
    </row>
    <row r="33" spans="1:38" x14ac:dyDescent="0.2">
      <c r="A33">
        <v>45</v>
      </c>
      <c r="B33">
        <v>758</v>
      </c>
      <c r="C33">
        <v>225</v>
      </c>
      <c r="D33">
        <v>0.356728410027642</v>
      </c>
      <c r="E33">
        <v>1.79440609546792</v>
      </c>
      <c r="F33">
        <v>2.5730925065453198</v>
      </c>
      <c r="G33">
        <v>-29.130244298175413</v>
      </c>
      <c r="H33">
        <v>-25.229613890475441</v>
      </c>
      <c r="I33">
        <v>3.7827963028656999</v>
      </c>
      <c r="J33">
        <v>2.1958335433713798</v>
      </c>
      <c r="K33">
        <v>0.69737333224646303</v>
      </c>
      <c r="L33">
        <v>3.1729769072228076E-5</v>
      </c>
      <c r="M33">
        <v>1.8199917014810929E-6</v>
      </c>
      <c r="N33" s="1">
        <v>-2.6144714091088701E-8</v>
      </c>
      <c r="O33" s="1">
        <v>6.1594819301105603E-12</v>
      </c>
      <c r="P33" s="1">
        <v>9.1222476893898394E-11</v>
      </c>
      <c r="Q33">
        <v>65.485576806342905</v>
      </c>
      <c r="S33">
        <v>21.327399643284501</v>
      </c>
      <c r="AA33">
        <v>2.3151589782387001</v>
      </c>
      <c r="AB33">
        <v>9.5085704892670098</v>
      </c>
      <c r="AC33">
        <v>1.3632940828667599</v>
      </c>
      <c r="AJ33">
        <v>0.81375031221432803</v>
      </c>
      <c r="AK33">
        <v>0.109488258205167</v>
      </c>
      <c r="AL33">
        <v>7.6761429580503401E-2</v>
      </c>
    </row>
    <row r="34" spans="1:38" x14ac:dyDescent="0.2">
      <c r="A34">
        <v>46</v>
      </c>
      <c r="B34">
        <v>757</v>
      </c>
      <c r="C34">
        <v>225</v>
      </c>
      <c r="D34">
        <v>0.35603601417269398</v>
      </c>
      <c r="E34">
        <v>3.1958246172471898</v>
      </c>
      <c r="F34">
        <v>2.5718849507624801</v>
      </c>
      <c r="G34">
        <v>-51.859793481008928</v>
      </c>
      <c r="H34">
        <v>-44.922357621075804</v>
      </c>
      <c r="I34">
        <v>6.7343938843208404</v>
      </c>
      <c r="J34">
        <v>3.9120258075280399</v>
      </c>
      <c r="K34">
        <v>1.2426001467521799</v>
      </c>
      <c r="L34">
        <v>3.1801832521263593E-5</v>
      </c>
      <c r="M34">
        <v>1.8223314000997689E-6</v>
      </c>
      <c r="N34" s="1">
        <v>-4.8024764210518398E-8</v>
      </c>
      <c r="O34" s="1">
        <v>1.09842974937175E-11</v>
      </c>
      <c r="P34" s="1">
        <v>1.66658121188671E-10</v>
      </c>
      <c r="Q34">
        <v>65.592342075702405</v>
      </c>
      <c r="S34">
        <v>21.2369039141477</v>
      </c>
      <c r="AA34">
        <v>2.21558685906838</v>
      </c>
      <c r="AB34">
        <v>9.5092448483299403</v>
      </c>
      <c r="AC34">
        <v>1.44592230275151</v>
      </c>
      <c r="AJ34">
        <v>0.81380703980110203</v>
      </c>
      <c r="AK34">
        <v>0.104779177113452</v>
      </c>
      <c r="AL34">
        <v>8.1413783085445807E-2</v>
      </c>
    </row>
    <row r="35" spans="1:38" x14ac:dyDescent="0.2">
      <c r="A35">
        <v>47</v>
      </c>
      <c r="B35">
        <v>756</v>
      </c>
      <c r="C35">
        <v>225</v>
      </c>
      <c r="D35">
        <v>0.35534227274935698</v>
      </c>
      <c r="E35">
        <v>4.6411763846536296</v>
      </c>
      <c r="F35">
        <v>2.5706568018388301</v>
      </c>
      <c r="G35">
        <v>-75.281881879689607</v>
      </c>
      <c r="H35">
        <v>-65.220947185044963</v>
      </c>
      <c r="I35">
        <v>9.7759653059754399</v>
      </c>
      <c r="J35">
        <v>5.6829707178252002</v>
      </c>
      <c r="K35">
        <v>1.8054437999400399</v>
      </c>
      <c r="L35">
        <v>3.1868460819985375E-5</v>
      </c>
      <c r="M35">
        <v>1.8245153131934287E-6</v>
      </c>
      <c r="N35" s="1">
        <v>-7.1875479835579994E-8</v>
      </c>
      <c r="O35" s="1">
        <v>1.5972664426181899E-11</v>
      </c>
      <c r="P35" s="1">
        <v>2.48136370679218E-10</v>
      </c>
      <c r="Q35">
        <v>65.6943897957958</v>
      </c>
      <c r="S35">
        <v>21.1478067682574</v>
      </c>
      <c r="AA35">
        <v>2.1182693610250198</v>
      </c>
      <c r="AB35">
        <v>9.5030729696073308</v>
      </c>
      <c r="AC35">
        <v>1.53646110531436</v>
      </c>
      <c r="AJ35">
        <v>0.81330540814445496</v>
      </c>
      <c r="AK35">
        <v>0.100180125417288</v>
      </c>
      <c r="AL35">
        <v>8.6514466438255402E-2</v>
      </c>
    </row>
    <row r="36" spans="1:38" x14ac:dyDescent="0.2">
      <c r="A36">
        <v>48</v>
      </c>
      <c r="B36">
        <v>755</v>
      </c>
      <c r="C36">
        <v>225</v>
      </c>
      <c r="D36">
        <v>0.354647181831445</v>
      </c>
      <c r="E36">
        <v>6.1370505907630397</v>
      </c>
      <c r="F36">
        <v>2.5693992097627101</v>
      </c>
      <c r="G36">
        <v>-99.500408400176724</v>
      </c>
      <c r="H36">
        <v>-86.215585798583902</v>
      </c>
      <c r="I36">
        <v>12.921093810818199</v>
      </c>
      <c r="J36">
        <v>7.5166027242026603</v>
      </c>
      <c r="K36">
        <v>2.3885157928922198</v>
      </c>
      <c r="L36">
        <v>3.1928923670461762E-5</v>
      </c>
      <c r="M36">
        <v>1.8265346519383696E-6</v>
      </c>
      <c r="N36" s="1">
        <v>-9.7857234603914297E-8</v>
      </c>
      <c r="O36" s="1">
        <v>2.1148050640157901E-11</v>
      </c>
      <c r="P36" s="1">
        <v>3.36168222063481E-10</v>
      </c>
      <c r="Q36">
        <v>65.791664229042098</v>
      </c>
      <c r="S36">
        <v>21.0598208023377</v>
      </c>
      <c r="AA36">
        <v>2.0229823790657</v>
      </c>
      <c r="AB36">
        <v>9.4891771798355808</v>
      </c>
      <c r="AC36">
        <v>1.6363554097188</v>
      </c>
      <c r="AJ36">
        <v>0.81217372791719</v>
      </c>
      <c r="AK36">
        <v>9.56804636959767E-2</v>
      </c>
      <c r="AL36">
        <v>9.21458083868332E-2</v>
      </c>
    </row>
    <row r="37" spans="1:38" x14ac:dyDescent="0.2">
      <c r="A37">
        <v>49</v>
      </c>
      <c r="B37">
        <v>754</v>
      </c>
      <c r="C37">
        <v>225</v>
      </c>
      <c r="D37">
        <v>0.35395073747748601</v>
      </c>
      <c r="E37">
        <v>7.6927260390524896</v>
      </c>
      <c r="F37">
        <v>2.56809993593843</v>
      </c>
      <c r="G37">
        <v>-124.66194183064424</v>
      </c>
      <c r="H37">
        <v>-108.03345122684971</v>
      </c>
      <c r="I37">
        <v>16.1889603308129</v>
      </c>
      <c r="J37">
        <v>9.4240893410608404</v>
      </c>
      <c r="K37">
        <v>2.99549325608367</v>
      </c>
      <c r="L37">
        <v>3.1982279159527485E-5</v>
      </c>
      <c r="M37">
        <v>1.8283790421007769E-6</v>
      </c>
      <c r="N37" s="1">
        <v>-1.2616760152428899E-7</v>
      </c>
      <c r="O37" s="1">
        <v>2.65438481524373E-11</v>
      </c>
      <c r="P37" s="1">
        <v>4.3139341358565899E-10</v>
      </c>
      <c r="Q37">
        <v>65.884150832401204</v>
      </c>
      <c r="S37">
        <v>20.972520486782098</v>
      </c>
      <c r="AA37">
        <v>1.9293782403275801</v>
      </c>
      <c r="AB37">
        <v>9.4664094894432704</v>
      </c>
      <c r="AC37">
        <v>1.7475409510458</v>
      </c>
      <c r="AJ37">
        <v>0.81031808425150398</v>
      </c>
      <c r="AK37">
        <v>9.1263771270076302E-2</v>
      </c>
      <c r="AL37">
        <v>9.8418144478418707E-2</v>
      </c>
    </row>
    <row r="38" spans="1:38" x14ac:dyDescent="0.2">
      <c r="A38">
        <v>50</v>
      </c>
      <c r="B38">
        <v>753</v>
      </c>
      <c r="C38">
        <v>225</v>
      </c>
      <c r="D38">
        <v>0.35325293573064698</v>
      </c>
      <c r="E38">
        <v>9.3218331467416906</v>
      </c>
      <c r="F38">
        <v>2.5667417229399501</v>
      </c>
      <c r="G38">
        <v>-150.98214489471988</v>
      </c>
      <c r="H38">
        <v>-130.86159492777449</v>
      </c>
      <c r="I38">
        <v>19.6078058441216</v>
      </c>
      <c r="J38">
        <v>11.4218343246537</v>
      </c>
      <c r="K38">
        <v>3.6317768412103502</v>
      </c>
      <c r="L38">
        <v>3.2027251335930689E-5</v>
      </c>
      <c r="M38">
        <v>1.8300351940890135E-6</v>
      </c>
      <c r="N38" s="1">
        <v>-1.5706406824828999E-7</v>
      </c>
      <c r="O38" s="1">
        <v>3.22095039284014E-11</v>
      </c>
      <c r="P38" s="1">
        <v>5.3465960437845596E-10</v>
      </c>
      <c r="Q38">
        <v>65.971876974108795</v>
      </c>
      <c r="S38">
        <v>20.8852837566427</v>
      </c>
      <c r="AA38">
        <v>1.83693734885561</v>
      </c>
      <c r="AB38">
        <v>9.4332000629418395</v>
      </c>
      <c r="AC38">
        <v>1.87270185745096</v>
      </c>
      <c r="AJ38">
        <v>0.80760987720105304</v>
      </c>
      <c r="AK38">
        <v>8.6905589790493301E-2</v>
      </c>
      <c r="AL38">
        <v>0.10548453300845199</v>
      </c>
    </row>
    <row r="39" spans="1:38" x14ac:dyDescent="0.2">
      <c r="A39">
        <v>51</v>
      </c>
      <c r="B39">
        <v>752</v>
      </c>
      <c r="C39">
        <v>225</v>
      </c>
      <c r="D39">
        <v>0.35255377261864101</v>
      </c>
      <c r="E39">
        <v>11.0452932555819</v>
      </c>
      <c r="F39">
        <v>2.5652994987496598</v>
      </c>
      <c r="G39">
        <v>-178.79248294889581</v>
      </c>
      <c r="H39">
        <v>-154.98742245698023</v>
      </c>
      <c r="I39">
        <v>23.2210510578116</v>
      </c>
      <c r="J39">
        <v>13.535018495068901</v>
      </c>
      <c r="K39">
        <v>4.30565447074129</v>
      </c>
      <c r="L39">
        <v>3.2062014851420413E-5</v>
      </c>
      <c r="M39">
        <v>1.8314845013818178E-6</v>
      </c>
      <c r="N39" s="1">
        <v>-1.90904092959503E-7</v>
      </c>
      <c r="O39" s="1">
        <v>3.8221367969001303E-11</v>
      </c>
      <c r="P39" s="1">
        <v>6.4716204918681601E-10</v>
      </c>
      <c r="Q39">
        <v>66.054909044593401</v>
      </c>
      <c r="S39">
        <v>20.797193099642701</v>
      </c>
      <c r="AA39">
        <v>1.744887256328</v>
      </c>
      <c r="AB39">
        <v>9.3872914701229693</v>
      </c>
      <c r="AC39">
        <v>2.0157191293127701</v>
      </c>
      <c r="AJ39">
        <v>0.80386396020159601</v>
      </c>
      <c r="AK39">
        <v>8.2569644878472501E-2</v>
      </c>
      <c r="AL39">
        <v>0.11356639491992999</v>
      </c>
    </row>
    <row r="40" spans="1:38" x14ac:dyDescent="0.2">
      <c r="A40">
        <v>52</v>
      </c>
      <c r="B40">
        <v>751</v>
      </c>
      <c r="C40">
        <v>225</v>
      </c>
      <c r="D40">
        <v>0.35185324415369101</v>
      </c>
      <c r="E40">
        <v>12.8969287075296</v>
      </c>
      <c r="F40">
        <v>2.56373523494995</v>
      </c>
      <c r="G40">
        <v>-208.62933594127978</v>
      </c>
      <c r="H40">
        <v>-180.87592497840592</v>
      </c>
      <c r="I40">
        <v>27.0989708176281</v>
      </c>
      <c r="J40">
        <v>15.8043538187676</v>
      </c>
      <c r="K40">
        <v>5.0305228604393601</v>
      </c>
      <c r="L40">
        <v>3.2083790995954498E-5</v>
      </c>
      <c r="M40">
        <v>1.8326984596292066E-6</v>
      </c>
      <c r="N40" s="1">
        <v>-2.2822066791237E-7</v>
      </c>
      <c r="O40" s="1">
        <v>4.4703411314040201E-11</v>
      </c>
      <c r="P40" s="1">
        <v>7.7070758199547199E-10</v>
      </c>
      <c r="Q40">
        <v>66.133341572902793</v>
      </c>
      <c r="S40">
        <v>20.706854906014801</v>
      </c>
      <c r="AA40">
        <v>1.6520561633561599</v>
      </c>
      <c r="AB40">
        <v>9.3252408347142204</v>
      </c>
      <c r="AC40">
        <v>2.1825065230119201</v>
      </c>
      <c r="AJ40">
        <v>0.798797656996453</v>
      </c>
      <c r="AK40">
        <v>7.8201003020049301E-2</v>
      </c>
      <c r="AL40">
        <v>0.12300133998349599</v>
      </c>
    </row>
    <row r="41" spans="1:38" x14ac:dyDescent="0.2">
      <c r="A41">
        <v>53</v>
      </c>
      <c r="B41">
        <v>750</v>
      </c>
      <c r="C41">
        <v>225</v>
      </c>
      <c r="D41">
        <v>0.35115134633240402</v>
      </c>
      <c r="E41">
        <v>14.935269399488799</v>
      </c>
      <c r="F41">
        <v>2.5619876805968</v>
      </c>
      <c r="G41">
        <v>-241.42146643145529</v>
      </c>
      <c r="H41">
        <v>-209.33215542063562</v>
      </c>
      <c r="I41">
        <v>31.363251733196101</v>
      </c>
      <c r="J41">
        <v>18.300288496495501</v>
      </c>
      <c r="K41">
        <v>5.82956331624895</v>
      </c>
      <c r="L41">
        <v>3.2088022758347407E-5</v>
      </c>
      <c r="M41">
        <v>1.8336291491582485E-6</v>
      </c>
      <c r="N41" s="1">
        <v>-2.6987855727720798E-7</v>
      </c>
      <c r="O41" s="1">
        <v>5.1870859624558097E-11</v>
      </c>
      <c r="P41" s="1">
        <v>9.08262051304787E-10</v>
      </c>
      <c r="Q41">
        <v>66.207263027825903</v>
      </c>
      <c r="S41">
        <v>20.612041262521998</v>
      </c>
      <c r="AA41">
        <v>1.5565853757253301</v>
      </c>
      <c r="AB41">
        <v>9.2414045404694694</v>
      </c>
      <c r="AC41">
        <v>2.3827057934571498</v>
      </c>
      <c r="AJ41">
        <v>0.79194710662050105</v>
      </c>
      <c r="AK41">
        <v>7.3712634099656393E-2</v>
      </c>
      <c r="AL41">
        <v>0.134340259279842</v>
      </c>
    </row>
    <row r="42" spans="1:38" x14ac:dyDescent="0.2">
      <c r="A42">
        <v>54</v>
      </c>
      <c r="B42">
        <v>749</v>
      </c>
      <c r="C42">
        <v>225</v>
      </c>
      <c r="D42">
        <v>0.350448075135744</v>
      </c>
      <c r="E42">
        <v>17.2716730307489</v>
      </c>
      <c r="F42">
        <v>2.5599498563262499</v>
      </c>
      <c r="G42">
        <v>-278.93634494827654</v>
      </c>
      <c r="H42">
        <v>-241.88805799112922</v>
      </c>
      <c r="I42">
        <v>36.245450234454097</v>
      </c>
      <c r="J42">
        <v>21.156815624678199</v>
      </c>
      <c r="K42">
        <v>6.7468794312773097</v>
      </c>
      <c r="L42">
        <v>3.2066500312325648E-5</v>
      </c>
      <c r="M42">
        <v>1.8341870322404901E-6</v>
      </c>
      <c r="N42" s="1">
        <v>-3.17438118895685E-7</v>
      </c>
      <c r="O42" s="1">
        <v>6.0134208790274401E-11</v>
      </c>
      <c r="P42" s="1">
        <v>1.06523000914281E-9</v>
      </c>
      <c r="Q42">
        <v>66.276636307176105</v>
      </c>
      <c r="S42">
        <v>20.508914596922398</v>
      </c>
      <c r="AA42">
        <v>1.45531751433017</v>
      </c>
      <c r="AB42">
        <v>9.1256392126042805</v>
      </c>
      <c r="AC42">
        <v>2.6334923689668801</v>
      </c>
      <c r="AJ42">
        <v>0.78247759477891998</v>
      </c>
      <c r="AK42">
        <v>6.8956810017656106E-2</v>
      </c>
      <c r="AL42">
        <v>0.148565595203423</v>
      </c>
    </row>
    <row r="43" spans="1:38" x14ac:dyDescent="0.2">
      <c r="A43">
        <v>55</v>
      </c>
      <c r="B43">
        <v>748</v>
      </c>
      <c r="C43">
        <v>225</v>
      </c>
      <c r="D43">
        <v>0.34974342652891699</v>
      </c>
      <c r="E43">
        <v>20.103272603737999</v>
      </c>
      <c r="F43">
        <v>2.5576788363066898</v>
      </c>
      <c r="G43">
        <v>-324.3246062387534</v>
      </c>
      <c r="H43">
        <v>-281.2774367906739</v>
      </c>
      <c r="I43">
        <v>42.1555789532189</v>
      </c>
      <c r="J43">
        <v>24.612694165251401</v>
      </c>
      <c r="K43">
        <v>7.8599675292959397</v>
      </c>
      <c r="L43">
        <v>3.2014202136151664E-5</v>
      </c>
      <c r="M43">
        <v>1.8342116785161469E-6</v>
      </c>
      <c r="N43" s="1">
        <v>-3.7411370796653797E-7</v>
      </c>
      <c r="O43" s="1">
        <v>7.0196811105617602E-11</v>
      </c>
      <c r="P43" s="1">
        <v>1.2525212074866499E-9</v>
      </c>
      <c r="Q43">
        <v>66.334588727813198</v>
      </c>
      <c r="S43">
        <v>20.402070392046099</v>
      </c>
      <c r="AA43">
        <v>1.3536475462147699</v>
      </c>
      <c r="AB43">
        <v>8.9746771009319204</v>
      </c>
      <c r="AC43">
        <v>2.9350162329938501</v>
      </c>
      <c r="AJ43">
        <v>0.77011208907205697</v>
      </c>
      <c r="AK43">
        <v>6.4187653496263805E-2</v>
      </c>
      <c r="AL43">
        <v>0.16570025743167799</v>
      </c>
    </row>
    <row r="44" spans="1:38" x14ac:dyDescent="0.2">
      <c r="A44">
        <v>56</v>
      </c>
      <c r="B44">
        <v>747</v>
      </c>
      <c r="C44">
        <v>225</v>
      </c>
      <c r="D44">
        <v>0.34903739646130499</v>
      </c>
      <c r="E44">
        <v>25.7123732439047</v>
      </c>
      <c r="F44">
        <v>2.55819501826605</v>
      </c>
      <c r="G44">
        <v>-414.8166123523859</v>
      </c>
      <c r="H44">
        <v>-359.84344330004132</v>
      </c>
      <c r="I44">
        <v>53.887339168107196</v>
      </c>
      <c r="J44">
        <v>31.497161873526199</v>
      </c>
      <c r="K44">
        <v>10.050982454548199</v>
      </c>
      <c r="L44">
        <v>3.2069332163357123E-5</v>
      </c>
      <c r="M44">
        <v>1.8341622524214271E-6</v>
      </c>
      <c r="N44" s="1">
        <v>-4.9473456392833701E-7</v>
      </c>
      <c r="O44" s="1">
        <v>8.9585585817948296E-11</v>
      </c>
      <c r="P44" s="1">
        <v>1.64855982322247E-9</v>
      </c>
      <c r="Q44">
        <v>66.313642402598205</v>
      </c>
      <c r="S44">
        <v>20.425577333295902</v>
      </c>
      <c r="AA44">
        <v>1.37792855207198</v>
      </c>
      <c r="AB44">
        <v>8.9896258408844396</v>
      </c>
      <c r="AC44">
        <v>2.8932258711493799</v>
      </c>
      <c r="AJ44">
        <v>0.77133715446273998</v>
      </c>
      <c r="AK44">
        <v>6.5334131857724007E-2</v>
      </c>
      <c r="AL44">
        <v>0.163328713679535</v>
      </c>
    </row>
    <row r="45" spans="1:38" x14ac:dyDescent="0.2">
      <c r="A45">
        <v>57</v>
      </c>
      <c r="B45">
        <v>746</v>
      </c>
      <c r="C45">
        <v>225</v>
      </c>
      <c r="D45">
        <v>0.34832998086640898</v>
      </c>
      <c r="E45">
        <v>28.834354527987699</v>
      </c>
      <c r="F45">
        <v>2.5585382407215702</v>
      </c>
      <c r="G45">
        <v>-465.16461323472379</v>
      </c>
      <c r="H45">
        <v>-403.61155793449819</v>
      </c>
      <c r="I45">
        <v>60.396463033140897</v>
      </c>
      <c r="J45">
        <v>35.340812264325102</v>
      </c>
      <c r="K45">
        <v>11.2698548214216</v>
      </c>
      <c r="L45">
        <v>3.2127341280577399E-5</v>
      </c>
      <c r="M45">
        <v>1.8343055190785E-6</v>
      </c>
      <c r="N45" s="1">
        <v>-5.7348099576712003E-7</v>
      </c>
      <c r="O45" s="1">
        <v>1.0026701818582201E-10</v>
      </c>
      <c r="P45" s="1">
        <v>1.90221128033646E-9</v>
      </c>
      <c r="Q45">
        <v>66.3037298371014</v>
      </c>
      <c r="S45">
        <v>20.438725338473098</v>
      </c>
      <c r="AA45">
        <v>1.3910887526131499</v>
      </c>
      <c r="AB45">
        <v>9.0020054250945094</v>
      </c>
      <c r="AC45">
        <v>2.8644506467177999</v>
      </c>
      <c r="AJ45">
        <v>0.77235165123327598</v>
      </c>
      <c r="AK45">
        <v>6.5954045358718003E-2</v>
      </c>
      <c r="AL45">
        <v>0.161694303408005</v>
      </c>
    </row>
    <row r="46" spans="1:38" x14ac:dyDescent="0.2">
      <c r="A46">
        <v>58</v>
      </c>
      <c r="B46">
        <v>745</v>
      </c>
      <c r="C46">
        <v>225</v>
      </c>
      <c r="D46">
        <v>0.347621175661739</v>
      </c>
      <c r="E46">
        <v>30.1427620500871</v>
      </c>
      <c r="F46">
        <v>2.5587823611895599</v>
      </c>
      <c r="G46">
        <v>-486.24101231861971</v>
      </c>
      <c r="H46">
        <v>-421.99398743017514</v>
      </c>
      <c r="I46">
        <v>63.101728515881199</v>
      </c>
      <c r="J46">
        <v>36.964967404472802</v>
      </c>
      <c r="K46">
        <v>11.7801195237542</v>
      </c>
      <c r="L46">
        <v>3.2187929461318805E-5</v>
      </c>
      <c r="M46">
        <v>1.8345657999286906E-6</v>
      </c>
      <c r="N46" s="1">
        <v>-6.1961741318589104E-7</v>
      </c>
      <c r="O46" s="1">
        <v>1.04624602916848E-10</v>
      </c>
      <c r="P46" s="1">
        <v>2.0460631826794799E-9</v>
      </c>
      <c r="Q46">
        <v>66.300286049581501</v>
      </c>
      <c r="S46">
        <v>20.445870930571299</v>
      </c>
      <c r="AA46">
        <v>1.3977874999973501</v>
      </c>
      <c r="AB46">
        <v>9.0130642279307001</v>
      </c>
      <c r="AC46">
        <v>2.8429912919191</v>
      </c>
      <c r="AJ46">
        <v>0.77325788898023196</v>
      </c>
      <c r="AK46">
        <v>6.6267995838438301E-2</v>
      </c>
      <c r="AL46">
        <v>0.16047411518132901</v>
      </c>
    </row>
    <row r="47" spans="1:38" x14ac:dyDescent="0.2">
      <c r="A47">
        <v>59</v>
      </c>
      <c r="B47">
        <v>744</v>
      </c>
      <c r="C47">
        <v>225</v>
      </c>
      <c r="D47">
        <v>0.34691097674876298</v>
      </c>
      <c r="E47">
        <v>30.963580138887298</v>
      </c>
      <c r="F47">
        <v>2.5589915068662701</v>
      </c>
      <c r="G47">
        <v>-499.44553853736141</v>
      </c>
      <c r="H47">
        <v>-433.55075733542895</v>
      </c>
      <c r="I47">
        <v>64.783740059905</v>
      </c>
      <c r="J47">
        <v>37.993218692221298</v>
      </c>
      <c r="K47">
        <v>12.0999151641597</v>
      </c>
      <c r="L47">
        <v>3.2250600434777525E-5</v>
      </c>
      <c r="M47">
        <v>1.8348706587588306E-6</v>
      </c>
      <c r="N47" s="1">
        <v>-6.5784034605330696E-7</v>
      </c>
      <c r="O47" s="1">
        <v>1.07277090891283E-10</v>
      </c>
      <c r="P47" s="1">
        <v>2.1627950358428002E-9</v>
      </c>
      <c r="Q47">
        <v>66.299121448780198</v>
      </c>
      <c r="S47">
        <v>20.450892940216999</v>
      </c>
      <c r="AA47">
        <v>1.4022024530522199</v>
      </c>
      <c r="AB47">
        <v>9.0236348286807093</v>
      </c>
      <c r="AC47">
        <v>2.8241483292697001</v>
      </c>
      <c r="AJ47">
        <v>0.77412405967002496</v>
      </c>
      <c r="AK47">
        <v>6.6473809249698701E-2</v>
      </c>
      <c r="AL47">
        <v>0.15940213108027501</v>
      </c>
    </row>
    <row r="48" spans="1:38" x14ac:dyDescent="0.2">
      <c r="A48">
        <v>60</v>
      </c>
      <c r="B48">
        <v>743</v>
      </c>
      <c r="C48">
        <v>225</v>
      </c>
      <c r="D48">
        <v>0.34619938001279399</v>
      </c>
      <c r="E48">
        <v>31.472117185184501</v>
      </c>
      <c r="F48">
        <v>2.5591798351732602</v>
      </c>
      <c r="G48">
        <v>-507.6088142969507</v>
      </c>
      <c r="H48">
        <v>-440.73519210334979</v>
      </c>
      <c r="I48">
        <v>65.810778126852298</v>
      </c>
      <c r="J48">
        <v>38.639899015928897</v>
      </c>
      <c r="K48">
        <v>12.2977356857196</v>
      </c>
      <c r="L48">
        <v>3.2315298385553568E-5</v>
      </c>
      <c r="M48">
        <v>1.835204408609582E-6</v>
      </c>
      <c r="N48" s="1">
        <v>-6.9108408847593799E-7</v>
      </c>
      <c r="O48" s="1">
        <v>1.08837236029489E-10</v>
      </c>
      <c r="P48" s="1">
        <v>2.2623877267287299E-9</v>
      </c>
      <c r="Q48">
        <v>66.299316964095496</v>
      </c>
      <c r="S48">
        <v>20.4546453050751</v>
      </c>
      <c r="AA48">
        <v>1.4052525716553099</v>
      </c>
      <c r="AB48">
        <v>9.0339078363936807</v>
      </c>
      <c r="AC48">
        <v>2.8068773227803399</v>
      </c>
      <c r="AJ48">
        <v>0.77496577848210102</v>
      </c>
      <c r="AK48">
        <v>6.6615002496462905E-2</v>
      </c>
      <c r="AL48">
        <v>0.15841921902143499</v>
      </c>
    </row>
    <row r="49" spans="1:38" x14ac:dyDescent="0.2">
      <c r="A49">
        <v>63</v>
      </c>
      <c r="B49">
        <v>769</v>
      </c>
      <c r="C49">
        <v>200</v>
      </c>
      <c r="D49">
        <v>0.390644820803149</v>
      </c>
      <c r="E49">
        <v>0.47591136426247599</v>
      </c>
      <c r="F49">
        <v>2.5725045288220199</v>
      </c>
      <c r="G49">
        <v>-7.7437353434648593</v>
      </c>
      <c r="H49">
        <v>-6.6918121960145971</v>
      </c>
      <c r="I49">
        <v>1.0093778702204601</v>
      </c>
      <c r="J49">
        <v>0.58051086209605096</v>
      </c>
      <c r="K49">
        <v>0.18499923282172001</v>
      </c>
      <c r="L49">
        <v>3.1279144455018568E-5</v>
      </c>
      <c r="M49">
        <v>1.8166984957582324E-6</v>
      </c>
      <c r="N49" s="1">
        <v>-4.8428902619797397E-9</v>
      </c>
      <c r="O49" s="1">
        <v>1.64696910160678E-12</v>
      </c>
      <c r="P49" s="1">
        <v>1.81358274640869E-11</v>
      </c>
      <c r="Q49">
        <v>65.351938499839093</v>
      </c>
      <c r="S49">
        <v>21.435659401593899</v>
      </c>
      <c r="AA49">
        <v>2.4356570592051598</v>
      </c>
      <c r="AB49">
        <v>9.49458171975966</v>
      </c>
      <c r="AC49">
        <v>1.28216331960214</v>
      </c>
      <c r="AJ49">
        <v>0.81260736256968302</v>
      </c>
      <c r="AK49">
        <v>0.11519452703434099</v>
      </c>
      <c r="AL49">
        <v>7.2198110395975207E-2</v>
      </c>
    </row>
    <row r="50" spans="1:38" x14ac:dyDescent="0.2">
      <c r="A50">
        <v>64</v>
      </c>
      <c r="B50">
        <v>768</v>
      </c>
      <c r="C50">
        <v>200</v>
      </c>
      <c r="D50">
        <v>0.38999231618883101</v>
      </c>
      <c r="E50">
        <v>0.95396529357208304</v>
      </c>
      <c r="F50">
        <v>2.5720861039185201</v>
      </c>
      <c r="G50">
        <v>-15.519149487105231</v>
      </c>
      <c r="H50">
        <v>-13.413585783085741</v>
      </c>
      <c r="I50">
        <v>2.0223442386010499</v>
      </c>
      <c r="J50">
        <v>1.1639421389259901</v>
      </c>
      <c r="K50">
        <v>0.37089166343176999</v>
      </c>
      <c r="L50">
        <v>3.1329740810528635E-5</v>
      </c>
      <c r="M50">
        <v>1.8179624207227762E-6</v>
      </c>
      <c r="N50" s="1">
        <v>-1.00222971631932E-8</v>
      </c>
      <c r="O50" s="1">
        <v>3.3018949913458101E-12</v>
      </c>
      <c r="P50" s="1">
        <v>3.7265764590757603E-11</v>
      </c>
      <c r="Q50">
        <v>65.402490012170404</v>
      </c>
      <c r="S50">
        <v>21.396935779040302</v>
      </c>
      <c r="AA50">
        <v>2.3919141697812099</v>
      </c>
      <c r="AB50">
        <v>9.5057140435876804</v>
      </c>
      <c r="AC50">
        <v>1.30294599542031</v>
      </c>
      <c r="AJ50">
        <v>0.81351603129503902</v>
      </c>
      <c r="AK50">
        <v>0.11311957170185501</v>
      </c>
      <c r="AL50">
        <v>7.3364397003105E-2</v>
      </c>
    </row>
    <row r="51" spans="1:38" x14ac:dyDescent="0.2">
      <c r="A51">
        <v>65</v>
      </c>
      <c r="B51">
        <v>767</v>
      </c>
      <c r="C51">
        <v>200</v>
      </c>
      <c r="D51">
        <v>0.38933855693890601</v>
      </c>
      <c r="E51">
        <v>1.43317038591028</v>
      </c>
      <c r="F51">
        <v>2.5716774410779402</v>
      </c>
      <c r="G51">
        <v>-23.310098610763092</v>
      </c>
      <c r="H51">
        <v>-20.15139183309752</v>
      </c>
      <c r="I51">
        <v>3.0367800583238602</v>
      </c>
      <c r="J51">
        <v>1.74909610619175</v>
      </c>
      <c r="K51">
        <v>0.55729010295690595</v>
      </c>
      <c r="L51">
        <v>3.1380245392079176E-5</v>
      </c>
      <c r="M51">
        <v>1.8191917525675748E-6</v>
      </c>
      <c r="N51" s="1">
        <v>-1.55430786892589E-8</v>
      </c>
      <c r="O51" s="1">
        <v>4.96112307526514E-12</v>
      </c>
      <c r="P51" s="1">
        <v>5.73945379111667E-11</v>
      </c>
      <c r="Q51">
        <v>65.4515427459976</v>
      </c>
      <c r="S51">
        <v>21.359201362781398</v>
      </c>
      <c r="AA51">
        <v>2.3493371051533698</v>
      </c>
      <c r="AB51">
        <v>9.5160997527876905</v>
      </c>
      <c r="AC51">
        <v>1.3238190332797899</v>
      </c>
      <c r="AJ51">
        <v>0.81436370006385395</v>
      </c>
      <c r="AK51">
        <v>0.11110038125855901</v>
      </c>
      <c r="AL51">
        <v>7.4535918677585494E-2</v>
      </c>
    </row>
    <row r="52" spans="1:38" x14ac:dyDescent="0.2">
      <c r="A52">
        <v>66</v>
      </c>
      <c r="B52">
        <v>766</v>
      </c>
      <c r="C52">
        <v>200</v>
      </c>
      <c r="D52">
        <v>0.38868353943126899</v>
      </c>
      <c r="E52">
        <v>1.9132201266840401</v>
      </c>
      <c r="F52">
        <v>2.5712785570021301</v>
      </c>
      <c r="G52">
        <v>-31.111590693782951</v>
      </c>
      <c r="H52">
        <v>-26.900933101644686</v>
      </c>
      <c r="I52">
        <v>4.0520209711189503</v>
      </c>
      <c r="J52">
        <v>2.3356105698173302</v>
      </c>
      <c r="K52">
        <v>0.74407345772551003</v>
      </c>
      <c r="L52">
        <v>3.1430693223504081E-5</v>
      </c>
      <c r="M52">
        <v>1.8203869925489265E-6</v>
      </c>
      <c r="N52" s="1">
        <v>-2.1417141866314201E-8</v>
      </c>
      <c r="O52" s="1">
        <v>6.62336240499331E-12</v>
      </c>
      <c r="P52" s="1">
        <v>7.8553122666253202E-11</v>
      </c>
      <c r="Q52">
        <v>65.499110116077802</v>
      </c>
      <c r="S52">
        <v>21.322450199735101</v>
      </c>
      <c r="AA52">
        <v>2.3079178238177902</v>
      </c>
      <c r="AB52">
        <v>9.5257531346478306</v>
      </c>
      <c r="AC52">
        <v>1.3447687257213501</v>
      </c>
      <c r="AJ52">
        <v>0.81515155252705995</v>
      </c>
      <c r="AK52">
        <v>0.109136537026381</v>
      </c>
      <c r="AL52">
        <v>7.57119104465582E-2</v>
      </c>
    </row>
    <row r="53" spans="1:38" x14ac:dyDescent="0.2">
      <c r="A53">
        <v>67</v>
      </c>
      <c r="B53">
        <v>765</v>
      </c>
      <c r="C53">
        <v>200</v>
      </c>
      <c r="D53">
        <v>0.38802726002986099</v>
      </c>
      <c r="E53">
        <v>2.3938083707393698</v>
      </c>
      <c r="F53">
        <v>2.57088944575912</v>
      </c>
      <c r="G53">
        <v>-38.918645107494257</v>
      </c>
      <c r="H53">
        <v>-33.657918756709137</v>
      </c>
      <c r="I53">
        <v>5.06740485554604</v>
      </c>
      <c r="J53">
        <v>2.9231241427921999</v>
      </c>
      <c r="K53">
        <v>0.93112069625869698</v>
      </c>
      <c r="L53">
        <v>3.1481122013443049E-5</v>
      </c>
      <c r="M53">
        <v>1.8215487160273695E-6</v>
      </c>
      <c r="N53" s="1">
        <v>-2.7656707924336599E-8</v>
      </c>
      <c r="O53" s="1">
        <v>8.2873178979357295E-12</v>
      </c>
      <c r="P53" s="1">
        <v>1.00773322973941E-10</v>
      </c>
      <c r="Q53">
        <v>65.545208598429795</v>
      </c>
      <c r="S53">
        <v>21.2866742233597</v>
      </c>
      <c r="AA53">
        <v>2.2676458263411701</v>
      </c>
      <c r="AB53">
        <v>9.5346897576051202</v>
      </c>
      <c r="AC53">
        <v>1.3657815942640501</v>
      </c>
      <c r="AJ53">
        <v>0.81588087507354701</v>
      </c>
      <c r="AK53">
        <v>0.10722750526765699</v>
      </c>
      <c r="AL53">
        <v>7.6891619658795596E-2</v>
      </c>
    </row>
    <row r="54" spans="1:38" x14ac:dyDescent="0.2">
      <c r="A54">
        <v>68</v>
      </c>
      <c r="B54">
        <v>764</v>
      </c>
      <c r="C54">
        <v>200</v>
      </c>
      <c r="D54">
        <v>0.38736971508460899</v>
      </c>
      <c r="E54">
        <v>2.8746312265578999</v>
      </c>
      <c r="F54">
        <v>2.5705100796102802</v>
      </c>
      <c r="G54">
        <v>-46.72632316046505</v>
      </c>
      <c r="H54">
        <v>-40.418090755013907</v>
      </c>
      <c r="I54">
        <v>6.0822758573505604</v>
      </c>
      <c r="J54">
        <v>3.5112785723573201</v>
      </c>
      <c r="K54">
        <v>1.1183115947919999</v>
      </c>
      <c r="L54">
        <v>3.1531572051121723E-5</v>
      </c>
      <c r="M54">
        <v>1.8226775670549163E-6</v>
      </c>
      <c r="N54" s="1">
        <v>-3.4274345607231899E-8</v>
      </c>
      <c r="O54" s="1">
        <v>9.9516974474957198E-12</v>
      </c>
      <c r="P54" s="1">
        <v>1.24087880227315E-10</v>
      </c>
      <c r="Q54">
        <v>65.589857523147302</v>
      </c>
      <c r="S54">
        <v>21.251863377443399</v>
      </c>
      <c r="AA54">
        <v>2.2285083058327499</v>
      </c>
      <c r="AB54">
        <v>9.5429263340699801</v>
      </c>
      <c r="AC54">
        <v>1.38684445950645</v>
      </c>
      <c r="AJ54">
        <v>0.81655304568712905</v>
      </c>
      <c r="AK54">
        <v>0.105372644398777</v>
      </c>
      <c r="AL54">
        <v>7.8074309914092296E-2</v>
      </c>
    </row>
    <row r="55" spans="1:38" x14ac:dyDescent="0.2">
      <c r="A55">
        <v>69</v>
      </c>
      <c r="B55">
        <v>763</v>
      </c>
      <c r="C55">
        <v>200</v>
      </c>
      <c r="D55">
        <v>0.38671090093133698</v>
      </c>
      <c r="E55">
        <v>3.6736336391262001</v>
      </c>
      <c r="F55">
        <v>2.5698720874780201</v>
      </c>
      <c r="G55">
        <v>-59.697704679863911</v>
      </c>
      <c r="H55">
        <v>-51.647625148801758</v>
      </c>
      <c r="I55">
        <v>7.7692221503278001</v>
      </c>
      <c r="J55">
        <v>4.4884677836283897</v>
      </c>
      <c r="K55">
        <v>1.4295005798251099</v>
      </c>
      <c r="L55">
        <v>3.1585669457464748E-5</v>
      </c>
      <c r="M55">
        <v>1.8241352228510666E-6</v>
      </c>
      <c r="N55" s="1">
        <v>-4.5181296678929599E-8</v>
      </c>
      <c r="O55" s="1">
        <v>1.27231931085355E-11</v>
      </c>
      <c r="P55" s="1">
        <v>1.6256238197694999E-10</v>
      </c>
      <c r="Q55">
        <v>65.652384719092097</v>
      </c>
      <c r="S55">
        <v>21.200347092542501</v>
      </c>
      <c r="AA55">
        <v>2.1714169769327398</v>
      </c>
      <c r="AB55">
        <v>9.5472081992170192</v>
      </c>
      <c r="AC55">
        <v>1.42864301221551</v>
      </c>
      <c r="AJ55">
        <v>0.81690310126344701</v>
      </c>
      <c r="AK55">
        <v>0.102671089511436</v>
      </c>
      <c r="AL55">
        <v>8.0425809225115996E-2</v>
      </c>
    </row>
    <row r="56" spans="1:38" x14ac:dyDescent="0.2">
      <c r="A56">
        <v>70</v>
      </c>
      <c r="B56">
        <v>762</v>
      </c>
      <c r="C56">
        <v>200</v>
      </c>
      <c r="D56">
        <v>0.38605081389170998</v>
      </c>
      <c r="E56">
        <v>5.0874150082473797</v>
      </c>
      <c r="F56">
        <v>2.5687298653396602</v>
      </c>
      <c r="G56">
        <v>-82.638382746017584</v>
      </c>
      <c r="H56">
        <v>-71.505791208011971</v>
      </c>
      <c r="I56">
        <v>10.7545684567508</v>
      </c>
      <c r="J56">
        <v>6.2172094756452196</v>
      </c>
      <c r="K56">
        <v>1.9805177169046799</v>
      </c>
      <c r="L56">
        <v>3.1643032518268326E-5</v>
      </c>
      <c r="M56">
        <v>1.8261507884485859E-6</v>
      </c>
      <c r="N56" s="1">
        <v>-6.4459941617339801E-8</v>
      </c>
      <c r="O56" s="1">
        <v>1.76428976330284E-11</v>
      </c>
      <c r="P56" s="1">
        <v>2.30560692331988E-10</v>
      </c>
      <c r="Q56">
        <v>65.747086275301598</v>
      </c>
      <c r="S56">
        <v>21.117460029494801</v>
      </c>
      <c r="AA56">
        <v>2.0809369877344599</v>
      </c>
      <c r="AB56">
        <v>9.5409463277024802</v>
      </c>
      <c r="AC56">
        <v>1.5135703797664899</v>
      </c>
      <c r="AJ56">
        <v>0.81639420857959499</v>
      </c>
      <c r="AK56">
        <v>9.8396167348503399E-2</v>
      </c>
      <c r="AL56">
        <v>8.5209624071900705E-2</v>
      </c>
    </row>
    <row r="57" spans="1:38" x14ac:dyDescent="0.2">
      <c r="A57">
        <v>71</v>
      </c>
      <c r="B57">
        <v>761</v>
      </c>
      <c r="C57">
        <v>200</v>
      </c>
      <c r="D57">
        <v>0.38538945027317301</v>
      </c>
      <c r="E57">
        <v>6.5413473616799704</v>
      </c>
      <c r="F57">
        <v>2.5675678378101301</v>
      </c>
      <c r="G57">
        <v>-106.20986695173387</v>
      </c>
      <c r="H57">
        <v>-91.915881106482232</v>
      </c>
      <c r="I57">
        <v>13.8219657160486</v>
      </c>
      <c r="J57">
        <v>7.9955751009847997</v>
      </c>
      <c r="K57">
        <v>2.5476823885047</v>
      </c>
      <c r="L57">
        <v>3.1694923200714821E-5</v>
      </c>
      <c r="M57">
        <v>1.8280112915045143E-6</v>
      </c>
      <c r="N57" s="1">
        <v>-8.5315473219355396E-8</v>
      </c>
      <c r="O57" s="1">
        <v>2.2714738704088499E-11</v>
      </c>
      <c r="P57" s="1">
        <v>3.0344127436888801E-10</v>
      </c>
      <c r="Q57">
        <v>65.837062039589398</v>
      </c>
      <c r="S57">
        <v>21.0359820806732</v>
      </c>
      <c r="AA57">
        <v>1.99272223114011</v>
      </c>
      <c r="AB57">
        <v>9.5278474584181492</v>
      </c>
      <c r="AC57">
        <v>1.60638619017901</v>
      </c>
      <c r="AJ57">
        <v>0.81532781190033299</v>
      </c>
      <c r="AK57">
        <v>9.4231264218799002E-2</v>
      </c>
      <c r="AL57">
        <v>9.0440923880867594E-2</v>
      </c>
    </row>
    <row r="58" spans="1:38" x14ac:dyDescent="0.2">
      <c r="A58">
        <v>72</v>
      </c>
      <c r="B58">
        <v>760</v>
      </c>
      <c r="C58">
        <v>200</v>
      </c>
      <c r="D58">
        <v>0.38472680636887402</v>
      </c>
      <c r="E58">
        <v>8.0419503978069606</v>
      </c>
      <c r="F58">
        <v>2.5663769574648398</v>
      </c>
      <c r="G58">
        <v>-130.51497870889918</v>
      </c>
      <c r="H58">
        <v>-112.96703793901173</v>
      </c>
      <c r="I58">
        <v>16.9848916129191</v>
      </c>
      <c r="J58">
        <v>9.8313656230115303</v>
      </c>
      <c r="K58">
        <v>3.1335811266600002</v>
      </c>
      <c r="L58">
        <v>3.1740687413059795E-5</v>
      </c>
      <c r="M58">
        <v>1.8297096035824631E-6</v>
      </c>
      <c r="N58" s="1">
        <v>-1.07866831483337E-7</v>
      </c>
      <c r="O58" s="1">
        <v>2.79622594997776E-11</v>
      </c>
      <c r="P58" s="1">
        <v>3.8159659083860301E-10</v>
      </c>
      <c r="Q58">
        <v>65.922314694079503</v>
      </c>
      <c r="S58">
        <v>20.9555909978457</v>
      </c>
      <c r="AA58">
        <v>1.90650622322173</v>
      </c>
      <c r="AB58">
        <v>9.5070727526984395</v>
      </c>
      <c r="AC58">
        <v>1.7085153321545501</v>
      </c>
      <c r="AJ58">
        <v>0.81363528793414097</v>
      </c>
      <c r="AK58">
        <v>9.0163752084305604E-2</v>
      </c>
      <c r="AL58">
        <v>9.62009599815528E-2</v>
      </c>
    </row>
    <row r="59" spans="1:38" x14ac:dyDescent="0.2">
      <c r="A59">
        <v>73</v>
      </c>
      <c r="B59">
        <v>759</v>
      </c>
      <c r="C59">
        <v>200</v>
      </c>
      <c r="D59">
        <v>0.38406287845759102</v>
      </c>
      <c r="E59">
        <v>9.5985990734956701</v>
      </c>
      <c r="F59">
        <v>2.56514497512718</v>
      </c>
      <c r="G59">
        <v>-155.70191406097783</v>
      </c>
      <c r="H59">
        <v>-134.78767955268975</v>
      </c>
      <c r="I59">
        <v>20.2627859403072</v>
      </c>
      <c r="J59">
        <v>11.735809002909001</v>
      </c>
      <c r="K59">
        <v>3.7419323923474299</v>
      </c>
      <c r="L59">
        <v>3.1779468713588824E-5</v>
      </c>
      <c r="M59">
        <v>1.8312368191187451E-6</v>
      </c>
      <c r="N59" s="1">
        <v>-1.32264376302587E-7</v>
      </c>
      <c r="O59" s="1">
        <v>3.3419614730908101E-11</v>
      </c>
      <c r="P59" s="1">
        <v>4.6553282419374899E-10</v>
      </c>
      <c r="Q59">
        <v>66.002875448672299</v>
      </c>
      <c r="S59">
        <v>20.8758379332602</v>
      </c>
      <c r="AA59">
        <v>1.8219113775844999</v>
      </c>
      <c r="AB59">
        <v>9.4775150473969898</v>
      </c>
      <c r="AC59">
        <v>1.82186019308583</v>
      </c>
      <c r="AJ59">
        <v>0.81122593690646605</v>
      </c>
      <c r="AK59">
        <v>8.6175811814399497E-2</v>
      </c>
      <c r="AL59">
        <v>0.102598251279133</v>
      </c>
    </row>
    <row r="60" spans="1:38" x14ac:dyDescent="0.2">
      <c r="A60">
        <v>74</v>
      </c>
      <c r="B60">
        <v>758</v>
      </c>
      <c r="C60">
        <v>200</v>
      </c>
      <c r="D60">
        <v>0.383397662803666</v>
      </c>
      <c r="E60">
        <v>11.2251698542103</v>
      </c>
      <c r="F60">
        <v>2.5638549863518501</v>
      </c>
      <c r="G60">
        <v>-181.99042668434515</v>
      </c>
      <c r="H60">
        <v>-157.56816793918958</v>
      </c>
      <c r="I60">
        <v>23.684486975857499</v>
      </c>
      <c r="J60">
        <v>13.725539068206</v>
      </c>
      <c r="K60">
        <v>4.3782389854204604</v>
      </c>
      <c r="L60">
        <v>3.1810094039267749E-5</v>
      </c>
      <c r="M60">
        <v>1.8325808497548767E-6</v>
      </c>
      <c r="N60" s="1">
        <v>-1.58708233977568E-7</v>
      </c>
      <c r="O60" s="1">
        <v>3.91376882505544E-11</v>
      </c>
      <c r="P60" s="1">
        <v>5.5593634906783003E-10</v>
      </c>
      <c r="Q60">
        <v>66.078796731950106</v>
      </c>
      <c r="S60">
        <v>20.796098238348701</v>
      </c>
      <c r="AA60">
        <v>1.7384101192708701</v>
      </c>
      <c r="AB60">
        <v>9.4376535793666694</v>
      </c>
      <c r="AC60">
        <v>1.9490413310635799</v>
      </c>
      <c r="AJ60">
        <v>0.80797502974456104</v>
      </c>
      <c r="AK60">
        <v>8.2242620328667304E-2</v>
      </c>
      <c r="AL60">
        <v>0.10978234992677099</v>
      </c>
    </row>
    <row r="61" spans="1:38" x14ac:dyDescent="0.2">
      <c r="A61">
        <v>75</v>
      </c>
      <c r="B61">
        <v>757</v>
      </c>
      <c r="C61">
        <v>200</v>
      </c>
      <c r="D61">
        <v>0.38273115565694399</v>
      </c>
      <c r="E61">
        <v>12.9428876085456</v>
      </c>
      <c r="F61">
        <v>2.5624829926857302</v>
      </c>
      <c r="G61">
        <v>-209.71708143946358</v>
      </c>
      <c r="H61">
        <v>-181.59999193892156</v>
      </c>
      <c r="I61">
        <v>27.2941702669922</v>
      </c>
      <c r="J61">
        <v>15.826015167804499</v>
      </c>
      <c r="K61">
        <v>5.05091649212478</v>
      </c>
      <c r="L61">
        <v>3.1830878726229773E-5</v>
      </c>
      <c r="M61">
        <v>1.833724004280475E-6</v>
      </c>
      <c r="N61" s="1">
        <v>-1.8747966219826601E-7</v>
      </c>
      <c r="O61" s="1">
        <v>4.5194678220620902E-11</v>
      </c>
      <c r="P61" s="1">
        <v>6.5378760671702797E-10</v>
      </c>
      <c r="Q61">
        <v>66.150137813135998</v>
      </c>
      <c r="S61">
        <v>20.715489230044501</v>
      </c>
      <c r="AA61">
        <v>1.6552603960500101</v>
      </c>
      <c r="AB61">
        <v>9.3853063584779903</v>
      </c>
      <c r="AC61">
        <v>2.0938062022914301</v>
      </c>
      <c r="AJ61">
        <v>0.80370342009807705</v>
      </c>
      <c r="AK61">
        <v>7.8329341834799796E-2</v>
      </c>
      <c r="AL61">
        <v>0.117967238067122</v>
      </c>
    </row>
    <row r="62" spans="1:38" x14ac:dyDescent="0.2">
      <c r="A62">
        <v>76</v>
      </c>
      <c r="B62">
        <v>756</v>
      </c>
      <c r="C62">
        <v>200</v>
      </c>
      <c r="D62">
        <v>0.38206335325268598</v>
      </c>
      <c r="E62">
        <v>14.785605984209701</v>
      </c>
      <c r="F62">
        <v>2.5609935783770199</v>
      </c>
      <c r="G62">
        <v>-239.41915230936277</v>
      </c>
      <c r="H62">
        <v>-207.34841178671482</v>
      </c>
      <c r="I62">
        <v>31.162357792982501</v>
      </c>
      <c r="J62">
        <v>18.077860595594601</v>
      </c>
      <c r="K62">
        <v>5.7733865906762096</v>
      </c>
      <c r="L62">
        <v>3.183927424967335E-5</v>
      </c>
      <c r="M62">
        <v>1.8346385740326285E-6</v>
      </c>
      <c r="N62" s="1">
        <v>-2.1899821883631799E-7</v>
      </c>
      <c r="O62" s="1">
        <v>5.1715742117561197E-11</v>
      </c>
      <c r="P62" s="1">
        <v>7.6056935835849795E-10</v>
      </c>
      <c r="Q62">
        <v>66.216935107716296</v>
      </c>
      <c r="S62">
        <v>20.632724947032401</v>
      </c>
      <c r="AA62">
        <v>1.5713927796137199</v>
      </c>
      <c r="AB62">
        <v>9.3171832199152007</v>
      </c>
      <c r="AC62">
        <v>2.2617639457223202</v>
      </c>
      <c r="AJ62">
        <v>0.79814071266706799</v>
      </c>
      <c r="AK62">
        <v>7.4385857227631899E-2</v>
      </c>
      <c r="AL62">
        <v>0.12747343010529899</v>
      </c>
    </row>
    <row r="63" spans="1:38" x14ac:dyDescent="0.2">
      <c r="A63">
        <v>77</v>
      </c>
      <c r="B63">
        <v>755</v>
      </c>
      <c r="C63">
        <v>200</v>
      </c>
      <c r="D63">
        <v>0.38139425181150599</v>
      </c>
      <c r="E63">
        <v>16.810440950074501</v>
      </c>
      <c r="F63">
        <v>2.55933179699002</v>
      </c>
      <c r="G63">
        <v>-272.00350582163861</v>
      </c>
      <c r="H63">
        <v>-235.59869276705558</v>
      </c>
      <c r="I63">
        <v>35.408075722981103</v>
      </c>
      <c r="J63">
        <v>20.549618154110501</v>
      </c>
      <c r="K63">
        <v>6.56829293093024</v>
      </c>
      <c r="L63">
        <v>3.1831186970052607E-5</v>
      </c>
      <c r="M63">
        <v>1.8352781477667603E-6</v>
      </c>
      <c r="N63" s="1">
        <v>-2.53934435626459E-7</v>
      </c>
      <c r="O63" s="1">
        <v>5.8912584327798996E-11</v>
      </c>
      <c r="P63" s="1">
        <v>8.7867888096941802E-10</v>
      </c>
      <c r="Q63">
        <v>66.279133061674003</v>
      </c>
      <c r="S63">
        <v>20.545846081716299</v>
      </c>
      <c r="AA63">
        <v>1.48520378390399</v>
      </c>
      <c r="AB63">
        <v>9.2280237849398201</v>
      </c>
      <c r="AC63">
        <v>2.46179328776579</v>
      </c>
      <c r="AJ63">
        <v>0.79085414099607698</v>
      </c>
      <c r="AK63">
        <v>7.0337110805338707E-2</v>
      </c>
      <c r="AL63">
        <v>0.13880874819858299</v>
      </c>
    </row>
    <row r="64" spans="1:38" x14ac:dyDescent="0.2">
      <c r="A64">
        <v>78</v>
      </c>
      <c r="B64">
        <v>754</v>
      </c>
      <c r="C64">
        <v>200</v>
      </c>
      <c r="D64">
        <v>0.38072384753930699</v>
      </c>
      <c r="E64">
        <v>19.1212174617411</v>
      </c>
      <c r="F64">
        <v>2.5574072841345199</v>
      </c>
      <c r="G64">
        <v>-309.11880472207542</v>
      </c>
      <c r="H64">
        <v>-267.77840476680171</v>
      </c>
      <c r="I64">
        <v>40.247675563718701</v>
      </c>
      <c r="J64">
        <v>23.365853486073199</v>
      </c>
      <c r="K64">
        <v>7.4767979196603198</v>
      </c>
      <c r="L64">
        <v>3.1799566704503885E-5</v>
      </c>
      <c r="M64">
        <v>1.8355590235289782E-6</v>
      </c>
      <c r="N64" s="1">
        <v>-2.93451881962297E-7</v>
      </c>
      <c r="O64" s="1">
        <v>6.7170818566870395E-11</v>
      </c>
      <c r="P64" s="1">
        <v>1.0123181547317199E-9</v>
      </c>
      <c r="Q64">
        <v>66.336396174910206</v>
      </c>
      <c r="S64">
        <v>20.451703328324399</v>
      </c>
      <c r="AA64">
        <v>1.3941734837742701</v>
      </c>
      <c r="AB64">
        <v>9.1088240950514496</v>
      </c>
      <c r="AC64">
        <v>2.70890291793958</v>
      </c>
      <c r="AJ64">
        <v>0.78110200067274804</v>
      </c>
      <c r="AK64">
        <v>6.6065244062308001E-2</v>
      </c>
      <c r="AL64">
        <v>0.152832755264943</v>
      </c>
    </row>
    <row r="65" spans="1:38" x14ac:dyDescent="0.2">
      <c r="A65">
        <v>79</v>
      </c>
      <c r="B65">
        <v>753</v>
      </c>
      <c r="C65">
        <v>200</v>
      </c>
      <c r="D65">
        <v>0.380052136627202</v>
      </c>
      <c r="E65">
        <v>21.9236923442656</v>
      </c>
      <c r="F65">
        <v>2.55506527317876</v>
      </c>
      <c r="G65">
        <v>-354.03142515647403</v>
      </c>
      <c r="H65">
        <v>-306.71599162313476</v>
      </c>
      <c r="I65">
        <v>46.109665773365698</v>
      </c>
      <c r="J65">
        <v>26.7732639537805</v>
      </c>
      <c r="K65">
        <v>8.5804822970296595</v>
      </c>
      <c r="L65">
        <v>3.173144607986683E-5</v>
      </c>
      <c r="M65">
        <v>1.8353183698891532E-6</v>
      </c>
      <c r="N65" s="1">
        <v>-3.3975705129965401E-7</v>
      </c>
      <c r="O65" s="1">
        <v>7.7255989273933505E-11</v>
      </c>
      <c r="P65" s="1">
        <v>1.16953090071854E-9</v>
      </c>
      <c r="Q65">
        <v>66.387502882270795</v>
      </c>
      <c r="S65">
        <v>20.3450817205518</v>
      </c>
      <c r="AA65">
        <v>1.2942845141547501</v>
      </c>
      <c r="AB65">
        <v>8.9431902456419508</v>
      </c>
      <c r="AC65">
        <v>3.02994063738055</v>
      </c>
      <c r="AJ65">
        <v>0.76753124319633603</v>
      </c>
      <c r="AK65">
        <v>6.1382438697752603E-2</v>
      </c>
      <c r="AL65">
        <v>0.17108631810591099</v>
      </c>
    </row>
    <row r="66" spans="1:38" x14ac:dyDescent="0.2">
      <c r="A66">
        <v>80</v>
      </c>
      <c r="B66">
        <v>752</v>
      </c>
      <c r="C66">
        <v>200</v>
      </c>
      <c r="D66">
        <v>0.37937911525142798</v>
      </c>
      <c r="E66">
        <v>26.067420850959799</v>
      </c>
      <c r="F66">
        <v>2.5552871333431999</v>
      </c>
      <c r="G66">
        <v>-420.8647444210269</v>
      </c>
      <c r="H66">
        <v>-364.69703270135716</v>
      </c>
      <c r="I66">
        <v>54.789749519260297</v>
      </c>
      <c r="J66">
        <v>31.8394953013091</v>
      </c>
      <c r="K66">
        <v>10.201366613878101</v>
      </c>
      <c r="L66">
        <v>3.1740192598019853E-5</v>
      </c>
      <c r="M66">
        <v>1.8346046774083615E-6</v>
      </c>
      <c r="N66" s="1">
        <v>-4.1512508392644402E-7</v>
      </c>
      <c r="O66" s="1">
        <v>9.1732221512376298E-11</v>
      </c>
      <c r="P66" s="1">
        <v>1.42254926029776E-9</v>
      </c>
      <c r="Q66">
        <v>66.353068064747006</v>
      </c>
      <c r="S66">
        <v>20.362866490429901</v>
      </c>
      <c r="AA66">
        <v>1.3169920253207501</v>
      </c>
      <c r="AB66">
        <v>8.9130791875244704</v>
      </c>
      <c r="AC66">
        <v>3.0539942319777902</v>
      </c>
      <c r="AJ66">
        <v>0.76506109889227703</v>
      </c>
      <c r="AK66">
        <v>6.2468674438798603E-2</v>
      </c>
      <c r="AL66">
        <v>0.172470226668923</v>
      </c>
    </row>
    <row r="67" spans="1:38" x14ac:dyDescent="0.2">
      <c r="A67">
        <v>81</v>
      </c>
      <c r="B67">
        <v>751</v>
      </c>
      <c r="C67">
        <v>200</v>
      </c>
      <c r="D67">
        <v>0.378704779573308</v>
      </c>
      <c r="E67">
        <v>28.754598200603301</v>
      </c>
      <c r="F67">
        <v>2.5560335879939</v>
      </c>
      <c r="G67">
        <v>-464.27947475080106</v>
      </c>
      <c r="H67">
        <v>-402.41628617035883</v>
      </c>
      <c r="I67">
        <v>60.4044217941141</v>
      </c>
      <c r="J67">
        <v>35.139378257262003</v>
      </c>
      <c r="K67">
        <v>11.249694971016099</v>
      </c>
      <c r="L67">
        <v>3.1788200944491435E-5</v>
      </c>
      <c r="M67">
        <v>1.8343309358194979E-6</v>
      </c>
      <c r="N67" s="1">
        <v>-4.7369090281632402E-7</v>
      </c>
      <c r="O67" s="1">
        <v>1.00949729361579E-10</v>
      </c>
      <c r="P67" s="1">
        <v>1.6146312706158301E-9</v>
      </c>
      <c r="Q67">
        <v>66.319058569462399</v>
      </c>
      <c r="S67">
        <v>20.399544716542401</v>
      </c>
      <c r="AA67">
        <v>1.3551875882036599</v>
      </c>
      <c r="AB67">
        <v>8.9334475890477805</v>
      </c>
      <c r="AC67">
        <v>2.99276153674362</v>
      </c>
      <c r="AJ67">
        <v>0.76673120891554603</v>
      </c>
      <c r="AK67">
        <v>6.4273840838660001E-2</v>
      </c>
      <c r="AL67">
        <v>0.168994950245792</v>
      </c>
    </row>
    <row r="68" spans="1:38" x14ac:dyDescent="0.2">
      <c r="A68">
        <v>82</v>
      </c>
      <c r="B68">
        <v>750</v>
      </c>
      <c r="C68">
        <v>200</v>
      </c>
      <c r="D68">
        <v>0.37802912573913899</v>
      </c>
      <c r="E68">
        <v>29.9125272053613</v>
      </c>
      <c r="F68">
        <v>2.5564542012305602</v>
      </c>
      <c r="G68">
        <v>-482.96655428115361</v>
      </c>
      <c r="H68">
        <v>-418.71055558528792</v>
      </c>
      <c r="I68">
        <v>62.802129400249797</v>
      </c>
      <c r="J68">
        <v>36.571988156787803</v>
      </c>
      <c r="K68">
        <v>11.7007874386964</v>
      </c>
      <c r="L68">
        <v>3.1838908610589358E-5</v>
      </c>
      <c r="M68">
        <v>1.834387228061423E-6</v>
      </c>
      <c r="N68" s="1">
        <v>-5.0937776343876504E-7</v>
      </c>
      <c r="O68" s="1">
        <v>1.0482047979615601E-10</v>
      </c>
      <c r="P68" s="1">
        <v>1.72740662957268E-9</v>
      </c>
      <c r="Q68">
        <v>66.304864190732999</v>
      </c>
      <c r="S68">
        <v>20.4171116523767</v>
      </c>
      <c r="AA68">
        <v>1.37299255436487</v>
      </c>
      <c r="AB68">
        <v>8.9478701832685594</v>
      </c>
      <c r="AC68">
        <v>2.9571614192567202</v>
      </c>
      <c r="AJ68">
        <v>0.76791373785254602</v>
      </c>
      <c r="AK68">
        <v>6.5113604136096001E-2</v>
      </c>
      <c r="AL68">
        <v>0.16697265801135699</v>
      </c>
    </row>
    <row r="69" spans="1:38" x14ac:dyDescent="0.2">
      <c r="A69">
        <v>83</v>
      </c>
      <c r="B69">
        <v>749</v>
      </c>
      <c r="C69">
        <v>200</v>
      </c>
      <c r="D69">
        <v>0.37735214988015597</v>
      </c>
      <c r="E69">
        <v>30.552655339171199</v>
      </c>
      <c r="F69">
        <v>2.5567536890617601</v>
      </c>
      <c r="G69">
        <v>-493.27774561736112</v>
      </c>
      <c r="H69">
        <v>-427.74709175200559</v>
      </c>
      <c r="I69">
        <v>64.110603987042296</v>
      </c>
      <c r="J69">
        <v>37.372666845268199</v>
      </c>
      <c r="K69">
        <v>11.949784396471401</v>
      </c>
      <c r="L69">
        <v>3.1891743284566318E-5</v>
      </c>
      <c r="M69">
        <v>1.8345738066408859E-6</v>
      </c>
      <c r="N69" s="1">
        <v>-5.3770459577830702E-7</v>
      </c>
      <c r="O69" s="1">
        <v>1.0688263067581E-10</v>
      </c>
      <c r="P69" s="1">
        <v>1.81440676264614E-9</v>
      </c>
      <c r="Q69">
        <v>66.298197917954496</v>
      </c>
      <c r="S69">
        <v>20.427498990999698</v>
      </c>
      <c r="AA69">
        <v>1.3831176987057501</v>
      </c>
      <c r="AB69">
        <v>8.9602465104590507</v>
      </c>
      <c r="AC69">
        <v>2.9309388818809401</v>
      </c>
      <c r="AJ69">
        <v>0.76892843968725699</v>
      </c>
      <c r="AK69">
        <v>6.5589737855331801E-2</v>
      </c>
      <c r="AL69">
        <v>0.16548182245741</v>
      </c>
    </row>
    <row r="70" spans="1:38" x14ac:dyDescent="0.2">
      <c r="A70">
        <v>84</v>
      </c>
      <c r="B70">
        <v>748</v>
      </c>
      <c r="C70">
        <v>200</v>
      </c>
      <c r="D70">
        <v>0.37667384811242399</v>
      </c>
      <c r="E70">
        <v>31.054077167635199</v>
      </c>
      <c r="F70">
        <v>2.55701472482487</v>
      </c>
      <c r="G70">
        <v>-501.34369702706886</v>
      </c>
      <c r="H70">
        <v>-434.83962736773128</v>
      </c>
      <c r="I70">
        <v>65.126641198000002</v>
      </c>
      <c r="J70">
        <v>38.004792633131203</v>
      </c>
      <c r="K70">
        <v>12.144661063600999</v>
      </c>
      <c r="L70">
        <v>3.1946277118455498E-5</v>
      </c>
      <c r="M70">
        <v>1.8348038797047913E-6</v>
      </c>
      <c r="N70" s="1">
        <v>-5.6481228355341296E-7</v>
      </c>
      <c r="O70" s="1">
        <v>1.0845510000621E-10</v>
      </c>
      <c r="P70" s="1">
        <v>1.8966288888206999E-9</v>
      </c>
      <c r="Q70">
        <v>66.293890063867906</v>
      </c>
      <c r="S70">
        <v>20.4356131234528</v>
      </c>
      <c r="AA70">
        <v>1.3908171199206101</v>
      </c>
      <c r="AB70">
        <v>8.9719189417399701</v>
      </c>
      <c r="AC70">
        <v>2.9077607510186798</v>
      </c>
      <c r="AJ70">
        <v>0.76988534682256105</v>
      </c>
      <c r="AK70">
        <v>6.5951022134429799E-2</v>
      </c>
      <c r="AL70">
        <v>0.16416363104300799</v>
      </c>
    </row>
    <row r="71" spans="1:38" x14ac:dyDescent="0.2">
      <c r="A71">
        <v>86</v>
      </c>
      <c r="B71">
        <v>779</v>
      </c>
      <c r="C71">
        <v>175</v>
      </c>
      <c r="D71">
        <v>0.42323860666254698</v>
      </c>
      <c r="E71">
        <v>0.45211602177555499</v>
      </c>
      <c r="F71">
        <v>2.57063167184547</v>
      </c>
      <c r="G71">
        <v>-7.3708664372574688</v>
      </c>
      <c r="H71">
        <v>-6.356272859155637</v>
      </c>
      <c r="I71">
        <v>0.96430506876569999</v>
      </c>
      <c r="J71">
        <v>0.55047866962420799</v>
      </c>
      <c r="K71">
        <v>0.175877402712843</v>
      </c>
      <c r="L71">
        <v>3.1014067863962413E-5</v>
      </c>
      <c r="M71">
        <v>1.8166792607360141E-6</v>
      </c>
      <c r="N71" s="1">
        <v>-3.3219416906010998E-9</v>
      </c>
      <c r="O71" s="1">
        <v>1.5756291708628301E-12</v>
      </c>
      <c r="P71" s="1">
        <v>1.34935664071348E-11</v>
      </c>
      <c r="Q71">
        <v>65.349654284518294</v>
      </c>
      <c r="S71">
        <v>21.440284872164799</v>
      </c>
      <c r="AA71">
        <v>2.4400061102050898</v>
      </c>
      <c r="AB71">
        <v>9.5016177408459903</v>
      </c>
      <c r="AC71">
        <v>1.2684369922657199</v>
      </c>
      <c r="AJ71">
        <v>0.81318112782838203</v>
      </c>
      <c r="AK71">
        <v>0.11539618224763599</v>
      </c>
      <c r="AL71">
        <v>7.1422689923980903E-2</v>
      </c>
    </row>
    <row r="72" spans="1:38" x14ac:dyDescent="0.2">
      <c r="A72">
        <v>87</v>
      </c>
      <c r="B72">
        <v>778</v>
      </c>
      <c r="C72">
        <v>175</v>
      </c>
      <c r="D72">
        <v>0.422623317319128</v>
      </c>
      <c r="E72">
        <v>0.91133561981672195</v>
      </c>
      <c r="F72">
        <v>2.5702350614869198</v>
      </c>
      <c r="G72">
        <v>-14.854555921326574</v>
      </c>
      <c r="H72">
        <v>-12.812323895562624</v>
      </c>
      <c r="I72">
        <v>1.9428549928782199</v>
      </c>
      <c r="J72">
        <v>1.1098071974888599</v>
      </c>
      <c r="K72">
        <v>0.354572869023699</v>
      </c>
      <c r="L72">
        <v>3.1056047815413184E-5</v>
      </c>
      <c r="M72">
        <v>1.817875449330087E-6</v>
      </c>
      <c r="N72" s="1">
        <v>-6.9158829127756404E-9</v>
      </c>
      <c r="O72" s="1">
        <v>3.17706028387657E-12</v>
      </c>
      <c r="P72" s="1">
        <v>2.7840234343770201E-11</v>
      </c>
      <c r="Q72">
        <v>65.398077412465298</v>
      </c>
      <c r="S72">
        <v>21.4032710190987</v>
      </c>
      <c r="AA72">
        <v>2.3981704275141098</v>
      </c>
      <c r="AB72">
        <v>9.5124894571895595</v>
      </c>
      <c r="AC72">
        <v>1.2879916837321901</v>
      </c>
      <c r="AJ72">
        <v>0.81406844898430397</v>
      </c>
      <c r="AK72">
        <v>0.11341162369008199</v>
      </c>
      <c r="AL72">
        <v>7.2519927325613104E-2</v>
      </c>
    </row>
    <row r="73" spans="1:38" x14ac:dyDescent="0.2">
      <c r="A73">
        <v>88</v>
      </c>
      <c r="B73">
        <v>777</v>
      </c>
      <c r="C73">
        <v>175</v>
      </c>
      <c r="D73">
        <v>0.42200685616340999</v>
      </c>
      <c r="E73">
        <v>1.37146165345545</v>
      </c>
      <c r="F73">
        <v>2.56984755717545</v>
      </c>
      <c r="G73">
        <v>-22.350009807713413</v>
      </c>
      <c r="H73">
        <v>-19.281038113167476</v>
      </c>
      <c r="I73">
        <v>2.92241269775359</v>
      </c>
      <c r="J73">
        <v>1.67044849115995</v>
      </c>
      <c r="K73">
        <v>0.53367432228658795</v>
      </c>
      <c r="L73">
        <v>3.1097801179335193E-5</v>
      </c>
      <c r="M73">
        <v>1.8190393657389545E-6</v>
      </c>
      <c r="N73" s="1">
        <v>-1.07472563906952E-8</v>
      </c>
      <c r="O73" s="1">
        <v>4.7825303845686303E-12</v>
      </c>
      <c r="P73" s="1">
        <v>4.2886513060965702E-11</v>
      </c>
      <c r="Q73">
        <v>65.445117449888997</v>
      </c>
      <c r="S73">
        <v>21.367172244525001</v>
      </c>
      <c r="AA73">
        <v>2.3574124192146599</v>
      </c>
      <c r="AB73">
        <v>9.5226780276964202</v>
      </c>
      <c r="AC73">
        <v>1.30761985867477</v>
      </c>
      <c r="AJ73">
        <v>0.81489995529563397</v>
      </c>
      <c r="AK73">
        <v>0.11147861150888699</v>
      </c>
      <c r="AL73">
        <v>7.3621433195477995E-2</v>
      </c>
    </row>
    <row r="74" spans="1:38" x14ac:dyDescent="0.2">
      <c r="A74">
        <v>89</v>
      </c>
      <c r="B74">
        <v>776</v>
      </c>
      <c r="C74">
        <v>175</v>
      </c>
      <c r="D74">
        <v>0.42138921984463801</v>
      </c>
      <c r="E74">
        <v>1.83222822562805</v>
      </c>
      <c r="F74">
        <v>2.5694691618391499</v>
      </c>
      <c r="G74">
        <v>-29.852890806352235</v>
      </c>
      <c r="H74">
        <v>-25.758689144700927</v>
      </c>
      <c r="I74">
        <v>3.90239876247563</v>
      </c>
      <c r="J74">
        <v>2.2320860816169898</v>
      </c>
      <c r="K74">
        <v>0.713076557928638</v>
      </c>
      <c r="L74">
        <v>3.1139354731012313E-5</v>
      </c>
      <c r="M74">
        <v>1.8201714627078766E-6</v>
      </c>
      <c r="N74" s="1">
        <v>-1.48238633842083E-8</v>
      </c>
      <c r="O74" s="1">
        <v>6.3909350536791897E-12</v>
      </c>
      <c r="P74" s="1">
        <v>5.8652346213496101E-11</v>
      </c>
      <c r="Q74">
        <v>65.490787322059901</v>
      </c>
      <c r="S74">
        <v>21.331982464714901</v>
      </c>
      <c r="AA74">
        <v>2.3177240502328602</v>
      </c>
      <c r="AB74">
        <v>9.5321963063526791</v>
      </c>
      <c r="AC74">
        <v>1.32730985663961</v>
      </c>
      <c r="AJ74">
        <v>0.81567671157986299</v>
      </c>
      <c r="AK74">
        <v>0.109596731635575</v>
      </c>
      <c r="AL74">
        <v>7.4726556784560402E-2</v>
      </c>
    </row>
    <row r="75" spans="1:38" x14ac:dyDescent="0.2">
      <c r="A75">
        <v>90</v>
      </c>
      <c r="B75">
        <v>775</v>
      </c>
      <c r="C75">
        <v>175</v>
      </c>
      <c r="D75">
        <v>0.42077040499928797</v>
      </c>
      <c r="E75">
        <v>2.2933702094031498</v>
      </c>
      <c r="F75">
        <v>2.5690998594136101</v>
      </c>
      <c r="G75">
        <v>-37.35887871037756</v>
      </c>
      <c r="H75">
        <v>-32.241562344019833</v>
      </c>
      <c r="I75">
        <v>4.8822366706651996</v>
      </c>
      <c r="J75">
        <v>2.7944047139591901</v>
      </c>
      <c r="K75">
        <v>0.89267460780080699</v>
      </c>
      <c r="L75">
        <v>3.1180737264915991E-5</v>
      </c>
      <c r="M75">
        <v>1.8212722533470159E-6</v>
      </c>
      <c r="N75" s="1">
        <v>-1.9153701272725598E-8</v>
      </c>
      <c r="O75" s="1">
        <v>8.0011686971739899E-12</v>
      </c>
      <c r="P75" s="1">
        <v>7.5158203518277501E-11</v>
      </c>
      <c r="Q75">
        <v>65.535102480100406</v>
      </c>
      <c r="S75">
        <v>21.297693844323302</v>
      </c>
      <c r="AA75">
        <v>2.2790952510207201</v>
      </c>
      <c r="AB75">
        <v>9.5410581837809492</v>
      </c>
      <c r="AC75">
        <v>1.34705024077449</v>
      </c>
      <c r="AJ75">
        <v>0.81639986570815604</v>
      </c>
      <c r="AK75">
        <v>0.10776547482979899</v>
      </c>
      <c r="AL75">
        <v>7.5834659462044596E-2</v>
      </c>
    </row>
    <row r="76" spans="1:38" x14ac:dyDescent="0.2">
      <c r="A76">
        <v>91</v>
      </c>
      <c r="B76">
        <v>774</v>
      </c>
      <c r="C76">
        <v>175</v>
      </c>
      <c r="D76">
        <v>0.420150408250972</v>
      </c>
      <c r="E76">
        <v>2.7546247203990499</v>
      </c>
      <c r="F76">
        <v>2.5687396155840099</v>
      </c>
      <c r="G76">
        <v>-44.863694299324543</v>
      </c>
      <c r="H76">
        <v>-38.725975389367001</v>
      </c>
      <c r="I76">
        <v>5.8613559757031304</v>
      </c>
      <c r="J76">
        <v>3.3570921611397302</v>
      </c>
      <c r="K76">
        <v>1.0723643236111999</v>
      </c>
      <c r="L76">
        <v>3.122197950380614E-5</v>
      </c>
      <c r="M76">
        <v>1.8223423066377077E-6</v>
      </c>
      <c r="N76" s="1">
        <v>-2.3744984741404398E-8</v>
      </c>
      <c r="O76" s="1">
        <v>9.6121301546474301E-12</v>
      </c>
      <c r="P76" s="1">
        <v>9.2425152428778406E-11</v>
      </c>
      <c r="Q76">
        <v>65.578080727908798</v>
      </c>
      <c r="S76">
        <v>21.264296901089399</v>
      </c>
      <c r="AA76">
        <v>2.24151404431954</v>
      </c>
      <c r="AB76">
        <v>9.5492784760337308</v>
      </c>
      <c r="AC76">
        <v>1.36682985064845</v>
      </c>
      <c r="AJ76">
        <v>0.81707063957350101</v>
      </c>
      <c r="AK76">
        <v>0.105984242749577</v>
      </c>
      <c r="AL76">
        <v>7.6945117676921304E-2</v>
      </c>
    </row>
    <row r="77" spans="1:38" x14ac:dyDescent="0.2">
      <c r="A77">
        <v>92</v>
      </c>
      <c r="B77">
        <v>773</v>
      </c>
      <c r="C77">
        <v>175</v>
      </c>
      <c r="D77">
        <v>0.41952922621038902</v>
      </c>
      <c r="E77">
        <v>3.2157325111699699</v>
      </c>
      <c r="F77">
        <v>2.5683883786664898</v>
      </c>
      <c r="G77">
        <v>-52.363121935210202</v>
      </c>
      <c r="H77">
        <v>-45.208297785145909</v>
      </c>
      <c r="I77">
        <v>6.8391952875441397</v>
      </c>
      <c r="J77">
        <v>3.9198409430135799</v>
      </c>
      <c r="K77">
        <v>1.2520429300647999</v>
      </c>
      <c r="L77">
        <v>3.1263114002241914E-5</v>
      </c>
      <c r="M77">
        <v>1.8233822426645288E-6</v>
      </c>
      <c r="N77" s="1">
        <v>-2.8606168649410101E-8</v>
      </c>
      <c r="O77" s="1">
        <v>1.12227280121385E-11</v>
      </c>
      <c r="P77" s="1">
        <v>1.1047493393750201E-10</v>
      </c>
      <c r="Q77">
        <v>65.619742035672502</v>
      </c>
      <c r="S77">
        <v>21.231780620831898</v>
      </c>
      <c r="AA77">
        <v>2.2049666835469801</v>
      </c>
      <c r="AB77">
        <v>9.5568728104953493</v>
      </c>
      <c r="AC77">
        <v>1.38663784945312</v>
      </c>
      <c r="AJ77">
        <v>0.81769031983343698</v>
      </c>
      <c r="AK77">
        <v>0.104252354557873</v>
      </c>
      <c r="AL77">
        <v>7.8057325608688902E-2</v>
      </c>
    </row>
    <row r="78" spans="1:38" x14ac:dyDescent="0.2">
      <c r="A78">
        <v>93</v>
      </c>
      <c r="B78">
        <v>772</v>
      </c>
      <c r="C78">
        <v>175</v>
      </c>
      <c r="D78">
        <v>0.418906855475288</v>
      </c>
      <c r="E78">
        <v>3.6764392665110899</v>
      </c>
      <c r="F78">
        <v>2.5680460806085299</v>
      </c>
      <c r="G78">
        <v>-59.853030512131042</v>
      </c>
      <c r="H78">
        <v>-51.684968968079595</v>
      </c>
      <c r="I78">
        <v>7.8152050366468302</v>
      </c>
      <c r="J78">
        <v>4.4823499249530903</v>
      </c>
      <c r="K78">
        <v>1.4316095393583801</v>
      </c>
      <c r="L78">
        <v>3.1304175046472655E-5</v>
      </c>
      <c r="M78">
        <v>1.8243927276528342E-6</v>
      </c>
      <c r="N78" s="1">
        <v>-3.37459723931839E-8</v>
      </c>
      <c r="O78" s="1">
        <v>1.2831885538659101E-11</v>
      </c>
      <c r="P78" s="1">
        <v>1.2933004176403199E-10</v>
      </c>
      <c r="Q78">
        <v>65.660108343212599</v>
      </c>
      <c r="S78">
        <v>21.2001325805983</v>
      </c>
      <c r="AA78">
        <v>2.1694378002824899</v>
      </c>
      <c r="AB78">
        <v>9.5638575104950707</v>
      </c>
      <c r="AC78">
        <v>1.40646376541145</v>
      </c>
      <c r="AJ78">
        <v>0.81826024855653601</v>
      </c>
      <c r="AK78">
        <v>0.102569053946288</v>
      </c>
      <c r="AL78">
        <v>7.9170697497175105E-2</v>
      </c>
    </row>
    <row r="79" spans="1:38" x14ac:dyDescent="0.2">
      <c r="A79">
        <v>94</v>
      </c>
      <c r="B79">
        <v>771</v>
      </c>
      <c r="C79">
        <v>175</v>
      </c>
      <c r="D79">
        <v>0.41828329263037001</v>
      </c>
      <c r="E79">
        <v>4.1364967887360304</v>
      </c>
      <c r="F79">
        <v>2.5677126380920101</v>
      </c>
      <c r="G79">
        <v>-67.329392585268181</v>
      </c>
      <c r="H79">
        <v>-58.152514865823655</v>
      </c>
      <c r="I79">
        <v>8.7888499922851295</v>
      </c>
      <c r="J79">
        <v>5.0443257826306303</v>
      </c>
      <c r="K79">
        <v>1.61096562262112</v>
      </c>
      <c r="L79">
        <v>3.1345198553342034E-5</v>
      </c>
      <c r="M79">
        <v>1.8253744689043977E-6</v>
      </c>
      <c r="N79" s="1">
        <v>-3.9173405631750699E-8</v>
      </c>
      <c r="O79" s="1">
        <v>1.4438545201893199E-11</v>
      </c>
      <c r="P79" s="1">
        <v>1.4901380442786601E-10</v>
      </c>
      <c r="Q79">
        <v>65.699203356757096</v>
      </c>
      <c r="S79">
        <v>21.169339077826599</v>
      </c>
      <c r="AA79">
        <v>2.1349105582480501</v>
      </c>
      <c r="AB79">
        <v>9.5702494810436498</v>
      </c>
      <c r="AC79">
        <v>1.4262975261244999</v>
      </c>
      <c r="AJ79">
        <v>0.81878181396780203</v>
      </c>
      <c r="AK79">
        <v>0.100933516452786</v>
      </c>
      <c r="AL79">
        <v>8.0284669579411397E-2</v>
      </c>
    </row>
    <row r="80" spans="1:38" x14ac:dyDescent="0.2">
      <c r="A80">
        <v>95</v>
      </c>
      <c r="B80">
        <v>770</v>
      </c>
      <c r="C80">
        <v>175</v>
      </c>
      <c r="D80">
        <v>0.41765853424723398</v>
      </c>
      <c r="E80">
        <v>4.5956640625311502</v>
      </c>
      <c r="F80">
        <v>2.5673879536998001</v>
      </c>
      <c r="G80">
        <v>-74.788301513851778</v>
      </c>
      <c r="H80">
        <v>-64.607562763170236</v>
      </c>
      <c r="I80">
        <v>9.7596115138585304</v>
      </c>
      <c r="J80">
        <v>5.6054843202200502</v>
      </c>
      <c r="K80">
        <v>1.7900154341335299</v>
      </c>
      <c r="L80">
        <v>3.1386221969605078E-5</v>
      </c>
      <c r="M80">
        <v>1.826328209710946E-6</v>
      </c>
      <c r="N80" s="1">
        <v>-4.4897795212457701E-8</v>
      </c>
      <c r="O80" s="1">
        <v>1.6041672722072901E-11</v>
      </c>
      <c r="P80" s="1">
        <v>1.6955046962456399E-10</v>
      </c>
      <c r="Q80">
        <v>65.737052342892895</v>
      </c>
      <c r="S80">
        <v>21.1393852625006</v>
      </c>
      <c r="AA80">
        <v>2.1013668104155498</v>
      </c>
      <c r="AB80">
        <v>9.5760660961269899</v>
      </c>
      <c r="AC80">
        <v>1.44612948806382</v>
      </c>
      <c r="AJ80">
        <v>0.81925644132685504</v>
      </c>
      <c r="AK80">
        <v>9.9344856915284593E-2</v>
      </c>
      <c r="AL80">
        <v>8.1398701757859404E-2</v>
      </c>
    </row>
    <row r="81" spans="1:38" x14ac:dyDescent="0.2">
      <c r="A81">
        <v>96</v>
      </c>
      <c r="B81">
        <v>769</v>
      </c>
      <c r="C81">
        <v>175</v>
      </c>
      <c r="D81">
        <v>0.41703257688433099</v>
      </c>
      <c r="E81">
        <v>5.3421525333704398</v>
      </c>
      <c r="F81">
        <v>2.5668391271594801</v>
      </c>
      <c r="G81">
        <v>-86.91382677467513</v>
      </c>
      <c r="H81">
        <v>-75.096399876193459</v>
      </c>
      <c r="I81">
        <v>11.3394683092469</v>
      </c>
      <c r="J81">
        <v>6.5172974923998801</v>
      </c>
      <c r="K81">
        <v>2.0812182878333201</v>
      </c>
      <c r="L81">
        <v>3.1429314915889881E-5</v>
      </c>
      <c r="M81">
        <v>1.8275349489782771E-6</v>
      </c>
      <c r="N81" s="1">
        <v>-5.38091751349087E-8</v>
      </c>
      <c r="O81" s="1">
        <v>1.8654941267813101E-11</v>
      </c>
      <c r="P81" s="1">
        <v>2.0178037926697101E-10</v>
      </c>
      <c r="Q81">
        <v>65.789309976623997</v>
      </c>
      <c r="S81">
        <v>21.095442941645398</v>
      </c>
      <c r="AA81">
        <v>2.05292034135317</v>
      </c>
      <c r="AB81">
        <v>9.5773189239410605</v>
      </c>
      <c r="AC81">
        <v>1.4850078164362299</v>
      </c>
      <c r="AJ81">
        <v>0.81935938938075503</v>
      </c>
      <c r="AK81">
        <v>9.7053985316954902E-2</v>
      </c>
      <c r="AL81">
        <v>8.3586625302289899E-2</v>
      </c>
    </row>
    <row r="82" spans="1:38" x14ac:dyDescent="0.2">
      <c r="A82">
        <v>97</v>
      </c>
      <c r="B82">
        <v>768</v>
      </c>
      <c r="C82">
        <v>175</v>
      </c>
      <c r="D82">
        <v>0.416405417086878</v>
      </c>
      <c r="E82">
        <v>6.7471632983899701</v>
      </c>
      <c r="F82">
        <v>2.5657695282808999</v>
      </c>
      <c r="G82">
        <v>-109.72795516116001</v>
      </c>
      <c r="H82">
        <v>-94.823453857742905</v>
      </c>
      <c r="I82">
        <v>14.3154217004438</v>
      </c>
      <c r="J82">
        <v>8.2324620862864606</v>
      </c>
      <c r="K82">
        <v>2.6296840865947302</v>
      </c>
      <c r="L82">
        <v>3.1473718289705684E-5</v>
      </c>
      <c r="M82">
        <v>1.8292577195364607E-6</v>
      </c>
      <c r="N82" s="1">
        <v>-6.99537423007817E-8</v>
      </c>
      <c r="O82" s="1">
        <v>2.3592190177905299E-11</v>
      </c>
      <c r="P82" s="1">
        <v>2.6059530077955699E-10</v>
      </c>
      <c r="Q82">
        <v>65.872743162966003</v>
      </c>
      <c r="S82">
        <v>21.020024078391799</v>
      </c>
      <c r="AA82">
        <v>1.97123101351332</v>
      </c>
      <c r="AB82">
        <v>9.565524951055</v>
      </c>
      <c r="AC82">
        <v>1.5704767940737401</v>
      </c>
      <c r="AJ82">
        <v>0.81839962271933897</v>
      </c>
      <c r="AK82">
        <v>9.3197642192109104E-2</v>
      </c>
      <c r="AL82">
        <v>8.8402735088551607E-2</v>
      </c>
    </row>
    <row r="83" spans="1:38" x14ac:dyDescent="0.2">
      <c r="A83">
        <v>98</v>
      </c>
      <c r="B83">
        <v>767</v>
      </c>
      <c r="C83">
        <v>175</v>
      </c>
      <c r="D83">
        <v>0.41577705138682203</v>
      </c>
      <c r="E83">
        <v>8.1871551723868397</v>
      </c>
      <c r="F83">
        <v>2.5646815955292102</v>
      </c>
      <c r="G83">
        <v>-133.08930504996599</v>
      </c>
      <c r="H83">
        <v>-115.0295715541092</v>
      </c>
      <c r="I83">
        <v>17.3626241367656</v>
      </c>
      <c r="J83">
        <v>9.99050116160962</v>
      </c>
      <c r="K83">
        <v>3.19226963169961</v>
      </c>
      <c r="L83">
        <v>3.1512886799198946E-5</v>
      </c>
      <c r="M83">
        <v>1.8308322157310133E-6</v>
      </c>
      <c r="N83" s="1">
        <v>-8.7297805878277504E-8</v>
      </c>
      <c r="O83" s="1">
        <v>2.8664572452199699E-11</v>
      </c>
      <c r="P83" s="1">
        <v>3.2316580479239101E-10</v>
      </c>
      <c r="Q83">
        <v>65.951627812514701</v>
      </c>
      <c r="S83">
        <v>20.945968439644499</v>
      </c>
      <c r="AA83">
        <v>1.8917276987278</v>
      </c>
      <c r="AB83">
        <v>9.5471686780823699</v>
      </c>
      <c r="AC83">
        <v>1.6635073710305199</v>
      </c>
      <c r="AJ83">
        <v>0.81690476852750804</v>
      </c>
      <c r="AK83">
        <v>8.9447096697201994E-2</v>
      </c>
      <c r="AL83">
        <v>9.3648134775288897E-2</v>
      </c>
    </row>
    <row r="84" spans="1:38" x14ac:dyDescent="0.2">
      <c r="A84">
        <v>99</v>
      </c>
      <c r="B84">
        <v>766</v>
      </c>
      <c r="C84">
        <v>175</v>
      </c>
      <c r="D84">
        <v>0.41514747630275201</v>
      </c>
      <c r="E84">
        <v>9.6683000821858602</v>
      </c>
      <c r="F84">
        <v>2.5635667523374401</v>
      </c>
      <c r="G84">
        <v>-157.09530491603775</v>
      </c>
      <c r="H84">
        <v>-135.79908990752929</v>
      </c>
      <c r="I84">
        <v>20.4938796213332</v>
      </c>
      <c r="J84">
        <v>11.798766459852599</v>
      </c>
      <c r="K84">
        <v>3.7714251338960998</v>
      </c>
      <c r="L84">
        <v>3.1546268555858303E-5</v>
      </c>
      <c r="M84">
        <v>1.8322529642277782E-6</v>
      </c>
      <c r="N84" s="1">
        <v>-1.05924306923147E-7</v>
      </c>
      <c r="O84" s="1">
        <v>3.3894603801811203E-11</v>
      </c>
      <c r="P84" s="1">
        <v>3.89778837237193E-10</v>
      </c>
      <c r="Q84">
        <v>66.0260070959568</v>
      </c>
      <c r="S84">
        <v>20.872950947642799</v>
      </c>
      <c r="AA84">
        <v>1.8141321312257801</v>
      </c>
      <c r="AB84">
        <v>9.5214940749713008</v>
      </c>
      <c r="AC84">
        <v>1.76541575020316</v>
      </c>
      <c r="AJ84">
        <v>0.81481289112924704</v>
      </c>
      <c r="AK84">
        <v>8.5789175833536804E-2</v>
      </c>
      <c r="AL84">
        <v>9.9397933037215197E-2</v>
      </c>
    </row>
    <row r="85" spans="1:38" x14ac:dyDescent="0.2">
      <c r="A85">
        <v>100</v>
      </c>
      <c r="B85">
        <v>765</v>
      </c>
      <c r="C85">
        <v>175</v>
      </c>
      <c r="D85">
        <v>0.41451668833983701</v>
      </c>
      <c r="E85">
        <v>11.199475658780401</v>
      </c>
      <c r="F85">
        <v>2.5624137008199201</v>
      </c>
      <c r="G85">
        <v>-181.88644354795051</v>
      </c>
      <c r="H85">
        <v>-157.25357229100626</v>
      </c>
      <c r="I85">
        <v>23.727660990169198</v>
      </c>
      <c r="J85">
        <v>13.667852558633999</v>
      </c>
      <c r="K85">
        <v>4.3706742807364796</v>
      </c>
      <c r="L85">
        <v>3.157313558995445E-5</v>
      </c>
      <c r="M85">
        <v>1.8335126947666491E-6</v>
      </c>
      <c r="N85" s="1">
        <v>-1.2593954767941799E-7</v>
      </c>
      <c r="O85" s="1">
        <v>3.9314921804374198E-11</v>
      </c>
      <c r="P85" s="1">
        <v>4.6081071462788201E-10</v>
      </c>
      <c r="Q85">
        <v>66.095937900132697</v>
      </c>
      <c r="S85">
        <v>20.800542820433101</v>
      </c>
      <c r="AA85">
        <v>1.73807728773876</v>
      </c>
      <c r="AB85">
        <v>9.4875038033581909</v>
      </c>
      <c r="AC85">
        <v>1.87793818833719</v>
      </c>
      <c r="AJ85">
        <v>0.812042188983914</v>
      </c>
      <c r="AK85">
        <v>8.2206565652476304E-2</v>
      </c>
      <c r="AL85">
        <v>0.105751245363609</v>
      </c>
    </row>
    <row r="86" spans="1:38" x14ac:dyDescent="0.2">
      <c r="A86">
        <v>101</v>
      </c>
      <c r="B86">
        <v>764</v>
      </c>
      <c r="C86">
        <v>175</v>
      </c>
      <c r="D86">
        <v>0.41388468398978101</v>
      </c>
      <c r="E86">
        <v>12.7936743745699</v>
      </c>
      <c r="F86">
        <v>2.56120729521448</v>
      </c>
      <c r="G86">
        <v>-207.66868985102224</v>
      </c>
      <c r="H86">
        <v>-179.57119912495435</v>
      </c>
      <c r="I86">
        <v>27.091057924184401</v>
      </c>
      <c r="J86">
        <v>15.613286276441199</v>
      </c>
      <c r="K86">
        <v>4.9951733303565096</v>
      </c>
      <c r="L86">
        <v>3.1592491513294188E-5</v>
      </c>
      <c r="M86">
        <v>1.8346010831370529E-6</v>
      </c>
      <c r="N86" s="1">
        <v>-1.4748560284042099E-7</v>
      </c>
      <c r="O86" s="1">
        <v>4.49735581133422E-11</v>
      </c>
      <c r="P86" s="1">
        <v>5.3677449758594595E-10</v>
      </c>
      <c r="Q86">
        <v>66.161479064452607</v>
      </c>
      <c r="S86">
        <v>20.7281755327</v>
      </c>
      <c r="AA86">
        <v>1.6630803996882499</v>
      </c>
      <c r="AB86">
        <v>9.4438385206866595</v>
      </c>
      <c r="AC86">
        <v>2.0034264824724302</v>
      </c>
      <c r="AJ86">
        <v>0.808481056492525</v>
      </c>
      <c r="AK86">
        <v>7.8676554303296106E-2</v>
      </c>
      <c r="AL86">
        <v>0.112842389204178</v>
      </c>
    </row>
    <row r="87" spans="1:38" x14ac:dyDescent="0.2">
      <c r="A87">
        <v>102</v>
      </c>
      <c r="B87">
        <v>763</v>
      </c>
      <c r="C87">
        <v>175</v>
      </c>
      <c r="D87">
        <v>0.41325145973073701</v>
      </c>
      <c r="E87">
        <v>14.4703506690881</v>
      </c>
      <c r="F87">
        <v>2.55992672885341</v>
      </c>
      <c r="G87">
        <v>-234.7508152439828</v>
      </c>
      <c r="H87">
        <v>-203.01904886971224</v>
      </c>
      <c r="I87">
        <v>30.6246840460073</v>
      </c>
      <c r="J87">
        <v>17.658338434476299</v>
      </c>
      <c r="K87">
        <v>5.6526425174557096</v>
      </c>
      <c r="L87">
        <v>3.1602921087409727E-5</v>
      </c>
      <c r="M87">
        <v>1.8355027028632319E-6</v>
      </c>
      <c r="N87" s="1">
        <v>-1.7076061788268299E-7</v>
      </c>
      <c r="O87" s="1">
        <v>5.0942724506789298E-11</v>
      </c>
      <c r="P87" s="1">
        <v>6.1839778614360099E-10</v>
      </c>
      <c r="Q87">
        <v>66.222671577590901</v>
      </c>
      <c r="S87">
        <v>20.655082633020999</v>
      </c>
      <c r="AA87">
        <v>1.58849957265604</v>
      </c>
      <c r="AB87">
        <v>9.3885802159702205</v>
      </c>
      <c r="AC87">
        <v>2.1451660007617499</v>
      </c>
      <c r="AJ87">
        <v>0.80397187603382203</v>
      </c>
      <c r="AK87">
        <v>7.5169009614555402E-2</v>
      </c>
      <c r="AL87">
        <v>0.120859114351621</v>
      </c>
    </row>
    <row r="88" spans="1:38" x14ac:dyDescent="0.2">
      <c r="A88">
        <v>103</v>
      </c>
      <c r="B88">
        <v>762</v>
      </c>
      <c r="C88">
        <v>175</v>
      </c>
      <c r="D88">
        <v>0.41261701202724399</v>
      </c>
      <c r="E88">
        <v>16.259560984605699</v>
      </c>
      <c r="F88">
        <v>2.5585425130764698</v>
      </c>
      <c r="G88">
        <v>-263.61019555518078</v>
      </c>
      <c r="H88">
        <v>-228.01001313008956</v>
      </c>
      <c r="I88">
        <v>34.391327271498</v>
      </c>
      <c r="J88">
        <v>19.838979988300601</v>
      </c>
      <c r="K88">
        <v>6.35500911222098</v>
      </c>
      <c r="L88">
        <v>3.1602333955417993E-5</v>
      </c>
      <c r="M88">
        <v>1.8361935107587684E-6</v>
      </c>
      <c r="N88" s="1">
        <v>-1.9605383582231401E-7</v>
      </c>
      <c r="O88" s="1">
        <v>5.7334318551354603E-11</v>
      </c>
      <c r="P88" s="1">
        <v>7.0675764924388705E-10</v>
      </c>
      <c r="Q88">
        <v>66.2795021740029</v>
      </c>
      <c r="S88">
        <v>20.5802030705783</v>
      </c>
      <c r="AA88">
        <v>1.5134625241867401</v>
      </c>
      <c r="AB88">
        <v>9.3189176449886606</v>
      </c>
      <c r="AC88">
        <v>2.3079145862433399</v>
      </c>
      <c r="AJ88">
        <v>0.79828341407040204</v>
      </c>
      <c r="AK88">
        <v>7.1643054585605201E-2</v>
      </c>
      <c r="AL88">
        <v>0.13007353134399199</v>
      </c>
    </row>
    <row r="89" spans="1:38" x14ac:dyDescent="0.2">
      <c r="A89">
        <v>104</v>
      </c>
      <c r="B89">
        <v>761</v>
      </c>
      <c r="C89">
        <v>175</v>
      </c>
      <c r="D89">
        <v>0.411981337330175</v>
      </c>
      <c r="E89">
        <v>18.209717211202701</v>
      </c>
      <c r="F89">
        <v>2.5570113184653902</v>
      </c>
      <c r="G89">
        <v>-295.01598898587184</v>
      </c>
      <c r="H89">
        <v>-255.20934314799777</v>
      </c>
      <c r="I89">
        <v>38.492139281413699</v>
      </c>
      <c r="J89">
        <v>22.213157286589801</v>
      </c>
      <c r="K89">
        <v>7.1214847895673099</v>
      </c>
      <c r="L89">
        <v>3.1587508225957108E-5</v>
      </c>
      <c r="M89">
        <v>1.836634467525302E-6</v>
      </c>
      <c r="N89" s="1">
        <v>-2.23809583740597E-7</v>
      </c>
      <c r="O89" s="1">
        <v>6.4328980136055603E-11</v>
      </c>
      <c r="P89" s="1">
        <v>8.0352857624337103E-10</v>
      </c>
      <c r="Q89">
        <v>66.331828523543606</v>
      </c>
      <c r="S89">
        <v>20.502018569314799</v>
      </c>
      <c r="AA89">
        <v>1.43674987178084</v>
      </c>
      <c r="AB89">
        <v>9.23055327457263</v>
      </c>
      <c r="AC89">
        <v>2.4988497607880098</v>
      </c>
      <c r="AJ89">
        <v>0.79106181616429805</v>
      </c>
      <c r="AK89">
        <v>6.8041620163148006E-2</v>
      </c>
      <c r="AL89">
        <v>0.14089656367255299</v>
      </c>
    </row>
    <row r="90" spans="1:38" x14ac:dyDescent="0.2">
      <c r="A90">
        <v>105</v>
      </c>
      <c r="B90">
        <v>760</v>
      </c>
      <c r="C90">
        <v>175</v>
      </c>
      <c r="D90">
        <v>0.41134443207665999</v>
      </c>
      <c r="E90">
        <v>20.402876500731001</v>
      </c>
      <c r="F90">
        <v>2.5552673424728098</v>
      </c>
      <c r="G90">
        <v>-330.27189845572929</v>
      </c>
      <c r="H90">
        <v>-285.74465227635875</v>
      </c>
      <c r="I90">
        <v>43.098529912762402</v>
      </c>
      <c r="J90">
        <v>24.879066682384298</v>
      </c>
      <c r="K90">
        <v>7.98463478227937</v>
      </c>
      <c r="L90">
        <v>3.1553257756848269E-5</v>
      </c>
      <c r="M90">
        <v>1.8367594287067915E-6</v>
      </c>
      <c r="N90" s="1">
        <v>-2.5474974362365601E-7</v>
      </c>
      <c r="O90" s="1">
        <v>7.2233436632871904E-11</v>
      </c>
      <c r="P90" s="1">
        <v>9.1146049093373604E-10</v>
      </c>
      <c r="Q90">
        <v>66.379206170472202</v>
      </c>
      <c r="S90">
        <v>20.418292824537598</v>
      </c>
      <c r="AA90">
        <v>1.3566203488397299</v>
      </c>
      <c r="AB90">
        <v>9.1166338954422308</v>
      </c>
      <c r="AC90">
        <v>2.7292467607081301</v>
      </c>
      <c r="AJ90">
        <v>0.78174203150577304</v>
      </c>
      <c r="AK90">
        <v>6.42832855451973E-2</v>
      </c>
      <c r="AL90">
        <v>0.153974682949029</v>
      </c>
    </row>
    <row r="91" spans="1:38" x14ac:dyDescent="0.2">
      <c r="A91">
        <v>106</v>
      </c>
      <c r="B91">
        <v>759</v>
      </c>
      <c r="C91">
        <v>175</v>
      </c>
      <c r="D91">
        <v>0.41070629269001901</v>
      </c>
      <c r="E91">
        <v>22.984678019176901</v>
      </c>
      <c r="F91">
        <v>2.5532110907115002</v>
      </c>
      <c r="G91">
        <v>-371.69095280153664</v>
      </c>
      <c r="H91">
        <v>-321.61671781923195</v>
      </c>
      <c r="I91">
        <v>48.514494000198297</v>
      </c>
      <c r="J91">
        <v>28.010880398510501</v>
      </c>
      <c r="K91">
        <v>9.0022631120451901</v>
      </c>
      <c r="L91">
        <v>3.1491036525169446E-5</v>
      </c>
      <c r="M91">
        <v>1.8364528427458895E-6</v>
      </c>
      <c r="N91" s="1">
        <v>-2.9010309866227103E-7</v>
      </c>
      <c r="O91" s="1">
        <v>8.1592934151514195E-11</v>
      </c>
      <c r="P91" s="1">
        <v>1.0352836821135501E-9</v>
      </c>
      <c r="Q91">
        <v>66.420444738543395</v>
      </c>
      <c r="S91">
        <v>20.325788065557401</v>
      </c>
      <c r="AA91">
        <v>1.2706805194159601</v>
      </c>
      <c r="AB91">
        <v>8.9660185811593394</v>
      </c>
      <c r="AC91">
        <v>3.0170680953238498</v>
      </c>
      <c r="AJ91">
        <v>0.76940356791140596</v>
      </c>
      <c r="AK91">
        <v>6.0256197741041302E-2</v>
      </c>
      <c r="AL91">
        <v>0.170340234347551</v>
      </c>
    </row>
    <row r="92" spans="1:38" x14ac:dyDescent="0.2">
      <c r="A92">
        <v>107</v>
      </c>
      <c r="B92">
        <v>758</v>
      </c>
      <c r="C92">
        <v>175</v>
      </c>
      <c r="D92">
        <v>0.41006691557969399</v>
      </c>
      <c r="E92">
        <v>25.914208037905201</v>
      </c>
      <c r="F92">
        <v>2.5510570756367001</v>
      </c>
      <c r="G92">
        <v>-418.59944263346807</v>
      </c>
      <c r="H92">
        <v>-362.24718832858218</v>
      </c>
      <c r="I92">
        <v>54.6499096202161</v>
      </c>
      <c r="J92">
        <v>31.5573757701878</v>
      </c>
      <c r="K92">
        <v>10.1582235401132</v>
      </c>
      <c r="L92">
        <v>3.1403795351577551E-5</v>
      </c>
      <c r="M92">
        <v>1.835615580367455E-6</v>
      </c>
      <c r="N92" s="1">
        <v>-3.2928373330884201E-7</v>
      </c>
      <c r="O92" s="1">
        <v>9.2256150924913605E-11</v>
      </c>
      <c r="P92" s="1">
        <v>1.1729326436184201E-9</v>
      </c>
      <c r="Q92">
        <v>66.446473092371093</v>
      </c>
      <c r="S92">
        <v>20.235343882903202</v>
      </c>
      <c r="AA92">
        <v>1.1899897821165499</v>
      </c>
      <c r="AB92">
        <v>8.7869101887060594</v>
      </c>
      <c r="AC92">
        <v>3.3412830539029601</v>
      </c>
      <c r="AJ92">
        <v>0.75470647861317897</v>
      </c>
      <c r="AK92">
        <v>5.6480159342485098E-2</v>
      </c>
      <c r="AL92">
        <v>0.18881336204433499</v>
      </c>
    </row>
    <row r="93" spans="1:38" x14ac:dyDescent="0.2">
      <c r="A93">
        <v>108</v>
      </c>
      <c r="B93">
        <v>757</v>
      </c>
      <c r="C93">
        <v>175</v>
      </c>
      <c r="D93">
        <v>0.40942629714119499</v>
      </c>
      <c r="E93">
        <v>28.506659215434698</v>
      </c>
      <c r="F93">
        <v>2.5529930152554599</v>
      </c>
      <c r="G93">
        <v>-460.66037514191663</v>
      </c>
      <c r="H93">
        <v>-398.76189299026515</v>
      </c>
      <c r="I93">
        <v>60.086863225405402</v>
      </c>
      <c r="J93">
        <v>34.735769723863299</v>
      </c>
      <c r="K93">
        <v>11.1659761875933</v>
      </c>
      <c r="L93">
        <v>3.1449475376883552E-5</v>
      </c>
      <c r="M93">
        <v>1.8344308314122195E-6</v>
      </c>
      <c r="N93" s="1">
        <v>-3.76348752253998E-7</v>
      </c>
      <c r="O93" s="1">
        <v>1.01073465152585E-10</v>
      </c>
      <c r="P93" s="1">
        <v>1.33139167796264E-9</v>
      </c>
      <c r="Q93">
        <v>66.350522054269504</v>
      </c>
      <c r="S93">
        <v>20.337636864735099</v>
      </c>
      <c r="AA93">
        <v>1.2967714025305701</v>
      </c>
      <c r="AB93">
        <v>8.8412627958529502</v>
      </c>
      <c r="AC93">
        <v>3.1738068826117898</v>
      </c>
      <c r="AJ93">
        <v>0.75916791759148705</v>
      </c>
      <c r="AK93">
        <v>6.1531536753733698E-2</v>
      </c>
      <c r="AL93">
        <v>0.17930054565477799</v>
      </c>
    </row>
    <row r="94" spans="1:38" x14ac:dyDescent="0.2">
      <c r="A94">
        <v>109</v>
      </c>
      <c r="B94">
        <v>756</v>
      </c>
      <c r="C94">
        <v>175</v>
      </c>
      <c r="D94">
        <v>0.40878443375601398</v>
      </c>
      <c r="E94">
        <v>29.527540998974999</v>
      </c>
      <c r="F94">
        <v>2.5537338965633101</v>
      </c>
      <c r="G94">
        <v>-477.19072043941418</v>
      </c>
      <c r="H94">
        <v>-413.17217182446768</v>
      </c>
      <c r="I94">
        <v>62.205265136225599</v>
      </c>
      <c r="J94">
        <v>35.995525686280502</v>
      </c>
      <c r="K94">
        <v>11.5624971884156</v>
      </c>
      <c r="L94">
        <v>3.1492172616668392E-5</v>
      </c>
      <c r="M94">
        <v>1.8341988462784991E-6</v>
      </c>
      <c r="N94" s="1">
        <v>-4.0333030984307599E-7</v>
      </c>
      <c r="O94" s="1">
        <v>1.0447149427085699E-10</v>
      </c>
      <c r="P94" s="1">
        <v>1.41814708015532E-9</v>
      </c>
      <c r="Q94">
        <v>66.318858726303205</v>
      </c>
      <c r="S94">
        <v>20.373253925551499</v>
      </c>
      <c r="AA94">
        <v>1.33354404710917</v>
      </c>
      <c r="AB94">
        <v>8.8640775226639601</v>
      </c>
      <c r="AC94">
        <v>3.1102657783720602</v>
      </c>
      <c r="AJ94">
        <v>0.76104003185823199</v>
      </c>
      <c r="AK94">
        <v>6.3269166286474193E-2</v>
      </c>
      <c r="AL94">
        <v>0.17569080185529201</v>
      </c>
    </row>
    <row r="95" spans="1:38" x14ac:dyDescent="0.2">
      <c r="A95">
        <v>110</v>
      </c>
      <c r="B95">
        <v>755</v>
      </c>
      <c r="C95">
        <v>175</v>
      </c>
      <c r="D95">
        <v>0.40814132179156798</v>
      </c>
      <c r="E95">
        <v>30.1031343856584</v>
      </c>
      <c r="F95">
        <v>2.5542052969669999</v>
      </c>
      <c r="G95">
        <v>-486.49166229411293</v>
      </c>
      <c r="H95">
        <v>-421.32394647866147</v>
      </c>
      <c r="I95">
        <v>63.383471103877298</v>
      </c>
      <c r="J95">
        <v>36.712397802727097</v>
      </c>
      <c r="K95">
        <v>11.785714492646401</v>
      </c>
      <c r="L95">
        <v>3.1536088373563788E-5</v>
      </c>
      <c r="M95">
        <v>1.8342102054503192E-6</v>
      </c>
      <c r="N95" s="1">
        <v>-4.2510143029256302E-7</v>
      </c>
      <c r="O95" s="1">
        <v>1.06326568339673E-10</v>
      </c>
      <c r="P95" s="1">
        <v>1.48595615241562E-9</v>
      </c>
      <c r="Q95">
        <v>66.302553832648897</v>
      </c>
      <c r="S95">
        <v>20.3934707852152</v>
      </c>
      <c r="AA95">
        <v>1.3540276873678401</v>
      </c>
      <c r="AB95">
        <v>8.88074406736831</v>
      </c>
      <c r="AC95">
        <v>3.0692036273996099</v>
      </c>
      <c r="AJ95">
        <v>0.76240747728194902</v>
      </c>
      <c r="AK95">
        <v>6.4235650707094805E-2</v>
      </c>
      <c r="AL95">
        <v>0.17335687201095601</v>
      </c>
    </row>
    <row r="96" spans="1:38" x14ac:dyDescent="0.2">
      <c r="A96">
        <v>111</v>
      </c>
      <c r="B96">
        <v>754</v>
      </c>
      <c r="C96">
        <v>175</v>
      </c>
      <c r="D96">
        <v>0.40749695760112897</v>
      </c>
      <c r="E96">
        <v>30.4768935537878</v>
      </c>
      <c r="F96">
        <v>2.5545527612374501</v>
      </c>
      <c r="G96">
        <v>-492.51476919437613</v>
      </c>
      <c r="H96">
        <v>-426.63799156422596</v>
      </c>
      <c r="I96">
        <v>64.135498836732907</v>
      </c>
      <c r="J96">
        <v>37.183483677662302</v>
      </c>
      <c r="K96">
        <v>11.9304224270648</v>
      </c>
      <c r="L96">
        <v>3.1581447498038308E-5</v>
      </c>
      <c r="M96">
        <v>1.8343411225395681E-6</v>
      </c>
      <c r="N96" s="1">
        <v>-4.4479740815037898E-7</v>
      </c>
      <c r="O96" s="1">
        <v>1.0748171956003E-10</v>
      </c>
      <c r="P96" s="1">
        <v>1.54598406962135E-9</v>
      </c>
      <c r="Q96">
        <v>66.293502218887795</v>
      </c>
      <c r="S96">
        <v>20.406520720694498</v>
      </c>
      <c r="AA96">
        <v>1.36690608808657</v>
      </c>
      <c r="AB96">
        <v>8.8947851338960593</v>
      </c>
      <c r="AC96">
        <v>3.0382858384349798</v>
      </c>
      <c r="AJ96">
        <v>0.76355940428491997</v>
      </c>
      <c r="AK96">
        <v>6.4842064978461997E-2</v>
      </c>
      <c r="AL96">
        <v>0.17159853073661699</v>
      </c>
    </row>
    <row r="97" spans="1:38" x14ac:dyDescent="0.2">
      <c r="A97">
        <v>112</v>
      </c>
      <c r="B97">
        <v>753</v>
      </c>
      <c r="C97">
        <v>175</v>
      </c>
      <c r="D97">
        <v>0.40685133752375702</v>
      </c>
      <c r="E97">
        <v>30.8019226283145</v>
      </c>
      <c r="F97">
        <v>2.5548592336108999</v>
      </c>
      <c r="G97">
        <v>-497.74453107882789</v>
      </c>
      <c r="H97">
        <v>-431.26634658933324</v>
      </c>
      <c r="I97">
        <v>64.784080777171596</v>
      </c>
      <c r="J97">
        <v>37.595749472258703</v>
      </c>
      <c r="K97">
        <v>12.0562112476078</v>
      </c>
      <c r="L97">
        <v>3.1628083164210445E-5</v>
      </c>
      <c r="M97">
        <v>1.8345123908162516E-6</v>
      </c>
      <c r="N97" s="1">
        <v>-4.6455826476999602E-7</v>
      </c>
      <c r="O97" s="1">
        <v>1.0846479641401801E-10</v>
      </c>
      <c r="P97" s="1">
        <v>1.6057364842661E-9</v>
      </c>
      <c r="Q97">
        <v>66.286792136514606</v>
      </c>
      <c r="S97">
        <v>20.4172169962746</v>
      </c>
      <c r="AA97">
        <v>1.3772963309503099</v>
      </c>
      <c r="AB97">
        <v>8.9078737521514206</v>
      </c>
      <c r="AC97">
        <v>3.01082078410903</v>
      </c>
      <c r="AJ97">
        <v>0.76463307374763401</v>
      </c>
      <c r="AK97">
        <v>6.5330684240929401E-2</v>
      </c>
      <c r="AL97">
        <v>0.170036242011436</v>
      </c>
    </row>
    <row r="98" spans="1:38" x14ac:dyDescent="0.2">
      <c r="A98">
        <v>114</v>
      </c>
      <c r="B98">
        <v>791</v>
      </c>
      <c r="C98">
        <v>150</v>
      </c>
      <c r="D98">
        <v>0.45637410139548201</v>
      </c>
      <c r="E98">
        <v>0.24396040194202101</v>
      </c>
      <c r="F98">
        <v>2.5686920700220099</v>
      </c>
      <c r="G98">
        <v>-3.9861338739920962</v>
      </c>
      <c r="H98">
        <v>-3.4287681218077548</v>
      </c>
      <c r="I98">
        <v>0.52376615344109501</v>
      </c>
      <c r="J98">
        <v>0.29665410421898297</v>
      </c>
      <c r="K98">
        <v>9.49745610963523E-2</v>
      </c>
      <c r="L98">
        <v>3.0783414631145715E-5</v>
      </c>
      <c r="M98">
        <v>1.8164119511162668E-6</v>
      </c>
      <c r="N98" s="1">
        <v>-1.2040660445045201E-9</v>
      </c>
      <c r="O98" s="1">
        <v>8.5520698551729202E-13</v>
      </c>
      <c r="P98" s="1">
        <v>5.5492837135653901E-12</v>
      </c>
      <c r="Q98">
        <v>65.337854878530294</v>
      </c>
      <c r="S98">
        <v>21.451821521698701</v>
      </c>
      <c r="AA98">
        <v>2.4522771942755099</v>
      </c>
      <c r="AB98">
        <v>9.5055682238806796</v>
      </c>
      <c r="AC98">
        <v>1.25247818161462</v>
      </c>
      <c r="AJ98">
        <v>0.81350308850637498</v>
      </c>
      <c r="AK98">
        <v>0.115974223256081</v>
      </c>
      <c r="AL98">
        <v>7.0522688237542194E-2</v>
      </c>
    </row>
    <row r="99" spans="1:38" x14ac:dyDescent="0.2">
      <c r="A99">
        <v>115</v>
      </c>
      <c r="B99">
        <v>790</v>
      </c>
      <c r="C99">
        <v>150</v>
      </c>
      <c r="D99">
        <v>0.45579692423458601</v>
      </c>
      <c r="E99">
        <v>0.68462687288928803</v>
      </c>
      <c r="F99">
        <v>2.5683154872636198</v>
      </c>
      <c r="G99">
        <v>-11.184094796731939</v>
      </c>
      <c r="H99">
        <v>-9.622143873422651</v>
      </c>
      <c r="I99">
        <v>1.46917266924637</v>
      </c>
      <c r="J99">
        <v>0.83259372781632401</v>
      </c>
      <c r="K99">
        <v>0.26656650099428097</v>
      </c>
      <c r="L99">
        <v>3.0818054878368799E-5</v>
      </c>
      <c r="M99">
        <v>1.817549305404108E-6</v>
      </c>
      <c r="N99" s="1">
        <v>-3.4957274613460902E-9</v>
      </c>
      <c r="O99" s="1">
        <v>2.40106567641946E-12</v>
      </c>
      <c r="P99" s="1">
        <v>1.5915783909536598E-11</v>
      </c>
      <c r="Q99">
        <v>65.384392540719602</v>
      </c>
      <c r="S99">
        <v>21.4163478663306</v>
      </c>
      <c r="AA99">
        <v>2.41215213811439</v>
      </c>
      <c r="AB99">
        <v>9.5162761093824795</v>
      </c>
      <c r="AC99">
        <v>1.27083134545275</v>
      </c>
      <c r="AJ99">
        <v>0.81437698595985697</v>
      </c>
      <c r="AK99">
        <v>0.114070657301005</v>
      </c>
      <c r="AL99">
        <v>7.1552356739136597E-2</v>
      </c>
    </row>
    <row r="100" spans="1:38" x14ac:dyDescent="0.2">
      <c r="A100">
        <v>116</v>
      </c>
      <c r="B100">
        <v>789</v>
      </c>
      <c r="C100">
        <v>150</v>
      </c>
      <c r="D100">
        <v>0.45521866026455898</v>
      </c>
      <c r="E100">
        <v>1.12602613731532</v>
      </c>
      <c r="F100">
        <v>2.5679473628370699</v>
      </c>
      <c r="G100">
        <v>-18.391187319517826</v>
      </c>
      <c r="H100">
        <v>-15.825802574397535</v>
      </c>
      <c r="I100">
        <v>2.4152753802384601</v>
      </c>
      <c r="J100">
        <v>1.3695465436721601</v>
      </c>
      <c r="K100">
        <v>0.43849268626413102</v>
      </c>
      <c r="L100">
        <v>3.0852371636505297E-5</v>
      </c>
      <c r="M100">
        <v>1.8186566678597138E-6</v>
      </c>
      <c r="N100" s="1">
        <v>-5.94626453130064E-9</v>
      </c>
      <c r="O100" s="1">
        <v>3.9507879641358098E-12</v>
      </c>
      <c r="P100" s="1">
        <v>2.67545646001242E-11</v>
      </c>
      <c r="Q100">
        <v>65.429657283201195</v>
      </c>
      <c r="S100">
        <v>21.3817180065857</v>
      </c>
      <c r="AA100">
        <v>2.3730202403940002</v>
      </c>
      <c r="AB100">
        <v>9.52635948149379</v>
      </c>
      <c r="AC100">
        <v>1.2892449883252199</v>
      </c>
      <c r="AJ100">
        <v>0.81519985542167805</v>
      </c>
      <c r="AK100">
        <v>0.112214598785477</v>
      </c>
      <c r="AL100">
        <v>7.2585545792844403E-2</v>
      </c>
    </row>
    <row r="101" spans="1:38" x14ac:dyDescent="0.2">
      <c r="A101">
        <v>117</v>
      </c>
      <c r="B101">
        <v>788</v>
      </c>
      <c r="C101">
        <v>150</v>
      </c>
      <c r="D101">
        <v>0.45463930641285699</v>
      </c>
      <c r="E101">
        <v>1.5679289004432599</v>
      </c>
      <c r="F101">
        <v>2.5675876926783499</v>
      </c>
      <c r="G101">
        <v>-25.603663776439827</v>
      </c>
      <c r="H101">
        <v>-22.036532393776003</v>
      </c>
      <c r="I101">
        <v>3.3615712978031498</v>
      </c>
      <c r="J101">
        <v>1.90723779538438</v>
      </c>
      <c r="K101">
        <v>0.61066225894224202</v>
      </c>
      <c r="L101">
        <v>3.088638493646936E-5</v>
      </c>
      <c r="M101">
        <v>1.8197344347263666E-6</v>
      </c>
      <c r="N101" s="1">
        <v>-8.5605619290143698E-9</v>
      </c>
      <c r="O101" s="1">
        <v>5.5034326117847602E-12</v>
      </c>
      <c r="P101" s="1">
        <v>3.8077742814742402E-11</v>
      </c>
      <c r="Q101">
        <v>65.4736609156394</v>
      </c>
      <c r="S101">
        <v>21.347926216364002</v>
      </c>
      <c r="AA101">
        <v>2.3348740213995902</v>
      </c>
      <c r="AB101">
        <v>9.5358296457033198</v>
      </c>
      <c r="AC101">
        <v>1.30770920089353</v>
      </c>
      <c r="AJ101">
        <v>0.81597263383024299</v>
      </c>
      <c r="AK101">
        <v>0.11040566375647</v>
      </c>
      <c r="AL101">
        <v>7.3621702413285806E-2</v>
      </c>
    </row>
    <row r="102" spans="1:38" x14ac:dyDescent="0.2">
      <c r="A102">
        <v>118</v>
      </c>
      <c r="B102">
        <v>787</v>
      </c>
      <c r="C102">
        <v>150</v>
      </c>
      <c r="D102">
        <v>0.45405885959534198</v>
      </c>
      <c r="E102">
        <v>2.0101066158432599</v>
      </c>
      <c r="F102">
        <v>2.5672364568207802</v>
      </c>
      <c r="G102">
        <v>-32.817792537574249</v>
      </c>
      <c r="H102">
        <v>-28.251132673860457</v>
      </c>
      <c r="I102">
        <v>4.3075601223541797</v>
      </c>
      <c r="J102">
        <v>2.4453938479206698</v>
      </c>
      <c r="K102">
        <v>0.78298460217900701</v>
      </c>
      <c r="L102">
        <v>3.0920116322758861E-5</v>
      </c>
      <c r="M102">
        <v>1.8207830517091945E-6</v>
      </c>
      <c r="N102" s="1">
        <v>-1.13436110377337E-8</v>
      </c>
      <c r="O102" s="1">
        <v>7.0580582696129303E-12</v>
      </c>
      <c r="P102" s="1">
        <v>4.9897723830501298E-11</v>
      </c>
      <c r="Q102">
        <v>65.516417340820595</v>
      </c>
      <c r="S102">
        <v>21.3149653144275</v>
      </c>
      <c r="AA102">
        <v>2.2977043125110899</v>
      </c>
      <c r="AB102">
        <v>9.5446987570755599</v>
      </c>
      <c r="AC102">
        <v>1.3262142751651</v>
      </c>
      <c r="AJ102">
        <v>0.81669632614783005</v>
      </c>
      <c r="AK102">
        <v>0.108643389285684</v>
      </c>
      <c r="AL102">
        <v>7.4660284566485394E-2</v>
      </c>
    </row>
    <row r="103" spans="1:38" x14ac:dyDescent="0.2">
      <c r="A103">
        <v>119</v>
      </c>
      <c r="B103">
        <v>786</v>
      </c>
      <c r="C103">
        <v>150</v>
      </c>
      <c r="D103">
        <v>0.45347731671623798</v>
      </c>
      <c r="E103">
        <v>2.4523326417680398</v>
      </c>
      <c r="F103">
        <v>2.5668936200139001</v>
      </c>
      <c r="G103">
        <v>-40.029876818512612</v>
      </c>
      <c r="H103">
        <v>-34.466430103247156</v>
      </c>
      <c r="I103">
        <v>5.2527467452820096</v>
      </c>
      <c r="J103">
        <v>2.9837436083864599</v>
      </c>
      <c r="K103">
        <v>0.95536979898479701</v>
      </c>
      <c r="L103">
        <v>3.0953588776535027E-5</v>
      </c>
      <c r="M103">
        <v>1.8218030103585031E-6</v>
      </c>
      <c r="N103" s="1">
        <v>-1.43005217296986E-8</v>
      </c>
      <c r="O103" s="1">
        <v>8.6137279254855493E-12</v>
      </c>
      <c r="P103" s="1">
        <v>6.2227243895213303E-11</v>
      </c>
      <c r="Q103">
        <v>65.557942415202305</v>
      </c>
      <c r="S103">
        <v>21.282826749243899</v>
      </c>
      <c r="AA103">
        <v>2.2615003587391498</v>
      </c>
      <c r="AB103">
        <v>9.5529797319221696</v>
      </c>
      <c r="AC103">
        <v>1.3447507448923699</v>
      </c>
      <c r="AJ103">
        <v>0.817371998186744</v>
      </c>
      <c r="AK103">
        <v>0.106927238378157</v>
      </c>
      <c r="AL103">
        <v>7.57007634350986E-2</v>
      </c>
    </row>
    <row r="104" spans="1:38" x14ac:dyDescent="0.2">
      <c r="A104">
        <v>120</v>
      </c>
      <c r="B104">
        <v>785</v>
      </c>
      <c r="C104">
        <v>150</v>
      </c>
      <c r="D104">
        <v>0.452894674668055</v>
      </c>
      <c r="E104">
        <v>2.8943833363469298</v>
      </c>
      <c r="F104">
        <v>2.56655913244931</v>
      </c>
      <c r="G104">
        <v>-47.236272464161267</v>
      </c>
      <c r="H104">
        <v>-40.679294027884509</v>
      </c>
      <c r="I104">
        <v>6.1966436103357196</v>
      </c>
      <c r="J104">
        <v>3.52201987216471</v>
      </c>
      <c r="K104">
        <v>1.1277290671985301</v>
      </c>
      <c r="L104">
        <v>3.0986826634399967E-5</v>
      </c>
      <c r="M104">
        <v>1.8227948442411506E-6</v>
      </c>
      <c r="N104" s="1">
        <v>-1.74365351401628E-8</v>
      </c>
      <c r="O104" s="1">
        <v>1.01695131255634E-11</v>
      </c>
      <c r="P104" s="1">
        <v>7.5079415316433399E-11</v>
      </c>
      <c r="Q104">
        <v>65.598253799109102</v>
      </c>
      <c r="S104">
        <v>21.251500691757499</v>
      </c>
      <c r="AA104">
        <v>2.22624993021702</v>
      </c>
      <c r="AB104">
        <v>9.5606861571827206</v>
      </c>
      <c r="AC104">
        <v>1.36330942173347</v>
      </c>
      <c r="AJ104">
        <v>0.81800076925665499</v>
      </c>
      <c r="AK104">
        <v>0.105256605294223</v>
      </c>
      <c r="AL104">
        <v>7.6742625449120999E-2</v>
      </c>
    </row>
    <row r="105" spans="1:38" x14ac:dyDescent="0.2">
      <c r="A105">
        <v>121</v>
      </c>
      <c r="B105">
        <v>784</v>
      </c>
      <c r="C105">
        <v>150</v>
      </c>
      <c r="D105">
        <v>0.45231093033155201</v>
      </c>
      <c r="E105">
        <v>3.3360390781193199</v>
      </c>
      <c r="F105">
        <v>2.5662329305784599</v>
      </c>
      <c r="G105">
        <v>-54.433404488791801</v>
      </c>
      <c r="H105">
        <v>-46.886650711492933</v>
      </c>
      <c r="I105">
        <v>7.1387729057360501</v>
      </c>
      <c r="J105">
        <v>4.059960577929</v>
      </c>
      <c r="K105">
        <v>1.29997516529698</v>
      </c>
      <c r="L105">
        <v>3.1019855504677051E-5</v>
      </c>
      <c r="M105">
        <v>1.8237591249693157E-6</v>
      </c>
      <c r="N105" s="1">
        <v>-2.0757037356175899E-8</v>
      </c>
      <c r="O105" s="1">
        <v>1.1724497912303099E-11</v>
      </c>
      <c r="P105" s="1">
        <v>8.8467773564600806E-11</v>
      </c>
      <c r="Q105">
        <v>65.637370799340104</v>
      </c>
      <c r="S105">
        <v>21.220976134346799</v>
      </c>
      <c r="AA105">
        <v>2.1919394405664501</v>
      </c>
      <c r="AB105">
        <v>9.5678321991123596</v>
      </c>
      <c r="AC105">
        <v>1.38188142663411</v>
      </c>
      <c r="AJ105">
        <v>0.81858380476232095</v>
      </c>
      <c r="AK105">
        <v>0.1036308211863</v>
      </c>
      <c r="AL105">
        <v>7.77853740513786E-2</v>
      </c>
    </row>
    <row r="106" spans="1:38" x14ac:dyDescent="0.2">
      <c r="A106">
        <v>122</v>
      </c>
      <c r="B106">
        <v>783</v>
      </c>
      <c r="C106">
        <v>150</v>
      </c>
      <c r="D106">
        <v>0.45172608057567798</v>
      </c>
      <c r="E106">
        <v>3.7770852062161602</v>
      </c>
      <c r="F106">
        <v>2.5659149380001098</v>
      </c>
      <c r="G106">
        <v>-61.617782282282889</v>
      </c>
      <c r="H106">
        <v>-53.085496466541919</v>
      </c>
      <c r="I106">
        <v>8.0786685752411795</v>
      </c>
      <c r="J106">
        <v>4.5973099645696296</v>
      </c>
      <c r="K106">
        <v>1.47202276672508</v>
      </c>
      <c r="L106">
        <v>3.1052702182709229E-5</v>
      </c>
      <c r="M106">
        <v>1.8246964581533542E-6</v>
      </c>
      <c r="N106" s="1">
        <v>-2.4267573971950999E-8</v>
      </c>
      <c r="O106" s="1">
        <v>1.3277782455218E-11</v>
      </c>
      <c r="P106" s="1">
        <v>1.02406326192049E-10</v>
      </c>
      <c r="Q106">
        <v>65.675314207041197</v>
      </c>
      <c r="S106">
        <v>21.191240993948401</v>
      </c>
      <c r="AA106">
        <v>2.1585540698068399</v>
      </c>
      <c r="AB106">
        <v>9.5744325123436003</v>
      </c>
      <c r="AC106">
        <v>1.4004582168597901</v>
      </c>
      <c r="AJ106">
        <v>0.81912230883758197</v>
      </c>
      <c r="AK106">
        <v>0.102049159940638</v>
      </c>
      <c r="AL106">
        <v>7.8828531221779005E-2</v>
      </c>
    </row>
    <row r="107" spans="1:38" x14ac:dyDescent="0.2">
      <c r="A107">
        <v>123</v>
      </c>
      <c r="B107">
        <v>782</v>
      </c>
      <c r="C107">
        <v>150</v>
      </c>
      <c r="D107">
        <v>0.451140122257502</v>
      </c>
      <c r="E107">
        <v>4.2173128684742904</v>
      </c>
      <c r="F107">
        <v>2.5656050664099199</v>
      </c>
      <c r="G107">
        <v>-68.786013294562238</v>
      </c>
      <c r="H107">
        <v>-59.272909492433875</v>
      </c>
      <c r="I107">
        <v>9.0158781236111807</v>
      </c>
      <c r="J107">
        <v>5.1338196157690703</v>
      </c>
      <c r="K107">
        <v>1.64378879808481</v>
      </c>
      <c r="L107">
        <v>3.1085394566667484E-5</v>
      </c>
      <c r="M107">
        <v>1.8256074793300975E-6</v>
      </c>
      <c r="N107" s="1">
        <v>-2.7973865415607399E-8</v>
      </c>
      <c r="O107" s="1">
        <v>1.4828486329151299E-11</v>
      </c>
      <c r="P107" s="1">
        <v>1.1690960318133301E-10</v>
      </c>
      <c r="Q107">
        <v>65.712106132808302</v>
      </c>
      <c r="S107">
        <v>21.162282218229699</v>
      </c>
      <c r="AA107">
        <v>2.12607789042488</v>
      </c>
      <c r="AB107">
        <v>9.58050215076703</v>
      </c>
      <c r="AC107">
        <v>1.4190316077699401</v>
      </c>
      <c r="AJ107">
        <v>0.819617517132327</v>
      </c>
      <c r="AK107">
        <v>0.100510844158896</v>
      </c>
      <c r="AL107">
        <v>7.9871638708776393E-2</v>
      </c>
    </row>
    <row r="108" spans="1:38" x14ac:dyDescent="0.2">
      <c r="A108">
        <v>124</v>
      </c>
      <c r="B108">
        <v>781</v>
      </c>
      <c r="C108">
        <v>150</v>
      </c>
      <c r="D108">
        <v>0.45055305222216901</v>
      </c>
      <c r="E108">
        <v>4.6565197747614402</v>
      </c>
      <c r="F108">
        <v>2.5653032165853098</v>
      </c>
      <c r="G108">
        <v>-75.934815156847719</v>
      </c>
      <c r="H108">
        <v>-65.446060383506875</v>
      </c>
      <c r="I108">
        <v>9.9499642112989992</v>
      </c>
      <c r="J108">
        <v>5.6692493889067501</v>
      </c>
      <c r="K108">
        <v>1.81519274004565</v>
      </c>
      <c r="L108">
        <v>3.1117961575039896E-5</v>
      </c>
      <c r="M108">
        <v>1.8264928499263885E-6</v>
      </c>
      <c r="N108" s="1">
        <v>-3.1881822991463702E-8</v>
      </c>
      <c r="O108" s="1">
        <v>1.6375751427525901E-11</v>
      </c>
      <c r="P108" s="1">
        <v>1.31992708525096E-10</v>
      </c>
      <c r="Q108">
        <v>65.747769841771202</v>
      </c>
      <c r="S108">
        <v>21.1340858926729</v>
      </c>
      <c r="AA108">
        <v>2.0944939942008798</v>
      </c>
      <c r="AB108">
        <v>9.5860564807595008</v>
      </c>
      <c r="AC108">
        <v>1.4375937905954199</v>
      </c>
      <c r="AJ108">
        <v>0.82007068979443398</v>
      </c>
      <c r="AK108">
        <v>9.90150511666546E-2</v>
      </c>
      <c r="AL108">
        <v>8.0914259038910794E-2</v>
      </c>
    </row>
    <row r="109" spans="1:38" x14ac:dyDescent="0.2">
      <c r="A109">
        <v>125</v>
      </c>
      <c r="B109">
        <v>780</v>
      </c>
      <c r="C109">
        <v>150</v>
      </c>
      <c r="D109">
        <v>0.44996486730285301</v>
      </c>
      <c r="E109">
        <v>5.0945108547697497</v>
      </c>
      <c r="F109">
        <v>2.5650092793950998</v>
      </c>
      <c r="G109">
        <v>-83.061026230871079</v>
      </c>
      <c r="H109">
        <v>-71.602221297477826</v>
      </c>
      <c r="I109">
        <v>10.880506037500099</v>
      </c>
      <c r="J109">
        <v>6.2033682274221196</v>
      </c>
      <c r="K109">
        <v>1.98615689061802</v>
      </c>
      <c r="L109">
        <v>3.1150433067347857E-5</v>
      </c>
      <c r="M109">
        <v>1.8273532533112124E-6</v>
      </c>
      <c r="N109" s="1">
        <v>-3.5997565592453197E-8</v>
      </c>
      <c r="O109" s="1">
        <v>1.7918744505519001E-11</v>
      </c>
      <c r="P109" s="1">
        <v>1.47671372886262E-10</v>
      </c>
      <c r="Q109">
        <v>65.782329590767105</v>
      </c>
      <c r="S109">
        <v>21.106637347322099</v>
      </c>
      <c r="AA109">
        <v>2.0637846182696999</v>
      </c>
      <c r="AB109">
        <v>9.5911110981858094</v>
      </c>
      <c r="AC109">
        <v>1.4561373454551301</v>
      </c>
      <c r="AJ109">
        <v>0.82048310476191499</v>
      </c>
      <c r="AK109">
        <v>9.7560918977255703E-2</v>
      </c>
      <c r="AL109">
        <v>8.1955976260829094E-2</v>
      </c>
    </row>
    <row r="110" spans="1:38" x14ac:dyDescent="0.2">
      <c r="A110">
        <v>126</v>
      </c>
      <c r="B110">
        <v>779</v>
      </c>
      <c r="C110">
        <v>150</v>
      </c>
      <c r="D110">
        <v>0.44937556432067799</v>
      </c>
      <c r="E110">
        <v>5.5310988117397102</v>
      </c>
      <c r="F110">
        <v>2.56472313682315</v>
      </c>
      <c r="G110">
        <v>-90.16161445000499</v>
      </c>
      <c r="H110">
        <v>-77.738773665143071</v>
      </c>
      <c r="I110">
        <v>11.807100494094801</v>
      </c>
      <c r="J110">
        <v>6.7359548462685597</v>
      </c>
      <c r="K110">
        <v>2.1566065874037799</v>
      </c>
      <c r="L110">
        <v>3.1182839768715694E-5</v>
      </c>
      <c r="M110">
        <v>1.8281893909641113E-6</v>
      </c>
      <c r="N110" s="1">
        <v>-4.0327436972730401E-8</v>
      </c>
      <c r="O110" s="1">
        <v>1.9456659321340301E-11</v>
      </c>
      <c r="P110" s="1">
        <v>1.63962006933128E-10</v>
      </c>
      <c r="Q110">
        <v>65.815810468851197</v>
      </c>
      <c r="S110">
        <v>21.079921262268101</v>
      </c>
      <c r="AA110">
        <v>2.0339312693613198</v>
      </c>
      <c r="AB110">
        <v>9.5956817495261504</v>
      </c>
      <c r="AC110">
        <v>1.4746552499930901</v>
      </c>
      <c r="AJ110">
        <v>0.82085605139298901</v>
      </c>
      <c r="AK110">
        <v>9.6147552161982106E-2</v>
      </c>
      <c r="AL110">
        <v>8.2996396445027903E-2</v>
      </c>
    </row>
    <row r="111" spans="1:38" x14ac:dyDescent="0.2">
      <c r="A111">
        <v>127</v>
      </c>
      <c r="B111">
        <v>778</v>
      </c>
      <c r="C111">
        <v>150</v>
      </c>
      <c r="D111">
        <v>0.44878514008467002</v>
      </c>
      <c r="E111">
        <v>5.9661045861588402</v>
      </c>
      <c r="F111">
        <v>2.5644446629807098</v>
      </c>
      <c r="G111">
        <v>-97.233684684187409</v>
      </c>
      <c r="H111">
        <v>-83.853214639192927</v>
      </c>
      <c r="I111">
        <v>12.729363121338</v>
      </c>
      <c r="J111">
        <v>7.2667983076062104</v>
      </c>
      <c r="K111">
        <v>2.3264703942662899</v>
      </c>
      <c r="L111">
        <v>3.1215213199640896E-5</v>
      </c>
      <c r="M111">
        <v>1.8290019788201133E-6</v>
      </c>
      <c r="N111" s="1">
        <v>-4.4878023622283399E-8</v>
      </c>
      <c r="O111" s="1">
        <v>2.09887184244312E-11</v>
      </c>
      <c r="P111" s="1">
        <v>1.8088175557478799E-10</v>
      </c>
      <c r="Q111">
        <v>65.848238243872302</v>
      </c>
      <c r="S111">
        <v>21.053921769846099</v>
      </c>
      <c r="AA111">
        <v>2.0049148439144999</v>
      </c>
      <c r="AB111">
        <v>9.5997842579037798</v>
      </c>
      <c r="AC111">
        <v>1.4931408844632501</v>
      </c>
      <c r="AJ111">
        <v>0.82119082449637304</v>
      </c>
      <c r="AK111">
        <v>9.4774027518189294E-2</v>
      </c>
      <c r="AL111">
        <v>8.4035147985437306E-2</v>
      </c>
    </row>
    <row r="112" spans="1:38" x14ac:dyDescent="0.2">
      <c r="A112">
        <v>128</v>
      </c>
      <c r="B112">
        <v>777</v>
      </c>
      <c r="C112">
        <v>150</v>
      </c>
      <c r="D112">
        <v>0.44819359139171</v>
      </c>
      <c r="E112">
        <v>6.3993577151438599</v>
      </c>
      <c r="F112">
        <v>2.5641737251114098</v>
      </c>
      <c r="G112">
        <v>-104.27448439874809</v>
      </c>
      <c r="H112">
        <v>-89.943162082040388</v>
      </c>
      <c r="I112">
        <v>13.6469288356022</v>
      </c>
      <c r="J112">
        <v>7.7956984693848996</v>
      </c>
      <c r="K112">
        <v>2.49568024680769</v>
      </c>
      <c r="L112">
        <v>3.1247585611177126E-5</v>
      </c>
      <c r="M112">
        <v>1.8297917437918429E-6</v>
      </c>
      <c r="N112" s="1">
        <v>-4.9656173083320497E-8</v>
      </c>
      <c r="O112" s="1">
        <v>2.25141745395068E-11</v>
      </c>
      <c r="P112" s="1">
        <v>1.9844855249583901E-10</v>
      </c>
      <c r="Q112">
        <v>65.879639215059498</v>
      </c>
      <c r="S112">
        <v>21.028622553705802</v>
      </c>
      <c r="AA112">
        <v>1.9767157442077401</v>
      </c>
      <c r="AB112">
        <v>9.6034344543073402</v>
      </c>
      <c r="AC112">
        <v>1.5115880327195601</v>
      </c>
      <c r="AJ112">
        <v>0.821488718784949</v>
      </c>
      <c r="AK112">
        <v>9.3439399543055301E-2</v>
      </c>
      <c r="AL112">
        <v>8.5071881671994698E-2</v>
      </c>
    </row>
    <row r="113" spans="1:38" x14ac:dyDescent="0.2">
      <c r="A113">
        <v>129</v>
      </c>
      <c r="B113">
        <v>776</v>
      </c>
      <c r="C113">
        <v>150</v>
      </c>
      <c r="D113">
        <v>0.447600915026452</v>
      </c>
      <c r="E113">
        <v>7.4898431431197903</v>
      </c>
      <c r="F113">
        <v>2.5634010227271302</v>
      </c>
      <c r="G113">
        <v>-122.00261775397907</v>
      </c>
      <c r="H113">
        <v>-105.25297663566572</v>
      </c>
      <c r="I113">
        <v>15.964963178109199</v>
      </c>
      <c r="J113">
        <v>9.1249409519497693</v>
      </c>
      <c r="K113">
        <v>2.9218382440807198</v>
      </c>
      <c r="L113">
        <v>3.1281552837617584E-5</v>
      </c>
      <c r="M113">
        <v>1.8310825969909861E-6</v>
      </c>
      <c r="N113" s="1">
        <v>-5.9850746572272601E-8</v>
      </c>
      <c r="O113" s="1">
        <v>2.63749451769314E-11</v>
      </c>
      <c r="P113" s="1">
        <v>2.3729338112125999E-10</v>
      </c>
      <c r="Q113">
        <v>65.941157860739494</v>
      </c>
      <c r="S113">
        <v>20.9729749782508</v>
      </c>
      <c r="AA113">
        <v>1.9164513897161299</v>
      </c>
      <c r="AB113">
        <v>9.5946381039737805</v>
      </c>
      <c r="AC113">
        <v>1.5747776673196301</v>
      </c>
      <c r="AJ113">
        <v>0.82077307807101296</v>
      </c>
      <c r="AK113">
        <v>9.0594764986621307E-2</v>
      </c>
      <c r="AL113">
        <v>8.8632156942365301E-2</v>
      </c>
    </row>
    <row r="114" spans="1:38" x14ac:dyDescent="0.2">
      <c r="A114">
        <v>130</v>
      </c>
      <c r="B114">
        <v>775</v>
      </c>
      <c r="C114">
        <v>150</v>
      </c>
      <c r="D114">
        <v>0.44700710776129698</v>
      </c>
      <c r="E114">
        <v>8.8817724318517506</v>
      </c>
      <c r="F114">
        <v>2.56240269914159</v>
      </c>
      <c r="G114">
        <v>-144.61657236822273</v>
      </c>
      <c r="H114">
        <v>-124.78232878967597</v>
      </c>
      <c r="I114">
        <v>18.9230964828953</v>
      </c>
      <c r="J114">
        <v>10.8211862032284</v>
      </c>
      <c r="K114">
        <v>3.4661891492805301</v>
      </c>
      <c r="L114">
        <v>3.1312227437032011E-5</v>
      </c>
      <c r="M114">
        <v>1.8324757063869344E-6</v>
      </c>
      <c r="N114" s="1">
        <v>-7.2987731126966594E-8</v>
      </c>
      <c r="O114" s="1">
        <v>3.1316612856584903E-11</v>
      </c>
      <c r="P114" s="1">
        <v>2.8721826328856201E-10</v>
      </c>
      <c r="Q114">
        <v>66.0120494739744</v>
      </c>
      <c r="S114">
        <v>20.905497984011099</v>
      </c>
      <c r="AA114">
        <v>1.8442405897613301</v>
      </c>
      <c r="AB114">
        <v>9.5757165500042305</v>
      </c>
      <c r="AC114">
        <v>1.6624954022487699</v>
      </c>
      <c r="AJ114">
        <v>0.81923246169156205</v>
      </c>
      <c r="AK114">
        <v>8.7189510025131006E-2</v>
      </c>
      <c r="AL114">
        <v>9.3578028283306303E-2</v>
      </c>
    </row>
    <row r="115" spans="1:38" x14ac:dyDescent="0.2">
      <c r="A115">
        <v>131</v>
      </c>
      <c r="B115">
        <v>774</v>
      </c>
      <c r="C115">
        <v>150</v>
      </c>
      <c r="D115">
        <v>0.44641216635630598</v>
      </c>
      <c r="E115">
        <v>10.3051599351958</v>
      </c>
      <c r="F115">
        <v>2.5613847083068602</v>
      </c>
      <c r="G115">
        <v>-167.72036981743028</v>
      </c>
      <c r="H115">
        <v>-144.74054789784049</v>
      </c>
      <c r="I115">
        <v>21.9451099838512</v>
      </c>
      <c r="J115">
        <v>12.555572245129399</v>
      </c>
      <c r="K115">
        <v>4.0232769024407098</v>
      </c>
      <c r="L115">
        <v>3.1337899513966623E-5</v>
      </c>
      <c r="M115">
        <v>1.8337299168104604E-6</v>
      </c>
      <c r="N115" s="1">
        <v>-8.7009898967463294E-8</v>
      </c>
      <c r="O115" s="1">
        <v>3.6381861545762197E-11</v>
      </c>
      <c r="P115" s="1">
        <v>3.39964429855724E-10</v>
      </c>
      <c r="Q115">
        <v>66.078731642434605</v>
      </c>
      <c r="S115">
        <v>20.8391684699866</v>
      </c>
      <c r="AA115">
        <v>1.77395868912462</v>
      </c>
      <c r="AB115">
        <v>9.5504227426221799</v>
      </c>
      <c r="AC115">
        <v>1.7577184558319301</v>
      </c>
      <c r="AJ115">
        <v>0.81717209112352496</v>
      </c>
      <c r="AK115">
        <v>8.38774506905271E-2</v>
      </c>
      <c r="AL115">
        <v>9.8950458185947193E-2</v>
      </c>
    </row>
    <row r="116" spans="1:38" x14ac:dyDescent="0.2">
      <c r="A116">
        <v>132</v>
      </c>
      <c r="B116">
        <v>773</v>
      </c>
      <c r="C116">
        <v>150</v>
      </c>
      <c r="D116">
        <v>0.44581608755914398</v>
      </c>
      <c r="E116">
        <v>11.7665748848811</v>
      </c>
      <c r="F116">
        <v>2.5603385193746901</v>
      </c>
      <c r="G116">
        <v>-191.41799399191567</v>
      </c>
      <c r="H116">
        <v>-165.21746934502556</v>
      </c>
      <c r="I116">
        <v>25.044711223906699</v>
      </c>
      <c r="J116">
        <v>14.3359084220412</v>
      </c>
      <c r="K116">
        <v>4.5957106046097502</v>
      </c>
      <c r="L116">
        <v>3.1358070421400726E-5</v>
      </c>
      <c r="M116">
        <v>1.8348406071057174E-6</v>
      </c>
      <c r="N116" s="1">
        <v>-1.01976898703717E-7</v>
      </c>
      <c r="O116" s="1">
        <v>4.1594926778672301E-11</v>
      </c>
      <c r="P116" s="1">
        <v>3.9575560411259299E-10</v>
      </c>
      <c r="Q116">
        <v>66.141273089545194</v>
      </c>
      <c r="S116">
        <v>20.773649831545999</v>
      </c>
      <c r="AA116">
        <v>1.7053119498670799</v>
      </c>
      <c r="AB116">
        <v>9.5180273754938707</v>
      </c>
      <c r="AC116">
        <v>1.86173775354767</v>
      </c>
      <c r="AJ116">
        <v>0.81453210949971</v>
      </c>
      <c r="AK116">
        <v>8.0644710150939797E-2</v>
      </c>
      <c r="AL116">
        <v>0.104823180349349</v>
      </c>
    </row>
    <row r="117" spans="1:38" x14ac:dyDescent="0.2">
      <c r="A117">
        <v>133</v>
      </c>
      <c r="B117">
        <v>772</v>
      </c>
      <c r="C117">
        <v>150</v>
      </c>
      <c r="D117">
        <v>0.44521886810505501</v>
      </c>
      <c r="E117">
        <v>13.2753555242536</v>
      </c>
      <c r="F117">
        <v>2.5592531764334998</v>
      </c>
      <c r="G117">
        <v>-215.85755083203966</v>
      </c>
      <c r="H117">
        <v>-186.34102126309216</v>
      </c>
      <c r="I117">
        <v>28.241429047454901</v>
      </c>
      <c r="J117">
        <v>16.173317898460301</v>
      </c>
      <c r="K117">
        <v>5.1871990026222203</v>
      </c>
      <c r="L117">
        <v>3.137207370231311E-5</v>
      </c>
      <c r="M117">
        <v>1.8358011009512521E-6</v>
      </c>
      <c r="N117" s="1">
        <v>-1.17966455679054E-7</v>
      </c>
      <c r="O117" s="1">
        <v>4.6990468142855303E-11</v>
      </c>
      <c r="P117" s="1">
        <v>4.5489014398497302E-10</v>
      </c>
      <c r="Q117">
        <v>66.199738543198194</v>
      </c>
      <c r="S117">
        <v>20.708519041967602</v>
      </c>
      <c r="AA117">
        <v>1.63793626724298</v>
      </c>
      <c r="AB117">
        <v>9.4775656717071008</v>
      </c>
      <c r="AC117">
        <v>1.97624047588393</v>
      </c>
      <c r="AJ117">
        <v>0.81123326127576101</v>
      </c>
      <c r="AK117">
        <v>7.7474134977548695E-2</v>
      </c>
      <c r="AL117">
        <v>0.11129260374668901</v>
      </c>
    </row>
    <row r="118" spans="1:38" x14ac:dyDescent="0.2">
      <c r="A118">
        <v>134</v>
      </c>
      <c r="B118">
        <v>771</v>
      </c>
      <c r="C118">
        <v>150</v>
      </c>
      <c r="D118">
        <v>0.44462050471675502</v>
      </c>
      <c r="E118">
        <v>14.8449221152341</v>
      </c>
      <c r="F118">
        <v>2.5581143675529399</v>
      </c>
      <c r="G118">
        <v>-241.25216146155432</v>
      </c>
      <c r="H118">
        <v>-208.29527185614324</v>
      </c>
      <c r="I118">
        <v>31.5633669543754</v>
      </c>
      <c r="J118">
        <v>18.083807204833999</v>
      </c>
      <c r="K118">
        <v>5.8030721001088699</v>
      </c>
      <c r="L118">
        <v>3.137899506697633E-5</v>
      </c>
      <c r="M118">
        <v>1.8366014765776654E-6</v>
      </c>
      <c r="N118" s="1">
        <v>-1.3508297413119E-7</v>
      </c>
      <c r="O118" s="1">
        <v>5.2618514234890398E-11</v>
      </c>
      <c r="P118" s="1">
        <v>5.1777656748029398E-10</v>
      </c>
      <c r="Q118">
        <v>66.254173487522394</v>
      </c>
      <c r="S118">
        <v>20.643238516399801</v>
      </c>
      <c r="AA118">
        <v>1.5713775151456599</v>
      </c>
      <c r="AB118">
        <v>9.4277296416249996</v>
      </c>
      <c r="AC118">
        <v>2.1034808393070099</v>
      </c>
      <c r="AJ118">
        <v>0.807168007608845</v>
      </c>
      <c r="AK118">
        <v>7.4344380211833094E-2</v>
      </c>
      <c r="AL118">
        <v>0.11848761217932</v>
      </c>
    </row>
    <row r="119" spans="1:38" x14ac:dyDescent="0.2">
      <c r="A119">
        <v>135</v>
      </c>
      <c r="B119">
        <v>770</v>
      </c>
      <c r="C119">
        <v>150</v>
      </c>
      <c r="D119">
        <v>0.44402099410439499</v>
      </c>
      <c r="E119">
        <v>16.494900245634199</v>
      </c>
      <c r="F119">
        <v>2.5569030000867801</v>
      </c>
      <c r="G119">
        <v>-267.91373230928701</v>
      </c>
      <c r="H119">
        <v>-231.34960075678885</v>
      </c>
      <c r="I119">
        <v>35.051652736900799</v>
      </c>
      <c r="J119">
        <v>20.0908025468933</v>
      </c>
      <c r="K119">
        <v>6.4511247572060304</v>
      </c>
      <c r="L119">
        <v>3.1377547629080681E-5</v>
      </c>
      <c r="M119">
        <v>1.8372267096735282E-6</v>
      </c>
      <c r="N119" s="1">
        <v>-1.5347109744689201E-7</v>
      </c>
      <c r="O119" s="1">
        <v>5.8552462647377701E-11</v>
      </c>
      <c r="P119" s="1">
        <v>5.8498996218310499E-10</v>
      </c>
      <c r="Q119">
        <v>66.3045796330223</v>
      </c>
      <c r="S119">
        <v>20.5771129253448</v>
      </c>
      <c r="AA119">
        <v>1.5050616404971999</v>
      </c>
      <c r="AB119">
        <v>9.36670020033797</v>
      </c>
      <c r="AC119">
        <v>2.2465456007976101</v>
      </c>
      <c r="AJ119">
        <v>0.80218666543064199</v>
      </c>
      <c r="AK119">
        <v>7.1228515947888399E-2</v>
      </c>
      <c r="AL119">
        <v>0.126584818621469</v>
      </c>
    </row>
    <row r="120" spans="1:38" x14ac:dyDescent="0.2">
      <c r="A120">
        <v>136</v>
      </c>
      <c r="B120">
        <v>769</v>
      </c>
      <c r="C120">
        <v>150</v>
      </c>
      <c r="D120">
        <v>0.44342033296550898</v>
      </c>
      <c r="E120">
        <v>18.254694866400101</v>
      </c>
      <c r="F120">
        <v>2.55559301226742</v>
      </c>
      <c r="G120">
        <v>-296.30977149480896</v>
      </c>
      <c r="H120">
        <v>-255.9077805857294</v>
      </c>
      <c r="I120">
        <v>38.767922956464503</v>
      </c>
      <c r="J120">
        <v>22.2294160248012</v>
      </c>
      <c r="K120">
        <v>7.1430367741551404</v>
      </c>
      <c r="L120">
        <v>3.1365872186229661E-5</v>
      </c>
      <c r="M120">
        <v>1.8376536610079332E-6</v>
      </c>
      <c r="N120" s="1">
        <v>-1.73337915957841E-7</v>
      </c>
      <c r="O120" s="1">
        <v>6.4902552299115996E-11</v>
      </c>
      <c r="P120" s="1">
        <v>6.5736510875846002E-10</v>
      </c>
      <c r="Q120">
        <v>66.350871876073199</v>
      </c>
      <c r="S120">
        <v>20.509223718709201</v>
      </c>
      <c r="AA120">
        <v>1.4382506878325101</v>
      </c>
      <c r="AB120">
        <v>9.2918796004917805</v>
      </c>
      <c r="AC120">
        <v>2.4097741168931899</v>
      </c>
      <c r="AJ120">
        <v>0.79607528090378399</v>
      </c>
      <c r="AK120">
        <v>6.80919772997651E-2</v>
      </c>
      <c r="AL120">
        <v>0.135832741796449</v>
      </c>
    </row>
    <row r="121" spans="1:38" x14ac:dyDescent="0.2">
      <c r="A121">
        <v>137</v>
      </c>
      <c r="B121">
        <v>768</v>
      </c>
      <c r="C121">
        <v>150</v>
      </c>
      <c r="D121">
        <v>0.442818517984921</v>
      </c>
      <c r="E121">
        <v>20.169688217201902</v>
      </c>
      <c r="F121">
        <v>2.55414813339118</v>
      </c>
      <c r="G121">
        <v>-327.16185917573648</v>
      </c>
      <c r="H121">
        <v>-282.59304983186297</v>
      </c>
      <c r="I121">
        <v>42.807289385653803</v>
      </c>
      <c r="J121">
        <v>24.5538377712491</v>
      </c>
      <c r="K121">
        <v>7.8968357212791203</v>
      </c>
      <c r="L121">
        <v>3.1341215232961584E-5</v>
      </c>
      <c r="M121">
        <v>1.8378460632518287E-6</v>
      </c>
      <c r="N121" s="1">
        <v>-1.94990299519527E-7</v>
      </c>
      <c r="O121" s="1">
        <v>7.1839241059827805E-11</v>
      </c>
      <c r="P121" s="1">
        <v>7.3615447624330599E-10</v>
      </c>
      <c r="Q121">
        <v>66.392796013224896</v>
      </c>
      <c r="S121">
        <v>20.438336351839201</v>
      </c>
      <c r="AA121">
        <v>1.36998546007153</v>
      </c>
      <c r="AB121">
        <v>9.1994648440158002</v>
      </c>
      <c r="AC121">
        <v>2.5994173308484498</v>
      </c>
      <c r="AJ121">
        <v>0.78852026799463104</v>
      </c>
      <c r="AK121">
        <v>6.4889891055790502E-2</v>
      </c>
      <c r="AL121">
        <v>0.146589840949577</v>
      </c>
    </row>
    <row r="122" spans="1:38" x14ac:dyDescent="0.2">
      <c r="A122">
        <v>138</v>
      </c>
      <c r="B122">
        <v>767</v>
      </c>
      <c r="C122">
        <v>150</v>
      </c>
      <c r="D122">
        <v>0.44221554583473799</v>
      </c>
      <c r="E122">
        <v>22.311904213376302</v>
      </c>
      <c r="F122">
        <v>2.5525179376929401</v>
      </c>
      <c r="G122">
        <v>-361.61491257116302</v>
      </c>
      <c r="H122">
        <v>-312.39437902937141</v>
      </c>
      <c r="I122">
        <v>47.320611009750003</v>
      </c>
      <c r="J122">
        <v>27.150038812254</v>
      </c>
      <c r="K122">
        <v>8.7411351293157598</v>
      </c>
      <c r="L122">
        <v>3.1299441234160381E-5</v>
      </c>
      <c r="M122">
        <v>1.8377463716346269E-6</v>
      </c>
      <c r="N122" s="1">
        <v>-2.1889650595640201E-7</v>
      </c>
      <c r="O122" s="1">
        <v>7.9633469922307501E-11</v>
      </c>
      <c r="P122" s="1">
        <v>8.2329224852656897E-10</v>
      </c>
      <c r="Q122">
        <v>66.429760014076194</v>
      </c>
      <c r="S122">
        <v>20.362804110286</v>
      </c>
      <c r="AA122">
        <v>1.29904554313341</v>
      </c>
      <c r="AB122">
        <v>9.0838195468893908</v>
      </c>
      <c r="AC122">
        <v>2.8245707856148501</v>
      </c>
      <c r="AJ122">
        <v>0.77905609281617005</v>
      </c>
      <c r="AK122">
        <v>6.1565214617629899E-2</v>
      </c>
      <c r="AL122">
        <v>0.15937869256619899</v>
      </c>
    </row>
    <row r="123" spans="1:38" x14ac:dyDescent="0.2">
      <c r="A123">
        <v>139</v>
      </c>
      <c r="B123">
        <v>766</v>
      </c>
      <c r="C123">
        <v>150</v>
      </c>
      <c r="D123">
        <v>0.44161141317423203</v>
      </c>
      <c r="E123">
        <v>24.795592849356801</v>
      </c>
      <c r="F123">
        <v>2.5506378546646</v>
      </c>
      <c r="G123">
        <v>-401.48391275294921</v>
      </c>
      <c r="H123">
        <v>-346.87980756738551</v>
      </c>
      <c r="I123">
        <v>52.546894274708897</v>
      </c>
      <c r="J123">
        <v>30.154276774818801</v>
      </c>
      <c r="K123">
        <v>9.7213302170712605</v>
      </c>
      <c r="L123">
        <v>3.1234543959688937E-5</v>
      </c>
      <c r="M123">
        <v>1.8372652815906584E-6</v>
      </c>
      <c r="N123" s="1">
        <v>-2.4576872230139902E-7</v>
      </c>
      <c r="O123" s="1">
        <v>8.8715641946549304E-11</v>
      </c>
      <c r="P123" s="1">
        <v>9.2175768262471805E-10</v>
      </c>
      <c r="Q123">
        <v>66.460482489078899</v>
      </c>
      <c r="S123">
        <v>20.2806572438666</v>
      </c>
      <c r="AA123">
        <v>1.2241048676820701</v>
      </c>
      <c r="AB123">
        <v>8.9369242450198296</v>
      </c>
      <c r="AC123">
        <v>3.0978311543525101</v>
      </c>
      <c r="AJ123">
        <v>0.76701850906535196</v>
      </c>
      <c r="AK123">
        <v>5.8056009717737798E-2</v>
      </c>
      <c r="AL123">
        <v>0.17492548121690901</v>
      </c>
    </row>
    <row r="124" spans="1:38" x14ac:dyDescent="0.2">
      <c r="A124">
        <v>140</v>
      </c>
      <c r="B124">
        <v>765</v>
      </c>
      <c r="C124">
        <v>150</v>
      </c>
      <c r="D124">
        <v>0.44100611664981298</v>
      </c>
      <c r="E124">
        <v>27.779130904274201</v>
      </c>
      <c r="F124">
        <v>2.5484584035514901</v>
      </c>
      <c r="G124">
        <v>-449.28059498370817</v>
      </c>
      <c r="H124">
        <v>-388.22029601563668</v>
      </c>
      <c r="I124">
        <v>58.816451349102998</v>
      </c>
      <c r="J124">
        <v>33.755052923332798</v>
      </c>
      <c r="K124">
        <v>10.9003666159752</v>
      </c>
      <c r="L124">
        <v>3.1139688107698467E-5</v>
      </c>
      <c r="M124">
        <v>1.8362869923456385E-6</v>
      </c>
      <c r="N124" s="1">
        <v>-2.7653982166261201E-7</v>
      </c>
      <c r="O124" s="1">
        <v>9.9683535345900001E-11</v>
      </c>
      <c r="P124" s="1">
        <v>1.0355187958777601E-9</v>
      </c>
      <c r="Q124">
        <v>66.482396706085595</v>
      </c>
      <c r="S124">
        <v>20.190786786729699</v>
      </c>
      <c r="AA124">
        <v>1.1448474373922699</v>
      </c>
      <c r="AB124">
        <v>8.7501518152852409</v>
      </c>
      <c r="AC124">
        <v>3.4318172545070098</v>
      </c>
      <c r="AJ124">
        <v>0.751687415757886</v>
      </c>
      <c r="AK124">
        <v>5.4347565949905301E-2</v>
      </c>
      <c r="AL124">
        <v>0.193965018292208</v>
      </c>
    </row>
    <row r="125" spans="1:38" x14ac:dyDescent="0.2">
      <c r="A125">
        <v>141</v>
      </c>
      <c r="B125">
        <v>764</v>
      </c>
      <c r="C125">
        <v>150</v>
      </c>
      <c r="D125">
        <v>0.44039965289495597</v>
      </c>
      <c r="E125">
        <v>29.179818950537801</v>
      </c>
      <c r="F125">
        <v>2.5494252782781301</v>
      </c>
      <c r="G125">
        <v>-471.90622247008974</v>
      </c>
      <c r="H125">
        <v>-407.87112497278588</v>
      </c>
      <c r="I125">
        <v>61.741404326571597</v>
      </c>
      <c r="J125">
        <v>35.4585940488357</v>
      </c>
      <c r="K125">
        <v>11.4456458869999</v>
      </c>
      <c r="L125">
        <v>3.1117210461746501E-5</v>
      </c>
      <c r="M125">
        <v>1.8344336704524642E-6</v>
      </c>
      <c r="N125" s="1">
        <v>-2.9811335163197202E-7</v>
      </c>
      <c r="O125" s="1">
        <v>1.04481680470719E-10</v>
      </c>
      <c r="P125" s="1">
        <v>1.10990658866853E-9</v>
      </c>
      <c r="Q125">
        <v>66.390600888273397</v>
      </c>
      <c r="S125">
        <v>20.256006274656301</v>
      </c>
      <c r="AA125">
        <v>1.22007348188313</v>
      </c>
      <c r="AB125">
        <v>8.7165711238973191</v>
      </c>
      <c r="AC125">
        <v>3.41674823128968</v>
      </c>
      <c r="AJ125">
        <v>0.74892650018041496</v>
      </c>
      <c r="AK125">
        <v>5.7928235236812099E-2</v>
      </c>
      <c r="AL125">
        <v>0.19314526458277101</v>
      </c>
    </row>
    <row r="126" spans="1:38" x14ac:dyDescent="0.2">
      <c r="A126">
        <v>142</v>
      </c>
      <c r="B126">
        <v>763</v>
      </c>
      <c r="C126">
        <v>150</v>
      </c>
      <c r="D126">
        <v>0.43979201853014099</v>
      </c>
      <c r="E126">
        <v>29.493253584495299</v>
      </c>
      <c r="F126">
        <v>2.5506237870641</v>
      </c>
      <c r="G126">
        <v>-477.07566993075221</v>
      </c>
      <c r="H126">
        <v>-412.44735498034584</v>
      </c>
      <c r="I126">
        <v>62.373512474454799</v>
      </c>
      <c r="J126">
        <v>35.8556433446917</v>
      </c>
      <c r="K126">
        <v>11.5631531918094</v>
      </c>
      <c r="L126">
        <v>3.1157235024237383E-5</v>
      </c>
      <c r="M126">
        <v>1.8339268159005153E-6</v>
      </c>
      <c r="N126" s="1">
        <v>-3.1252680738431501E-7</v>
      </c>
      <c r="O126" s="1">
        <v>1.05327961914967E-10</v>
      </c>
      <c r="P126" s="1">
        <v>1.1545492463879699E-9</v>
      </c>
      <c r="Q126">
        <v>66.338252992416699</v>
      </c>
      <c r="S126">
        <v>20.3157429372427</v>
      </c>
      <c r="AA126">
        <v>1.2815715060280199</v>
      </c>
      <c r="AB126">
        <v>8.7565240720289204</v>
      </c>
      <c r="AC126">
        <v>3.3079084922835</v>
      </c>
      <c r="AJ126">
        <v>0.75220878273062997</v>
      </c>
      <c r="AK126">
        <v>6.08359490132045E-2</v>
      </c>
      <c r="AL126">
        <v>0.18695526825616501</v>
      </c>
    </row>
    <row r="127" spans="1:38" x14ac:dyDescent="0.2">
      <c r="A127">
        <v>143</v>
      </c>
      <c r="B127">
        <v>762</v>
      </c>
      <c r="C127">
        <v>150</v>
      </c>
      <c r="D127">
        <v>0.439183210162781</v>
      </c>
      <c r="E127">
        <v>29.785330083789798</v>
      </c>
      <c r="F127">
        <v>2.5513101095327801</v>
      </c>
      <c r="G127">
        <v>-481.83041163884741</v>
      </c>
      <c r="H127">
        <v>-416.65906157765721</v>
      </c>
      <c r="I127">
        <v>62.958363581307196</v>
      </c>
      <c r="J127">
        <v>36.224156095927597</v>
      </c>
      <c r="K127">
        <v>11.674523599659199</v>
      </c>
      <c r="L127">
        <v>3.1194920556040704E-5</v>
      </c>
      <c r="M127">
        <v>1.8337821400190469E-6</v>
      </c>
      <c r="N127" s="1">
        <v>-3.2663585083080898E-7</v>
      </c>
      <c r="O127" s="1">
        <v>1.06178718739545E-10</v>
      </c>
      <c r="P127" s="1">
        <v>1.1980105057769701E-9</v>
      </c>
      <c r="Q127">
        <v>66.311774476892097</v>
      </c>
      <c r="S127">
        <v>20.347511603681699</v>
      </c>
      <c r="AA127">
        <v>1.31395938073845</v>
      </c>
      <c r="AB127">
        <v>8.7808038091818705</v>
      </c>
      <c r="AC127">
        <v>3.2459507295057199</v>
      </c>
      <c r="AJ127">
        <v>0.75420289247258698</v>
      </c>
      <c r="AK127">
        <v>6.236582188347E-2</v>
      </c>
      <c r="AL127">
        <v>0.18343128564394201</v>
      </c>
    </row>
    <row r="128" spans="1:38" x14ac:dyDescent="0.2">
      <c r="A128">
        <v>144</v>
      </c>
      <c r="B128">
        <v>761</v>
      </c>
      <c r="C128">
        <v>150</v>
      </c>
      <c r="D128">
        <v>0.43857322438717999</v>
      </c>
      <c r="E128">
        <v>30.015713309658999</v>
      </c>
      <c r="F128">
        <v>2.55178468702589</v>
      </c>
      <c r="G128">
        <v>-485.55888168529714</v>
      </c>
      <c r="H128">
        <v>-419.98161533900554</v>
      </c>
      <c r="I128">
        <v>63.4117549159131</v>
      </c>
      <c r="J128">
        <v>36.5170062955834</v>
      </c>
      <c r="K128">
        <v>11.762635563364199</v>
      </c>
      <c r="L128">
        <v>3.1232817367784819E-5</v>
      </c>
      <c r="M128">
        <v>1.833805495675814E-6</v>
      </c>
      <c r="N128" s="1">
        <v>-3.4036793601224402E-7</v>
      </c>
      <c r="O128" s="1">
        <v>1.0684062918989E-10</v>
      </c>
      <c r="P128" s="1">
        <v>1.23979649963447E-9</v>
      </c>
      <c r="Q128">
        <v>66.296549303093499</v>
      </c>
      <c r="S128">
        <v>20.367486895578899</v>
      </c>
      <c r="AA128">
        <v>1.33399178724867</v>
      </c>
      <c r="AB128">
        <v>8.7992431503864008</v>
      </c>
      <c r="AC128">
        <v>3.2027288636924101</v>
      </c>
      <c r="AJ128">
        <v>0.75571707749786199</v>
      </c>
      <c r="AK128">
        <v>6.3310809107102795E-2</v>
      </c>
      <c r="AL128">
        <v>0.180972113395034</v>
      </c>
    </row>
    <row r="129" spans="1:38" x14ac:dyDescent="0.2">
      <c r="A129">
        <v>145</v>
      </c>
      <c r="B129">
        <v>760</v>
      </c>
      <c r="C129">
        <v>150</v>
      </c>
      <c r="D129">
        <v>0.43796205778444602</v>
      </c>
      <c r="E129">
        <v>30.211740582713698</v>
      </c>
      <c r="F129">
        <v>2.5521863281714201</v>
      </c>
      <c r="G129">
        <v>-488.72150141564816</v>
      </c>
      <c r="H129">
        <v>-422.81493221329225</v>
      </c>
      <c r="I129">
        <v>63.791868753187799</v>
      </c>
      <c r="J129">
        <v>36.768175441310298</v>
      </c>
      <c r="K129">
        <v>11.8375920477403</v>
      </c>
      <c r="L129">
        <v>3.1271388925405058E-5</v>
      </c>
      <c r="M129">
        <v>1.833886989086833E-6</v>
      </c>
      <c r="N129" s="1">
        <v>-3.54148457213429E-7</v>
      </c>
      <c r="O129" s="1">
        <v>1.07387954628927E-10</v>
      </c>
      <c r="P129" s="1">
        <v>1.2813946413742401E-9</v>
      </c>
      <c r="Q129">
        <v>66.285142958020899</v>
      </c>
      <c r="S129">
        <v>20.383416173786301</v>
      </c>
      <c r="AA129">
        <v>1.34979511956054</v>
      </c>
      <c r="AB129">
        <v>8.8155853957440407</v>
      </c>
      <c r="AC129">
        <v>3.1660603528880999</v>
      </c>
      <c r="AJ129">
        <v>0.75705885370603698</v>
      </c>
      <c r="AK129">
        <v>6.4055603896345903E-2</v>
      </c>
      <c r="AL129">
        <v>0.178885542397616</v>
      </c>
    </row>
    <row r="130" spans="1:38" x14ac:dyDescent="0.2">
      <c r="A130">
        <v>147</v>
      </c>
      <c r="B130">
        <v>805</v>
      </c>
      <c r="C130">
        <v>125</v>
      </c>
      <c r="D130">
        <v>0.48984881509993899</v>
      </c>
      <c r="E130">
        <v>0.207731965625779</v>
      </c>
      <c r="F130">
        <v>2.56626680994267</v>
      </c>
      <c r="G130">
        <v>-3.4024724916237741</v>
      </c>
      <c r="H130">
        <v>-2.9179902332141796</v>
      </c>
      <c r="I130">
        <v>0.44936442833519902</v>
      </c>
      <c r="J130">
        <v>0.252444037672929</v>
      </c>
      <c r="K130">
        <v>8.0947142682494505E-2</v>
      </c>
      <c r="L130">
        <v>3.0616273614624365E-5</v>
      </c>
      <c r="M130">
        <v>1.8168723500526615E-6</v>
      </c>
      <c r="N130" s="1">
        <v>-6.2233663484974796E-10</v>
      </c>
      <c r="O130" s="1">
        <v>7.3215205982084898E-13</v>
      </c>
      <c r="P130" s="1">
        <v>3.52826429121686E-12</v>
      </c>
      <c r="Q130">
        <v>65.359492568630003</v>
      </c>
      <c r="S130">
        <v>21.4375394135546</v>
      </c>
      <c r="AA130">
        <v>2.4354454496409099</v>
      </c>
      <c r="AB130">
        <v>9.5163442528003692</v>
      </c>
      <c r="AC130">
        <v>1.2511783153741001</v>
      </c>
      <c r="AJ130">
        <v>0.81438213660387804</v>
      </c>
      <c r="AK130">
        <v>0.115172101543488</v>
      </c>
      <c r="AL130">
        <v>7.0445761852632599E-2</v>
      </c>
    </row>
    <row r="131" spans="1:38" x14ac:dyDescent="0.2">
      <c r="A131">
        <v>148</v>
      </c>
      <c r="B131">
        <v>804</v>
      </c>
      <c r="C131">
        <v>125</v>
      </c>
      <c r="D131">
        <v>0.48931021677575198</v>
      </c>
      <c r="E131">
        <v>0.63149562089889699</v>
      </c>
      <c r="F131">
        <v>2.5659156236652398</v>
      </c>
      <c r="G131">
        <v>-10.34135793917442</v>
      </c>
      <c r="H131">
        <v>-8.8705852869470494</v>
      </c>
      <c r="I131">
        <v>1.3654297472286701</v>
      </c>
      <c r="J131">
        <v>0.76745901189630195</v>
      </c>
      <c r="K131">
        <v>0.24610926995208299</v>
      </c>
      <c r="L131">
        <v>3.0644319725948835E-5</v>
      </c>
      <c r="M131">
        <v>1.8179330192584359E-6</v>
      </c>
      <c r="N131" s="1">
        <v>-1.9661127094169698E-9</v>
      </c>
      <c r="O131" s="1">
        <v>2.2268870336839302E-12</v>
      </c>
      <c r="P131" s="1">
        <v>1.094535653723E-11</v>
      </c>
      <c r="Q131">
        <v>65.403288153190999</v>
      </c>
      <c r="S131">
        <v>21.404161420159301</v>
      </c>
      <c r="AA131">
        <v>2.3976891623931902</v>
      </c>
      <c r="AB131">
        <v>9.5264356156483707</v>
      </c>
      <c r="AC131">
        <v>1.2684256486080301</v>
      </c>
      <c r="AJ131">
        <v>0.81520563264968005</v>
      </c>
      <c r="AK131">
        <v>0.11338103202005501</v>
      </c>
      <c r="AL131">
        <v>7.1413335330264505E-2</v>
      </c>
    </row>
    <row r="132" spans="1:38" x14ac:dyDescent="0.2">
      <c r="A132">
        <v>149</v>
      </c>
      <c r="B132">
        <v>803</v>
      </c>
      <c r="C132">
        <v>125</v>
      </c>
      <c r="D132">
        <v>0.48877061747897599</v>
      </c>
      <c r="E132">
        <v>1.05568313765165</v>
      </c>
      <c r="F132">
        <v>2.5655722790031299</v>
      </c>
      <c r="G132">
        <v>-17.284499171453856</v>
      </c>
      <c r="H132">
        <v>-14.829181548921721</v>
      </c>
      <c r="I132">
        <v>2.28157563771977</v>
      </c>
      <c r="J132">
        <v>1.28304524813625</v>
      </c>
      <c r="K132">
        <v>0.41148056762674401</v>
      </c>
      <c r="L132">
        <v>3.0671989611733256E-5</v>
      </c>
      <c r="M132">
        <v>1.8189661796458047E-6</v>
      </c>
      <c r="N132" s="1">
        <v>-3.4136639409866699E-9</v>
      </c>
      <c r="O132" s="1">
        <v>3.7246079754329001E-12</v>
      </c>
      <c r="P132" s="1">
        <v>1.86727232946697E-11</v>
      </c>
      <c r="Q132">
        <v>65.445922482536105</v>
      </c>
      <c r="S132">
        <v>21.371556109684999</v>
      </c>
      <c r="AA132">
        <v>2.36084130949614</v>
      </c>
      <c r="AB132">
        <v>9.5359648722445503</v>
      </c>
      <c r="AC132">
        <v>1.2857152260381299</v>
      </c>
      <c r="AJ132">
        <v>0.81598320505563204</v>
      </c>
      <c r="AK132">
        <v>0.111633402908156</v>
      </c>
      <c r="AL132">
        <v>7.2383392036210303E-2</v>
      </c>
    </row>
    <row r="133" spans="1:38" x14ac:dyDescent="0.2">
      <c r="A133">
        <v>150</v>
      </c>
      <c r="B133">
        <v>802</v>
      </c>
      <c r="C133">
        <v>125</v>
      </c>
      <c r="D133">
        <v>0.48823001441659297</v>
      </c>
      <c r="E133">
        <v>1.4800976661129901</v>
      </c>
      <c r="F133">
        <v>2.5652367569960499</v>
      </c>
      <c r="G133">
        <v>-24.228673769643876</v>
      </c>
      <c r="H133">
        <v>-20.791024074497155</v>
      </c>
      <c r="I133">
        <v>3.1973675255980201</v>
      </c>
      <c r="J133">
        <v>1.79896547401169</v>
      </c>
      <c r="K133">
        <v>0.57698286993447601</v>
      </c>
      <c r="L133">
        <v>3.0699299062704619E-5</v>
      </c>
      <c r="M133">
        <v>1.8199722082213051E-6</v>
      </c>
      <c r="N133" s="1">
        <v>-4.9679403825560002E-9</v>
      </c>
      <c r="O133" s="1">
        <v>5.2245121760164502E-12</v>
      </c>
      <c r="P133" s="1">
        <v>2.6717314107418999E-11</v>
      </c>
      <c r="Q133">
        <v>65.487407576402504</v>
      </c>
      <c r="S133">
        <v>21.339717250173599</v>
      </c>
      <c r="AA133">
        <v>2.32489394487926</v>
      </c>
      <c r="AB133">
        <v>9.5449424700406702</v>
      </c>
      <c r="AC133">
        <v>1.3030387585038901</v>
      </c>
      <c r="AJ133">
        <v>0.816715718479887</v>
      </c>
      <c r="AK133">
        <v>0.109928812277009</v>
      </c>
      <c r="AL133">
        <v>7.3355469243103197E-2</v>
      </c>
    </row>
    <row r="134" spans="1:38" x14ac:dyDescent="0.2">
      <c r="A134">
        <v>151</v>
      </c>
      <c r="B134">
        <v>801</v>
      </c>
      <c r="C134">
        <v>125</v>
      </c>
      <c r="D134">
        <v>0.487688404785181</v>
      </c>
      <c r="E134">
        <v>1.90454372709089</v>
      </c>
      <c r="F134">
        <v>2.5649090257893201</v>
      </c>
      <c r="G134">
        <v>-31.170684924269167</v>
      </c>
      <c r="H134">
        <v>-26.75337759832631</v>
      </c>
      <c r="I134">
        <v>4.1123747390428198</v>
      </c>
      <c r="J134">
        <v>2.31498425401037</v>
      </c>
      <c r="K134">
        <v>0.74253851031023799</v>
      </c>
      <c r="L134">
        <v>3.0726264953371414E-5</v>
      </c>
      <c r="M134">
        <v>1.8209515202561958E-6</v>
      </c>
      <c r="N134" s="1">
        <v>-6.6319457775373004E-9</v>
      </c>
      <c r="O134" s="1">
        <v>6.7258000680667203E-12</v>
      </c>
      <c r="P134" s="1">
        <v>3.5086230026413299E-11</v>
      </c>
      <c r="Q134">
        <v>65.5277571002851</v>
      </c>
      <c r="S134">
        <v>21.3086374556691</v>
      </c>
      <c r="AA134">
        <v>2.2898377863966801</v>
      </c>
      <c r="AB134">
        <v>9.5533794986156302</v>
      </c>
      <c r="AC134">
        <v>1.3203881590333499</v>
      </c>
      <c r="AJ134">
        <v>0.81740408890061</v>
      </c>
      <c r="AK134">
        <v>0.108266795812219</v>
      </c>
      <c r="AL134">
        <v>7.4329115287170205E-2</v>
      </c>
    </row>
    <row r="135" spans="1:38" x14ac:dyDescent="0.2">
      <c r="A135">
        <v>152</v>
      </c>
      <c r="B135">
        <v>800</v>
      </c>
      <c r="C135">
        <v>125</v>
      </c>
      <c r="D135">
        <v>0.48714578577086598</v>
      </c>
      <c r="E135">
        <v>2.3288280813711899</v>
      </c>
      <c r="F135">
        <v>2.56458904120763</v>
      </c>
      <c r="G135">
        <v>-38.107375592852172</v>
      </c>
      <c r="H135">
        <v>-32.713538681962149</v>
      </c>
      <c r="I135">
        <v>5.0261723998415997</v>
      </c>
      <c r="J135">
        <v>2.8308690556794098</v>
      </c>
      <c r="K135">
        <v>0.908070667054935</v>
      </c>
      <c r="L135">
        <v>3.0752905175176072E-5</v>
      </c>
      <c r="M135">
        <v>1.8219045662680386E-6</v>
      </c>
      <c r="N135" s="1">
        <v>-8.4087436517499101E-9</v>
      </c>
      <c r="O135" s="1">
        <v>8.2276786125309199E-12</v>
      </c>
      <c r="P135" s="1">
        <v>4.3786747892534803E-11</v>
      </c>
      <c r="Q135">
        <v>65.566986247674606</v>
      </c>
      <c r="S135">
        <v>21.278308259151601</v>
      </c>
      <c r="AA135">
        <v>2.2556623034771301</v>
      </c>
      <c r="AB135">
        <v>9.5612876184550899</v>
      </c>
      <c r="AC135">
        <v>1.3377555712414499</v>
      </c>
      <c r="AJ135">
        <v>0.81804927783572801</v>
      </c>
      <c r="AK135">
        <v>0.10664683100188101</v>
      </c>
      <c r="AL135">
        <v>7.5303891162389905E-2</v>
      </c>
    </row>
    <row r="136" spans="1:38" x14ac:dyDescent="0.2">
      <c r="A136">
        <v>153</v>
      </c>
      <c r="B136">
        <v>799</v>
      </c>
      <c r="C136">
        <v>125</v>
      </c>
      <c r="D136">
        <v>0.48660215454927003</v>
      </c>
      <c r="E136">
        <v>2.7527605520907001</v>
      </c>
      <c r="F136">
        <v>2.5642767473941599</v>
      </c>
      <c r="G136">
        <v>-45.035641868167566</v>
      </c>
      <c r="H136">
        <v>-38.668847200070068</v>
      </c>
      <c r="I136">
        <v>5.9383432057990797</v>
      </c>
      <c r="J136">
        <v>3.3463912580752502</v>
      </c>
      <c r="K136">
        <v>1.07350369061688</v>
      </c>
      <c r="L136">
        <v>3.07792385676932E-5</v>
      </c>
      <c r="M136">
        <v>1.822831828896355E-6</v>
      </c>
      <c r="N136" s="1">
        <v>-1.03014639445738E-8</v>
      </c>
      <c r="O136" s="1">
        <v>9.72936450707463E-12</v>
      </c>
      <c r="P136" s="1">
        <v>5.28263458208136E-11</v>
      </c>
      <c r="Q136">
        <v>65.605111616721501</v>
      </c>
      <c r="S136">
        <v>21.248720189949601</v>
      </c>
      <c r="AA136">
        <v>2.2223558097679001</v>
      </c>
      <c r="AB136">
        <v>9.5686789890509605</v>
      </c>
      <c r="AC136">
        <v>1.35513339450993</v>
      </c>
      <c r="AJ136">
        <v>0.81865228651273503</v>
      </c>
      <c r="AK136">
        <v>0.105068341550954</v>
      </c>
      <c r="AL136">
        <v>7.6279371936309695E-2</v>
      </c>
    </row>
    <row r="137" spans="1:38" x14ac:dyDescent="0.2">
      <c r="A137">
        <v>154</v>
      </c>
      <c r="B137">
        <v>798</v>
      </c>
      <c r="C137">
        <v>125</v>
      </c>
      <c r="D137">
        <v>0.48605750828548999</v>
      </c>
      <c r="E137">
        <v>3.1761547782016599</v>
      </c>
      <c r="F137">
        <v>2.5639720775210502</v>
      </c>
      <c r="G137">
        <v>-51.952445201165709</v>
      </c>
      <c r="H137">
        <v>-44.616696858879394</v>
      </c>
      <c r="I137">
        <v>6.8484790573554699</v>
      </c>
      <c r="J137">
        <v>3.86132707585418</v>
      </c>
      <c r="K137">
        <v>1.23876340387937</v>
      </c>
      <c r="L137">
        <v>3.0805284848261366E-5</v>
      </c>
      <c r="M137">
        <v>1.8237338196805325E-6</v>
      </c>
      <c r="N137" s="1">
        <v>-1.2313310094479299E-8</v>
      </c>
      <c r="O137" s="1">
        <v>1.1230087135147801E-11</v>
      </c>
      <c r="P137" s="1">
        <v>6.2212729454015995E-11</v>
      </c>
      <c r="Q137">
        <v>65.642151081468299</v>
      </c>
      <c r="S137">
        <v>21.219862855739699</v>
      </c>
      <c r="AA137">
        <v>2.1899055608325702</v>
      </c>
      <c r="AB137">
        <v>9.5755661969217396</v>
      </c>
      <c r="AC137">
        <v>1.3725143050376101</v>
      </c>
      <c r="AJ137">
        <v>0.81921415003675102</v>
      </c>
      <c r="AK137">
        <v>0.10353070202706</v>
      </c>
      <c r="AL137">
        <v>7.7255147936187901E-2</v>
      </c>
    </row>
    <row r="138" spans="1:38" x14ac:dyDescent="0.2">
      <c r="A138">
        <v>155</v>
      </c>
      <c r="B138">
        <v>797</v>
      </c>
      <c r="C138">
        <v>125</v>
      </c>
      <c r="D138">
        <v>0.48551184413399801</v>
      </c>
      <c r="E138">
        <v>3.5988289127924</v>
      </c>
      <c r="F138">
        <v>2.5636749545317699</v>
      </c>
      <c r="G138">
        <v>-58.854823705860291</v>
      </c>
      <c r="H138">
        <v>-50.55454494086905</v>
      </c>
      <c r="I138">
        <v>7.7561825585116502</v>
      </c>
      <c r="J138">
        <v>4.3754584157355696</v>
      </c>
      <c r="K138">
        <v>1.4037773807599101</v>
      </c>
      <c r="L138">
        <v>3.0831064542037246E-5</v>
      </c>
      <c r="M138">
        <v>1.8246110758357464E-6</v>
      </c>
      <c r="N138" s="1">
        <v>-1.4447566615786301E-8</v>
      </c>
      <c r="O138" s="1">
        <v>1.2729091301661999E-11</v>
      </c>
      <c r="P138" s="1">
        <v>7.1953859201925198E-11</v>
      </c>
      <c r="Q138">
        <v>65.678123661936596</v>
      </c>
      <c r="S138">
        <v>21.191725025933401</v>
      </c>
      <c r="AA138">
        <v>2.1582978532584498</v>
      </c>
      <c r="AB138">
        <v>9.5819621847182397</v>
      </c>
      <c r="AC138">
        <v>1.38989127415312</v>
      </c>
      <c r="AJ138">
        <v>0.819735931651004</v>
      </c>
      <c r="AK138">
        <v>0.102033242565492</v>
      </c>
      <c r="AL138">
        <v>7.8230825783502905E-2</v>
      </c>
    </row>
    <row r="139" spans="1:38" x14ac:dyDescent="0.2">
      <c r="A139">
        <v>156</v>
      </c>
      <c r="B139">
        <v>796</v>
      </c>
      <c r="C139">
        <v>125</v>
      </c>
      <c r="D139">
        <v>0.48496515923864703</v>
      </c>
      <c r="E139">
        <v>4.0206062424261404</v>
      </c>
      <c r="F139">
        <v>2.5633852919307101</v>
      </c>
      <c r="G139">
        <v>-65.739902158652271</v>
      </c>
      <c r="H139">
        <v>-56.479920941816957</v>
      </c>
      <c r="I139">
        <v>8.6610683410515996</v>
      </c>
      <c r="J139">
        <v>4.8885736363733399</v>
      </c>
      <c r="K139">
        <v>1.5684751937535899</v>
      </c>
      <c r="L139">
        <v>3.0856598912568313E-5</v>
      </c>
      <c r="M139">
        <v>1.8254641570166853E-6</v>
      </c>
      <c r="N139" s="1">
        <v>-1.67076070615487E-8</v>
      </c>
      <c r="O139" s="1">
        <v>1.4225639668052901E-11</v>
      </c>
      <c r="P139" s="1">
        <v>8.2057977957501394E-11</v>
      </c>
      <c r="Q139">
        <v>65.713049392348907</v>
      </c>
      <c r="S139">
        <v>21.164294717268401</v>
      </c>
      <c r="AA139">
        <v>2.12751812601952</v>
      </c>
      <c r="AB139">
        <v>9.5878801819502399</v>
      </c>
      <c r="AC139">
        <v>1.4072575824128499</v>
      </c>
      <c r="AJ139">
        <v>0.82021871713258598</v>
      </c>
      <c r="AK139">
        <v>0.100575253673888</v>
      </c>
      <c r="AL139">
        <v>7.9206029193524805E-2</v>
      </c>
    </row>
    <row r="140" spans="1:38" x14ac:dyDescent="0.2">
      <c r="A140">
        <v>157</v>
      </c>
      <c r="B140">
        <v>795</v>
      </c>
      <c r="C140">
        <v>125</v>
      </c>
      <c r="D140">
        <v>0.48441745073257497</v>
      </c>
      <c r="E140">
        <v>4.4413157408096904</v>
      </c>
      <c r="F140">
        <v>2.5631029945851802</v>
      </c>
      <c r="G140">
        <v>-72.604900912017712</v>
      </c>
      <c r="H140">
        <v>-62.390434287660433</v>
      </c>
      <c r="I140">
        <v>9.5627642413118696</v>
      </c>
      <c r="J140">
        <v>5.4004682278461003</v>
      </c>
      <c r="K140">
        <v>1.73278863556884</v>
      </c>
      <c r="L140">
        <v>3.0881909894485879E-5</v>
      </c>
      <c r="M140">
        <v>1.8262936421481446E-6</v>
      </c>
      <c r="N140" s="1">
        <v>-1.90969024014499E-8</v>
      </c>
      <c r="O140" s="1">
        <v>1.5719014932150299E-11</v>
      </c>
      <c r="P140" s="1">
        <v>9.2533639477974003E-11</v>
      </c>
      <c r="Q140">
        <v>65.746949191088902</v>
      </c>
      <c r="S140">
        <v>21.137559278860302</v>
      </c>
      <c r="AA140">
        <v>2.0975510609877799</v>
      </c>
      <c r="AB140">
        <v>9.59333363817675</v>
      </c>
      <c r="AC140">
        <v>1.4246068308861899</v>
      </c>
      <c r="AJ140">
        <v>0.82066360939142202</v>
      </c>
      <c r="AK140">
        <v>9.9155990990014195E-2</v>
      </c>
      <c r="AL140">
        <v>8.0180399618563006E-2</v>
      </c>
    </row>
    <row r="141" spans="1:38" x14ac:dyDescent="0.2">
      <c r="A141">
        <v>158</v>
      </c>
      <c r="B141">
        <v>794</v>
      </c>
      <c r="C141">
        <v>125</v>
      </c>
      <c r="D141">
        <v>0.48386871573818202</v>
      </c>
      <c r="E141">
        <v>4.8607925452025897</v>
      </c>
      <c r="F141">
        <v>2.5628279595455399</v>
      </c>
      <c r="G141">
        <v>-79.447143535448987</v>
      </c>
      <c r="H141">
        <v>-68.2837809691123</v>
      </c>
      <c r="I141">
        <v>10.4609123050524</v>
      </c>
      <c r="J141">
        <v>5.9109453967151602</v>
      </c>
      <c r="K141">
        <v>1.8966519102845001</v>
      </c>
      <c r="L141">
        <v>3.0907020028560923E-5</v>
      </c>
      <c r="M141">
        <v>1.827100126324333E-6</v>
      </c>
      <c r="N141" s="1">
        <v>-2.1619029746107601E-8</v>
      </c>
      <c r="O141" s="1">
        <v>1.72085217100188E-11</v>
      </c>
      <c r="P141" s="1">
        <v>1.03389737128559E-10</v>
      </c>
      <c r="Q141">
        <v>65.779844732339996</v>
      </c>
      <c r="S141">
        <v>21.111505476931399</v>
      </c>
      <c r="AA141">
        <v>2.0683806827867599</v>
      </c>
      <c r="AB141">
        <v>9.5983361590843508</v>
      </c>
      <c r="AC141">
        <v>1.44193294885743</v>
      </c>
      <c r="AJ141">
        <v>0.82107172330631895</v>
      </c>
      <c r="AK141">
        <v>9.7774680002376699E-2</v>
      </c>
      <c r="AL141">
        <v>8.1153596691304106E-2</v>
      </c>
    </row>
    <row r="142" spans="1:38" x14ac:dyDescent="0.2">
      <c r="A142">
        <v>159</v>
      </c>
      <c r="B142">
        <v>793</v>
      </c>
      <c r="C142">
        <v>125</v>
      </c>
      <c r="D142">
        <v>0.48331895136707098</v>
      </c>
      <c r="E142">
        <v>5.2788783573839604</v>
      </c>
      <c r="F142">
        <v>2.5625600768652799</v>
      </c>
      <c r="G142">
        <v>-86.264063215615437</v>
      </c>
      <c r="H142">
        <v>-74.157749119954488</v>
      </c>
      <c r="I142">
        <v>11.3551696249692</v>
      </c>
      <c r="J142">
        <v>6.4198165589071401</v>
      </c>
      <c r="K142">
        <v>2.06000179470582</v>
      </c>
      <c r="L142">
        <v>3.0931952400020427E-5</v>
      </c>
      <c r="M142">
        <v>1.8278842178190789E-6</v>
      </c>
      <c r="N142" s="1">
        <v>-2.4277681396548601E-8</v>
      </c>
      <c r="O142" s="1">
        <v>1.8693488125271301E-11</v>
      </c>
      <c r="P142" s="1">
        <v>1.1463553293473401E-10</v>
      </c>
      <c r="Q142">
        <v>65.811758321320497</v>
      </c>
      <c r="S142">
        <v>21.0861195777745</v>
      </c>
      <c r="AA142">
        <v>2.0399904563495799</v>
      </c>
      <c r="AB142">
        <v>9.6029014459574302</v>
      </c>
      <c r="AC142">
        <v>1.45923019859786</v>
      </c>
      <c r="AJ142">
        <v>0.82144418083850201</v>
      </c>
      <c r="AK142">
        <v>9.6430520656752894E-2</v>
      </c>
      <c r="AL142">
        <v>8.2125298504744204E-2</v>
      </c>
    </row>
    <row r="143" spans="1:38" x14ac:dyDescent="0.2">
      <c r="A143">
        <v>160</v>
      </c>
      <c r="B143">
        <v>792</v>
      </c>
      <c r="C143">
        <v>125</v>
      </c>
      <c r="D143">
        <v>0.48276815471999501</v>
      </c>
      <c r="E143">
        <v>5.6954217785347696</v>
      </c>
      <c r="F143">
        <v>2.5622992304103298</v>
      </c>
      <c r="G143">
        <v>-93.053208070866447</v>
      </c>
      <c r="H143">
        <v>-80.010223670843544</v>
      </c>
      <c r="I143">
        <v>12.2452090316132</v>
      </c>
      <c r="J143">
        <v>6.9269017518643601</v>
      </c>
      <c r="K143">
        <v>2.22277777354781</v>
      </c>
      <c r="L143">
        <v>3.0956730580929331E-5</v>
      </c>
      <c r="M143">
        <v>1.8286465352392236E-6</v>
      </c>
      <c r="N143" s="1">
        <v>-2.70766742343973E-8</v>
      </c>
      <c r="O143" s="1">
        <v>2.0173267138487401E-11</v>
      </c>
      <c r="P143" s="1">
        <v>1.2628068705870399E-10</v>
      </c>
      <c r="Q143">
        <v>65.842712774520095</v>
      </c>
      <c r="S143">
        <v>21.0613874279905</v>
      </c>
      <c r="AA143">
        <v>2.0123633810612298</v>
      </c>
      <c r="AB143">
        <v>9.6070432391437901</v>
      </c>
      <c r="AC143">
        <v>1.47649317728421</v>
      </c>
      <c r="AJ143">
        <v>0.82178210647121697</v>
      </c>
      <c r="AK143">
        <v>9.5122691796134501E-2</v>
      </c>
      <c r="AL143">
        <v>8.3095201732648102E-2</v>
      </c>
    </row>
    <row r="144" spans="1:38" x14ac:dyDescent="0.2">
      <c r="A144">
        <v>161</v>
      </c>
      <c r="B144">
        <v>791</v>
      </c>
      <c r="C144">
        <v>125</v>
      </c>
      <c r="D144">
        <v>0.48221632288681698</v>
      </c>
      <c r="E144">
        <v>6.1102785686109398</v>
      </c>
      <c r="F144">
        <v>2.56204529865354</v>
      </c>
      <c r="G144">
        <v>-99.812245228018469</v>
      </c>
      <c r="H144">
        <v>-85.839189946476338</v>
      </c>
      <c r="I144">
        <v>13.1307196180445</v>
      </c>
      <c r="J144">
        <v>7.4320299545536299</v>
      </c>
      <c r="K144">
        <v>2.3849221447497899</v>
      </c>
      <c r="L144">
        <v>3.0981378576575769E-5</v>
      </c>
      <c r="M144">
        <v>1.8293877048219757E-6</v>
      </c>
      <c r="N144" s="1">
        <v>-3.0019959382533198E-8</v>
      </c>
      <c r="O144" s="1">
        <v>2.16472375830603E-11</v>
      </c>
      <c r="P144" s="1">
        <v>1.3833528740940701E-10</v>
      </c>
      <c r="Q144">
        <v>65.872731305080606</v>
      </c>
      <c r="S144">
        <v>21.037294531794402</v>
      </c>
      <c r="AA144">
        <v>1.9854820812812299</v>
      </c>
      <c r="AB144">
        <v>9.6107752653002301</v>
      </c>
      <c r="AC144">
        <v>1.4937168165434</v>
      </c>
      <c r="AJ144">
        <v>0.82208662295726698</v>
      </c>
      <c r="AK144">
        <v>9.3850355425246598E-2</v>
      </c>
      <c r="AL144">
        <v>8.4063021617485703E-2</v>
      </c>
    </row>
    <row r="145" spans="1:38" x14ac:dyDescent="0.2">
      <c r="A145">
        <v>162</v>
      </c>
      <c r="B145">
        <v>790</v>
      </c>
      <c r="C145">
        <v>125</v>
      </c>
      <c r="D145">
        <v>0.48166345294643498</v>
      </c>
      <c r="E145">
        <v>6.5233118384708799</v>
      </c>
      <c r="F145">
        <v>2.5617981554501701</v>
      </c>
      <c r="G145">
        <v>-106.53896379864644</v>
      </c>
      <c r="H145">
        <v>-91.642736322578614</v>
      </c>
      <c r="I145">
        <v>14.011407116651201</v>
      </c>
      <c r="J145">
        <v>7.9350393254635403</v>
      </c>
      <c r="K145">
        <v>2.5463800981325</v>
      </c>
      <c r="L145">
        <v>3.1005920776588702E-5</v>
      </c>
      <c r="M145">
        <v>1.8301083578993398E-6</v>
      </c>
      <c r="N145" s="1">
        <v>-3.3111632144979497E-8</v>
      </c>
      <c r="O145" s="1">
        <v>2.3114804936770601E-11</v>
      </c>
      <c r="P145" s="1">
        <v>1.50809879472513E-10</v>
      </c>
      <c r="Q145">
        <v>65.9018374142358</v>
      </c>
      <c r="S145">
        <v>21.013826124882701</v>
      </c>
      <c r="AA145">
        <v>1.95932889261645</v>
      </c>
      <c r="AB145">
        <v>9.6141111891251807</v>
      </c>
      <c r="AC145">
        <v>1.51089637913977</v>
      </c>
      <c r="AJ145">
        <v>0.82235884743166598</v>
      </c>
      <c r="AK145">
        <v>9.2612660770175104E-2</v>
      </c>
      <c r="AL145">
        <v>8.5028491798158398E-2</v>
      </c>
    </row>
    <row r="146" spans="1:38" x14ac:dyDescent="0.2">
      <c r="A146">
        <v>163</v>
      </c>
      <c r="B146">
        <v>789</v>
      </c>
      <c r="C146">
        <v>125</v>
      </c>
      <c r="D146">
        <v>0.48110954196676597</v>
      </c>
      <c r="E146">
        <v>6.93439218389421</v>
      </c>
      <c r="F146">
        <v>2.56155767077479</v>
      </c>
      <c r="G146">
        <v>-113.23127690546161</v>
      </c>
      <c r="H146">
        <v>-97.419056070747473</v>
      </c>
      <c r="I146">
        <v>14.8869941483915</v>
      </c>
      <c r="J146">
        <v>8.4357773697553693</v>
      </c>
      <c r="K146">
        <v>2.7070997709752</v>
      </c>
      <c r="L146">
        <v>3.1030381910947622E-5</v>
      </c>
      <c r="M146">
        <v>1.8308091285505953E-6</v>
      </c>
      <c r="N146" s="1">
        <v>-3.6355942242617301E-8</v>
      </c>
      <c r="O146" s="1">
        <v>2.4575401862451399E-11</v>
      </c>
      <c r="P146" s="1">
        <v>1.6371549647620999E-10</v>
      </c>
      <c r="Q146">
        <v>65.930054790050804</v>
      </c>
      <c r="S146">
        <v>20.990967243653198</v>
      </c>
      <c r="AA146">
        <v>1.93388594265567</v>
      </c>
      <c r="AB146">
        <v>9.6170645691731806</v>
      </c>
      <c r="AC146">
        <v>1.52802745446706</v>
      </c>
      <c r="AJ146">
        <v>0.82259988785594795</v>
      </c>
      <c r="AK146">
        <v>9.1408748072999896E-2</v>
      </c>
      <c r="AL146">
        <v>8.5991364071050902E-2</v>
      </c>
    </row>
    <row r="147" spans="1:38" x14ac:dyDescent="0.2">
      <c r="A147">
        <v>164</v>
      </c>
      <c r="B147">
        <v>788</v>
      </c>
      <c r="C147">
        <v>125</v>
      </c>
      <c r="D147">
        <v>0.48055458700466802</v>
      </c>
      <c r="E147">
        <v>7.3433977544556299</v>
      </c>
      <c r="F147">
        <v>2.5613237114366001</v>
      </c>
      <c r="G147">
        <v>-119.88722264607621</v>
      </c>
      <c r="H147">
        <v>-103.16644829298797</v>
      </c>
      <c r="I147">
        <v>15.757220329914</v>
      </c>
      <c r="J147">
        <v>8.9341010271069496</v>
      </c>
      <c r="K147">
        <v>2.8670322777501802</v>
      </c>
      <c r="L147">
        <v>3.1054787011071382E-5</v>
      </c>
      <c r="M147">
        <v>1.8314906514302447E-6</v>
      </c>
      <c r="N147" s="1">
        <v>-3.9757304287635098E-8</v>
      </c>
      <c r="O147" s="1">
        <v>2.6028488492755901E-11</v>
      </c>
      <c r="P147" s="1">
        <v>1.7706368966059201E-10</v>
      </c>
      <c r="Q147">
        <v>65.957407212603201</v>
      </c>
      <c r="S147">
        <v>20.968702790763299</v>
      </c>
      <c r="AA147">
        <v>1.90913522718074</v>
      </c>
      <c r="AB147">
        <v>9.6196488184259508</v>
      </c>
      <c r="AC147">
        <v>1.5451059510266101</v>
      </c>
      <c r="AJ147">
        <v>0.82281083984877501</v>
      </c>
      <c r="AK147">
        <v>9.0237752169643706E-2</v>
      </c>
      <c r="AL147">
        <v>8.6951407981581005E-2</v>
      </c>
    </row>
    <row r="148" spans="1:38" x14ac:dyDescent="0.2">
      <c r="A148">
        <v>165</v>
      </c>
      <c r="B148">
        <v>787</v>
      </c>
      <c r="C148">
        <v>125</v>
      </c>
      <c r="D148">
        <v>0.479998585105882</v>
      </c>
      <c r="E148">
        <v>7.7502142732350601</v>
      </c>
      <c r="F148">
        <v>2.5610961417445299</v>
      </c>
      <c r="G148">
        <v>-126.50496425580752</v>
      </c>
      <c r="H148">
        <v>-108.88331816957988</v>
      </c>
      <c r="I148">
        <v>16.621842273477899</v>
      </c>
      <c r="J148">
        <v>9.4298766997211096</v>
      </c>
      <c r="K148">
        <v>3.0261317202859299</v>
      </c>
      <c r="L148">
        <v>3.1079161375919665E-5</v>
      </c>
      <c r="M148">
        <v>1.8321535597939468E-6</v>
      </c>
      <c r="N148" s="1">
        <v>-4.3320308547879901E-8</v>
      </c>
      <c r="O148" s="1">
        <v>2.74735525175527E-11</v>
      </c>
      <c r="P148" s="1">
        <v>1.90866558923404E-10</v>
      </c>
      <c r="Q148">
        <v>65.983918467132</v>
      </c>
      <c r="S148">
        <v>20.9470175953786</v>
      </c>
      <c r="AA148">
        <v>1.88505868013749</v>
      </c>
      <c r="AB148">
        <v>9.6218771686979494</v>
      </c>
      <c r="AC148">
        <v>1.5621280886537701</v>
      </c>
      <c r="AJ148">
        <v>0.82299278382742402</v>
      </c>
      <c r="AK148">
        <v>8.90988057707056E-2</v>
      </c>
      <c r="AL148">
        <v>8.7908410401869794E-2</v>
      </c>
    </row>
    <row r="149" spans="1:38" x14ac:dyDescent="0.2">
      <c r="A149">
        <v>166</v>
      </c>
      <c r="B149">
        <v>786</v>
      </c>
      <c r="C149">
        <v>125</v>
      </c>
      <c r="D149">
        <v>0.47944153330501299</v>
      </c>
      <c r="E149">
        <v>8.4477176058325991</v>
      </c>
      <c r="F149">
        <v>2.5606578969962701</v>
      </c>
      <c r="G149">
        <v>-137.85562838810662</v>
      </c>
      <c r="H149">
        <v>-118.67558376939063</v>
      </c>
      <c r="I149">
        <v>18.108903005916002</v>
      </c>
      <c r="J149">
        <v>10.279157972572801</v>
      </c>
      <c r="K149">
        <v>3.2990418656635101</v>
      </c>
      <c r="L149">
        <v>3.110358178979269E-5</v>
      </c>
      <c r="M149">
        <v>1.8329993201389542E-6</v>
      </c>
      <c r="N149" s="1">
        <v>-4.8699235571487303E-8</v>
      </c>
      <c r="O149" s="1">
        <v>2.9959906755549301E-11</v>
      </c>
      <c r="P149" s="1">
        <v>2.1237585199876099E-10</v>
      </c>
      <c r="Q149">
        <v>66.022100032599894</v>
      </c>
      <c r="S149">
        <v>20.9130174678122</v>
      </c>
      <c r="AA149">
        <v>1.84809908043525</v>
      </c>
      <c r="AB149">
        <v>9.6178269853957197</v>
      </c>
      <c r="AC149">
        <v>1.5989564337568301</v>
      </c>
      <c r="AJ149">
        <v>0.82266350545744504</v>
      </c>
      <c r="AK149">
        <v>8.7353701578024801E-2</v>
      </c>
      <c r="AL149">
        <v>8.9982792964529698E-2</v>
      </c>
    </row>
    <row r="150" spans="1:38" x14ac:dyDescent="0.2">
      <c r="A150">
        <v>167</v>
      </c>
      <c r="B150">
        <v>785</v>
      </c>
      <c r="C150">
        <v>125</v>
      </c>
      <c r="D150">
        <v>0.47888342862543298</v>
      </c>
      <c r="E150">
        <v>9.7909762814651398</v>
      </c>
      <c r="F150">
        <v>2.5597461187429902</v>
      </c>
      <c r="G150">
        <v>-159.71273556926701</v>
      </c>
      <c r="H150">
        <v>-137.51437906109763</v>
      </c>
      <c r="I150">
        <v>20.978459110872102</v>
      </c>
      <c r="J150">
        <v>11.913358145329299</v>
      </c>
      <c r="K150">
        <v>3.8249794422085701</v>
      </c>
      <c r="L150">
        <v>3.1125409279297462E-5</v>
      </c>
      <c r="M150">
        <v>1.8341924578968933E-6</v>
      </c>
      <c r="N150" s="1">
        <v>-5.80687952596808E-8</v>
      </c>
      <c r="O150" s="1">
        <v>3.47670374009852E-11</v>
      </c>
      <c r="P150" s="1">
        <v>2.50871250412978E-10</v>
      </c>
      <c r="Q150">
        <v>66.084422270456301</v>
      </c>
      <c r="S150">
        <v>20.852250421988799</v>
      </c>
      <c r="AA150">
        <v>1.7834236032219699</v>
      </c>
      <c r="AB150">
        <v>9.5974000399930297</v>
      </c>
      <c r="AC150">
        <v>1.68250366433974</v>
      </c>
      <c r="AJ150">
        <v>0.82100045531837296</v>
      </c>
      <c r="AK150">
        <v>8.4305343245918096E-2</v>
      </c>
      <c r="AL150">
        <v>9.4694201435708003E-2</v>
      </c>
    </row>
    <row r="151" spans="1:38" x14ac:dyDescent="0.2">
      <c r="A151">
        <v>168</v>
      </c>
      <c r="B151">
        <v>784</v>
      </c>
      <c r="C151">
        <v>125</v>
      </c>
      <c r="D151">
        <v>0.47832426807926898</v>
      </c>
      <c r="E151">
        <v>11.1579190462567</v>
      </c>
      <c r="F151">
        <v>2.5588193844547402</v>
      </c>
      <c r="G151">
        <v>-181.93540338148253</v>
      </c>
      <c r="H151">
        <v>-156.67408261912556</v>
      </c>
      <c r="I151">
        <v>23.895682507077399</v>
      </c>
      <c r="J151">
        <v>13.575999010306299</v>
      </c>
      <c r="K151">
        <v>4.3605731276083501</v>
      </c>
      <c r="L151">
        <v>3.1142910247809474E-5</v>
      </c>
      <c r="M151">
        <v>1.8352618077109174E-6</v>
      </c>
      <c r="N151" s="1">
        <v>-6.8019539677902906E-8</v>
      </c>
      <c r="O151" s="1">
        <v>3.9670032538603E-11</v>
      </c>
      <c r="P151" s="1">
        <v>2.9124833862080702E-10</v>
      </c>
      <c r="Q151">
        <v>66.142911407750503</v>
      </c>
      <c r="S151">
        <v>20.792617807857798</v>
      </c>
      <c r="AA151">
        <v>1.72057844538491</v>
      </c>
      <c r="AB151">
        <v>9.5714052956776907</v>
      </c>
      <c r="AC151">
        <v>1.7724870433289599</v>
      </c>
      <c r="AJ151">
        <v>0.81888327130208505</v>
      </c>
      <c r="AK151">
        <v>8.1345130620003703E-2</v>
      </c>
      <c r="AL151">
        <v>9.9771598077910903E-2</v>
      </c>
    </row>
    <row r="152" spans="1:38" x14ac:dyDescent="0.2">
      <c r="A152">
        <v>169</v>
      </c>
      <c r="B152">
        <v>783</v>
      </c>
      <c r="C152">
        <v>125</v>
      </c>
      <c r="D152">
        <v>0.47776404866733202</v>
      </c>
      <c r="E152">
        <v>12.5536580087935</v>
      </c>
      <c r="F152">
        <v>2.5578710730337502</v>
      </c>
      <c r="G152">
        <v>-204.60465393754137</v>
      </c>
      <c r="H152">
        <v>-176.22454165189393</v>
      </c>
      <c r="I152">
        <v>26.871289386590298</v>
      </c>
      <c r="J152">
        <v>15.273139712982401</v>
      </c>
      <c r="K152">
        <v>4.9078540905129699</v>
      </c>
      <c r="L152">
        <v>3.1155739845258668E-5</v>
      </c>
      <c r="M152">
        <v>1.8362045477156134E-6</v>
      </c>
      <c r="N152" s="1">
        <v>-7.8583007122658201E-8</v>
      </c>
      <c r="O152" s="1">
        <v>4.4687815626272803E-11</v>
      </c>
      <c r="P152" s="1">
        <v>3.3363832920487202E-10</v>
      </c>
      <c r="Q152">
        <v>66.197644151306505</v>
      </c>
      <c r="S152">
        <v>20.733846795047398</v>
      </c>
      <c r="AA152">
        <v>1.65932062058501</v>
      </c>
      <c r="AB152">
        <v>9.5392984292042602</v>
      </c>
      <c r="AC152">
        <v>1.8698900038567301</v>
      </c>
      <c r="AJ152">
        <v>0.81626722931359397</v>
      </c>
      <c r="AK152">
        <v>7.8461575823554994E-2</v>
      </c>
      <c r="AL152">
        <v>0.105271194862849</v>
      </c>
    </row>
    <row r="153" spans="1:38" x14ac:dyDescent="0.2">
      <c r="A153">
        <v>170</v>
      </c>
      <c r="B153">
        <v>782</v>
      </c>
      <c r="C153">
        <v>125</v>
      </c>
      <c r="D153">
        <v>0.47720276737904699</v>
      </c>
      <c r="E153">
        <v>13.9852498381993</v>
      </c>
      <c r="F153">
        <v>2.55689301139736</v>
      </c>
      <c r="G153">
        <v>-227.83254349558442</v>
      </c>
      <c r="H153">
        <v>-196.26234599227018</v>
      </c>
      <c r="I153">
        <v>29.9201037798552</v>
      </c>
      <c r="J153">
        <v>17.013163637005999</v>
      </c>
      <c r="K153">
        <v>5.4696265255761496</v>
      </c>
      <c r="L153">
        <v>3.1163444054525145E-5</v>
      </c>
      <c r="M153">
        <v>1.8370163772390625E-6</v>
      </c>
      <c r="N153" s="1">
        <v>-8.9799534276744802E-8</v>
      </c>
      <c r="O153" s="1">
        <v>4.9846675863206998E-11</v>
      </c>
      <c r="P153" s="1">
        <v>3.7821349003976998E-10</v>
      </c>
      <c r="Q153">
        <v>66.248688549559304</v>
      </c>
      <c r="S153">
        <v>20.6756112894872</v>
      </c>
      <c r="AA153">
        <v>1.59936521970326</v>
      </c>
      <c r="AB153">
        <v>9.5003761848609596</v>
      </c>
      <c r="AC153">
        <v>1.97595875638922</v>
      </c>
      <c r="AJ153">
        <v>0.81309450157868501</v>
      </c>
      <c r="AK153">
        <v>7.5641243487300003E-2</v>
      </c>
      <c r="AL153">
        <v>0.111264254934014</v>
      </c>
    </row>
    <row r="154" spans="1:38" x14ac:dyDescent="0.2">
      <c r="A154">
        <v>171</v>
      </c>
      <c r="B154">
        <v>781</v>
      </c>
      <c r="C154">
        <v>125</v>
      </c>
      <c r="D154">
        <v>0.476640421192431</v>
      </c>
      <c r="E154">
        <v>15.4624604646239</v>
      </c>
      <c r="F154">
        <v>2.5558749893352402</v>
      </c>
      <c r="G154">
        <v>-251.77433867661455</v>
      </c>
      <c r="H154">
        <v>-216.92132843473973</v>
      </c>
      <c r="I154">
        <v>33.062666832874598</v>
      </c>
      <c r="J154">
        <v>18.8076904475354</v>
      </c>
      <c r="K154">
        <v>6.0497718116665702</v>
      </c>
      <c r="L154">
        <v>3.1165415716804145E-5</v>
      </c>
      <c r="M154">
        <v>1.8376908001602369E-6</v>
      </c>
      <c r="N154" s="1">
        <v>-1.0172173390141099E-7</v>
      </c>
      <c r="O154" s="1">
        <v>5.5183165379962702E-11</v>
      </c>
      <c r="P154" s="1">
        <v>4.2520335965721999E-10</v>
      </c>
      <c r="Q154">
        <v>66.296092542651394</v>
      </c>
      <c r="S154">
        <v>20.617518397631802</v>
      </c>
      <c r="AA154">
        <v>1.540376915365</v>
      </c>
      <c r="AB154">
        <v>9.4537153731762498</v>
      </c>
      <c r="AC154">
        <v>2.0922967711753899</v>
      </c>
      <c r="AJ154">
        <v>0.80928912118381502</v>
      </c>
      <c r="AK154">
        <v>7.2868356032369894E-2</v>
      </c>
      <c r="AL154">
        <v>0.117842522783814</v>
      </c>
    </row>
    <row r="155" spans="1:38" x14ac:dyDescent="0.2">
      <c r="A155">
        <v>172</v>
      </c>
      <c r="B155">
        <v>780</v>
      </c>
      <c r="C155">
        <v>125</v>
      </c>
      <c r="D155">
        <v>0.47607700707401701</v>
      </c>
      <c r="E155">
        <v>16.998914485248601</v>
      </c>
      <c r="F155">
        <v>2.5548040739495401</v>
      </c>
      <c r="G155">
        <v>-276.6468088521363</v>
      </c>
      <c r="H155">
        <v>-238.38834006311799</v>
      </c>
      <c r="I155">
        <v>36.327653979982202</v>
      </c>
      <c r="J155">
        <v>20.672945952600699</v>
      </c>
      <c r="K155">
        <v>6.6537057219301801</v>
      </c>
      <c r="L155">
        <v>3.1160831195637695E-5</v>
      </c>
      <c r="M155">
        <v>1.8382180958626162E-6</v>
      </c>
      <c r="N155" s="1">
        <v>-1.14419556061661E-7</v>
      </c>
      <c r="O155" s="1">
        <v>6.0748455283304995E-11</v>
      </c>
      <c r="P155" s="1">
        <v>4.7491862549573402E-10</v>
      </c>
      <c r="Q155">
        <v>66.339867234648494</v>
      </c>
      <c r="S155">
        <v>20.559089139415899</v>
      </c>
      <c r="AA155">
        <v>1.48195795312997</v>
      </c>
      <c r="AB155">
        <v>9.3980850304517194</v>
      </c>
      <c r="AC155">
        <v>2.22100064235378</v>
      </c>
      <c r="AJ155">
        <v>0.80474972058927796</v>
      </c>
      <c r="AK155">
        <v>7.0124235027064996E-2</v>
      </c>
      <c r="AL155">
        <v>0.12512604438365599</v>
      </c>
    </row>
    <row r="156" spans="1:38" x14ac:dyDescent="0.2">
      <c r="A156">
        <v>173</v>
      </c>
      <c r="B156">
        <v>779</v>
      </c>
      <c r="C156">
        <v>125</v>
      </c>
      <c r="D156">
        <v>0.475512521978807</v>
      </c>
      <c r="E156">
        <v>18.613864679919701</v>
      </c>
      <c r="F156">
        <v>2.55366365922165</v>
      </c>
      <c r="G156">
        <v>-302.75637315532634</v>
      </c>
      <c r="H156">
        <v>-260.92752573550479</v>
      </c>
      <c r="I156">
        <v>39.755593232734398</v>
      </c>
      <c r="J156">
        <v>22.631869509774901</v>
      </c>
      <c r="K156">
        <v>7.2890823396817996</v>
      </c>
      <c r="L156">
        <v>3.1148558156334432E-5</v>
      </c>
      <c r="M156">
        <v>1.8385838042900397E-6</v>
      </c>
      <c r="N156" s="1">
        <v>-1.2798782496146399E-7</v>
      </c>
      <c r="O156" s="1">
        <v>6.6615044350229403E-11</v>
      </c>
      <c r="P156" s="1">
        <v>5.2778712583197899E-10</v>
      </c>
      <c r="Q156">
        <v>66.379960727667907</v>
      </c>
      <c r="S156">
        <v>20.499732150065</v>
      </c>
      <c r="AA156">
        <v>1.42363256066558</v>
      </c>
      <c r="AB156">
        <v>9.3318191653997093</v>
      </c>
      <c r="AC156">
        <v>2.36485539620171</v>
      </c>
      <c r="AJ156">
        <v>0.79933899219050697</v>
      </c>
      <c r="AK156">
        <v>6.7386575562230794E-2</v>
      </c>
      <c r="AL156">
        <v>0.13327443224726099</v>
      </c>
    </row>
    <row r="157" spans="1:38" x14ac:dyDescent="0.2">
      <c r="A157">
        <v>174</v>
      </c>
      <c r="B157">
        <v>778</v>
      </c>
      <c r="C157">
        <v>125</v>
      </c>
      <c r="D157">
        <v>0.47494696285021398</v>
      </c>
      <c r="E157">
        <v>20.334945589210299</v>
      </c>
      <c r="F157">
        <v>2.5524322351809801</v>
      </c>
      <c r="G157">
        <v>-330.54287242312898</v>
      </c>
      <c r="H157">
        <v>-284.91808001899403</v>
      </c>
      <c r="I157">
        <v>43.404644821514303</v>
      </c>
      <c r="J157">
        <v>24.717390618090398</v>
      </c>
      <c r="K157">
        <v>7.9668895059885898</v>
      </c>
      <c r="L157">
        <v>3.1127022852316172E-5</v>
      </c>
      <c r="M157">
        <v>1.8387664781734122E-6</v>
      </c>
      <c r="N157" s="1">
        <v>-1.4255754357188301E-7</v>
      </c>
      <c r="O157" s="1">
        <v>7.2887204084658402E-11</v>
      </c>
      <c r="P157" s="1">
        <v>5.8440861019470297E-10</v>
      </c>
      <c r="Q157">
        <v>66.416214595217696</v>
      </c>
      <c r="S157">
        <v>20.438711734082201</v>
      </c>
      <c r="AA157">
        <v>1.3648307483101301</v>
      </c>
      <c r="AB157">
        <v>9.2526360116855706</v>
      </c>
      <c r="AC157">
        <v>2.5276069107043</v>
      </c>
      <c r="AJ157">
        <v>0.79286867606451705</v>
      </c>
      <c r="AK157">
        <v>6.4628692694437898E-2</v>
      </c>
      <c r="AL157">
        <v>0.14250263124104401</v>
      </c>
    </row>
    <row r="158" spans="1:38" x14ac:dyDescent="0.2">
      <c r="A158">
        <v>175</v>
      </c>
      <c r="B158">
        <v>777</v>
      </c>
      <c r="C158">
        <v>125</v>
      </c>
      <c r="D158">
        <v>0.47438032662001101</v>
      </c>
      <c r="E158">
        <v>22.2023598992469</v>
      </c>
      <c r="F158">
        <v>2.5510821415842599</v>
      </c>
      <c r="G158">
        <v>-360.64604703045461</v>
      </c>
      <c r="H158">
        <v>-310.91160311649224</v>
      </c>
      <c r="I158">
        <v>47.359371436425597</v>
      </c>
      <c r="J158">
        <v>26.977403985410401</v>
      </c>
      <c r="K158">
        <v>8.7031144694772191</v>
      </c>
      <c r="L158">
        <v>3.1094033155536318E-5</v>
      </c>
      <c r="M158">
        <v>1.8387344723102624E-6</v>
      </c>
      <c r="N158" s="1">
        <v>-1.5831227307276699E-7</v>
      </c>
      <c r="O158" s="1">
        <v>7.9716872486821305E-11</v>
      </c>
      <c r="P158" s="1">
        <v>6.4563557536166497E-10</v>
      </c>
      <c r="Q158">
        <v>66.448288283290395</v>
      </c>
      <c r="S158">
        <v>20.375123096366199</v>
      </c>
      <c r="AA158">
        <v>1.30488551446248</v>
      </c>
      <c r="AB158">
        <v>9.1574046249738696</v>
      </c>
      <c r="AC158">
        <v>2.7142984809068902</v>
      </c>
      <c r="AJ158">
        <v>0.78508006731157298</v>
      </c>
      <c r="AK158">
        <v>6.1819394540283699E-2</v>
      </c>
      <c r="AL158">
        <v>0.15310053814814201</v>
      </c>
    </row>
    <row r="159" spans="1:38" x14ac:dyDescent="0.2">
      <c r="A159">
        <v>176</v>
      </c>
      <c r="B159">
        <v>776</v>
      </c>
      <c r="C159">
        <v>125</v>
      </c>
      <c r="D159">
        <v>0.47381261020826598</v>
      </c>
      <c r="E159">
        <v>24.274459217512799</v>
      </c>
      <c r="F159">
        <v>2.54957971518128</v>
      </c>
      <c r="G159">
        <v>-393.99394052866444</v>
      </c>
      <c r="H159">
        <v>-339.70842493628425</v>
      </c>
      <c r="I159">
        <v>51.742377727093498</v>
      </c>
      <c r="J159">
        <v>29.481382856771599</v>
      </c>
      <c r="K159">
        <v>9.5209649939447996</v>
      </c>
      <c r="L159">
        <v>3.1046610530646811E-5</v>
      </c>
      <c r="M159">
        <v>1.8384421599031974E-6</v>
      </c>
      <c r="N159" s="1">
        <v>-1.75508066724403E-7</v>
      </c>
      <c r="O159" s="1">
        <v>8.7324882132015805E-11</v>
      </c>
      <c r="P159" s="1">
        <v>7.1267529427033498E-10</v>
      </c>
      <c r="Q159">
        <v>66.475527652996902</v>
      </c>
      <c r="S159">
        <v>20.3079298860935</v>
      </c>
      <c r="AA159">
        <v>1.24309449344908</v>
      </c>
      <c r="AB159">
        <v>9.0419503634049008</v>
      </c>
      <c r="AC159">
        <v>2.9314976040555001</v>
      </c>
      <c r="AJ159">
        <v>0.775627420686678</v>
      </c>
      <c r="AK159">
        <v>5.8925865295895601E-2</v>
      </c>
      <c r="AL159">
        <v>0.165446714017425</v>
      </c>
    </row>
    <row r="160" spans="1:38" x14ac:dyDescent="0.2">
      <c r="A160">
        <v>177</v>
      </c>
      <c r="B160">
        <v>775</v>
      </c>
      <c r="C160">
        <v>125</v>
      </c>
      <c r="D160">
        <v>0.473243810523307</v>
      </c>
      <c r="E160">
        <v>26.631153741166699</v>
      </c>
      <c r="F160">
        <v>2.5478922223330098</v>
      </c>
      <c r="G160">
        <v>-431.85604125527578</v>
      </c>
      <c r="H160">
        <v>-372.40370128663773</v>
      </c>
      <c r="I160">
        <v>56.721213536839201</v>
      </c>
      <c r="J160">
        <v>32.324346189171898</v>
      </c>
      <c r="K160">
        <v>10.4522293006497</v>
      </c>
      <c r="L160">
        <v>3.0981136286378538E-5</v>
      </c>
      <c r="M160">
        <v>1.8378293162413653E-6</v>
      </c>
      <c r="N160" s="1">
        <v>-1.94479289274568E-7</v>
      </c>
      <c r="O160" s="1">
        <v>9.6014088494269297E-11</v>
      </c>
      <c r="P160" s="1">
        <v>7.8713286650201295E-10</v>
      </c>
      <c r="Q160">
        <v>66.496762547612704</v>
      </c>
      <c r="S160">
        <v>20.236256920875199</v>
      </c>
      <c r="AA160">
        <v>1.1790086909125499</v>
      </c>
      <c r="AB160">
        <v>8.9013711910456905</v>
      </c>
      <c r="AC160">
        <v>3.18660064955376</v>
      </c>
      <c r="AJ160">
        <v>0.76410284897302305</v>
      </c>
      <c r="AK160">
        <v>5.5927151989195498E-2</v>
      </c>
      <c r="AL160">
        <v>0.17996999903778099</v>
      </c>
    </row>
    <row r="161" spans="1:38" x14ac:dyDescent="0.2">
      <c r="A161">
        <v>178</v>
      </c>
      <c r="B161">
        <v>774</v>
      </c>
      <c r="C161">
        <v>125</v>
      </c>
      <c r="D161">
        <v>0.47267392446163797</v>
      </c>
      <c r="E161">
        <v>29.356921571891299</v>
      </c>
      <c r="F161">
        <v>2.5460171161787799</v>
      </c>
      <c r="G161">
        <v>-475.57018561192069</v>
      </c>
      <c r="H161">
        <v>-410.15263476815619</v>
      </c>
      <c r="I161">
        <v>62.471996221901797</v>
      </c>
      <c r="J161">
        <v>35.606396489002996</v>
      </c>
      <c r="K161">
        <v>11.530527970665</v>
      </c>
      <c r="L161">
        <v>3.0894923494607445E-5</v>
      </c>
      <c r="M161">
        <v>1.8368395709900141E-6</v>
      </c>
      <c r="N161" s="1">
        <v>-2.1555186102205901E-7</v>
      </c>
      <c r="O161" s="1">
        <v>1.0610545792707199E-10</v>
      </c>
      <c r="P161" s="1">
        <v>8.7062123129613395E-10</v>
      </c>
      <c r="Q161">
        <v>66.510162823329793</v>
      </c>
      <c r="S161">
        <v>20.160452848991099</v>
      </c>
      <c r="AA161">
        <v>1.11334278429147</v>
      </c>
      <c r="AB161">
        <v>8.7325027573413205</v>
      </c>
      <c r="AC161">
        <v>3.4835387860462301</v>
      </c>
      <c r="AJ161">
        <v>0.75023761588293503</v>
      </c>
      <c r="AK161">
        <v>5.2856669278085799E-2</v>
      </c>
      <c r="AL161">
        <v>0.19690571483897801</v>
      </c>
    </row>
    <row r="162" spans="1:38" x14ac:dyDescent="0.2">
      <c r="A162">
        <v>179</v>
      </c>
      <c r="B162">
        <v>773</v>
      </c>
      <c r="C162">
        <v>125</v>
      </c>
      <c r="D162">
        <v>0.472102948907902</v>
      </c>
      <c r="E162">
        <v>31.887712640010999</v>
      </c>
      <c r="F162">
        <v>2.5444309622269299</v>
      </c>
      <c r="G162">
        <v>-515.96950494447935</v>
      </c>
      <c r="H162">
        <v>-445.05633481788789</v>
      </c>
      <c r="I162">
        <v>67.784897124304905</v>
      </c>
      <c r="J162">
        <v>38.635350275956597</v>
      </c>
      <c r="K162">
        <v>12.532355215526101</v>
      </c>
      <c r="L162">
        <v>3.0750209497284438E-5</v>
      </c>
      <c r="M162">
        <v>1.8341217425127529E-6</v>
      </c>
      <c r="N162" s="1">
        <v>-2.3304551879061601E-7</v>
      </c>
      <c r="O162" s="1">
        <v>1.1548830676245499E-10</v>
      </c>
      <c r="P162" s="1">
        <v>9.4191550836509101E-10</v>
      </c>
      <c r="Q162">
        <v>66.457049692966905</v>
      </c>
      <c r="S162">
        <v>20.118051557338699</v>
      </c>
      <c r="AA162">
        <v>1.0907545073909299</v>
      </c>
      <c r="AB162">
        <v>8.5029824955292295</v>
      </c>
      <c r="AC162">
        <v>3.8311617467741201</v>
      </c>
      <c r="AJ162">
        <v>0.73135396767136795</v>
      </c>
      <c r="AK162">
        <v>5.1843479706466099E-2</v>
      </c>
      <c r="AL162">
        <v>0.216802552622165</v>
      </c>
    </row>
    <row r="163" spans="1:38" x14ac:dyDescent="0.2">
      <c r="A163">
        <v>180</v>
      </c>
      <c r="B163">
        <v>772</v>
      </c>
      <c r="C163">
        <v>125</v>
      </c>
      <c r="D163">
        <v>0.47153088073482102</v>
      </c>
      <c r="E163">
        <v>30.0138101196154</v>
      </c>
      <c r="F163">
        <v>2.5465176660155699</v>
      </c>
      <c r="G163">
        <v>-485.90449189740485</v>
      </c>
      <c r="H163">
        <v>-419.24722954315996</v>
      </c>
      <c r="I163">
        <v>63.777699233837097</v>
      </c>
      <c r="J163">
        <v>36.387488578447901</v>
      </c>
      <c r="K163">
        <v>11.7862171231573</v>
      </c>
      <c r="L163">
        <v>3.0804113630994654E-5</v>
      </c>
      <c r="M163">
        <v>1.8334309208829838E-6</v>
      </c>
      <c r="N163" s="1">
        <v>-2.2941482559267101E-7</v>
      </c>
      <c r="O163" s="1">
        <v>1.08292818999365E-10</v>
      </c>
      <c r="P163" s="1">
        <v>9.1632506112977599E-10</v>
      </c>
      <c r="Q163">
        <v>66.375801892448393</v>
      </c>
      <c r="S163">
        <v>20.220468886230702</v>
      </c>
      <c r="AA163">
        <v>1.19420791591876</v>
      </c>
      <c r="AB163">
        <v>8.5904264712582599</v>
      </c>
      <c r="AC163">
        <v>3.6190948341437599</v>
      </c>
      <c r="AJ163">
        <v>0.73855195392544604</v>
      </c>
      <c r="AK163">
        <v>5.6735784260716703E-2</v>
      </c>
      <c r="AL163">
        <v>0.20471226181383601</v>
      </c>
    </row>
    <row r="164" spans="1:38" x14ac:dyDescent="0.2">
      <c r="A164">
        <v>181</v>
      </c>
      <c r="B164">
        <v>771</v>
      </c>
      <c r="C164">
        <v>125</v>
      </c>
      <c r="D164">
        <v>0.47095771680314102</v>
      </c>
      <c r="E164">
        <v>29.6026057728205</v>
      </c>
      <c r="F164">
        <v>2.5476365850373002</v>
      </c>
      <c r="G164">
        <v>-479.34666544435873</v>
      </c>
      <c r="H164">
        <v>-413.69628224369609</v>
      </c>
      <c r="I164">
        <v>62.874475123940698</v>
      </c>
      <c r="J164">
        <v>35.903114465524297</v>
      </c>
      <c r="K164">
        <v>11.619634427720801</v>
      </c>
      <c r="L164">
        <v>3.0841524859086624E-5</v>
      </c>
      <c r="M164">
        <v>1.8331051451168869E-6</v>
      </c>
      <c r="N164" s="1">
        <v>-2.35022584955506E-7</v>
      </c>
      <c r="O164" s="1">
        <v>1.0656782058662799E-10</v>
      </c>
      <c r="P164" s="1">
        <v>9.2948535158236097E-10</v>
      </c>
      <c r="Q164">
        <v>66.332566466726803</v>
      </c>
      <c r="S164">
        <v>20.2740729464746</v>
      </c>
      <c r="AA164">
        <v>1.24852021000763</v>
      </c>
      <c r="AB164">
        <v>8.63460865616101</v>
      </c>
      <c r="AC164">
        <v>3.5102317206299398</v>
      </c>
      <c r="AJ164">
        <v>0.74218640169414596</v>
      </c>
      <c r="AK164">
        <v>5.9303005082852397E-2</v>
      </c>
      <c r="AL164">
        <v>0.19851059322300099</v>
      </c>
    </row>
    <row r="165" spans="1:38" x14ac:dyDescent="0.2">
      <c r="A165">
        <v>182</v>
      </c>
      <c r="B165">
        <v>770</v>
      </c>
      <c r="C165">
        <v>125</v>
      </c>
      <c r="D165">
        <v>0.47038345396155901</v>
      </c>
      <c r="E165">
        <v>29.517385043020401</v>
      </c>
      <c r="F165">
        <v>2.5483575024551701</v>
      </c>
      <c r="G165">
        <v>-478.00660318706696</v>
      </c>
      <c r="H165">
        <v>-412.64044493894625</v>
      </c>
      <c r="I165">
        <v>62.662280830293398</v>
      </c>
      <c r="J165">
        <v>35.811179073117003</v>
      </c>
      <c r="K165">
        <v>11.582905857825001</v>
      </c>
      <c r="L165">
        <v>3.0874933132288584E-5</v>
      </c>
      <c r="M165">
        <v>1.8329948831644489E-6</v>
      </c>
      <c r="N165" s="1">
        <v>-2.4282078234532398E-7</v>
      </c>
      <c r="O165" s="1">
        <v>1.0608596834573201E-10</v>
      </c>
      <c r="P165" s="1">
        <v>9.5162559537894206E-10</v>
      </c>
      <c r="Q165">
        <v>66.307132514154603</v>
      </c>
      <c r="S165">
        <v>20.306774758079399</v>
      </c>
      <c r="AA165">
        <v>1.2814342045497</v>
      </c>
      <c r="AB165">
        <v>8.6636625072155802</v>
      </c>
      <c r="AC165">
        <v>3.4409960160006401</v>
      </c>
      <c r="AJ165">
        <v>0.74457555486051696</v>
      </c>
      <c r="AK165">
        <v>6.08575339861607E-2</v>
      </c>
      <c r="AL165">
        <v>0.194566911153321</v>
      </c>
    </row>
    <row r="166" spans="1:38" x14ac:dyDescent="0.2">
      <c r="A166">
        <v>183</v>
      </c>
      <c r="B166">
        <v>769</v>
      </c>
      <c r="C166">
        <v>125</v>
      </c>
      <c r="D166">
        <v>0.46980808904668597</v>
      </c>
      <c r="E166">
        <v>29.535517288458401</v>
      </c>
      <c r="F166">
        <v>2.5488833766233601</v>
      </c>
      <c r="G166">
        <v>-478.31205892105862</v>
      </c>
      <c r="H166">
        <v>-413.00177513884006</v>
      </c>
      <c r="I166">
        <v>62.6687941104625</v>
      </c>
      <c r="J166">
        <v>35.843545400251998</v>
      </c>
      <c r="K166">
        <v>11.587629924279</v>
      </c>
      <c r="L166">
        <v>3.0907334064439869E-5</v>
      </c>
      <c r="M166">
        <v>1.8330071809466687E-6</v>
      </c>
      <c r="N166" s="1">
        <v>-2.51478369017056E-7</v>
      </c>
      <c r="O166" s="1">
        <v>1.06007182351229E-10</v>
      </c>
      <c r="P166" s="1">
        <v>9.7707070709159107E-10</v>
      </c>
      <c r="Q166">
        <v>66.290956477119195</v>
      </c>
      <c r="S166">
        <v>20.329021695867699</v>
      </c>
      <c r="AA166">
        <v>1.3035626131170801</v>
      </c>
      <c r="AB166">
        <v>8.6859383157179195</v>
      </c>
      <c r="AC166">
        <v>3.3905208981780199</v>
      </c>
      <c r="AJ166">
        <v>0.74640691658323999</v>
      </c>
      <c r="AK166">
        <v>6.1901560978151499E-2</v>
      </c>
      <c r="AL166">
        <v>0.19169152243860699</v>
      </c>
    </row>
    <row r="167" spans="1:38" x14ac:dyDescent="0.2">
      <c r="A167">
        <v>184</v>
      </c>
      <c r="B167">
        <v>768</v>
      </c>
      <c r="C167">
        <v>125</v>
      </c>
      <c r="D167">
        <v>0.46923161888296799</v>
      </c>
      <c r="E167">
        <v>29.587499083208499</v>
      </c>
      <c r="F167">
        <v>2.5493142760017999</v>
      </c>
      <c r="G167">
        <v>-479.15211656857156</v>
      </c>
      <c r="H167">
        <v>-413.82341947759403</v>
      </c>
      <c r="I167">
        <v>62.7466715564304</v>
      </c>
      <c r="J167">
        <v>35.916658094005903</v>
      </c>
      <c r="K167">
        <v>11.6060618189499</v>
      </c>
      <c r="L167">
        <v>3.0939718725377061E-5</v>
      </c>
      <c r="M167">
        <v>1.8330824321580353E-6</v>
      </c>
      <c r="N167" s="1">
        <v>-2.6059873594988102E-7</v>
      </c>
      <c r="O167" s="1">
        <v>1.06063674687693E-10</v>
      </c>
      <c r="P167" s="1">
        <v>1.00410890696157E-9</v>
      </c>
      <c r="Q167">
        <v>66.279358826022403</v>
      </c>
      <c r="S167">
        <v>20.346145321069599</v>
      </c>
      <c r="AA167">
        <v>1.32039593257398</v>
      </c>
      <c r="AB167">
        <v>8.7049853817799097</v>
      </c>
      <c r="AC167">
        <v>3.3491145385540002</v>
      </c>
      <c r="AJ167">
        <v>0.74797254392051105</v>
      </c>
      <c r="AK167">
        <v>6.2694952601216297E-2</v>
      </c>
      <c r="AL167">
        <v>0.18933250347827199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2E458-3457-455B-B2C1-56EBE29793D6}">
  <sheetPr codeName="Sheet11"/>
  <dimension ref="A1:AL3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739</v>
      </c>
      <c r="C2">
        <v>275</v>
      </c>
      <c r="D2">
        <v>0.28899916020352701</v>
      </c>
      <c r="E2">
        <v>5.9561951687654098</v>
      </c>
      <c r="F2">
        <v>2.52691219378206</v>
      </c>
      <c r="G2">
        <v>-94.002076988524379</v>
      </c>
      <c r="H2">
        <v>-81.605081911183149</v>
      </c>
      <c r="I2">
        <v>12.2481796940584</v>
      </c>
      <c r="J2">
        <v>7.1369732773386296</v>
      </c>
      <c r="K2">
        <v>2.3571041302589402</v>
      </c>
      <c r="L2">
        <v>2.9435864342476124E-5</v>
      </c>
      <c r="M2">
        <v>1.8014681786374774E-6</v>
      </c>
      <c r="N2" s="1">
        <v>-8.15899438149253E-8</v>
      </c>
      <c r="O2" s="1">
        <v>2.21356397343265E-11</v>
      </c>
      <c r="P2" s="1">
        <v>2.83202528103367E-10</v>
      </c>
      <c r="Q2">
        <v>66.232860276449699</v>
      </c>
      <c r="S2">
        <v>19.021857490754201</v>
      </c>
      <c r="AA2">
        <v>0.23869471380789201</v>
      </c>
      <c r="AB2">
        <v>5.1295731408750997</v>
      </c>
      <c r="AC2">
        <v>9.3770143781129605</v>
      </c>
      <c r="AJ2">
        <v>0.44874760258051999</v>
      </c>
      <c r="AK2">
        <v>1.15391682615164E-2</v>
      </c>
      <c r="AL2">
        <v>0.53971322915796305</v>
      </c>
    </row>
    <row r="3" spans="1:38" x14ac:dyDescent="0.2">
      <c r="A3">
        <v>19</v>
      </c>
      <c r="B3">
        <v>738</v>
      </c>
      <c r="C3">
        <v>275</v>
      </c>
      <c r="D3">
        <v>0.28822677149780002</v>
      </c>
      <c r="E3">
        <v>20.427846869014299</v>
      </c>
      <c r="F3">
        <v>2.5268395175306102</v>
      </c>
      <c r="G3">
        <v>-322.27488439418096</v>
      </c>
      <c r="H3">
        <v>-279.83602055544918</v>
      </c>
      <c r="I3">
        <v>41.970888432707099</v>
      </c>
      <c r="J3">
        <v>24.4759134712858</v>
      </c>
      <c r="K3">
        <v>8.0843467609599795</v>
      </c>
      <c r="L3">
        <v>2.942145940777931E-5</v>
      </c>
      <c r="M3">
        <v>1.8009696945313744E-6</v>
      </c>
      <c r="N3" s="1">
        <v>-2.85860405207759E-7</v>
      </c>
      <c r="O3" s="1">
        <v>7.5898751759046004E-11</v>
      </c>
      <c r="P3" s="1">
        <v>9.8819148143802998E-10</v>
      </c>
      <c r="Q3">
        <v>66.215330359698399</v>
      </c>
      <c r="S3">
        <v>19.0150956137207</v>
      </c>
      <c r="AA3">
        <v>0.23720646244375601</v>
      </c>
      <c r="AB3">
        <v>5.0727815215639804</v>
      </c>
      <c r="AC3">
        <v>9.4595860425730702</v>
      </c>
      <c r="AJ3">
        <v>0.44390701605202998</v>
      </c>
      <c r="AK3">
        <v>1.1470521363202301E-2</v>
      </c>
      <c r="AL3">
        <v>0.54462246258476599</v>
      </c>
    </row>
    <row r="4" spans="1:38" x14ac:dyDescent="0.2">
      <c r="A4">
        <v>20</v>
      </c>
      <c r="B4">
        <v>737</v>
      </c>
      <c r="C4">
        <v>275</v>
      </c>
      <c r="D4">
        <v>0.28745285353660599</v>
      </c>
      <c r="E4">
        <v>25.0812914928783</v>
      </c>
      <c r="F4">
        <v>2.5267751996631902</v>
      </c>
      <c r="G4">
        <v>-395.54152585760568</v>
      </c>
      <c r="H4">
        <v>-343.53158585777999</v>
      </c>
      <c r="I4">
        <v>51.487343463669298</v>
      </c>
      <c r="J4">
        <v>30.0499622227955</v>
      </c>
      <c r="K4">
        <v>9.9262061366683803</v>
      </c>
      <c r="L4">
        <v>2.9408790646636459E-5</v>
      </c>
      <c r="M4">
        <v>1.8004933826077388E-6</v>
      </c>
      <c r="N4" s="1">
        <v>-3.5864796999350997E-7</v>
      </c>
      <c r="O4" s="1">
        <v>9.3161583466373096E-11</v>
      </c>
      <c r="P4" s="1">
        <v>1.23476836550079E-9</v>
      </c>
      <c r="Q4">
        <v>66.1982743333445</v>
      </c>
      <c r="S4">
        <v>19.008529213640699</v>
      </c>
      <c r="AA4">
        <v>0.23576890572206899</v>
      </c>
      <c r="AB4">
        <v>5.0175584098418602</v>
      </c>
      <c r="AC4">
        <v>9.5398691374508093</v>
      </c>
      <c r="AJ4">
        <v>0.43919744801337102</v>
      </c>
      <c r="AK4">
        <v>1.14041964322034E-2</v>
      </c>
      <c r="AL4">
        <v>0.54939835555442496</v>
      </c>
    </row>
    <row r="5" spans="1:38" x14ac:dyDescent="0.2">
      <c r="A5">
        <v>21</v>
      </c>
      <c r="B5">
        <v>736</v>
      </c>
      <c r="C5">
        <v>275</v>
      </c>
      <c r="D5">
        <v>0.28667740177377199</v>
      </c>
      <c r="E5">
        <v>27.533601719753101</v>
      </c>
      <c r="F5">
        <v>2.5267186202506702</v>
      </c>
      <c r="G5">
        <v>-434.05655976143873</v>
      </c>
      <c r="H5">
        <v>-377.06687135379423</v>
      </c>
      <c r="I5">
        <v>56.472960816176403</v>
      </c>
      <c r="J5">
        <v>32.986875640009202</v>
      </c>
      <c r="K5">
        <v>10.896979782031099</v>
      </c>
      <c r="L5">
        <v>2.9397801980034949E-5</v>
      </c>
      <c r="M5">
        <v>1.8000379687355488E-6</v>
      </c>
      <c r="N5" s="1">
        <v>-4.0242049874702099E-7</v>
      </c>
      <c r="O5" s="1">
        <v>1.0223776231292901E-10</v>
      </c>
      <c r="P5" s="1">
        <v>1.37985349280744E-9</v>
      </c>
      <c r="Q5">
        <v>66.181663831659904</v>
      </c>
      <c r="S5">
        <v>19.002143360592999</v>
      </c>
      <c r="AA5">
        <v>0.23437634505982899</v>
      </c>
      <c r="AB5">
        <v>4.9638014534754404</v>
      </c>
      <c r="AC5">
        <v>9.6180150092116605</v>
      </c>
      <c r="AJ5">
        <v>0.43461038479937603</v>
      </c>
      <c r="AK5">
        <v>1.13399271679197E-2</v>
      </c>
      <c r="AL5">
        <v>0.55404968803270405</v>
      </c>
    </row>
    <row r="6" spans="1:38" x14ac:dyDescent="0.2">
      <c r="A6">
        <v>22</v>
      </c>
      <c r="B6">
        <v>735</v>
      </c>
      <c r="C6">
        <v>275</v>
      </c>
      <c r="D6">
        <v>0.285900411645091</v>
      </c>
      <c r="E6">
        <v>28.830075843838401</v>
      </c>
      <c r="F6">
        <v>2.5266692282066501</v>
      </c>
      <c r="G6">
        <v>-454.33145383405866</v>
      </c>
      <c r="H6">
        <v>-394.76836732967826</v>
      </c>
      <c r="I6">
        <v>59.081571695065499</v>
      </c>
      <c r="J6">
        <v>34.539364468873799</v>
      </c>
      <c r="K6">
        <v>11.410308687022299</v>
      </c>
      <c r="L6">
        <v>2.9388445283099995E-5</v>
      </c>
      <c r="M6">
        <v>1.7996023131550874E-6</v>
      </c>
      <c r="N6" s="1">
        <v>-4.3078586194083499E-7</v>
      </c>
      <c r="O6" s="1">
        <v>1.07014394610747E-10</v>
      </c>
      <c r="P6" s="1">
        <v>1.4711534492635399E-9</v>
      </c>
      <c r="Q6">
        <v>66.165473182417003</v>
      </c>
      <c r="S6">
        <v>18.9959248768082</v>
      </c>
      <c r="AA6">
        <v>0.233023898925658</v>
      </c>
      <c r="AB6">
        <v>4.9114188960456602</v>
      </c>
      <c r="AC6">
        <v>9.6941591458033205</v>
      </c>
      <c r="AJ6">
        <v>0.43013819307173501</v>
      </c>
      <c r="AK6">
        <v>1.12774856841586E-2</v>
      </c>
      <c r="AL6">
        <v>0.55858432124410495</v>
      </c>
    </row>
    <row r="7" spans="1:38" x14ac:dyDescent="0.2">
      <c r="A7">
        <v>36</v>
      </c>
      <c r="B7">
        <v>743</v>
      </c>
      <c r="C7">
        <v>250</v>
      </c>
      <c r="D7">
        <v>0.31913644639078897</v>
      </c>
      <c r="E7">
        <v>5.6694930996977897</v>
      </c>
      <c r="F7">
        <v>2.5262062315152201</v>
      </c>
      <c r="G7">
        <v>-89.668312417725815</v>
      </c>
      <c r="H7">
        <v>-77.779201481433276</v>
      </c>
      <c r="I7">
        <v>11.700153457946699</v>
      </c>
      <c r="J7">
        <v>6.7933551579038998</v>
      </c>
      <c r="K7">
        <v>2.24427167860211</v>
      </c>
      <c r="L7">
        <v>2.944707403403974E-5</v>
      </c>
      <c r="M7">
        <v>1.8047953578547728E-6</v>
      </c>
      <c r="N7" s="1">
        <v>-6.9415823460461798E-8</v>
      </c>
      <c r="O7" s="1">
        <v>2.1102936372155901E-11</v>
      </c>
      <c r="P7" s="1">
        <v>2.4623307701189002E-10</v>
      </c>
      <c r="Q7">
        <v>66.292146996585004</v>
      </c>
      <c r="S7">
        <v>19.055283254256501</v>
      </c>
      <c r="AA7">
        <v>0.25243756530748701</v>
      </c>
      <c r="AB7">
        <v>5.3493204025365104</v>
      </c>
      <c r="AC7">
        <v>9.0508117813143993</v>
      </c>
      <c r="AJ7">
        <v>0.46745129243549599</v>
      </c>
      <c r="AK7">
        <v>1.2189966916039401E-2</v>
      </c>
      <c r="AL7">
        <v>0.52035874064846299</v>
      </c>
    </row>
    <row r="8" spans="1:38" x14ac:dyDescent="0.2">
      <c r="A8">
        <v>37</v>
      </c>
      <c r="B8">
        <v>742</v>
      </c>
      <c r="C8">
        <v>250</v>
      </c>
      <c r="D8">
        <v>0.318396788651924</v>
      </c>
      <c r="E8">
        <v>20.314789485082201</v>
      </c>
      <c r="F8">
        <v>2.5262410009407601</v>
      </c>
      <c r="G8">
        <v>-321.260296566759</v>
      </c>
      <c r="H8">
        <v>-278.72478143026996</v>
      </c>
      <c r="I8">
        <v>41.9007192400029</v>
      </c>
      <c r="J8">
        <v>24.350156422509301</v>
      </c>
      <c r="K8">
        <v>8.0415088970201491</v>
      </c>
      <c r="L8">
        <v>2.9485640597554602E-5</v>
      </c>
      <c r="M8">
        <v>1.8051028727241881E-6</v>
      </c>
      <c r="N8" s="1">
        <v>-2.5779592935038603E-7</v>
      </c>
      <c r="O8" s="1">
        <v>7.5543677343039505E-11</v>
      </c>
      <c r="P8" s="1">
        <v>9.0819259073536398E-10</v>
      </c>
      <c r="Q8">
        <v>66.297988486344096</v>
      </c>
      <c r="S8">
        <v>19.0525931985621</v>
      </c>
      <c r="AA8">
        <v>0.24885521003865299</v>
      </c>
      <c r="AB8">
        <v>5.3552855185224599</v>
      </c>
      <c r="AC8">
        <v>9.0452775865326203</v>
      </c>
      <c r="AJ8">
        <v>0.467958471222709</v>
      </c>
      <c r="AK8">
        <v>1.2016616772100201E-2</v>
      </c>
      <c r="AL8">
        <v>0.52002491200518897</v>
      </c>
    </row>
    <row r="9" spans="1:38" x14ac:dyDescent="0.2">
      <c r="A9">
        <v>38</v>
      </c>
      <c r="B9">
        <v>741</v>
      </c>
      <c r="C9">
        <v>250</v>
      </c>
      <c r="D9">
        <v>0.31765567223783697</v>
      </c>
      <c r="E9">
        <v>24.343179642366898</v>
      </c>
      <c r="F9">
        <v>2.5262382960927598</v>
      </c>
      <c r="G9">
        <v>-384.89283674344625</v>
      </c>
      <c r="H9">
        <v>-334.00513818940146</v>
      </c>
      <c r="I9">
        <v>50.1776843209039</v>
      </c>
      <c r="J9">
        <v>29.185610237928</v>
      </c>
      <c r="K9">
        <v>9.6361375251169399</v>
      </c>
      <c r="L9">
        <v>2.9509978981713954E-5</v>
      </c>
      <c r="M9">
        <v>1.80518631614727E-6</v>
      </c>
      <c r="N9" s="1">
        <v>-3.1890509853350603E-7</v>
      </c>
      <c r="O9" s="1">
        <v>9.0454371609209104E-11</v>
      </c>
      <c r="P9" s="1">
        <v>1.1167109014992899E-9</v>
      </c>
      <c r="Q9">
        <v>66.297458523159307</v>
      </c>
      <c r="S9">
        <v>19.048625188687801</v>
      </c>
      <c r="AA9">
        <v>0.245705220927315</v>
      </c>
      <c r="AB9">
        <v>5.3437018702188102</v>
      </c>
      <c r="AC9">
        <v>9.0645091970066396</v>
      </c>
      <c r="AJ9">
        <v>0.46697365684084002</v>
      </c>
      <c r="AK9">
        <v>1.1865207463063399E-2</v>
      </c>
      <c r="AL9">
        <v>0.52116113569609601</v>
      </c>
    </row>
    <row r="10" spans="1:38" x14ac:dyDescent="0.2">
      <c r="A10">
        <v>39</v>
      </c>
      <c r="B10">
        <v>740</v>
      </c>
      <c r="C10">
        <v>250</v>
      </c>
      <c r="D10">
        <v>0.31691309282929903</v>
      </c>
      <c r="E10">
        <v>26.486792217582501</v>
      </c>
      <c r="F10">
        <v>2.5262316453292399</v>
      </c>
      <c r="G10">
        <v>-418.70262609160142</v>
      </c>
      <c r="H10">
        <v>-363.42423668884612</v>
      </c>
      <c r="I10">
        <v>54.560913391654999</v>
      </c>
      <c r="J10">
        <v>31.7629432094283</v>
      </c>
      <c r="K10">
        <v>10.4847044674442</v>
      </c>
      <c r="L10">
        <v>2.9533314551927928E-5</v>
      </c>
      <c r="M10">
        <v>1.805243298935975E-6</v>
      </c>
      <c r="N10" s="1">
        <v>-3.5802668099701301E-7</v>
      </c>
      <c r="O10" s="1">
        <v>9.8343959602432006E-11</v>
      </c>
      <c r="P10" s="1">
        <v>1.24642093683734E-9</v>
      </c>
      <c r="Q10">
        <v>66.296088639532499</v>
      </c>
      <c r="S10">
        <v>19.044526166787399</v>
      </c>
      <c r="AA10">
        <v>0.24264312950563</v>
      </c>
      <c r="AB10">
        <v>5.3299030391855204</v>
      </c>
      <c r="AC10">
        <v>9.0868390249888602</v>
      </c>
      <c r="AJ10">
        <v>0.465800355013825</v>
      </c>
      <c r="AK10">
        <v>1.17181565504587E-2</v>
      </c>
      <c r="AL10">
        <v>0.52248148843571496</v>
      </c>
    </row>
    <row r="11" spans="1:38" x14ac:dyDescent="0.2">
      <c r="A11">
        <v>40</v>
      </c>
      <c r="B11">
        <v>739</v>
      </c>
      <c r="C11">
        <v>250</v>
      </c>
      <c r="D11">
        <v>0.31616904609000601</v>
      </c>
      <c r="E11">
        <v>27.679142226598</v>
      </c>
      <c r="F11">
        <v>2.52622350727296</v>
      </c>
      <c r="G11">
        <v>-437.46241808400248</v>
      </c>
      <c r="H11">
        <v>-379.79031041974173</v>
      </c>
      <c r="I11">
        <v>56.979803057116797</v>
      </c>
      <c r="J11">
        <v>33.200531234035097</v>
      </c>
      <c r="K11">
        <v>10.956727362764999</v>
      </c>
      <c r="L11">
        <v>2.9556601679956627E-5</v>
      </c>
      <c r="M11">
        <v>1.8052879244088367E-6</v>
      </c>
      <c r="N11" s="1">
        <v>-3.8594739867490301E-7</v>
      </c>
      <c r="O11" s="1">
        <v>1.02690630613795E-10</v>
      </c>
      <c r="P11" s="1">
        <v>1.3360393462322999E-9</v>
      </c>
      <c r="Q11">
        <v>66.294270857918306</v>
      </c>
      <c r="S11">
        <v>19.040378952207401</v>
      </c>
      <c r="AA11">
        <v>0.23964578950207099</v>
      </c>
      <c r="AB11">
        <v>5.3149797481276098</v>
      </c>
      <c r="AC11">
        <v>9.1107246522445706</v>
      </c>
      <c r="AJ11">
        <v>0.46453125362918901</v>
      </c>
      <c r="AK11">
        <v>1.15742782264627E-2</v>
      </c>
      <c r="AL11">
        <v>0.52389446814434704</v>
      </c>
    </row>
    <row r="12" spans="1:38" x14ac:dyDescent="0.2">
      <c r="A12">
        <v>55</v>
      </c>
      <c r="B12">
        <v>748</v>
      </c>
      <c r="C12">
        <v>225</v>
      </c>
      <c r="D12">
        <v>0.34974342652891699</v>
      </c>
      <c r="E12">
        <v>0.60663950443341197</v>
      </c>
      <c r="F12">
        <v>2.5255918826872099</v>
      </c>
      <c r="G12">
        <v>-9.6165476698113217</v>
      </c>
      <c r="H12">
        <v>-8.3329055655647437</v>
      </c>
      <c r="I12">
        <v>1.25705538289827</v>
      </c>
      <c r="J12">
        <v>0.72678891426333903</v>
      </c>
      <c r="K12">
        <v>0.240196964755822</v>
      </c>
      <c r="L12">
        <v>2.9439742213782148E-5</v>
      </c>
      <c r="M12">
        <v>1.8079291363511717E-6</v>
      </c>
      <c r="N12" s="1">
        <v>-6.4143661992085897E-9</v>
      </c>
      <c r="O12" s="1">
        <v>2.26236098374524E-12</v>
      </c>
      <c r="P12" s="1">
        <v>2.3462156987478499E-11</v>
      </c>
      <c r="Q12">
        <v>66.345127099246199</v>
      </c>
      <c r="S12">
        <v>19.094829349714299</v>
      </c>
      <c r="AA12">
        <v>0.27270131630824601</v>
      </c>
      <c r="AB12">
        <v>5.5710589512230797</v>
      </c>
      <c r="AC12">
        <v>8.7162832835080906</v>
      </c>
      <c r="AJ12">
        <v>0.48628228878904101</v>
      </c>
      <c r="AK12">
        <v>1.31537239299203E-2</v>
      </c>
      <c r="AL12">
        <v>0.50056398728103801</v>
      </c>
    </row>
    <row r="13" spans="1:38" x14ac:dyDescent="0.2">
      <c r="A13">
        <v>56</v>
      </c>
      <c r="B13">
        <v>747</v>
      </c>
      <c r="C13">
        <v>225</v>
      </c>
      <c r="D13">
        <v>0.34903739646130499</v>
      </c>
      <c r="E13">
        <v>14.6642562168451</v>
      </c>
      <c r="F13">
        <v>2.5255061196483801</v>
      </c>
      <c r="G13">
        <v>-232.38706890314182</v>
      </c>
      <c r="H13">
        <v>-201.4118077370978</v>
      </c>
      <c r="I13">
        <v>30.3634378925099</v>
      </c>
      <c r="J13">
        <v>17.568460539904802</v>
      </c>
      <c r="K13">
        <v>5.8064623572904903</v>
      </c>
      <c r="L13">
        <v>2.9434904464888899E-5</v>
      </c>
      <c r="M13">
        <v>1.8076295400971306E-6</v>
      </c>
      <c r="N13" s="1">
        <v>-1.5901063731535799E-7</v>
      </c>
      <c r="O13" s="1">
        <v>5.4672538334461002E-11</v>
      </c>
      <c r="P13" s="1">
        <v>5.7839789111604004E-10</v>
      </c>
      <c r="Q13">
        <v>66.334693768354995</v>
      </c>
      <c r="S13">
        <v>19.088136358097099</v>
      </c>
      <c r="AA13">
        <v>0.26961400482404302</v>
      </c>
      <c r="AB13">
        <v>5.5302622850722596</v>
      </c>
      <c r="AC13">
        <v>8.7772935836514794</v>
      </c>
      <c r="AJ13">
        <v>0.48282082226929901</v>
      </c>
      <c r="AK13">
        <v>1.3007489976918399E-2</v>
      </c>
      <c r="AL13">
        <v>0.50417168775378096</v>
      </c>
    </row>
    <row r="14" spans="1:38" x14ac:dyDescent="0.2">
      <c r="A14">
        <v>57</v>
      </c>
      <c r="B14">
        <v>746</v>
      </c>
      <c r="C14">
        <v>225</v>
      </c>
      <c r="D14">
        <v>0.34832998086640898</v>
      </c>
      <c r="E14">
        <v>22.1985922060565</v>
      </c>
      <c r="F14">
        <v>2.52545323154196</v>
      </c>
      <c r="G14">
        <v>-351.69220027348081</v>
      </c>
      <c r="H14">
        <v>-304.88147278400487</v>
      </c>
      <c r="I14">
        <v>45.931146042757099</v>
      </c>
      <c r="J14">
        <v>26.596899050937001</v>
      </c>
      <c r="K14">
        <v>8.7899438915773302</v>
      </c>
      <c r="L14">
        <v>2.9440430756004877E-5</v>
      </c>
      <c r="M14">
        <v>1.807482169343977E-6</v>
      </c>
      <c r="N14" s="1">
        <v>-2.47511455295745E-7</v>
      </c>
      <c r="O14" s="1">
        <v>8.2726776065937405E-11</v>
      </c>
      <c r="P14" s="1">
        <v>8.9495428977120699E-10</v>
      </c>
      <c r="Q14">
        <v>66.328331769784498</v>
      </c>
      <c r="S14">
        <v>19.082500846708701</v>
      </c>
      <c r="AA14">
        <v>0.26644913561785</v>
      </c>
      <c r="AB14">
        <v>5.5013106866035502</v>
      </c>
      <c r="AC14">
        <v>8.8214075612852394</v>
      </c>
      <c r="AJ14">
        <v>0.48036351572589198</v>
      </c>
      <c r="AK14">
        <v>1.2856683367892601E-2</v>
      </c>
      <c r="AL14">
        <v>0.506779800906214</v>
      </c>
    </row>
    <row r="15" spans="1:38" x14ac:dyDescent="0.2">
      <c r="A15">
        <v>58</v>
      </c>
      <c r="B15">
        <v>745</v>
      </c>
      <c r="C15">
        <v>225</v>
      </c>
      <c r="D15">
        <v>0.347621175661739</v>
      </c>
      <c r="E15">
        <v>25.2755847941912</v>
      </c>
      <c r="F15">
        <v>2.5254187315056802</v>
      </c>
      <c r="G15">
        <v>-400.34678536626217</v>
      </c>
      <c r="H15">
        <v>-347.13607110630585</v>
      </c>
      <c r="I15">
        <v>52.2621561262646</v>
      </c>
      <c r="J15">
        <v>30.287319415411499</v>
      </c>
      <c r="K15">
        <v>10.0084728440742</v>
      </c>
      <c r="L15">
        <v>2.9452210222480078E-5</v>
      </c>
      <c r="M15">
        <v>1.8074217297404794E-6</v>
      </c>
      <c r="N15" s="1">
        <v>-2.9022475743573901E-7</v>
      </c>
      <c r="O15" s="1">
        <v>9.4143578614454195E-11</v>
      </c>
      <c r="P15" s="1">
        <v>1.0429672487080699E-9</v>
      </c>
      <c r="Q15">
        <v>66.324267320246506</v>
      </c>
      <c r="S15">
        <v>19.077467761491299</v>
      </c>
      <c r="AA15">
        <v>0.26324517251400198</v>
      </c>
      <c r="AB15">
        <v>5.4790583914920497</v>
      </c>
      <c r="AC15">
        <v>8.8559613542559905</v>
      </c>
      <c r="AJ15">
        <v>0.478474340670903</v>
      </c>
      <c r="AK15">
        <v>1.2703515734555901E-2</v>
      </c>
      <c r="AL15">
        <v>0.50882214359454003</v>
      </c>
    </row>
    <row r="16" spans="1:38" x14ac:dyDescent="0.2">
      <c r="A16">
        <v>59</v>
      </c>
      <c r="B16">
        <v>744</v>
      </c>
      <c r="C16">
        <v>225</v>
      </c>
      <c r="D16">
        <v>0.34691097674876298</v>
      </c>
      <c r="E16">
        <v>27.109789512558699</v>
      </c>
      <c r="F16">
        <v>2.5253913747819898</v>
      </c>
      <c r="G16">
        <v>-429.30262740368789</v>
      </c>
      <c r="H16">
        <v>-372.32479969222044</v>
      </c>
      <c r="I16">
        <v>56.017133865671198</v>
      </c>
      <c r="J16">
        <v>32.4900281100049</v>
      </c>
      <c r="K16">
        <v>10.734886395538901</v>
      </c>
      <c r="L16">
        <v>2.9466700320558549E-5</v>
      </c>
      <c r="M16">
        <v>1.8073930266036985E-6</v>
      </c>
      <c r="N16" s="1">
        <v>-3.20743763812013E-7</v>
      </c>
      <c r="O16" s="1">
        <v>1.00916595128157E-10</v>
      </c>
      <c r="P16" s="1">
        <v>1.14560620363238E-9</v>
      </c>
      <c r="Q16">
        <v>66.320983163301094</v>
      </c>
      <c r="S16">
        <v>19.072672671000301</v>
      </c>
      <c r="AA16">
        <v>0.26005548688698299</v>
      </c>
      <c r="AB16">
        <v>5.4591688707020598</v>
      </c>
      <c r="AC16">
        <v>8.88711980810948</v>
      </c>
      <c r="AJ16">
        <v>0.47678540380416401</v>
      </c>
      <c r="AK16">
        <v>1.25508527544588E-2</v>
      </c>
      <c r="AL16">
        <v>0.51066374344137599</v>
      </c>
    </row>
    <row r="17" spans="1:38" x14ac:dyDescent="0.2">
      <c r="A17">
        <v>60</v>
      </c>
      <c r="B17">
        <v>743</v>
      </c>
      <c r="C17">
        <v>225</v>
      </c>
      <c r="D17">
        <v>0.34619938001279399</v>
      </c>
      <c r="E17">
        <v>28.171238218207701</v>
      </c>
      <c r="F17">
        <v>2.52536860963431</v>
      </c>
      <c r="G17">
        <v>-446.01376837239866</v>
      </c>
      <c r="H17">
        <v>-386.90260463116721</v>
      </c>
      <c r="I17">
        <v>58.171690932668803</v>
      </c>
      <c r="J17">
        <v>33.767737192396801</v>
      </c>
      <c r="K17">
        <v>11.155297531906401</v>
      </c>
      <c r="L17">
        <v>2.9483146070980366E-5</v>
      </c>
      <c r="M17">
        <v>1.8073839320056755E-6</v>
      </c>
      <c r="N17" s="1">
        <v>-3.4354015859854398E-7</v>
      </c>
      <c r="O17" s="1">
        <v>1.0480252270055401E-10</v>
      </c>
      <c r="P17" s="1">
        <v>1.2196201746798199E-9</v>
      </c>
      <c r="Q17">
        <v>66.318145271692998</v>
      </c>
      <c r="S17">
        <v>19.068032796791901</v>
      </c>
      <c r="AA17">
        <v>0.25688972636682</v>
      </c>
      <c r="AB17">
        <v>5.4406807479529196</v>
      </c>
      <c r="AC17">
        <v>8.9162514571952993</v>
      </c>
      <c r="AJ17">
        <v>0.47521516517004497</v>
      </c>
      <c r="AK17">
        <v>1.2399225977426299E-2</v>
      </c>
      <c r="AL17">
        <v>0.51238560885252804</v>
      </c>
    </row>
    <row r="18" spans="1:38" x14ac:dyDescent="0.2">
      <c r="A18">
        <v>80</v>
      </c>
      <c r="B18">
        <v>752</v>
      </c>
      <c r="C18">
        <v>200</v>
      </c>
      <c r="D18">
        <v>0.37937911525142798</v>
      </c>
      <c r="E18">
        <v>12.115025724819599</v>
      </c>
      <c r="F18">
        <v>2.5249180572087702</v>
      </c>
      <c r="G18">
        <v>-192.41022782722001</v>
      </c>
      <c r="H18">
        <v>-166.59297136943113</v>
      </c>
      <c r="I18">
        <v>25.183881829770101</v>
      </c>
      <c r="J18">
        <v>14.512243733752699</v>
      </c>
      <c r="K18">
        <v>4.7981857035837603</v>
      </c>
      <c r="L18">
        <v>2.9420284879119378E-5</v>
      </c>
      <c r="M18">
        <v>1.8104576891913018E-6</v>
      </c>
      <c r="N18" s="1">
        <v>-1.12850547168667E-7</v>
      </c>
      <c r="O18" s="1">
        <v>4.5245646796791398E-11</v>
      </c>
      <c r="P18" s="1">
        <v>4.2486864710514402E-10</v>
      </c>
      <c r="Q18">
        <v>66.376064202463397</v>
      </c>
      <c r="S18">
        <v>19.128324818352301</v>
      </c>
      <c r="AA18">
        <v>0.29311667080232801</v>
      </c>
      <c r="AB18">
        <v>5.7278133527040902</v>
      </c>
      <c r="AC18">
        <v>8.4746809556777194</v>
      </c>
      <c r="AJ18">
        <v>0.49956903474521402</v>
      </c>
      <c r="AK18">
        <v>1.41272608233975E-2</v>
      </c>
      <c r="AL18">
        <v>0.48630370443138698</v>
      </c>
    </row>
    <row r="19" spans="1:38" x14ac:dyDescent="0.2">
      <c r="A19">
        <v>81</v>
      </c>
      <c r="B19">
        <v>751</v>
      </c>
      <c r="C19">
        <v>200</v>
      </c>
      <c r="D19">
        <v>0.378704779573308</v>
      </c>
      <c r="E19">
        <v>21.1332170891482</v>
      </c>
      <c r="F19">
        <v>2.5247680020617498</v>
      </c>
      <c r="G19">
        <v>-335.50660083609108</v>
      </c>
      <c r="H19">
        <v>-290.55305001485095</v>
      </c>
      <c r="I19">
        <v>43.893522258692599</v>
      </c>
      <c r="J19">
        <v>25.311384605226799</v>
      </c>
      <c r="K19">
        <v>8.3703599981822503</v>
      </c>
      <c r="L19">
        <v>2.9399881065167355E-5</v>
      </c>
      <c r="M19">
        <v>1.8099453701693524E-6</v>
      </c>
      <c r="N19" s="1">
        <v>-2.0110721032758001E-7</v>
      </c>
      <c r="O19" s="1">
        <v>7.8924271433241404E-11</v>
      </c>
      <c r="P19" s="1">
        <v>7.5320152724345198E-10</v>
      </c>
      <c r="Q19">
        <v>66.360477341471196</v>
      </c>
      <c r="S19">
        <v>19.1195990403418</v>
      </c>
      <c r="AA19">
        <v>0.28955479552531499</v>
      </c>
      <c r="AB19">
        <v>5.6702031072338901</v>
      </c>
      <c r="AC19">
        <v>8.56016571542769</v>
      </c>
      <c r="AJ19">
        <v>0.49468830495423199</v>
      </c>
      <c r="AK19">
        <v>1.3959651614378401E-2</v>
      </c>
      <c r="AL19">
        <v>0.491352043431389</v>
      </c>
    </row>
    <row r="20" spans="1:38" x14ac:dyDescent="0.2">
      <c r="A20">
        <v>82</v>
      </c>
      <c r="B20">
        <v>750</v>
      </c>
      <c r="C20">
        <v>200</v>
      </c>
      <c r="D20">
        <v>0.37802912573913899</v>
      </c>
      <c r="E20">
        <v>24.856200843007102</v>
      </c>
      <c r="F20">
        <v>2.5246879817533299</v>
      </c>
      <c r="G20">
        <v>-394.49776689528943</v>
      </c>
      <c r="H20">
        <v>-341.71513453062909</v>
      </c>
      <c r="I20">
        <v>51.5883617892394</v>
      </c>
      <c r="J20">
        <v>29.7706667171216</v>
      </c>
      <c r="K20">
        <v>9.8452565317577001</v>
      </c>
      <c r="L20">
        <v>2.9398252259229498E-5</v>
      </c>
      <c r="M20">
        <v>1.8097231721439289E-6</v>
      </c>
      <c r="N20" s="1">
        <v>-2.4289561345811502E-7</v>
      </c>
      <c r="O20" s="1">
        <v>9.2801954308289797E-11</v>
      </c>
      <c r="P20" s="1">
        <v>9.0405043509379904E-10</v>
      </c>
      <c r="Q20">
        <v>66.3525896023949</v>
      </c>
      <c r="S20">
        <v>19.1130846686113</v>
      </c>
      <c r="AA20">
        <v>0.28602086822699702</v>
      </c>
      <c r="AB20">
        <v>5.6355474312082503</v>
      </c>
      <c r="AC20">
        <v>8.6127574295585205</v>
      </c>
      <c r="AJ20">
        <v>0.49175092843398499</v>
      </c>
      <c r="AK20">
        <v>1.3791693281701401E-2</v>
      </c>
      <c r="AL20">
        <v>0.49445737828431202</v>
      </c>
    </row>
    <row r="21" spans="1:38" x14ac:dyDescent="0.2">
      <c r="A21">
        <v>83</v>
      </c>
      <c r="B21">
        <v>749</v>
      </c>
      <c r="C21">
        <v>200</v>
      </c>
      <c r="D21">
        <v>0.37735214988015597</v>
      </c>
      <c r="E21">
        <v>26.777928528837901</v>
      </c>
      <c r="F21">
        <v>2.5246337918928798</v>
      </c>
      <c r="G21">
        <v>-424.8903443442278</v>
      </c>
      <c r="H21">
        <v>-368.12185411969517</v>
      </c>
      <c r="I21">
        <v>55.538316513752797</v>
      </c>
      <c r="J21">
        <v>32.074487633395798</v>
      </c>
      <c r="K21">
        <v>10.6066585240312</v>
      </c>
      <c r="L21">
        <v>2.9403951654526378E-5</v>
      </c>
      <c r="M21">
        <v>1.809608334207195E-6</v>
      </c>
      <c r="N21" s="1">
        <v>-2.6922489989389098E-7</v>
      </c>
      <c r="O21" s="1">
        <v>9.99375516171549E-11</v>
      </c>
      <c r="P21" s="1">
        <v>9.9552842700178193E-10</v>
      </c>
      <c r="Q21">
        <v>66.347511294747804</v>
      </c>
      <c r="S21">
        <v>19.107400719287501</v>
      </c>
      <c r="AA21">
        <v>0.28251650550042101</v>
      </c>
      <c r="AB21">
        <v>5.6093294827886302</v>
      </c>
      <c r="AC21">
        <v>8.6532419976755701</v>
      </c>
      <c r="AJ21">
        <v>0.48952804950023399</v>
      </c>
      <c r="AK21">
        <v>1.3624521139601199E-2</v>
      </c>
      <c r="AL21">
        <v>0.49684742936016402</v>
      </c>
    </row>
    <row r="22" spans="1:38" x14ac:dyDescent="0.2">
      <c r="A22">
        <v>84</v>
      </c>
      <c r="B22">
        <v>748</v>
      </c>
      <c r="C22">
        <v>200</v>
      </c>
      <c r="D22">
        <v>0.37667384811242399</v>
      </c>
      <c r="E22">
        <v>28.1775187038903</v>
      </c>
      <c r="F22">
        <v>2.5245887525846</v>
      </c>
      <c r="G22">
        <v>-446.98998833493482</v>
      </c>
      <c r="H22">
        <v>-387.35355047482312</v>
      </c>
      <c r="I22">
        <v>58.401251393146701</v>
      </c>
      <c r="J22">
        <v>33.753955410091997</v>
      </c>
      <c r="K22">
        <v>11.161231180739</v>
      </c>
      <c r="L22">
        <v>2.9412421784931799E-5</v>
      </c>
      <c r="M22">
        <v>1.809528510469794E-6</v>
      </c>
      <c r="N22" s="1">
        <v>-2.9165070369506698E-7</v>
      </c>
      <c r="O22" s="1">
        <v>1.0511444795948599E-10</v>
      </c>
      <c r="P22" s="1">
        <v>1.07143728310457E-9</v>
      </c>
      <c r="Q22">
        <v>66.343288747140704</v>
      </c>
      <c r="S22">
        <v>19.102015995622502</v>
      </c>
      <c r="AA22">
        <v>0.27905932709984699</v>
      </c>
      <c r="AB22">
        <v>5.5858030087007799</v>
      </c>
      <c r="AC22">
        <v>8.6898329214359809</v>
      </c>
      <c r="AJ22">
        <v>0.487532867915489</v>
      </c>
      <c r="AK22">
        <v>1.3459397428898999E-2</v>
      </c>
      <c r="AL22">
        <v>0.49900773465561099</v>
      </c>
    </row>
    <row r="23" spans="1:38" x14ac:dyDescent="0.2">
      <c r="A23">
        <v>107</v>
      </c>
      <c r="B23">
        <v>758</v>
      </c>
      <c r="C23">
        <v>175</v>
      </c>
      <c r="D23">
        <v>0.41006691557969399</v>
      </c>
      <c r="E23">
        <v>0.63548742992201801</v>
      </c>
      <c r="F23">
        <v>2.5247961373060499</v>
      </c>
      <c r="G23">
        <v>-10.121112503534881</v>
      </c>
      <c r="H23">
        <v>-8.7522331639139352</v>
      </c>
      <c r="I23">
        <v>1.32752687739023</v>
      </c>
      <c r="J23">
        <v>0.76159062937480504</v>
      </c>
      <c r="K23">
        <v>0.25169851162719198</v>
      </c>
      <c r="L23">
        <v>2.9479271497547561E-5</v>
      </c>
      <c r="M23">
        <v>1.8143937853152616E-6</v>
      </c>
      <c r="N23" s="1">
        <v>-5.0330854728429701E-9</v>
      </c>
      <c r="O23" s="1">
        <v>2.37471727902026E-12</v>
      </c>
      <c r="P23" s="1">
        <v>1.9745755589168001E-11</v>
      </c>
      <c r="Q23">
        <v>66.443381361810395</v>
      </c>
      <c r="S23">
        <v>19.187167772444798</v>
      </c>
      <c r="AA23">
        <v>0.32595517158320297</v>
      </c>
      <c r="AB23">
        <v>6.0320904871663101</v>
      </c>
      <c r="AC23">
        <v>8.0114052069951498</v>
      </c>
      <c r="AJ23">
        <v>0.52530013881785997</v>
      </c>
      <c r="AK23">
        <v>1.56858599841736E-2</v>
      </c>
      <c r="AL23">
        <v>0.45901400119796498</v>
      </c>
    </row>
    <row r="24" spans="1:38" x14ac:dyDescent="0.2">
      <c r="A24">
        <v>108</v>
      </c>
      <c r="B24">
        <v>757</v>
      </c>
      <c r="C24">
        <v>175</v>
      </c>
      <c r="D24">
        <v>0.40942629714119499</v>
      </c>
      <c r="E24">
        <v>17.9892513983818</v>
      </c>
      <c r="F24">
        <v>2.5242979789934799</v>
      </c>
      <c r="G24">
        <v>-286.28344425507646</v>
      </c>
      <c r="H24">
        <v>-247.61855871266567</v>
      </c>
      <c r="I24">
        <v>37.533257819162998</v>
      </c>
      <c r="J24">
        <v>21.54415129641</v>
      </c>
      <c r="K24">
        <v>7.1264373493475901</v>
      </c>
      <c r="L24">
        <v>2.9388077442876714E-5</v>
      </c>
      <c r="M24">
        <v>1.8127693437551016E-6</v>
      </c>
      <c r="N24" s="1">
        <v>-1.42659342534229E-7</v>
      </c>
      <c r="O24" s="1">
        <v>6.7291454316861001E-11</v>
      </c>
      <c r="P24" s="1">
        <v>5.59194830537533E-10</v>
      </c>
      <c r="Q24">
        <v>66.400034342652503</v>
      </c>
      <c r="S24">
        <v>19.1676921040272</v>
      </c>
      <c r="AA24">
        <v>0.32000198005257402</v>
      </c>
      <c r="AB24">
        <v>5.8844359823809604</v>
      </c>
      <c r="AC24">
        <v>8.2278355908866008</v>
      </c>
      <c r="AJ24">
        <v>0.51282353920080403</v>
      </c>
      <c r="AK24">
        <v>1.54108489972405E-2</v>
      </c>
      <c r="AL24">
        <v>0.47176561180195498</v>
      </c>
    </row>
    <row r="25" spans="1:38" x14ac:dyDescent="0.2">
      <c r="A25">
        <v>109</v>
      </c>
      <c r="B25">
        <v>756</v>
      </c>
      <c r="C25">
        <v>175</v>
      </c>
      <c r="D25">
        <v>0.40878443375601398</v>
      </c>
      <c r="E25">
        <v>23.3617710137516</v>
      </c>
      <c r="F25">
        <v>2.5241208295241302</v>
      </c>
      <c r="G25">
        <v>-371.63622122958606</v>
      </c>
      <c r="H25">
        <v>-321.51437882011027</v>
      </c>
      <c r="I25">
        <v>48.702174036317103</v>
      </c>
      <c r="J25">
        <v>27.9737096061579</v>
      </c>
      <c r="K25">
        <v>9.2554091470161204</v>
      </c>
      <c r="L25">
        <v>2.9365292397560341E-5</v>
      </c>
      <c r="M25">
        <v>1.8122518488929648E-6</v>
      </c>
      <c r="N25" s="1">
        <v>-1.89217994528883E-7</v>
      </c>
      <c r="O25" s="1">
        <v>8.7394621550684203E-11</v>
      </c>
      <c r="P25" s="1">
        <v>7.3745928981408702E-10</v>
      </c>
      <c r="Q25">
        <v>66.385133233010293</v>
      </c>
      <c r="S25">
        <v>19.158075406954101</v>
      </c>
      <c r="AA25">
        <v>0.31554507672392001</v>
      </c>
      <c r="AB25">
        <v>5.8260182368756004</v>
      </c>
      <c r="AC25">
        <v>8.3152280464360295</v>
      </c>
      <c r="AJ25">
        <v>0.50788221034643599</v>
      </c>
      <c r="AK25">
        <v>1.52006920272122E-2</v>
      </c>
      <c r="AL25">
        <v>0.47691709762635098</v>
      </c>
    </row>
    <row r="26" spans="1:38" x14ac:dyDescent="0.2">
      <c r="A26">
        <v>110</v>
      </c>
      <c r="B26">
        <v>755</v>
      </c>
      <c r="C26">
        <v>175</v>
      </c>
      <c r="D26">
        <v>0.40814132179156798</v>
      </c>
      <c r="E26">
        <v>26.084601689023</v>
      </c>
      <c r="F26">
        <v>2.52401229739232</v>
      </c>
      <c r="G26">
        <v>-414.82263796351435</v>
      </c>
      <c r="H26">
        <v>-358.95493843096898</v>
      </c>
      <c r="I26">
        <v>54.338082509891898</v>
      </c>
      <c r="J26">
        <v>31.232609102930301</v>
      </c>
      <c r="K26">
        <v>10.3345778924977</v>
      </c>
      <c r="L26">
        <v>2.9357938697246212E-5</v>
      </c>
      <c r="M26">
        <v>1.8119780410415182E-6</v>
      </c>
      <c r="N26" s="1">
        <v>-2.16740968017789E-7</v>
      </c>
      <c r="O26" s="1">
        <v>9.7566392302825798E-11</v>
      </c>
      <c r="P26" s="1">
        <v>8.3907488343097799E-10</v>
      </c>
      <c r="Q26">
        <v>66.376508250571504</v>
      </c>
      <c r="S26">
        <v>19.1506156787656</v>
      </c>
      <c r="AA26">
        <v>0.31140324632792499</v>
      </c>
      <c r="AB26">
        <v>5.7872412786869498</v>
      </c>
      <c r="AC26">
        <v>8.3742315456479304</v>
      </c>
      <c r="AJ26">
        <v>0.50460062236005399</v>
      </c>
      <c r="AK26">
        <v>1.5004105829832699E-2</v>
      </c>
      <c r="AL26">
        <v>0.48039527181011199</v>
      </c>
    </row>
    <row r="27" spans="1:38" x14ac:dyDescent="0.2">
      <c r="A27">
        <v>111</v>
      </c>
      <c r="B27">
        <v>754</v>
      </c>
      <c r="C27">
        <v>175</v>
      </c>
      <c r="D27">
        <v>0.40749695760112897</v>
      </c>
      <c r="E27">
        <v>27.654179887999799</v>
      </c>
      <c r="F27">
        <v>2.5239347889836798</v>
      </c>
      <c r="G27">
        <v>-439.66485328613572</v>
      </c>
      <c r="H27">
        <v>-380.53464328362782</v>
      </c>
      <c r="I27">
        <v>57.567258922755101</v>
      </c>
      <c r="J27">
        <v>33.112322671009899</v>
      </c>
      <c r="K27">
        <v>10.956772737831001</v>
      </c>
      <c r="L27">
        <v>2.9357906519229491E-5</v>
      </c>
      <c r="M27">
        <v>1.8118153559314576E-6</v>
      </c>
      <c r="N27" s="1">
        <v>-2.3621020611595299E-7</v>
      </c>
      <c r="O27" s="1">
        <v>1.03410967212452E-10</v>
      </c>
      <c r="P27" s="1">
        <v>9.0799786569728303E-10</v>
      </c>
      <c r="Q27">
        <v>66.370720836773401</v>
      </c>
      <c r="S27">
        <v>19.144146256252</v>
      </c>
      <c r="AA27">
        <v>0.30741632040344402</v>
      </c>
      <c r="AB27">
        <v>5.7573839051450797</v>
      </c>
      <c r="AC27">
        <v>8.4203326814259096</v>
      </c>
      <c r="AJ27">
        <v>0.502073007322553</v>
      </c>
      <c r="AK27">
        <v>1.481424061383E-2</v>
      </c>
      <c r="AL27">
        <v>0.48311275206361598</v>
      </c>
    </row>
    <row r="28" spans="1:38" x14ac:dyDescent="0.2">
      <c r="A28">
        <v>112</v>
      </c>
      <c r="B28">
        <v>753</v>
      </c>
      <c r="C28">
        <v>175</v>
      </c>
      <c r="D28">
        <v>0.40685133752375702</v>
      </c>
      <c r="E28">
        <v>28.876653277732199</v>
      </c>
      <c r="F28">
        <v>2.5238687444554602</v>
      </c>
      <c r="G28">
        <v>-458.98258709554381</v>
      </c>
      <c r="H28">
        <v>-397.34118633480938</v>
      </c>
      <c r="I28">
        <v>60.070555728435799</v>
      </c>
      <c r="J28">
        <v>34.577259520301602</v>
      </c>
      <c r="K28">
        <v>11.4414243376045</v>
      </c>
      <c r="L28">
        <v>2.9360652758261157E-5</v>
      </c>
      <c r="M28">
        <v>1.8116901106517945E-6</v>
      </c>
      <c r="N28" s="1">
        <v>-2.53723528912378E-7</v>
      </c>
      <c r="O28" s="1">
        <v>1.07949771013084E-10</v>
      </c>
      <c r="P28" s="1">
        <v>9.6841570382984802E-10</v>
      </c>
      <c r="Q28">
        <v>66.365829812998996</v>
      </c>
      <c r="S28">
        <v>19.138049348711501</v>
      </c>
      <c r="AA28">
        <v>0.303527562788309</v>
      </c>
      <c r="AB28">
        <v>5.7305006851402096</v>
      </c>
      <c r="AC28">
        <v>8.4620925903609692</v>
      </c>
      <c r="AJ28">
        <v>0.49979652406619002</v>
      </c>
      <c r="AK28">
        <v>1.4628829818041301E-2</v>
      </c>
      <c r="AL28">
        <v>0.48557464611576701</v>
      </c>
    </row>
    <row r="29" spans="1:38" x14ac:dyDescent="0.2">
      <c r="A29">
        <v>141</v>
      </c>
      <c r="B29">
        <v>764</v>
      </c>
      <c r="C29">
        <v>150</v>
      </c>
      <c r="D29">
        <v>0.44039965289495597</v>
      </c>
      <c r="E29">
        <v>15.071453371434901</v>
      </c>
      <c r="F29">
        <v>2.5241429800228601</v>
      </c>
      <c r="G29">
        <v>-240.51630618459902</v>
      </c>
      <c r="H29">
        <v>-207.73144464370588</v>
      </c>
      <c r="I29">
        <v>31.610530338806399</v>
      </c>
      <c r="J29">
        <v>18.054520674369499</v>
      </c>
      <c r="K29">
        <v>5.9709190369629699</v>
      </c>
      <c r="L29">
        <v>2.9409977368922586E-5</v>
      </c>
      <c r="M29">
        <v>1.8159463089331166E-6</v>
      </c>
      <c r="N29" s="1">
        <v>-9.7250869222260694E-8</v>
      </c>
      <c r="O29" s="1">
        <v>5.6426361154900102E-11</v>
      </c>
      <c r="P29" s="1">
        <v>4.0424249057099297E-10</v>
      </c>
      <c r="Q29">
        <v>66.443820265110901</v>
      </c>
      <c r="S29">
        <v>19.230439520623101</v>
      </c>
      <c r="AA29">
        <v>0.36155239481259799</v>
      </c>
      <c r="AB29">
        <v>6.1465110731990098</v>
      </c>
      <c r="AC29">
        <v>7.8176767462541896</v>
      </c>
      <c r="AJ29">
        <v>0.53495538965385703</v>
      </c>
      <c r="AK29">
        <v>1.7388852830138E-2</v>
      </c>
      <c r="AL29">
        <v>0.447655757516004</v>
      </c>
    </row>
    <row r="30" spans="1:38" x14ac:dyDescent="0.2">
      <c r="A30">
        <v>142</v>
      </c>
      <c r="B30">
        <v>763</v>
      </c>
      <c r="C30">
        <v>150</v>
      </c>
      <c r="D30">
        <v>0.43979201853014099</v>
      </c>
      <c r="E30">
        <v>22.0871327645891</v>
      </c>
      <c r="F30">
        <v>2.5237855885204601</v>
      </c>
      <c r="G30">
        <v>-352.27952719794536</v>
      </c>
      <c r="H30">
        <v>-304.32663782221158</v>
      </c>
      <c r="I30">
        <v>46.279872002831397</v>
      </c>
      <c r="J30">
        <v>26.4483977181009</v>
      </c>
      <c r="K30">
        <v>8.7515884332857894</v>
      </c>
      <c r="L30">
        <v>2.9358659457371268E-5</v>
      </c>
      <c r="M30">
        <v>1.8149988895177585E-6</v>
      </c>
      <c r="N30" s="1">
        <v>-1.44356020937735E-7</v>
      </c>
      <c r="O30" s="1">
        <v>8.2737470413815096E-11</v>
      </c>
      <c r="P30" s="1">
        <v>5.9754790537249002E-10</v>
      </c>
      <c r="Q30">
        <v>66.419375435437502</v>
      </c>
      <c r="S30">
        <v>19.215042442504199</v>
      </c>
      <c r="AA30">
        <v>0.35455351453311601</v>
      </c>
      <c r="AB30">
        <v>6.0516716389056704</v>
      </c>
      <c r="AC30">
        <v>7.9593569686194003</v>
      </c>
      <c r="AJ30">
        <v>0.52695300470853401</v>
      </c>
      <c r="AK30">
        <v>1.7060396284829301E-2</v>
      </c>
      <c r="AL30">
        <v>0.45598659900663502</v>
      </c>
    </row>
    <row r="31" spans="1:38" x14ac:dyDescent="0.2">
      <c r="A31">
        <v>143</v>
      </c>
      <c r="B31">
        <v>762</v>
      </c>
      <c r="C31">
        <v>150</v>
      </c>
      <c r="D31">
        <v>0.439183210162781</v>
      </c>
      <c r="E31">
        <v>25.471240985788601</v>
      </c>
      <c r="F31">
        <v>2.5235898269407402</v>
      </c>
      <c r="G31">
        <v>-406.09850114664084</v>
      </c>
      <c r="H31">
        <v>-350.89630870042811</v>
      </c>
      <c r="I31">
        <v>53.327722983348004</v>
      </c>
      <c r="J31">
        <v>30.4954488026722</v>
      </c>
      <c r="K31">
        <v>10.0932571188347</v>
      </c>
      <c r="L31">
        <v>2.9336326216271571E-5</v>
      </c>
      <c r="M31">
        <v>1.8145259199971137E-6</v>
      </c>
      <c r="N31" s="1">
        <v>-1.7013681385882801E-7</v>
      </c>
      <c r="O31" s="1">
        <v>9.5426818560453806E-11</v>
      </c>
      <c r="P31" s="1">
        <v>6.9959313063755602E-10</v>
      </c>
      <c r="Q31">
        <v>66.406604659181895</v>
      </c>
      <c r="S31">
        <v>19.2047143831035</v>
      </c>
      <c r="AA31">
        <v>0.34901264582819602</v>
      </c>
      <c r="AB31">
        <v>5.9961362983035498</v>
      </c>
      <c r="AC31">
        <v>8.0435320135827109</v>
      </c>
      <c r="AJ31">
        <v>0.522263492575465</v>
      </c>
      <c r="AK31">
        <v>1.67984853864807E-2</v>
      </c>
      <c r="AL31">
        <v>0.46093802203805401</v>
      </c>
    </row>
    <row r="32" spans="1:38" x14ac:dyDescent="0.2">
      <c r="A32">
        <v>144</v>
      </c>
      <c r="B32">
        <v>761</v>
      </c>
      <c r="C32">
        <v>150</v>
      </c>
      <c r="D32">
        <v>0.43857322438717999</v>
      </c>
      <c r="E32">
        <v>27.400633121534899</v>
      </c>
      <c r="F32">
        <v>2.5234579613718502</v>
      </c>
      <c r="G32">
        <v>-436.72223360406321</v>
      </c>
      <c r="H32">
        <v>-377.43963577854856</v>
      </c>
      <c r="I32">
        <v>57.324950757157701</v>
      </c>
      <c r="J32">
        <v>32.802770976414998</v>
      </c>
      <c r="K32">
        <v>10.858367185415201</v>
      </c>
      <c r="L32">
        <v>2.9326003432893598E-5</v>
      </c>
      <c r="M32">
        <v>1.814245570066255E-6</v>
      </c>
      <c r="N32" s="1">
        <v>-1.8773796759341399E-7</v>
      </c>
      <c r="O32" s="1">
        <v>1.02650943112626E-10</v>
      </c>
      <c r="P32" s="1">
        <v>7.6614369748177802E-10</v>
      </c>
      <c r="Q32">
        <v>66.398591210293901</v>
      </c>
      <c r="S32">
        <v>19.1964178830668</v>
      </c>
      <c r="AA32">
        <v>0.344037777095686</v>
      </c>
      <c r="AB32">
        <v>5.9565284036556001</v>
      </c>
      <c r="AC32">
        <v>8.1044247258879505</v>
      </c>
      <c r="AJ32">
        <v>0.51891733105916404</v>
      </c>
      <c r="AK32">
        <v>1.65623470976488E-2</v>
      </c>
      <c r="AL32">
        <v>0.46452032184318598</v>
      </c>
    </row>
    <row r="33" spans="1:38" x14ac:dyDescent="0.2">
      <c r="A33">
        <v>145</v>
      </c>
      <c r="B33">
        <v>760</v>
      </c>
      <c r="C33">
        <v>150</v>
      </c>
      <c r="D33">
        <v>0.43796205778444602</v>
      </c>
      <c r="E33">
        <v>28.800651213468399</v>
      </c>
      <c r="F33">
        <v>2.5233494898609798</v>
      </c>
      <c r="G33">
        <v>-458.90306401297295</v>
      </c>
      <c r="H33">
        <v>-396.69610652263822</v>
      </c>
      <c r="I33">
        <v>60.210964032652299</v>
      </c>
      <c r="J33">
        <v>34.477229952081601</v>
      </c>
      <c r="K33">
        <v>11.4136592371337</v>
      </c>
      <c r="L33">
        <v>2.9320070087726208E-5</v>
      </c>
      <c r="M33">
        <v>1.8140316831248477E-6</v>
      </c>
      <c r="N33" s="1">
        <v>-2.0266692570049801E-7</v>
      </c>
      <c r="O33" s="1">
        <v>1.07883936145731E-10</v>
      </c>
      <c r="P33" s="1">
        <v>8.2064979790461098E-10</v>
      </c>
      <c r="Q33">
        <v>66.392159374093694</v>
      </c>
      <c r="S33">
        <v>19.1888765663493</v>
      </c>
      <c r="AA33">
        <v>0.339316894635319</v>
      </c>
      <c r="AB33">
        <v>5.9224248593318096</v>
      </c>
      <c r="AC33">
        <v>8.1572223055897801</v>
      </c>
      <c r="AJ33">
        <v>0.51603512223616299</v>
      </c>
      <c r="AK33">
        <v>1.6337890320566099E-2</v>
      </c>
      <c r="AL33">
        <v>0.46762698744327003</v>
      </c>
    </row>
    <row r="34" spans="1:38" x14ac:dyDescent="0.2">
      <c r="A34">
        <v>179</v>
      </c>
      <c r="B34">
        <v>773</v>
      </c>
      <c r="C34">
        <v>125</v>
      </c>
      <c r="D34">
        <v>0.472102948907902</v>
      </c>
      <c r="E34">
        <v>8.9277721071190701</v>
      </c>
      <c r="F34">
        <v>2.5248368785788098</v>
      </c>
      <c r="G34">
        <v>-142.99568845883479</v>
      </c>
      <c r="H34">
        <v>-123.27340022565456</v>
      </c>
      <c r="I34">
        <v>18.8522565914833</v>
      </c>
      <c r="J34">
        <v>10.705213002253201</v>
      </c>
      <c r="K34">
        <v>3.5359797628369298</v>
      </c>
      <c r="L34">
        <v>2.9507513804887922E-5</v>
      </c>
      <c r="M34">
        <v>1.8201120679515341E-6</v>
      </c>
      <c r="N34" s="1">
        <v>-4.49272706400411E-8</v>
      </c>
      <c r="O34" s="1">
        <v>3.3404770995195202E-11</v>
      </c>
      <c r="P34" s="1">
        <v>2.02729356386158E-10</v>
      </c>
      <c r="Q34">
        <v>66.500920192421802</v>
      </c>
      <c r="S34">
        <v>19.330724512246299</v>
      </c>
      <c r="AA34">
        <v>0.43096505230590298</v>
      </c>
      <c r="AB34">
        <v>6.5366653431139099</v>
      </c>
      <c r="AC34">
        <v>7.20072489991197</v>
      </c>
      <c r="AJ34">
        <v>0.56779511182622699</v>
      </c>
      <c r="AK34">
        <v>2.0686558351799101E-2</v>
      </c>
      <c r="AL34">
        <v>0.41151832982197201</v>
      </c>
    </row>
    <row r="35" spans="1:38" x14ac:dyDescent="0.2">
      <c r="A35">
        <v>180</v>
      </c>
      <c r="B35">
        <v>772</v>
      </c>
      <c r="C35">
        <v>125</v>
      </c>
      <c r="D35">
        <v>0.47153088073482102</v>
      </c>
      <c r="E35">
        <v>19.479690178607498</v>
      </c>
      <c r="F35">
        <v>2.5240103033837502</v>
      </c>
      <c r="G35">
        <v>-311.72256237685571</v>
      </c>
      <c r="H35">
        <v>-268.78573571072911</v>
      </c>
      <c r="I35">
        <v>41.081975473498098</v>
      </c>
      <c r="J35">
        <v>23.339004191940099</v>
      </c>
      <c r="K35">
        <v>7.71775382711097</v>
      </c>
      <c r="L35">
        <v>2.9402808145781845E-5</v>
      </c>
      <c r="M35">
        <v>1.8183243906171888E-6</v>
      </c>
      <c r="N35" s="1">
        <v>-9.7538792658204406E-8</v>
      </c>
      <c r="O35" s="1">
        <v>7.29927122543367E-11</v>
      </c>
      <c r="P35" s="1">
        <v>4.4066183497637E-10</v>
      </c>
      <c r="Q35">
        <v>66.460336849685405</v>
      </c>
      <c r="S35">
        <v>19.2998039512023</v>
      </c>
      <c r="AA35">
        <v>0.41492484106112998</v>
      </c>
      <c r="AB35">
        <v>6.3651652690937599</v>
      </c>
      <c r="AC35">
        <v>7.4597690889572901</v>
      </c>
      <c r="AJ35">
        <v>0.55337548133209702</v>
      </c>
      <c r="AK35">
        <v>1.99338164489192E-2</v>
      </c>
      <c r="AL35">
        <v>0.42669070221898298</v>
      </c>
    </row>
    <row r="36" spans="1:38" x14ac:dyDescent="0.2">
      <c r="A36">
        <v>181</v>
      </c>
      <c r="B36">
        <v>771</v>
      </c>
      <c r="C36">
        <v>125</v>
      </c>
      <c r="D36">
        <v>0.47095771680314102</v>
      </c>
      <c r="E36">
        <v>24.305232248344101</v>
      </c>
      <c r="F36">
        <v>2.5236023342486398</v>
      </c>
      <c r="G36">
        <v>-388.73021657650628</v>
      </c>
      <c r="H36">
        <v>-335.25855704067936</v>
      </c>
      <c r="I36">
        <v>51.210706829312699</v>
      </c>
      <c r="J36">
        <v>29.109263138715999</v>
      </c>
      <c r="K36">
        <v>9.6311657024919199</v>
      </c>
      <c r="L36">
        <v>2.9353733486501972E-5</v>
      </c>
      <c r="M36">
        <v>1.8174558210739723E-6</v>
      </c>
      <c r="N36" s="1">
        <v>-1.2336414484949801E-7</v>
      </c>
      <c r="O36" s="1">
        <v>9.1129925056387599E-11</v>
      </c>
      <c r="P36" s="1">
        <v>5.5451045867224304E-10</v>
      </c>
      <c r="Q36">
        <v>66.439918158191702</v>
      </c>
      <c r="S36">
        <v>19.2823612620451</v>
      </c>
      <c r="AA36">
        <v>0.405298866426202</v>
      </c>
      <c r="AB36">
        <v>6.2739350325766603</v>
      </c>
      <c r="AC36">
        <v>7.59848668076022</v>
      </c>
      <c r="AJ36">
        <v>0.54569475588531602</v>
      </c>
      <c r="AK36">
        <v>1.9480313529663101E-2</v>
      </c>
      <c r="AL36">
        <v>0.43482493058501998</v>
      </c>
    </row>
    <row r="37" spans="1:38" x14ac:dyDescent="0.2">
      <c r="A37">
        <v>182</v>
      </c>
      <c r="B37">
        <v>770</v>
      </c>
      <c r="C37">
        <v>125</v>
      </c>
      <c r="D37">
        <v>0.47038345396155901</v>
      </c>
      <c r="E37">
        <v>26.959879018151</v>
      </c>
      <c r="F37">
        <v>2.5233497577519999</v>
      </c>
      <c r="G37">
        <v>-431.01286163526652</v>
      </c>
      <c r="H37">
        <v>-371.80559750884333</v>
      </c>
      <c r="I37">
        <v>56.758149955828998</v>
      </c>
      <c r="J37">
        <v>32.281532748160402</v>
      </c>
      <c r="K37">
        <v>10.6841625641975</v>
      </c>
      <c r="L37">
        <v>2.9326948487912364E-5</v>
      </c>
      <c r="M37">
        <v>1.816954701590529E-6</v>
      </c>
      <c r="N37" s="1">
        <v>-1.39755667699959E-7</v>
      </c>
      <c r="O37" s="1">
        <v>1.01110908451764E-10</v>
      </c>
      <c r="P37" s="1">
        <v>6.2346345624954298E-10</v>
      </c>
      <c r="Q37">
        <v>66.427853444793399</v>
      </c>
      <c r="S37">
        <v>19.269946418500101</v>
      </c>
      <c r="AA37">
        <v>0.39787162932006298</v>
      </c>
      <c r="AB37">
        <v>6.21450233925958</v>
      </c>
      <c r="AC37">
        <v>7.6898261681267801</v>
      </c>
      <c r="AJ37">
        <v>0.54068729869747301</v>
      </c>
      <c r="AK37">
        <v>1.9129057586252701E-2</v>
      </c>
      <c r="AL37">
        <v>0.440183643716273</v>
      </c>
    </row>
    <row r="38" spans="1:38" x14ac:dyDescent="0.2">
      <c r="A38">
        <v>183</v>
      </c>
      <c r="B38">
        <v>769</v>
      </c>
      <c r="C38">
        <v>125</v>
      </c>
      <c r="D38">
        <v>0.46980808904668597</v>
      </c>
      <c r="E38">
        <v>28.5926807601763</v>
      </c>
      <c r="F38">
        <v>2.5231698459458101</v>
      </c>
      <c r="G38">
        <v>-456.96233380279023</v>
      </c>
      <c r="H38">
        <v>-394.27606078112495</v>
      </c>
      <c r="I38">
        <v>60.150912077594498</v>
      </c>
      <c r="J38">
        <v>34.231988816744902</v>
      </c>
      <c r="K38">
        <v>11.3320475853492</v>
      </c>
      <c r="L38">
        <v>2.9311058448072379E-5</v>
      </c>
      <c r="M38">
        <v>1.8166307360033602E-6</v>
      </c>
      <c r="N38" s="1">
        <v>-1.5192883806171001E-7</v>
      </c>
      <c r="O38" s="1">
        <v>1.07246336076988E-10</v>
      </c>
      <c r="P38" s="1">
        <v>6.7193763704862598E-10</v>
      </c>
      <c r="Q38">
        <v>66.419856694653802</v>
      </c>
      <c r="S38">
        <v>19.259900235690299</v>
      </c>
      <c r="AA38">
        <v>0.391449357959754</v>
      </c>
      <c r="AB38">
        <v>6.1703446360134597</v>
      </c>
      <c r="AC38">
        <v>7.7584490756825497</v>
      </c>
      <c r="AJ38">
        <v>0.53696489238549405</v>
      </c>
      <c r="AK38">
        <v>1.88244738146808E-2</v>
      </c>
      <c r="AL38">
        <v>0.44421063379982501</v>
      </c>
    </row>
    <row r="39" spans="1:38" x14ac:dyDescent="0.2">
      <c r="A39">
        <v>184</v>
      </c>
      <c r="B39">
        <v>768</v>
      </c>
      <c r="C39">
        <v>125</v>
      </c>
      <c r="D39">
        <v>0.46923161888296799</v>
      </c>
      <c r="E39">
        <v>29.725063159639799</v>
      </c>
      <c r="F39">
        <v>2.52302551604298</v>
      </c>
      <c r="G39">
        <v>-474.91495339577068</v>
      </c>
      <c r="H39">
        <v>-409.85500774606044</v>
      </c>
      <c r="I39">
        <v>62.488542140623501</v>
      </c>
      <c r="J39">
        <v>35.584384944609099</v>
      </c>
      <c r="K39">
        <v>11.781515078079501</v>
      </c>
      <c r="L39">
        <v>2.930059385595795E-5</v>
      </c>
      <c r="M39">
        <v>1.8163922745937926E-6</v>
      </c>
      <c r="N39" s="1">
        <v>-1.6217682820498999E-7</v>
      </c>
      <c r="O39" s="1">
        <v>1.11496454456001E-10</v>
      </c>
      <c r="P39" s="1">
        <v>7.1078875826859201E-10</v>
      </c>
      <c r="Q39">
        <v>66.413793151766995</v>
      </c>
      <c r="S39">
        <v>19.251026576401198</v>
      </c>
      <c r="AA39">
        <v>0.38554334302600102</v>
      </c>
      <c r="AB39">
        <v>6.1335689043236101</v>
      </c>
      <c r="AC39">
        <v>7.8160680244820702</v>
      </c>
      <c r="AJ39">
        <v>0.53386351304896196</v>
      </c>
      <c r="AK39">
        <v>1.85438963262731E-2</v>
      </c>
      <c r="AL39">
        <v>0.44759259062476398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E365A-7EB7-4CD6-B18E-52842CE19AA8}">
  <sheetPr codeName="Sheet12"/>
  <dimension ref="A1:AL20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10</v>
      </c>
      <c r="B2">
        <v>747</v>
      </c>
      <c r="C2">
        <v>275</v>
      </c>
      <c r="D2">
        <v>0.29512375631034898</v>
      </c>
      <c r="E2">
        <v>1.2316562491168701</v>
      </c>
      <c r="F2">
        <v>2.5766875071729101</v>
      </c>
      <c r="G2">
        <v>-19.93873600383009</v>
      </c>
      <c r="H2">
        <v>-17.307697775376266</v>
      </c>
      <c r="I2">
        <v>2.5790699685868002</v>
      </c>
      <c r="J2">
        <v>1.5143244475459401</v>
      </c>
      <c r="K2">
        <v>0.477999852790925</v>
      </c>
      <c r="L2">
        <v>3.2252543207576673E-5</v>
      </c>
      <c r="M2">
        <v>1.8169158820649805E-6</v>
      </c>
      <c r="N2" s="1">
        <v>-2.61174983447968E-8</v>
      </c>
      <c r="O2" s="1">
        <v>4.1542244276326701E-12</v>
      </c>
      <c r="P2" s="1">
        <v>8.6117225177301695E-11</v>
      </c>
      <c r="Q2">
        <v>65.386630804055301</v>
      </c>
      <c r="S2">
        <v>21.378785909502501</v>
      </c>
      <c r="AA2">
        <v>2.3806408709771398</v>
      </c>
      <c r="AB2">
        <v>9.4227904060024894</v>
      </c>
      <c r="AC2">
        <v>1.4311520094625201</v>
      </c>
      <c r="AJ2">
        <v>0.80675089857382098</v>
      </c>
      <c r="AK2">
        <v>0.112632727838619</v>
      </c>
      <c r="AL2">
        <v>8.0616373587559506E-2</v>
      </c>
    </row>
    <row r="3" spans="1:38" x14ac:dyDescent="0.2">
      <c r="A3">
        <v>11</v>
      </c>
      <c r="B3">
        <v>746</v>
      </c>
      <c r="C3">
        <v>275</v>
      </c>
      <c r="D3">
        <v>0.29436344012167098</v>
      </c>
      <c r="E3">
        <v>2.6845757046924699</v>
      </c>
      <c r="F3">
        <v>2.5752993951473</v>
      </c>
      <c r="G3">
        <v>-43.439853027777502</v>
      </c>
      <c r="H3">
        <v>-37.713040985859614</v>
      </c>
      <c r="I3">
        <v>5.6192042799567101</v>
      </c>
      <c r="J3">
        <v>3.30233330450258</v>
      </c>
      <c r="K3">
        <v>1.04243246814373</v>
      </c>
      <c r="L3">
        <v>3.2344842438453531E-5</v>
      </c>
      <c r="M3">
        <v>1.81956666310958E-6</v>
      </c>
      <c r="N3" s="1">
        <v>-5.8745958580558197E-8</v>
      </c>
      <c r="O3" s="1">
        <v>9.06518224483311E-12</v>
      </c>
      <c r="P3" s="1">
        <v>1.92883168167574E-10</v>
      </c>
      <c r="Q3">
        <v>65.507177748273904</v>
      </c>
      <c r="S3">
        <v>21.275922691705599</v>
      </c>
      <c r="AA3">
        <v>2.2676496816084799</v>
      </c>
      <c r="AB3">
        <v>9.4217535091395792</v>
      </c>
      <c r="AC3">
        <v>1.52749636927234</v>
      </c>
      <c r="AJ3">
        <v>0.80666821962824498</v>
      </c>
      <c r="AK3">
        <v>0.107287706863508</v>
      </c>
      <c r="AL3">
        <v>8.6044073508245195E-2</v>
      </c>
    </row>
    <row r="4" spans="1:38" x14ac:dyDescent="0.2">
      <c r="A4">
        <v>12</v>
      </c>
      <c r="B4">
        <v>745</v>
      </c>
      <c r="C4">
        <v>275</v>
      </c>
      <c r="D4">
        <v>0.29360163040809401</v>
      </c>
      <c r="E4">
        <v>4.2053629041518601</v>
      </c>
      <c r="F4">
        <v>2.57386290430343</v>
      </c>
      <c r="G4">
        <v>-68.015177942441198</v>
      </c>
      <c r="H4">
        <v>-59.056759725541717</v>
      </c>
      <c r="I4">
        <v>8.7987214230707398</v>
      </c>
      <c r="J4">
        <v>5.1754454107684502</v>
      </c>
      <c r="K4">
        <v>1.6338721449074001</v>
      </c>
      <c r="L4">
        <v>3.2430153929614876E-5</v>
      </c>
      <c r="M4">
        <v>1.822049018237283E-6</v>
      </c>
      <c r="N4" s="1">
        <v>-9.4870893551001495E-8</v>
      </c>
      <c r="O4" s="1">
        <v>1.42173789104468E-11</v>
      </c>
      <c r="P4" s="1">
        <v>3.1023764703539899E-10</v>
      </c>
      <c r="Q4">
        <v>65.623370679049899</v>
      </c>
      <c r="S4">
        <v>21.1733709633152</v>
      </c>
      <c r="AA4">
        <v>2.1559314237032199</v>
      </c>
      <c r="AB4">
        <v>9.4118305367480204</v>
      </c>
      <c r="AC4">
        <v>1.6354963971836201</v>
      </c>
      <c r="AJ4">
        <v>0.80586019842175505</v>
      </c>
      <c r="AK4">
        <v>0.10200732064495301</v>
      </c>
      <c r="AL4">
        <v>9.2132480933291502E-2</v>
      </c>
    </row>
    <row r="5" spans="1:38" x14ac:dyDescent="0.2">
      <c r="A5">
        <v>13</v>
      </c>
      <c r="B5">
        <v>744</v>
      </c>
      <c r="C5">
        <v>275</v>
      </c>
      <c r="D5">
        <v>0.29283832276459099</v>
      </c>
      <c r="E5">
        <v>5.8085412706840804</v>
      </c>
      <c r="F5">
        <v>2.5723593847213202</v>
      </c>
      <c r="G5">
        <v>-93.894544930325821</v>
      </c>
      <c r="H5">
        <v>-81.538622203218964</v>
      </c>
      <c r="I5">
        <v>12.1475915323274</v>
      </c>
      <c r="J5">
        <v>7.1513495773891096</v>
      </c>
      <c r="K5">
        <v>2.2580597816868901</v>
      </c>
      <c r="L5">
        <v>3.2506907919259411E-5</v>
      </c>
      <c r="M5">
        <v>1.8243462402199114E-6</v>
      </c>
      <c r="N5" s="1">
        <v>-1.3492848555632501E-7</v>
      </c>
      <c r="O5" s="1">
        <v>1.9662120434112401E-11</v>
      </c>
      <c r="P5" s="1">
        <v>4.3954308792138598E-10</v>
      </c>
      <c r="Q5">
        <v>65.735175592565497</v>
      </c>
      <c r="S5">
        <v>21.070495724639301</v>
      </c>
      <c r="AA5">
        <v>2.0449701503396098</v>
      </c>
      <c r="AB5">
        <v>9.3912809788952103</v>
      </c>
      <c r="AC5">
        <v>1.7580775535603399</v>
      </c>
      <c r="AJ5">
        <v>0.80418452282038499</v>
      </c>
      <c r="AK5">
        <v>9.6767303563540505E-2</v>
      </c>
      <c r="AL5">
        <v>9.9048173616073903E-2</v>
      </c>
    </row>
    <row r="6" spans="1:38" x14ac:dyDescent="0.2">
      <c r="A6">
        <v>14</v>
      </c>
      <c r="B6">
        <v>743</v>
      </c>
      <c r="C6">
        <v>275</v>
      </c>
      <c r="D6">
        <v>0.29207351276878402</v>
      </c>
      <c r="E6">
        <v>7.5160932405628902</v>
      </c>
      <c r="F6">
        <v>2.57076057529118</v>
      </c>
      <c r="G6">
        <v>-121.42606960922933</v>
      </c>
      <c r="H6">
        <v>-105.46109359927348</v>
      </c>
      <c r="I6">
        <v>15.7112394921574</v>
      </c>
      <c r="J6">
        <v>9.2567689976584902</v>
      </c>
      <c r="K6">
        <v>2.9236846530181202</v>
      </c>
      <c r="L6">
        <v>3.2572860093713996E-5</v>
      </c>
      <c r="M6">
        <v>1.8264364116440485E-6</v>
      </c>
      <c r="N6" s="1">
        <v>-1.79509121104084E-7</v>
      </c>
      <c r="O6" s="1">
        <v>2.5477743012864001E-11</v>
      </c>
      <c r="P6" s="1">
        <v>5.8266529802022496E-10</v>
      </c>
      <c r="Q6">
        <v>65.842657897679601</v>
      </c>
      <c r="S6">
        <v>20.966280374452701</v>
      </c>
      <c r="AA6">
        <v>1.9339118928346799</v>
      </c>
      <c r="AB6">
        <v>9.3575854434371806</v>
      </c>
      <c r="AC6">
        <v>1.8995643915957099</v>
      </c>
      <c r="AJ6">
        <v>0.80143490986803101</v>
      </c>
      <c r="AK6">
        <v>9.15275693542143E-2</v>
      </c>
      <c r="AL6">
        <v>0.107037520777754</v>
      </c>
    </row>
    <row r="7" spans="1:38" x14ac:dyDescent="0.2">
      <c r="A7">
        <v>15</v>
      </c>
      <c r="B7">
        <v>742</v>
      </c>
      <c r="C7">
        <v>275</v>
      </c>
      <c r="D7">
        <v>0.291307195980888</v>
      </c>
      <c r="E7">
        <v>9.3639236317847008</v>
      </c>
      <c r="F7">
        <v>2.56902127271072</v>
      </c>
      <c r="G7">
        <v>-151.1787393451167</v>
      </c>
      <c r="H7">
        <v>-131.31840182191178</v>
      </c>
      <c r="I7">
        <v>19.563943775013399</v>
      </c>
      <c r="J7">
        <v>11.5352929145005</v>
      </c>
      <c r="K7">
        <v>3.6449381448306402</v>
      </c>
      <c r="L7">
        <v>3.2624547436033928E-5</v>
      </c>
      <c r="M7">
        <v>1.8282875780978988E-6</v>
      </c>
      <c r="N7" s="1">
        <v>-2.29485480154525E-7</v>
      </c>
      <c r="O7" s="1">
        <v>3.1793069559970102E-11</v>
      </c>
      <c r="P7" s="1">
        <v>7.4239502040914502E-10</v>
      </c>
      <c r="Q7">
        <v>65.946029450626497</v>
      </c>
      <c r="S7">
        <v>20.859046831667801</v>
      </c>
      <c r="AA7">
        <v>1.8213227833530401</v>
      </c>
      <c r="AB7">
        <v>9.3068167328959905</v>
      </c>
      <c r="AC7">
        <v>2.0667842014564899</v>
      </c>
      <c r="AJ7">
        <v>0.79728940180241403</v>
      </c>
      <c r="AK7">
        <v>8.6220897609194005E-2</v>
      </c>
      <c r="AL7">
        <v>0.116489700588391</v>
      </c>
    </row>
    <row r="8" spans="1:38" x14ac:dyDescent="0.2">
      <c r="A8">
        <v>16</v>
      </c>
      <c r="B8">
        <v>741</v>
      </c>
      <c r="C8">
        <v>275</v>
      </c>
      <c r="D8">
        <v>0.29053936794360102</v>
      </c>
      <c r="E8">
        <v>11.416696719500299</v>
      </c>
      <c r="F8">
        <v>2.56706312381993</v>
      </c>
      <c r="G8">
        <v>-184.17785546850979</v>
      </c>
      <c r="H8">
        <v>-160.00094026085466</v>
      </c>
      <c r="I8">
        <v>23.839585078790201</v>
      </c>
      <c r="J8">
        <v>14.0653461778878</v>
      </c>
      <c r="K8">
        <v>4.4473766981279601</v>
      </c>
      <c r="L8">
        <v>3.2656062235941207E-5</v>
      </c>
      <c r="M8">
        <v>1.8298465561217021E-6</v>
      </c>
      <c r="N8" s="1">
        <v>-2.8630319141238598E-7</v>
      </c>
      <c r="O8" s="1">
        <v>3.8841299481684E-11</v>
      </c>
      <c r="P8" s="1">
        <v>9.2340597732377996E-10</v>
      </c>
      <c r="Q8">
        <v>66.045734954628699</v>
      </c>
      <c r="S8">
        <v>20.745841721273599</v>
      </c>
      <c r="AA8">
        <v>1.7046624918528499</v>
      </c>
      <c r="AB8">
        <v>9.2322231880022798</v>
      </c>
      <c r="AC8">
        <v>2.2715376442425099</v>
      </c>
      <c r="AJ8">
        <v>0.79119383083971295</v>
      </c>
      <c r="AK8">
        <v>8.0728297385412803E-2</v>
      </c>
      <c r="AL8">
        <v>0.12807787177487301</v>
      </c>
    </row>
    <row r="9" spans="1:38" x14ac:dyDescent="0.2">
      <c r="A9">
        <v>17</v>
      </c>
      <c r="B9">
        <v>740</v>
      </c>
      <c r="C9">
        <v>275</v>
      </c>
      <c r="D9">
        <v>0.28977002418201098</v>
      </c>
      <c r="E9">
        <v>13.808615950677799</v>
      </c>
      <c r="F9">
        <v>2.5647322782886</v>
      </c>
      <c r="G9">
        <v>-222.55195546546017</v>
      </c>
      <c r="H9">
        <v>-193.35689328826601</v>
      </c>
      <c r="I9">
        <v>28.8161300668155</v>
      </c>
      <c r="J9">
        <v>17.009546434795698</v>
      </c>
      <c r="K9">
        <v>5.3840379627818296</v>
      </c>
      <c r="L9">
        <v>3.2655781763532576E-5</v>
      </c>
      <c r="M9">
        <v>1.8310082652979427E-6</v>
      </c>
      <c r="N9" s="1">
        <v>-3.5276504785739601E-7</v>
      </c>
      <c r="O9" s="1">
        <v>4.71082864165832E-11</v>
      </c>
      <c r="P9" s="1">
        <v>1.1348459597049301E-9</v>
      </c>
      <c r="Q9">
        <v>66.142629981109906</v>
      </c>
      <c r="S9">
        <v>20.6208438435172</v>
      </c>
      <c r="AA9">
        <v>1.5789288330383999</v>
      </c>
      <c r="AB9">
        <v>9.1204503718408496</v>
      </c>
      <c r="AC9">
        <v>2.5371469704935299</v>
      </c>
      <c r="AJ9">
        <v>0.78205074686945797</v>
      </c>
      <c r="AK9">
        <v>7.48155712746299E-2</v>
      </c>
      <c r="AL9">
        <v>0.14313368185591099</v>
      </c>
    </row>
    <row r="10" spans="1:38" x14ac:dyDescent="0.2">
      <c r="A10">
        <v>18</v>
      </c>
      <c r="B10">
        <v>739</v>
      </c>
      <c r="C10">
        <v>275</v>
      </c>
      <c r="D10">
        <v>0.28899916020352701</v>
      </c>
      <c r="E10">
        <v>16.992445613762101</v>
      </c>
      <c r="F10">
        <v>2.5645049888611302</v>
      </c>
      <c r="G10">
        <v>-273.79711463773833</v>
      </c>
      <c r="H10">
        <v>-237.92761467795151</v>
      </c>
      <c r="I10">
        <v>35.4389171168175</v>
      </c>
      <c r="J10">
        <v>20.9419402554072</v>
      </c>
      <c r="K10">
        <v>6.6260138652755298</v>
      </c>
      <c r="L10">
        <v>3.2709707810193548E-5</v>
      </c>
      <c r="M10">
        <v>1.8312819431515301E-6</v>
      </c>
      <c r="N10" s="1">
        <v>-4.4717807918508202E-7</v>
      </c>
      <c r="O10" s="1">
        <v>5.7890321466778198E-11</v>
      </c>
      <c r="P10" s="1">
        <v>1.4335619311039601E-9</v>
      </c>
      <c r="Q10">
        <v>66.151322800743699</v>
      </c>
      <c r="S10">
        <v>20.606231218440701</v>
      </c>
      <c r="AA10">
        <v>1.5648449171059</v>
      </c>
      <c r="AB10">
        <v>9.1015129578954905</v>
      </c>
      <c r="AC10">
        <v>2.5760881058141001</v>
      </c>
      <c r="AJ10">
        <v>0.78050052408192405</v>
      </c>
      <c r="AK10">
        <v>7.4155215472030106E-2</v>
      </c>
      <c r="AL10">
        <v>0.14534426044604501</v>
      </c>
    </row>
    <row r="11" spans="1:38" x14ac:dyDescent="0.2">
      <c r="A11">
        <v>18</v>
      </c>
      <c r="B11">
        <v>739</v>
      </c>
      <c r="C11">
        <v>275</v>
      </c>
      <c r="D11">
        <v>0.28899916020352701</v>
      </c>
      <c r="E11">
        <v>5.9561951687654098</v>
      </c>
      <c r="F11">
        <v>2.52691219378206</v>
      </c>
      <c r="G11">
        <v>-94.002076988524379</v>
      </c>
      <c r="H11">
        <v>-81.605081911183149</v>
      </c>
      <c r="I11">
        <v>12.2481796940584</v>
      </c>
      <c r="J11">
        <v>7.1369732773386296</v>
      </c>
      <c r="K11">
        <v>2.3571041302589402</v>
      </c>
      <c r="L11">
        <v>2.9435864342476124E-5</v>
      </c>
      <c r="M11">
        <v>1.8014681786374774E-6</v>
      </c>
      <c r="N11" s="1">
        <v>-8.15899438149253E-8</v>
      </c>
      <c r="O11" s="1">
        <v>2.21356397343265E-11</v>
      </c>
      <c r="P11" s="1">
        <v>2.83202528103367E-10</v>
      </c>
      <c r="Q11">
        <v>66.232860276449699</v>
      </c>
      <c r="S11">
        <v>19.021857490754201</v>
      </c>
      <c r="AA11">
        <v>0.23869471380789201</v>
      </c>
      <c r="AB11">
        <v>5.1295731408750997</v>
      </c>
      <c r="AC11">
        <v>9.3770143781129605</v>
      </c>
      <c r="AJ11">
        <v>0.44874760258051999</v>
      </c>
      <c r="AK11">
        <v>1.15391682615164E-2</v>
      </c>
      <c r="AL11">
        <v>0.53971322915796305</v>
      </c>
    </row>
    <row r="12" spans="1:38" x14ac:dyDescent="0.2">
      <c r="A12">
        <v>19</v>
      </c>
      <c r="B12">
        <v>738</v>
      </c>
      <c r="C12">
        <v>275</v>
      </c>
      <c r="D12">
        <v>0.28822677149780002</v>
      </c>
      <c r="E12">
        <v>23.288808475788201</v>
      </c>
      <c r="F12">
        <v>2.5653381117659899</v>
      </c>
      <c r="G12">
        <v>-375.26866625353864</v>
      </c>
      <c r="H12">
        <v>-326.18686119832017</v>
      </c>
      <c r="I12">
        <v>48.540577614813301</v>
      </c>
      <c r="J12">
        <v>28.722469801066801</v>
      </c>
      <c r="K12">
        <v>9.0782608222180894</v>
      </c>
      <c r="L12">
        <v>3.2772476238811818E-5</v>
      </c>
      <c r="M12">
        <v>1.8306653814962626E-6</v>
      </c>
      <c r="N12" s="1">
        <v>-6.3346303989965595E-7</v>
      </c>
      <c r="O12" s="1">
        <v>7.9068964398751799E-11</v>
      </c>
      <c r="P12" s="1">
        <v>2.0232949574341301E-9</v>
      </c>
      <c r="Q12">
        <v>66.100673882367502</v>
      </c>
      <c r="S12">
        <v>20.652690913901299</v>
      </c>
      <c r="AA12">
        <v>1.6149928742581301</v>
      </c>
      <c r="AB12">
        <v>9.1104446908032006</v>
      </c>
      <c r="AC12">
        <v>2.5211976386697001</v>
      </c>
      <c r="AJ12">
        <v>0.78123098618855102</v>
      </c>
      <c r="AK12">
        <v>7.6528162447135506E-2</v>
      </c>
      <c r="AL12">
        <v>0.142240851364313</v>
      </c>
    </row>
    <row r="13" spans="1:38" x14ac:dyDescent="0.2">
      <c r="A13">
        <v>19</v>
      </c>
      <c r="B13">
        <v>738</v>
      </c>
      <c r="C13">
        <v>275</v>
      </c>
      <c r="D13">
        <v>0.28822677149780002</v>
      </c>
      <c r="E13">
        <v>20.427846869014299</v>
      </c>
      <c r="F13">
        <v>2.5268395175306102</v>
      </c>
      <c r="G13">
        <v>-322.27488439418096</v>
      </c>
      <c r="H13">
        <v>-279.83602055544918</v>
      </c>
      <c r="I13">
        <v>41.970888432707099</v>
      </c>
      <c r="J13">
        <v>24.4759134712858</v>
      </c>
      <c r="K13">
        <v>8.0843467609599795</v>
      </c>
      <c r="L13">
        <v>2.942145940777931E-5</v>
      </c>
      <c r="M13">
        <v>1.8009696945313744E-6</v>
      </c>
      <c r="N13" s="1">
        <v>-2.85860405207759E-7</v>
      </c>
      <c r="O13" s="1">
        <v>7.5898751759046004E-11</v>
      </c>
      <c r="P13" s="1">
        <v>9.8819148143802998E-10</v>
      </c>
      <c r="Q13">
        <v>66.215330359698399</v>
      </c>
      <c r="S13">
        <v>19.0150956137207</v>
      </c>
      <c r="AA13">
        <v>0.23720646244375601</v>
      </c>
      <c r="AB13">
        <v>5.0727815215639804</v>
      </c>
      <c r="AC13">
        <v>9.4595860425730702</v>
      </c>
      <c r="AJ13">
        <v>0.44390701605202998</v>
      </c>
      <c r="AK13">
        <v>1.1470521363202301E-2</v>
      </c>
      <c r="AL13">
        <v>0.54462246258476599</v>
      </c>
    </row>
    <row r="14" spans="1:38" x14ac:dyDescent="0.2">
      <c r="A14">
        <v>20</v>
      </c>
      <c r="B14">
        <v>737</v>
      </c>
      <c r="C14">
        <v>275</v>
      </c>
      <c r="D14">
        <v>0.28745285353660599</v>
      </c>
      <c r="E14">
        <v>24.7089024435193</v>
      </c>
      <c r="F14">
        <v>2.56615789143595</v>
      </c>
      <c r="G14">
        <v>-398.16920998927708</v>
      </c>
      <c r="H14">
        <v>-346.17827731828913</v>
      </c>
      <c r="I14">
        <v>51.4685271207127</v>
      </c>
      <c r="J14">
        <v>30.496312295262801</v>
      </c>
      <c r="K14">
        <v>9.62875375906542</v>
      </c>
      <c r="L14">
        <v>3.2836230726507983E-5</v>
      </c>
      <c r="M14">
        <v>1.8300330302313158E-6</v>
      </c>
      <c r="N14" s="1">
        <v>-6.9456394898385595E-7</v>
      </c>
      <c r="O14" s="1">
        <v>8.3598178767577295E-11</v>
      </c>
      <c r="P14" s="1">
        <v>2.2105043378976399E-9</v>
      </c>
      <c r="Q14">
        <v>66.0496669474594</v>
      </c>
      <c r="S14">
        <v>20.698891200909301</v>
      </c>
      <c r="AA14">
        <v>1.66501035504414</v>
      </c>
      <c r="AB14">
        <v>9.1178985300813906</v>
      </c>
      <c r="AC14">
        <v>2.4685329665057099</v>
      </c>
      <c r="AJ14">
        <v>0.78184039430713903</v>
      </c>
      <c r="AK14">
        <v>7.8895290415180896E-2</v>
      </c>
      <c r="AL14">
        <v>0.13926431527767899</v>
      </c>
    </row>
    <row r="15" spans="1:38" x14ac:dyDescent="0.2">
      <c r="A15">
        <v>20</v>
      </c>
      <c r="B15">
        <v>737</v>
      </c>
      <c r="C15">
        <v>275</v>
      </c>
      <c r="D15">
        <v>0.28745285353660599</v>
      </c>
      <c r="E15">
        <v>25.0812914928783</v>
      </c>
      <c r="F15">
        <v>2.5267751996631902</v>
      </c>
      <c r="G15">
        <v>-395.54152585760568</v>
      </c>
      <c r="H15">
        <v>-343.53158585777999</v>
      </c>
      <c r="I15">
        <v>51.487343463669298</v>
      </c>
      <c r="J15">
        <v>30.0499622227955</v>
      </c>
      <c r="K15">
        <v>9.9262061366683803</v>
      </c>
      <c r="L15">
        <v>2.9408790646636459E-5</v>
      </c>
      <c r="M15">
        <v>1.8004933826077388E-6</v>
      </c>
      <c r="N15" s="1">
        <v>-3.5864796999350997E-7</v>
      </c>
      <c r="O15" s="1">
        <v>9.3161583466373096E-11</v>
      </c>
      <c r="P15" s="1">
        <v>1.23476836550079E-9</v>
      </c>
      <c r="Q15">
        <v>66.1982743333445</v>
      </c>
      <c r="S15">
        <v>19.008529213640699</v>
      </c>
      <c r="AA15">
        <v>0.23576890572206899</v>
      </c>
      <c r="AB15">
        <v>5.0175584098418602</v>
      </c>
      <c r="AC15">
        <v>9.5398691374508093</v>
      </c>
      <c r="AJ15">
        <v>0.43919744801337102</v>
      </c>
      <c r="AK15">
        <v>1.14041964322034E-2</v>
      </c>
      <c r="AL15">
        <v>0.54939835555442496</v>
      </c>
    </row>
    <row r="16" spans="1:38" x14ac:dyDescent="0.2">
      <c r="A16">
        <v>21</v>
      </c>
      <c r="B16">
        <v>736</v>
      </c>
      <c r="C16">
        <v>275</v>
      </c>
      <c r="D16">
        <v>0.28667740177377199</v>
      </c>
      <c r="E16">
        <v>25.089828149413702</v>
      </c>
      <c r="F16">
        <v>2.5669651311350101</v>
      </c>
      <c r="G16">
        <v>-404.32297658096081</v>
      </c>
      <c r="H16">
        <v>-351.61577624636635</v>
      </c>
      <c r="I16">
        <v>52.229302219287902</v>
      </c>
      <c r="J16">
        <v>30.989696792173199</v>
      </c>
      <c r="K16">
        <v>9.7741211382641495</v>
      </c>
      <c r="L16">
        <v>3.2901120261441351E-5</v>
      </c>
      <c r="M16">
        <v>1.8293866717018566E-6</v>
      </c>
      <c r="N16" s="1">
        <v>-7.2875221352808596E-7</v>
      </c>
      <c r="O16" s="1">
        <v>8.4586336726978596E-11</v>
      </c>
      <c r="P16" s="1">
        <v>2.3112007855312602E-9</v>
      </c>
      <c r="Q16">
        <v>65.998334645642998</v>
      </c>
      <c r="S16">
        <v>20.744845505486399</v>
      </c>
      <c r="AA16">
        <v>1.7149008177260601</v>
      </c>
      <c r="AB16">
        <v>9.1239824317278995</v>
      </c>
      <c r="AC16">
        <v>2.4179365994164801</v>
      </c>
      <c r="AJ16">
        <v>0.78233761311781103</v>
      </c>
      <c r="AK16">
        <v>8.12567724687452E-2</v>
      </c>
      <c r="AL16">
        <v>0.13640561441344301</v>
      </c>
    </row>
    <row r="17" spans="1:38" x14ac:dyDescent="0.2">
      <c r="A17">
        <v>21</v>
      </c>
      <c r="B17">
        <v>736</v>
      </c>
      <c r="C17">
        <v>275</v>
      </c>
      <c r="D17">
        <v>0.28667740177377199</v>
      </c>
      <c r="E17">
        <v>27.533601719753101</v>
      </c>
      <c r="F17">
        <v>2.5267186202506702</v>
      </c>
      <c r="G17">
        <v>-434.05655976143873</v>
      </c>
      <c r="H17">
        <v>-377.06687135379423</v>
      </c>
      <c r="I17">
        <v>56.472960816176403</v>
      </c>
      <c r="J17">
        <v>32.986875640009202</v>
      </c>
      <c r="K17">
        <v>10.896979782031099</v>
      </c>
      <c r="L17">
        <v>2.9397801980034949E-5</v>
      </c>
      <c r="M17">
        <v>1.8000379687355488E-6</v>
      </c>
      <c r="N17" s="1">
        <v>-4.0242049874702099E-7</v>
      </c>
      <c r="O17" s="1">
        <v>1.0223776231292901E-10</v>
      </c>
      <c r="P17" s="1">
        <v>1.37985349280744E-9</v>
      </c>
      <c r="Q17">
        <v>66.181663831659904</v>
      </c>
      <c r="S17">
        <v>19.002143360592999</v>
      </c>
      <c r="AA17">
        <v>0.23437634505982899</v>
      </c>
      <c r="AB17">
        <v>4.9638014534754404</v>
      </c>
      <c r="AC17">
        <v>9.6180150092116605</v>
      </c>
      <c r="AJ17">
        <v>0.43461038479937603</v>
      </c>
      <c r="AK17">
        <v>1.13399271679197E-2</v>
      </c>
      <c r="AL17">
        <v>0.55404968803270405</v>
      </c>
    </row>
    <row r="18" spans="1:38" x14ac:dyDescent="0.2">
      <c r="A18">
        <v>22</v>
      </c>
      <c r="B18">
        <v>735</v>
      </c>
      <c r="C18">
        <v>275</v>
      </c>
      <c r="D18">
        <v>0.285900411645091</v>
      </c>
      <c r="E18">
        <v>24.943449559647</v>
      </c>
      <c r="F18">
        <v>2.5677605575336599</v>
      </c>
      <c r="G18">
        <v>-401.97706982294369</v>
      </c>
      <c r="H18">
        <v>-349.66231235162917</v>
      </c>
      <c r="I18">
        <v>51.891838983598198</v>
      </c>
      <c r="J18">
        <v>30.8325075225215</v>
      </c>
      <c r="K18">
        <v>9.7140870422923093</v>
      </c>
      <c r="L18">
        <v>3.2967286898475678E-5</v>
      </c>
      <c r="M18">
        <v>1.8287279339391092E-6</v>
      </c>
      <c r="N18" s="1">
        <v>-7.4851903663346601E-7</v>
      </c>
      <c r="O18" s="1">
        <v>8.37898853747817E-11</v>
      </c>
      <c r="P18" s="1">
        <v>2.36578401275072E-9</v>
      </c>
      <c r="Q18">
        <v>65.946706319653998</v>
      </c>
      <c r="S18">
        <v>20.790565786516702</v>
      </c>
      <c r="AA18">
        <v>1.76466728177937</v>
      </c>
      <c r="AB18">
        <v>9.1287931362244201</v>
      </c>
      <c r="AC18">
        <v>2.3692674758254499</v>
      </c>
      <c r="AJ18">
        <v>0.78273058222473901</v>
      </c>
      <c r="AK18">
        <v>8.3612760242478198E-2</v>
      </c>
      <c r="AL18">
        <v>0.133656657532782</v>
      </c>
    </row>
    <row r="19" spans="1:38" x14ac:dyDescent="0.2">
      <c r="A19">
        <v>22</v>
      </c>
      <c r="B19">
        <v>735</v>
      </c>
      <c r="C19">
        <v>275</v>
      </c>
      <c r="D19">
        <v>0.285900411645091</v>
      </c>
      <c r="E19">
        <v>28.830075843838401</v>
      </c>
      <c r="F19">
        <v>2.5266692282066501</v>
      </c>
      <c r="G19">
        <v>-454.33145383405866</v>
      </c>
      <c r="H19">
        <v>-394.76836732967826</v>
      </c>
      <c r="I19">
        <v>59.081571695065499</v>
      </c>
      <c r="J19">
        <v>34.539364468873799</v>
      </c>
      <c r="K19">
        <v>11.410308687022299</v>
      </c>
      <c r="L19">
        <v>2.9388445283099995E-5</v>
      </c>
      <c r="M19">
        <v>1.7996023131550874E-6</v>
      </c>
      <c r="N19" s="1">
        <v>-4.3078586194083499E-7</v>
      </c>
      <c r="O19" s="1">
        <v>1.07014394610747E-10</v>
      </c>
      <c r="P19" s="1">
        <v>1.4711534492635399E-9</v>
      </c>
      <c r="Q19">
        <v>66.165473182417003</v>
      </c>
      <c r="S19">
        <v>18.9959248768082</v>
      </c>
      <c r="AA19">
        <v>0.233023898925658</v>
      </c>
      <c r="AB19">
        <v>4.9114188960456602</v>
      </c>
      <c r="AC19">
        <v>9.6941591458033205</v>
      </c>
      <c r="AJ19">
        <v>0.43013819307173501</v>
      </c>
      <c r="AK19">
        <v>1.12774856841586E-2</v>
      </c>
      <c r="AL19">
        <v>0.55858432124410495</v>
      </c>
    </row>
    <row r="20" spans="1:38" x14ac:dyDescent="0.2">
      <c r="A20">
        <v>26</v>
      </c>
      <c r="B20">
        <v>753</v>
      </c>
      <c r="C20">
        <v>250</v>
      </c>
      <c r="D20">
        <v>0.32645373483409301</v>
      </c>
      <c r="E20">
        <v>0.62768325565324401</v>
      </c>
      <c r="F20">
        <v>2.5757327271889601</v>
      </c>
      <c r="G20">
        <v>-10.178064144012929</v>
      </c>
      <c r="H20">
        <v>-8.8245388151837112</v>
      </c>
      <c r="I20">
        <v>1.3190326256680001</v>
      </c>
      <c r="J20">
        <v>0.76955332017499101</v>
      </c>
      <c r="K20">
        <v>0.24369114428198799</v>
      </c>
      <c r="L20">
        <v>3.1918077616350055E-5</v>
      </c>
      <c r="M20">
        <v>1.8167494625983462E-6</v>
      </c>
      <c r="N20" s="1">
        <v>-1.0846388898955501E-8</v>
      </c>
      <c r="O20" s="1">
        <v>2.1353220583037901E-12</v>
      </c>
      <c r="P20" s="1">
        <v>3.6818694347151797E-11</v>
      </c>
      <c r="Q20">
        <v>65.3611494700626</v>
      </c>
      <c r="S20">
        <v>21.416135490946601</v>
      </c>
      <c r="AA20">
        <v>2.4174003790326699</v>
      </c>
      <c r="AB20">
        <v>9.4639234029868309</v>
      </c>
      <c r="AC20">
        <v>1.3413912569712401</v>
      </c>
      <c r="AJ20">
        <v>0.81010679358881699</v>
      </c>
      <c r="AK20">
        <v>0.114348489931953</v>
      </c>
      <c r="AL20">
        <v>7.5544716479229002E-2</v>
      </c>
    </row>
    <row r="21" spans="1:38" x14ac:dyDescent="0.2">
      <c r="A21">
        <v>27</v>
      </c>
      <c r="B21">
        <v>752</v>
      </c>
      <c r="C21">
        <v>250</v>
      </c>
      <c r="D21">
        <v>0.32572842998585799</v>
      </c>
      <c r="E21">
        <v>2.0244030561962099</v>
      </c>
      <c r="F21">
        <v>2.5744553630478602</v>
      </c>
      <c r="G21">
        <v>-32.812822330216186</v>
      </c>
      <c r="H21">
        <v>-28.453403047232801</v>
      </c>
      <c r="I21">
        <v>4.2524696707636798</v>
      </c>
      <c r="J21">
        <v>2.4830085009638099</v>
      </c>
      <c r="K21">
        <v>0.78634226300958199</v>
      </c>
      <c r="L21">
        <v>3.2003244239721423E-5</v>
      </c>
      <c r="M21">
        <v>1.8193401449201717E-6</v>
      </c>
      <c r="N21" s="1">
        <v>-3.6108418073932598E-8</v>
      </c>
      <c r="O21" s="1">
        <v>6.8954198029954197E-12</v>
      </c>
      <c r="P21" s="1">
        <v>1.2197007570674E-10</v>
      </c>
      <c r="Q21">
        <v>65.477530612318205</v>
      </c>
      <c r="S21">
        <v>21.3189355331744</v>
      </c>
      <c r="AA21">
        <v>2.3100534701094899</v>
      </c>
      <c r="AB21">
        <v>9.4684502122397802</v>
      </c>
      <c r="AC21">
        <v>1.4250301721579499</v>
      </c>
      <c r="AJ21">
        <v>0.81047796854492005</v>
      </c>
      <c r="AK21">
        <v>0.109268539115198</v>
      </c>
      <c r="AL21">
        <v>8.0253492339881105E-2</v>
      </c>
    </row>
    <row r="22" spans="1:38" x14ac:dyDescent="0.2">
      <c r="A22">
        <v>28</v>
      </c>
      <c r="B22">
        <v>751</v>
      </c>
      <c r="C22">
        <v>250</v>
      </c>
      <c r="D22">
        <v>0.32500170873407402</v>
      </c>
      <c r="E22">
        <v>3.4710536296312702</v>
      </c>
      <c r="F22">
        <v>2.5731518916409</v>
      </c>
      <c r="G22">
        <v>-56.236611512497547</v>
      </c>
      <c r="H22">
        <v>-48.772280691017443</v>
      </c>
      <c r="I22">
        <v>7.2883179431529497</v>
      </c>
      <c r="J22">
        <v>4.2590596618076999</v>
      </c>
      <c r="K22">
        <v>1.3489501497782801</v>
      </c>
      <c r="L22">
        <v>3.2082850260056571E-5</v>
      </c>
      <c r="M22">
        <v>1.8217750939402771E-6</v>
      </c>
      <c r="N22" s="1">
        <v>-6.3853848386429495E-8</v>
      </c>
      <c r="O22" s="1">
        <v>1.18375706888913E-11</v>
      </c>
      <c r="P22" s="1">
        <v>2.1467832145031199E-10</v>
      </c>
      <c r="Q22">
        <v>65.589355181214799</v>
      </c>
      <c r="S22">
        <v>21.222890489454901</v>
      </c>
      <c r="AA22">
        <v>2.20472259120602</v>
      </c>
      <c r="AB22">
        <v>9.4658506994136999</v>
      </c>
      <c r="AC22">
        <v>1.5171810387104201</v>
      </c>
      <c r="AJ22">
        <v>0.81026771991347202</v>
      </c>
      <c r="AK22">
        <v>0.104287829745349</v>
      </c>
      <c r="AL22">
        <v>8.5444450341177397E-2</v>
      </c>
    </row>
    <row r="23" spans="1:38" x14ac:dyDescent="0.2">
      <c r="A23">
        <v>29</v>
      </c>
      <c r="B23">
        <v>750</v>
      </c>
      <c r="C23">
        <v>250</v>
      </c>
      <c r="D23">
        <v>0.324273566925672</v>
      </c>
      <c r="E23">
        <v>4.97553633207208</v>
      </c>
      <c r="F23">
        <v>2.5718122391429401</v>
      </c>
      <c r="G23">
        <v>-80.574206135135952</v>
      </c>
      <c r="H23">
        <v>-69.889595671249509</v>
      </c>
      <c r="I23">
        <v>10.4428582943717</v>
      </c>
      <c r="J23">
        <v>6.1072902289389397</v>
      </c>
      <c r="K23">
        <v>1.9346421392450299</v>
      </c>
      <c r="L23">
        <v>3.2155997015849322E-5</v>
      </c>
      <c r="M23">
        <v>1.824043229759559E-6</v>
      </c>
      <c r="N23" s="1">
        <v>-9.4314556972482006E-8</v>
      </c>
      <c r="O23" s="1">
        <v>1.69896379451007E-11</v>
      </c>
      <c r="P23" s="1">
        <v>3.1566884438298601E-10</v>
      </c>
      <c r="Q23">
        <v>65.696528531591994</v>
      </c>
      <c r="S23">
        <v>21.127689620224199</v>
      </c>
      <c r="AA23">
        <v>2.1011734631548502</v>
      </c>
      <c r="AB23">
        <v>9.4550993086782391</v>
      </c>
      <c r="AC23">
        <v>1.61950907635053</v>
      </c>
      <c r="AJ23">
        <v>0.80939232544581696</v>
      </c>
      <c r="AK23">
        <v>9.9395262503753107E-2</v>
      </c>
      <c r="AL23">
        <v>9.1212412050429306E-2</v>
      </c>
    </row>
    <row r="24" spans="1:38" x14ac:dyDescent="0.2">
      <c r="A24">
        <v>30</v>
      </c>
      <c r="B24">
        <v>749</v>
      </c>
      <c r="C24">
        <v>250</v>
      </c>
      <c r="D24">
        <v>0.32354400039133302</v>
      </c>
      <c r="E24">
        <v>6.5489066906143298</v>
      </c>
      <c r="F24">
        <v>2.5704221271742602</v>
      </c>
      <c r="G24">
        <v>-106.00036961606288</v>
      </c>
      <c r="H24">
        <v>-91.957135059798546</v>
      </c>
      <c r="I24">
        <v>13.7389175329103</v>
      </c>
      <c r="J24">
        <v>8.04108617638685</v>
      </c>
      <c r="K24">
        <v>2.5477942402455498</v>
      </c>
      <c r="L24">
        <v>3.2221511678966181E-5</v>
      </c>
      <c r="M24">
        <v>1.8261314864782084E-6</v>
      </c>
      <c r="N24" s="1">
        <v>-1.27776945128946E-7</v>
      </c>
      <c r="O24" s="1">
        <v>2.2391023467742101E-11</v>
      </c>
      <c r="P24" s="1">
        <v>4.2584908306274599E-10</v>
      </c>
      <c r="Q24">
        <v>65.799007872957205</v>
      </c>
      <c r="S24">
        <v>21.032851102500398</v>
      </c>
      <c r="AA24">
        <v>1.9990185616387499</v>
      </c>
      <c r="AB24">
        <v>9.4348375221264806</v>
      </c>
      <c r="AC24">
        <v>1.73428494077697</v>
      </c>
      <c r="AJ24">
        <v>0.80774070792492003</v>
      </c>
      <c r="AK24">
        <v>9.45725637025044E-2</v>
      </c>
      <c r="AL24">
        <v>9.7686728372574805E-2</v>
      </c>
    </row>
    <row r="25" spans="1:38" x14ac:dyDescent="0.2">
      <c r="A25">
        <v>31</v>
      </c>
      <c r="B25">
        <v>748</v>
      </c>
      <c r="C25">
        <v>250</v>
      </c>
      <c r="D25">
        <v>0.32281300494540499</v>
      </c>
      <c r="E25">
        <v>8.2074918808734605</v>
      </c>
      <c r="F25">
        <v>2.56896079115098</v>
      </c>
      <c r="G25">
        <v>-132.77349583266502</v>
      </c>
      <c r="H25">
        <v>-115.19922908209998</v>
      </c>
      <c r="I25">
        <v>17.2102695495911</v>
      </c>
      <c r="J25">
        <v>10.080194714975001</v>
      </c>
      <c r="K25">
        <v>3.1948684889021601</v>
      </c>
      <c r="L25">
        <v>3.2277780376029418E-5</v>
      </c>
      <c r="M25">
        <v>1.8280232130435029E-6</v>
      </c>
      <c r="N25" s="1">
        <v>-1.6461690196785299E-7</v>
      </c>
      <c r="O25" s="1">
        <v>2.8100417617837201E-11</v>
      </c>
      <c r="P25" s="1">
        <v>5.4642662542313504E-10</v>
      </c>
      <c r="Q25">
        <v>65.896812883857905</v>
      </c>
      <c r="S25">
        <v>20.937636614781798</v>
      </c>
      <c r="AA25">
        <v>1.8976441721389701</v>
      </c>
      <c r="AB25">
        <v>9.4031735865410404</v>
      </c>
      <c r="AC25">
        <v>1.8647327426801901</v>
      </c>
      <c r="AJ25">
        <v>0.80515797323827198</v>
      </c>
      <c r="AK25">
        <v>8.97908775163547E-2</v>
      </c>
      <c r="AL25">
        <v>0.105051149245373</v>
      </c>
    </row>
    <row r="26" spans="1:38" x14ac:dyDescent="0.2">
      <c r="A26">
        <v>32</v>
      </c>
      <c r="B26">
        <v>747</v>
      </c>
      <c r="C26">
        <v>250</v>
      </c>
      <c r="D26">
        <v>0.32208057638582899</v>
      </c>
      <c r="E26">
        <v>9.9768484224722105</v>
      </c>
      <c r="F26">
        <v>2.5673968611732798</v>
      </c>
      <c r="G26">
        <v>-161.29846573110723</v>
      </c>
      <c r="H26">
        <v>-139.96727441245352</v>
      </c>
      <c r="I26">
        <v>20.909857686275199</v>
      </c>
      <c r="J26">
        <v>12.2555050978685</v>
      </c>
      <c r="K26">
        <v>3.8859782736950299</v>
      </c>
      <c r="L26">
        <v>3.2322438359659681E-5</v>
      </c>
      <c r="M26">
        <v>1.829695085596122E-6</v>
      </c>
      <c r="N26" s="1">
        <v>-2.0536511161073301E-7</v>
      </c>
      <c r="O26" s="1">
        <v>3.4210290672567499E-11</v>
      </c>
      <c r="P26" s="1">
        <v>6.7912987407510896E-10</v>
      </c>
      <c r="Q26">
        <v>65.990038071636306</v>
      </c>
      <c r="S26">
        <v>20.840899461148901</v>
      </c>
      <c r="AA26">
        <v>1.79608220678446</v>
      </c>
      <c r="AB26">
        <v>9.3573118940336908</v>
      </c>
      <c r="AC26">
        <v>2.01566836639656</v>
      </c>
      <c r="AJ26">
        <v>0.80141493429668698</v>
      </c>
      <c r="AK26">
        <v>8.5004775862749404E-2</v>
      </c>
      <c r="AL26">
        <v>0.113580289840562</v>
      </c>
    </row>
    <row r="27" spans="1:38" x14ac:dyDescent="0.2">
      <c r="A27">
        <v>33</v>
      </c>
      <c r="B27">
        <v>746</v>
      </c>
      <c r="C27">
        <v>250</v>
      </c>
      <c r="D27">
        <v>0.32134671049404001</v>
      </c>
      <c r="E27">
        <v>11.899865069455799</v>
      </c>
      <c r="F27">
        <v>2.5656802375123</v>
      </c>
      <c r="G27">
        <v>-192.25529502411149</v>
      </c>
      <c r="H27">
        <v>-166.85132794579474</v>
      </c>
      <c r="I27">
        <v>24.926622261999398</v>
      </c>
      <c r="J27">
        <v>14.6188318496996</v>
      </c>
      <c r="K27">
        <v>4.6380935922841102</v>
      </c>
      <c r="L27">
        <v>3.2351746005882708E-5</v>
      </c>
      <c r="M27">
        <v>1.83111073230762E-6</v>
      </c>
      <c r="N27" s="1">
        <v>-2.5083945247262899E-7</v>
      </c>
      <c r="O27" s="1">
        <v>4.0876582088968797E-11</v>
      </c>
      <c r="P27" s="1">
        <v>8.2665604259643201E-10</v>
      </c>
      <c r="Q27">
        <v>66.0788674998673</v>
      </c>
      <c r="S27">
        <v>20.7407876826407</v>
      </c>
      <c r="AA27">
        <v>1.6927618317509801</v>
      </c>
      <c r="AB27">
        <v>9.2928074692245204</v>
      </c>
      <c r="AC27">
        <v>2.19477551651639</v>
      </c>
      <c r="AJ27">
        <v>0.79614677036708104</v>
      </c>
      <c r="AK27">
        <v>8.0140647430153394E-2</v>
      </c>
      <c r="AL27">
        <v>0.123712582202764</v>
      </c>
    </row>
    <row r="28" spans="1:38" x14ac:dyDescent="0.2">
      <c r="A28">
        <v>34</v>
      </c>
      <c r="B28">
        <v>745</v>
      </c>
      <c r="C28">
        <v>250</v>
      </c>
      <c r="D28">
        <v>0.32061140303491598</v>
      </c>
      <c r="E28">
        <v>14.055558469200401</v>
      </c>
      <c r="F28">
        <v>2.5637241557900698</v>
      </c>
      <c r="G28">
        <v>-226.89745057902255</v>
      </c>
      <c r="H28">
        <v>-196.93887691866323</v>
      </c>
      <c r="I28">
        <v>29.4245186469178</v>
      </c>
      <c r="J28">
        <v>17.265594362296401</v>
      </c>
      <c r="K28">
        <v>5.4824769027730698</v>
      </c>
      <c r="L28">
        <v>3.2359181459530405E-5</v>
      </c>
      <c r="M28">
        <v>1.8322060345844765E-6</v>
      </c>
      <c r="N28" s="1">
        <v>-3.0244703518585899E-7</v>
      </c>
      <c r="O28" s="1">
        <v>4.83876270594667E-11</v>
      </c>
      <c r="P28" s="1">
        <v>9.936956430335751E-10</v>
      </c>
      <c r="Q28">
        <v>66.163586293555298</v>
      </c>
      <c r="S28">
        <v>20.634093477505001</v>
      </c>
      <c r="AA28">
        <v>1.58497004772572</v>
      </c>
      <c r="AB28">
        <v>9.2018860285618498</v>
      </c>
      <c r="AC28">
        <v>2.4154641526519698</v>
      </c>
      <c r="AJ28">
        <v>0.78871468699962899</v>
      </c>
      <c r="AK28">
        <v>7.5071471370655896E-2</v>
      </c>
      <c r="AL28">
        <v>0.13621384162971401</v>
      </c>
    </row>
    <row r="29" spans="1:38" x14ac:dyDescent="0.2">
      <c r="A29">
        <v>35</v>
      </c>
      <c r="B29">
        <v>744</v>
      </c>
      <c r="C29">
        <v>250</v>
      </c>
      <c r="D29">
        <v>0.31987464975667701</v>
      </c>
      <c r="E29">
        <v>16.6109487989774</v>
      </c>
      <c r="F29">
        <v>2.5613593758372102</v>
      </c>
      <c r="G29">
        <v>-267.87489349572155</v>
      </c>
      <c r="H29">
        <v>-232.52877437190543</v>
      </c>
      <c r="I29">
        <v>34.7501539830075</v>
      </c>
      <c r="J29">
        <v>20.397365725577199</v>
      </c>
      <c r="K29">
        <v>6.4852081889320798</v>
      </c>
      <c r="L29">
        <v>3.2331727924471201E-5</v>
      </c>
      <c r="M29">
        <v>1.832849181095402E-6</v>
      </c>
      <c r="N29" s="1">
        <v>-3.62999262641082E-7</v>
      </c>
      <c r="O29" s="1">
        <v>5.7354595001301502E-11</v>
      </c>
      <c r="P29" s="1">
        <v>1.1897063096401699E-9</v>
      </c>
      <c r="Q29">
        <v>66.244530245657003</v>
      </c>
      <c r="S29">
        <v>20.514609829991901</v>
      </c>
      <c r="AA29">
        <v>1.4675076504644999</v>
      </c>
      <c r="AB29">
        <v>9.0690233698895995</v>
      </c>
      <c r="AC29">
        <v>2.7043289039968701</v>
      </c>
      <c r="AJ29">
        <v>0.77784145553526496</v>
      </c>
      <c r="AK29">
        <v>6.95539387758497E-2</v>
      </c>
      <c r="AL29">
        <v>0.15260460568888401</v>
      </c>
    </row>
    <row r="30" spans="1:38" x14ac:dyDescent="0.2">
      <c r="A30">
        <v>36</v>
      </c>
      <c r="B30">
        <v>743</v>
      </c>
      <c r="C30">
        <v>250</v>
      </c>
      <c r="D30">
        <v>0.31913644639078897</v>
      </c>
      <c r="E30">
        <v>19.7829705056653</v>
      </c>
      <c r="F30">
        <v>2.56100226184126</v>
      </c>
      <c r="G30">
        <v>-318.93894551985437</v>
      </c>
      <c r="H30">
        <v>-276.9095554047413</v>
      </c>
      <c r="I30">
        <v>41.361403449405202</v>
      </c>
      <c r="J30">
        <v>24.302131082433299</v>
      </c>
      <c r="K30">
        <v>7.72469856838085</v>
      </c>
      <c r="L30">
        <v>3.2377795086878191E-5</v>
      </c>
      <c r="M30">
        <v>1.8332434846932887E-6</v>
      </c>
      <c r="N30" s="1">
        <v>-4.4514452803763599E-7</v>
      </c>
      <c r="O30" s="1">
        <v>6.8247649829232502E-11</v>
      </c>
      <c r="P30" s="1">
        <v>1.45336217331051E-9</v>
      </c>
      <c r="Q30">
        <v>66.261673815605903</v>
      </c>
      <c r="S30">
        <v>20.4922264712146</v>
      </c>
      <c r="AA30">
        <v>1.4450409326060301</v>
      </c>
      <c r="AB30">
        <v>9.0485460112494707</v>
      </c>
      <c r="AC30">
        <v>2.75251276932384</v>
      </c>
      <c r="AJ30">
        <v>0.77616441858407403</v>
      </c>
      <c r="AK30">
        <v>6.8496104032684996E-2</v>
      </c>
      <c r="AL30">
        <v>0.15533947738324</v>
      </c>
    </row>
    <row r="31" spans="1:38" x14ac:dyDescent="0.2">
      <c r="A31">
        <v>36</v>
      </c>
      <c r="B31">
        <v>743</v>
      </c>
      <c r="C31">
        <v>250</v>
      </c>
      <c r="D31">
        <v>0.31913644639078897</v>
      </c>
      <c r="E31">
        <v>5.6694930996977897</v>
      </c>
      <c r="F31">
        <v>2.5262062315152201</v>
      </c>
      <c r="G31">
        <v>-89.668312417725815</v>
      </c>
      <c r="H31">
        <v>-77.779201481433276</v>
      </c>
      <c r="I31">
        <v>11.700153457946699</v>
      </c>
      <c r="J31">
        <v>6.7933551579038998</v>
      </c>
      <c r="K31">
        <v>2.24427167860211</v>
      </c>
      <c r="L31">
        <v>2.944707403403974E-5</v>
      </c>
      <c r="M31">
        <v>1.8047953578547728E-6</v>
      </c>
      <c r="N31" s="1">
        <v>-6.9415823460461798E-8</v>
      </c>
      <c r="O31" s="1">
        <v>2.1102936372155901E-11</v>
      </c>
      <c r="P31" s="1">
        <v>2.4623307701189002E-10</v>
      </c>
      <c r="Q31">
        <v>66.292146996585004</v>
      </c>
      <c r="S31">
        <v>19.055283254256501</v>
      </c>
      <c r="AA31">
        <v>0.25243756530748701</v>
      </c>
      <c r="AB31">
        <v>5.3493204025365104</v>
      </c>
      <c r="AC31">
        <v>9.0508117813143993</v>
      </c>
      <c r="AJ31">
        <v>0.46745129243549599</v>
      </c>
      <c r="AK31">
        <v>1.2189966916039401E-2</v>
      </c>
      <c r="AL31">
        <v>0.52035874064846299</v>
      </c>
    </row>
    <row r="32" spans="1:38" x14ac:dyDescent="0.2">
      <c r="A32">
        <v>37</v>
      </c>
      <c r="B32">
        <v>742</v>
      </c>
      <c r="C32">
        <v>250</v>
      </c>
      <c r="D32">
        <v>0.318396788651924</v>
      </c>
      <c r="E32">
        <v>27.547075819405102</v>
      </c>
      <c r="F32">
        <v>2.56081399960373</v>
      </c>
      <c r="G32">
        <v>-444.03844074393834</v>
      </c>
      <c r="H32">
        <v>-385.60376190164504</v>
      </c>
      <c r="I32">
        <v>57.562605370923698</v>
      </c>
      <c r="J32">
        <v>33.860156149814998</v>
      </c>
      <c r="K32">
        <v>10.7571560541561</v>
      </c>
      <c r="L32">
        <v>3.2450864592764512E-5</v>
      </c>
      <c r="M32">
        <v>1.8340607546548288E-6</v>
      </c>
      <c r="N32" s="1">
        <v>-6.4045621262101303E-7</v>
      </c>
      <c r="O32" s="1">
        <v>9.4909347079296703E-11</v>
      </c>
      <c r="P32" s="1">
        <v>2.08247058552423E-9</v>
      </c>
      <c r="Q32">
        <v>66.288083541296501</v>
      </c>
      <c r="S32">
        <v>20.472493275108899</v>
      </c>
      <c r="AA32">
        <v>1.4225984953212201</v>
      </c>
      <c r="AB32">
        <v>9.0556655298362703</v>
      </c>
      <c r="AC32">
        <v>2.7611591584370201</v>
      </c>
      <c r="AJ32">
        <v>0.77674802966752099</v>
      </c>
      <c r="AK32">
        <v>6.7429963113506006E-2</v>
      </c>
      <c r="AL32">
        <v>0.15582200721897199</v>
      </c>
    </row>
    <row r="33" spans="1:38" x14ac:dyDescent="0.2">
      <c r="A33">
        <v>37</v>
      </c>
      <c r="B33">
        <v>742</v>
      </c>
      <c r="C33">
        <v>250</v>
      </c>
      <c r="D33">
        <v>0.318396788651924</v>
      </c>
      <c r="E33">
        <v>20.314789485082201</v>
      </c>
      <c r="F33">
        <v>2.5262410009407601</v>
      </c>
      <c r="G33">
        <v>-321.260296566759</v>
      </c>
      <c r="H33">
        <v>-278.72478143026996</v>
      </c>
      <c r="I33">
        <v>41.9007192400029</v>
      </c>
      <c r="J33">
        <v>24.350156422509301</v>
      </c>
      <c r="K33">
        <v>8.0415088970201491</v>
      </c>
      <c r="L33">
        <v>2.9485640597554602E-5</v>
      </c>
      <c r="M33">
        <v>1.8051028727241881E-6</v>
      </c>
      <c r="N33" s="1">
        <v>-2.5779592935038603E-7</v>
      </c>
      <c r="O33" s="1">
        <v>7.5543677343039505E-11</v>
      </c>
      <c r="P33" s="1">
        <v>9.0819259073536398E-10</v>
      </c>
      <c r="Q33">
        <v>66.297988486344096</v>
      </c>
      <c r="S33">
        <v>19.0525931985621</v>
      </c>
      <c r="AA33">
        <v>0.24885521003865299</v>
      </c>
      <c r="AB33">
        <v>5.3552855185224599</v>
      </c>
      <c r="AC33">
        <v>9.0452775865326203</v>
      </c>
      <c r="AJ33">
        <v>0.467958471222709</v>
      </c>
      <c r="AK33">
        <v>1.2016616772100201E-2</v>
      </c>
      <c r="AL33">
        <v>0.52002491200518897</v>
      </c>
    </row>
    <row r="34" spans="1:38" x14ac:dyDescent="0.2">
      <c r="A34">
        <v>38</v>
      </c>
      <c r="B34">
        <v>741</v>
      </c>
      <c r="C34">
        <v>250</v>
      </c>
      <c r="D34">
        <v>0.31765567223783697</v>
      </c>
      <c r="E34">
        <v>29.697150626250099</v>
      </c>
      <c r="F34">
        <v>2.5608970455237499</v>
      </c>
      <c r="G34">
        <v>-478.64705634841192</v>
      </c>
      <c r="H34">
        <v>-415.74887427159598</v>
      </c>
      <c r="I34">
        <v>62.020590718154097</v>
      </c>
      <c r="J34">
        <v>36.526195197830603</v>
      </c>
      <c r="K34">
        <v>11.5963859922281</v>
      </c>
      <c r="L34">
        <v>3.2522206733356228E-5</v>
      </c>
      <c r="M34">
        <v>1.8345389634354693E-6</v>
      </c>
      <c r="N34" s="1">
        <v>-7.1360344171196002E-7</v>
      </c>
      <c r="O34" s="1">
        <v>1.0212957017227201E-10</v>
      </c>
      <c r="P34" s="1">
        <v>2.3109823417003701E-9</v>
      </c>
      <c r="Q34">
        <v>66.295486382423206</v>
      </c>
      <c r="S34">
        <v>20.4697039673418</v>
      </c>
      <c r="AA34">
        <v>1.41856993607958</v>
      </c>
      <c r="AB34">
        <v>9.0648498314166908</v>
      </c>
      <c r="AC34">
        <v>2.7513898827385299</v>
      </c>
      <c r="AJ34">
        <v>0.77750042226859295</v>
      </c>
      <c r="AK34">
        <v>6.7235952468644694E-2</v>
      </c>
      <c r="AL34">
        <v>0.155263625262761</v>
      </c>
    </row>
    <row r="35" spans="1:38" x14ac:dyDescent="0.2">
      <c r="A35">
        <v>38</v>
      </c>
      <c r="B35">
        <v>741</v>
      </c>
      <c r="C35">
        <v>250</v>
      </c>
      <c r="D35">
        <v>0.31765567223783697</v>
      </c>
      <c r="E35">
        <v>24.343179642366898</v>
      </c>
      <c r="F35">
        <v>2.5262382960927598</v>
      </c>
      <c r="G35">
        <v>-384.89283674344625</v>
      </c>
      <c r="H35">
        <v>-334.00513818940146</v>
      </c>
      <c r="I35">
        <v>50.1776843209039</v>
      </c>
      <c r="J35">
        <v>29.185610237928</v>
      </c>
      <c r="K35">
        <v>9.6361375251169399</v>
      </c>
      <c r="L35">
        <v>2.9509978981713954E-5</v>
      </c>
      <c r="M35">
        <v>1.80518631614727E-6</v>
      </c>
      <c r="N35" s="1">
        <v>-3.1890509853350603E-7</v>
      </c>
      <c r="O35" s="1">
        <v>9.0454371609209104E-11</v>
      </c>
      <c r="P35" s="1">
        <v>1.1167109014992899E-9</v>
      </c>
      <c r="Q35">
        <v>66.297458523159307</v>
      </c>
      <c r="S35">
        <v>19.048625188687801</v>
      </c>
      <c r="AA35">
        <v>0.245705220927315</v>
      </c>
      <c r="AB35">
        <v>5.3437018702188102</v>
      </c>
      <c r="AC35">
        <v>9.0645091970066396</v>
      </c>
      <c r="AJ35">
        <v>0.46697365684084002</v>
      </c>
      <c r="AK35">
        <v>1.1865207463063399E-2</v>
      </c>
      <c r="AL35">
        <v>0.52116113569609601</v>
      </c>
    </row>
    <row r="36" spans="1:38" x14ac:dyDescent="0.2">
      <c r="A36">
        <v>39</v>
      </c>
      <c r="B36">
        <v>740</v>
      </c>
      <c r="C36">
        <v>250</v>
      </c>
      <c r="D36">
        <v>0.31691309282929903</v>
      </c>
      <c r="E36">
        <v>30.884233684694301</v>
      </c>
      <c r="F36">
        <v>2.56101424482073</v>
      </c>
      <c r="G36">
        <v>-497.73284788244217</v>
      </c>
      <c r="H36">
        <v>-432.4217905457221</v>
      </c>
      <c r="I36">
        <v>64.463364098820605</v>
      </c>
      <c r="J36">
        <v>38.011314308579998</v>
      </c>
      <c r="K36">
        <v>12.0593759863511</v>
      </c>
      <c r="L36">
        <v>3.2595180005662132E-5</v>
      </c>
      <c r="M36">
        <v>1.8349799798429493E-6</v>
      </c>
      <c r="N36" s="1">
        <v>-7.6707586928168902E-7</v>
      </c>
      <c r="O36" s="1">
        <v>1.06004053710122E-10</v>
      </c>
      <c r="P36" s="1">
        <v>2.4743714634925699E-9</v>
      </c>
      <c r="Q36">
        <v>66.300503461648702</v>
      </c>
      <c r="S36">
        <v>20.469035043333498</v>
      </c>
      <c r="AA36">
        <v>1.41684740007412</v>
      </c>
      <c r="AB36">
        <v>9.0742764522117305</v>
      </c>
      <c r="AC36">
        <v>2.7393376427318099</v>
      </c>
      <c r="AJ36">
        <v>0.77827255455669597</v>
      </c>
      <c r="AK36">
        <v>6.7151168971658404E-2</v>
      </c>
      <c r="AL36">
        <v>0.15457627647164501</v>
      </c>
    </row>
    <row r="37" spans="1:38" x14ac:dyDescent="0.2">
      <c r="A37">
        <v>39</v>
      </c>
      <c r="B37">
        <v>740</v>
      </c>
      <c r="C37">
        <v>250</v>
      </c>
      <c r="D37">
        <v>0.31691309282929903</v>
      </c>
      <c r="E37">
        <v>26.486792217582501</v>
      </c>
      <c r="F37">
        <v>2.5262316453292399</v>
      </c>
      <c r="G37">
        <v>-418.70262609160142</v>
      </c>
      <c r="H37">
        <v>-363.42423668884612</v>
      </c>
      <c r="I37">
        <v>54.560913391654999</v>
      </c>
      <c r="J37">
        <v>31.7629432094283</v>
      </c>
      <c r="K37">
        <v>10.4847044674442</v>
      </c>
      <c r="L37">
        <v>2.9533314551927928E-5</v>
      </c>
      <c r="M37">
        <v>1.805243298935975E-6</v>
      </c>
      <c r="N37" s="1">
        <v>-3.5802668099701301E-7</v>
      </c>
      <c r="O37" s="1">
        <v>9.8343959602432006E-11</v>
      </c>
      <c r="P37" s="1">
        <v>1.24642093683734E-9</v>
      </c>
      <c r="Q37">
        <v>66.296088639532499</v>
      </c>
      <c r="S37">
        <v>19.044526166787399</v>
      </c>
      <c r="AA37">
        <v>0.24264312950563</v>
      </c>
      <c r="AB37">
        <v>5.3299030391855204</v>
      </c>
      <c r="AC37">
        <v>9.0868390249888602</v>
      </c>
      <c r="AJ37">
        <v>0.465800355013825</v>
      </c>
      <c r="AK37">
        <v>1.17181565504587E-2</v>
      </c>
      <c r="AL37">
        <v>0.52248148843571496</v>
      </c>
    </row>
    <row r="38" spans="1:38" x14ac:dyDescent="0.2">
      <c r="A38">
        <v>40</v>
      </c>
      <c r="B38">
        <v>739</v>
      </c>
      <c r="C38">
        <v>250</v>
      </c>
      <c r="D38">
        <v>0.31616904609000601</v>
      </c>
      <c r="E38">
        <v>31.579099642163101</v>
      </c>
      <c r="F38">
        <v>2.56114888877309</v>
      </c>
      <c r="G38">
        <v>-508.88510638011695</v>
      </c>
      <c r="H38">
        <v>-442.20828948540259</v>
      </c>
      <c r="I38">
        <v>65.876418411020495</v>
      </c>
      <c r="J38">
        <v>38.8930743733534</v>
      </c>
      <c r="K38">
        <v>12.330052259199499</v>
      </c>
      <c r="L38">
        <v>3.2670073114848063E-5</v>
      </c>
      <c r="M38">
        <v>1.8354048293218999E-6</v>
      </c>
      <c r="N38" s="1">
        <v>-8.1074211540689304E-7</v>
      </c>
      <c r="O38" s="1">
        <v>1.08166231918968E-10</v>
      </c>
      <c r="P38" s="1">
        <v>2.6051476615709398E-9</v>
      </c>
      <c r="Q38">
        <v>66.304291385668293</v>
      </c>
      <c r="S38">
        <v>20.469448142812102</v>
      </c>
      <c r="AA38">
        <v>1.41630435108802</v>
      </c>
      <c r="AB38">
        <v>9.0838006317787805</v>
      </c>
      <c r="AC38">
        <v>2.72615548865266</v>
      </c>
      <c r="AJ38">
        <v>0.77905258451641601</v>
      </c>
      <c r="AK38">
        <v>6.7122258108042801E-2</v>
      </c>
      <c r="AL38">
        <v>0.15382515737554101</v>
      </c>
    </row>
    <row r="39" spans="1:38" x14ac:dyDescent="0.2">
      <c r="A39">
        <v>40</v>
      </c>
      <c r="B39">
        <v>739</v>
      </c>
      <c r="C39">
        <v>250</v>
      </c>
      <c r="D39">
        <v>0.31616904609000601</v>
      </c>
      <c r="E39">
        <v>27.679142226598</v>
      </c>
      <c r="F39">
        <v>2.52622350727296</v>
      </c>
      <c r="G39">
        <v>-437.46241808400248</v>
      </c>
      <c r="H39">
        <v>-379.79031041974173</v>
      </c>
      <c r="I39">
        <v>56.979803057116797</v>
      </c>
      <c r="J39">
        <v>33.200531234035097</v>
      </c>
      <c r="K39">
        <v>10.956727362764999</v>
      </c>
      <c r="L39">
        <v>2.9556601679956627E-5</v>
      </c>
      <c r="M39">
        <v>1.8052879244088367E-6</v>
      </c>
      <c r="N39" s="1">
        <v>-3.8594739867490301E-7</v>
      </c>
      <c r="O39" s="1">
        <v>1.02690630613795E-10</v>
      </c>
      <c r="P39" s="1">
        <v>1.3360393462322999E-9</v>
      </c>
      <c r="Q39">
        <v>66.294270857918306</v>
      </c>
      <c r="S39">
        <v>19.040378952207401</v>
      </c>
      <c r="AA39">
        <v>0.23964578950207099</v>
      </c>
      <c r="AB39">
        <v>5.3149797481276098</v>
      </c>
      <c r="AC39">
        <v>9.1107246522445706</v>
      </c>
      <c r="AJ39">
        <v>0.46453125362918901</v>
      </c>
      <c r="AK39">
        <v>1.15742782264627E-2</v>
      </c>
      <c r="AL39">
        <v>0.52389446814434704</v>
      </c>
    </row>
    <row r="40" spans="1:38" x14ac:dyDescent="0.2">
      <c r="A40">
        <v>42</v>
      </c>
      <c r="B40">
        <v>761</v>
      </c>
      <c r="C40">
        <v>225</v>
      </c>
      <c r="D40">
        <v>0.35879756321617101</v>
      </c>
      <c r="E40">
        <v>2.1160013984595601E-2</v>
      </c>
      <c r="F40">
        <v>2.5746563650708301</v>
      </c>
      <c r="G40">
        <v>-0.34374585811178543</v>
      </c>
      <c r="H40">
        <v>-0.29754994533830287</v>
      </c>
      <c r="I40">
        <v>4.4670417998822702E-2</v>
      </c>
      <c r="J40">
        <v>2.5865718499355098E-2</v>
      </c>
      <c r="K40">
        <v>8.21857793205482E-3</v>
      </c>
      <c r="L40">
        <v>3.1542674277678509E-5</v>
      </c>
      <c r="M40">
        <v>1.8156315734887394E-6</v>
      </c>
      <c r="N40" s="1">
        <v>-2.8007912182761099E-10</v>
      </c>
      <c r="O40" s="1">
        <v>7.2614705636885499E-14</v>
      </c>
      <c r="P40" s="1">
        <v>9.9437964679823896E-13</v>
      </c>
      <c r="Q40">
        <v>65.309258419993</v>
      </c>
      <c r="S40">
        <v>21.465083434472799</v>
      </c>
      <c r="AA40">
        <v>2.4698910007662902</v>
      </c>
      <c r="AB40">
        <v>9.4766103778147102</v>
      </c>
      <c r="AC40">
        <v>1.2791567669530299</v>
      </c>
      <c r="AJ40">
        <v>0.81114088715977395</v>
      </c>
      <c r="AK40">
        <v>0.116823939187943</v>
      </c>
      <c r="AL40">
        <v>7.2035173652281695E-2</v>
      </c>
    </row>
    <row r="41" spans="1:38" x14ac:dyDescent="0.2">
      <c r="A41">
        <v>43</v>
      </c>
      <c r="B41">
        <v>760</v>
      </c>
      <c r="C41">
        <v>225</v>
      </c>
      <c r="D41">
        <v>0.35810918066108399</v>
      </c>
      <c r="E41">
        <v>0.51686206811997204</v>
      </c>
      <c r="F41">
        <v>2.5742074449827999</v>
      </c>
      <c r="G41">
        <v>-8.3947012529075646</v>
      </c>
      <c r="H41">
        <v>-7.2679294300108079</v>
      </c>
      <c r="I41">
        <v>1.0906178414526</v>
      </c>
      <c r="J41">
        <v>0.63203076442479</v>
      </c>
      <c r="K41">
        <v>0.20078493251480101</v>
      </c>
      <c r="L41">
        <v>3.1603421828364633E-5</v>
      </c>
      <c r="M41">
        <v>1.8169979634929086E-6</v>
      </c>
      <c r="N41" s="1">
        <v>-7.0648127620695997E-9</v>
      </c>
      <c r="O41" s="1">
        <v>1.77369074778914E-12</v>
      </c>
      <c r="P41" s="1">
        <v>2.4933787173742499E-11</v>
      </c>
      <c r="Q41">
        <v>65.3632701679565</v>
      </c>
      <c r="S41">
        <v>21.4237652181897</v>
      </c>
      <c r="AA41">
        <v>2.4232001462686998</v>
      </c>
      <c r="AB41">
        <v>9.4886515864364291</v>
      </c>
      <c r="AC41">
        <v>1.3011128811485</v>
      </c>
      <c r="AJ41">
        <v>0.81212390062806405</v>
      </c>
      <c r="AK41">
        <v>0.11460877449215801</v>
      </c>
      <c r="AL41">
        <v>7.3267324879777204E-2</v>
      </c>
    </row>
    <row r="42" spans="1:38" x14ac:dyDescent="0.2">
      <c r="A42">
        <v>44</v>
      </c>
      <c r="B42">
        <v>759</v>
      </c>
      <c r="C42">
        <v>225</v>
      </c>
      <c r="D42">
        <v>0.35741946422516302</v>
      </c>
      <c r="E42">
        <v>1.0142842031727</v>
      </c>
      <c r="F42">
        <v>2.5737688897029298</v>
      </c>
      <c r="G42">
        <v>-16.470216342380436</v>
      </c>
      <c r="H42">
        <v>-14.262250640655967</v>
      </c>
      <c r="I42">
        <v>2.1391907200740801</v>
      </c>
      <c r="J42">
        <v>1.24074245073362</v>
      </c>
      <c r="K42">
        <v>0.39408519048878998</v>
      </c>
      <c r="L42">
        <v>3.1664232760791734E-5</v>
      </c>
      <c r="M42">
        <v>1.8183271465512639E-6</v>
      </c>
      <c r="N42" s="1">
        <v>-1.4315632523148601E-8</v>
      </c>
      <c r="O42" s="1">
        <v>3.4804330456400001E-12</v>
      </c>
      <c r="P42" s="1">
        <v>5.0231995789094398E-11</v>
      </c>
      <c r="Q42">
        <v>65.415656825078798</v>
      </c>
      <c r="S42">
        <v>21.383513891133099</v>
      </c>
      <c r="AA42">
        <v>2.3777686790383599</v>
      </c>
      <c r="AB42">
        <v>9.4998683560646402</v>
      </c>
      <c r="AC42">
        <v>1.3231922486849701</v>
      </c>
      <c r="AJ42">
        <v>0.81303953897340997</v>
      </c>
      <c r="AK42">
        <v>0.112453887006649</v>
      </c>
      <c r="AL42">
        <v>7.4506574019940097E-2</v>
      </c>
    </row>
    <row r="43" spans="1:38" x14ac:dyDescent="0.2">
      <c r="A43">
        <v>45</v>
      </c>
      <c r="B43">
        <v>758</v>
      </c>
      <c r="C43">
        <v>225</v>
      </c>
      <c r="D43">
        <v>0.356728410027642</v>
      </c>
      <c r="E43">
        <v>1.79440609546792</v>
      </c>
      <c r="F43">
        <v>2.5730925065453198</v>
      </c>
      <c r="G43">
        <v>-29.130244298175413</v>
      </c>
      <c r="H43">
        <v>-25.229613890475441</v>
      </c>
      <c r="I43">
        <v>3.7827963028656999</v>
      </c>
      <c r="J43">
        <v>2.1958335433713798</v>
      </c>
      <c r="K43">
        <v>0.69737333224646303</v>
      </c>
      <c r="L43">
        <v>3.1729769072228076E-5</v>
      </c>
      <c r="M43">
        <v>1.8199917014810929E-6</v>
      </c>
      <c r="N43" s="1">
        <v>-2.6144714091088701E-8</v>
      </c>
      <c r="O43" s="1">
        <v>6.1594819301105603E-12</v>
      </c>
      <c r="P43" s="1">
        <v>9.1222476893898394E-11</v>
      </c>
      <c r="Q43">
        <v>65.485576806342905</v>
      </c>
      <c r="S43">
        <v>21.327399643284501</v>
      </c>
      <c r="AA43">
        <v>2.3151589782387001</v>
      </c>
      <c r="AB43">
        <v>9.5085704892670098</v>
      </c>
      <c r="AC43">
        <v>1.3632940828667599</v>
      </c>
      <c r="AJ43">
        <v>0.81375031221432803</v>
      </c>
      <c r="AK43">
        <v>0.109488258205167</v>
      </c>
      <c r="AL43">
        <v>7.6761429580503401E-2</v>
      </c>
    </row>
    <row r="44" spans="1:38" x14ac:dyDescent="0.2">
      <c r="A44">
        <v>46</v>
      </c>
      <c r="B44">
        <v>757</v>
      </c>
      <c r="C44">
        <v>225</v>
      </c>
      <c r="D44">
        <v>0.35603601417269398</v>
      </c>
      <c r="E44">
        <v>3.1958246172471898</v>
      </c>
      <c r="F44">
        <v>2.5718849507624801</v>
      </c>
      <c r="G44">
        <v>-51.859793481008928</v>
      </c>
      <c r="H44">
        <v>-44.922357621075804</v>
      </c>
      <c r="I44">
        <v>6.7343938843208404</v>
      </c>
      <c r="J44">
        <v>3.9120258075280399</v>
      </c>
      <c r="K44">
        <v>1.2426001467521799</v>
      </c>
      <c r="L44">
        <v>3.1801832521263593E-5</v>
      </c>
      <c r="M44">
        <v>1.8223314000997689E-6</v>
      </c>
      <c r="N44" s="1">
        <v>-4.8024764210518398E-8</v>
      </c>
      <c r="O44" s="1">
        <v>1.09842974937175E-11</v>
      </c>
      <c r="P44" s="1">
        <v>1.66658121188671E-10</v>
      </c>
      <c r="Q44">
        <v>65.592342075702405</v>
      </c>
      <c r="S44">
        <v>21.2369039141477</v>
      </c>
      <c r="AA44">
        <v>2.21558685906838</v>
      </c>
      <c r="AB44">
        <v>9.5092448483299403</v>
      </c>
      <c r="AC44">
        <v>1.44592230275151</v>
      </c>
      <c r="AJ44">
        <v>0.81380703980110203</v>
      </c>
      <c r="AK44">
        <v>0.104779177113452</v>
      </c>
      <c r="AL44">
        <v>8.1413783085445807E-2</v>
      </c>
    </row>
    <row r="45" spans="1:38" x14ac:dyDescent="0.2">
      <c r="A45">
        <v>47</v>
      </c>
      <c r="B45">
        <v>756</v>
      </c>
      <c r="C45">
        <v>225</v>
      </c>
      <c r="D45">
        <v>0.35534227274935698</v>
      </c>
      <c r="E45">
        <v>4.6411763846536296</v>
      </c>
      <c r="F45">
        <v>2.5706568018388301</v>
      </c>
      <c r="G45">
        <v>-75.281881879689607</v>
      </c>
      <c r="H45">
        <v>-65.220947185044963</v>
      </c>
      <c r="I45">
        <v>9.7759653059754399</v>
      </c>
      <c r="J45">
        <v>5.6829707178252002</v>
      </c>
      <c r="K45">
        <v>1.8054437999400399</v>
      </c>
      <c r="L45">
        <v>3.1868460819985375E-5</v>
      </c>
      <c r="M45">
        <v>1.8245153131934287E-6</v>
      </c>
      <c r="N45" s="1">
        <v>-7.1875479835579994E-8</v>
      </c>
      <c r="O45" s="1">
        <v>1.5972664426181899E-11</v>
      </c>
      <c r="P45" s="1">
        <v>2.48136370679218E-10</v>
      </c>
      <c r="Q45">
        <v>65.6943897957958</v>
      </c>
      <c r="S45">
        <v>21.1478067682574</v>
      </c>
      <c r="AA45">
        <v>2.1182693610250198</v>
      </c>
      <c r="AB45">
        <v>9.5030729696073308</v>
      </c>
      <c r="AC45">
        <v>1.53646110531436</v>
      </c>
      <c r="AJ45">
        <v>0.81330540814445496</v>
      </c>
      <c r="AK45">
        <v>0.100180125417288</v>
      </c>
      <c r="AL45">
        <v>8.6514466438255402E-2</v>
      </c>
    </row>
    <row r="46" spans="1:38" x14ac:dyDescent="0.2">
      <c r="A46">
        <v>48</v>
      </c>
      <c r="B46">
        <v>755</v>
      </c>
      <c r="C46">
        <v>225</v>
      </c>
      <c r="D46">
        <v>0.354647181831445</v>
      </c>
      <c r="E46">
        <v>6.1370505907630397</v>
      </c>
      <c r="F46">
        <v>2.5693992097627101</v>
      </c>
      <c r="G46">
        <v>-99.500408400176724</v>
      </c>
      <c r="H46">
        <v>-86.215585798583902</v>
      </c>
      <c r="I46">
        <v>12.921093810818199</v>
      </c>
      <c r="J46">
        <v>7.5166027242026603</v>
      </c>
      <c r="K46">
        <v>2.3885157928922198</v>
      </c>
      <c r="L46">
        <v>3.1928923670461762E-5</v>
      </c>
      <c r="M46">
        <v>1.8265346519383696E-6</v>
      </c>
      <c r="N46" s="1">
        <v>-9.7857234603914297E-8</v>
      </c>
      <c r="O46" s="1">
        <v>2.1148050640157901E-11</v>
      </c>
      <c r="P46" s="1">
        <v>3.36168222063481E-10</v>
      </c>
      <c r="Q46">
        <v>65.791664229042098</v>
      </c>
      <c r="S46">
        <v>21.0598208023377</v>
      </c>
      <c r="AA46">
        <v>2.0229823790657</v>
      </c>
      <c r="AB46">
        <v>9.4891771798355808</v>
      </c>
      <c r="AC46">
        <v>1.6363554097188</v>
      </c>
      <c r="AJ46">
        <v>0.81217372791719</v>
      </c>
      <c r="AK46">
        <v>9.56804636959767E-2</v>
      </c>
      <c r="AL46">
        <v>9.21458083868332E-2</v>
      </c>
    </row>
    <row r="47" spans="1:38" x14ac:dyDescent="0.2">
      <c r="A47">
        <v>49</v>
      </c>
      <c r="B47">
        <v>754</v>
      </c>
      <c r="C47">
        <v>225</v>
      </c>
      <c r="D47">
        <v>0.35395073747748601</v>
      </c>
      <c r="E47">
        <v>7.6927260390524896</v>
      </c>
      <c r="F47">
        <v>2.56809993593843</v>
      </c>
      <c r="G47">
        <v>-124.66194183064424</v>
      </c>
      <c r="H47">
        <v>-108.03345122684971</v>
      </c>
      <c r="I47">
        <v>16.1889603308129</v>
      </c>
      <c r="J47">
        <v>9.4240893410608404</v>
      </c>
      <c r="K47">
        <v>2.99549325608367</v>
      </c>
      <c r="L47">
        <v>3.1982279159527485E-5</v>
      </c>
      <c r="M47">
        <v>1.8283790421007769E-6</v>
      </c>
      <c r="N47" s="1">
        <v>-1.2616760152428899E-7</v>
      </c>
      <c r="O47" s="1">
        <v>2.65438481524373E-11</v>
      </c>
      <c r="P47" s="1">
        <v>4.3139341358565899E-10</v>
      </c>
      <c r="Q47">
        <v>65.884150832401204</v>
      </c>
      <c r="S47">
        <v>20.972520486782098</v>
      </c>
      <c r="AA47">
        <v>1.9293782403275801</v>
      </c>
      <c r="AB47">
        <v>9.4664094894432704</v>
      </c>
      <c r="AC47">
        <v>1.7475409510458</v>
      </c>
      <c r="AJ47">
        <v>0.81031808425150398</v>
      </c>
      <c r="AK47">
        <v>9.1263771270076302E-2</v>
      </c>
      <c r="AL47">
        <v>9.8418144478418707E-2</v>
      </c>
    </row>
    <row r="48" spans="1:38" x14ac:dyDescent="0.2">
      <c r="A48">
        <v>50</v>
      </c>
      <c r="B48">
        <v>753</v>
      </c>
      <c r="C48">
        <v>225</v>
      </c>
      <c r="D48">
        <v>0.35325293573064698</v>
      </c>
      <c r="E48">
        <v>9.3218331467416906</v>
      </c>
      <c r="F48">
        <v>2.5667417229399501</v>
      </c>
      <c r="G48">
        <v>-150.98214489471988</v>
      </c>
      <c r="H48">
        <v>-130.86159492777449</v>
      </c>
      <c r="I48">
        <v>19.6078058441216</v>
      </c>
      <c r="J48">
        <v>11.4218343246537</v>
      </c>
      <c r="K48">
        <v>3.6317768412103502</v>
      </c>
      <c r="L48">
        <v>3.2027251335930689E-5</v>
      </c>
      <c r="M48">
        <v>1.8300351940890135E-6</v>
      </c>
      <c r="N48" s="1">
        <v>-1.5706406824828999E-7</v>
      </c>
      <c r="O48" s="1">
        <v>3.22095039284014E-11</v>
      </c>
      <c r="P48" s="1">
        <v>5.3465960437845596E-10</v>
      </c>
      <c r="Q48">
        <v>65.971876974108795</v>
      </c>
      <c r="S48">
        <v>20.8852837566427</v>
      </c>
      <c r="AA48">
        <v>1.83693734885561</v>
      </c>
      <c r="AB48">
        <v>9.4332000629418395</v>
      </c>
      <c r="AC48">
        <v>1.87270185745096</v>
      </c>
      <c r="AJ48">
        <v>0.80760987720105304</v>
      </c>
      <c r="AK48">
        <v>8.6905589790493301E-2</v>
      </c>
      <c r="AL48">
        <v>0.10548453300845199</v>
      </c>
    </row>
    <row r="49" spans="1:38" x14ac:dyDescent="0.2">
      <c r="A49">
        <v>51</v>
      </c>
      <c r="B49">
        <v>752</v>
      </c>
      <c r="C49">
        <v>225</v>
      </c>
      <c r="D49">
        <v>0.35255377261864101</v>
      </c>
      <c r="E49">
        <v>11.0452932555819</v>
      </c>
      <c r="F49">
        <v>2.5652994987496598</v>
      </c>
      <c r="G49">
        <v>-178.79248294889581</v>
      </c>
      <c r="H49">
        <v>-154.98742245698023</v>
      </c>
      <c r="I49">
        <v>23.2210510578116</v>
      </c>
      <c r="J49">
        <v>13.535018495068901</v>
      </c>
      <c r="K49">
        <v>4.30565447074129</v>
      </c>
      <c r="L49">
        <v>3.2062014851420413E-5</v>
      </c>
      <c r="M49">
        <v>1.8314845013818178E-6</v>
      </c>
      <c r="N49" s="1">
        <v>-1.90904092959503E-7</v>
      </c>
      <c r="O49" s="1">
        <v>3.8221367969001303E-11</v>
      </c>
      <c r="P49" s="1">
        <v>6.4716204918681601E-10</v>
      </c>
      <c r="Q49">
        <v>66.054909044593401</v>
      </c>
      <c r="S49">
        <v>20.797193099642701</v>
      </c>
      <c r="AA49">
        <v>1.744887256328</v>
      </c>
      <c r="AB49">
        <v>9.3872914701229693</v>
      </c>
      <c r="AC49">
        <v>2.0157191293127701</v>
      </c>
      <c r="AJ49">
        <v>0.80386396020159601</v>
      </c>
      <c r="AK49">
        <v>8.2569644878472501E-2</v>
      </c>
      <c r="AL49">
        <v>0.11356639491992999</v>
      </c>
    </row>
    <row r="50" spans="1:38" x14ac:dyDescent="0.2">
      <c r="A50">
        <v>52</v>
      </c>
      <c r="B50">
        <v>751</v>
      </c>
      <c r="C50">
        <v>225</v>
      </c>
      <c r="D50">
        <v>0.35185324415369101</v>
      </c>
      <c r="E50">
        <v>12.8969287075296</v>
      </c>
      <c r="F50">
        <v>2.56373523494995</v>
      </c>
      <c r="G50">
        <v>-208.62933594127978</v>
      </c>
      <c r="H50">
        <v>-180.87592497840592</v>
      </c>
      <c r="I50">
        <v>27.0989708176281</v>
      </c>
      <c r="J50">
        <v>15.8043538187676</v>
      </c>
      <c r="K50">
        <v>5.0305228604393601</v>
      </c>
      <c r="L50">
        <v>3.2083790995954498E-5</v>
      </c>
      <c r="M50">
        <v>1.8326984596292066E-6</v>
      </c>
      <c r="N50" s="1">
        <v>-2.2822066791237E-7</v>
      </c>
      <c r="O50" s="1">
        <v>4.4703411314040201E-11</v>
      </c>
      <c r="P50" s="1">
        <v>7.7070758199547199E-10</v>
      </c>
      <c r="Q50">
        <v>66.133341572902793</v>
      </c>
      <c r="S50">
        <v>20.706854906014801</v>
      </c>
      <c r="AA50">
        <v>1.6520561633561599</v>
      </c>
      <c r="AB50">
        <v>9.3252408347142204</v>
      </c>
      <c r="AC50">
        <v>2.1825065230119201</v>
      </c>
      <c r="AJ50">
        <v>0.798797656996453</v>
      </c>
      <c r="AK50">
        <v>7.8201003020049301E-2</v>
      </c>
      <c r="AL50">
        <v>0.12300133998349599</v>
      </c>
    </row>
    <row r="51" spans="1:38" x14ac:dyDescent="0.2">
      <c r="A51">
        <v>53</v>
      </c>
      <c r="B51">
        <v>750</v>
      </c>
      <c r="C51">
        <v>225</v>
      </c>
      <c r="D51">
        <v>0.35115134633240402</v>
      </c>
      <c r="E51">
        <v>14.935269399488799</v>
      </c>
      <c r="F51">
        <v>2.5619876805968</v>
      </c>
      <c r="G51">
        <v>-241.42146643145529</v>
      </c>
      <c r="H51">
        <v>-209.33215542063562</v>
      </c>
      <c r="I51">
        <v>31.363251733196101</v>
      </c>
      <c r="J51">
        <v>18.300288496495501</v>
      </c>
      <c r="K51">
        <v>5.82956331624895</v>
      </c>
      <c r="L51">
        <v>3.2088022758347407E-5</v>
      </c>
      <c r="M51">
        <v>1.8336291491582485E-6</v>
      </c>
      <c r="N51" s="1">
        <v>-2.6987855727720798E-7</v>
      </c>
      <c r="O51" s="1">
        <v>5.1870859624558097E-11</v>
      </c>
      <c r="P51" s="1">
        <v>9.08262051304787E-10</v>
      </c>
      <c r="Q51">
        <v>66.207263027825903</v>
      </c>
      <c r="S51">
        <v>20.612041262521998</v>
      </c>
      <c r="AA51">
        <v>1.5565853757253301</v>
      </c>
      <c r="AB51">
        <v>9.2414045404694694</v>
      </c>
      <c r="AC51">
        <v>2.3827057934571498</v>
      </c>
      <c r="AJ51">
        <v>0.79194710662050105</v>
      </c>
      <c r="AK51">
        <v>7.3712634099656393E-2</v>
      </c>
      <c r="AL51">
        <v>0.134340259279842</v>
      </c>
    </row>
    <row r="52" spans="1:38" x14ac:dyDescent="0.2">
      <c r="A52">
        <v>54</v>
      </c>
      <c r="B52">
        <v>749</v>
      </c>
      <c r="C52">
        <v>225</v>
      </c>
      <c r="D52">
        <v>0.350448075135744</v>
      </c>
      <c r="E52">
        <v>17.2716730307489</v>
      </c>
      <c r="F52">
        <v>2.5599498563262499</v>
      </c>
      <c r="G52">
        <v>-278.93634494827654</v>
      </c>
      <c r="H52">
        <v>-241.88805799112922</v>
      </c>
      <c r="I52">
        <v>36.245450234454097</v>
      </c>
      <c r="J52">
        <v>21.156815624678199</v>
      </c>
      <c r="K52">
        <v>6.7468794312773097</v>
      </c>
      <c r="L52">
        <v>3.2066500312325648E-5</v>
      </c>
      <c r="M52">
        <v>1.8341870322404901E-6</v>
      </c>
      <c r="N52" s="1">
        <v>-3.17438118895685E-7</v>
      </c>
      <c r="O52" s="1">
        <v>6.0134208790274401E-11</v>
      </c>
      <c r="P52" s="1">
        <v>1.06523000914281E-9</v>
      </c>
      <c r="Q52">
        <v>66.276636307176105</v>
      </c>
      <c r="S52">
        <v>20.508914596922398</v>
      </c>
      <c r="AA52">
        <v>1.45531751433017</v>
      </c>
      <c r="AB52">
        <v>9.1256392126042805</v>
      </c>
      <c r="AC52">
        <v>2.6334923689668801</v>
      </c>
      <c r="AJ52">
        <v>0.78247759477891998</v>
      </c>
      <c r="AK52">
        <v>6.8956810017656106E-2</v>
      </c>
      <c r="AL52">
        <v>0.148565595203423</v>
      </c>
    </row>
    <row r="53" spans="1:38" x14ac:dyDescent="0.2">
      <c r="A53">
        <v>55</v>
      </c>
      <c r="B53">
        <v>748</v>
      </c>
      <c r="C53">
        <v>225</v>
      </c>
      <c r="D53">
        <v>0.34974342652891699</v>
      </c>
      <c r="E53">
        <v>20.103272603737999</v>
      </c>
      <c r="F53">
        <v>2.5576788363066898</v>
      </c>
      <c r="G53">
        <v>-324.3246062387534</v>
      </c>
      <c r="H53">
        <v>-281.2774367906739</v>
      </c>
      <c r="I53">
        <v>42.1555789532189</v>
      </c>
      <c r="J53">
        <v>24.612694165251401</v>
      </c>
      <c r="K53">
        <v>7.8599675292959397</v>
      </c>
      <c r="L53">
        <v>3.2014202136151664E-5</v>
      </c>
      <c r="M53">
        <v>1.8342116785161469E-6</v>
      </c>
      <c r="N53" s="1">
        <v>-3.7411370796653797E-7</v>
      </c>
      <c r="O53" s="1">
        <v>7.0196811105617602E-11</v>
      </c>
      <c r="P53" s="1">
        <v>1.2525212074866499E-9</v>
      </c>
      <c r="Q53">
        <v>66.334588727813198</v>
      </c>
      <c r="S53">
        <v>20.402070392046099</v>
      </c>
      <c r="AA53">
        <v>1.3536475462147699</v>
      </c>
      <c r="AB53">
        <v>8.9746771009319204</v>
      </c>
      <c r="AC53">
        <v>2.9350162329938501</v>
      </c>
      <c r="AJ53">
        <v>0.77011208907205697</v>
      </c>
      <c r="AK53">
        <v>6.4187653496263805E-2</v>
      </c>
      <c r="AL53">
        <v>0.16570025743167799</v>
      </c>
    </row>
    <row r="54" spans="1:38" x14ac:dyDescent="0.2">
      <c r="A54">
        <v>55</v>
      </c>
      <c r="B54">
        <v>748</v>
      </c>
      <c r="C54">
        <v>225</v>
      </c>
      <c r="D54">
        <v>0.34974342652891699</v>
      </c>
      <c r="E54">
        <v>0.60663950443341197</v>
      </c>
      <c r="F54">
        <v>2.5255918826872099</v>
      </c>
      <c r="G54">
        <v>-9.6165476698113217</v>
      </c>
      <c r="H54">
        <v>-8.3329055655647437</v>
      </c>
      <c r="I54">
        <v>1.25705538289827</v>
      </c>
      <c r="J54">
        <v>0.72678891426333903</v>
      </c>
      <c r="K54">
        <v>0.240196964755822</v>
      </c>
      <c r="L54">
        <v>2.9439742213782148E-5</v>
      </c>
      <c r="M54">
        <v>1.8079291363511717E-6</v>
      </c>
      <c r="N54" s="1">
        <v>-6.4143661992085897E-9</v>
      </c>
      <c r="O54" s="1">
        <v>2.26236098374524E-12</v>
      </c>
      <c r="P54" s="1">
        <v>2.3462156987478499E-11</v>
      </c>
      <c r="Q54">
        <v>66.345127099246199</v>
      </c>
      <c r="S54">
        <v>19.094829349714299</v>
      </c>
      <c r="AA54">
        <v>0.27270131630824601</v>
      </c>
      <c r="AB54">
        <v>5.5710589512230797</v>
      </c>
      <c r="AC54">
        <v>8.7162832835080906</v>
      </c>
      <c r="AJ54">
        <v>0.48628228878904101</v>
      </c>
      <c r="AK54">
        <v>1.31537239299203E-2</v>
      </c>
      <c r="AL54">
        <v>0.50056398728103801</v>
      </c>
    </row>
    <row r="55" spans="1:38" x14ac:dyDescent="0.2">
      <c r="A55">
        <v>56</v>
      </c>
      <c r="B55">
        <v>747</v>
      </c>
      <c r="C55">
        <v>225</v>
      </c>
      <c r="D55">
        <v>0.34903739646130499</v>
      </c>
      <c r="E55">
        <v>25.7123732439047</v>
      </c>
      <c r="F55">
        <v>2.55819501826605</v>
      </c>
      <c r="G55">
        <v>-414.8166123523859</v>
      </c>
      <c r="H55">
        <v>-359.84344330004132</v>
      </c>
      <c r="I55">
        <v>53.887339168107196</v>
      </c>
      <c r="J55">
        <v>31.497161873526199</v>
      </c>
      <c r="K55">
        <v>10.050982454548199</v>
      </c>
      <c r="L55">
        <v>3.2069332163357123E-5</v>
      </c>
      <c r="M55">
        <v>1.8341622524214271E-6</v>
      </c>
      <c r="N55" s="1">
        <v>-4.9473456392833701E-7</v>
      </c>
      <c r="O55" s="1">
        <v>8.9585585817948296E-11</v>
      </c>
      <c r="P55" s="1">
        <v>1.64855982322247E-9</v>
      </c>
      <c r="Q55">
        <v>66.313642402598205</v>
      </c>
      <c r="S55">
        <v>20.425577333295902</v>
      </c>
      <c r="AA55">
        <v>1.37792855207198</v>
      </c>
      <c r="AB55">
        <v>8.9896258408844396</v>
      </c>
      <c r="AC55">
        <v>2.8932258711493799</v>
      </c>
      <c r="AJ55">
        <v>0.77133715446273998</v>
      </c>
      <c r="AK55">
        <v>6.5334131857724007E-2</v>
      </c>
      <c r="AL55">
        <v>0.163328713679535</v>
      </c>
    </row>
    <row r="56" spans="1:38" x14ac:dyDescent="0.2">
      <c r="A56">
        <v>56</v>
      </c>
      <c r="B56">
        <v>747</v>
      </c>
      <c r="C56">
        <v>225</v>
      </c>
      <c r="D56">
        <v>0.34903739646130499</v>
      </c>
      <c r="E56">
        <v>14.6642562168451</v>
      </c>
      <c r="F56">
        <v>2.5255061196483801</v>
      </c>
      <c r="G56">
        <v>-232.38706890314182</v>
      </c>
      <c r="H56">
        <v>-201.4118077370978</v>
      </c>
      <c r="I56">
        <v>30.3634378925099</v>
      </c>
      <c r="J56">
        <v>17.568460539904802</v>
      </c>
      <c r="K56">
        <v>5.8064623572904903</v>
      </c>
      <c r="L56">
        <v>2.9434904464888899E-5</v>
      </c>
      <c r="M56">
        <v>1.8076295400971306E-6</v>
      </c>
      <c r="N56" s="1">
        <v>-1.5901063731535799E-7</v>
      </c>
      <c r="O56" s="1">
        <v>5.4672538334461002E-11</v>
      </c>
      <c r="P56" s="1">
        <v>5.7839789111604004E-10</v>
      </c>
      <c r="Q56">
        <v>66.334693768354995</v>
      </c>
      <c r="S56">
        <v>19.088136358097099</v>
      </c>
      <c r="AA56">
        <v>0.26961400482404302</v>
      </c>
      <c r="AB56">
        <v>5.5302622850722596</v>
      </c>
      <c r="AC56">
        <v>8.7772935836514794</v>
      </c>
      <c r="AJ56">
        <v>0.48282082226929901</v>
      </c>
      <c r="AK56">
        <v>1.3007489976918399E-2</v>
      </c>
      <c r="AL56">
        <v>0.50417168775378096</v>
      </c>
    </row>
    <row r="57" spans="1:38" x14ac:dyDescent="0.2">
      <c r="A57">
        <v>57</v>
      </c>
      <c r="B57">
        <v>746</v>
      </c>
      <c r="C57">
        <v>225</v>
      </c>
      <c r="D57">
        <v>0.34832998086640898</v>
      </c>
      <c r="E57">
        <v>28.834354527987699</v>
      </c>
      <c r="F57">
        <v>2.5585382407215702</v>
      </c>
      <c r="G57">
        <v>-465.16461323472379</v>
      </c>
      <c r="H57">
        <v>-403.61155793449819</v>
      </c>
      <c r="I57">
        <v>60.396463033140897</v>
      </c>
      <c r="J57">
        <v>35.340812264325102</v>
      </c>
      <c r="K57">
        <v>11.2698548214216</v>
      </c>
      <c r="L57">
        <v>3.2127341280577399E-5</v>
      </c>
      <c r="M57">
        <v>1.8343055190785E-6</v>
      </c>
      <c r="N57" s="1">
        <v>-5.7348099576712003E-7</v>
      </c>
      <c r="O57" s="1">
        <v>1.0026701818582201E-10</v>
      </c>
      <c r="P57" s="1">
        <v>1.90221128033646E-9</v>
      </c>
      <c r="Q57">
        <v>66.3037298371014</v>
      </c>
      <c r="S57">
        <v>20.438725338473098</v>
      </c>
      <c r="AA57">
        <v>1.3910887526131499</v>
      </c>
      <c r="AB57">
        <v>9.0020054250945094</v>
      </c>
      <c r="AC57">
        <v>2.8644506467177999</v>
      </c>
      <c r="AJ57">
        <v>0.77235165123327598</v>
      </c>
      <c r="AK57">
        <v>6.5954045358718003E-2</v>
      </c>
      <c r="AL57">
        <v>0.161694303408005</v>
      </c>
    </row>
    <row r="58" spans="1:38" x14ac:dyDescent="0.2">
      <c r="A58">
        <v>57</v>
      </c>
      <c r="B58">
        <v>746</v>
      </c>
      <c r="C58">
        <v>225</v>
      </c>
      <c r="D58">
        <v>0.34832998086640898</v>
      </c>
      <c r="E58">
        <v>22.1985922060565</v>
      </c>
      <c r="F58">
        <v>2.52545323154196</v>
      </c>
      <c r="G58">
        <v>-351.69220027348081</v>
      </c>
      <c r="H58">
        <v>-304.88147278400487</v>
      </c>
      <c r="I58">
        <v>45.931146042757099</v>
      </c>
      <c r="J58">
        <v>26.596899050937001</v>
      </c>
      <c r="K58">
        <v>8.7899438915773302</v>
      </c>
      <c r="L58">
        <v>2.9440430756004877E-5</v>
      </c>
      <c r="M58">
        <v>1.807482169343977E-6</v>
      </c>
      <c r="N58" s="1">
        <v>-2.47511455295745E-7</v>
      </c>
      <c r="O58" s="1">
        <v>8.2726776065937405E-11</v>
      </c>
      <c r="P58" s="1">
        <v>8.9495428977120699E-10</v>
      </c>
      <c r="Q58">
        <v>66.328331769784498</v>
      </c>
      <c r="S58">
        <v>19.082500846708701</v>
      </c>
      <c r="AA58">
        <v>0.26644913561785</v>
      </c>
      <c r="AB58">
        <v>5.5013106866035502</v>
      </c>
      <c r="AC58">
        <v>8.8214075612852394</v>
      </c>
      <c r="AJ58">
        <v>0.48036351572589198</v>
      </c>
      <c r="AK58">
        <v>1.2856683367892601E-2</v>
      </c>
      <c r="AL58">
        <v>0.506779800906214</v>
      </c>
    </row>
    <row r="59" spans="1:38" x14ac:dyDescent="0.2">
      <c r="A59">
        <v>58</v>
      </c>
      <c r="B59">
        <v>745</v>
      </c>
      <c r="C59">
        <v>225</v>
      </c>
      <c r="D59">
        <v>0.347621175661739</v>
      </c>
      <c r="E59">
        <v>30.1427620500871</v>
      </c>
      <c r="F59">
        <v>2.5587823611895599</v>
      </c>
      <c r="G59">
        <v>-486.24101231861971</v>
      </c>
      <c r="H59">
        <v>-421.99398743017514</v>
      </c>
      <c r="I59">
        <v>63.101728515881199</v>
      </c>
      <c r="J59">
        <v>36.964967404472802</v>
      </c>
      <c r="K59">
        <v>11.7801195237542</v>
      </c>
      <c r="L59">
        <v>3.2187929461318805E-5</v>
      </c>
      <c r="M59">
        <v>1.8345657999286906E-6</v>
      </c>
      <c r="N59" s="1">
        <v>-6.1961741318589104E-7</v>
      </c>
      <c r="O59" s="1">
        <v>1.04624602916848E-10</v>
      </c>
      <c r="P59" s="1">
        <v>2.0460631826794799E-9</v>
      </c>
      <c r="Q59">
        <v>66.300286049581501</v>
      </c>
      <c r="S59">
        <v>20.445870930571299</v>
      </c>
      <c r="AA59">
        <v>1.3977874999973501</v>
      </c>
      <c r="AB59">
        <v>9.0130642279307001</v>
      </c>
      <c r="AC59">
        <v>2.8429912919191</v>
      </c>
      <c r="AJ59">
        <v>0.77325788898023196</v>
      </c>
      <c r="AK59">
        <v>6.6267995838438301E-2</v>
      </c>
      <c r="AL59">
        <v>0.16047411518132901</v>
      </c>
    </row>
    <row r="60" spans="1:38" x14ac:dyDescent="0.2">
      <c r="A60">
        <v>58</v>
      </c>
      <c r="B60">
        <v>745</v>
      </c>
      <c r="C60">
        <v>225</v>
      </c>
      <c r="D60">
        <v>0.347621175661739</v>
      </c>
      <c r="E60">
        <v>25.2755847941912</v>
      </c>
      <c r="F60">
        <v>2.5254187315056802</v>
      </c>
      <c r="G60">
        <v>-400.34678536626217</v>
      </c>
      <c r="H60">
        <v>-347.13607110630585</v>
      </c>
      <c r="I60">
        <v>52.2621561262646</v>
      </c>
      <c r="J60">
        <v>30.287319415411499</v>
      </c>
      <c r="K60">
        <v>10.0084728440742</v>
      </c>
      <c r="L60">
        <v>2.9452210222480078E-5</v>
      </c>
      <c r="M60">
        <v>1.8074217297404794E-6</v>
      </c>
      <c r="N60" s="1">
        <v>-2.9022475743573901E-7</v>
      </c>
      <c r="O60" s="1">
        <v>9.4143578614454195E-11</v>
      </c>
      <c r="P60" s="1">
        <v>1.0429672487080699E-9</v>
      </c>
      <c r="Q60">
        <v>66.324267320246506</v>
      </c>
      <c r="S60">
        <v>19.077467761491299</v>
      </c>
      <c r="AA60">
        <v>0.26324517251400198</v>
      </c>
      <c r="AB60">
        <v>5.4790583914920497</v>
      </c>
      <c r="AC60">
        <v>8.8559613542559905</v>
      </c>
      <c r="AJ60">
        <v>0.478474340670903</v>
      </c>
      <c r="AK60">
        <v>1.2703515734555901E-2</v>
      </c>
      <c r="AL60">
        <v>0.50882214359454003</v>
      </c>
    </row>
    <row r="61" spans="1:38" x14ac:dyDescent="0.2">
      <c r="A61">
        <v>59</v>
      </c>
      <c r="B61">
        <v>744</v>
      </c>
      <c r="C61">
        <v>225</v>
      </c>
      <c r="D61">
        <v>0.34691097674876298</v>
      </c>
      <c r="E61">
        <v>30.963580138887298</v>
      </c>
      <c r="F61">
        <v>2.5589915068662701</v>
      </c>
      <c r="G61">
        <v>-499.44553853736141</v>
      </c>
      <c r="H61">
        <v>-433.55075733542895</v>
      </c>
      <c r="I61">
        <v>64.783740059905</v>
      </c>
      <c r="J61">
        <v>37.993218692221298</v>
      </c>
      <c r="K61">
        <v>12.0999151641597</v>
      </c>
      <c r="L61">
        <v>3.2250600434777525E-5</v>
      </c>
      <c r="M61">
        <v>1.8348706587588306E-6</v>
      </c>
      <c r="N61" s="1">
        <v>-6.5784034605330696E-7</v>
      </c>
      <c r="O61" s="1">
        <v>1.07277090891283E-10</v>
      </c>
      <c r="P61" s="1">
        <v>2.1627950358428002E-9</v>
      </c>
      <c r="Q61">
        <v>66.299121448780198</v>
      </c>
      <c r="S61">
        <v>20.450892940216999</v>
      </c>
      <c r="AA61">
        <v>1.4022024530522199</v>
      </c>
      <c r="AB61">
        <v>9.0236348286807093</v>
      </c>
      <c r="AC61">
        <v>2.8241483292697001</v>
      </c>
      <c r="AJ61">
        <v>0.77412405967002496</v>
      </c>
      <c r="AK61">
        <v>6.6473809249698701E-2</v>
      </c>
      <c r="AL61">
        <v>0.15940213108027501</v>
      </c>
    </row>
    <row r="62" spans="1:38" x14ac:dyDescent="0.2">
      <c r="A62">
        <v>59</v>
      </c>
      <c r="B62">
        <v>744</v>
      </c>
      <c r="C62">
        <v>225</v>
      </c>
      <c r="D62">
        <v>0.34691097674876298</v>
      </c>
      <c r="E62">
        <v>27.109789512558699</v>
      </c>
      <c r="F62">
        <v>2.5253913747819898</v>
      </c>
      <c r="G62">
        <v>-429.30262740368789</v>
      </c>
      <c r="H62">
        <v>-372.32479969222044</v>
      </c>
      <c r="I62">
        <v>56.017133865671198</v>
      </c>
      <c r="J62">
        <v>32.4900281100049</v>
      </c>
      <c r="K62">
        <v>10.734886395538901</v>
      </c>
      <c r="L62">
        <v>2.9466700320558549E-5</v>
      </c>
      <c r="M62">
        <v>1.8073930266036985E-6</v>
      </c>
      <c r="N62" s="1">
        <v>-3.20743763812013E-7</v>
      </c>
      <c r="O62" s="1">
        <v>1.00916595128157E-10</v>
      </c>
      <c r="P62" s="1">
        <v>1.14560620363238E-9</v>
      </c>
      <c r="Q62">
        <v>66.320983163301094</v>
      </c>
      <c r="S62">
        <v>19.072672671000301</v>
      </c>
      <c r="AA62">
        <v>0.26005548688698299</v>
      </c>
      <c r="AB62">
        <v>5.4591688707020598</v>
      </c>
      <c r="AC62">
        <v>8.88711980810948</v>
      </c>
      <c r="AJ62">
        <v>0.47678540380416401</v>
      </c>
      <c r="AK62">
        <v>1.25508527544588E-2</v>
      </c>
      <c r="AL62">
        <v>0.51066374344137599</v>
      </c>
    </row>
    <row r="63" spans="1:38" x14ac:dyDescent="0.2">
      <c r="A63">
        <v>60</v>
      </c>
      <c r="B63">
        <v>743</v>
      </c>
      <c r="C63">
        <v>225</v>
      </c>
      <c r="D63">
        <v>0.34619938001279399</v>
      </c>
      <c r="E63">
        <v>31.472117185184501</v>
      </c>
      <c r="F63">
        <v>2.5591798351732602</v>
      </c>
      <c r="G63">
        <v>-507.6088142969507</v>
      </c>
      <c r="H63">
        <v>-440.73519210334979</v>
      </c>
      <c r="I63">
        <v>65.810778126852298</v>
      </c>
      <c r="J63">
        <v>38.639899015928897</v>
      </c>
      <c r="K63">
        <v>12.2977356857196</v>
      </c>
      <c r="L63">
        <v>3.2315298385553568E-5</v>
      </c>
      <c r="M63">
        <v>1.835204408609582E-6</v>
      </c>
      <c r="N63" s="1">
        <v>-6.9108408847593799E-7</v>
      </c>
      <c r="O63" s="1">
        <v>1.08837236029489E-10</v>
      </c>
      <c r="P63" s="1">
        <v>2.2623877267287299E-9</v>
      </c>
      <c r="Q63">
        <v>66.299316964095496</v>
      </c>
      <c r="S63">
        <v>20.4546453050751</v>
      </c>
      <c r="AA63">
        <v>1.4052525716553099</v>
      </c>
      <c r="AB63">
        <v>9.0339078363936807</v>
      </c>
      <c r="AC63">
        <v>2.8068773227803399</v>
      </c>
      <c r="AJ63">
        <v>0.77496577848210102</v>
      </c>
      <c r="AK63">
        <v>6.6615002496462905E-2</v>
      </c>
      <c r="AL63">
        <v>0.15841921902143499</v>
      </c>
    </row>
    <row r="64" spans="1:38" x14ac:dyDescent="0.2">
      <c r="A64">
        <v>60</v>
      </c>
      <c r="B64">
        <v>743</v>
      </c>
      <c r="C64">
        <v>225</v>
      </c>
      <c r="D64">
        <v>0.34619938001279399</v>
      </c>
      <c r="E64">
        <v>28.171238218207701</v>
      </c>
      <c r="F64">
        <v>2.52536860963431</v>
      </c>
      <c r="G64">
        <v>-446.01376837239866</v>
      </c>
      <c r="H64">
        <v>-386.90260463116721</v>
      </c>
      <c r="I64">
        <v>58.171690932668803</v>
      </c>
      <c r="J64">
        <v>33.767737192396801</v>
      </c>
      <c r="K64">
        <v>11.155297531906401</v>
      </c>
      <c r="L64">
        <v>2.9483146070980366E-5</v>
      </c>
      <c r="M64">
        <v>1.8073839320056755E-6</v>
      </c>
      <c r="N64" s="1">
        <v>-3.4354015859854398E-7</v>
      </c>
      <c r="O64" s="1">
        <v>1.0480252270055401E-10</v>
      </c>
      <c r="P64" s="1">
        <v>1.2196201746798199E-9</v>
      </c>
      <c r="Q64">
        <v>66.318145271692998</v>
      </c>
      <c r="S64">
        <v>19.068032796791901</v>
      </c>
      <c r="AA64">
        <v>0.25688972636682</v>
      </c>
      <c r="AB64">
        <v>5.4406807479529196</v>
      </c>
      <c r="AC64">
        <v>8.9162514571952993</v>
      </c>
      <c r="AJ64">
        <v>0.47521516517004497</v>
      </c>
      <c r="AK64">
        <v>1.2399225977426299E-2</v>
      </c>
      <c r="AL64">
        <v>0.51238560885252804</v>
      </c>
    </row>
    <row r="65" spans="1:38" x14ac:dyDescent="0.2">
      <c r="A65">
        <v>63</v>
      </c>
      <c r="B65">
        <v>769</v>
      </c>
      <c r="C65">
        <v>200</v>
      </c>
      <c r="D65">
        <v>0.390644820803149</v>
      </c>
      <c r="E65">
        <v>0.47591136426247599</v>
      </c>
      <c r="F65">
        <v>2.5725045288220199</v>
      </c>
      <c r="G65">
        <v>-7.7437353434648593</v>
      </c>
      <c r="H65">
        <v>-6.6918121960145971</v>
      </c>
      <c r="I65">
        <v>1.0093778702204601</v>
      </c>
      <c r="J65">
        <v>0.58051086209605096</v>
      </c>
      <c r="K65">
        <v>0.18499923282172001</v>
      </c>
      <c r="L65">
        <v>3.1279144455018568E-5</v>
      </c>
      <c r="M65">
        <v>1.8166984957582324E-6</v>
      </c>
      <c r="N65" s="1">
        <v>-4.8428902619797397E-9</v>
      </c>
      <c r="O65" s="1">
        <v>1.64696910160678E-12</v>
      </c>
      <c r="P65" s="1">
        <v>1.81358274640869E-11</v>
      </c>
      <c r="Q65">
        <v>65.351938499839093</v>
      </c>
      <c r="S65">
        <v>21.435659401593899</v>
      </c>
      <c r="AA65">
        <v>2.4356570592051598</v>
      </c>
      <c r="AB65">
        <v>9.49458171975966</v>
      </c>
      <c r="AC65">
        <v>1.28216331960214</v>
      </c>
      <c r="AJ65">
        <v>0.81260736256968302</v>
      </c>
      <c r="AK65">
        <v>0.11519452703434099</v>
      </c>
      <c r="AL65">
        <v>7.2198110395975207E-2</v>
      </c>
    </row>
    <row r="66" spans="1:38" x14ac:dyDescent="0.2">
      <c r="A66">
        <v>64</v>
      </c>
      <c r="B66">
        <v>768</v>
      </c>
      <c r="C66">
        <v>200</v>
      </c>
      <c r="D66">
        <v>0.38999231618883101</v>
      </c>
      <c r="E66">
        <v>0.95396529357208304</v>
      </c>
      <c r="F66">
        <v>2.5720861039185201</v>
      </c>
      <c r="G66">
        <v>-15.519149487105231</v>
      </c>
      <c r="H66">
        <v>-13.413585783085741</v>
      </c>
      <c r="I66">
        <v>2.0223442386010499</v>
      </c>
      <c r="J66">
        <v>1.1639421389259901</v>
      </c>
      <c r="K66">
        <v>0.37089166343176999</v>
      </c>
      <c r="L66">
        <v>3.1329740810528635E-5</v>
      </c>
      <c r="M66">
        <v>1.8179624207227762E-6</v>
      </c>
      <c r="N66" s="1">
        <v>-1.00222971631932E-8</v>
      </c>
      <c r="O66" s="1">
        <v>3.3018949913458101E-12</v>
      </c>
      <c r="P66" s="1">
        <v>3.7265764590757603E-11</v>
      </c>
      <c r="Q66">
        <v>65.402490012170404</v>
      </c>
      <c r="S66">
        <v>21.396935779040302</v>
      </c>
      <c r="AA66">
        <v>2.3919141697812099</v>
      </c>
      <c r="AB66">
        <v>9.5057140435876804</v>
      </c>
      <c r="AC66">
        <v>1.30294599542031</v>
      </c>
      <c r="AJ66">
        <v>0.81351603129503902</v>
      </c>
      <c r="AK66">
        <v>0.11311957170185501</v>
      </c>
      <c r="AL66">
        <v>7.3364397003105E-2</v>
      </c>
    </row>
    <row r="67" spans="1:38" x14ac:dyDescent="0.2">
      <c r="A67">
        <v>65</v>
      </c>
      <c r="B67">
        <v>767</v>
      </c>
      <c r="C67">
        <v>200</v>
      </c>
      <c r="D67">
        <v>0.38933855693890601</v>
      </c>
      <c r="E67">
        <v>1.43317038591028</v>
      </c>
      <c r="F67">
        <v>2.5716774410779402</v>
      </c>
      <c r="G67">
        <v>-23.310098610763092</v>
      </c>
      <c r="H67">
        <v>-20.15139183309752</v>
      </c>
      <c r="I67">
        <v>3.0367800583238602</v>
      </c>
      <c r="J67">
        <v>1.74909610619175</v>
      </c>
      <c r="K67">
        <v>0.55729010295690595</v>
      </c>
      <c r="L67">
        <v>3.1380245392079176E-5</v>
      </c>
      <c r="M67">
        <v>1.8191917525675748E-6</v>
      </c>
      <c r="N67" s="1">
        <v>-1.55430786892589E-8</v>
      </c>
      <c r="O67" s="1">
        <v>4.96112307526514E-12</v>
      </c>
      <c r="P67" s="1">
        <v>5.73945379111667E-11</v>
      </c>
      <c r="Q67">
        <v>65.4515427459976</v>
      </c>
      <c r="S67">
        <v>21.359201362781398</v>
      </c>
      <c r="AA67">
        <v>2.3493371051533698</v>
      </c>
      <c r="AB67">
        <v>9.5160997527876905</v>
      </c>
      <c r="AC67">
        <v>1.3238190332797899</v>
      </c>
      <c r="AJ67">
        <v>0.81436370006385395</v>
      </c>
      <c r="AK67">
        <v>0.11110038125855901</v>
      </c>
      <c r="AL67">
        <v>7.4535918677585494E-2</v>
      </c>
    </row>
    <row r="68" spans="1:38" x14ac:dyDescent="0.2">
      <c r="A68">
        <v>66</v>
      </c>
      <c r="B68">
        <v>766</v>
      </c>
      <c r="C68">
        <v>200</v>
      </c>
      <c r="D68">
        <v>0.38868353943126899</v>
      </c>
      <c r="E68">
        <v>1.9132201266840401</v>
      </c>
      <c r="F68">
        <v>2.5712785570021301</v>
      </c>
      <c r="G68">
        <v>-31.111590693782951</v>
      </c>
      <c r="H68">
        <v>-26.900933101644686</v>
      </c>
      <c r="I68">
        <v>4.0520209711189503</v>
      </c>
      <c r="J68">
        <v>2.3356105698173302</v>
      </c>
      <c r="K68">
        <v>0.74407345772551003</v>
      </c>
      <c r="L68">
        <v>3.1430693223504081E-5</v>
      </c>
      <c r="M68">
        <v>1.8203869925489265E-6</v>
      </c>
      <c r="N68" s="1">
        <v>-2.1417141866314201E-8</v>
      </c>
      <c r="O68" s="1">
        <v>6.62336240499331E-12</v>
      </c>
      <c r="P68" s="1">
        <v>7.8553122666253202E-11</v>
      </c>
      <c r="Q68">
        <v>65.499110116077802</v>
      </c>
      <c r="S68">
        <v>21.322450199735101</v>
      </c>
      <c r="AA68">
        <v>2.3079178238177902</v>
      </c>
      <c r="AB68">
        <v>9.5257531346478306</v>
      </c>
      <c r="AC68">
        <v>1.3447687257213501</v>
      </c>
      <c r="AJ68">
        <v>0.81515155252705995</v>
      </c>
      <c r="AK68">
        <v>0.109136537026381</v>
      </c>
      <c r="AL68">
        <v>7.57119104465582E-2</v>
      </c>
    </row>
    <row r="69" spans="1:38" x14ac:dyDescent="0.2">
      <c r="A69">
        <v>67</v>
      </c>
      <c r="B69">
        <v>765</v>
      </c>
      <c r="C69">
        <v>200</v>
      </c>
      <c r="D69">
        <v>0.38802726002986099</v>
      </c>
      <c r="E69">
        <v>2.3938083707393698</v>
      </c>
      <c r="F69">
        <v>2.57088944575912</v>
      </c>
      <c r="G69">
        <v>-38.918645107494257</v>
      </c>
      <c r="H69">
        <v>-33.657918756709137</v>
      </c>
      <c r="I69">
        <v>5.06740485554604</v>
      </c>
      <c r="J69">
        <v>2.9231241427921999</v>
      </c>
      <c r="K69">
        <v>0.93112069625869698</v>
      </c>
      <c r="L69">
        <v>3.1481122013443049E-5</v>
      </c>
      <c r="M69">
        <v>1.8215487160273695E-6</v>
      </c>
      <c r="N69" s="1">
        <v>-2.7656707924336599E-8</v>
      </c>
      <c r="O69" s="1">
        <v>8.2873178979357295E-12</v>
      </c>
      <c r="P69" s="1">
        <v>1.00773322973941E-10</v>
      </c>
      <c r="Q69">
        <v>65.545208598429795</v>
      </c>
      <c r="S69">
        <v>21.2866742233597</v>
      </c>
      <c r="AA69">
        <v>2.2676458263411701</v>
      </c>
      <c r="AB69">
        <v>9.5346897576051202</v>
      </c>
      <c r="AC69">
        <v>1.3657815942640501</v>
      </c>
      <c r="AJ69">
        <v>0.81588087507354701</v>
      </c>
      <c r="AK69">
        <v>0.10722750526765699</v>
      </c>
      <c r="AL69">
        <v>7.6891619658795596E-2</v>
      </c>
    </row>
    <row r="70" spans="1:38" x14ac:dyDescent="0.2">
      <c r="A70">
        <v>68</v>
      </c>
      <c r="B70">
        <v>764</v>
      </c>
      <c r="C70">
        <v>200</v>
      </c>
      <c r="D70">
        <v>0.38736971508460899</v>
      </c>
      <c r="E70">
        <v>2.8746312265578999</v>
      </c>
      <c r="F70">
        <v>2.5705100796102802</v>
      </c>
      <c r="G70">
        <v>-46.72632316046505</v>
      </c>
      <c r="H70">
        <v>-40.418090755013907</v>
      </c>
      <c r="I70">
        <v>6.0822758573505604</v>
      </c>
      <c r="J70">
        <v>3.5112785723573201</v>
      </c>
      <c r="K70">
        <v>1.1183115947919999</v>
      </c>
      <c r="L70">
        <v>3.1531572051121723E-5</v>
      </c>
      <c r="M70">
        <v>1.8226775670549163E-6</v>
      </c>
      <c r="N70" s="1">
        <v>-3.4274345607231899E-8</v>
      </c>
      <c r="O70" s="1">
        <v>9.9516974474957198E-12</v>
      </c>
      <c r="P70" s="1">
        <v>1.24087880227315E-10</v>
      </c>
      <c r="Q70">
        <v>65.589857523147302</v>
      </c>
      <c r="S70">
        <v>21.251863377443399</v>
      </c>
      <c r="AA70">
        <v>2.2285083058327499</v>
      </c>
      <c r="AB70">
        <v>9.5429263340699801</v>
      </c>
      <c r="AC70">
        <v>1.38684445950645</v>
      </c>
      <c r="AJ70">
        <v>0.81655304568712905</v>
      </c>
      <c r="AK70">
        <v>0.105372644398777</v>
      </c>
      <c r="AL70">
        <v>7.8074309914092296E-2</v>
      </c>
    </row>
    <row r="71" spans="1:38" x14ac:dyDescent="0.2">
      <c r="A71">
        <v>69</v>
      </c>
      <c r="B71">
        <v>763</v>
      </c>
      <c r="C71">
        <v>200</v>
      </c>
      <c r="D71">
        <v>0.38671090093133698</v>
      </c>
      <c r="E71">
        <v>3.6736336391262001</v>
      </c>
      <c r="F71">
        <v>2.5698720874780201</v>
      </c>
      <c r="G71">
        <v>-59.697704679863911</v>
      </c>
      <c r="H71">
        <v>-51.647625148801758</v>
      </c>
      <c r="I71">
        <v>7.7692221503278001</v>
      </c>
      <c r="J71">
        <v>4.4884677836283897</v>
      </c>
      <c r="K71">
        <v>1.4295005798251099</v>
      </c>
      <c r="L71">
        <v>3.1585669457464748E-5</v>
      </c>
      <c r="M71">
        <v>1.8241352228510666E-6</v>
      </c>
      <c r="N71" s="1">
        <v>-4.5181296678929599E-8</v>
      </c>
      <c r="O71" s="1">
        <v>1.27231931085355E-11</v>
      </c>
      <c r="P71" s="1">
        <v>1.6256238197694999E-10</v>
      </c>
      <c r="Q71">
        <v>65.652384719092097</v>
      </c>
      <c r="S71">
        <v>21.200347092542501</v>
      </c>
      <c r="AA71">
        <v>2.1714169769327398</v>
      </c>
      <c r="AB71">
        <v>9.5472081992170192</v>
      </c>
      <c r="AC71">
        <v>1.42864301221551</v>
      </c>
      <c r="AJ71">
        <v>0.81690310126344701</v>
      </c>
      <c r="AK71">
        <v>0.102671089511436</v>
      </c>
      <c r="AL71">
        <v>8.0425809225115996E-2</v>
      </c>
    </row>
    <row r="72" spans="1:38" x14ac:dyDescent="0.2">
      <c r="A72">
        <v>70</v>
      </c>
      <c r="B72">
        <v>762</v>
      </c>
      <c r="C72">
        <v>200</v>
      </c>
      <c r="D72">
        <v>0.38605081389170998</v>
      </c>
      <c r="E72">
        <v>5.0874150082473797</v>
      </c>
      <c r="F72">
        <v>2.5687298653396602</v>
      </c>
      <c r="G72">
        <v>-82.638382746017584</v>
      </c>
      <c r="H72">
        <v>-71.505791208011971</v>
      </c>
      <c r="I72">
        <v>10.7545684567508</v>
      </c>
      <c r="J72">
        <v>6.2172094756452196</v>
      </c>
      <c r="K72">
        <v>1.9805177169046799</v>
      </c>
      <c r="L72">
        <v>3.1643032518268326E-5</v>
      </c>
      <c r="M72">
        <v>1.8261507884485859E-6</v>
      </c>
      <c r="N72" s="1">
        <v>-6.4459941617339801E-8</v>
      </c>
      <c r="O72" s="1">
        <v>1.76428976330284E-11</v>
      </c>
      <c r="P72" s="1">
        <v>2.30560692331988E-10</v>
      </c>
      <c r="Q72">
        <v>65.747086275301598</v>
      </c>
      <c r="S72">
        <v>21.117460029494801</v>
      </c>
      <c r="AA72">
        <v>2.0809369877344599</v>
      </c>
      <c r="AB72">
        <v>9.5409463277024802</v>
      </c>
      <c r="AC72">
        <v>1.5135703797664899</v>
      </c>
      <c r="AJ72">
        <v>0.81639420857959499</v>
      </c>
      <c r="AK72">
        <v>9.8396167348503399E-2</v>
      </c>
      <c r="AL72">
        <v>8.5209624071900705E-2</v>
      </c>
    </row>
    <row r="73" spans="1:38" x14ac:dyDescent="0.2">
      <c r="A73">
        <v>71</v>
      </c>
      <c r="B73">
        <v>761</v>
      </c>
      <c r="C73">
        <v>200</v>
      </c>
      <c r="D73">
        <v>0.38538945027317301</v>
      </c>
      <c r="E73">
        <v>6.5413473616799704</v>
      </c>
      <c r="F73">
        <v>2.5675678378101301</v>
      </c>
      <c r="G73">
        <v>-106.20986695173387</v>
      </c>
      <c r="H73">
        <v>-91.915881106482232</v>
      </c>
      <c r="I73">
        <v>13.8219657160486</v>
      </c>
      <c r="J73">
        <v>7.9955751009847997</v>
      </c>
      <c r="K73">
        <v>2.5476823885047</v>
      </c>
      <c r="L73">
        <v>3.1694923200714821E-5</v>
      </c>
      <c r="M73">
        <v>1.8280112915045143E-6</v>
      </c>
      <c r="N73" s="1">
        <v>-8.5315473219355396E-8</v>
      </c>
      <c r="O73" s="1">
        <v>2.2714738704088499E-11</v>
      </c>
      <c r="P73" s="1">
        <v>3.0344127436888801E-10</v>
      </c>
      <c r="Q73">
        <v>65.837062039589398</v>
      </c>
      <c r="S73">
        <v>21.0359820806732</v>
      </c>
      <c r="AA73">
        <v>1.99272223114011</v>
      </c>
      <c r="AB73">
        <v>9.5278474584181492</v>
      </c>
      <c r="AC73">
        <v>1.60638619017901</v>
      </c>
      <c r="AJ73">
        <v>0.81532781190033299</v>
      </c>
      <c r="AK73">
        <v>9.4231264218799002E-2</v>
      </c>
      <c r="AL73">
        <v>9.0440923880867594E-2</v>
      </c>
    </row>
    <row r="74" spans="1:38" x14ac:dyDescent="0.2">
      <c r="A74">
        <v>72</v>
      </c>
      <c r="B74">
        <v>760</v>
      </c>
      <c r="C74">
        <v>200</v>
      </c>
      <c r="D74">
        <v>0.38472680636887402</v>
      </c>
      <c r="E74">
        <v>8.0419503978069606</v>
      </c>
      <c r="F74">
        <v>2.5663769574648398</v>
      </c>
      <c r="G74">
        <v>-130.51497870889918</v>
      </c>
      <c r="H74">
        <v>-112.96703793901173</v>
      </c>
      <c r="I74">
        <v>16.9848916129191</v>
      </c>
      <c r="J74">
        <v>9.8313656230115303</v>
      </c>
      <c r="K74">
        <v>3.1335811266600002</v>
      </c>
      <c r="L74">
        <v>3.1740687413059795E-5</v>
      </c>
      <c r="M74">
        <v>1.8297096035824631E-6</v>
      </c>
      <c r="N74" s="1">
        <v>-1.07866831483337E-7</v>
      </c>
      <c r="O74" s="1">
        <v>2.79622594997776E-11</v>
      </c>
      <c r="P74" s="1">
        <v>3.8159659083860301E-10</v>
      </c>
      <c r="Q74">
        <v>65.922314694079503</v>
      </c>
      <c r="S74">
        <v>20.9555909978457</v>
      </c>
      <c r="AA74">
        <v>1.90650622322173</v>
      </c>
      <c r="AB74">
        <v>9.5070727526984395</v>
      </c>
      <c r="AC74">
        <v>1.7085153321545501</v>
      </c>
      <c r="AJ74">
        <v>0.81363528793414097</v>
      </c>
      <c r="AK74">
        <v>9.0163752084305604E-2</v>
      </c>
      <c r="AL74">
        <v>9.62009599815528E-2</v>
      </c>
    </row>
    <row r="75" spans="1:38" x14ac:dyDescent="0.2">
      <c r="A75">
        <v>73</v>
      </c>
      <c r="B75">
        <v>759</v>
      </c>
      <c r="C75">
        <v>200</v>
      </c>
      <c r="D75">
        <v>0.38406287845759102</v>
      </c>
      <c r="E75">
        <v>9.5985990734956701</v>
      </c>
      <c r="F75">
        <v>2.56514497512718</v>
      </c>
      <c r="G75">
        <v>-155.70191406097783</v>
      </c>
      <c r="H75">
        <v>-134.78767955268975</v>
      </c>
      <c r="I75">
        <v>20.2627859403072</v>
      </c>
      <c r="J75">
        <v>11.735809002909001</v>
      </c>
      <c r="K75">
        <v>3.7419323923474299</v>
      </c>
      <c r="L75">
        <v>3.1779468713588824E-5</v>
      </c>
      <c r="M75">
        <v>1.8312368191187451E-6</v>
      </c>
      <c r="N75" s="1">
        <v>-1.32264376302587E-7</v>
      </c>
      <c r="O75" s="1">
        <v>3.3419614730908101E-11</v>
      </c>
      <c r="P75" s="1">
        <v>4.6553282419374899E-10</v>
      </c>
      <c r="Q75">
        <v>66.002875448672299</v>
      </c>
      <c r="S75">
        <v>20.8758379332602</v>
      </c>
      <c r="AA75">
        <v>1.8219113775844999</v>
      </c>
      <c r="AB75">
        <v>9.4775150473969898</v>
      </c>
      <c r="AC75">
        <v>1.82186019308583</v>
      </c>
      <c r="AJ75">
        <v>0.81122593690646605</v>
      </c>
      <c r="AK75">
        <v>8.6175811814399497E-2</v>
      </c>
      <c r="AL75">
        <v>0.102598251279133</v>
      </c>
    </row>
    <row r="76" spans="1:38" x14ac:dyDescent="0.2">
      <c r="A76">
        <v>74</v>
      </c>
      <c r="B76">
        <v>758</v>
      </c>
      <c r="C76">
        <v>200</v>
      </c>
      <c r="D76">
        <v>0.383397662803666</v>
      </c>
      <c r="E76">
        <v>11.2251698542103</v>
      </c>
      <c r="F76">
        <v>2.5638549863518501</v>
      </c>
      <c r="G76">
        <v>-181.99042668434515</v>
      </c>
      <c r="H76">
        <v>-157.56816793918958</v>
      </c>
      <c r="I76">
        <v>23.684486975857499</v>
      </c>
      <c r="J76">
        <v>13.725539068206</v>
      </c>
      <c r="K76">
        <v>4.3782389854204604</v>
      </c>
      <c r="L76">
        <v>3.1810094039267749E-5</v>
      </c>
      <c r="M76">
        <v>1.8325808497548767E-6</v>
      </c>
      <c r="N76" s="1">
        <v>-1.58708233977568E-7</v>
      </c>
      <c r="O76" s="1">
        <v>3.91376882505544E-11</v>
      </c>
      <c r="P76" s="1">
        <v>5.5593634906783003E-10</v>
      </c>
      <c r="Q76">
        <v>66.078796731950106</v>
      </c>
      <c r="S76">
        <v>20.796098238348701</v>
      </c>
      <c r="AA76">
        <v>1.7384101192708701</v>
      </c>
      <c r="AB76">
        <v>9.4376535793666694</v>
      </c>
      <c r="AC76">
        <v>1.9490413310635799</v>
      </c>
      <c r="AJ76">
        <v>0.80797502974456104</v>
      </c>
      <c r="AK76">
        <v>8.2242620328667304E-2</v>
      </c>
      <c r="AL76">
        <v>0.10978234992677099</v>
      </c>
    </row>
    <row r="77" spans="1:38" x14ac:dyDescent="0.2">
      <c r="A77">
        <v>75</v>
      </c>
      <c r="B77">
        <v>757</v>
      </c>
      <c r="C77">
        <v>200</v>
      </c>
      <c r="D77">
        <v>0.38273115565694399</v>
      </c>
      <c r="E77">
        <v>12.9428876085456</v>
      </c>
      <c r="F77">
        <v>2.5624829926857302</v>
      </c>
      <c r="G77">
        <v>-209.71708143946358</v>
      </c>
      <c r="H77">
        <v>-181.59999193892156</v>
      </c>
      <c r="I77">
        <v>27.2941702669922</v>
      </c>
      <c r="J77">
        <v>15.826015167804499</v>
      </c>
      <c r="K77">
        <v>5.05091649212478</v>
      </c>
      <c r="L77">
        <v>3.1830878726229773E-5</v>
      </c>
      <c r="M77">
        <v>1.833724004280475E-6</v>
      </c>
      <c r="N77" s="1">
        <v>-1.8747966219826601E-7</v>
      </c>
      <c r="O77" s="1">
        <v>4.5194678220620902E-11</v>
      </c>
      <c r="P77" s="1">
        <v>6.5378760671702797E-10</v>
      </c>
      <c r="Q77">
        <v>66.150137813135998</v>
      </c>
      <c r="S77">
        <v>20.715489230044501</v>
      </c>
      <c r="AA77">
        <v>1.6552603960500101</v>
      </c>
      <c r="AB77">
        <v>9.3853063584779903</v>
      </c>
      <c r="AC77">
        <v>2.0938062022914301</v>
      </c>
      <c r="AJ77">
        <v>0.80370342009807705</v>
      </c>
      <c r="AK77">
        <v>7.8329341834799796E-2</v>
      </c>
      <c r="AL77">
        <v>0.117967238067122</v>
      </c>
    </row>
    <row r="78" spans="1:38" x14ac:dyDescent="0.2">
      <c r="A78">
        <v>76</v>
      </c>
      <c r="B78">
        <v>756</v>
      </c>
      <c r="C78">
        <v>200</v>
      </c>
      <c r="D78">
        <v>0.38206335325268598</v>
      </c>
      <c r="E78">
        <v>14.785605984209701</v>
      </c>
      <c r="F78">
        <v>2.5609935783770199</v>
      </c>
      <c r="G78">
        <v>-239.41915230936277</v>
      </c>
      <c r="H78">
        <v>-207.34841178671482</v>
      </c>
      <c r="I78">
        <v>31.162357792982501</v>
      </c>
      <c r="J78">
        <v>18.077860595594601</v>
      </c>
      <c r="K78">
        <v>5.7733865906762096</v>
      </c>
      <c r="L78">
        <v>3.183927424967335E-5</v>
      </c>
      <c r="M78">
        <v>1.8346385740326285E-6</v>
      </c>
      <c r="N78" s="1">
        <v>-2.1899821883631799E-7</v>
      </c>
      <c r="O78" s="1">
        <v>5.1715742117561197E-11</v>
      </c>
      <c r="P78" s="1">
        <v>7.6056935835849795E-10</v>
      </c>
      <c r="Q78">
        <v>66.216935107716296</v>
      </c>
      <c r="S78">
        <v>20.632724947032401</v>
      </c>
      <c r="AA78">
        <v>1.5713927796137199</v>
      </c>
      <c r="AB78">
        <v>9.3171832199152007</v>
      </c>
      <c r="AC78">
        <v>2.2617639457223202</v>
      </c>
      <c r="AJ78">
        <v>0.79814071266706799</v>
      </c>
      <c r="AK78">
        <v>7.4385857227631899E-2</v>
      </c>
      <c r="AL78">
        <v>0.12747343010529899</v>
      </c>
    </row>
    <row r="79" spans="1:38" x14ac:dyDescent="0.2">
      <c r="A79">
        <v>77</v>
      </c>
      <c r="B79">
        <v>755</v>
      </c>
      <c r="C79">
        <v>200</v>
      </c>
      <c r="D79">
        <v>0.38139425181150599</v>
      </c>
      <c r="E79">
        <v>16.810440950074501</v>
      </c>
      <c r="F79">
        <v>2.55933179699002</v>
      </c>
      <c r="G79">
        <v>-272.00350582163861</v>
      </c>
      <c r="H79">
        <v>-235.59869276705558</v>
      </c>
      <c r="I79">
        <v>35.408075722981103</v>
      </c>
      <c r="J79">
        <v>20.549618154110501</v>
      </c>
      <c r="K79">
        <v>6.56829293093024</v>
      </c>
      <c r="L79">
        <v>3.1831186970052607E-5</v>
      </c>
      <c r="M79">
        <v>1.8352781477667603E-6</v>
      </c>
      <c r="N79" s="1">
        <v>-2.53934435626459E-7</v>
      </c>
      <c r="O79" s="1">
        <v>5.8912584327798996E-11</v>
      </c>
      <c r="P79" s="1">
        <v>8.7867888096941802E-10</v>
      </c>
      <c r="Q79">
        <v>66.279133061674003</v>
      </c>
      <c r="S79">
        <v>20.545846081716299</v>
      </c>
      <c r="AA79">
        <v>1.48520378390399</v>
      </c>
      <c r="AB79">
        <v>9.2280237849398201</v>
      </c>
      <c r="AC79">
        <v>2.46179328776579</v>
      </c>
      <c r="AJ79">
        <v>0.79085414099607698</v>
      </c>
      <c r="AK79">
        <v>7.0337110805338707E-2</v>
      </c>
      <c r="AL79">
        <v>0.13880874819858299</v>
      </c>
    </row>
    <row r="80" spans="1:38" x14ac:dyDescent="0.2">
      <c r="A80">
        <v>78</v>
      </c>
      <c r="B80">
        <v>754</v>
      </c>
      <c r="C80">
        <v>200</v>
      </c>
      <c r="D80">
        <v>0.38072384753930699</v>
      </c>
      <c r="E80">
        <v>19.1212174617411</v>
      </c>
      <c r="F80">
        <v>2.5574072841345199</v>
      </c>
      <c r="G80">
        <v>-309.11880472207542</v>
      </c>
      <c r="H80">
        <v>-267.77840476680171</v>
      </c>
      <c r="I80">
        <v>40.247675563718701</v>
      </c>
      <c r="J80">
        <v>23.365853486073199</v>
      </c>
      <c r="K80">
        <v>7.4767979196603198</v>
      </c>
      <c r="L80">
        <v>3.1799566704503885E-5</v>
      </c>
      <c r="M80">
        <v>1.8355590235289782E-6</v>
      </c>
      <c r="N80" s="1">
        <v>-2.93451881962297E-7</v>
      </c>
      <c r="O80" s="1">
        <v>6.7170818566870395E-11</v>
      </c>
      <c r="P80" s="1">
        <v>1.0123181547317199E-9</v>
      </c>
      <c r="Q80">
        <v>66.336396174910206</v>
      </c>
      <c r="S80">
        <v>20.451703328324399</v>
      </c>
      <c r="AA80">
        <v>1.3941734837742701</v>
      </c>
      <c r="AB80">
        <v>9.1088240950514496</v>
      </c>
      <c r="AC80">
        <v>2.70890291793958</v>
      </c>
      <c r="AJ80">
        <v>0.78110200067274804</v>
      </c>
      <c r="AK80">
        <v>6.6065244062308001E-2</v>
      </c>
      <c r="AL80">
        <v>0.152832755264943</v>
      </c>
    </row>
    <row r="81" spans="1:38" x14ac:dyDescent="0.2">
      <c r="A81">
        <v>79</v>
      </c>
      <c r="B81">
        <v>753</v>
      </c>
      <c r="C81">
        <v>200</v>
      </c>
      <c r="D81">
        <v>0.380052136627202</v>
      </c>
      <c r="E81">
        <v>21.9236923442656</v>
      </c>
      <c r="F81">
        <v>2.55506527317876</v>
      </c>
      <c r="G81">
        <v>-354.03142515647403</v>
      </c>
      <c r="H81">
        <v>-306.71599162313476</v>
      </c>
      <c r="I81">
        <v>46.109665773365698</v>
      </c>
      <c r="J81">
        <v>26.7732639537805</v>
      </c>
      <c r="K81">
        <v>8.5804822970296595</v>
      </c>
      <c r="L81">
        <v>3.173144607986683E-5</v>
      </c>
      <c r="M81">
        <v>1.8353183698891532E-6</v>
      </c>
      <c r="N81" s="1">
        <v>-3.3975705129965401E-7</v>
      </c>
      <c r="O81" s="1">
        <v>7.7255989273933505E-11</v>
      </c>
      <c r="P81" s="1">
        <v>1.16953090071854E-9</v>
      </c>
      <c r="Q81">
        <v>66.387502882270795</v>
      </c>
      <c r="S81">
        <v>20.3450817205518</v>
      </c>
      <c r="AA81">
        <v>1.2942845141547501</v>
      </c>
      <c r="AB81">
        <v>8.9431902456419508</v>
      </c>
      <c r="AC81">
        <v>3.02994063738055</v>
      </c>
      <c r="AJ81">
        <v>0.76753124319633603</v>
      </c>
      <c r="AK81">
        <v>6.1382438697752603E-2</v>
      </c>
      <c r="AL81">
        <v>0.17108631810591099</v>
      </c>
    </row>
    <row r="82" spans="1:38" x14ac:dyDescent="0.2">
      <c r="A82">
        <v>80</v>
      </c>
      <c r="B82">
        <v>752</v>
      </c>
      <c r="C82">
        <v>200</v>
      </c>
      <c r="D82">
        <v>0.37937911525142798</v>
      </c>
      <c r="E82">
        <v>26.067420850959799</v>
      </c>
      <c r="F82">
        <v>2.5552871333431999</v>
      </c>
      <c r="G82">
        <v>-420.8647444210269</v>
      </c>
      <c r="H82">
        <v>-364.69703270135716</v>
      </c>
      <c r="I82">
        <v>54.789749519260297</v>
      </c>
      <c r="J82">
        <v>31.8394953013091</v>
      </c>
      <c r="K82">
        <v>10.201366613878101</v>
      </c>
      <c r="L82">
        <v>3.1740192598019853E-5</v>
      </c>
      <c r="M82">
        <v>1.8346046774083615E-6</v>
      </c>
      <c r="N82" s="1">
        <v>-4.1512508392644402E-7</v>
      </c>
      <c r="O82" s="1">
        <v>9.1732221512376298E-11</v>
      </c>
      <c r="P82" s="1">
        <v>1.42254926029776E-9</v>
      </c>
      <c r="Q82">
        <v>66.353068064747006</v>
      </c>
      <c r="S82">
        <v>20.362866490429901</v>
      </c>
      <c r="AA82">
        <v>1.3169920253207501</v>
      </c>
      <c r="AB82">
        <v>8.9130791875244704</v>
      </c>
      <c r="AC82">
        <v>3.0539942319777902</v>
      </c>
      <c r="AJ82">
        <v>0.76506109889227703</v>
      </c>
      <c r="AK82">
        <v>6.2468674438798603E-2</v>
      </c>
      <c r="AL82">
        <v>0.172470226668923</v>
      </c>
    </row>
    <row r="83" spans="1:38" x14ac:dyDescent="0.2">
      <c r="A83">
        <v>80</v>
      </c>
      <c r="B83">
        <v>752</v>
      </c>
      <c r="C83">
        <v>200</v>
      </c>
      <c r="D83">
        <v>0.37937911525142798</v>
      </c>
      <c r="E83">
        <v>12.115025724819599</v>
      </c>
      <c r="F83">
        <v>2.5249180572087702</v>
      </c>
      <c r="G83">
        <v>-192.41022782722001</v>
      </c>
      <c r="H83">
        <v>-166.59297136943113</v>
      </c>
      <c r="I83">
        <v>25.183881829770101</v>
      </c>
      <c r="J83">
        <v>14.512243733752699</v>
      </c>
      <c r="K83">
        <v>4.7981857035837603</v>
      </c>
      <c r="L83">
        <v>2.9420284879119378E-5</v>
      </c>
      <c r="M83">
        <v>1.8104576891913018E-6</v>
      </c>
      <c r="N83" s="1">
        <v>-1.12850547168667E-7</v>
      </c>
      <c r="O83" s="1">
        <v>4.5245646796791398E-11</v>
      </c>
      <c r="P83" s="1">
        <v>4.2486864710514402E-10</v>
      </c>
      <c r="Q83">
        <v>66.376064202463397</v>
      </c>
      <c r="S83">
        <v>19.128324818352301</v>
      </c>
      <c r="AA83">
        <v>0.29311667080232801</v>
      </c>
      <c r="AB83">
        <v>5.7278133527040902</v>
      </c>
      <c r="AC83">
        <v>8.4746809556777194</v>
      </c>
      <c r="AJ83">
        <v>0.49956903474521402</v>
      </c>
      <c r="AK83">
        <v>1.41272608233975E-2</v>
      </c>
      <c r="AL83">
        <v>0.48630370443138698</v>
      </c>
    </row>
    <row r="84" spans="1:38" x14ac:dyDescent="0.2">
      <c r="A84">
        <v>81</v>
      </c>
      <c r="B84">
        <v>751</v>
      </c>
      <c r="C84">
        <v>200</v>
      </c>
      <c r="D84">
        <v>0.378704779573308</v>
      </c>
      <c r="E84">
        <v>28.754598200603301</v>
      </c>
      <c r="F84">
        <v>2.5560335879939</v>
      </c>
      <c r="G84">
        <v>-464.27947475080106</v>
      </c>
      <c r="H84">
        <v>-402.41628617035883</v>
      </c>
      <c r="I84">
        <v>60.4044217941141</v>
      </c>
      <c r="J84">
        <v>35.139378257262003</v>
      </c>
      <c r="K84">
        <v>11.249694971016099</v>
      </c>
      <c r="L84">
        <v>3.1788200944491435E-5</v>
      </c>
      <c r="M84">
        <v>1.8343309358194979E-6</v>
      </c>
      <c r="N84" s="1">
        <v>-4.7369090281632402E-7</v>
      </c>
      <c r="O84" s="1">
        <v>1.00949729361579E-10</v>
      </c>
      <c r="P84" s="1">
        <v>1.6146312706158301E-9</v>
      </c>
      <c r="Q84">
        <v>66.319058569462399</v>
      </c>
      <c r="S84">
        <v>20.399544716542401</v>
      </c>
      <c r="AA84">
        <v>1.3551875882036599</v>
      </c>
      <c r="AB84">
        <v>8.9334475890477805</v>
      </c>
      <c r="AC84">
        <v>2.99276153674362</v>
      </c>
      <c r="AJ84">
        <v>0.76673120891554603</v>
      </c>
      <c r="AK84">
        <v>6.4273840838660001E-2</v>
      </c>
      <c r="AL84">
        <v>0.168994950245792</v>
      </c>
    </row>
    <row r="85" spans="1:38" x14ac:dyDescent="0.2">
      <c r="A85">
        <v>81</v>
      </c>
      <c r="B85">
        <v>751</v>
      </c>
      <c r="C85">
        <v>200</v>
      </c>
      <c r="D85">
        <v>0.378704779573308</v>
      </c>
      <c r="E85">
        <v>21.1332170891482</v>
      </c>
      <c r="F85">
        <v>2.5247680020617498</v>
      </c>
      <c r="G85">
        <v>-335.50660083609108</v>
      </c>
      <c r="H85">
        <v>-290.55305001485095</v>
      </c>
      <c r="I85">
        <v>43.893522258692599</v>
      </c>
      <c r="J85">
        <v>25.311384605226799</v>
      </c>
      <c r="K85">
        <v>8.3703599981822503</v>
      </c>
      <c r="L85">
        <v>2.9399881065167355E-5</v>
      </c>
      <c r="M85">
        <v>1.8099453701693524E-6</v>
      </c>
      <c r="N85" s="1">
        <v>-2.0110721032758001E-7</v>
      </c>
      <c r="O85" s="1">
        <v>7.8924271433241404E-11</v>
      </c>
      <c r="P85" s="1">
        <v>7.5320152724345198E-10</v>
      </c>
      <c r="Q85">
        <v>66.360477341471196</v>
      </c>
      <c r="S85">
        <v>19.1195990403418</v>
      </c>
      <c r="AA85">
        <v>0.28955479552531499</v>
      </c>
      <c r="AB85">
        <v>5.6702031072338901</v>
      </c>
      <c r="AC85">
        <v>8.56016571542769</v>
      </c>
      <c r="AJ85">
        <v>0.49468830495423199</v>
      </c>
      <c r="AK85">
        <v>1.3959651614378401E-2</v>
      </c>
      <c r="AL85">
        <v>0.491352043431389</v>
      </c>
    </row>
    <row r="86" spans="1:38" x14ac:dyDescent="0.2">
      <c r="A86">
        <v>82</v>
      </c>
      <c r="B86">
        <v>750</v>
      </c>
      <c r="C86">
        <v>200</v>
      </c>
      <c r="D86">
        <v>0.37802912573913899</v>
      </c>
      <c r="E86">
        <v>29.9125272053613</v>
      </c>
      <c r="F86">
        <v>2.5564542012305602</v>
      </c>
      <c r="G86">
        <v>-482.96655428115361</v>
      </c>
      <c r="H86">
        <v>-418.71055558528792</v>
      </c>
      <c r="I86">
        <v>62.802129400249797</v>
      </c>
      <c r="J86">
        <v>36.571988156787803</v>
      </c>
      <c r="K86">
        <v>11.7007874386964</v>
      </c>
      <c r="L86">
        <v>3.1838908610589358E-5</v>
      </c>
      <c r="M86">
        <v>1.834387228061423E-6</v>
      </c>
      <c r="N86" s="1">
        <v>-5.0937776343876504E-7</v>
      </c>
      <c r="O86" s="1">
        <v>1.0482047979615601E-10</v>
      </c>
      <c r="P86" s="1">
        <v>1.72740662957268E-9</v>
      </c>
      <c r="Q86">
        <v>66.304864190732999</v>
      </c>
      <c r="S86">
        <v>20.4171116523767</v>
      </c>
      <c r="AA86">
        <v>1.37299255436487</v>
      </c>
      <c r="AB86">
        <v>8.9478701832685594</v>
      </c>
      <c r="AC86">
        <v>2.9571614192567202</v>
      </c>
      <c r="AJ86">
        <v>0.76791373785254602</v>
      </c>
      <c r="AK86">
        <v>6.5113604136096001E-2</v>
      </c>
      <c r="AL86">
        <v>0.16697265801135699</v>
      </c>
    </row>
    <row r="87" spans="1:38" x14ac:dyDescent="0.2">
      <c r="A87">
        <v>82</v>
      </c>
      <c r="B87">
        <v>750</v>
      </c>
      <c r="C87">
        <v>200</v>
      </c>
      <c r="D87">
        <v>0.37802912573913899</v>
      </c>
      <c r="E87">
        <v>24.856200843007102</v>
      </c>
      <c r="F87">
        <v>2.5246879817533299</v>
      </c>
      <c r="G87">
        <v>-394.49776689528943</v>
      </c>
      <c r="H87">
        <v>-341.71513453062909</v>
      </c>
      <c r="I87">
        <v>51.5883617892394</v>
      </c>
      <c r="J87">
        <v>29.7706667171216</v>
      </c>
      <c r="K87">
        <v>9.8452565317577001</v>
      </c>
      <c r="L87">
        <v>2.9398252259229498E-5</v>
      </c>
      <c r="M87">
        <v>1.8097231721439289E-6</v>
      </c>
      <c r="N87" s="1">
        <v>-2.4289561345811502E-7</v>
      </c>
      <c r="O87" s="1">
        <v>9.2801954308289797E-11</v>
      </c>
      <c r="P87" s="1">
        <v>9.0405043509379904E-10</v>
      </c>
      <c r="Q87">
        <v>66.3525896023949</v>
      </c>
      <c r="S87">
        <v>19.1130846686113</v>
      </c>
      <c r="AA87">
        <v>0.28602086822699702</v>
      </c>
      <c r="AB87">
        <v>5.6355474312082503</v>
      </c>
      <c r="AC87">
        <v>8.6127574295585205</v>
      </c>
      <c r="AJ87">
        <v>0.49175092843398499</v>
      </c>
      <c r="AK87">
        <v>1.3791693281701401E-2</v>
      </c>
      <c r="AL87">
        <v>0.49445737828431202</v>
      </c>
    </row>
    <row r="88" spans="1:38" x14ac:dyDescent="0.2">
      <c r="A88">
        <v>83</v>
      </c>
      <c r="B88">
        <v>749</v>
      </c>
      <c r="C88">
        <v>200</v>
      </c>
      <c r="D88">
        <v>0.37735214988015597</v>
      </c>
      <c r="E88">
        <v>30.552655339171199</v>
      </c>
      <c r="F88">
        <v>2.5567536890617601</v>
      </c>
      <c r="G88">
        <v>-493.27774561736112</v>
      </c>
      <c r="H88">
        <v>-427.74709175200559</v>
      </c>
      <c r="I88">
        <v>64.110603987042296</v>
      </c>
      <c r="J88">
        <v>37.372666845268199</v>
      </c>
      <c r="K88">
        <v>11.949784396471401</v>
      </c>
      <c r="L88">
        <v>3.1891743284566318E-5</v>
      </c>
      <c r="M88">
        <v>1.8345738066408859E-6</v>
      </c>
      <c r="N88" s="1">
        <v>-5.3770459577830702E-7</v>
      </c>
      <c r="O88" s="1">
        <v>1.0688263067581E-10</v>
      </c>
      <c r="P88" s="1">
        <v>1.81440676264614E-9</v>
      </c>
      <c r="Q88">
        <v>66.298197917954496</v>
      </c>
      <c r="S88">
        <v>20.427498990999698</v>
      </c>
      <c r="AA88">
        <v>1.3831176987057501</v>
      </c>
      <c r="AB88">
        <v>8.9602465104590507</v>
      </c>
      <c r="AC88">
        <v>2.9309388818809401</v>
      </c>
      <c r="AJ88">
        <v>0.76892843968725699</v>
      </c>
      <c r="AK88">
        <v>6.5589737855331801E-2</v>
      </c>
      <c r="AL88">
        <v>0.16548182245741</v>
      </c>
    </row>
    <row r="89" spans="1:38" x14ac:dyDescent="0.2">
      <c r="A89">
        <v>83</v>
      </c>
      <c r="B89">
        <v>749</v>
      </c>
      <c r="C89">
        <v>200</v>
      </c>
      <c r="D89">
        <v>0.37735214988015597</v>
      </c>
      <c r="E89">
        <v>26.777928528837901</v>
      </c>
      <c r="F89">
        <v>2.5246337918928798</v>
      </c>
      <c r="G89">
        <v>-424.8903443442278</v>
      </c>
      <c r="H89">
        <v>-368.12185411969517</v>
      </c>
      <c r="I89">
        <v>55.538316513752797</v>
      </c>
      <c r="J89">
        <v>32.074487633395798</v>
      </c>
      <c r="K89">
        <v>10.6066585240312</v>
      </c>
      <c r="L89">
        <v>2.9403951654526378E-5</v>
      </c>
      <c r="M89">
        <v>1.809608334207195E-6</v>
      </c>
      <c r="N89" s="1">
        <v>-2.6922489989389098E-7</v>
      </c>
      <c r="O89" s="1">
        <v>9.99375516171549E-11</v>
      </c>
      <c r="P89" s="1">
        <v>9.9552842700178193E-10</v>
      </c>
      <c r="Q89">
        <v>66.347511294747804</v>
      </c>
      <c r="S89">
        <v>19.107400719287501</v>
      </c>
      <c r="AA89">
        <v>0.28251650550042101</v>
      </c>
      <c r="AB89">
        <v>5.6093294827886302</v>
      </c>
      <c r="AC89">
        <v>8.6532419976755701</v>
      </c>
      <c r="AJ89">
        <v>0.48952804950023399</v>
      </c>
      <c r="AK89">
        <v>1.3624521139601199E-2</v>
      </c>
      <c r="AL89">
        <v>0.49684742936016402</v>
      </c>
    </row>
    <row r="90" spans="1:38" x14ac:dyDescent="0.2">
      <c r="A90">
        <v>84</v>
      </c>
      <c r="B90">
        <v>748</v>
      </c>
      <c r="C90">
        <v>200</v>
      </c>
      <c r="D90">
        <v>0.37667384811242399</v>
      </c>
      <c r="E90">
        <v>31.054077167635199</v>
      </c>
      <c r="F90">
        <v>2.55701472482487</v>
      </c>
      <c r="G90">
        <v>-501.34369702706886</v>
      </c>
      <c r="H90">
        <v>-434.83962736773128</v>
      </c>
      <c r="I90">
        <v>65.126641198000002</v>
      </c>
      <c r="J90">
        <v>38.004792633131203</v>
      </c>
      <c r="K90">
        <v>12.144661063600999</v>
      </c>
      <c r="L90">
        <v>3.1946277118455498E-5</v>
      </c>
      <c r="M90">
        <v>1.8348038797047913E-6</v>
      </c>
      <c r="N90" s="1">
        <v>-5.6481228355341296E-7</v>
      </c>
      <c r="O90" s="1">
        <v>1.0845510000621E-10</v>
      </c>
      <c r="P90" s="1">
        <v>1.8966288888206999E-9</v>
      </c>
      <c r="Q90">
        <v>66.293890063867906</v>
      </c>
      <c r="S90">
        <v>20.4356131234528</v>
      </c>
      <c r="AA90">
        <v>1.3908171199206101</v>
      </c>
      <c r="AB90">
        <v>8.9719189417399701</v>
      </c>
      <c r="AC90">
        <v>2.9077607510186798</v>
      </c>
      <c r="AJ90">
        <v>0.76988534682256105</v>
      </c>
      <c r="AK90">
        <v>6.5951022134429799E-2</v>
      </c>
      <c r="AL90">
        <v>0.16416363104300799</v>
      </c>
    </row>
    <row r="91" spans="1:38" x14ac:dyDescent="0.2">
      <c r="A91">
        <v>84</v>
      </c>
      <c r="B91">
        <v>748</v>
      </c>
      <c r="C91">
        <v>200</v>
      </c>
      <c r="D91">
        <v>0.37667384811242399</v>
      </c>
      <c r="E91">
        <v>28.1775187038903</v>
      </c>
      <c r="F91">
        <v>2.5245887525846</v>
      </c>
      <c r="G91">
        <v>-446.98998833493482</v>
      </c>
      <c r="H91">
        <v>-387.35355047482312</v>
      </c>
      <c r="I91">
        <v>58.401251393146701</v>
      </c>
      <c r="J91">
        <v>33.753955410091997</v>
      </c>
      <c r="K91">
        <v>11.161231180739</v>
      </c>
      <c r="L91">
        <v>2.9412421784931799E-5</v>
      </c>
      <c r="M91">
        <v>1.809528510469794E-6</v>
      </c>
      <c r="N91" s="1">
        <v>-2.9165070369506698E-7</v>
      </c>
      <c r="O91" s="1">
        <v>1.0511444795948599E-10</v>
      </c>
      <c r="P91" s="1">
        <v>1.07143728310457E-9</v>
      </c>
      <c r="Q91">
        <v>66.343288747140704</v>
      </c>
      <c r="S91">
        <v>19.102015995622502</v>
      </c>
      <c r="AA91">
        <v>0.27905932709984699</v>
      </c>
      <c r="AB91">
        <v>5.5858030087007799</v>
      </c>
      <c r="AC91">
        <v>8.6898329214359809</v>
      </c>
      <c r="AJ91">
        <v>0.487532867915489</v>
      </c>
      <c r="AK91">
        <v>1.3459397428898999E-2</v>
      </c>
      <c r="AL91">
        <v>0.49900773465561099</v>
      </c>
    </row>
    <row r="92" spans="1:38" x14ac:dyDescent="0.2">
      <c r="A92">
        <v>86</v>
      </c>
      <c r="B92">
        <v>779</v>
      </c>
      <c r="C92">
        <v>175</v>
      </c>
      <c r="D92">
        <v>0.42323860666254698</v>
      </c>
      <c r="E92">
        <v>0.45211602177555499</v>
      </c>
      <c r="F92">
        <v>2.57063167184547</v>
      </c>
      <c r="G92">
        <v>-7.3708664372574688</v>
      </c>
      <c r="H92">
        <v>-6.356272859155637</v>
      </c>
      <c r="I92">
        <v>0.96430506876569999</v>
      </c>
      <c r="J92">
        <v>0.55047866962420799</v>
      </c>
      <c r="K92">
        <v>0.175877402712843</v>
      </c>
      <c r="L92">
        <v>3.1014067863962413E-5</v>
      </c>
      <c r="M92">
        <v>1.8166792607360141E-6</v>
      </c>
      <c r="N92" s="1">
        <v>-3.3219416906010998E-9</v>
      </c>
      <c r="O92" s="1">
        <v>1.5756291708628301E-12</v>
      </c>
      <c r="P92" s="1">
        <v>1.34935664071348E-11</v>
      </c>
      <c r="Q92">
        <v>65.349654284518294</v>
      </c>
      <c r="S92">
        <v>21.440284872164799</v>
      </c>
      <c r="AA92">
        <v>2.4400061102050898</v>
      </c>
      <c r="AB92">
        <v>9.5016177408459903</v>
      </c>
      <c r="AC92">
        <v>1.2684369922657199</v>
      </c>
      <c r="AJ92">
        <v>0.81318112782838203</v>
      </c>
      <c r="AK92">
        <v>0.11539618224763599</v>
      </c>
      <c r="AL92">
        <v>7.1422689923980903E-2</v>
      </c>
    </row>
    <row r="93" spans="1:38" x14ac:dyDescent="0.2">
      <c r="A93">
        <v>87</v>
      </c>
      <c r="B93">
        <v>778</v>
      </c>
      <c r="C93">
        <v>175</v>
      </c>
      <c r="D93">
        <v>0.422623317319128</v>
      </c>
      <c r="E93">
        <v>0.91133561981672195</v>
      </c>
      <c r="F93">
        <v>2.5702350614869198</v>
      </c>
      <c r="G93">
        <v>-14.854555921326574</v>
      </c>
      <c r="H93">
        <v>-12.812323895562624</v>
      </c>
      <c r="I93">
        <v>1.9428549928782199</v>
      </c>
      <c r="J93">
        <v>1.1098071974888599</v>
      </c>
      <c r="K93">
        <v>0.354572869023699</v>
      </c>
      <c r="L93">
        <v>3.1056047815413184E-5</v>
      </c>
      <c r="M93">
        <v>1.817875449330087E-6</v>
      </c>
      <c r="N93" s="1">
        <v>-6.9158829127756404E-9</v>
      </c>
      <c r="O93" s="1">
        <v>3.17706028387657E-12</v>
      </c>
      <c r="P93" s="1">
        <v>2.7840234343770201E-11</v>
      </c>
      <c r="Q93">
        <v>65.398077412465298</v>
      </c>
      <c r="S93">
        <v>21.4032710190987</v>
      </c>
      <c r="AA93">
        <v>2.3981704275141098</v>
      </c>
      <c r="AB93">
        <v>9.5124894571895595</v>
      </c>
      <c r="AC93">
        <v>1.2879916837321901</v>
      </c>
      <c r="AJ93">
        <v>0.81406844898430397</v>
      </c>
      <c r="AK93">
        <v>0.11341162369008199</v>
      </c>
      <c r="AL93">
        <v>7.2519927325613104E-2</v>
      </c>
    </row>
    <row r="94" spans="1:38" x14ac:dyDescent="0.2">
      <c r="A94">
        <v>88</v>
      </c>
      <c r="B94">
        <v>777</v>
      </c>
      <c r="C94">
        <v>175</v>
      </c>
      <c r="D94">
        <v>0.42200685616340999</v>
      </c>
      <c r="E94">
        <v>1.37146165345545</v>
      </c>
      <c r="F94">
        <v>2.56984755717545</v>
      </c>
      <c r="G94">
        <v>-22.350009807713413</v>
      </c>
      <c r="H94">
        <v>-19.281038113167476</v>
      </c>
      <c r="I94">
        <v>2.92241269775359</v>
      </c>
      <c r="J94">
        <v>1.67044849115995</v>
      </c>
      <c r="K94">
        <v>0.53367432228658795</v>
      </c>
      <c r="L94">
        <v>3.1097801179335193E-5</v>
      </c>
      <c r="M94">
        <v>1.8190393657389545E-6</v>
      </c>
      <c r="N94" s="1">
        <v>-1.07472563906952E-8</v>
      </c>
      <c r="O94" s="1">
        <v>4.7825303845686303E-12</v>
      </c>
      <c r="P94" s="1">
        <v>4.2886513060965702E-11</v>
      </c>
      <c r="Q94">
        <v>65.445117449888997</v>
      </c>
      <c r="S94">
        <v>21.367172244525001</v>
      </c>
      <c r="AA94">
        <v>2.3574124192146599</v>
      </c>
      <c r="AB94">
        <v>9.5226780276964202</v>
      </c>
      <c r="AC94">
        <v>1.30761985867477</v>
      </c>
      <c r="AJ94">
        <v>0.81489995529563397</v>
      </c>
      <c r="AK94">
        <v>0.11147861150888699</v>
      </c>
      <c r="AL94">
        <v>7.3621433195477995E-2</v>
      </c>
    </row>
    <row r="95" spans="1:38" x14ac:dyDescent="0.2">
      <c r="A95">
        <v>89</v>
      </c>
      <c r="B95">
        <v>776</v>
      </c>
      <c r="C95">
        <v>175</v>
      </c>
      <c r="D95">
        <v>0.42138921984463801</v>
      </c>
      <c r="E95">
        <v>1.83222822562805</v>
      </c>
      <c r="F95">
        <v>2.5694691618391499</v>
      </c>
      <c r="G95">
        <v>-29.852890806352235</v>
      </c>
      <c r="H95">
        <v>-25.758689144700927</v>
      </c>
      <c r="I95">
        <v>3.90239876247563</v>
      </c>
      <c r="J95">
        <v>2.2320860816169898</v>
      </c>
      <c r="K95">
        <v>0.713076557928638</v>
      </c>
      <c r="L95">
        <v>3.1139354731012313E-5</v>
      </c>
      <c r="M95">
        <v>1.8201714627078766E-6</v>
      </c>
      <c r="N95" s="1">
        <v>-1.48238633842083E-8</v>
      </c>
      <c r="O95" s="1">
        <v>6.3909350536791897E-12</v>
      </c>
      <c r="P95" s="1">
        <v>5.8652346213496101E-11</v>
      </c>
      <c r="Q95">
        <v>65.490787322059901</v>
      </c>
      <c r="S95">
        <v>21.331982464714901</v>
      </c>
      <c r="AA95">
        <v>2.3177240502328602</v>
      </c>
      <c r="AB95">
        <v>9.5321963063526791</v>
      </c>
      <c r="AC95">
        <v>1.32730985663961</v>
      </c>
      <c r="AJ95">
        <v>0.81567671157986299</v>
      </c>
      <c r="AK95">
        <v>0.109596731635575</v>
      </c>
      <c r="AL95">
        <v>7.4726556784560402E-2</v>
      </c>
    </row>
    <row r="96" spans="1:38" x14ac:dyDescent="0.2">
      <c r="A96">
        <v>90</v>
      </c>
      <c r="B96">
        <v>775</v>
      </c>
      <c r="C96">
        <v>175</v>
      </c>
      <c r="D96">
        <v>0.42077040499928797</v>
      </c>
      <c r="E96">
        <v>2.2933702094031498</v>
      </c>
      <c r="F96">
        <v>2.5690998594136101</v>
      </c>
      <c r="G96">
        <v>-37.35887871037756</v>
      </c>
      <c r="H96">
        <v>-32.241562344019833</v>
      </c>
      <c r="I96">
        <v>4.8822366706651996</v>
      </c>
      <c r="J96">
        <v>2.7944047139591901</v>
      </c>
      <c r="K96">
        <v>0.89267460780080699</v>
      </c>
      <c r="L96">
        <v>3.1180737264915991E-5</v>
      </c>
      <c r="M96">
        <v>1.8212722533470159E-6</v>
      </c>
      <c r="N96" s="1">
        <v>-1.9153701272725598E-8</v>
      </c>
      <c r="O96" s="1">
        <v>8.0011686971739899E-12</v>
      </c>
      <c r="P96" s="1">
        <v>7.5158203518277501E-11</v>
      </c>
      <c r="Q96">
        <v>65.535102480100406</v>
      </c>
      <c r="S96">
        <v>21.297693844323302</v>
      </c>
      <c r="AA96">
        <v>2.2790952510207201</v>
      </c>
      <c r="AB96">
        <v>9.5410581837809492</v>
      </c>
      <c r="AC96">
        <v>1.34705024077449</v>
      </c>
      <c r="AJ96">
        <v>0.81639986570815604</v>
      </c>
      <c r="AK96">
        <v>0.10776547482979899</v>
      </c>
      <c r="AL96">
        <v>7.5834659462044596E-2</v>
      </c>
    </row>
    <row r="97" spans="1:38" x14ac:dyDescent="0.2">
      <c r="A97">
        <v>91</v>
      </c>
      <c r="B97">
        <v>774</v>
      </c>
      <c r="C97">
        <v>175</v>
      </c>
      <c r="D97">
        <v>0.420150408250972</v>
      </c>
      <c r="E97">
        <v>2.7546247203990499</v>
      </c>
      <c r="F97">
        <v>2.5687396155840099</v>
      </c>
      <c r="G97">
        <v>-44.863694299324543</v>
      </c>
      <c r="H97">
        <v>-38.725975389367001</v>
      </c>
      <c r="I97">
        <v>5.8613559757031304</v>
      </c>
      <c r="J97">
        <v>3.3570921611397302</v>
      </c>
      <c r="K97">
        <v>1.0723643236111999</v>
      </c>
      <c r="L97">
        <v>3.122197950380614E-5</v>
      </c>
      <c r="M97">
        <v>1.8223423066377077E-6</v>
      </c>
      <c r="N97" s="1">
        <v>-2.3744984741404398E-8</v>
      </c>
      <c r="O97" s="1">
        <v>9.6121301546474301E-12</v>
      </c>
      <c r="P97" s="1">
        <v>9.2425152428778406E-11</v>
      </c>
      <c r="Q97">
        <v>65.578080727908798</v>
      </c>
      <c r="S97">
        <v>21.264296901089399</v>
      </c>
      <c r="AA97">
        <v>2.24151404431954</v>
      </c>
      <c r="AB97">
        <v>9.5492784760337308</v>
      </c>
      <c r="AC97">
        <v>1.36682985064845</v>
      </c>
      <c r="AJ97">
        <v>0.81707063957350101</v>
      </c>
      <c r="AK97">
        <v>0.105984242749577</v>
      </c>
      <c r="AL97">
        <v>7.6945117676921304E-2</v>
      </c>
    </row>
    <row r="98" spans="1:38" x14ac:dyDescent="0.2">
      <c r="A98">
        <v>92</v>
      </c>
      <c r="B98">
        <v>773</v>
      </c>
      <c r="C98">
        <v>175</v>
      </c>
      <c r="D98">
        <v>0.41952922621038902</v>
      </c>
      <c r="E98">
        <v>3.2157325111699699</v>
      </c>
      <c r="F98">
        <v>2.5683883786664898</v>
      </c>
      <c r="G98">
        <v>-52.363121935210202</v>
      </c>
      <c r="H98">
        <v>-45.208297785145909</v>
      </c>
      <c r="I98">
        <v>6.8391952875441397</v>
      </c>
      <c r="J98">
        <v>3.9198409430135799</v>
      </c>
      <c r="K98">
        <v>1.2520429300647999</v>
      </c>
      <c r="L98">
        <v>3.1263114002241914E-5</v>
      </c>
      <c r="M98">
        <v>1.8233822426645288E-6</v>
      </c>
      <c r="N98" s="1">
        <v>-2.8606168649410101E-8</v>
      </c>
      <c r="O98" s="1">
        <v>1.12227280121385E-11</v>
      </c>
      <c r="P98" s="1">
        <v>1.1047493393750201E-10</v>
      </c>
      <c r="Q98">
        <v>65.619742035672502</v>
      </c>
      <c r="S98">
        <v>21.231780620831898</v>
      </c>
      <c r="AA98">
        <v>2.2049666835469801</v>
      </c>
      <c r="AB98">
        <v>9.5568728104953493</v>
      </c>
      <c r="AC98">
        <v>1.38663784945312</v>
      </c>
      <c r="AJ98">
        <v>0.81769031983343698</v>
      </c>
      <c r="AK98">
        <v>0.104252354557873</v>
      </c>
      <c r="AL98">
        <v>7.8057325608688902E-2</v>
      </c>
    </row>
    <row r="99" spans="1:38" x14ac:dyDescent="0.2">
      <c r="A99">
        <v>93</v>
      </c>
      <c r="B99">
        <v>772</v>
      </c>
      <c r="C99">
        <v>175</v>
      </c>
      <c r="D99">
        <v>0.418906855475288</v>
      </c>
      <c r="E99">
        <v>3.6764392665110899</v>
      </c>
      <c r="F99">
        <v>2.5680460806085299</v>
      </c>
      <c r="G99">
        <v>-59.853030512131042</v>
      </c>
      <c r="H99">
        <v>-51.684968968079595</v>
      </c>
      <c r="I99">
        <v>7.8152050366468302</v>
      </c>
      <c r="J99">
        <v>4.4823499249530903</v>
      </c>
      <c r="K99">
        <v>1.4316095393583801</v>
      </c>
      <c r="L99">
        <v>3.1304175046472655E-5</v>
      </c>
      <c r="M99">
        <v>1.8243927276528342E-6</v>
      </c>
      <c r="N99" s="1">
        <v>-3.37459723931839E-8</v>
      </c>
      <c r="O99" s="1">
        <v>1.2831885538659101E-11</v>
      </c>
      <c r="P99" s="1">
        <v>1.2933004176403199E-10</v>
      </c>
      <c r="Q99">
        <v>65.660108343212599</v>
      </c>
      <c r="S99">
        <v>21.2001325805983</v>
      </c>
      <c r="AA99">
        <v>2.1694378002824899</v>
      </c>
      <c r="AB99">
        <v>9.5638575104950707</v>
      </c>
      <c r="AC99">
        <v>1.40646376541145</v>
      </c>
      <c r="AJ99">
        <v>0.81826024855653601</v>
      </c>
      <c r="AK99">
        <v>0.102569053946288</v>
      </c>
      <c r="AL99">
        <v>7.9170697497175105E-2</v>
      </c>
    </row>
    <row r="100" spans="1:38" x14ac:dyDescent="0.2">
      <c r="A100">
        <v>94</v>
      </c>
      <c r="B100">
        <v>771</v>
      </c>
      <c r="C100">
        <v>175</v>
      </c>
      <c r="D100">
        <v>0.41828329263037001</v>
      </c>
      <c r="E100">
        <v>4.1364967887360304</v>
      </c>
      <c r="F100">
        <v>2.5677126380920101</v>
      </c>
      <c r="G100">
        <v>-67.329392585268181</v>
      </c>
      <c r="H100">
        <v>-58.152514865823655</v>
      </c>
      <c r="I100">
        <v>8.7888499922851295</v>
      </c>
      <c r="J100">
        <v>5.0443257826306303</v>
      </c>
      <c r="K100">
        <v>1.61096562262112</v>
      </c>
      <c r="L100">
        <v>3.1345198553342034E-5</v>
      </c>
      <c r="M100">
        <v>1.8253744689043977E-6</v>
      </c>
      <c r="N100" s="1">
        <v>-3.9173405631750699E-8</v>
      </c>
      <c r="O100" s="1">
        <v>1.4438545201893199E-11</v>
      </c>
      <c r="P100" s="1">
        <v>1.4901380442786601E-10</v>
      </c>
      <c r="Q100">
        <v>65.699203356757096</v>
      </c>
      <c r="S100">
        <v>21.169339077826599</v>
      </c>
      <c r="AA100">
        <v>2.1349105582480501</v>
      </c>
      <c r="AB100">
        <v>9.5702494810436498</v>
      </c>
      <c r="AC100">
        <v>1.4262975261244999</v>
      </c>
      <c r="AJ100">
        <v>0.81878181396780203</v>
      </c>
      <c r="AK100">
        <v>0.100933516452786</v>
      </c>
      <c r="AL100">
        <v>8.0284669579411397E-2</v>
      </c>
    </row>
    <row r="101" spans="1:38" x14ac:dyDescent="0.2">
      <c r="A101">
        <v>95</v>
      </c>
      <c r="B101">
        <v>770</v>
      </c>
      <c r="C101">
        <v>175</v>
      </c>
      <c r="D101">
        <v>0.41765853424723398</v>
      </c>
      <c r="E101">
        <v>4.5956640625311502</v>
      </c>
      <c r="F101">
        <v>2.5673879536998001</v>
      </c>
      <c r="G101">
        <v>-74.788301513851778</v>
      </c>
      <c r="H101">
        <v>-64.607562763170236</v>
      </c>
      <c r="I101">
        <v>9.7596115138585304</v>
      </c>
      <c r="J101">
        <v>5.6054843202200502</v>
      </c>
      <c r="K101">
        <v>1.7900154341335299</v>
      </c>
      <c r="L101">
        <v>3.1386221969605078E-5</v>
      </c>
      <c r="M101">
        <v>1.826328209710946E-6</v>
      </c>
      <c r="N101" s="1">
        <v>-4.4897795212457701E-8</v>
      </c>
      <c r="O101" s="1">
        <v>1.6041672722072901E-11</v>
      </c>
      <c r="P101" s="1">
        <v>1.6955046962456399E-10</v>
      </c>
      <c r="Q101">
        <v>65.737052342892895</v>
      </c>
      <c r="S101">
        <v>21.1393852625006</v>
      </c>
      <c r="AA101">
        <v>2.1013668104155498</v>
      </c>
      <c r="AB101">
        <v>9.5760660961269899</v>
      </c>
      <c r="AC101">
        <v>1.44612948806382</v>
      </c>
      <c r="AJ101">
        <v>0.81925644132685504</v>
      </c>
      <c r="AK101">
        <v>9.9344856915284593E-2</v>
      </c>
      <c r="AL101">
        <v>8.1398701757859404E-2</v>
      </c>
    </row>
    <row r="102" spans="1:38" x14ac:dyDescent="0.2">
      <c r="A102">
        <v>96</v>
      </c>
      <c r="B102">
        <v>769</v>
      </c>
      <c r="C102">
        <v>175</v>
      </c>
      <c r="D102">
        <v>0.41703257688433099</v>
      </c>
      <c r="E102">
        <v>5.3421525333704398</v>
      </c>
      <c r="F102">
        <v>2.5668391271594801</v>
      </c>
      <c r="G102">
        <v>-86.91382677467513</v>
      </c>
      <c r="H102">
        <v>-75.096399876193459</v>
      </c>
      <c r="I102">
        <v>11.3394683092469</v>
      </c>
      <c r="J102">
        <v>6.5172974923998801</v>
      </c>
      <c r="K102">
        <v>2.0812182878333201</v>
      </c>
      <c r="L102">
        <v>3.1429314915889881E-5</v>
      </c>
      <c r="M102">
        <v>1.8275349489782771E-6</v>
      </c>
      <c r="N102" s="1">
        <v>-5.38091751349087E-8</v>
      </c>
      <c r="O102" s="1">
        <v>1.8654941267813101E-11</v>
      </c>
      <c r="P102" s="1">
        <v>2.0178037926697101E-10</v>
      </c>
      <c r="Q102">
        <v>65.789309976623997</v>
      </c>
      <c r="S102">
        <v>21.095442941645398</v>
      </c>
      <c r="AA102">
        <v>2.05292034135317</v>
      </c>
      <c r="AB102">
        <v>9.5773189239410605</v>
      </c>
      <c r="AC102">
        <v>1.4850078164362299</v>
      </c>
      <c r="AJ102">
        <v>0.81935938938075503</v>
      </c>
      <c r="AK102">
        <v>9.7053985316954902E-2</v>
      </c>
      <c r="AL102">
        <v>8.3586625302289899E-2</v>
      </c>
    </row>
    <row r="103" spans="1:38" x14ac:dyDescent="0.2">
      <c r="A103">
        <v>97</v>
      </c>
      <c r="B103">
        <v>768</v>
      </c>
      <c r="C103">
        <v>175</v>
      </c>
      <c r="D103">
        <v>0.416405417086878</v>
      </c>
      <c r="E103">
        <v>6.7471632983899701</v>
      </c>
      <c r="F103">
        <v>2.5657695282808999</v>
      </c>
      <c r="G103">
        <v>-109.72795516116001</v>
      </c>
      <c r="H103">
        <v>-94.823453857742905</v>
      </c>
      <c r="I103">
        <v>14.3154217004438</v>
      </c>
      <c r="J103">
        <v>8.2324620862864606</v>
      </c>
      <c r="K103">
        <v>2.6296840865947302</v>
      </c>
      <c r="L103">
        <v>3.1473718289705684E-5</v>
      </c>
      <c r="M103">
        <v>1.8292577195364607E-6</v>
      </c>
      <c r="N103" s="1">
        <v>-6.99537423007817E-8</v>
      </c>
      <c r="O103" s="1">
        <v>2.3592190177905299E-11</v>
      </c>
      <c r="P103" s="1">
        <v>2.6059530077955699E-10</v>
      </c>
      <c r="Q103">
        <v>65.872743162966003</v>
      </c>
      <c r="S103">
        <v>21.020024078391799</v>
      </c>
      <c r="AA103">
        <v>1.97123101351332</v>
      </c>
      <c r="AB103">
        <v>9.565524951055</v>
      </c>
      <c r="AC103">
        <v>1.5704767940737401</v>
      </c>
      <c r="AJ103">
        <v>0.81839962271933897</v>
      </c>
      <c r="AK103">
        <v>9.3197642192109104E-2</v>
      </c>
      <c r="AL103">
        <v>8.8402735088551607E-2</v>
      </c>
    </row>
    <row r="104" spans="1:38" x14ac:dyDescent="0.2">
      <c r="A104">
        <v>98</v>
      </c>
      <c r="B104">
        <v>767</v>
      </c>
      <c r="C104">
        <v>175</v>
      </c>
      <c r="D104">
        <v>0.41577705138682203</v>
      </c>
      <c r="E104">
        <v>8.1871551723868397</v>
      </c>
      <c r="F104">
        <v>2.5646815955292102</v>
      </c>
      <c r="G104">
        <v>-133.08930504996599</v>
      </c>
      <c r="H104">
        <v>-115.0295715541092</v>
      </c>
      <c r="I104">
        <v>17.3626241367656</v>
      </c>
      <c r="J104">
        <v>9.99050116160962</v>
      </c>
      <c r="K104">
        <v>3.19226963169961</v>
      </c>
      <c r="L104">
        <v>3.1512886799198946E-5</v>
      </c>
      <c r="M104">
        <v>1.8308322157310133E-6</v>
      </c>
      <c r="N104" s="1">
        <v>-8.7297805878277504E-8</v>
      </c>
      <c r="O104" s="1">
        <v>2.8664572452199699E-11</v>
      </c>
      <c r="P104" s="1">
        <v>3.2316580479239101E-10</v>
      </c>
      <c r="Q104">
        <v>65.951627812514701</v>
      </c>
      <c r="S104">
        <v>20.945968439644499</v>
      </c>
      <c r="AA104">
        <v>1.8917276987278</v>
      </c>
      <c r="AB104">
        <v>9.5471686780823699</v>
      </c>
      <c r="AC104">
        <v>1.6635073710305199</v>
      </c>
      <c r="AJ104">
        <v>0.81690476852750804</v>
      </c>
      <c r="AK104">
        <v>8.9447096697201994E-2</v>
      </c>
      <c r="AL104">
        <v>9.3648134775288897E-2</v>
      </c>
    </row>
    <row r="105" spans="1:38" x14ac:dyDescent="0.2">
      <c r="A105">
        <v>99</v>
      </c>
      <c r="B105">
        <v>766</v>
      </c>
      <c r="C105">
        <v>175</v>
      </c>
      <c r="D105">
        <v>0.41514747630275201</v>
      </c>
      <c r="E105">
        <v>9.6683000821858602</v>
      </c>
      <c r="F105">
        <v>2.5635667523374401</v>
      </c>
      <c r="G105">
        <v>-157.09530491603775</v>
      </c>
      <c r="H105">
        <v>-135.79908990752929</v>
      </c>
      <c r="I105">
        <v>20.4938796213332</v>
      </c>
      <c r="J105">
        <v>11.798766459852599</v>
      </c>
      <c r="K105">
        <v>3.7714251338960998</v>
      </c>
      <c r="L105">
        <v>3.1546268555858303E-5</v>
      </c>
      <c r="M105">
        <v>1.8322529642277782E-6</v>
      </c>
      <c r="N105" s="1">
        <v>-1.05924306923147E-7</v>
      </c>
      <c r="O105" s="1">
        <v>3.3894603801811203E-11</v>
      </c>
      <c r="P105" s="1">
        <v>3.89778837237193E-10</v>
      </c>
      <c r="Q105">
        <v>66.0260070959568</v>
      </c>
      <c r="S105">
        <v>20.872950947642799</v>
      </c>
      <c r="AA105">
        <v>1.8141321312257801</v>
      </c>
      <c r="AB105">
        <v>9.5214940749713008</v>
      </c>
      <c r="AC105">
        <v>1.76541575020316</v>
      </c>
      <c r="AJ105">
        <v>0.81481289112924704</v>
      </c>
      <c r="AK105">
        <v>8.5789175833536804E-2</v>
      </c>
      <c r="AL105">
        <v>9.9397933037215197E-2</v>
      </c>
    </row>
    <row r="106" spans="1:38" x14ac:dyDescent="0.2">
      <c r="A106">
        <v>100</v>
      </c>
      <c r="B106">
        <v>765</v>
      </c>
      <c r="C106">
        <v>175</v>
      </c>
      <c r="D106">
        <v>0.41451668833983701</v>
      </c>
      <c r="E106">
        <v>11.199475658780401</v>
      </c>
      <c r="F106">
        <v>2.5624137008199201</v>
      </c>
      <c r="G106">
        <v>-181.88644354795051</v>
      </c>
      <c r="H106">
        <v>-157.25357229100626</v>
      </c>
      <c r="I106">
        <v>23.727660990169198</v>
      </c>
      <c r="J106">
        <v>13.667852558633999</v>
      </c>
      <c r="K106">
        <v>4.3706742807364796</v>
      </c>
      <c r="L106">
        <v>3.157313558995445E-5</v>
      </c>
      <c r="M106">
        <v>1.8335126947666491E-6</v>
      </c>
      <c r="N106" s="1">
        <v>-1.2593954767941799E-7</v>
      </c>
      <c r="O106" s="1">
        <v>3.9314921804374198E-11</v>
      </c>
      <c r="P106" s="1">
        <v>4.6081071462788201E-10</v>
      </c>
      <c r="Q106">
        <v>66.095937900132697</v>
      </c>
      <c r="S106">
        <v>20.800542820433101</v>
      </c>
      <c r="AA106">
        <v>1.73807728773876</v>
      </c>
      <c r="AB106">
        <v>9.4875038033581909</v>
      </c>
      <c r="AC106">
        <v>1.87793818833719</v>
      </c>
      <c r="AJ106">
        <v>0.812042188983914</v>
      </c>
      <c r="AK106">
        <v>8.2206565652476304E-2</v>
      </c>
      <c r="AL106">
        <v>0.105751245363609</v>
      </c>
    </row>
    <row r="107" spans="1:38" x14ac:dyDescent="0.2">
      <c r="A107">
        <v>101</v>
      </c>
      <c r="B107">
        <v>764</v>
      </c>
      <c r="C107">
        <v>175</v>
      </c>
      <c r="D107">
        <v>0.41388468398978101</v>
      </c>
      <c r="E107">
        <v>12.7936743745699</v>
      </c>
      <c r="F107">
        <v>2.56120729521448</v>
      </c>
      <c r="G107">
        <v>-207.66868985102224</v>
      </c>
      <c r="H107">
        <v>-179.57119912495435</v>
      </c>
      <c r="I107">
        <v>27.091057924184401</v>
      </c>
      <c r="J107">
        <v>15.613286276441199</v>
      </c>
      <c r="K107">
        <v>4.9951733303565096</v>
      </c>
      <c r="L107">
        <v>3.1592491513294188E-5</v>
      </c>
      <c r="M107">
        <v>1.8346010831370529E-6</v>
      </c>
      <c r="N107" s="1">
        <v>-1.4748560284042099E-7</v>
      </c>
      <c r="O107" s="1">
        <v>4.49735581133422E-11</v>
      </c>
      <c r="P107" s="1">
        <v>5.3677449758594595E-10</v>
      </c>
      <c r="Q107">
        <v>66.161479064452607</v>
      </c>
      <c r="S107">
        <v>20.7281755327</v>
      </c>
      <c r="AA107">
        <v>1.6630803996882499</v>
      </c>
      <c r="AB107">
        <v>9.4438385206866595</v>
      </c>
      <c r="AC107">
        <v>2.0034264824724302</v>
      </c>
      <c r="AJ107">
        <v>0.808481056492525</v>
      </c>
      <c r="AK107">
        <v>7.8676554303296106E-2</v>
      </c>
      <c r="AL107">
        <v>0.112842389204178</v>
      </c>
    </row>
    <row r="108" spans="1:38" x14ac:dyDescent="0.2">
      <c r="A108">
        <v>102</v>
      </c>
      <c r="B108">
        <v>763</v>
      </c>
      <c r="C108">
        <v>175</v>
      </c>
      <c r="D108">
        <v>0.41325145973073701</v>
      </c>
      <c r="E108">
        <v>14.4703506690881</v>
      </c>
      <c r="F108">
        <v>2.55992672885341</v>
      </c>
      <c r="G108">
        <v>-234.7508152439828</v>
      </c>
      <c r="H108">
        <v>-203.01904886971224</v>
      </c>
      <c r="I108">
        <v>30.6246840460073</v>
      </c>
      <c r="J108">
        <v>17.658338434476299</v>
      </c>
      <c r="K108">
        <v>5.6526425174557096</v>
      </c>
      <c r="L108">
        <v>3.1602921087409727E-5</v>
      </c>
      <c r="M108">
        <v>1.8355027028632319E-6</v>
      </c>
      <c r="N108" s="1">
        <v>-1.7076061788268299E-7</v>
      </c>
      <c r="O108" s="1">
        <v>5.0942724506789298E-11</v>
      </c>
      <c r="P108" s="1">
        <v>6.1839778614360099E-10</v>
      </c>
      <c r="Q108">
        <v>66.222671577590901</v>
      </c>
      <c r="S108">
        <v>20.655082633020999</v>
      </c>
      <c r="AA108">
        <v>1.58849957265604</v>
      </c>
      <c r="AB108">
        <v>9.3885802159702205</v>
      </c>
      <c r="AC108">
        <v>2.1451660007617499</v>
      </c>
      <c r="AJ108">
        <v>0.80397187603382203</v>
      </c>
      <c r="AK108">
        <v>7.5169009614555402E-2</v>
      </c>
      <c r="AL108">
        <v>0.120859114351621</v>
      </c>
    </row>
    <row r="109" spans="1:38" x14ac:dyDescent="0.2">
      <c r="A109">
        <v>103</v>
      </c>
      <c r="B109">
        <v>762</v>
      </c>
      <c r="C109">
        <v>175</v>
      </c>
      <c r="D109">
        <v>0.41261701202724399</v>
      </c>
      <c r="E109">
        <v>16.259560984605699</v>
      </c>
      <c r="F109">
        <v>2.5585425130764698</v>
      </c>
      <c r="G109">
        <v>-263.61019555518078</v>
      </c>
      <c r="H109">
        <v>-228.01001313008956</v>
      </c>
      <c r="I109">
        <v>34.391327271498</v>
      </c>
      <c r="J109">
        <v>19.838979988300601</v>
      </c>
      <c r="K109">
        <v>6.35500911222098</v>
      </c>
      <c r="L109">
        <v>3.1602333955417993E-5</v>
      </c>
      <c r="M109">
        <v>1.8361935107587684E-6</v>
      </c>
      <c r="N109" s="1">
        <v>-1.9605383582231401E-7</v>
      </c>
      <c r="O109" s="1">
        <v>5.7334318551354603E-11</v>
      </c>
      <c r="P109" s="1">
        <v>7.0675764924388705E-10</v>
      </c>
      <c r="Q109">
        <v>66.2795021740029</v>
      </c>
      <c r="S109">
        <v>20.5802030705783</v>
      </c>
      <c r="AA109">
        <v>1.5134625241867401</v>
      </c>
      <c r="AB109">
        <v>9.3189176449886606</v>
      </c>
      <c r="AC109">
        <v>2.3079145862433399</v>
      </c>
      <c r="AJ109">
        <v>0.79828341407040204</v>
      </c>
      <c r="AK109">
        <v>7.1643054585605201E-2</v>
      </c>
      <c r="AL109">
        <v>0.13007353134399199</v>
      </c>
    </row>
    <row r="110" spans="1:38" x14ac:dyDescent="0.2">
      <c r="A110">
        <v>104</v>
      </c>
      <c r="B110">
        <v>761</v>
      </c>
      <c r="C110">
        <v>175</v>
      </c>
      <c r="D110">
        <v>0.411981337330175</v>
      </c>
      <c r="E110">
        <v>18.209717211202701</v>
      </c>
      <c r="F110">
        <v>2.5570113184653902</v>
      </c>
      <c r="G110">
        <v>-295.01598898587184</v>
      </c>
      <c r="H110">
        <v>-255.20934314799777</v>
      </c>
      <c r="I110">
        <v>38.492139281413699</v>
      </c>
      <c r="J110">
        <v>22.213157286589801</v>
      </c>
      <c r="K110">
        <v>7.1214847895673099</v>
      </c>
      <c r="L110">
        <v>3.1587508225957108E-5</v>
      </c>
      <c r="M110">
        <v>1.836634467525302E-6</v>
      </c>
      <c r="N110" s="1">
        <v>-2.23809583740597E-7</v>
      </c>
      <c r="O110" s="1">
        <v>6.4328980136055603E-11</v>
      </c>
      <c r="P110" s="1">
        <v>8.0352857624337103E-10</v>
      </c>
      <c r="Q110">
        <v>66.331828523543606</v>
      </c>
      <c r="S110">
        <v>20.502018569314799</v>
      </c>
      <c r="AA110">
        <v>1.43674987178084</v>
      </c>
      <c r="AB110">
        <v>9.23055327457263</v>
      </c>
      <c r="AC110">
        <v>2.4988497607880098</v>
      </c>
      <c r="AJ110">
        <v>0.79106181616429805</v>
      </c>
      <c r="AK110">
        <v>6.8041620163148006E-2</v>
      </c>
      <c r="AL110">
        <v>0.14089656367255299</v>
      </c>
    </row>
    <row r="111" spans="1:38" x14ac:dyDescent="0.2">
      <c r="A111">
        <v>105</v>
      </c>
      <c r="B111">
        <v>760</v>
      </c>
      <c r="C111">
        <v>175</v>
      </c>
      <c r="D111">
        <v>0.41134443207665999</v>
      </c>
      <c r="E111">
        <v>20.402876500731001</v>
      </c>
      <c r="F111">
        <v>2.5552673424728098</v>
      </c>
      <c r="G111">
        <v>-330.27189845572929</v>
      </c>
      <c r="H111">
        <v>-285.74465227635875</v>
      </c>
      <c r="I111">
        <v>43.098529912762402</v>
      </c>
      <c r="J111">
        <v>24.879066682384298</v>
      </c>
      <c r="K111">
        <v>7.98463478227937</v>
      </c>
      <c r="L111">
        <v>3.1553257756848269E-5</v>
      </c>
      <c r="M111">
        <v>1.8367594287067915E-6</v>
      </c>
      <c r="N111" s="1">
        <v>-2.5474974362365601E-7</v>
      </c>
      <c r="O111" s="1">
        <v>7.2233436632871904E-11</v>
      </c>
      <c r="P111" s="1">
        <v>9.1146049093373604E-10</v>
      </c>
      <c r="Q111">
        <v>66.379206170472202</v>
      </c>
      <c r="S111">
        <v>20.418292824537598</v>
      </c>
      <c r="AA111">
        <v>1.3566203488397299</v>
      </c>
      <c r="AB111">
        <v>9.1166338954422308</v>
      </c>
      <c r="AC111">
        <v>2.7292467607081301</v>
      </c>
      <c r="AJ111">
        <v>0.78174203150577304</v>
      </c>
      <c r="AK111">
        <v>6.42832855451973E-2</v>
      </c>
      <c r="AL111">
        <v>0.153974682949029</v>
      </c>
    </row>
    <row r="112" spans="1:38" x14ac:dyDescent="0.2">
      <c r="A112">
        <v>106</v>
      </c>
      <c r="B112">
        <v>759</v>
      </c>
      <c r="C112">
        <v>175</v>
      </c>
      <c r="D112">
        <v>0.41070629269001901</v>
      </c>
      <c r="E112">
        <v>22.984678019176901</v>
      </c>
      <c r="F112">
        <v>2.5532110907115002</v>
      </c>
      <c r="G112">
        <v>-371.69095280153664</v>
      </c>
      <c r="H112">
        <v>-321.61671781923195</v>
      </c>
      <c r="I112">
        <v>48.514494000198297</v>
      </c>
      <c r="J112">
        <v>28.010880398510501</v>
      </c>
      <c r="K112">
        <v>9.0022631120451901</v>
      </c>
      <c r="L112">
        <v>3.1491036525169446E-5</v>
      </c>
      <c r="M112">
        <v>1.8364528427458895E-6</v>
      </c>
      <c r="N112" s="1">
        <v>-2.9010309866227103E-7</v>
      </c>
      <c r="O112" s="1">
        <v>8.1592934151514195E-11</v>
      </c>
      <c r="P112" s="1">
        <v>1.0352836821135501E-9</v>
      </c>
      <c r="Q112">
        <v>66.420444738543395</v>
      </c>
      <c r="S112">
        <v>20.325788065557401</v>
      </c>
      <c r="AA112">
        <v>1.2706805194159601</v>
      </c>
      <c r="AB112">
        <v>8.9660185811593394</v>
      </c>
      <c r="AC112">
        <v>3.0170680953238498</v>
      </c>
      <c r="AJ112">
        <v>0.76940356791140596</v>
      </c>
      <c r="AK112">
        <v>6.0256197741041302E-2</v>
      </c>
      <c r="AL112">
        <v>0.170340234347551</v>
      </c>
    </row>
    <row r="113" spans="1:38" x14ac:dyDescent="0.2">
      <c r="A113">
        <v>107</v>
      </c>
      <c r="B113">
        <v>758</v>
      </c>
      <c r="C113">
        <v>175</v>
      </c>
      <c r="D113">
        <v>0.41006691557969399</v>
      </c>
      <c r="E113">
        <v>25.914208037905201</v>
      </c>
      <c r="F113">
        <v>2.5510570756367001</v>
      </c>
      <c r="G113">
        <v>-418.59944263346807</v>
      </c>
      <c r="H113">
        <v>-362.24718832858218</v>
      </c>
      <c r="I113">
        <v>54.6499096202161</v>
      </c>
      <c r="J113">
        <v>31.5573757701878</v>
      </c>
      <c r="K113">
        <v>10.1582235401132</v>
      </c>
      <c r="L113">
        <v>3.1403795351577551E-5</v>
      </c>
      <c r="M113">
        <v>1.835615580367455E-6</v>
      </c>
      <c r="N113" s="1">
        <v>-3.2928373330884201E-7</v>
      </c>
      <c r="O113" s="1">
        <v>9.2256150924913605E-11</v>
      </c>
      <c r="P113" s="1">
        <v>1.1729326436184201E-9</v>
      </c>
      <c r="Q113">
        <v>66.446473092371093</v>
      </c>
      <c r="S113">
        <v>20.235343882903202</v>
      </c>
      <c r="AA113">
        <v>1.1899897821165499</v>
      </c>
      <c r="AB113">
        <v>8.7869101887060594</v>
      </c>
      <c r="AC113">
        <v>3.3412830539029601</v>
      </c>
      <c r="AJ113">
        <v>0.75470647861317897</v>
      </c>
      <c r="AK113">
        <v>5.6480159342485098E-2</v>
      </c>
      <c r="AL113">
        <v>0.18881336204433499</v>
      </c>
    </row>
    <row r="114" spans="1:38" x14ac:dyDescent="0.2">
      <c r="A114">
        <v>107</v>
      </c>
      <c r="B114">
        <v>758</v>
      </c>
      <c r="C114">
        <v>175</v>
      </c>
      <c r="D114">
        <v>0.41006691557969399</v>
      </c>
      <c r="E114">
        <v>0.63548742992201801</v>
      </c>
      <c r="F114">
        <v>2.5247961373060499</v>
      </c>
      <c r="G114">
        <v>-10.121112503534881</v>
      </c>
      <c r="H114">
        <v>-8.7522331639139352</v>
      </c>
      <c r="I114">
        <v>1.32752687739023</v>
      </c>
      <c r="J114">
        <v>0.76159062937480504</v>
      </c>
      <c r="K114">
        <v>0.25169851162719198</v>
      </c>
      <c r="L114">
        <v>2.9479271497547561E-5</v>
      </c>
      <c r="M114">
        <v>1.8143937853152616E-6</v>
      </c>
      <c r="N114" s="1">
        <v>-5.0330854728429701E-9</v>
      </c>
      <c r="O114" s="1">
        <v>2.37471727902026E-12</v>
      </c>
      <c r="P114" s="1">
        <v>1.9745755589168001E-11</v>
      </c>
      <c r="Q114">
        <v>66.443381361810395</v>
      </c>
      <c r="S114">
        <v>19.187167772444798</v>
      </c>
      <c r="AA114">
        <v>0.32595517158320297</v>
      </c>
      <c r="AB114">
        <v>6.0320904871663101</v>
      </c>
      <c r="AC114">
        <v>8.0114052069951498</v>
      </c>
      <c r="AJ114">
        <v>0.52530013881785997</v>
      </c>
      <c r="AK114">
        <v>1.56858599841736E-2</v>
      </c>
      <c r="AL114">
        <v>0.45901400119796498</v>
      </c>
    </row>
    <row r="115" spans="1:38" x14ac:dyDescent="0.2">
      <c r="A115">
        <v>108</v>
      </c>
      <c r="B115">
        <v>757</v>
      </c>
      <c r="C115">
        <v>175</v>
      </c>
      <c r="D115">
        <v>0.40942629714119499</v>
      </c>
      <c r="E115">
        <v>28.506659215434698</v>
      </c>
      <c r="F115">
        <v>2.5529930152554599</v>
      </c>
      <c r="G115">
        <v>-460.66037514191663</v>
      </c>
      <c r="H115">
        <v>-398.76189299026515</v>
      </c>
      <c r="I115">
        <v>60.086863225405402</v>
      </c>
      <c r="J115">
        <v>34.735769723863299</v>
      </c>
      <c r="K115">
        <v>11.1659761875933</v>
      </c>
      <c r="L115">
        <v>3.1449475376883552E-5</v>
      </c>
      <c r="M115">
        <v>1.8344308314122195E-6</v>
      </c>
      <c r="N115" s="1">
        <v>-3.76348752253998E-7</v>
      </c>
      <c r="O115" s="1">
        <v>1.01073465152585E-10</v>
      </c>
      <c r="P115" s="1">
        <v>1.33139167796264E-9</v>
      </c>
      <c r="Q115">
        <v>66.350522054269504</v>
      </c>
      <c r="S115">
        <v>20.337636864735099</v>
      </c>
      <c r="AA115">
        <v>1.2967714025305701</v>
      </c>
      <c r="AB115">
        <v>8.8412627958529502</v>
      </c>
      <c r="AC115">
        <v>3.1738068826117898</v>
      </c>
      <c r="AJ115">
        <v>0.75916791759148705</v>
      </c>
      <c r="AK115">
        <v>6.1531536753733698E-2</v>
      </c>
      <c r="AL115">
        <v>0.17930054565477799</v>
      </c>
    </row>
    <row r="116" spans="1:38" x14ac:dyDescent="0.2">
      <c r="A116">
        <v>108</v>
      </c>
      <c r="B116">
        <v>757</v>
      </c>
      <c r="C116">
        <v>175</v>
      </c>
      <c r="D116">
        <v>0.40942629714119499</v>
      </c>
      <c r="E116">
        <v>17.9892513983818</v>
      </c>
      <c r="F116">
        <v>2.5242979789934799</v>
      </c>
      <c r="G116">
        <v>-286.28344425507646</v>
      </c>
      <c r="H116">
        <v>-247.61855871266567</v>
      </c>
      <c r="I116">
        <v>37.533257819162998</v>
      </c>
      <c r="J116">
        <v>21.54415129641</v>
      </c>
      <c r="K116">
        <v>7.1264373493475901</v>
      </c>
      <c r="L116">
        <v>2.9388077442876714E-5</v>
      </c>
      <c r="M116">
        <v>1.8127693437551016E-6</v>
      </c>
      <c r="N116" s="1">
        <v>-1.42659342534229E-7</v>
      </c>
      <c r="O116" s="1">
        <v>6.7291454316861001E-11</v>
      </c>
      <c r="P116" s="1">
        <v>5.59194830537533E-10</v>
      </c>
      <c r="Q116">
        <v>66.400034342652503</v>
      </c>
      <c r="S116">
        <v>19.1676921040272</v>
      </c>
      <c r="AA116">
        <v>0.32000198005257402</v>
      </c>
      <c r="AB116">
        <v>5.8844359823809604</v>
      </c>
      <c r="AC116">
        <v>8.2278355908866008</v>
      </c>
      <c r="AJ116">
        <v>0.51282353920080403</v>
      </c>
      <c r="AK116">
        <v>1.54108489972405E-2</v>
      </c>
      <c r="AL116">
        <v>0.47176561180195498</v>
      </c>
    </row>
    <row r="117" spans="1:38" x14ac:dyDescent="0.2">
      <c r="A117">
        <v>109</v>
      </c>
      <c r="B117">
        <v>756</v>
      </c>
      <c r="C117">
        <v>175</v>
      </c>
      <c r="D117">
        <v>0.40878443375601398</v>
      </c>
      <c r="E117">
        <v>29.527540998974999</v>
      </c>
      <c r="F117">
        <v>2.5537338965633101</v>
      </c>
      <c r="G117">
        <v>-477.19072043941418</v>
      </c>
      <c r="H117">
        <v>-413.17217182446768</v>
      </c>
      <c r="I117">
        <v>62.205265136225599</v>
      </c>
      <c r="J117">
        <v>35.995525686280502</v>
      </c>
      <c r="K117">
        <v>11.5624971884156</v>
      </c>
      <c r="L117">
        <v>3.1492172616668392E-5</v>
      </c>
      <c r="M117">
        <v>1.8341988462784991E-6</v>
      </c>
      <c r="N117" s="1">
        <v>-4.0333030984307599E-7</v>
      </c>
      <c r="O117" s="1">
        <v>1.0447149427085699E-10</v>
      </c>
      <c r="P117" s="1">
        <v>1.41814708015532E-9</v>
      </c>
      <c r="Q117">
        <v>66.318858726303205</v>
      </c>
      <c r="S117">
        <v>20.373253925551499</v>
      </c>
      <c r="AA117">
        <v>1.33354404710917</v>
      </c>
      <c r="AB117">
        <v>8.8640775226639601</v>
      </c>
      <c r="AC117">
        <v>3.1102657783720602</v>
      </c>
      <c r="AJ117">
        <v>0.76104003185823199</v>
      </c>
      <c r="AK117">
        <v>6.3269166286474193E-2</v>
      </c>
      <c r="AL117">
        <v>0.17569080185529201</v>
      </c>
    </row>
    <row r="118" spans="1:38" x14ac:dyDescent="0.2">
      <c r="A118">
        <v>109</v>
      </c>
      <c r="B118">
        <v>756</v>
      </c>
      <c r="C118">
        <v>175</v>
      </c>
      <c r="D118">
        <v>0.40878443375601398</v>
      </c>
      <c r="E118">
        <v>23.3617710137516</v>
      </c>
      <c r="F118">
        <v>2.5241208295241302</v>
      </c>
      <c r="G118">
        <v>-371.63622122958606</v>
      </c>
      <c r="H118">
        <v>-321.51437882011027</v>
      </c>
      <c r="I118">
        <v>48.702174036317103</v>
      </c>
      <c r="J118">
        <v>27.9737096061579</v>
      </c>
      <c r="K118">
        <v>9.2554091470161204</v>
      </c>
      <c r="L118">
        <v>2.9365292397560341E-5</v>
      </c>
      <c r="M118">
        <v>1.8122518488929648E-6</v>
      </c>
      <c r="N118" s="1">
        <v>-1.89217994528883E-7</v>
      </c>
      <c r="O118" s="1">
        <v>8.7394621550684203E-11</v>
      </c>
      <c r="P118" s="1">
        <v>7.3745928981408702E-10</v>
      </c>
      <c r="Q118">
        <v>66.385133233010293</v>
      </c>
      <c r="S118">
        <v>19.158075406954101</v>
      </c>
      <c r="AA118">
        <v>0.31554507672392001</v>
      </c>
      <c r="AB118">
        <v>5.8260182368756004</v>
      </c>
      <c r="AC118">
        <v>8.3152280464360295</v>
      </c>
      <c r="AJ118">
        <v>0.50788221034643599</v>
      </c>
      <c r="AK118">
        <v>1.52006920272122E-2</v>
      </c>
      <c r="AL118">
        <v>0.47691709762635098</v>
      </c>
    </row>
    <row r="119" spans="1:38" x14ac:dyDescent="0.2">
      <c r="A119">
        <v>110</v>
      </c>
      <c r="B119">
        <v>755</v>
      </c>
      <c r="C119">
        <v>175</v>
      </c>
      <c r="D119">
        <v>0.40814132179156798</v>
      </c>
      <c r="E119">
        <v>30.1031343856584</v>
      </c>
      <c r="F119">
        <v>2.5542052969669999</v>
      </c>
      <c r="G119">
        <v>-486.49166229411293</v>
      </c>
      <c r="H119">
        <v>-421.32394647866147</v>
      </c>
      <c r="I119">
        <v>63.383471103877298</v>
      </c>
      <c r="J119">
        <v>36.712397802727097</v>
      </c>
      <c r="K119">
        <v>11.785714492646401</v>
      </c>
      <c r="L119">
        <v>3.1536088373563788E-5</v>
      </c>
      <c r="M119">
        <v>1.8342102054503192E-6</v>
      </c>
      <c r="N119" s="1">
        <v>-4.2510143029256302E-7</v>
      </c>
      <c r="O119" s="1">
        <v>1.06326568339673E-10</v>
      </c>
      <c r="P119" s="1">
        <v>1.48595615241562E-9</v>
      </c>
      <c r="Q119">
        <v>66.302553832648897</v>
      </c>
      <c r="S119">
        <v>20.3934707852152</v>
      </c>
      <c r="AA119">
        <v>1.3540276873678401</v>
      </c>
      <c r="AB119">
        <v>8.88074406736831</v>
      </c>
      <c r="AC119">
        <v>3.0692036273996099</v>
      </c>
      <c r="AJ119">
        <v>0.76240747728194902</v>
      </c>
      <c r="AK119">
        <v>6.4235650707094805E-2</v>
      </c>
      <c r="AL119">
        <v>0.17335687201095601</v>
      </c>
    </row>
    <row r="120" spans="1:38" x14ac:dyDescent="0.2">
      <c r="A120">
        <v>110</v>
      </c>
      <c r="B120">
        <v>755</v>
      </c>
      <c r="C120">
        <v>175</v>
      </c>
      <c r="D120">
        <v>0.40814132179156798</v>
      </c>
      <c r="E120">
        <v>26.084601689023</v>
      </c>
      <c r="F120">
        <v>2.52401229739232</v>
      </c>
      <c r="G120">
        <v>-414.82263796351435</v>
      </c>
      <c r="H120">
        <v>-358.95493843096898</v>
      </c>
      <c r="I120">
        <v>54.338082509891898</v>
      </c>
      <c r="J120">
        <v>31.232609102930301</v>
      </c>
      <c r="K120">
        <v>10.3345778924977</v>
      </c>
      <c r="L120">
        <v>2.9357938697246212E-5</v>
      </c>
      <c r="M120">
        <v>1.8119780410415182E-6</v>
      </c>
      <c r="N120" s="1">
        <v>-2.16740968017789E-7</v>
      </c>
      <c r="O120" s="1">
        <v>9.7566392302825798E-11</v>
      </c>
      <c r="P120" s="1">
        <v>8.3907488343097799E-10</v>
      </c>
      <c r="Q120">
        <v>66.376508250571504</v>
      </c>
      <c r="S120">
        <v>19.1506156787656</v>
      </c>
      <c r="AA120">
        <v>0.31140324632792499</v>
      </c>
      <c r="AB120">
        <v>5.7872412786869498</v>
      </c>
      <c r="AC120">
        <v>8.3742315456479304</v>
      </c>
      <c r="AJ120">
        <v>0.50460062236005399</v>
      </c>
      <c r="AK120">
        <v>1.5004105829832699E-2</v>
      </c>
      <c r="AL120">
        <v>0.48039527181011199</v>
      </c>
    </row>
    <row r="121" spans="1:38" x14ac:dyDescent="0.2">
      <c r="A121">
        <v>111</v>
      </c>
      <c r="B121">
        <v>754</v>
      </c>
      <c r="C121">
        <v>175</v>
      </c>
      <c r="D121">
        <v>0.40749695760112897</v>
      </c>
      <c r="E121">
        <v>30.4768935537878</v>
      </c>
      <c r="F121">
        <v>2.5545527612374501</v>
      </c>
      <c r="G121">
        <v>-492.51476919437613</v>
      </c>
      <c r="H121">
        <v>-426.63799156422596</v>
      </c>
      <c r="I121">
        <v>64.135498836732907</v>
      </c>
      <c r="J121">
        <v>37.183483677662302</v>
      </c>
      <c r="K121">
        <v>11.9304224270648</v>
      </c>
      <c r="L121">
        <v>3.1581447498038308E-5</v>
      </c>
      <c r="M121">
        <v>1.8343411225395681E-6</v>
      </c>
      <c r="N121" s="1">
        <v>-4.4479740815037898E-7</v>
      </c>
      <c r="O121" s="1">
        <v>1.0748171956003E-10</v>
      </c>
      <c r="P121" s="1">
        <v>1.54598406962135E-9</v>
      </c>
      <c r="Q121">
        <v>66.293502218887795</v>
      </c>
      <c r="S121">
        <v>20.406520720694498</v>
      </c>
      <c r="AA121">
        <v>1.36690608808657</v>
      </c>
      <c r="AB121">
        <v>8.8947851338960593</v>
      </c>
      <c r="AC121">
        <v>3.0382858384349798</v>
      </c>
      <c r="AJ121">
        <v>0.76355940428491997</v>
      </c>
      <c r="AK121">
        <v>6.4842064978461997E-2</v>
      </c>
      <c r="AL121">
        <v>0.17159853073661699</v>
      </c>
    </row>
    <row r="122" spans="1:38" x14ac:dyDescent="0.2">
      <c r="A122">
        <v>111</v>
      </c>
      <c r="B122">
        <v>754</v>
      </c>
      <c r="C122">
        <v>175</v>
      </c>
      <c r="D122">
        <v>0.40749695760112897</v>
      </c>
      <c r="E122">
        <v>27.654179887999799</v>
      </c>
      <c r="F122">
        <v>2.5239347889836798</v>
      </c>
      <c r="G122">
        <v>-439.66485328613572</v>
      </c>
      <c r="H122">
        <v>-380.53464328362782</v>
      </c>
      <c r="I122">
        <v>57.567258922755101</v>
      </c>
      <c r="J122">
        <v>33.112322671009899</v>
      </c>
      <c r="K122">
        <v>10.956772737831001</v>
      </c>
      <c r="L122">
        <v>2.9357906519229491E-5</v>
      </c>
      <c r="M122">
        <v>1.8118153559314576E-6</v>
      </c>
      <c r="N122" s="1">
        <v>-2.3621020611595299E-7</v>
      </c>
      <c r="O122" s="1">
        <v>1.03410967212452E-10</v>
      </c>
      <c r="P122" s="1">
        <v>9.0799786569728303E-10</v>
      </c>
      <c r="Q122">
        <v>66.370720836773401</v>
      </c>
      <c r="S122">
        <v>19.144146256252</v>
      </c>
      <c r="AA122">
        <v>0.30741632040344402</v>
      </c>
      <c r="AB122">
        <v>5.7573839051450797</v>
      </c>
      <c r="AC122">
        <v>8.4203326814259096</v>
      </c>
      <c r="AJ122">
        <v>0.502073007322553</v>
      </c>
      <c r="AK122">
        <v>1.481424061383E-2</v>
      </c>
      <c r="AL122">
        <v>0.48311275206361598</v>
      </c>
    </row>
    <row r="123" spans="1:38" x14ac:dyDescent="0.2">
      <c r="A123">
        <v>112</v>
      </c>
      <c r="B123">
        <v>753</v>
      </c>
      <c r="C123">
        <v>175</v>
      </c>
      <c r="D123">
        <v>0.40685133752375702</v>
      </c>
      <c r="E123">
        <v>30.8019226283145</v>
      </c>
      <c r="F123">
        <v>2.5548592336108999</v>
      </c>
      <c r="G123">
        <v>-497.74453107882789</v>
      </c>
      <c r="H123">
        <v>-431.26634658933324</v>
      </c>
      <c r="I123">
        <v>64.784080777171596</v>
      </c>
      <c r="J123">
        <v>37.595749472258703</v>
      </c>
      <c r="K123">
        <v>12.0562112476078</v>
      </c>
      <c r="L123">
        <v>3.1628083164210445E-5</v>
      </c>
      <c r="M123">
        <v>1.8345123908162516E-6</v>
      </c>
      <c r="N123" s="1">
        <v>-4.6455826476999602E-7</v>
      </c>
      <c r="O123" s="1">
        <v>1.0846479641401801E-10</v>
      </c>
      <c r="P123" s="1">
        <v>1.6057364842661E-9</v>
      </c>
      <c r="Q123">
        <v>66.286792136514606</v>
      </c>
      <c r="S123">
        <v>20.4172169962746</v>
      </c>
      <c r="AA123">
        <v>1.3772963309503099</v>
      </c>
      <c r="AB123">
        <v>8.9078737521514206</v>
      </c>
      <c r="AC123">
        <v>3.01082078410903</v>
      </c>
      <c r="AJ123">
        <v>0.76463307374763401</v>
      </c>
      <c r="AK123">
        <v>6.5330684240929401E-2</v>
      </c>
      <c r="AL123">
        <v>0.170036242011436</v>
      </c>
    </row>
    <row r="124" spans="1:38" x14ac:dyDescent="0.2">
      <c r="A124">
        <v>112</v>
      </c>
      <c r="B124">
        <v>753</v>
      </c>
      <c r="C124">
        <v>175</v>
      </c>
      <c r="D124">
        <v>0.40685133752375702</v>
      </c>
      <c r="E124">
        <v>28.876653277732199</v>
      </c>
      <c r="F124">
        <v>2.5238687444554602</v>
      </c>
      <c r="G124">
        <v>-458.98258709554381</v>
      </c>
      <c r="H124">
        <v>-397.34118633480938</v>
      </c>
      <c r="I124">
        <v>60.070555728435799</v>
      </c>
      <c r="J124">
        <v>34.577259520301602</v>
      </c>
      <c r="K124">
        <v>11.4414243376045</v>
      </c>
      <c r="L124">
        <v>2.9360652758261157E-5</v>
      </c>
      <c r="M124">
        <v>1.8116901106517945E-6</v>
      </c>
      <c r="N124" s="1">
        <v>-2.53723528912378E-7</v>
      </c>
      <c r="O124" s="1">
        <v>1.07949771013084E-10</v>
      </c>
      <c r="P124" s="1">
        <v>9.6841570382984802E-10</v>
      </c>
      <c r="Q124">
        <v>66.365829812998996</v>
      </c>
      <c r="S124">
        <v>19.138049348711501</v>
      </c>
      <c r="AA124">
        <v>0.303527562788309</v>
      </c>
      <c r="AB124">
        <v>5.7305006851402096</v>
      </c>
      <c r="AC124">
        <v>8.4620925903609692</v>
      </c>
      <c r="AJ124">
        <v>0.49979652406619002</v>
      </c>
      <c r="AK124">
        <v>1.4628829818041301E-2</v>
      </c>
      <c r="AL124">
        <v>0.48557464611576701</v>
      </c>
    </row>
    <row r="125" spans="1:38" x14ac:dyDescent="0.2">
      <c r="A125">
        <v>114</v>
      </c>
      <c r="B125">
        <v>791</v>
      </c>
      <c r="C125">
        <v>150</v>
      </c>
      <c r="D125">
        <v>0.45637410139548201</v>
      </c>
      <c r="E125">
        <v>0.24396040194202101</v>
      </c>
      <c r="F125">
        <v>2.5686920700220099</v>
      </c>
      <c r="G125">
        <v>-3.9861338739920962</v>
      </c>
      <c r="H125">
        <v>-3.4287681218077548</v>
      </c>
      <c r="I125">
        <v>0.52376615344109501</v>
      </c>
      <c r="J125">
        <v>0.29665410421898297</v>
      </c>
      <c r="K125">
        <v>9.49745610963523E-2</v>
      </c>
      <c r="L125">
        <v>3.0783414631145715E-5</v>
      </c>
      <c r="M125">
        <v>1.8164119511162668E-6</v>
      </c>
      <c r="N125" s="1">
        <v>-1.2040660445045201E-9</v>
      </c>
      <c r="O125" s="1">
        <v>8.5520698551729202E-13</v>
      </c>
      <c r="P125" s="1">
        <v>5.5492837135653901E-12</v>
      </c>
      <c r="Q125">
        <v>65.337854878530294</v>
      </c>
      <c r="S125">
        <v>21.451821521698701</v>
      </c>
      <c r="AA125">
        <v>2.4522771942755099</v>
      </c>
      <c r="AB125">
        <v>9.5055682238806796</v>
      </c>
      <c r="AC125">
        <v>1.25247818161462</v>
      </c>
      <c r="AJ125">
        <v>0.81350308850637498</v>
      </c>
      <c r="AK125">
        <v>0.115974223256081</v>
      </c>
      <c r="AL125">
        <v>7.0522688237542194E-2</v>
      </c>
    </row>
    <row r="126" spans="1:38" x14ac:dyDescent="0.2">
      <c r="A126">
        <v>115</v>
      </c>
      <c r="B126">
        <v>790</v>
      </c>
      <c r="C126">
        <v>150</v>
      </c>
      <c r="D126">
        <v>0.45579692423458601</v>
      </c>
      <c r="E126">
        <v>0.68462687288928803</v>
      </c>
      <c r="F126">
        <v>2.5683154872636198</v>
      </c>
      <c r="G126">
        <v>-11.184094796731939</v>
      </c>
      <c r="H126">
        <v>-9.622143873422651</v>
      </c>
      <c r="I126">
        <v>1.46917266924637</v>
      </c>
      <c r="J126">
        <v>0.83259372781632401</v>
      </c>
      <c r="K126">
        <v>0.26656650099428097</v>
      </c>
      <c r="L126">
        <v>3.0818054878368799E-5</v>
      </c>
      <c r="M126">
        <v>1.817549305404108E-6</v>
      </c>
      <c r="N126" s="1">
        <v>-3.4957274613460902E-9</v>
      </c>
      <c r="O126" s="1">
        <v>2.40106567641946E-12</v>
      </c>
      <c r="P126" s="1">
        <v>1.5915783909536598E-11</v>
      </c>
      <c r="Q126">
        <v>65.384392540719602</v>
      </c>
      <c r="S126">
        <v>21.4163478663306</v>
      </c>
      <c r="AA126">
        <v>2.41215213811439</v>
      </c>
      <c r="AB126">
        <v>9.5162761093824795</v>
      </c>
      <c r="AC126">
        <v>1.27083134545275</v>
      </c>
      <c r="AJ126">
        <v>0.81437698595985697</v>
      </c>
      <c r="AK126">
        <v>0.114070657301005</v>
      </c>
      <c r="AL126">
        <v>7.1552356739136597E-2</v>
      </c>
    </row>
    <row r="127" spans="1:38" x14ac:dyDescent="0.2">
      <c r="A127">
        <v>116</v>
      </c>
      <c r="B127">
        <v>789</v>
      </c>
      <c r="C127">
        <v>150</v>
      </c>
      <c r="D127">
        <v>0.45521866026455898</v>
      </c>
      <c r="E127">
        <v>1.12602613731532</v>
      </c>
      <c r="F127">
        <v>2.5679473628370699</v>
      </c>
      <c r="G127">
        <v>-18.391187319517826</v>
      </c>
      <c r="H127">
        <v>-15.825802574397535</v>
      </c>
      <c r="I127">
        <v>2.4152753802384601</v>
      </c>
      <c r="J127">
        <v>1.3695465436721601</v>
      </c>
      <c r="K127">
        <v>0.43849268626413102</v>
      </c>
      <c r="L127">
        <v>3.0852371636505297E-5</v>
      </c>
      <c r="M127">
        <v>1.8186566678597138E-6</v>
      </c>
      <c r="N127" s="1">
        <v>-5.94626453130064E-9</v>
      </c>
      <c r="O127" s="1">
        <v>3.9507879641358098E-12</v>
      </c>
      <c r="P127" s="1">
        <v>2.67545646001242E-11</v>
      </c>
      <c r="Q127">
        <v>65.429657283201195</v>
      </c>
      <c r="S127">
        <v>21.3817180065857</v>
      </c>
      <c r="AA127">
        <v>2.3730202403940002</v>
      </c>
      <c r="AB127">
        <v>9.52635948149379</v>
      </c>
      <c r="AC127">
        <v>1.2892449883252199</v>
      </c>
      <c r="AJ127">
        <v>0.81519985542167805</v>
      </c>
      <c r="AK127">
        <v>0.112214598785477</v>
      </c>
      <c r="AL127">
        <v>7.2585545792844403E-2</v>
      </c>
    </row>
    <row r="128" spans="1:38" x14ac:dyDescent="0.2">
      <c r="A128">
        <v>117</v>
      </c>
      <c r="B128">
        <v>788</v>
      </c>
      <c r="C128">
        <v>150</v>
      </c>
      <c r="D128">
        <v>0.45463930641285699</v>
      </c>
      <c r="E128">
        <v>1.5679289004432599</v>
      </c>
      <c r="F128">
        <v>2.5675876926783499</v>
      </c>
      <c r="G128">
        <v>-25.603663776439827</v>
      </c>
      <c r="H128">
        <v>-22.036532393776003</v>
      </c>
      <c r="I128">
        <v>3.3615712978031498</v>
      </c>
      <c r="J128">
        <v>1.90723779538438</v>
      </c>
      <c r="K128">
        <v>0.61066225894224202</v>
      </c>
      <c r="L128">
        <v>3.088638493646936E-5</v>
      </c>
      <c r="M128">
        <v>1.8197344347263666E-6</v>
      </c>
      <c r="N128" s="1">
        <v>-8.5605619290143698E-9</v>
      </c>
      <c r="O128" s="1">
        <v>5.5034326117847602E-12</v>
      </c>
      <c r="P128" s="1">
        <v>3.8077742814742402E-11</v>
      </c>
      <c r="Q128">
        <v>65.4736609156394</v>
      </c>
      <c r="S128">
        <v>21.347926216364002</v>
      </c>
      <c r="AA128">
        <v>2.3348740213995902</v>
      </c>
      <c r="AB128">
        <v>9.5358296457033198</v>
      </c>
      <c r="AC128">
        <v>1.30770920089353</v>
      </c>
      <c r="AJ128">
        <v>0.81597263383024299</v>
      </c>
      <c r="AK128">
        <v>0.11040566375647</v>
      </c>
      <c r="AL128">
        <v>7.3621702413285806E-2</v>
      </c>
    </row>
    <row r="129" spans="1:38" x14ac:dyDescent="0.2">
      <c r="A129">
        <v>118</v>
      </c>
      <c r="B129">
        <v>787</v>
      </c>
      <c r="C129">
        <v>150</v>
      </c>
      <c r="D129">
        <v>0.45405885959534198</v>
      </c>
      <c r="E129">
        <v>2.0101066158432599</v>
      </c>
      <c r="F129">
        <v>2.5672364568207802</v>
      </c>
      <c r="G129">
        <v>-32.817792537574249</v>
      </c>
      <c r="H129">
        <v>-28.251132673860457</v>
      </c>
      <c r="I129">
        <v>4.3075601223541797</v>
      </c>
      <c r="J129">
        <v>2.4453938479206698</v>
      </c>
      <c r="K129">
        <v>0.78298460217900701</v>
      </c>
      <c r="L129">
        <v>3.0920116322758861E-5</v>
      </c>
      <c r="M129">
        <v>1.8207830517091945E-6</v>
      </c>
      <c r="N129" s="1">
        <v>-1.13436110377337E-8</v>
      </c>
      <c r="O129" s="1">
        <v>7.0580582696129303E-12</v>
      </c>
      <c r="P129" s="1">
        <v>4.9897723830501298E-11</v>
      </c>
      <c r="Q129">
        <v>65.516417340820595</v>
      </c>
      <c r="S129">
        <v>21.3149653144275</v>
      </c>
      <c r="AA129">
        <v>2.2977043125110899</v>
      </c>
      <c r="AB129">
        <v>9.5446987570755599</v>
      </c>
      <c r="AC129">
        <v>1.3262142751651</v>
      </c>
      <c r="AJ129">
        <v>0.81669632614783005</v>
      </c>
      <c r="AK129">
        <v>0.108643389285684</v>
      </c>
      <c r="AL129">
        <v>7.4660284566485394E-2</v>
      </c>
    </row>
    <row r="130" spans="1:38" x14ac:dyDescent="0.2">
      <c r="A130">
        <v>119</v>
      </c>
      <c r="B130">
        <v>786</v>
      </c>
      <c r="C130">
        <v>150</v>
      </c>
      <c r="D130">
        <v>0.45347731671623798</v>
      </c>
      <c r="E130">
        <v>2.4523326417680398</v>
      </c>
      <c r="F130">
        <v>2.5668936200139001</v>
      </c>
      <c r="G130">
        <v>-40.029876818512612</v>
      </c>
      <c r="H130">
        <v>-34.466430103247156</v>
      </c>
      <c r="I130">
        <v>5.2527467452820096</v>
      </c>
      <c r="J130">
        <v>2.9837436083864599</v>
      </c>
      <c r="K130">
        <v>0.95536979898479701</v>
      </c>
      <c r="L130">
        <v>3.0953588776535027E-5</v>
      </c>
      <c r="M130">
        <v>1.8218030103585031E-6</v>
      </c>
      <c r="N130" s="1">
        <v>-1.43005217296986E-8</v>
      </c>
      <c r="O130" s="1">
        <v>8.6137279254855493E-12</v>
      </c>
      <c r="P130" s="1">
        <v>6.2227243895213303E-11</v>
      </c>
      <c r="Q130">
        <v>65.557942415202305</v>
      </c>
      <c r="S130">
        <v>21.282826749243899</v>
      </c>
      <c r="AA130">
        <v>2.2615003587391498</v>
      </c>
      <c r="AB130">
        <v>9.5529797319221696</v>
      </c>
      <c r="AC130">
        <v>1.3447507448923699</v>
      </c>
      <c r="AJ130">
        <v>0.817371998186744</v>
      </c>
      <c r="AK130">
        <v>0.106927238378157</v>
      </c>
      <c r="AL130">
        <v>7.57007634350986E-2</v>
      </c>
    </row>
    <row r="131" spans="1:38" x14ac:dyDescent="0.2">
      <c r="A131">
        <v>120</v>
      </c>
      <c r="B131">
        <v>785</v>
      </c>
      <c r="C131">
        <v>150</v>
      </c>
      <c r="D131">
        <v>0.452894674668055</v>
      </c>
      <c r="E131">
        <v>2.8943833363469298</v>
      </c>
      <c r="F131">
        <v>2.56655913244931</v>
      </c>
      <c r="G131">
        <v>-47.236272464161267</v>
      </c>
      <c r="H131">
        <v>-40.679294027884509</v>
      </c>
      <c r="I131">
        <v>6.1966436103357196</v>
      </c>
      <c r="J131">
        <v>3.52201987216471</v>
      </c>
      <c r="K131">
        <v>1.1277290671985301</v>
      </c>
      <c r="L131">
        <v>3.0986826634399967E-5</v>
      </c>
      <c r="M131">
        <v>1.8227948442411506E-6</v>
      </c>
      <c r="N131" s="1">
        <v>-1.74365351401628E-8</v>
      </c>
      <c r="O131" s="1">
        <v>1.01695131255634E-11</v>
      </c>
      <c r="P131" s="1">
        <v>7.5079415316433399E-11</v>
      </c>
      <c r="Q131">
        <v>65.598253799109102</v>
      </c>
      <c r="S131">
        <v>21.251500691757499</v>
      </c>
      <c r="AA131">
        <v>2.22624993021702</v>
      </c>
      <c r="AB131">
        <v>9.5606861571827206</v>
      </c>
      <c r="AC131">
        <v>1.36330942173347</v>
      </c>
      <c r="AJ131">
        <v>0.81800076925665499</v>
      </c>
      <c r="AK131">
        <v>0.105256605294223</v>
      </c>
      <c r="AL131">
        <v>7.6742625449120999E-2</v>
      </c>
    </row>
    <row r="132" spans="1:38" x14ac:dyDescent="0.2">
      <c r="A132">
        <v>121</v>
      </c>
      <c r="B132">
        <v>784</v>
      </c>
      <c r="C132">
        <v>150</v>
      </c>
      <c r="D132">
        <v>0.45231093033155201</v>
      </c>
      <c r="E132">
        <v>3.3360390781193199</v>
      </c>
      <c r="F132">
        <v>2.5662329305784599</v>
      </c>
      <c r="G132">
        <v>-54.433404488791801</v>
      </c>
      <c r="H132">
        <v>-46.886650711492933</v>
      </c>
      <c r="I132">
        <v>7.1387729057360501</v>
      </c>
      <c r="J132">
        <v>4.059960577929</v>
      </c>
      <c r="K132">
        <v>1.29997516529698</v>
      </c>
      <c r="L132">
        <v>3.1019855504677051E-5</v>
      </c>
      <c r="M132">
        <v>1.8237591249693157E-6</v>
      </c>
      <c r="N132" s="1">
        <v>-2.0757037356175899E-8</v>
      </c>
      <c r="O132" s="1">
        <v>1.1724497912303099E-11</v>
      </c>
      <c r="P132" s="1">
        <v>8.8467773564600806E-11</v>
      </c>
      <c r="Q132">
        <v>65.637370799340104</v>
      </c>
      <c r="S132">
        <v>21.220976134346799</v>
      </c>
      <c r="AA132">
        <v>2.1919394405664501</v>
      </c>
      <c r="AB132">
        <v>9.5678321991123596</v>
      </c>
      <c r="AC132">
        <v>1.38188142663411</v>
      </c>
      <c r="AJ132">
        <v>0.81858380476232095</v>
      </c>
      <c r="AK132">
        <v>0.1036308211863</v>
      </c>
      <c r="AL132">
        <v>7.77853740513786E-2</v>
      </c>
    </row>
    <row r="133" spans="1:38" x14ac:dyDescent="0.2">
      <c r="A133">
        <v>122</v>
      </c>
      <c r="B133">
        <v>783</v>
      </c>
      <c r="C133">
        <v>150</v>
      </c>
      <c r="D133">
        <v>0.45172608057567798</v>
      </c>
      <c r="E133">
        <v>3.7770852062161602</v>
      </c>
      <c r="F133">
        <v>2.5659149380001098</v>
      </c>
      <c r="G133">
        <v>-61.617782282282889</v>
      </c>
      <c r="H133">
        <v>-53.085496466541919</v>
      </c>
      <c r="I133">
        <v>8.0786685752411795</v>
      </c>
      <c r="J133">
        <v>4.5973099645696296</v>
      </c>
      <c r="K133">
        <v>1.47202276672508</v>
      </c>
      <c r="L133">
        <v>3.1052702182709229E-5</v>
      </c>
      <c r="M133">
        <v>1.8246964581533542E-6</v>
      </c>
      <c r="N133" s="1">
        <v>-2.4267573971950999E-8</v>
      </c>
      <c r="O133" s="1">
        <v>1.3277782455218E-11</v>
      </c>
      <c r="P133" s="1">
        <v>1.02406326192049E-10</v>
      </c>
      <c r="Q133">
        <v>65.675314207041197</v>
      </c>
      <c r="S133">
        <v>21.191240993948401</v>
      </c>
      <c r="AA133">
        <v>2.1585540698068399</v>
      </c>
      <c r="AB133">
        <v>9.5744325123436003</v>
      </c>
      <c r="AC133">
        <v>1.4004582168597901</v>
      </c>
      <c r="AJ133">
        <v>0.81912230883758197</v>
      </c>
      <c r="AK133">
        <v>0.102049159940638</v>
      </c>
      <c r="AL133">
        <v>7.8828531221779005E-2</v>
      </c>
    </row>
    <row r="134" spans="1:38" x14ac:dyDescent="0.2">
      <c r="A134">
        <v>123</v>
      </c>
      <c r="B134">
        <v>782</v>
      </c>
      <c r="C134">
        <v>150</v>
      </c>
      <c r="D134">
        <v>0.451140122257502</v>
      </c>
      <c r="E134">
        <v>4.2173128684742904</v>
      </c>
      <c r="F134">
        <v>2.5656050664099199</v>
      </c>
      <c r="G134">
        <v>-68.786013294562238</v>
      </c>
      <c r="H134">
        <v>-59.272909492433875</v>
      </c>
      <c r="I134">
        <v>9.0158781236111807</v>
      </c>
      <c r="J134">
        <v>5.1338196157690703</v>
      </c>
      <c r="K134">
        <v>1.64378879808481</v>
      </c>
      <c r="L134">
        <v>3.1085394566667484E-5</v>
      </c>
      <c r="M134">
        <v>1.8256074793300975E-6</v>
      </c>
      <c r="N134" s="1">
        <v>-2.7973865415607399E-8</v>
      </c>
      <c r="O134" s="1">
        <v>1.4828486329151299E-11</v>
      </c>
      <c r="P134" s="1">
        <v>1.1690960318133301E-10</v>
      </c>
      <c r="Q134">
        <v>65.712106132808302</v>
      </c>
      <c r="S134">
        <v>21.162282218229699</v>
      </c>
      <c r="AA134">
        <v>2.12607789042488</v>
      </c>
      <c r="AB134">
        <v>9.58050215076703</v>
      </c>
      <c r="AC134">
        <v>1.4190316077699401</v>
      </c>
      <c r="AJ134">
        <v>0.819617517132327</v>
      </c>
      <c r="AK134">
        <v>0.100510844158896</v>
      </c>
      <c r="AL134">
        <v>7.9871638708776393E-2</v>
      </c>
    </row>
    <row r="135" spans="1:38" x14ac:dyDescent="0.2">
      <c r="A135">
        <v>124</v>
      </c>
      <c r="B135">
        <v>781</v>
      </c>
      <c r="C135">
        <v>150</v>
      </c>
      <c r="D135">
        <v>0.45055305222216901</v>
      </c>
      <c r="E135">
        <v>4.6565197747614402</v>
      </c>
      <c r="F135">
        <v>2.5653032165853098</v>
      </c>
      <c r="G135">
        <v>-75.934815156847719</v>
      </c>
      <c r="H135">
        <v>-65.446060383506875</v>
      </c>
      <c r="I135">
        <v>9.9499642112989992</v>
      </c>
      <c r="J135">
        <v>5.6692493889067501</v>
      </c>
      <c r="K135">
        <v>1.81519274004565</v>
      </c>
      <c r="L135">
        <v>3.1117961575039896E-5</v>
      </c>
      <c r="M135">
        <v>1.8264928499263885E-6</v>
      </c>
      <c r="N135" s="1">
        <v>-3.1881822991463702E-8</v>
      </c>
      <c r="O135" s="1">
        <v>1.6375751427525901E-11</v>
      </c>
      <c r="P135" s="1">
        <v>1.31992708525096E-10</v>
      </c>
      <c r="Q135">
        <v>65.747769841771202</v>
      </c>
      <c r="S135">
        <v>21.1340858926729</v>
      </c>
      <c r="AA135">
        <v>2.0944939942008798</v>
      </c>
      <c r="AB135">
        <v>9.5860564807595008</v>
      </c>
      <c r="AC135">
        <v>1.4375937905954199</v>
      </c>
      <c r="AJ135">
        <v>0.82007068979443398</v>
      </c>
      <c r="AK135">
        <v>9.90150511666546E-2</v>
      </c>
      <c r="AL135">
        <v>8.0914259038910794E-2</v>
      </c>
    </row>
    <row r="136" spans="1:38" x14ac:dyDescent="0.2">
      <c r="A136">
        <v>125</v>
      </c>
      <c r="B136">
        <v>780</v>
      </c>
      <c r="C136">
        <v>150</v>
      </c>
      <c r="D136">
        <v>0.44996486730285301</v>
      </c>
      <c r="E136">
        <v>5.0945108547697497</v>
      </c>
      <c r="F136">
        <v>2.5650092793950998</v>
      </c>
      <c r="G136">
        <v>-83.061026230871079</v>
      </c>
      <c r="H136">
        <v>-71.602221297477826</v>
      </c>
      <c r="I136">
        <v>10.880506037500099</v>
      </c>
      <c r="J136">
        <v>6.2033682274221196</v>
      </c>
      <c r="K136">
        <v>1.98615689061802</v>
      </c>
      <c r="L136">
        <v>3.1150433067347857E-5</v>
      </c>
      <c r="M136">
        <v>1.8273532533112124E-6</v>
      </c>
      <c r="N136" s="1">
        <v>-3.5997565592453197E-8</v>
      </c>
      <c r="O136" s="1">
        <v>1.7918744505519001E-11</v>
      </c>
      <c r="P136" s="1">
        <v>1.47671372886262E-10</v>
      </c>
      <c r="Q136">
        <v>65.782329590767105</v>
      </c>
      <c r="S136">
        <v>21.106637347322099</v>
      </c>
      <c r="AA136">
        <v>2.0637846182696999</v>
      </c>
      <c r="AB136">
        <v>9.5911110981858094</v>
      </c>
      <c r="AC136">
        <v>1.4561373454551301</v>
      </c>
      <c r="AJ136">
        <v>0.82048310476191499</v>
      </c>
      <c r="AK136">
        <v>9.7560918977255703E-2</v>
      </c>
      <c r="AL136">
        <v>8.1955976260829094E-2</v>
      </c>
    </row>
    <row r="137" spans="1:38" x14ac:dyDescent="0.2">
      <c r="A137">
        <v>126</v>
      </c>
      <c r="B137">
        <v>779</v>
      </c>
      <c r="C137">
        <v>150</v>
      </c>
      <c r="D137">
        <v>0.44937556432067799</v>
      </c>
      <c r="E137">
        <v>5.5310988117397102</v>
      </c>
      <c r="F137">
        <v>2.56472313682315</v>
      </c>
      <c r="G137">
        <v>-90.16161445000499</v>
      </c>
      <c r="H137">
        <v>-77.738773665143071</v>
      </c>
      <c r="I137">
        <v>11.807100494094801</v>
      </c>
      <c r="J137">
        <v>6.7359548462685597</v>
      </c>
      <c r="K137">
        <v>2.1566065874037799</v>
      </c>
      <c r="L137">
        <v>3.1182839768715694E-5</v>
      </c>
      <c r="M137">
        <v>1.8281893909641113E-6</v>
      </c>
      <c r="N137" s="1">
        <v>-4.0327436972730401E-8</v>
      </c>
      <c r="O137" s="1">
        <v>1.9456659321340301E-11</v>
      </c>
      <c r="P137" s="1">
        <v>1.63962006933128E-10</v>
      </c>
      <c r="Q137">
        <v>65.815810468851197</v>
      </c>
      <c r="S137">
        <v>21.079921262268101</v>
      </c>
      <c r="AA137">
        <v>2.0339312693613198</v>
      </c>
      <c r="AB137">
        <v>9.5956817495261504</v>
      </c>
      <c r="AC137">
        <v>1.4746552499930901</v>
      </c>
      <c r="AJ137">
        <v>0.82085605139298901</v>
      </c>
      <c r="AK137">
        <v>9.6147552161982106E-2</v>
      </c>
      <c r="AL137">
        <v>8.2996396445027903E-2</v>
      </c>
    </row>
    <row r="138" spans="1:38" x14ac:dyDescent="0.2">
      <c r="A138">
        <v>127</v>
      </c>
      <c r="B138">
        <v>778</v>
      </c>
      <c r="C138">
        <v>150</v>
      </c>
      <c r="D138">
        <v>0.44878514008467002</v>
      </c>
      <c r="E138">
        <v>5.9661045861588402</v>
      </c>
      <c r="F138">
        <v>2.5644446629807098</v>
      </c>
      <c r="G138">
        <v>-97.233684684187409</v>
      </c>
      <c r="H138">
        <v>-83.853214639192927</v>
      </c>
      <c r="I138">
        <v>12.729363121338</v>
      </c>
      <c r="J138">
        <v>7.2667983076062104</v>
      </c>
      <c r="K138">
        <v>2.3264703942662899</v>
      </c>
      <c r="L138">
        <v>3.1215213199640896E-5</v>
      </c>
      <c r="M138">
        <v>1.8290019788201133E-6</v>
      </c>
      <c r="N138" s="1">
        <v>-4.4878023622283399E-8</v>
      </c>
      <c r="O138" s="1">
        <v>2.09887184244312E-11</v>
      </c>
      <c r="P138" s="1">
        <v>1.8088175557478799E-10</v>
      </c>
      <c r="Q138">
        <v>65.848238243872302</v>
      </c>
      <c r="S138">
        <v>21.053921769846099</v>
      </c>
      <c r="AA138">
        <v>2.0049148439144999</v>
      </c>
      <c r="AB138">
        <v>9.5997842579037798</v>
      </c>
      <c r="AC138">
        <v>1.4931408844632501</v>
      </c>
      <c r="AJ138">
        <v>0.82119082449637304</v>
      </c>
      <c r="AK138">
        <v>9.4774027518189294E-2</v>
      </c>
      <c r="AL138">
        <v>8.4035147985437306E-2</v>
      </c>
    </row>
    <row r="139" spans="1:38" x14ac:dyDescent="0.2">
      <c r="A139">
        <v>128</v>
      </c>
      <c r="B139">
        <v>777</v>
      </c>
      <c r="C139">
        <v>150</v>
      </c>
      <c r="D139">
        <v>0.44819359139171</v>
      </c>
      <c r="E139">
        <v>6.3993577151438599</v>
      </c>
      <c r="F139">
        <v>2.5641737251114098</v>
      </c>
      <c r="G139">
        <v>-104.27448439874809</v>
      </c>
      <c r="H139">
        <v>-89.943162082040388</v>
      </c>
      <c r="I139">
        <v>13.6469288356022</v>
      </c>
      <c r="J139">
        <v>7.7956984693848996</v>
      </c>
      <c r="K139">
        <v>2.49568024680769</v>
      </c>
      <c r="L139">
        <v>3.1247585611177126E-5</v>
      </c>
      <c r="M139">
        <v>1.8297917437918429E-6</v>
      </c>
      <c r="N139" s="1">
        <v>-4.9656173083320497E-8</v>
      </c>
      <c r="O139" s="1">
        <v>2.25141745395068E-11</v>
      </c>
      <c r="P139" s="1">
        <v>1.9844855249583901E-10</v>
      </c>
      <c r="Q139">
        <v>65.879639215059498</v>
      </c>
      <c r="S139">
        <v>21.028622553705802</v>
      </c>
      <c r="AA139">
        <v>1.9767157442077401</v>
      </c>
      <c r="AB139">
        <v>9.6034344543073402</v>
      </c>
      <c r="AC139">
        <v>1.5115880327195601</v>
      </c>
      <c r="AJ139">
        <v>0.821488718784949</v>
      </c>
      <c r="AK139">
        <v>9.3439399543055301E-2</v>
      </c>
      <c r="AL139">
        <v>8.5071881671994698E-2</v>
      </c>
    </row>
    <row r="140" spans="1:38" x14ac:dyDescent="0.2">
      <c r="A140">
        <v>129</v>
      </c>
      <c r="B140">
        <v>776</v>
      </c>
      <c r="C140">
        <v>150</v>
      </c>
      <c r="D140">
        <v>0.447600915026452</v>
      </c>
      <c r="E140">
        <v>7.4898431431197903</v>
      </c>
      <c r="F140">
        <v>2.5634010227271302</v>
      </c>
      <c r="G140">
        <v>-122.00261775397907</v>
      </c>
      <c r="H140">
        <v>-105.25297663566572</v>
      </c>
      <c r="I140">
        <v>15.964963178109199</v>
      </c>
      <c r="J140">
        <v>9.1249409519497693</v>
      </c>
      <c r="K140">
        <v>2.9218382440807198</v>
      </c>
      <c r="L140">
        <v>3.1281552837617584E-5</v>
      </c>
      <c r="M140">
        <v>1.8310825969909861E-6</v>
      </c>
      <c r="N140" s="1">
        <v>-5.9850746572272601E-8</v>
      </c>
      <c r="O140" s="1">
        <v>2.63749451769314E-11</v>
      </c>
      <c r="P140" s="1">
        <v>2.3729338112125999E-10</v>
      </c>
      <c r="Q140">
        <v>65.941157860739494</v>
      </c>
      <c r="S140">
        <v>20.9729749782508</v>
      </c>
      <c r="AA140">
        <v>1.9164513897161299</v>
      </c>
      <c r="AB140">
        <v>9.5946381039737805</v>
      </c>
      <c r="AC140">
        <v>1.5747776673196301</v>
      </c>
      <c r="AJ140">
        <v>0.82077307807101296</v>
      </c>
      <c r="AK140">
        <v>9.0594764986621307E-2</v>
      </c>
      <c r="AL140">
        <v>8.8632156942365301E-2</v>
      </c>
    </row>
    <row r="141" spans="1:38" x14ac:dyDescent="0.2">
      <c r="A141">
        <v>130</v>
      </c>
      <c r="B141">
        <v>775</v>
      </c>
      <c r="C141">
        <v>150</v>
      </c>
      <c r="D141">
        <v>0.44700710776129698</v>
      </c>
      <c r="E141">
        <v>8.8817724318517506</v>
      </c>
      <c r="F141">
        <v>2.56240269914159</v>
      </c>
      <c r="G141">
        <v>-144.61657236822273</v>
      </c>
      <c r="H141">
        <v>-124.78232878967597</v>
      </c>
      <c r="I141">
        <v>18.9230964828953</v>
      </c>
      <c r="J141">
        <v>10.8211862032284</v>
      </c>
      <c r="K141">
        <v>3.4661891492805301</v>
      </c>
      <c r="L141">
        <v>3.1312227437032011E-5</v>
      </c>
      <c r="M141">
        <v>1.8324757063869344E-6</v>
      </c>
      <c r="N141" s="1">
        <v>-7.2987731126966594E-8</v>
      </c>
      <c r="O141" s="1">
        <v>3.1316612856584903E-11</v>
      </c>
      <c r="P141" s="1">
        <v>2.8721826328856201E-10</v>
      </c>
      <c r="Q141">
        <v>66.0120494739744</v>
      </c>
      <c r="S141">
        <v>20.905497984011099</v>
      </c>
      <c r="AA141">
        <v>1.8442405897613301</v>
      </c>
      <c r="AB141">
        <v>9.5757165500042305</v>
      </c>
      <c r="AC141">
        <v>1.6624954022487699</v>
      </c>
      <c r="AJ141">
        <v>0.81923246169156205</v>
      </c>
      <c r="AK141">
        <v>8.7189510025131006E-2</v>
      </c>
      <c r="AL141">
        <v>9.3578028283306303E-2</v>
      </c>
    </row>
    <row r="142" spans="1:38" x14ac:dyDescent="0.2">
      <c r="A142">
        <v>131</v>
      </c>
      <c r="B142">
        <v>774</v>
      </c>
      <c r="C142">
        <v>150</v>
      </c>
      <c r="D142">
        <v>0.44641216635630598</v>
      </c>
      <c r="E142">
        <v>10.3051599351958</v>
      </c>
      <c r="F142">
        <v>2.5613847083068602</v>
      </c>
      <c r="G142">
        <v>-167.72036981743028</v>
      </c>
      <c r="H142">
        <v>-144.74054789784049</v>
      </c>
      <c r="I142">
        <v>21.9451099838512</v>
      </c>
      <c r="J142">
        <v>12.555572245129399</v>
      </c>
      <c r="K142">
        <v>4.0232769024407098</v>
      </c>
      <c r="L142">
        <v>3.1337899513966623E-5</v>
      </c>
      <c r="M142">
        <v>1.8337299168104604E-6</v>
      </c>
      <c r="N142" s="1">
        <v>-8.7009898967463294E-8</v>
      </c>
      <c r="O142" s="1">
        <v>3.6381861545762197E-11</v>
      </c>
      <c r="P142" s="1">
        <v>3.39964429855724E-10</v>
      </c>
      <c r="Q142">
        <v>66.078731642434605</v>
      </c>
      <c r="S142">
        <v>20.8391684699866</v>
      </c>
      <c r="AA142">
        <v>1.77395868912462</v>
      </c>
      <c r="AB142">
        <v>9.5504227426221799</v>
      </c>
      <c r="AC142">
        <v>1.7577184558319301</v>
      </c>
      <c r="AJ142">
        <v>0.81717209112352496</v>
      </c>
      <c r="AK142">
        <v>8.38774506905271E-2</v>
      </c>
      <c r="AL142">
        <v>9.8950458185947193E-2</v>
      </c>
    </row>
    <row r="143" spans="1:38" x14ac:dyDescent="0.2">
      <c r="A143">
        <v>132</v>
      </c>
      <c r="B143">
        <v>773</v>
      </c>
      <c r="C143">
        <v>150</v>
      </c>
      <c r="D143">
        <v>0.44581608755914398</v>
      </c>
      <c r="E143">
        <v>11.7665748848811</v>
      </c>
      <c r="F143">
        <v>2.5603385193746901</v>
      </c>
      <c r="G143">
        <v>-191.41799399191567</v>
      </c>
      <c r="H143">
        <v>-165.21746934502556</v>
      </c>
      <c r="I143">
        <v>25.044711223906699</v>
      </c>
      <c r="J143">
        <v>14.3359084220412</v>
      </c>
      <c r="K143">
        <v>4.5957106046097502</v>
      </c>
      <c r="L143">
        <v>3.1358070421400726E-5</v>
      </c>
      <c r="M143">
        <v>1.8348406071057174E-6</v>
      </c>
      <c r="N143" s="1">
        <v>-1.01976898703717E-7</v>
      </c>
      <c r="O143" s="1">
        <v>4.1594926778672301E-11</v>
      </c>
      <c r="P143" s="1">
        <v>3.9575560411259299E-10</v>
      </c>
      <c r="Q143">
        <v>66.141273089545194</v>
      </c>
      <c r="S143">
        <v>20.773649831545999</v>
      </c>
      <c r="AA143">
        <v>1.7053119498670799</v>
      </c>
      <c r="AB143">
        <v>9.5180273754938707</v>
      </c>
      <c r="AC143">
        <v>1.86173775354767</v>
      </c>
      <c r="AJ143">
        <v>0.81453210949971</v>
      </c>
      <c r="AK143">
        <v>8.0644710150939797E-2</v>
      </c>
      <c r="AL143">
        <v>0.104823180349349</v>
      </c>
    </row>
    <row r="144" spans="1:38" x14ac:dyDescent="0.2">
      <c r="A144">
        <v>133</v>
      </c>
      <c r="B144">
        <v>772</v>
      </c>
      <c r="C144">
        <v>150</v>
      </c>
      <c r="D144">
        <v>0.44521886810505501</v>
      </c>
      <c r="E144">
        <v>13.2753555242536</v>
      </c>
      <c r="F144">
        <v>2.5592531764334998</v>
      </c>
      <c r="G144">
        <v>-215.85755083203966</v>
      </c>
      <c r="H144">
        <v>-186.34102126309216</v>
      </c>
      <c r="I144">
        <v>28.241429047454901</v>
      </c>
      <c r="J144">
        <v>16.173317898460301</v>
      </c>
      <c r="K144">
        <v>5.1871990026222203</v>
      </c>
      <c r="L144">
        <v>3.137207370231311E-5</v>
      </c>
      <c r="M144">
        <v>1.8358011009512521E-6</v>
      </c>
      <c r="N144" s="1">
        <v>-1.17966455679054E-7</v>
      </c>
      <c r="O144" s="1">
        <v>4.6990468142855303E-11</v>
      </c>
      <c r="P144" s="1">
        <v>4.5489014398497302E-10</v>
      </c>
      <c r="Q144">
        <v>66.199738543198194</v>
      </c>
      <c r="S144">
        <v>20.708519041967602</v>
      </c>
      <c r="AA144">
        <v>1.63793626724298</v>
      </c>
      <c r="AB144">
        <v>9.4775656717071008</v>
      </c>
      <c r="AC144">
        <v>1.97624047588393</v>
      </c>
      <c r="AJ144">
        <v>0.81123326127576101</v>
      </c>
      <c r="AK144">
        <v>7.7474134977548695E-2</v>
      </c>
      <c r="AL144">
        <v>0.11129260374668901</v>
      </c>
    </row>
    <row r="145" spans="1:38" x14ac:dyDescent="0.2">
      <c r="A145">
        <v>134</v>
      </c>
      <c r="B145">
        <v>771</v>
      </c>
      <c r="C145">
        <v>150</v>
      </c>
      <c r="D145">
        <v>0.44462050471675502</v>
      </c>
      <c r="E145">
        <v>14.8449221152341</v>
      </c>
      <c r="F145">
        <v>2.5581143675529399</v>
      </c>
      <c r="G145">
        <v>-241.25216146155432</v>
      </c>
      <c r="H145">
        <v>-208.29527185614324</v>
      </c>
      <c r="I145">
        <v>31.5633669543754</v>
      </c>
      <c r="J145">
        <v>18.083807204833999</v>
      </c>
      <c r="K145">
        <v>5.8030721001088699</v>
      </c>
      <c r="L145">
        <v>3.137899506697633E-5</v>
      </c>
      <c r="M145">
        <v>1.8366014765776654E-6</v>
      </c>
      <c r="N145" s="1">
        <v>-1.3508297413119E-7</v>
      </c>
      <c r="O145" s="1">
        <v>5.2618514234890398E-11</v>
      </c>
      <c r="P145" s="1">
        <v>5.1777656748029398E-10</v>
      </c>
      <c r="Q145">
        <v>66.254173487522394</v>
      </c>
      <c r="S145">
        <v>20.643238516399801</v>
      </c>
      <c r="AA145">
        <v>1.5713775151456599</v>
      </c>
      <c r="AB145">
        <v>9.4277296416249996</v>
      </c>
      <c r="AC145">
        <v>2.1034808393070099</v>
      </c>
      <c r="AJ145">
        <v>0.807168007608845</v>
      </c>
      <c r="AK145">
        <v>7.4344380211833094E-2</v>
      </c>
      <c r="AL145">
        <v>0.11848761217932</v>
      </c>
    </row>
    <row r="146" spans="1:38" x14ac:dyDescent="0.2">
      <c r="A146">
        <v>135</v>
      </c>
      <c r="B146">
        <v>770</v>
      </c>
      <c r="C146">
        <v>150</v>
      </c>
      <c r="D146">
        <v>0.44402099410439499</v>
      </c>
      <c r="E146">
        <v>16.494900245634199</v>
      </c>
      <c r="F146">
        <v>2.5569030000867801</v>
      </c>
      <c r="G146">
        <v>-267.91373230928701</v>
      </c>
      <c r="H146">
        <v>-231.34960075678885</v>
      </c>
      <c r="I146">
        <v>35.051652736900799</v>
      </c>
      <c r="J146">
        <v>20.0908025468933</v>
      </c>
      <c r="K146">
        <v>6.4511247572060304</v>
      </c>
      <c r="L146">
        <v>3.1377547629080681E-5</v>
      </c>
      <c r="M146">
        <v>1.8372267096735282E-6</v>
      </c>
      <c r="N146" s="1">
        <v>-1.5347109744689201E-7</v>
      </c>
      <c r="O146" s="1">
        <v>5.8552462647377701E-11</v>
      </c>
      <c r="P146" s="1">
        <v>5.8498996218310499E-10</v>
      </c>
      <c r="Q146">
        <v>66.3045796330223</v>
      </c>
      <c r="S146">
        <v>20.5771129253448</v>
      </c>
      <c r="AA146">
        <v>1.5050616404971999</v>
      </c>
      <c r="AB146">
        <v>9.36670020033797</v>
      </c>
      <c r="AC146">
        <v>2.2465456007976101</v>
      </c>
      <c r="AJ146">
        <v>0.80218666543064199</v>
      </c>
      <c r="AK146">
        <v>7.1228515947888399E-2</v>
      </c>
      <c r="AL146">
        <v>0.126584818621469</v>
      </c>
    </row>
    <row r="147" spans="1:38" x14ac:dyDescent="0.2">
      <c r="A147">
        <v>136</v>
      </c>
      <c r="B147">
        <v>769</v>
      </c>
      <c r="C147">
        <v>150</v>
      </c>
      <c r="D147">
        <v>0.44342033296550898</v>
      </c>
      <c r="E147">
        <v>18.254694866400101</v>
      </c>
      <c r="F147">
        <v>2.55559301226742</v>
      </c>
      <c r="G147">
        <v>-296.30977149480896</v>
      </c>
      <c r="H147">
        <v>-255.9077805857294</v>
      </c>
      <c r="I147">
        <v>38.767922956464503</v>
      </c>
      <c r="J147">
        <v>22.2294160248012</v>
      </c>
      <c r="K147">
        <v>7.1430367741551404</v>
      </c>
      <c r="L147">
        <v>3.1365872186229661E-5</v>
      </c>
      <c r="M147">
        <v>1.8376536610079332E-6</v>
      </c>
      <c r="N147" s="1">
        <v>-1.73337915957841E-7</v>
      </c>
      <c r="O147" s="1">
        <v>6.4902552299115996E-11</v>
      </c>
      <c r="P147" s="1">
        <v>6.5736510875846002E-10</v>
      </c>
      <c r="Q147">
        <v>66.350871876073199</v>
      </c>
      <c r="S147">
        <v>20.509223718709201</v>
      </c>
      <c r="AA147">
        <v>1.4382506878325101</v>
      </c>
      <c r="AB147">
        <v>9.2918796004917805</v>
      </c>
      <c r="AC147">
        <v>2.4097741168931899</v>
      </c>
      <c r="AJ147">
        <v>0.79607528090378399</v>
      </c>
      <c r="AK147">
        <v>6.80919772997651E-2</v>
      </c>
      <c r="AL147">
        <v>0.135832741796449</v>
      </c>
    </row>
    <row r="148" spans="1:38" x14ac:dyDescent="0.2">
      <c r="A148">
        <v>137</v>
      </c>
      <c r="B148">
        <v>768</v>
      </c>
      <c r="C148">
        <v>150</v>
      </c>
      <c r="D148">
        <v>0.442818517984921</v>
      </c>
      <c r="E148">
        <v>20.169688217201902</v>
      </c>
      <c r="F148">
        <v>2.55414813339118</v>
      </c>
      <c r="G148">
        <v>-327.16185917573648</v>
      </c>
      <c r="H148">
        <v>-282.59304983186297</v>
      </c>
      <c r="I148">
        <v>42.807289385653803</v>
      </c>
      <c r="J148">
        <v>24.5538377712491</v>
      </c>
      <c r="K148">
        <v>7.8968357212791203</v>
      </c>
      <c r="L148">
        <v>3.1341215232961584E-5</v>
      </c>
      <c r="M148">
        <v>1.8378460632518287E-6</v>
      </c>
      <c r="N148" s="1">
        <v>-1.94990299519527E-7</v>
      </c>
      <c r="O148" s="1">
        <v>7.1839241059827805E-11</v>
      </c>
      <c r="P148" s="1">
        <v>7.3615447624330599E-10</v>
      </c>
      <c r="Q148">
        <v>66.392796013224896</v>
      </c>
      <c r="S148">
        <v>20.438336351839201</v>
      </c>
      <c r="AA148">
        <v>1.36998546007153</v>
      </c>
      <c r="AB148">
        <v>9.1994648440158002</v>
      </c>
      <c r="AC148">
        <v>2.5994173308484498</v>
      </c>
      <c r="AJ148">
        <v>0.78852026799463104</v>
      </c>
      <c r="AK148">
        <v>6.4889891055790502E-2</v>
      </c>
      <c r="AL148">
        <v>0.146589840949577</v>
      </c>
    </row>
    <row r="149" spans="1:38" x14ac:dyDescent="0.2">
      <c r="A149">
        <v>138</v>
      </c>
      <c r="B149">
        <v>767</v>
      </c>
      <c r="C149">
        <v>150</v>
      </c>
      <c r="D149">
        <v>0.44221554583473799</v>
      </c>
      <c r="E149">
        <v>22.311904213376302</v>
      </c>
      <c r="F149">
        <v>2.5525179376929401</v>
      </c>
      <c r="G149">
        <v>-361.61491257116302</v>
      </c>
      <c r="H149">
        <v>-312.39437902937141</v>
      </c>
      <c r="I149">
        <v>47.320611009750003</v>
      </c>
      <c r="J149">
        <v>27.150038812254</v>
      </c>
      <c r="K149">
        <v>8.7411351293157598</v>
      </c>
      <c r="L149">
        <v>3.1299441234160381E-5</v>
      </c>
      <c r="M149">
        <v>1.8377463716346269E-6</v>
      </c>
      <c r="N149" s="1">
        <v>-2.1889650595640201E-7</v>
      </c>
      <c r="O149" s="1">
        <v>7.9633469922307501E-11</v>
      </c>
      <c r="P149" s="1">
        <v>8.2329224852656897E-10</v>
      </c>
      <c r="Q149">
        <v>66.429760014076194</v>
      </c>
      <c r="S149">
        <v>20.362804110286</v>
      </c>
      <c r="AA149">
        <v>1.29904554313341</v>
      </c>
      <c r="AB149">
        <v>9.0838195468893908</v>
      </c>
      <c r="AC149">
        <v>2.8245707856148501</v>
      </c>
      <c r="AJ149">
        <v>0.77905609281617005</v>
      </c>
      <c r="AK149">
        <v>6.1565214617629899E-2</v>
      </c>
      <c r="AL149">
        <v>0.15937869256619899</v>
      </c>
    </row>
    <row r="150" spans="1:38" x14ac:dyDescent="0.2">
      <c r="A150">
        <v>139</v>
      </c>
      <c r="B150">
        <v>766</v>
      </c>
      <c r="C150">
        <v>150</v>
      </c>
      <c r="D150">
        <v>0.44161141317423203</v>
      </c>
      <c r="E150">
        <v>24.795592849356801</v>
      </c>
      <c r="F150">
        <v>2.5506378546646</v>
      </c>
      <c r="G150">
        <v>-401.48391275294921</v>
      </c>
      <c r="H150">
        <v>-346.87980756738551</v>
      </c>
      <c r="I150">
        <v>52.546894274708897</v>
      </c>
      <c r="J150">
        <v>30.154276774818801</v>
      </c>
      <c r="K150">
        <v>9.7213302170712605</v>
      </c>
      <c r="L150">
        <v>3.1234543959688937E-5</v>
      </c>
      <c r="M150">
        <v>1.8372652815906584E-6</v>
      </c>
      <c r="N150" s="1">
        <v>-2.4576872230139902E-7</v>
      </c>
      <c r="O150" s="1">
        <v>8.8715641946549304E-11</v>
      </c>
      <c r="P150" s="1">
        <v>9.2175768262471805E-10</v>
      </c>
      <c r="Q150">
        <v>66.460482489078899</v>
      </c>
      <c r="S150">
        <v>20.2806572438666</v>
      </c>
      <c r="AA150">
        <v>1.2241048676820701</v>
      </c>
      <c r="AB150">
        <v>8.9369242450198296</v>
      </c>
      <c r="AC150">
        <v>3.0978311543525101</v>
      </c>
      <c r="AJ150">
        <v>0.76701850906535196</v>
      </c>
      <c r="AK150">
        <v>5.8056009717737798E-2</v>
      </c>
      <c r="AL150">
        <v>0.17492548121690901</v>
      </c>
    </row>
    <row r="151" spans="1:38" x14ac:dyDescent="0.2">
      <c r="A151">
        <v>140</v>
      </c>
      <c r="B151">
        <v>765</v>
      </c>
      <c r="C151">
        <v>150</v>
      </c>
      <c r="D151">
        <v>0.44100611664981298</v>
      </c>
      <c r="E151">
        <v>27.779130904274201</v>
      </c>
      <c r="F151">
        <v>2.5484584035514901</v>
      </c>
      <c r="G151">
        <v>-449.28059498370817</v>
      </c>
      <c r="H151">
        <v>-388.22029601563668</v>
      </c>
      <c r="I151">
        <v>58.816451349102998</v>
      </c>
      <c r="J151">
        <v>33.755052923332798</v>
      </c>
      <c r="K151">
        <v>10.9003666159752</v>
      </c>
      <c r="L151">
        <v>3.1139688107698467E-5</v>
      </c>
      <c r="M151">
        <v>1.8362869923456385E-6</v>
      </c>
      <c r="N151" s="1">
        <v>-2.7653982166261201E-7</v>
      </c>
      <c r="O151" s="1">
        <v>9.9683535345900001E-11</v>
      </c>
      <c r="P151" s="1">
        <v>1.0355187958777601E-9</v>
      </c>
      <c r="Q151">
        <v>66.482396706085595</v>
      </c>
      <c r="S151">
        <v>20.190786786729699</v>
      </c>
      <c r="AA151">
        <v>1.1448474373922699</v>
      </c>
      <c r="AB151">
        <v>8.7501518152852409</v>
      </c>
      <c r="AC151">
        <v>3.4318172545070098</v>
      </c>
      <c r="AJ151">
        <v>0.751687415757886</v>
      </c>
      <c r="AK151">
        <v>5.4347565949905301E-2</v>
      </c>
      <c r="AL151">
        <v>0.193965018292208</v>
      </c>
    </row>
    <row r="152" spans="1:38" x14ac:dyDescent="0.2">
      <c r="A152">
        <v>141</v>
      </c>
      <c r="B152">
        <v>764</v>
      </c>
      <c r="C152">
        <v>150</v>
      </c>
      <c r="D152">
        <v>0.44039965289495597</v>
      </c>
      <c r="E152">
        <v>29.179818950537801</v>
      </c>
      <c r="F152">
        <v>2.5494252782781301</v>
      </c>
      <c r="G152">
        <v>-471.90622247008974</v>
      </c>
      <c r="H152">
        <v>-407.87112497278588</v>
      </c>
      <c r="I152">
        <v>61.741404326571597</v>
      </c>
      <c r="J152">
        <v>35.4585940488357</v>
      </c>
      <c r="K152">
        <v>11.4456458869999</v>
      </c>
      <c r="L152">
        <v>3.1117210461746501E-5</v>
      </c>
      <c r="M152">
        <v>1.8344336704524642E-6</v>
      </c>
      <c r="N152" s="1">
        <v>-2.9811335163197202E-7</v>
      </c>
      <c r="O152" s="1">
        <v>1.04481680470719E-10</v>
      </c>
      <c r="P152" s="1">
        <v>1.10990658866853E-9</v>
      </c>
      <c r="Q152">
        <v>66.390600888273397</v>
      </c>
      <c r="S152">
        <v>20.256006274656301</v>
      </c>
      <c r="AA152">
        <v>1.22007348188313</v>
      </c>
      <c r="AB152">
        <v>8.7165711238973191</v>
      </c>
      <c r="AC152">
        <v>3.41674823128968</v>
      </c>
      <c r="AJ152">
        <v>0.74892650018041496</v>
      </c>
      <c r="AK152">
        <v>5.7928235236812099E-2</v>
      </c>
      <c r="AL152">
        <v>0.19314526458277101</v>
      </c>
    </row>
    <row r="153" spans="1:38" x14ac:dyDescent="0.2">
      <c r="A153">
        <v>141</v>
      </c>
      <c r="B153">
        <v>764</v>
      </c>
      <c r="C153">
        <v>150</v>
      </c>
      <c r="D153">
        <v>0.44039965289495597</v>
      </c>
      <c r="E153">
        <v>15.071453371434901</v>
      </c>
      <c r="F153">
        <v>2.5241429800228601</v>
      </c>
      <c r="G153">
        <v>-240.51630618459902</v>
      </c>
      <c r="H153">
        <v>-207.73144464370588</v>
      </c>
      <c r="I153">
        <v>31.610530338806399</v>
      </c>
      <c r="J153">
        <v>18.054520674369499</v>
      </c>
      <c r="K153">
        <v>5.9709190369629699</v>
      </c>
      <c r="L153">
        <v>2.9409977368922586E-5</v>
      </c>
      <c r="M153">
        <v>1.8159463089331166E-6</v>
      </c>
      <c r="N153" s="1">
        <v>-9.7250869222260694E-8</v>
      </c>
      <c r="O153" s="1">
        <v>5.6426361154900102E-11</v>
      </c>
      <c r="P153" s="1">
        <v>4.0424249057099297E-10</v>
      </c>
      <c r="Q153">
        <v>66.443820265110901</v>
      </c>
      <c r="S153">
        <v>19.230439520623101</v>
      </c>
      <c r="AA153">
        <v>0.36155239481259799</v>
      </c>
      <c r="AB153">
        <v>6.1465110731990098</v>
      </c>
      <c r="AC153">
        <v>7.8176767462541896</v>
      </c>
      <c r="AJ153">
        <v>0.53495538965385703</v>
      </c>
      <c r="AK153">
        <v>1.7388852830138E-2</v>
      </c>
      <c r="AL153">
        <v>0.447655757516004</v>
      </c>
    </row>
    <row r="154" spans="1:38" x14ac:dyDescent="0.2">
      <c r="A154">
        <v>142</v>
      </c>
      <c r="B154">
        <v>763</v>
      </c>
      <c r="C154">
        <v>150</v>
      </c>
      <c r="D154">
        <v>0.43979201853014099</v>
      </c>
      <c r="E154">
        <v>29.493253584495299</v>
      </c>
      <c r="F154">
        <v>2.5506237870641</v>
      </c>
      <c r="G154">
        <v>-477.07566993075221</v>
      </c>
      <c r="H154">
        <v>-412.44735498034584</v>
      </c>
      <c r="I154">
        <v>62.373512474454799</v>
      </c>
      <c r="J154">
        <v>35.8556433446917</v>
      </c>
      <c r="K154">
        <v>11.5631531918094</v>
      </c>
      <c r="L154">
        <v>3.1157235024237383E-5</v>
      </c>
      <c r="M154">
        <v>1.8339268159005153E-6</v>
      </c>
      <c r="N154" s="1">
        <v>-3.1252680738431501E-7</v>
      </c>
      <c r="O154" s="1">
        <v>1.05327961914967E-10</v>
      </c>
      <c r="P154" s="1">
        <v>1.1545492463879699E-9</v>
      </c>
      <c r="Q154">
        <v>66.338252992416699</v>
      </c>
      <c r="S154">
        <v>20.3157429372427</v>
      </c>
      <c r="AA154">
        <v>1.2815715060280199</v>
      </c>
      <c r="AB154">
        <v>8.7565240720289204</v>
      </c>
      <c r="AC154">
        <v>3.3079084922835</v>
      </c>
      <c r="AJ154">
        <v>0.75220878273062997</v>
      </c>
      <c r="AK154">
        <v>6.08359490132045E-2</v>
      </c>
      <c r="AL154">
        <v>0.18695526825616501</v>
      </c>
    </row>
    <row r="155" spans="1:38" x14ac:dyDescent="0.2">
      <c r="A155">
        <v>142</v>
      </c>
      <c r="B155">
        <v>763</v>
      </c>
      <c r="C155">
        <v>150</v>
      </c>
      <c r="D155">
        <v>0.43979201853014099</v>
      </c>
      <c r="E155">
        <v>22.0871327645891</v>
      </c>
      <c r="F155">
        <v>2.5237855885204601</v>
      </c>
      <c r="G155">
        <v>-352.27952719794536</v>
      </c>
      <c r="H155">
        <v>-304.32663782221158</v>
      </c>
      <c r="I155">
        <v>46.279872002831397</v>
      </c>
      <c r="J155">
        <v>26.4483977181009</v>
      </c>
      <c r="K155">
        <v>8.7515884332857894</v>
      </c>
      <c r="L155">
        <v>2.9358659457371268E-5</v>
      </c>
      <c r="M155">
        <v>1.8149988895177585E-6</v>
      </c>
      <c r="N155" s="1">
        <v>-1.44356020937735E-7</v>
      </c>
      <c r="O155" s="1">
        <v>8.2737470413815096E-11</v>
      </c>
      <c r="P155" s="1">
        <v>5.9754790537249002E-10</v>
      </c>
      <c r="Q155">
        <v>66.419375435437502</v>
      </c>
      <c r="S155">
        <v>19.215042442504199</v>
      </c>
      <c r="AA155">
        <v>0.35455351453311601</v>
      </c>
      <c r="AB155">
        <v>6.0516716389056704</v>
      </c>
      <c r="AC155">
        <v>7.9593569686194003</v>
      </c>
      <c r="AJ155">
        <v>0.52695300470853401</v>
      </c>
      <c r="AK155">
        <v>1.7060396284829301E-2</v>
      </c>
      <c r="AL155">
        <v>0.45598659900663502</v>
      </c>
    </row>
    <row r="156" spans="1:38" x14ac:dyDescent="0.2">
      <c r="A156">
        <v>143</v>
      </c>
      <c r="B156">
        <v>762</v>
      </c>
      <c r="C156">
        <v>150</v>
      </c>
      <c r="D156">
        <v>0.439183210162781</v>
      </c>
      <c r="E156">
        <v>29.785330083789798</v>
      </c>
      <c r="F156">
        <v>2.5513101095327801</v>
      </c>
      <c r="G156">
        <v>-481.83041163884741</v>
      </c>
      <c r="H156">
        <v>-416.65906157765721</v>
      </c>
      <c r="I156">
        <v>62.958363581307196</v>
      </c>
      <c r="J156">
        <v>36.224156095927597</v>
      </c>
      <c r="K156">
        <v>11.674523599659199</v>
      </c>
      <c r="L156">
        <v>3.1194920556040704E-5</v>
      </c>
      <c r="M156">
        <v>1.8337821400190469E-6</v>
      </c>
      <c r="N156" s="1">
        <v>-3.2663585083080898E-7</v>
      </c>
      <c r="O156" s="1">
        <v>1.06178718739545E-10</v>
      </c>
      <c r="P156" s="1">
        <v>1.1980105057769701E-9</v>
      </c>
      <c r="Q156">
        <v>66.311774476892097</v>
      </c>
      <c r="S156">
        <v>20.347511603681699</v>
      </c>
      <c r="AA156">
        <v>1.31395938073845</v>
      </c>
      <c r="AB156">
        <v>8.7808038091818705</v>
      </c>
      <c r="AC156">
        <v>3.2459507295057199</v>
      </c>
      <c r="AJ156">
        <v>0.75420289247258698</v>
      </c>
      <c r="AK156">
        <v>6.236582188347E-2</v>
      </c>
      <c r="AL156">
        <v>0.18343128564394201</v>
      </c>
    </row>
    <row r="157" spans="1:38" x14ac:dyDescent="0.2">
      <c r="A157">
        <v>143</v>
      </c>
      <c r="B157">
        <v>762</v>
      </c>
      <c r="C157">
        <v>150</v>
      </c>
      <c r="D157">
        <v>0.439183210162781</v>
      </c>
      <c r="E157">
        <v>25.471240985788601</v>
      </c>
      <c r="F157">
        <v>2.5235898269407402</v>
      </c>
      <c r="G157">
        <v>-406.09850114664084</v>
      </c>
      <c r="H157">
        <v>-350.89630870042811</v>
      </c>
      <c r="I157">
        <v>53.327722983348004</v>
      </c>
      <c r="J157">
        <v>30.4954488026722</v>
      </c>
      <c r="K157">
        <v>10.0932571188347</v>
      </c>
      <c r="L157">
        <v>2.9336326216271571E-5</v>
      </c>
      <c r="M157">
        <v>1.8145259199971137E-6</v>
      </c>
      <c r="N157" s="1">
        <v>-1.7013681385882801E-7</v>
      </c>
      <c r="O157" s="1">
        <v>9.5426818560453806E-11</v>
      </c>
      <c r="P157" s="1">
        <v>6.9959313063755602E-10</v>
      </c>
      <c r="Q157">
        <v>66.406604659181895</v>
      </c>
      <c r="S157">
        <v>19.2047143831035</v>
      </c>
      <c r="AA157">
        <v>0.34901264582819602</v>
      </c>
      <c r="AB157">
        <v>5.9961362983035498</v>
      </c>
      <c r="AC157">
        <v>8.0435320135827109</v>
      </c>
      <c r="AJ157">
        <v>0.522263492575465</v>
      </c>
      <c r="AK157">
        <v>1.67984853864807E-2</v>
      </c>
      <c r="AL157">
        <v>0.46093802203805401</v>
      </c>
    </row>
    <row r="158" spans="1:38" x14ac:dyDescent="0.2">
      <c r="A158">
        <v>144</v>
      </c>
      <c r="B158">
        <v>761</v>
      </c>
      <c r="C158">
        <v>150</v>
      </c>
      <c r="D158">
        <v>0.43857322438717999</v>
      </c>
      <c r="E158">
        <v>30.015713309658999</v>
      </c>
      <c r="F158">
        <v>2.55178468702589</v>
      </c>
      <c r="G158">
        <v>-485.55888168529714</v>
      </c>
      <c r="H158">
        <v>-419.98161533900554</v>
      </c>
      <c r="I158">
        <v>63.4117549159131</v>
      </c>
      <c r="J158">
        <v>36.5170062955834</v>
      </c>
      <c r="K158">
        <v>11.762635563364199</v>
      </c>
      <c r="L158">
        <v>3.1232817367784819E-5</v>
      </c>
      <c r="M158">
        <v>1.833805495675814E-6</v>
      </c>
      <c r="N158" s="1">
        <v>-3.4036793601224402E-7</v>
      </c>
      <c r="O158" s="1">
        <v>1.0684062918989E-10</v>
      </c>
      <c r="P158" s="1">
        <v>1.23979649963447E-9</v>
      </c>
      <c r="Q158">
        <v>66.296549303093499</v>
      </c>
      <c r="S158">
        <v>20.367486895578899</v>
      </c>
      <c r="AA158">
        <v>1.33399178724867</v>
      </c>
      <c r="AB158">
        <v>8.7992431503864008</v>
      </c>
      <c r="AC158">
        <v>3.2027288636924101</v>
      </c>
      <c r="AJ158">
        <v>0.75571707749786199</v>
      </c>
      <c r="AK158">
        <v>6.3310809107102795E-2</v>
      </c>
      <c r="AL158">
        <v>0.180972113395034</v>
      </c>
    </row>
    <row r="159" spans="1:38" x14ac:dyDescent="0.2">
      <c r="A159">
        <v>144</v>
      </c>
      <c r="B159">
        <v>761</v>
      </c>
      <c r="C159">
        <v>150</v>
      </c>
      <c r="D159">
        <v>0.43857322438717999</v>
      </c>
      <c r="E159">
        <v>27.400633121534899</v>
      </c>
      <c r="F159">
        <v>2.5234579613718502</v>
      </c>
      <c r="G159">
        <v>-436.72223360406321</v>
      </c>
      <c r="H159">
        <v>-377.43963577854856</v>
      </c>
      <c r="I159">
        <v>57.324950757157701</v>
      </c>
      <c r="J159">
        <v>32.802770976414998</v>
      </c>
      <c r="K159">
        <v>10.858367185415201</v>
      </c>
      <c r="L159">
        <v>2.9326003432893598E-5</v>
      </c>
      <c r="M159">
        <v>1.814245570066255E-6</v>
      </c>
      <c r="N159" s="1">
        <v>-1.8773796759341399E-7</v>
      </c>
      <c r="O159" s="1">
        <v>1.02650943112626E-10</v>
      </c>
      <c r="P159" s="1">
        <v>7.6614369748177802E-10</v>
      </c>
      <c r="Q159">
        <v>66.398591210293901</v>
      </c>
      <c r="S159">
        <v>19.1964178830668</v>
      </c>
      <c r="AA159">
        <v>0.344037777095686</v>
      </c>
      <c r="AB159">
        <v>5.9565284036556001</v>
      </c>
      <c r="AC159">
        <v>8.1044247258879505</v>
      </c>
      <c r="AJ159">
        <v>0.51891733105916404</v>
      </c>
      <c r="AK159">
        <v>1.65623470976488E-2</v>
      </c>
      <c r="AL159">
        <v>0.46452032184318598</v>
      </c>
    </row>
    <row r="160" spans="1:38" x14ac:dyDescent="0.2">
      <c r="A160">
        <v>145</v>
      </c>
      <c r="B160">
        <v>760</v>
      </c>
      <c r="C160">
        <v>150</v>
      </c>
      <c r="D160">
        <v>0.43796205778444602</v>
      </c>
      <c r="E160">
        <v>30.211740582713698</v>
      </c>
      <c r="F160">
        <v>2.5521863281714201</v>
      </c>
      <c r="G160">
        <v>-488.72150141564816</v>
      </c>
      <c r="H160">
        <v>-422.81493221329225</v>
      </c>
      <c r="I160">
        <v>63.791868753187799</v>
      </c>
      <c r="J160">
        <v>36.768175441310298</v>
      </c>
      <c r="K160">
        <v>11.8375920477403</v>
      </c>
      <c r="L160">
        <v>3.1271388925405058E-5</v>
      </c>
      <c r="M160">
        <v>1.833886989086833E-6</v>
      </c>
      <c r="N160" s="1">
        <v>-3.54148457213429E-7</v>
      </c>
      <c r="O160" s="1">
        <v>1.07387954628927E-10</v>
      </c>
      <c r="P160" s="1">
        <v>1.2813946413742401E-9</v>
      </c>
      <c r="Q160">
        <v>66.285142958020899</v>
      </c>
      <c r="S160">
        <v>20.383416173786301</v>
      </c>
      <c r="AA160">
        <v>1.34979511956054</v>
      </c>
      <c r="AB160">
        <v>8.8155853957440407</v>
      </c>
      <c r="AC160">
        <v>3.1660603528880999</v>
      </c>
      <c r="AJ160">
        <v>0.75705885370603698</v>
      </c>
      <c r="AK160">
        <v>6.4055603896345903E-2</v>
      </c>
      <c r="AL160">
        <v>0.178885542397616</v>
      </c>
    </row>
    <row r="161" spans="1:38" x14ac:dyDescent="0.2">
      <c r="A161">
        <v>145</v>
      </c>
      <c r="B161">
        <v>760</v>
      </c>
      <c r="C161">
        <v>150</v>
      </c>
      <c r="D161">
        <v>0.43796205778444602</v>
      </c>
      <c r="E161">
        <v>28.800651213468399</v>
      </c>
      <c r="F161">
        <v>2.5233494898609798</v>
      </c>
      <c r="G161">
        <v>-458.90306401297295</v>
      </c>
      <c r="H161">
        <v>-396.69610652263822</v>
      </c>
      <c r="I161">
        <v>60.210964032652299</v>
      </c>
      <c r="J161">
        <v>34.477229952081601</v>
      </c>
      <c r="K161">
        <v>11.4136592371337</v>
      </c>
      <c r="L161">
        <v>2.9320070087726208E-5</v>
      </c>
      <c r="M161">
        <v>1.8140316831248477E-6</v>
      </c>
      <c r="N161" s="1">
        <v>-2.0266692570049801E-7</v>
      </c>
      <c r="O161" s="1">
        <v>1.07883936145731E-10</v>
      </c>
      <c r="P161" s="1">
        <v>8.2064979790461098E-10</v>
      </c>
      <c r="Q161">
        <v>66.392159374093694</v>
      </c>
      <c r="S161">
        <v>19.1888765663493</v>
      </c>
      <c r="AA161">
        <v>0.339316894635319</v>
      </c>
      <c r="AB161">
        <v>5.9224248593318096</v>
      </c>
      <c r="AC161">
        <v>8.1572223055897801</v>
      </c>
      <c r="AJ161">
        <v>0.51603512223616299</v>
      </c>
      <c r="AK161">
        <v>1.6337890320566099E-2</v>
      </c>
      <c r="AL161">
        <v>0.46762698744327003</v>
      </c>
    </row>
    <row r="162" spans="1:38" x14ac:dyDescent="0.2">
      <c r="A162">
        <v>147</v>
      </c>
      <c r="B162">
        <v>805</v>
      </c>
      <c r="C162">
        <v>125</v>
      </c>
      <c r="D162">
        <v>0.48984881509993899</v>
      </c>
      <c r="E162">
        <v>0.207731965625779</v>
      </c>
      <c r="F162">
        <v>2.56626680994267</v>
      </c>
      <c r="G162">
        <v>-3.4024724916237741</v>
      </c>
      <c r="H162">
        <v>-2.9179902332141796</v>
      </c>
      <c r="I162">
        <v>0.44936442833519902</v>
      </c>
      <c r="J162">
        <v>0.252444037672929</v>
      </c>
      <c r="K162">
        <v>8.0947142682494505E-2</v>
      </c>
      <c r="L162">
        <v>3.0616273614624365E-5</v>
      </c>
      <c r="M162">
        <v>1.8168723500526615E-6</v>
      </c>
      <c r="N162" s="1">
        <v>-6.2233663484974796E-10</v>
      </c>
      <c r="O162" s="1">
        <v>7.3215205982084898E-13</v>
      </c>
      <c r="P162" s="1">
        <v>3.52826429121686E-12</v>
      </c>
      <c r="Q162">
        <v>65.359492568630003</v>
      </c>
      <c r="S162">
        <v>21.4375394135546</v>
      </c>
      <c r="AA162">
        <v>2.4354454496409099</v>
      </c>
      <c r="AB162">
        <v>9.5163442528003692</v>
      </c>
      <c r="AC162">
        <v>1.2511783153741001</v>
      </c>
      <c r="AJ162">
        <v>0.81438213660387804</v>
      </c>
      <c r="AK162">
        <v>0.115172101543488</v>
      </c>
      <c r="AL162">
        <v>7.0445761852632599E-2</v>
      </c>
    </row>
    <row r="163" spans="1:38" x14ac:dyDescent="0.2">
      <c r="A163">
        <v>148</v>
      </c>
      <c r="B163">
        <v>804</v>
      </c>
      <c r="C163">
        <v>125</v>
      </c>
      <c r="D163">
        <v>0.48931021677575198</v>
      </c>
      <c r="E163">
        <v>0.63149562089889699</v>
      </c>
      <c r="F163">
        <v>2.5659156236652398</v>
      </c>
      <c r="G163">
        <v>-10.34135793917442</v>
      </c>
      <c r="H163">
        <v>-8.8705852869470494</v>
      </c>
      <c r="I163">
        <v>1.3654297472286701</v>
      </c>
      <c r="J163">
        <v>0.76745901189630195</v>
      </c>
      <c r="K163">
        <v>0.24610926995208299</v>
      </c>
      <c r="L163">
        <v>3.0644319725948835E-5</v>
      </c>
      <c r="M163">
        <v>1.8179330192584359E-6</v>
      </c>
      <c r="N163" s="1">
        <v>-1.9661127094169698E-9</v>
      </c>
      <c r="O163" s="1">
        <v>2.2268870336839302E-12</v>
      </c>
      <c r="P163" s="1">
        <v>1.094535653723E-11</v>
      </c>
      <c r="Q163">
        <v>65.403288153190999</v>
      </c>
      <c r="S163">
        <v>21.404161420159301</v>
      </c>
      <c r="AA163">
        <v>2.3976891623931902</v>
      </c>
      <c r="AB163">
        <v>9.5264356156483707</v>
      </c>
      <c r="AC163">
        <v>1.2684256486080301</v>
      </c>
      <c r="AJ163">
        <v>0.81520563264968005</v>
      </c>
      <c r="AK163">
        <v>0.11338103202005501</v>
      </c>
      <c r="AL163">
        <v>7.1413335330264505E-2</v>
      </c>
    </row>
    <row r="164" spans="1:38" x14ac:dyDescent="0.2">
      <c r="A164">
        <v>149</v>
      </c>
      <c r="B164">
        <v>803</v>
      </c>
      <c r="C164">
        <v>125</v>
      </c>
      <c r="D164">
        <v>0.48877061747897599</v>
      </c>
      <c r="E164">
        <v>1.05568313765165</v>
      </c>
      <c r="F164">
        <v>2.5655722790031299</v>
      </c>
      <c r="G164">
        <v>-17.284499171453856</v>
      </c>
      <c r="H164">
        <v>-14.829181548921721</v>
      </c>
      <c r="I164">
        <v>2.28157563771977</v>
      </c>
      <c r="J164">
        <v>1.28304524813625</v>
      </c>
      <c r="K164">
        <v>0.41148056762674401</v>
      </c>
      <c r="L164">
        <v>3.0671989611733256E-5</v>
      </c>
      <c r="M164">
        <v>1.8189661796458047E-6</v>
      </c>
      <c r="N164" s="1">
        <v>-3.4136639409866699E-9</v>
      </c>
      <c r="O164" s="1">
        <v>3.7246079754329001E-12</v>
      </c>
      <c r="P164" s="1">
        <v>1.86727232946697E-11</v>
      </c>
      <c r="Q164">
        <v>65.445922482536105</v>
      </c>
      <c r="S164">
        <v>21.371556109684999</v>
      </c>
      <c r="AA164">
        <v>2.36084130949614</v>
      </c>
      <c r="AB164">
        <v>9.5359648722445503</v>
      </c>
      <c r="AC164">
        <v>1.2857152260381299</v>
      </c>
      <c r="AJ164">
        <v>0.81598320505563204</v>
      </c>
      <c r="AK164">
        <v>0.111633402908156</v>
      </c>
      <c r="AL164">
        <v>7.2383392036210303E-2</v>
      </c>
    </row>
    <row r="165" spans="1:38" x14ac:dyDescent="0.2">
      <c r="A165">
        <v>150</v>
      </c>
      <c r="B165">
        <v>802</v>
      </c>
      <c r="C165">
        <v>125</v>
      </c>
      <c r="D165">
        <v>0.48823001441659297</v>
      </c>
      <c r="E165">
        <v>1.4800976661129901</v>
      </c>
      <c r="F165">
        <v>2.5652367569960499</v>
      </c>
      <c r="G165">
        <v>-24.228673769643876</v>
      </c>
      <c r="H165">
        <v>-20.791024074497155</v>
      </c>
      <c r="I165">
        <v>3.1973675255980201</v>
      </c>
      <c r="J165">
        <v>1.79896547401169</v>
      </c>
      <c r="K165">
        <v>0.57698286993447601</v>
      </c>
      <c r="L165">
        <v>3.0699299062704619E-5</v>
      </c>
      <c r="M165">
        <v>1.8199722082213051E-6</v>
      </c>
      <c r="N165" s="1">
        <v>-4.9679403825560002E-9</v>
      </c>
      <c r="O165" s="1">
        <v>5.2245121760164502E-12</v>
      </c>
      <c r="P165" s="1">
        <v>2.6717314107418999E-11</v>
      </c>
      <c r="Q165">
        <v>65.487407576402504</v>
      </c>
      <c r="S165">
        <v>21.339717250173599</v>
      </c>
      <c r="AA165">
        <v>2.32489394487926</v>
      </c>
      <c r="AB165">
        <v>9.5449424700406702</v>
      </c>
      <c r="AC165">
        <v>1.3030387585038901</v>
      </c>
      <c r="AJ165">
        <v>0.816715718479887</v>
      </c>
      <c r="AK165">
        <v>0.109928812277009</v>
      </c>
      <c r="AL165">
        <v>7.3355469243103197E-2</v>
      </c>
    </row>
    <row r="166" spans="1:38" x14ac:dyDescent="0.2">
      <c r="A166">
        <v>151</v>
      </c>
      <c r="B166">
        <v>801</v>
      </c>
      <c r="C166">
        <v>125</v>
      </c>
      <c r="D166">
        <v>0.487688404785181</v>
      </c>
      <c r="E166">
        <v>1.90454372709089</v>
      </c>
      <c r="F166">
        <v>2.5649090257893201</v>
      </c>
      <c r="G166">
        <v>-31.170684924269167</v>
      </c>
      <c r="H166">
        <v>-26.75337759832631</v>
      </c>
      <c r="I166">
        <v>4.1123747390428198</v>
      </c>
      <c r="J166">
        <v>2.31498425401037</v>
      </c>
      <c r="K166">
        <v>0.74253851031023799</v>
      </c>
      <c r="L166">
        <v>3.0726264953371414E-5</v>
      </c>
      <c r="M166">
        <v>1.8209515202561958E-6</v>
      </c>
      <c r="N166" s="1">
        <v>-6.6319457775373004E-9</v>
      </c>
      <c r="O166" s="1">
        <v>6.7258000680667203E-12</v>
      </c>
      <c r="P166" s="1">
        <v>3.5086230026413299E-11</v>
      </c>
      <c r="Q166">
        <v>65.5277571002851</v>
      </c>
      <c r="S166">
        <v>21.3086374556691</v>
      </c>
      <c r="AA166">
        <v>2.2898377863966801</v>
      </c>
      <c r="AB166">
        <v>9.5533794986156302</v>
      </c>
      <c r="AC166">
        <v>1.3203881590333499</v>
      </c>
      <c r="AJ166">
        <v>0.81740408890061</v>
      </c>
      <c r="AK166">
        <v>0.108266795812219</v>
      </c>
      <c r="AL166">
        <v>7.4329115287170205E-2</v>
      </c>
    </row>
    <row r="167" spans="1:38" x14ac:dyDescent="0.2">
      <c r="A167">
        <v>152</v>
      </c>
      <c r="B167">
        <v>800</v>
      </c>
      <c r="C167">
        <v>125</v>
      </c>
      <c r="D167">
        <v>0.48714578577086598</v>
      </c>
      <c r="E167">
        <v>2.3288280813711899</v>
      </c>
      <c r="F167">
        <v>2.56458904120763</v>
      </c>
      <c r="G167">
        <v>-38.107375592852172</v>
      </c>
      <c r="H167">
        <v>-32.713538681962149</v>
      </c>
      <c r="I167">
        <v>5.0261723998415997</v>
      </c>
      <c r="J167">
        <v>2.8308690556794098</v>
      </c>
      <c r="K167">
        <v>0.908070667054935</v>
      </c>
      <c r="L167">
        <v>3.0752905175176072E-5</v>
      </c>
      <c r="M167">
        <v>1.8219045662680386E-6</v>
      </c>
      <c r="N167" s="1">
        <v>-8.4087436517499101E-9</v>
      </c>
      <c r="O167" s="1">
        <v>8.2276786125309199E-12</v>
      </c>
      <c r="P167" s="1">
        <v>4.3786747892534803E-11</v>
      </c>
      <c r="Q167">
        <v>65.566986247674606</v>
      </c>
      <c r="S167">
        <v>21.278308259151601</v>
      </c>
      <c r="AA167">
        <v>2.2556623034771301</v>
      </c>
      <c r="AB167">
        <v>9.5612876184550899</v>
      </c>
      <c r="AC167">
        <v>1.3377555712414499</v>
      </c>
      <c r="AJ167">
        <v>0.81804927783572801</v>
      </c>
      <c r="AK167">
        <v>0.10664683100188101</v>
      </c>
      <c r="AL167">
        <v>7.5303891162389905E-2</v>
      </c>
    </row>
    <row r="168" spans="1:38" x14ac:dyDescent="0.2">
      <c r="A168">
        <v>153</v>
      </c>
      <c r="B168">
        <v>799</v>
      </c>
      <c r="C168">
        <v>125</v>
      </c>
      <c r="D168">
        <v>0.48660215454927003</v>
      </c>
      <c r="E168">
        <v>2.7527605520907001</v>
      </c>
      <c r="F168">
        <v>2.5642767473941599</v>
      </c>
      <c r="G168">
        <v>-45.035641868167566</v>
      </c>
      <c r="H168">
        <v>-38.668847200070068</v>
      </c>
      <c r="I168">
        <v>5.9383432057990797</v>
      </c>
      <c r="J168">
        <v>3.3463912580752502</v>
      </c>
      <c r="K168">
        <v>1.07350369061688</v>
      </c>
      <c r="L168">
        <v>3.07792385676932E-5</v>
      </c>
      <c r="M168">
        <v>1.822831828896355E-6</v>
      </c>
      <c r="N168" s="1">
        <v>-1.03014639445738E-8</v>
      </c>
      <c r="O168" s="1">
        <v>9.72936450707463E-12</v>
      </c>
      <c r="P168" s="1">
        <v>5.28263458208136E-11</v>
      </c>
      <c r="Q168">
        <v>65.605111616721501</v>
      </c>
      <c r="S168">
        <v>21.248720189949601</v>
      </c>
      <c r="AA168">
        <v>2.2223558097679001</v>
      </c>
      <c r="AB168">
        <v>9.5686789890509605</v>
      </c>
      <c r="AC168">
        <v>1.35513339450993</v>
      </c>
      <c r="AJ168">
        <v>0.81865228651273503</v>
      </c>
      <c r="AK168">
        <v>0.105068341550954</v>
      </c>
      <c r="AL168">
        <v>7.6279371936309695E-2</v>
      </c>
    </row>
    <row r="169" spans="1:38" x14ac:dyDescent="0.2">
      <c r="A169">
        <v>154</v>
      </c>
      <c r="B169">
        <v>798</v>
      </c>
      <c r="C169">
        <v>125</v>
      </c>
      <c r="D169">
        <v>0.48605750828548999</v>
      </c>
      <c r="E169">
        <v>3.1761547782016599</v>
      </c>
      <c r="F169">
        <v>2.5639720775210502</v>
      </c>
      <c r="G169">
        <v>-51.952445201165709</v>
      </c>
      <c r="H169">
        <v>-44.616696858879394</v>
      </c>
      <c r="I169">
        <v>6.8484790573554699</v>
      </c>
      <c r="J169">
        <v>3.86132707585418</v>
      </c>
      <c r="K169">
        <v>1.23876340387937</v>
      </c>
      <c r="L169">
        <v>3.0805284848261366E-5</v>
      </c>
      <c r="M169">
        <v>1.8237338196805325E-6</v>
      </c>
      <c r="N169" s="1">
        <v>-1.2313310094479299E-8</v>
      </c>
      <c r="O169" s="1">
        <v>1.1230087135147801E-11</v>
      </c>
      <c r="P169" s="1">
        <v>6.2212729454015995E-11</v>
      </c>
      <c r="Q169">
        <v>65.642151081468299</v>
      </c>
      <c r="S169">
        <v>21.219862855739699</v>
      </c>
      <c r="AA169">
        <v>2.1899055608325702</v>
      </c>
      <c r="AB169">
        <v>9.5755661969217396</v>
      </c>
      <c r="AC169">
        <v>1.3725143050376101</v>
      </c>
      <c r="AJ169">
        <v>0.81921415003675102</v>
      </c>
      <c r="AK169">
        <v>0.10353070202706</v>
      </c>
      <c r="AL169">
        <v>7.7255147936187901E-2</v>
      </c>
    </row>
    <row r="170" spans="1:38" x14ac:dyDescent="0.2">
      <c r="A170">
        <v>155</v>
      </c>
      <c r="B170">
        <v>797</v>
      </c>
      <c r="C170">
        <v>125</v>
      </c>
      <c r="D170">
        <v>0.48551184413399801</v>
      </c>
      <c r="E170">
        <v>3.5988289127924</v>
      </c>
      <c r="F170">
        <v>2.5636749545317699</v>
      </c>
      <c r="G170">
        <v>-58.854823705860291</v>
      </c>
      <c r="H170">
        <v>-50.55454494086905</v>
      </c>
      <c r="I170">
        <v>7.7561825585116502</v>
      </c>
      <c r="J170">
        <v>4.3754584157355696</v>
      </c>
      <c r="K170">
        <v>1.4037773807599101</v>
      </c>
      <c r="L170">
        <v>3.0831064542037246E-5</v>
      </c>
      <c r="M170">
        <v>1.8246110758357464E-6</v>
      </c>
      <c r="N170" s="1">
        <v>-1.4447566615786301E-8</v>
      </c>
      <c r="O170" s="1">
        <v>1.2729091301661999E-11</v>
      </c>
      <c r="P170" s="1">
        <v>7.1953859201925198E-11</v>
      </c>
      <c r="Q170">
        <v>65.678123661936596</v>
      </c>
      <c r="S170">
        <v>21.191725025933401</v>
      </c>
      <c r="AA170">
        <v>2.1582978532584498</v>
      </c>
      <c r="AB170">
        <v>9.5819621847182397</v>
      </c>
      <c r="AC170">
        <v>1.38989127415312</v>
      </c>
      <c r="AJ170">
        <v>0.819735931651004</v>
      </c>
      <c r="AK170">
        <v>0.102033242565492</v>
      </c>
      <c r="AL170">
        <v>7.8230825783502905E-2</v>
      </c>
    </row>
    <row r="171" spans="1:38" x14ac:dyDescent="0.2">
      <c r="A171">
        <v>156</v>
      </c>
      <c r="B171">
        <v>796</v>
      </c>
      <c r="C171">
        <v>125</v>
      </c>
      <c r="D171">
        <v>0.48496515923864703</v>
      </c>
      <c r="E171">
        <v>4.0206062424261404</v>
      </c>
      <c r="F171">
        <v>2.5633852919307101</v>
      </c>
      <c r="G171">
        <v>-65.739902158652271</v>
      </c>
      <c r="H171">
        <v>-56.479920941816957</v>
      </c>
      <c r="I171">
        <v>8.6610683410515996</v>
      </c>
      <c r="J171">
        <v>4.8885736363733399</v>
      </c>
      <c r="K171">
        <v>1.5684751937535899</v>
      </c>
      <c r="L171">
        <v>3.0856598912568313E-5</v>
      </c>
      <c r="M171">
        <v>1.8254641570166853E-6</v>
      </c>
      <c r="N171" s="1">
        <v>-1.67076070615487E-8</v>
      </c>
      <c r="O171" s="1">
        <v>1.4225639668052901E-11</v>
      </c>
      <c r="P171" s="1">
        <v>8.2057977957501394E-11</v>
      </c>
      <c r="Q171">
        <v>65.713049392348907</v>
      </c>
      <c r="S171">
        <v>21.164294717268401</v>
      </c>
      <c r="AA171">
        <v>2.12751812601952</v>
      </c>
      <c r="AB171">
        <v>9.5878801819502399</v>
      </c>
      <c r="AC171">
        <v>1.4072575824128499</v>
      </c>
      <c r="AJ171">
        <v>0.82021871713258598</v>
      </c>
      <c r="AK171">
        <v>0.100575253673888</v>
      </c>
      <c r="AL171">
        <v>7.9206029193524805E-2</v>
      </c>
    </row>
    <row r="172" spans="1:38" x14ac:dyDescent="0.2">
      <c r="A172">
        <v>157</v>
      </c>
      <c r="B172">
        <v>795</v>
      </c>
      <c r="C172">
        <v>125</v>
      </c>
      <c r="D172">
        <v>0.48441745073257497</v>
      </c>
      <c r="E172">
        <v>4.4413157408096904</v>
      </c>
      <c r="F172">
        <v>2.5631029945851802</v>
      </c>
      <c r="G172">
        <v>-72.604900912017712</v>
      </c>
      <c r="H172">
        <v>-62.390434287660433</v>
      </c>
      <c r="I172">
        <v>9.5627642413118696</v>
      </c>
      <c r="J172">
        <v>5.4004682278461003</v>
      </c>
      <c r="K172">
        <v>1.73278863556884</v>
      </c>
      <c r="L172">
        <v>3.0881909894485879E-5</v>
      </c>
      <c r="M172">
        <v>1.8262936421481446E-6</v>
      </c>
      <c r="N172" s="1">
        <v>-1.90969024014499E-8</v>
      </c>
      <c r="O172" s="1">
        <v>1.5719014932150299E-11</v>
      </c>
      <c r="P172" s="1">
        <v>9.2533639477974003E-11</v>
      </c>
      <c r="Q172">
        <v>65.746949191088902</v>
      </c>
      <c r="S172">
        <v>21.137559278860302</v>
      </c>
      <c r="AA172">
        <v>2.0975510609877799</v>
      </c>
      <c r="AB172">
        <v>9.59333363817675</v>
      </c>
      <c r="AC172">
        <v>1.4246068308861899</v>
      </c>
      <c r="AJ172">
        <v>0.82066360939142202</v>
      </c>
      <c r="AK172">
        <v>9.9155990990014195E-2</v>
      </c>
      <c r="AL172">
        <v>8.0180399618563006E-2</v>
      </c>
    </row>
    <row r="173" spans="1:38" x14ac:dyDescent="0.2">
      <c r="A173">
        <v>158</v>
      </c>
      <c r="B173">
        <v>794</v>
      </c>
      <c r="C173">
        <v>125</v>
      </c>
      <c r="D173">
        <v>0.48386871573818202</v>
      </c>
      <c r="E173">
        <v>4.8607925452025897</v>
      </c>
      <c r="F173">
        <v>2.5628279595455399</v>
      </c>
      <c r="G173">
        <v>-79.447143535448987</v>
      </c>
      <c r="H173">
        <v>-68.2837809691123</v>
      </c>
      <c r="I173">
        <v>10.4609123050524</v>
      </c>
      <c r="J173">
        <v>5.9109453967151602</v>
      </c>
      <c r="K173">
        <v>1.8966519102845001</v>
      </c>
      <c r="L173">
        <v>3.0907020028560923E-5</v>
      </c>
      <c r="M173">
        <v>1.827100126324333E-6</v>
      </c>
      <c r="N173" s="1">
        <v>-2.1619029746107601E-8</v>
      </c>
      <c r="O173" s="1">
        <v>1.72085217100188E-11</v>
      </c>
      <c r="P173" s="1">
        <v>1.03389737128559E-10</v>
      </c>
      <c r="Q173">
        <v>65.779844732339996</v>
      </c>
      <c r="S173">
        <v>21.111505476931399</v>
      </c>
      <c r="AA173">
        <v>2.0683806827867599</v>
      </c>
      <c r="AB173">
        <v>9.5983361590843508</v>
      </c>
      <c r="AC173">
        <v>1.44193294885743</v>
      </c>
      <c r="AJ173">
        <v>0.82107172330631895</v>
      </c>
      <c r="AK173">
        <v>9.7774680002376699E-2</v>
      </c>
      <c r="AL173">
        <v>8.1153596691304106E-2</v>
      </c>
    </row>
    <row r="174" spans="1:38" x14ac:dyDescent="0.2">
      <c r="A174">
        <v>159</v>
      </c>
      <c r="B174">
        <v>793</v>
      </c>
      <c r="C174">
        <v>125</v>
      </c>
      <c r="D174">
        <v>0.48331895136707098</v>
      </c>
      <c r="E174">
        <v>5.2788783573839604</v>
      </c>
      <c r="F174">
        <v>2.5625600768652799</v>
      </c>
      <c r="G174">
        <v>-86.264063215615437</v>
      </c>
      <c r="H174">
        <v>-74.157749119954488</v>
      </c>
      <c r="I174">
        <v>11.3551696249692</v>
      </c>
      <c r="J174">
        <v>6.4198165589071401</v>
      </c>
      <c r="K174">
        <v>2.06000179470582</v>
      </c>
      <c r="L174">
        <v>3.0931952400020427E-5</v>
      </c>
      <c r="M174">
        <v>1.8278842178190789E-6</v>
      </c>
      <c r="N174" s="1">
        <v>-2.4277681396548601E-8</v>
      </c>
      <c r="O174" s="1">
        <v>1.8693488125271301E-11</v>
      </c>
      <c r="P174" s="1">
        <v>1.1463553293473401E-10</v>
      </c>
      <c r="Q174">
        <v>65.811758321320497</v>
      </c>
      <c r="S174">
        <v>21.0861195777745</v>
      </c>
      <c r="AA174">
        <v>2.0399904563495799</v>
      </c>
      <c r="AB174">
        <v>9.6029014459574302</v>
      </c>
      <c r="AC174">
        <v>1.45923019859786</v>
      </c>
      <c r="AJ174">
        <v>0.82144418083850201</v>
      </c>
      <c r="AK174">
        <v>9.6430520656752894E-2</v>
      </c>
      <c r="AL174">
        <v>8.2125298504744204E-2</v>
      </c>
    </row>
    <row r="175" spans="1:38" x14ac:dyDescent="0.2">
      <c r="A175">
        <v>160</v>
      </c>
      <c r="B175">
        <v>792</v>
      </c>
      <c r="C175">
        <v>125</v>
      </c>
      <c r="D175">
        <v>0.48276815471999501</v>
      </c>
      <c r="E175">
        <v>5.6954217785347696</v>
      </c>
      <c r="F175">
        <v>2.5622992304103298</v>
      </c>
      <c r="G175">
        <v>-93.053208070866447</v>
      </c>
      <c r="H175">
        <v>-80.010223670843544</v>
      </c>
      <c r="I175">
        <v>12.2452090316132</v>
      </c>
      <c r="J175">
        <v>6.9269017518643601</v>
      </c>
      <c r="K175">
        <v>2.22277777354781</v>
      </c>
      <c r="L175">
        <v>3.0956730580929331E-5</v>
      </c>
      <c r="M175">
        <v>1.8286465352392236E-6</v>
      </c>
      <c r="N175" s="1">
        <v>-2.70766742343973E-8</v>
      </c>
      <c r="O175" s="1">
        <v>2.0173267138487401E-11</v>
      </c>
      <c r="P175" s="1">
        <v>1.2628068705870399E-10</v>
      </c>
      <c r="Q175">
        <v>65.842712774520095</v>
      </c>
      <c r="S175">
        <v>21.0613874279905</v>
      </c>
      <c r="AA175">
        <v>2.0123633810612298</v>
      </c>
      <c r="AB175">
        <v>9.6070432391437901</v>
      </c>
      <c r="AC175">
        <v>1.47649317728421</v>
      </c>
      <c r="AJ175">
        <v>0.82178210647121697</v>
      </c>
      <c r="AK175">
        <v>9.5122691796134501E-2</v>
      </c>
      <c r="AL175">
        <v>8.3095201732648102E-2</v>
      </c>
    </row>
    <row r="176" spans="1:38" x14ac:dyDescent="0.2">
      <c r="A176">
        <v>161</v>
      </c>
      <c r="B176">
        <v>791</v>
      </c>
      <c r="C176">
        <v>125</v>
      </c>
      <c r="D176">
        <v>0.48221632288681698</v>
      </c>
      <c r="E176">
        <v>6.1102785686109398</v>
      </c>
      <c r="F176">
        <v>2.56204529865354</v>
      </c>
      <c r="G176">
        <v>-99.812245228018469</v>
      </c>
      <c r="H176">
        <v>-85.839189946476338</v>
      </c>
      <c r="I176">
        <v>13.1307196180445</v>
      </c>
      <c r="J176">
        <v>7.4320299545536299</v>
      </c>
      <c r="K176">
        <v>2.3849221447497899</v>
      </c>
      <c r="L176">
        <v>3.0981378576575769E-5</v>
      </c>
      <c r="M176">
        <v>1.8293877048219757E-6</v>
      </c>
      <c r="N176" s="1">
        <v>-3.0019959382533198E-8</v>
      </c>
      <c r="O176" s="1">
        <v>2.16472375830603E-11</v>
      </c>
      <c r="P176" s="1">
        <v>1.3833528740940701E-10</v>
      </c>
      <c r="Q176">
        <v>65.872731305080606</v>
      </c>
      <c r="S176">
        <v>21.037294531794402</v>
      </c>
      <c r="AA176">
        <v>1.9854820812812299</v>
      </c>
      <c r="AB176">
        <v>9.6107752653002301</v>
      </c>
      <c r="AC176">
        <v>1.4937168165434</v>
      </c>
      <c r="AJ176">
        <v>0.82208662295726698</v>
      </c>
      <c r="AK176">
        <v>9.3850355425246598E-2</v>
      </c>
      <c r="AL176">
        <v>8.4063021617485703E-2</v>
      </c>
    </row>
    <row r="177" spans="1:38" x14ac:dyDescent="0.2">
      <c r="A177">
        <v>162</v>
      </c>
      <c r="B177">
        <v>790</v>
      </c>
      <c r="C177">
        <v>125</v>
      </c>
      <c r="D177">
        <v>0.48166345294643498</v>
      </c>
      <c r="E177">
        <v>6.5233118384708799</v>
      </c>
      <c r="F177">
        <v>2.5617981554501701</v>
      </c>
      <c r="G177">
        <v>-106.53896379864644</v>
      </c>
      <c r="H177">
        <v>-91.642736322578614</v>
      </c>
      <c r="I177">
        <v>14.011407116651201</v>
      </c>
      <c r="J177">
        <v>7.9350393254635403</v>
      </c>
      <c r="K177">
        <v>2.5463800981325</v>
      </c>
      <c r="L177">
        <v>3.1005920776588702E-5</v>
      </c>
      <c r="M177">
        <v>1.8301083578993398E-6</v>
      </c>
      <c r="N177" s="1">
        <v>-3.3111632144979497E-8</v>
      </c>
      <c r="O177" s="1">
        <v>2.3114804936770601E-11</v>
      </c>
      <c r="P177" s="1">
        <v>1.50809879472513E-10</v>
      </c>
      <c r="Q177">
        <v>65.9018374142358</v>
      </c>
      <c r="S177">
        <v>21.013826124882701</v>
      </c>
      <c r="AA177">
        <v>1.95932889261645</v>
      </c>
      <c r="AB177">
        <v>9.6141111891251807</v>
      </c>
      <c r="AC177">
        <v>1.51089637913977</v>
      </c>
      <c r="AJ177">
        <v>0.82235884743166598</v>
      </c>
      <c r="AK177">
        <v>9.2612660770175104E-2</v>
      </c>
      <c r="AL177">
        <v>8.5028491798158398E-2</v>
      </c>
    </row>
    <row r="178" spans="1:38" x14ac:dyDescent="0.2">
      <c r="A178">
        <v>163</v>
      </c>
      <c r="B178">
        <v>789</v>
      </c>
      <c r="C178">
        <v>125</v>
      </c>
      <c r="D178">
        <v>0.48110954196676597</v>
      </c>
      <c r="E178">
        <v>6.93439218389421</v>
      </c>
      <c r="F178">
        <v>2.56155767077479</v>
      </c>
      <c r="G178">
        <v>-113.23127690546161</v>
      </c>
      <c r="H178">
        <v>-97.419056070747473</v>
      </c>
      <c r="I178">
        <v>14.8869941483915</v>
      </c>
      <c r="J178">
        <v>8.4357773697553693</v>
      </c>
      <c r="K178">
        <v>2.7070997709752</v>
      </c>
      <c r="L178">
        <v>3.1030381910947622E-5</v>
      </c>
      <c r="M178">
        <v>1.8308091285505953E-6</v>
      </c>
      <c r="N178" s="1">
        <v>-3.6355942242617301E-8</v>
      </c>
      <c r="O178" s="1">
        <v>2.4575401862451399E-11</v>
      </c>
      <c r="P178" s="1">
        <v>1.6371549647620999E-10</v>
      </c>
      <c r="Q178">
        <v>65.930054790050804</v>
      </c>
      <c r="S178">
        <v>20.990967243653198</v>
      </c>
      <c r="AA178">
        <v>1.93388594265567</v>
      </c>
      <c r="AB178">
        <v>9.6170645691731806</v>
      </c>
      <c r="AC178">
        <v>1.52802745446706</v>
      </c>
      <c r="AJ178">
        <v>0.82259988785594795</v>
      </c>
      <c r="AK178">
        <v>9.1408748072999896E-2</v>
      </c>
      <c r="AL178">
        <v>8.5991364071050902E-2</v>
      </c>
    </row>
    <row r="179" spans="1:38" x14ac:dyDescent="0.2">
      <c r="A179">
        <v>164</v>
      </c>
      <c r="B179">
        <v>788</v>
      </c>
      <c r="C179">
        <v>125</v>
      </c>
      <c r="D179">
        <v>0.48055458700466802</v>
      </c>
      <c r="E179">
        <v>7.3433977544556299</v>
      </c>
      <c r="F179">
        <v>2.5613237114366001</v>
      </c>
      <c r="G179">
        <v>-119.88722264607621</v>
      </c>
      <c r="H179">
        <v>-103.16644829298797</v>
      </c>
      <c r="I179">
        <v>15.757220329914</v>
      </c>
      <c r="J179">
        <v>8.9341010271069496</v>
      </c>
      <c r="K179">
        <v>2.8670322777501802</v>
      </c>
      <c r="L179">
        <v>3.1054787011071382E-5</v>
      </c>
      <c r="M179">
        <v>1.8314906514302447E-6</v>
      </c>
      <c r="N179" s="1">
        <v>-3.9757304287635098E-8</v>
      </c>
      <c r="O179" s="1">
        <v>2.6028488492755901E-11</v>
      </c>
      <c r="P179" s="1">
        <v>1.7706368966059201E-10</v>
      </c>
      <c r="Q179">
        <v>65.957407212603201</v>
      </c>
      <c r="S179">
        <v>20.968702790763299</v>
      </c>
      <c r="AA179">
        <v>1.90913522718074</v>
      </c>
      <c r="AB179">
        <v>9.6196488184259508</v>
      </c>
      <c r="AC179">
        <v>1.5451059510266101</v>
      </c>
      <c r="AJ179">
        <v>0.82281083984877501</v>
      </c>
      <c r="AK179">
        <v>9.0237752169643706E-2</v>
      </c>
      <c r="AL179">
        <v>8.6951407981581005E-2</v>
      </c>
    </row>
    <row r="180" spans="1:38" x14ac:dyDescent="0.2">
      <c r="A180">
        <v>165</v>
      </c>
      <c r="B180">
        <v>787</v>
      </c>
      <c r="C180">
        <v>125</v>
      </c>
      <c r="D180">
        <v>0.479998585105882</v>
      </c>
      <c r="E180">
        <v>7.7502142732350601</v>
      </c>
      <c r="F180">
        <v>2.5610961417445299</v>
      </c>
      <c r="G180">
        <v>-126.50496425580752</v>
      </c>
      <c r="H180">
        <v>-108.88331816957988</v>
      </c>
      <c r="I180">
        <v>16.621842273477899</v>
      </c>
      <c r="J180">
        <v>9.4298766997211096</v>
      </c>
      <c r="K180">
        <v>3.0261317202859299</v>
      </c>
      <c r="L180">
        <v>3.1079161375919665E-5</v>
      </c>
      <c r="M180">
        <v>1.8321535597939468E-6</v>
      </c>
      <c r="N180" s="1">
        <v>-4.3320308547879901E-8</v>
      </c>
      <c r="O180" s="1">
        <v>2.74735525175527E-11</v>
      </c>
      <c r="P180" s="1">
        <v>1.90866558923404E-10</v>
      </c>
      <c r="Q180">
        <v>65.983918467132</v>
      </c>
      <c r="S180">
        <v>20.9470175953786</v>
      </c>
      <c r="AA180">
        <v>1.88505868013749</v>
      </c>
      <c r="AB180">
        <v>9.6218771686979494</v>
      </c>
      <c r="AC180">
        <v>1.5621280886537701</v>
      </c>
      <c r="AJ180">
        <v>0.82299278382742402</v>
      </c>
      <c r="AK180">
        <v>8.90988057707056E-2</v>
      </c>
      <c r="AL180">
        <v>8.7908410401869794E-2</v>
      </c>
    </row>
    <row r="181" spans="1:38" x14ac:dyDescent="0.2">
      <c r="A181">
        <v>166</v>
      </c>
      <c r="B181">
        <v>786</v>
      </c>
      <c r="C181">
        <v>125</v>
      </c>
      <c r="D181">
        <v>0.47944153330501299</v>
      </c>
      <c r="E181">
        <v>8.4477176058325991</v>
      </c>
      <c r="F181">
        <v>2.5606578969962701</v>
      </c>
      <c r="G181">
        <v>-137.85562838810662</v>
      </c>
      <c r="H181">
        <v>-118.67558376939063</v>
      </c>
      <c r="I181">
        <v>18.108903005916002</v>
      </c>
      <c r="J181">
        <v>10.279157972572801</v>
      </c>
      <c r="K181">
        <v>3.2990418656635101</v>
      </c>
      <c r="L181">
        <v>3.110358178979269E-5</v>
      </c>
      <c r="M181">
        <v>1.8329993201389542E-6</v>
      </c>
      <c r="N181" s="1">
        <v>-4.8699235571487303E-8</v>
      </c>
      <c r="O181" s="1">
        <v>2.9959906755549301E-11</v>
      </c>
      <c r="P181" s="1">
        <v>2.1237585199876099E-10</v>
      </c>
      <c r="Q181">
        <v>66.022100032599894</v>
      </c>
      <c r="S181">
        <v>20.9130174678122</v>
      </c>
      <c r="AA181">
        <v>1.84809908043525</v>
      </c>
      <c r="AB181">
        <v>9.6178269853957197</v>
      </c>
      <c r="AC181">
        <v>1.5989564337568301</v>
      </c>
      <c r="AJ181">
        <v>0.82266350545744504</v>
      </c>
      <c r="AK181">
        <v>8.7353701578024801E-2</v>
      </c>
      <c r="AL181">
        <v>8.9982792964529698E-2</v>
      </c>
    </row>
    <row r="182" spans="1:38" x14ac:dyDescent="0.2">
      <c r="A182">
        <v>167</v>
      </c>
      <c r="B182">
        <v>785</v>
      </c>
      <c r="C182">
        <v>125</v>
      </c>
      <c r="D182">
        <v>0.47888342862543298</v>
      </c>
      <c r="E182">
        <v>9.7909762814651398</v>
      </c>
      <c r="F182">
        <v>2.5597461187429902</v>
      </c>
      <c r="G182">
        <v>-159.71273556926701</v>
      </c>
      <c r="H182">
        <v>-137.51437906109763</v>
      </c>
      <c r="I182">
        <v>20.978459110872102</v>
      </c>
      <c r="J182">
        <v>11.913358145329299</v>
      </c>
      <c r="K182">
        <v>3.8249794422085701</v>
      </c>
      <c r="L182">
        <v>3.1125409279297462E-5</v>
      </c>
      <c r="M182">
        <v>1.8341924578968933E-6</v>
      </c>
      <c r="N182" s="1">
        <v>-5.80687952596808E-8</v>
      </c>
      <c r="O182" s="1">
        <v>3.47670374009852E-11</v>
      </c>
      <c r="P182" s="1">
        <v>2.50871250412978E-10</v>
      </c>
      <c r="Q182">
        <v>66.084422270456301</v>
      </c>
      <c r="S182">
        <v>20.852250421988799</v>
      </c>
      <c r="AA182">
        <v>1.7834236032219699</v>
      </c>
      <c r="AB182">
        <v>9.5974000399930297</v>
      </c>
      <c r="AC182">
        <v>1.68250366433974</v>
      </c>
      <c r="AJ182">
        <v>0.82100045531837296</v>
      </c>
      <c r="AK182">
        <v>8.4305343245918096E-2</v>
      </c>
      <c r="AL182">
        <v>9.4694201435708003E-2</v>
      </c>
    </row>
    <row r="183" spans="1:38" x14ac:dyDescent="0.2">
      <c r="A183">
        <v>168</v>
      </c>
      <c r="B183">
        <v>784</v>
      </c>
      <c r="C183">
        <v>125</v>
      </c>
      <c r="D183">
        <v>0.47832426807926898</v>
      </c>
      <c r="E183">
        <v>11.1579190462567</v>
      </c>
      <c r="F183">
        <v>2.5588193844547402</v>
      </c>
      <c r="G183">
        <v>-181.93540338148253</v>
      </c>
      <c r="H183">
        <v>-156.67408261912556</v>
      </c>
      <c r="I183">
        <v>23.895682507077399</v>
      </c>
      <c r="J183">
        <v>13.575999010306299</v>
      </c>
      <c r="K183">
        <v>4.3605731276083501</v>
      </c>
      <c r="L183">
        <v>3.1142910247809474E-5</v>
      </c>
      <c r="M183">
        <v>1.8352618077109174E-6</v>
      </c>
      <c r="N183" s="1">
        <v>-6.8019539677902906E-8</v>
      </c>
      <c r="O183" s="1">
        <v>3.9670032538603E-11</v>
      </c>
      <c r="P183" s="1">
        <v>2.9124833862080702E-10</v>
      </c>
      <c r="Q183">
        <v>66.142911407750503</v>
      </c>
      <c r="S183">
        <v>20.792617807857798</v>
      </c>
      <c r="AA183">
        <v>1.72057844538491</v>
      </c>
      <c r="AB183">
        <v>9.5714052956776907</v>
      </c>
      <c r="AC183">
        <v>1.7724870433289599</v>
      </c>
      <c r="AJ183">
        <v>0.81888327130208505</v>
      </c>
      <c r="AK183">
        <v>8.1345130620003703E-2</v>
      </c>
      <c r="AL183">
        <v>9.9771598077910903E-2</v>
      </c>
    </row>
    <row r="184" spans="1:38" x14ac:dyDescent="0.2">
      <c r="A184">
        <v>169</v>
      </c>
      <c r="B184">
        <v>783</v>
      </c>
      <c r="C184">
        <v>125</v>
      </c>
      <c r="D184">
        <v>0.47776404866733202</v>
      </c>
      <c r="E184">
        <v>12.5536580087935</v>
      </c>
      <c r="F184">
        <v>2.5578710730337502</v>
      </c>
      <c r="G184">
        <v>-204.60465393754137</v>
      </c>
      <c r="H184">
        <v>-176.22454165189393</v>
      </c>
      <c r="I184">
        <v>26.871289386590298</v>
      </c>
      <c r="J184">
        <v>15.273139712982401</v>
      </c>
      <c r="K184">
        <v>4.9078540905129699</v>
      </c>
      <c r="L184">
        <v>3.1155739845258668E-5</v>
      </c>
      <c r="M184">
        <v>1.8362045477156134E-6</v>
      </c>
      <c r="N184" s="1">
        <v>-7.8583007122658201E-8</v>
      </c>
      <c r="O184" s="1">
        <v>4.4687815626272803E-11</v>
      </c>
      <c r="P184" s="1">
        <v>3.3363832920487202E-10</v>
      </c>
      <c r="Q184">
        <v>66.197644151306505</v>
      </c>
      <c r="S184">
        <v>20.733846795047398</v>
      </c>
      <c r="AA184">
        <v>1.65932062058501</v>
      </c>
      <c r="AB184">
        <v>9.5392984292042602</v>
      </c>
      <c r="AC184">
        <v>1.8698900038567301</v>
      </c>
      <c r="AJ184">
        <v>0.81626722931359397</v>
      </c>
      <c r="AK184">
        <v>7.8461575823554994E-2</v>
      </c>
      <c r="AL184">
        <v>0.105271194862849</v>
      </c>
    </row>
    <row r="185" spans="1:38" x14ac:dyDescent="0.2">
      <c r="A185">
        <v>170</v>
      </c>
      <c r="B185">
        <v>782</v>
      </c>
      <c r="C185">
        <v>125</v>
      </c>
      <c r="D185">
        <v>0.47720276737904699</v>
      </c>
      <c r="E185">
        <v>13.9852498381993</v>
      </c>
      <c r="F185">
        <v>2.55689301139736</v>
      </c>
      <c r="G185">
        <v>-227.83254349558442</v>
      </c>
      <c r="H185">
        <v>-196.26234599227018</v>
      </c>
      <c r="I185">
        <v>29.9201037798552</v>
      </c>
      <c r="J185">
        <v>17.013163637005999</v>
      </c>
      <c r="K185">
        <v>5.4696265255761496</v>
      </c>
      <c r="L185">
        <v>3.1163444054525145E-5</v>
      </c>
      <c r="M185">
        <v>1.8370163772390625E-6</v>
      </c>
      <c r="N185" s="1">
        <v>-8.9799534276744802E-8</v>
      </c>
      <c r="O185" s="1">
        <v>4.9846675863206998E-11</v>
      </c>
      <c r="P185" s="1">
        <v>3.7821349003976998E-10</v>
      </c>
      <c r="Q185">
        <v>66.248688549559304</v>
      </c>
      <c r="S185">
        <v>20.6756112894872</v>
      </c>
      <c r="AA185">
        <v>1.59936521970326</v>
      </c>
      <c r="AB185">
        <v>9.5003761848609596</v>
      </c>
      <c r="AC185">
        <v>1.97595875638922</v>
      </c>
      <c r="AJ185">
        <v>0.81309450157868501</v>
      </c>
      <c r="AK185">
        <v>7.5641243487300003E-2</v>
      </c>
      <c r="AL185">
        <v>0.111264254934014</v>
      </c>
    </row>
    <row r="186" spans="1:38" x14ac:dyDescent="0.2">
      <c r="A186">
        <v>171</v>
      </c>
      <c r="B186">
        <v>781</v>
      </c>
      <c r="C186">
        <v>125</v>
      </c>
      <c r="D186">
        <v>0.476640421192431</v>
      </c>
      <c r="E186">
        <v>15.4624604646239</v>
      </c>
      <c r="F186">
        <v>2.5558749893352402</v>
      </c>
      <c r="G186">
        <v>-251.77433867661455</v>
      </c>
      <c r="H186">
        <v>-216.92132843473973</v>
      </c>
      <c r="I186">
        <v>33.062666832874598</v>
      </c>
      <c r="J186">
        <v>18.8076904475354</v>
      </c>
      <c r="K186">
        <v>6.0497718116665702</v>
      </c>
      <c r="L186">
        <v>3.1165415716804145E-5</v>
      </c>
      <c r="M186">
        <v>1.8376908001602369E-6</v>
      </c>
      <c r="N186" s="1">
        <v>-1.0172173390141099E-7</v>
      </c>
      <c r="O186" s="1">
        <v>5.5183165379962702E-11</v>
      </c>
      <c r="P186" s="1">
        <v>4.2520335965721999E-10</v>
      </c>
      <c r="Q186">
        <v>66.296092542651394</v>
      </c>
      <c r="S186">
        <v>20.617518397631802</v>
      </c>
      <c r="AA186">
        <v>1.540376915365</v>
      </c>
      <c r="AB186">
        <v>9.4537153731762498</v>
      </c>
      <c r="AC186">
        <v>2.0922967711753899</v>
      </c>
      <c r="AJ186">
        <v>0.80928912118381502</v>
      </c>
      <c r="AK186">
        <v>7.2868356032369894E-2</v>
      </c>
      <c r="AL186">
        <v>0.117842522783814</v>
      </c>
    </row>
    <row r="187" spans="1:38" x14ac:dyDescent="0.2">
      <c r="A187">
        <v>172</v>
      </c>
      <c r="B187">
        <v>780</v>
      </c>
      <c r="C187">
        <v>125</v>
      </c>
      <c r="D187">
        <v>0.47607700707401701</v>
      </c>
      <c r="E187">
        <v>16.998914485248601</v>
      </c>
      <c r="F187">
        <v>2.5548040739495401</v>
      </c>
      <c r="G187">
        <v>-276.6468088521363</v>
      </c>
      <c r="H187">
        <v>-238.38834006311799</v>
      </c>
      <c r="I187">
        <v>36.327653979982202</v>
      </c>
      <c r="J187">
        <v>20.672945952600699</v>
      </c>
      <c r="K187">
        <v>6.6537057219301801</v>
      </c>
      <c r="L187">
        <v>3.1160831195637695E-5</v>
      </c>
      <c r="M187">
        <v>1.8382180958626162E-6</v>
      </c>
      <c r="N187" s="1">
        <v>-1.14419556061661E-7</v>
      </c>
      <c r="O187" s="1">
        <v>6.0748455283304995E-11</v>
      </c>
      <c r="P187" s="1">
        <v>4.7491862549573402E-10</v>
      </c>
      <c r="Q187">
        <v>66.339867234648494</v>
      </c>
      <c r="S187">
        <v>20.559089139415899</v>
      </c>
      <c r="AA187">
        <v>1.48195795312997</v>
      </c>
      <c r="AB187">
        <v>9.3980850304517194</v>
      </c>
      <c r="AC187">
        <v>2.22100064235378</v>
      </c>
      <c r="AJ187">
        <v>0.80474972058927796</v>
      </c>
      <c r="AK187">
        <v>7.0124235027064996E-2</v>
      </c>
      <c r="AL187">
        <v>0.12512604438365599</v>
      </c>
    </row>
    <row r="188" spans="1:38" x14ac:dyDescent="0.2">
      <c r="A188">
        <v>173</v>
      </c>
      <c r="B188">
        <v>779</v>
      </c>
      <c r="C188">
        <v>125</v>
      </c>
      <c r="D188">
        <v>0.475512521978807</v>
      </c>
      <c r="E188">
        <v>18.613864679919701</v>
      </c>
      <c r="F188">
        <v>2.55366365922165</v>
      </c>
      <c r="G188">
        <v>-302.75637315532634</v>
      </c>
      <c r="H188">
        <v>-260.92752573550479</v>
      </c>
      <c r="I188">
        <v>39.755593232734398</v>
      </c>
      <c r="J188">
        <v>22.631869509774901</v>
      </c>
      <c r="K188">
        <v>7.2890823396817996</v>
      </c>
      <c r="L188">
        <v>3.1148558156334432E-5</v>
      </c>
      <c r="M188">
        <v>1.8385838042900397E-6</v>
      </c>
      <c r="N188" s="1">
        <v>-1.2798782496146399E-7</v>
      </c>
      <c r="O188" s="1">
        <v>6.6615044350229403E-11</v>
      </c>
      <c r="P188" s="1">
        <v>5.2778712583197899E-10</v>
      </c>
      <c r="Q188">
        <v>66.379960727667907</v>
      </c>
      <c r="S188">
        <v>20.499732150065</v>
      </c>
      <c r="AA188">
        <v>1.42363256066558</v>
      </c>
      <c r="AB188">
        <v>9.3318191653997093</v>
      </c>
      <c r="AC188">
        <v>2.36485539620171</v>
      </c>
      <c r="AJ188">
        <v>0.79933899219050697</v>
      </c>
      <c r="AK188">
        <v>6.7386575562230794E-2</v>
      </c>
      <c r="AL188">
        <v>0.13327443224726099</v>
      </c>
    </row>
    <row r="189" spans="1:38" x14ac:dyDescent="0.2">
      <c r="A189">
        <v>174</v>
      </c>
      <c r="B189">
        <v>778</v>
      </c>
      <c r="C189">
        <v>125</v>
      </c>
      <c r="D189">
        <v>0.47494696285021398</v>
      </c>
      <c r="E189">
        <v>20.334945589210299</v>
      </c>
      <c r="F189">
        <v>2.5524322351809801</v>
      </c>
      <c r="G189">
        <v>-330.54287242312898</v>
      </c>
      <c r="H189">
        <v>-284.91808001899403</v>
      </c>
      <c r="I189">
        <v>43.404644821514303</v>
      </c>
      <c r="J189">
        <v>24.717390618090398</v>
      </c>
      <c r="K189">
        <v>7.9668895059885898</v>
      </c>
      <c r="L189">
        <v>3.1127022852316172E-5</v>
      </c>
      <c r="M189">
        <v>1.8387664781734122E-6</v>
      </c>
      <c r="N189" s="1">
        <v>-1.4255754357188301E-7</v>
      </c>
      <c r="O189" s="1">
        <v>7.2887204084658402E-11</v>
      </c>
      <c r="P189" s="1">
        <v>5.8440861019470297E-10</v>
      </c>
      <c r="Q189">
        <v>66.416214595217696</v>
      </c>
      <c r="S189">
        <v>20.438711734082201</v>
      </c>
      <c r="AA189">
        <v>1.3648307483101301</v>
      </c>
      <c r="AB189">
        <v>9.2526360116855706</v>
      </c>
      <c r="AC189">
        <v>2.5276069107043</v>
      </c>
      <c r="AJ189">
        <v>0.79286867606451705</v>
      </c>
      <c r="AK189">
        <v>6.4628692694437898E-2</v>
      </c>
      <c r="AL189">
        <v>0.14250263124104401</v>
      </c>
    </row>
    <row r="190" spans="1:38" x14ac:dyDescent="0.2">
      <c r="A190">
        <v>175</v>
      </c>
      <c r="B190">
        <v>777</v>
      </c>
      <c r="C190">
        <v>125</v>
      </c>
      <c r="D190">
        <v>0.47438032662001101</v>
      </c>
      <c r="E190">
        <v>22.2023598992469</v>
      </c>
      <c r="F190">
        <v>2.5510821415842599</v>
      </c>
      <c r="G190">
        <v>-360.64604703045461</v>
      </c>
      <c r="H190">
        <v>-310.91160311649224</v>
      </c>
      <c r="I190">
        <v>47.359371436425597</v>
      </c>
      <c r="J190">
        <v>26.977403985410401</v>
      </c>
      <c r="K190">
        <v>8.7031144694772191</v>
      </c>
      <c r="L190">
        <v>3.1094033155536318E-5</v>
      </c>
      <c r="M190">
        <v>1.8387344723102624E-6</v>
      </c>
      <c r="N190" s="1">
        <v>-1.5831227307276699E-7</v>
      </c>
      <c r="O190" s="1">
        <v>7.9716872486821305E-11</v>
      </c>
      <c r="P190" s="1">
        <v>6.4563557536166497E-10</v>
      </c>
      <c r="Q190">
        <v>66.448288283290395</v>
      </c>
      <c r="S190">
        <v>20.375123096366199</v>
      </c>
      <c r="AA190">
        <v>1.30488551446248</v>
      </c>
      <c r="AB190">
        <v>9.1574046249738696</v>
      </c>
      <c r="AC190">
        <v>2.7142984809068902</v>
      </c>
      <c r="AJ190">
        <v>0.78508006731157298</v>
      </c>
      <c r="AK190">
        <v>6.1819394540283699E-2</v>
      </c>
      <c r="AL190">
        <v>0.15310053814814201</v>
      </c>
    </row>
    <row r="191" spans="1:38" x14ac:dyDescent="0.2">
      <c r="A191">
        <v>176</v>
      </c>
      <c r="B191">
        <v>776</v>
      </c>
      <c r="C191">
        <v>125</v>
      </c>
      <c r="D191">
        <v>0.47381261020826598</v>
      </c>
      <c r="E191">
        <v>24.274459217512799</v>
      </c>
      <c r="F191">
        <v>2.54957971518128</v>
      </c>
      <c r="G191">
        <v>-393.99394052866444</v>
      </c>
      <c r="H191">
        <v>-339.70842493628425</v>
      </c>
      <c r="I191">
        <v>51.742377727093498</v>
      </c>
      <c r="J191">
        <v>29.481382856771599</v>
      </c>
      <c r="K191">
        <v>9.5209649939447996</v>
      </c>
      <c r="L191">
        <v>3.1046610530646811E-5</v>
      </c>
      <c r="M191">
        <v>1.8384421599031974E-6</v>
      </c>
      <c r="N191" s="1">
        <v>-1.75508066724403E-7</v>
      </c>
      <c r="O191" s="1">
        <v>8.7324882132015805E-11</v>
      </c>
      <c r="P191" s="1">
        <v>7.1267529427033498E-10</v>
      </c>
      <c r="Q191">
        <v>66.475527652996902</v>
      </c>
      <c r="S191">
        <v>20.3079298860935</v>
      </c>
      <c r="AA191">
        <v>1.24309449344908</v>
      </c>
      <c r="AB191">
        <v>9.0419503634049008</v>
      </c>
      <c r="AC191">
        <v>2.9314976040555001</v>
      </c>
      <c r="AJ191">
        <v>0.775627420686678</v>
      </c>
      <c r="AK191">
        <v>5.8925865295895601E-2</v>
      </c>
      <c r="AL191">
        <v>0.165446714017425</v>
      </c>
    </row>
    <row r="192" spans="1:38" x14ac:dyDescent="0.2">
      <c r="A192">
        <v>177</v>
      </c>
      <c r="B192">
        <v>775</v>
      </c>
      <c r="C192">
        <v>125</v>
      </c>
      <c r="D192">
        <v>0.473243810523307</v>
      </c>
      <c r="E192">
        <v>26.631153741166699</v>
      </c>
      <c r="F192">
        <v>2.5478922223330098</v>
      </c>
      <c r="G192">
        <v>-431.85604125527578</v>
      </c>
      <c r="H192">
        <v>-372.40370128663773</v>
      </c>
      <c r="I192">
        <v>56.721213536839201</v>
      </c>
      <c r="J192">
        <v>32.324346189171898</v>
      </c>
      <c r="K192">
        <v>10.4522293006497</v>
      </c>
      <c r="L192">
        <v>3.0981136286378538E-5</v>
      </c>
      <c r="M192">
        <v>1.8378293162413653E-6</v>
      </c>
      <c r="N192" s="1">
        <v>-1.94479289274568E-7</v>
      </c>
      <c r="O192" s="1">
        <v>9.6014088494269297E-11</v>
      </c>
      <c r="P192" s="1">
        <v>7.8713286650201295E-10</v>
      </c>
      <c r="Q192">
        <v>66.496762547612704</v>
      </c>
      <c r="S192">
        <v>20.236256920875199</v>
      </c>
      <c r="AA192">
        <v>1.1790086909125499</v>
      </c>
      <c r="AB192">
        <v>8.9013711910456905</v>
      </c>
      <c r="AC192">
        <v>3.18660064955376</v>
      </c>
      <c r="AJ192">
        <v>0.76410284897302305</v>
      </c>
      <c r="AK192">
        <v>5.5927151989195498E-2</v>
      </c>
      <c r="AL192">
        <v>0.17996999903778099</v>
      </c>
    </row>
    <row r="193" spans="1:38" x14ac:dyDescent="0.2">
      <c r="A193">
        <v>178</v>
      </c>
      <c r="B193">
        <v>774</v>
      </c>
      <c r="C193">
        <v>125</v>
      </c>
      <c r="D193">
        <v>0.47267392446163797</v>
      </c>
      <c r="E193">
        <v>29.356921571891299</v>
      </c>
      <c r="F193">
        <v>2.5460171161787799</v>
      </c>
      <c r="G193">
        <v>-475.57018561192069</v>
      </c>
      <c r="H193">
        <v>-410.15263476815619</v>
      </c>
      <c r="I193">
        <v>62.471996221901797</v>
      </c>
      <c r="J193">
        <v>35.606396489002996</v>
      </c>
      <c r="K193">
        <v>11.530527970665</v>
      </c>
      <c r="L193">
        <v>3.0894923494607445E-5</v>
      </c>
      <c r="M193">
        <v>1.8368395709900141E-6</v>
      </c>
      <c r="N193" s="1">
        <v>-2.1555186102205901E-7</v>
      </c>
      <c r="O193" s="1">
        <v>1.0610545792707199E-10</v>
      </c>
      <c r="P193" s="1">
        <v>8.7062123129613395E-10</v>
      </c>
      <c r="Q193">
        <v>66.510162823329793</v>
      </c>
      <c r="S193">
        <v>20.160452848991099</v>
      </c>
      <c r="AA193">
        <v>1.11334278429147</v>
      </c>
      <c r="AB193">
        <v>8.7325027573413205</v>
      </c>
      <c r="AC193">
        <v>3.4835387860462301</v>
      </c>
      <c r="AJ193">
        <v>0.75023761588293503</v>
      </c>
      <c r="AK193">
        <v>5.2856669278085799E-2</v>
      </c>
      <c r="AL193">
        <v>0.19690571483897801</v>
      </c>
    </row>
    <row r="194" spans="1:38" x14ac:dyDescent="0.2">
      <c r="A194">
        <v>179</v>
      </c>
      <c r="B194">
        <v>773</v>
      </c>
      <c r="C194">
        <v>125</v>
      </c>
      <c r="D194">
        <v>0.472102948907902</v>
      </c>
      <c r="E194">
        <v>31.887712640010999</v>
      </c>
      <c r="F194">
        <v>2.5444309622269299</v>
      </c>
      <c r="G194">
        <v>-515.96950494447935</v>
      </c>
      <c r="H194">
        <v>-445.05633481788789</v>
      </c>
      <c r="I194">
        <v>67.784897124304905</v>
      </c>
      <c r="J194">
        <v>38.635350275956597</v>
      </c>
      <c r="K194">
        <v>12.532355215526101</v>
      </c>
      <c r="L194">
        <v>3.0750209497284438E-5</v>
      </c>
      <c r="M194">
        <v>1.8341217425127529E-6</v>
      </c>
      <c r="N194" s="1">
        <v>-2.3304551879061601E-7</v>
      </c>
      <c r="O194" s="1">
        <v>1.1548830676245499E-10</v>
      </c>
      <c r="P194" s="1">
        <v>9.4191550836509101E-10</v>
      </c>
      <c r="Q194">
        <v>66.457049692966905</v>
      </c>
      <c r="S194">
        <v>20.118051557338699</v>
      </c>
      <c r="AA194">
        <v>1.0907545073909299</v>
      </c>
      <c r="AB194">
        <v>8.5029824955292295</v>
      </c>
      <c r="AC194">
        <v>3.8311617467741201</v>
      </c>
      <c r="AJ194">
        <v>0.73135396767136795</v>
      </c>
      <c r="AK194">
        <v>5.1843479706466099E-2</v>
      </c>
      <c r="AL194">
        <v>0.216802552622165</v>
      </c>
    </row>
    <row r="195" spans="1:38" x14ac:dyDescent="0.2">
      <c r="A195">
        <v>179</v>
      </c>
      <c r="B195">
        <v>773</v>
      </c>
      <c r="C195">
        <v>125</v>
      </c>
      <c r="D195">
        <v>0.472102948907902</v>
      </c>
      <c r="E195">
        <v>8.9277721071190701</v>
      </c>
      <c r="F195">
        <v>2.5248368785788098</v>
      </c>
      <c r="G195">
        <v>-142.99568845883479</v>
      </c>
      <c r="H195">
        <v>-123.27340022565456</v>
      </c>
      <c r="I195">
        <v>18.8522565914833</v>
      </c>
      <c r="J195">
        <v>10.705213002253201</v>
      </c>
      <c r="K195">
        <v>3.5359797628369298</v>
      </c>
      <c r="L195">
        <v>2.9507513804887922E-5</v>
      </c>
      <c r="M195">
        <v>1.8201120679515341E-6</v>
      </c>
      <c r="N195" s="1">
        <v>-4.49272706400411E-8</v>
      </c>
      <c r="O195" s="1">
        <v>3.3404770995195202E-11</v>
      </c>
      <c r="P195" s="1">
        <v>2.02729356386158E-10</v>
      </c>
      <c r="Q195">
        <v>66.500920192421802</v>
      </c>
      <c r="S195">
        <v>19.330724512246299</v>
      </c>
      <c r="AA195">
        <v>0.43096505230590298</v>
      </c>
      <c r="AB195">
        <v>6.5366653431139099</v>
      </c>
      <c r="AC195">
        <v>7.20072489991197</v>
      </c>
      <c r="AJ195">
        <v>0.56779511182622699</v>
      </c>
      <c r="AK195">
        <v>2.0686558351799101E-2</v>
      </c>
      <c r="AL195">
        <v>0.41151832982197201</v>
      </c>
    </row>
    <row r="196" spans="1:38" x14ac:dyDescent="0.2">
      <c r="A196">
        <v>180</v>
      </c>
      <c r="B196">
        <v>772</v>
      </c>
      <c r="C196">
        <v>125</v>
      </c>
      <c r="D196">
        <v>0.47153088073482102</v>
      </c>
      <c r="E196">
        <v>30.0138101196154</v>
      </c>
      <c r="F196">
        <v>2.5465176660155699</v>
      </c>
      <c r="G196">
        <v>-485.90449189740485</v>
      </c>
      <c r="H196">
        <v>-419.24722954315996</v>
      </c>
      <c r="I196">
        <v>63.777699233837097</v>
      </c>
      <c r="J196">
        <v>36.387488578447901</v>
      </c>
      <c r="K196">
        <v>11.7862171231573</v>
      </c>
      <c r="L196">
        <v>3.0804113630994654E-5</v>
      </c>
      <c r="M196">
        <v>1.8334309208829838E-6</v>
      </c>
      <c r="N196" s="1">
        <v>-2.2941482559267101E-7</v>
      </c>
      <c r="O196" s="1">
        <v>1.08292818999365E-10</v>
      </c>
      <c r="P196" s="1">
        <v>9.1632506112977599E-10</v>
      </c>
      <c r="Q196">
        <v>66.375801892448393</v>
      </c>
      <c r="S196">
        <v>20.220468886230702</v>
      </c>
      <c r="AA196">
        <v>1.19420791591876</v>
      </c>
      <c r="AB196">
        <v>8.5904264712582599</v>
      </c>
      <c r="AC196">
        <v>3.6190948341437599</v>
      </c>
      <c r="AJ196">
        <v>0.73855195392544604</v>
      </c>
      <c r="AK196">
        <v>5.6735784260716703E-2</v>
      </c>
      <c r="AL196">
        <v>0.20471226181383601</v>
      </c>
    </row>
    <row r="197" spans="1:38" x14ac:dyDescent="0.2">
      <c r="A197">
        <v>180</v>
      </c>
      <c r="B197">
        <v>772</v>
      </c>
      <c r="C197">
        <v>125</v>
      </c>
      <c r="D197">
        <v>0.47153088073482102</v>
      </c>
      <c r="E197">
        <v>19.479690178607498</v>
      </c>
      <c r="F197">
        <v>2.5240103033837502</v>
      </c>
      <c r="G197">
        <v>-311.72256237685571</v>
      </c>
      <c r="H197">
        <v>-268.78573571072911</v>
      </c>
      <c r="I197">
        <v>41.081975473498098</v>
      </c>
      <c r="J197">
        <v>23.339004191940099</v>
      </c>
      <c r="K197">
        <v>7.71775382711097</v>
      </c>
      <c r="L197">
        <v>2.9402808145781845E-5</v>
      </c>
      <c r="M197">
        <v>1.8183243906171888E-6</v>
      </c>
      <c r="N197" s="1">
        <v>-9.7538792658204406E-8</v>
      </c>
      <c r="O197" s="1">
        <v>7.29927122543367E-11</v>
      </c>
      <c r="P197" s="1">
        <v>4.4066183497637E-10</v>
      </c>
      <c r="Q197">
        <v>66.460336849685405</v>
      </c>
      <c r="S197">
        <v>19.2998039512023</v>
      </c>
      <c r="AA197">
        <v>0.41492484106112998</v>
      </c>
      <c r="AB197">
        <v>6.3651652690937599</v>
      </c>
      <c r="AC197">
        <v>7.4597690889572901</v>
      </c>
      <c r="AJ197">
        <v>0.55337548133209702</v>
      </c>
      <c r="AK197">
        <v>1.99338164489192E-2</v>
      </c>
      <c r="AL197">
        <v>0.42669070221898298</v>
      </c>
    </row>
    <row r="198" spans="1:38" x14ac:dyDescent="0.2">
      <c r="A198">
        <v>181</v>
      </c>
      <c r="B198">
        <v>771</v>
      </c>
      <c r="C198">
        <v>125</v>
      </c>
      <c r="D198">
        <v>0.47095771680314102</v>
      </c>
      <c r="E198">
        <v>29.6026057728205</v>
      </c>
      <c r="F198">
        <v>2.5476365850373002</v>
      </c>
      <c r="G198">
        <v>-479.34666544435873</v>
      </c>
      <c r="H198">
        <v>-413.69628224369609</v>
      </c>
      <c r="I198">
        <v>62.874475123940698</v>
      </c>
      <c r="J198">
        <v>35.903114465524297</v>
      </c>
      <c r="K198">
        <v>11.619634427720801</v>
      </c>
      <c r="L198">
        <v>3.0841524859086624E-5</v>
      </c>
      <c r="M198">
        <v>1.8331051451168869E-6</v>
      </c>
      <c r="N198" s="1">
        <v>-2.35022584955506E-7</v>
      </c>
      <c r="O198" s="1">
        <v>1.0656782058662799E-10</v>
      </c>
      <c r="P198" s="1">
        <v>9.2948535158236097E-10</v>
      </c>
      <c r="Q198">
        <v>66.332566466726803</v>
      </c>
      <c r="S198">
        <v>20.2740729464746</v>
      </c>
      <c r="AA198">
        <v>1.24852021000763</v>
      </c>
      <c r="AB198">
        <v>8.63460865616101</v>
      </c>
      <c r="AC198">
        <v>3.5102317206299398</v>
      </c>
      <c r="AJ198">
        <v>0.74218640169414596</v>
      </c>
      <c r="AK198">
        <v>5.9303005082852397E-2</v>
      </c>
      <c r="AL198">
        <v>0.19851059322300099</v>
      </c>
    </row>
    <row r="199" spans="1:38" x14ac:dyDescent="0.2">
      <c r="A199">
        <v>181</v>
      </c>
      <c r="B199">
        <v>771</v>
      </c>
      <c r="C199">
        <v>125</v>
      </c>
      <c r="D199">
        <v>0.47095771680314102</v>
      </c>
      <c r="E199">
        <v>24.305232248344101</v>
      </c>
      <c r="F199">
        <v>2.5236023342486398</v>
      </c>
      <c r="G199">
        <v>-388.73021657650628</v>
      </c>
      <c r="H199">
        <v>-335.25855704067936</v>
      </c>
      <c r="I199">
        <v>51.210706829312699</v>
      </c>
      <c r="J199">
        <v>29.109263138715999</v>
      </c>
      <c r="K199">
        <v>9.6311657024919199</v>
      </c>
      <c r="L199">
        <v>2.9353733486501972E-5</v>
      </c>
      <c r="M199">
        <v>1.8174558210739723E-6</v>
      </c>
      <c r="N199" s="1">
        <v>-1.2336414484949801E-7</v>
      </c>
      <c r="O199" s="1">
        <v>9.1129925056387599E-11</v>
      </c>
      <c r="P199" s="1">
        <v>5.5451045867224304E-10</v>
      </c>
      <c r="Q199">
        <v>66.439918158191702</v>
      </c>
      <c r="S199">
        <v>19.2823612620451</v>
      </c>
      <c r="AA199">
        <v>0.405298866426202</v>
      </c>
      <c r="AB199">
        <v>6.2739350325766603</v>
      </c>
      <c r="AC199">
        <v>7.59848668076022</v>
      </c>
      <c r="AJ199">
        <v>0.54569475588531602</v>
      </c>
      <c r="AK199">
        <v>1.9480313529663101E-2</v>
      </c>
      <c r="AL199">
        <v>0.43482493058501998</v>
      </c>
    </row>
    <row r="200" spans="1:38" x14ac:dyDescent="0.2">
      <c r="A200">
        <v>182</v>
      </c>
      <c r="B200">
        <v>770</v>
      </c>
      <c r="C200">
        <v>125</v>
      </c>
      <c r="D200">
        <v>0.47038345396155901</v>
      </c>
      <c r="E200">
        <v>29.517385043020401</v>
      </c>
      <c r="F200">
        <v>2.5483575024551701</v>
      </c>
      <c r="G200">
        <v>-478.00660318706696</v>
      </c>
      <c r="H200">
        <v>-412.64044493894625</v>
      </c>
      <c r="I200">
        <v>62.662280830293398</v>
      </c>
      <c r="J200">
        <v>35.811179073117003</v>
      </c>
      <c r="K200">
        <v>11.582905857825001</v>
      </c>
      <c r="L200">
        <v>3.0874933132288584E-5</v>
      </c>
      <c r="M200">
        <v>1.8329948831644489E-6</v>
      </c>
      <c r="N200" s="1">
        <v>-2.4282078234532398E-7</v>
      </c>
      <c r="O200" s="1">
        <v>1.0608596834573201E-10</v>
      </c>
      <c r="P200" s="1">
        <v>9.5162559537894206E-10</v>
      </c>
      <c r="Q200">
        <v>66.307132514154603</v>
      </c>
      <c r="S200">
        <v>20.306774758079399</v>
      </c>
      <c r="AA200">
        <v>1.2814342045497</v>
      </c>
      <c r="AB200">
        <v>8.6636625072155802</v>
      </c>
      <c r="AC200">
        <v>3.4409960160006401</v>
      </c>
      <c r="AJ200">
        <v>0.74457555486051696</v>
      </c>
      <c r="AK200">
        <v>6.08575339861607E-2</v>
      </c>
      <c r="AL200">
        <v>0.194566911153321</v>
      </c>
    </row>
    <row r="201" spans="1:38" x14ac:dyDescent="0.2">
      <c r="A201">
        <v>182</v>
      </c>
      <c r="B201">
        <v>770</v>
      </c>
      <c r="C201">
        <v>125</v>
      </c>
      <c r="D201">
        <v>0.47038345396155901</v>
      </c>
      <c r="E201">
        <v>26.959879018151</v>
      </c>
      <c r="F201">
        <v>2.5233497577519999</v>
      </c>
      <c r="G201">
        <v>-431.01286163526652</v>
      </c>
      <c r="H201">
        <v>-371.80559750884333</v>
      </c>
      <c r="I201">
        <v>56.758149955828998</v>
      </c>
      <c r="J201">
        <v>32.281532748160402</v>
      </c>
      <c r="K201">
        <v>10.6841625641975</v>
      </c>
      <c r="L201">
        <v>2.9326948487912364E-5</v>
      </c>
      <c r="M201">
        <v>1.816954701590529E-6</v>
      </c>
      <c r="N201" s="1">
        <v>-1.39755667699959E-7</v>
      </c>
      <c r="O201" s="1">
        <v>1.01110908451764E-10</v>
      </c>
      <c r="P201" s="1">
        <v>6.2346345624954298E-10</v>
      </c>
      <c r="Q201">
        <v>66.427853444793399</v>
      </c>
      <c r="S201">
        <v>19.269946418500101</v>
      </c>
      <c r="AA201">
        <v>0.39787162932006298</v>
      </c>
      <c r="AB201">
        <v>6.21450233925958</v>
      </c>
      <c r="AC201">
        <v>7.6898261681267801</v>
      </c>
      <c r="AJ201">
        <v>0.54068729869747301</v>
      </c>
      <c r="AK201">
        <v>1.9129057586252701E-2</v>
      </c>
      <c r="AL201">
        <v>0.440183643716273</v>
      </c>
    </row>
    <row r="202" spans="1:38" x14ac:dyDescent="0.2">
      <c r="A202">
        <v>183</v>
      </c>
      <c r="B202">
        <v>769</v>
      </c>
      <c r="C202">
        <v>125</v>
      </c>
      <c r="D202">
        <v>0.46980808904668597</v>
      </c>
      <c r="E202">
        <v>29.535517288458401</v>
      </c>
      <c r="F202">
        <v>2.5488833766233601</v>
      </c>
      <c r="G202">
        <v>-478.31205892105862</v>
      </c>
      <c r="H202">
        <v>-413.00177513884006</v>
      </c>
      <c r="I202">
        <v>62.6687941104625</v>
      </c>
      <c r="J202">
        <v>35.843545400251998</v>
      </c>
      <c r="K202">
        <v>11.587629924279</v>
      </c>
      <c r="L202">
        <v>3.0907334064439869E-5</v>
      </c>
      <c r="M202">
        <v>1.8330071809466687E-6</v>
      </c>
      <c r="N202" s="1">
        <v>-2.51478369017056E-7</v>
      </c>
      <c r="O202" s="1">
        <v>1.06007182351229E-10</v>
      </c>
      <c r="P202" s="1">
        <v>9.7707070709159107E-10</v>
      </c>
      <c r="Q202">
        <v>66.290956477119195</v>
      </c>
      <c r="S202">
        <v>20.329021695867699</v>
      </c>
      <c r="AA202">
        <v>1.3035626131170801</v>
      </c>
      <c r="AB202">
        <v>8.6859383157179195</v>
      </c>
      <c r="AC202">
        <v>3.3905208981780199</v>
      </c>
      <c r="AJ202">
        <v>0.74640691658323999</v>
      </c>
      <c r="AK202">
        <v>6.1901560978151499E-2</v>
      </c>
      <c r="AL202">
        <v>0.19169152243860699</v>
      </c>
    </row>
    <row r="203" spans="1:38" x14ac:dyDescent="0.2">
      <c r="A203">
        <v>183</v>
      </c>
      <c r="B203">
        <v>769</v>
      </c>
      <c r="C203">
        <v>125</v>
      </c>
      <c r="D203">
        <v>0.46980808904668597</v>
      </c>
      <c r="E203">
        <v>28.5926807601763</v>
      </c>
      <c r="F203">
        <v>2.5231698459458101</v>
      </c>
      <c r="G203">
        <v>-456.96233380279023</v>
      </c>
      <c r="H203">
        <v>-394.27606078112495</v>
      </c>
      <c r="I203">
        <v>60.150912077594498</v>
      </c>
      <c r="J203">
        <v>34.231988816744902</v>
      </c>
      <c r="K203">
        <v>11.3320475853492</v>
      </c>
      <c r="L203">
        <v>2.9311058448072379E-5</v>
      </c>
      <c r="M203">
        <v>1.8166307360033602E-6</v>
      </c>
      <c r="N203" s="1">
        <v>-1.5192883806171001E-7</v>
      </c>
      <c r="O203" s="1">
        <v>1.07246336076988E-10</v>
      </c>
      <c r="P203" s="1">
        <v>6.7193763704862598E-10</v>
      </c>
      <c r="Q203">
        <v>66.419856694653802</v>
      </c>
      <c r="S203">
        <v>19.259900235690299</v>
      </c>
      <c r="AA203">
        <v>0.391449357959754</v>
      </c>
      <c r="AB203">
        <v>6.1703446360134597</v>
      </c>
      <c r="AC203">
        <v>7.7584490756825497</v>
      </c>
      <c r="AJ203">
        <v>0.53696489238549405</v>
      </c>
      <c r="AK203">
        <v>1.88244738146808E-2</v>
      </c>
      <c r="AL203">
        <v>0.44421063379982501</v>
      </c>
    </row>
    <row r="204" spans="1:38" x14ac:dyDescent="0.2">
      <c r="A204">
        <v>184</v>
      </c>
      <c r="B204">
        <v>768</v>
      </c>
      <c r="C204">
        <v>125</v>
      </c>
      <c r="D204">
        <v>0.46923161888296799</v>
      </c>
      <c r="E204">
        <v>29.587499083208499</v>
      </c>
      <c r="F204">
        <v>2.5493142760017999</v>
      </c>
      <c r="G204">
        <v>-479.15211656857156</v>
      </c>
      <c r="H204">
        <v>-413.82341947759403</v>
      </c>
      <c r="I204">
        <v>62.7466715564304</v>
      </c>
      <c r="J204">
        <v>35.916658094005903</v>
      </c>
      <c r="K204">
        <v>11.6060618189499</v>
      </c>
      <c r="L204">
        <v>3.0939718725377061E-5</v>
      </c>
      <c r="M204">
        <v>1.8330824321580353E-6</v>
      </c>
      <c r="N204" s="1">
        <v>-2.6059873594988102E-7</v>
      </c>
      <c r="O204" s="1">
        <v>1.06063674687693E-10</v>
      </c>
      <c r="P204" s="1">
        <v>1.00410890696157E-9</v>
      </c>
      <c r="Q204">
        <v>66.279358826022403</v>
      </c>
      <c r="S204">
        <v>20.346145321069599</v>
      </c>
      <c r="AA204">
        <v>1.32039593257398</v>
      </c>
      <c r="AB204">
        <v>8.7049853817799097</v>
      </c>
      <c r="AC204">
        <v>3.3491145385540002</v>
      </c>
      <c r="AJ204">
        <v>0.74797254392051105</v>
      </c>
      <c r="AK204">
        <v>6.2694952601216297E-2</v>
      </c>
      <c r="AL204">
        <v>0.18933250347827199</v>
      </c>
    </row>
    <row r="205" spans="1:38" x14ac:dyDescent="0.2">
      <c r="A205">
        <v>184</v>
      </c>
      <c r="B205">
        <v>768</v>
      </c>
      <c r="C205">
        <v>125</v>
      </c>
      <c r="D205">
        <v>0.46923161888296799</v>
      </c>
      <c r="E205">
        <v>29.725063159639799</v>
      </c>
      <c r="F205">
        <v>2.52302551604298</v>
      </c>
      <c r="G205">
        <v>-474.91495339577068</v>
      </c>
      <c r="H205">
        <v>-409.85500774606044</v>
      </c>
      <c r="I205">
        <v>62.488542140623501</v>
      </c>
      <c r="J205">
        <v>35.584384944609099</v>
      </c>
      <c r="K205">
        <v>11.781515078079501</v>
      </c>
      <c r="L205">
        <v>2.930059385595795E-5</v>
      </c>
      <c r="M205">
        <v>1.8163922745937926E-6</v>
      </c>
      <c r="N205" s="1">
        <v>-1.6217682820498999E-7</v>
      </c>
      <c r="O205" s="1">
        <v>1.11496454456001E-10</v>
      </c>
      <c r="P205" s="1">
        <v>7.1078875826859201E-10</v>
      </c>
      <c r="Q205">
        <v>66.413793151766995</v>
      </c>
      <c r="S205">
        <v>19.251026576401198</v>
      </c>
      <c r="AA205">
        <v>0.38554334302600102</v>
      </c>
      <c r="AB205">
        <v>6.1335689043236101</v>
      </c>
      <c r="AC205">
        <v>7.8160680244820702</v>
      </c>
      <c r="AJ205">
        <v>0.53386351304896196</v>
      </c>
      <c r="AK205">
        <v>1.85438963262731E-2</v>
      </c>
      <c r="AL205">
        <v>0.44759259062476398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8420-019B-47B3-8B26-C9DB6832270A}">
  <sheetPr codeName="Sheet13"/>
  <dimension ref="A1:AJ124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755</v>
      </c>
      <c r="C2">
        <v>275</v>
      </c>
      <c r="D2">
        <v>0.30115304187132302</v>
      </c>
      <c r="E2">
        <v>0.15704233434925699</v>
      </c>
      <c r="F2">
        <v>2.54384628309294</v>
      </c>
      <c r="G2">
        <v>-2.5601885936995314</v>
      </c>
      <c r="H2">
        <v>-2.2426385266877862</v>
      </c>
      <c r="I2">
        <v>0.30885577689222898</v>
      </c>
      <c r="J2">
        <v>0.18194733540313501</v>
      </c>
      <c r="K2">
        <v>6.1734207523859101E-2</v>
      </c>
      <c r="L2">
        <v>0</v>
      </c>
      <c r="M2">
        <v>1.238311233006107E-6</v>
      </c>
      <c r="N2">
        <v>0</v>
      </c>
      <c r="O2" s="1">
        <v>8.7800403292495701E-14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754</v>
      </c>
      <c r="C3">
        <v>275</v>
      </c>
      <c r="D3">
        <v>0.30040451735384299</v>
      </c>
      <c r="E3">
        <v>0.37651447029691398</v>
      </c>
      <c r="F3">
        <v>2.54384628309294</v>
      </c>
      <c r="G3">
        <v>-6.1374011082176789</v>
      </c>
      <c r="H3">
        <v>-5.3772402319964581</v>
      </c>
      <c r="I3">
        <v>0.74006802922768899</v>
      </c>
      <c r="J3">
        <v>0.436169551574212</v>
      </c>
      <c r="K3">
        <v>0.148009914277968</v>
      </c>
      <c r="L3">
        <v>0</v>
      </c>
      <c r="M3">
        <v>1.2383112330061072E-6</v>
      </c>
      <c r="N3">
        <v>0</v>
      </c>
      <c r="O3" s="1">
        <v>2.1050452716787299E-13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753</v>
      </c>
      <c r="C4">
        <v>275</v>
      </c>
      <c r="D4">
        <v>0.29965453393753799</v>
      </c>
      <c r="E4">
        <v>0.59496332310140199</v>
      </c>
      <c r="F4">
        <v>2.54384628309294</v>
      </c>
      <c r="G4">
        <v>-9.6970731794096707</v>
      </c>
      <c r="H4">
        <v>-8.4977350362065582</v>
      </c>
      <c r="I4">
        <v>1.1687746851855101</v>
      </c>
      <c r="J4">
        <v>0.68914158148080595</v>
      </c>
      <c r="K4">
        <v>0.233883362786376</v>
      </c>
      <c r="L4">
        <v>0</v>
      </c>
      <c r="M4">
        <v>1.2383112330061072E-6</v>
      </c>
      <c r="N4">
        <v>0</v>
      </c>
      <c r="O4" s="1">
        <v>3.3263654624727398E-13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752</v>
      </c>
      <c r="C5">
        <v>275</v>
      </c>
      <c r="D5">
        <v>0.29890308735307097</v>
      </c>
      <c r="E5">
        <v>0.81239776263466801</v>
      </c>
      <c r="F5">
        <v>2.54384628309294</v>
      </c>
      <c r="G5">
        <v>-13.239356128591609</v>
      </c>
      <c r="H5">
        <v>-11.604245983067507</v>
      </c>
      <c r="I5">
        <v>1.59499599621918</v>
      </c>
      <c r="J5">
        <v>0.94087394020288395</v>
      </c>
      <c r="K5">
        <v>0.319358039844653</v>
      </c>
      <c r="L5">
        <v>0</v>
      </c>
      <c r="M5">
        <v>1.2383112330061072E-6</v>
      </c>
      <c r="N5">
        <v>0</v>
      </c>
      <c r="O5" s="1">
        <v>4.5420141956507E-13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751</v>
      </c>
      <c r="C6">
        <v>275</v>
      </c>
      <c r="D6">
        <v>0.29815017331445698</v>
      </c>
      <c r="E6">
        <v>1.02882657335439</v>
      </c>
      <c r="F6">
        <v>2.54384628309294</v>
      </c>
      <c r="G6">
        <v>-16.764399809547808</v>
      </c>
      <c r="H6">
        <v>-14.696894937891832</v>
      </c>
      <c r="I6">
        <v>2.0187520105999801</v>
      </c>
      <c r="J6">
        <v>1.1913770397113901</v>
      </c>
      <c r="K6">
        <v>0.40443739867154899</v>
      </c>
      <c r="L6">
        <v>0</v>
      </c>
      <c r="M6">
        <v>1.238311233006107E-6</v>
      </c>
      <c r="N6">
        <v>0</v>
      </c>
      <c r="O6" s="1">
        <v>5.7520405840159202E-13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750</v>
      </c>
      <c r="C7">
        <v>275</v>
      </c>
      <c r="D7">
        <v>0.29739578751893703</v>
      </c>
      <c r="E7">
        <v>1.24425845343515</v>
      </c>
      <c r="F7">
        <v>2.54384628309294</v>
      </c>
      <c r="G7">
        <v>-20.272352595304756</v>
      </c>
      <c r="H7">
        <v>-17.775802574636966</v>
      </c>
      <c r="I7">
        <v>2.4400625721231299</v>
      </c>
      <c r="J7">
        <v>1.44066118790297</v>
      </c>
      <c r="K7">
        <v>0.48912485856744597</v>
      </c>
      <c r="L7">
        <v>0</v>
      </c>
      <c r="M7">
        <v>1.2383112330061067E-6</v>
      </c>
      <c r="N7">
        <v>0</v>
      </c>
      <c r="O7" s="1">
        <v>6.9564932579735696E-13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749</v>
      </c>
      <c r="C8">
        <v>275</v>
      </c>
      <c r="D8">
        <v>0.29663992564692099</v>
      </c>
      <c r="E8">
        <v>1.45870201611828</v>
      </c>
      <c r="F8">
        <v>2.54384628309294</v>
      </c>
      <c r="G8">
        <v>-23.763361401058901</v>
      </c>
      <c r="H8">
        <v>-20.841088394681201</v>
      </c>
      <c r="I8">
        <v>2.85894732316949</v>
      </c>
      <c r="J8">
        <v>1.6887365902042999</v>
      </c>
      <c r="K8">
        <v>0.57342380544500404</v>
      </c>
      <c r="L8">
        <v>0</v>
      </c>
      <c r="M8">
        <v>1.238311233006107E-6</v>
      </c>
      <c r="N8">
        <v>0</v>
      </c>
      <c r="O8" s="1">
        <v>8.1554203730777395E-13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748</v>
      </c>
      <c r="C9">
        <v>275</v>
      </c>
      <c r="D9">
        <v>0.29588258336189799</v>
      </c>
      <c r="E9">
        <v>1.67216579112376</v>
      </c>
      <c r="F9">
        <v>2.54384628309294</v>
      </c>
      <c r="G9">
        <v>-27.2375717080972</v>
      </c>
      <c r="H9">
        <v>-23.892870746495035</v>
      </c>
      <c r="I9">
        <v>3.27542570788049</v>
      </c>
      <c r="J9">
        <v>1.9356133512473701</v>
      </c>
      <c r="K9">
        <v>0.65733759238417999</v>
      </c>
      <c r="L9">
        <v>0</v>
      </c>
      <c r="M9">
        <v>1.2383112330061072E-6</v>
      </c>
      <c r="N9">
        <v>0</v>
      </c>
      <c r="O9" s="1">
        <v>9.3488696179251494E-13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747</v>
      </c>
      <c r="C10">
        <v>275</v>
      </c>
      <c r="D10">
        <v>0.29512375631034898</v>
      </c>
      <c r="E10">
        <v>2.44553560851858</v>
      </c>
      <c r="F10">
        <v>2.54384628309294</v>
      </c>
      <c r="G10">
        <v>-39.83004795547852</v>
      </c>
      <c r="H10">
        <v>-34.946056076366652</v>
      </c>
      <c r="I10">
        <v>4.7875232849207103</v>
      </c>
      <c r="J10">
        <v>2.8304603773956898</v>
      </c>
      <c r="K10">
        <v>0.96135353176496896</v>
      </c>
      <c r="L10">
        <v>0</v>
      </c>
      <c r="M10">
        <v>1.2383112330061074E-6</v>
      </c>
      <c r="N10">
        <v>0</v>
      </c>
      <c r="O10" s="1">
        <v>1.36726834572238E-12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746</v>
      </c>
      <c r="C11">
        <v>275</v>
      </c>
      <c r="D11">
        <v>0.29436344012167098</v>
      </c>
      <c r="E11">
        <v>3.3039573056771898</v>
      </c>
      <c r="F11">
        <v>2.54384628309294</v>
      </c>
      <c r="G11">
        <v>-53.804558920306413</v>
      </c>
      <c r="H11">
        <v>-47.216498500397954</v>
      </c>
      <c r="I11">
        <v>6.4642696559961301</v>
      </c>
      <c r="J11">
        <v>3.8235009232870301</v>
      </c>
      <c r="K11">
        <v>1.29880383403515</v>
      </c>
      <c r="L11">
        <v>0</v>
      </c>
      <c r="M11">
        <v>1.2383112330061072E-6</v>
      </c>
      <c r="N11">
        <v>0</v>
      </c>
      <c r="O11" s="1">
        <v>1.84720117095621E-12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745</v>
      </c>
      <c r="C12">
        <v>275</v>
      </c>
      <c r="D12">
        <v>0.29360163040809401</v>
      </c>
      <c r="E12">
        <v>4.1768135969749203</v>
      </c>
      <c r="F12">
        <v>2.54384628309294</v>
      </c>
      <c r="G12">
        <v>-68.010752039464919</v>
      </c>
      <c r="H12">
        <v>-59.695227178737937</v>
      </c>
      <c r="I12">
        <v>8.16728857312477</v>
      </c>
      <c r="J12">
        <v>4.8329846922638202</v>
      </c>
      <c r="K12">
        <v>1.6419284548500801</v>
      </c>
      <c r="L12">
        <v>0</v>
      </c>
      <c r="M12">
        <v>1.2383112330061072E-6</v>
      </c>
      <c r="N12">
        <v>0</v>
      </c>
      <c r="O12" s="1">
        <v>2.3352041970822399E-12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744</v>
      </c>
      <c r="C13">
        <v>275</v>
      </c>
      <c r="D13">
        <v>0.29283832276459099</v>
      </c>
      <c r="E13">
        <v>5.0708846918491597</v>
      </c>
      <c r="F13">
        <v>2.54384628309294</v>
      </c>
      <c r="G13">
        <v>-82.558933994074451</v>
      </c>
      <c r="H13">
        <v>-72.47920276087352</v>
      </c>
      <c r="I13">
        <v>9.9097785313876301</v>
      </c>
      <c r="J13">
        <v>5.8667486512262199</v>
      </c>
      <c r="K13">
        <v>1.99339273192392</v>
      </c>
      <c r="L13">
        <v>0</v>
      </c>
      <c r="M13">
        <v>1.238311233006107E-6</v>
      </c>
      <c r="N13">
        <v>0</v>
      </c>
      <c r="O13" s="1">
        <v>2.8350681543228399E-12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743</v>
      </c>
      <c r="C14">
        <v>275</v>
      </c>
      <c r="D14">
        <v>0.29207351276878402</v>
      </c>
      <c r="E14">
        <v>5.9963001439656898</v>
      </c>
      <c r="F14">
        <v>2.54384628309294</v>
      </c>
      <c r="G14">
        <v>-97.613882619192964</v>
      </c>
      <c r="H14">
        <v>-85.713294001364289</v>
      </c>
      <c r="I14">
        <v>11.7114487209847</v>
      </c>
      <c r="J14">
        <v>6.9365001479375898</v>
      </c>
      <c r="K14">
        <v>2.3571786486544601</v>
      </c>
      <c r="L14">
        <v>0</v>
      </c>
      <c r="M14">
        <v>1.238311233006107E-6</v>
      </c>
      <c r="N14">
        <v>0</v>
      </c>
      <c r="O14" s="1">
        <v>3.3524563493316901E-12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742</v>
      </c>
      <c r="C15">
        <v>275</v>
      </c>
      <c r="D15">
        <v>0.291307195980888</v>
      </c>
      <c r="E15">
        <v>6.9694158182381898</v>
      </c>
      <c r="F15">
        <v>2.54384628309294</v>
      </c>
      <c r="G15">
        <v>-113.44164286517555</v>
      </c>
      <c r="H15">
        <v>-99.63142486106544</v>
      </c>
      <c r="I15">
        <v>13.6041156519825</v>
      </c>
      <c r="J15">
        <v>8.0611419832286408</v>
      </c>
      <c r="K15">
        <v>2.7397157857212999</v>
      </c>
      <c r="L15">
        <v>0</v>
      </c>
      <c r="M15">
        <v>1.238311233006107E-6</v>
      </c>
      <c r="N15">
        <v>0</v>
      </c>
      <c r="O15" s="1">
        <v>3.8965131414407399E-12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741</v>
      </c>
      <c r="C16">
        <v>275</v>
      </c>
      <c r="D16">
        <v>0.29053936794360102</v>
      </c>
      <c r="E16">
        <v>8.0194463267355296</v>
      </c>
      <c r="F16">
        <v>2.54384628309294</v>
      </c>
      <c r="G16">
        <v>-130.51740981904277</v>
      </c>
      <c r="H16">
        <v>-114.65143229010445</v>
      </c>
      <c r="I16">
        <v>15.644606349098501</v>
      </c>
      <c r="J16">
        <v>9.2744380227026504</v>
      </c>
      <c r="K16">
        <v>3.1524885682105999</v>
      </c>
      <c r="L16">
        <v>0</v>
      </c>
      <c r="M16">
        <v>1.2383112330061072E-6</v>
      </c>
      <c r="N16">
        <v>0</v>
      </c>
      <c r="O16" s="1">
        <v>4.4835720545517504E-12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740</v>
      </c>
      <c r="C17">
        <v>275</v>
      </c>
      <c r="D17">
        <v>0.28977002418201098</v>
      </c>
      <c r="E17">
        <v>9.2067971403838609</v>
      </c>
      <c r="F17">
        <v>2.54384628309294</v>
      </c>
      <c r="G17">
        <v>-149.82372497212185</v>
      </c>
      <c r="H17">
        <v>-131.63725002906918</v>
      </c>
      <c r="I17">
        <v>17.950426830234999</v>
      </c>
      <c r="J17">
        <v>10.6462015460866</v>
      </c>
      <c r="K17">
        <v>3.6192427198037098</v>
      </c>
      <c r="L17">
        <v>0</v>
      </c>
      <c r="M17">
        <v>1.238311233006107E-6</v>
      </c>
      <c r="N17">
        <v>0</v>
      </c>
      <c r="O17" s="1">
        <v>5.1474050313091401E-12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739</v>
      </c>
      <c r="C18">
        <v>275</v>
      </c>
      <c r="D18">
        <v>0.28899916020352701</v>
      </c>
      <c r="E18">
        <v>13.909800899284001</v>
      </c>
      <c r="F18">
        <v>2.54384628309294</v>
      </c>
      <c r="G18">
        <v>-226.32936718580206</v>
      </c>
      <c r="H18">
        <v>-198.89609684025541</v>
      </c>
      <c r="I18">
        <v>27.103957264779499</v>
      </c>
      <c r="J18">
        <v>16.082360044602101</v>
      </c>
      <c r="K18">
        <v>5.4680194285842596</v>
      </c>
      <c r="L18">
        <v>0</v>
      </c>
      <c r="M18">
        <v>1.238311233006107E-6</v>
      </c>
      <c r="N18">
        <v>0</v>
      </c>
      <c r="O18" s="1">
        <v>7.7767955611214898E-12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738</v>
      </c>
      <c r="C19">
        <v>275</v>
      </c>
      <c r="D19">
        <v>0.28822677149780002</v>
      </c>
      <c r="E19">
        <v>25.196048732872701</v>
      </c>
      <c r="F19">
        <v>2.54384628309294</v>
      </c>
      <c r="G19">
        <v>-409.92125582402099</v>
      </c>
      <c r="H19">
        <v>-360.30716544584328</v>
      </c>
      <c r="I19">
        <v>49.0669934017481</v>
      </c>
      <c r="J19">
        <v>29.127548225989099</v>
      </c>
      <c r="K19">
        <v>9.90470568144476</v>
      </c>
      <c r="L19">
        <v>0</v>
      </c>
      <c r="M19">
        <v>1.2383112330061072E-6</v>
      </c>
      <c r="N19">
        <v>0</v>
      </c>
      <c r="O19" s="1">
        <v>1.4086795444619899E-11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737</v>
      </c>
      <c r="C20">
        <v>275</v>
      </c>
      <c r="D20">
        <v>0.28745285353660599</v>
      </c>
      <c r="E20">
        <v>28.896585356937301</v>
      </c>
      <c r="F20">
        <v>2.54384628309294</v>
      </c>
      <c r="G20">
        <v>-470.07001898864416</v>
      </c>
      <c r="H20">
        <v>-413.25878126337778</v>
      </c>
      <c r="I20">
        <v>56.2403976887258</v>
      </c>
      <c r="J20">
        <v>33.401079658065903</v>
      </c>
      <c r="K20">
        <v>11.3594070321746</v>
      </c>
      <c r="L20">
        <v>0</v>
      </c>
      <c r="M20">
        <v>1.238311233006107E-6</v>
      </c>
      <c r="N20">
        <v>0</v>
      </c>
      <c r="O20" s="1">
        <v>1.6155719148141401E-11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736</v>
      </c>
      <c r="C21">
        <v>275</v>
      </c>
      <c r="D21">
        <v>0.28667740177377199</v>
      </c>
      <c r="E21">
        <v>30.897963335215</v>
      </c>
      <c r="F21">
        <v>2.54384628309294</v>
      </c>
      <c r="G21">
        <v>-502.56695832874766</v>
      </c>
      <c r="H21">
        <v>-441.9168033373482</v>
      </c>
      <c r="I21">
        <v>60.100237815388603</v>
      </c>
      <c r="J21">
        <v>35.709698714050297</v>
      </c>
      <c r="K21">
        <v>12.146159750520599</v>
      </c>
      <c r="L21">
        <v>0</v>
      </c>
      <c r="M21">
        <v>1.238311233006107E-6</v>
      </c>
      <c r="N21">
        <v>0</v>
      </c>
      <c r="O21" s="1">
        <v>1.7274664522722399E-11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735</v>
      </c>
      <c r="C22">
        <v>275</v>
      </c>
      <c r="D22">
        <v>0.285900411645091</v>
      </c>
      <c r="E22">
        <v>32.012527930495899</v>
      </c>
      <c r="F22">
        <v>2.54384628309294</v>
      </c>
      <c r="G22">
        <v>-520.63351949563605</v>
      </c>
      <c r="H22">
        <v>-457.89481131854205</v>
      </c>
      <c r="I22">
        <v>62.231521278672801</v>
      </c>
      <c r="J22">
        <v>36.992912130682399</v>
      </c>
      <c r="K22">
        <v>12.5843012383489</v>
      </c>
      <c r="L22">
        <v>0</v>
      </c>
      <c r="M22">
        <v>1.2383112330061072E-6</v>
      </c>
      <c r="N22">
        <v>0</v>
      </c>
      <c r="O22" s="1">
        <v>1.7897803635922001E-11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755</v>
      </c>
      <c r="C23">
        <v>250</v>
      </c>
      <c r="D23">
        <v>0.32790011185138401</v>
      </c>
      <c r="E23">
        <v>5.8391192825578503E-2</v>
      </c>
      <c r="F23">
        <v>2.5430588954681599</v>
      </c>
      <c r="G23">
        <v>-0.95249856521446896</v>
      </c>
      <c r="H23">
        <v>-0.83442768151618463</v>
      </c>
      <c r="I23">
        <v>0.114838188686752</v>
      </c>
      <c r="J23">
        <v>6.7651324654898301E-2</v>
      </c>
      <c r="K23">
        <v>2.2961006891988999E-2</v>
      </c>
      <c r="L23">
        <v>0</v>
      </c>
      <c r="M23">
        <v>1.2382833910659954E-6</v>
      </c>
      <c r="N23">
        <v>0</v>
      </c>
      <c r="O23" s="1">
        <v>3.2645784972948098E-14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754</v>
      </c>
      <c r="C24">
        <v>250</v>
      </c>
      <c r="D24">
        <v>0.32717762741566497</v>
      </c>
      <c r="E24">
        <v>0.27114576074516999</v>
      </c>
      <c r="F24">
        <v>2.5430588954681599</v>
      </c>
      <c r="G24">
        <v>-4.4224960411442691</v>
      </c>
      <c r="H24">
        <v>-3.8750684777117681</v>
      </c>
      <c r="I24">
        <v>0.53295776024193198</v>
      </c>
      <c r="J24">
        <v>0.314106187691026</v>
      </c>
      <c r="K24">
        <v>0.10662189587050599</v>
      </c>
      <c r="L24">
        <v>0</v>
      </c>
      <c r="M24">
        <v>1.2382833910659956E-6</v>
      </c>
      <c r="N24">
        <v>0</v>
      </c>
      <c r="O24" s="1">
        <v>1.5159420065376199E-13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753</v>
      </c>
      <c r="C25">
        <v>250</v>
      </c>
      <c r="D25">
        <v>0.32645373483409301</v>
      </c>
      <c r="E25">
        <v>0.78457641304079095</v>
      </c>
      <c r="F25">
        <v>2.5430588954681599</v>
      </c>
      <c r="G25">
        <v>-12.795214076084447</v>
      </c>
      <c r="H25">
        <v>-11.213650336134505</v>
      </c>
      <c r="I25">
        <v>1.54125979627729</v>
      </c>
      <c r="J25">
        <v>0.90876900992318399</v>
      </c>
      <c r="K25">
        <v>0.30851680802160703</v>
      </c>
      <c r="L25">
        <v>0</v>
      </c>
      <c r="M25">
        <v>1.2382833910659952E-6</v>
      </c>
      <c r="N25">
        <v>0</v>
      </c>
      <c r="O25" s="1">
        <v>4.3864685127234899E-13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752</v>
      </c>
      <c r="C26">
        <v>250</v>
      </c>
      <c r="D26">
        <v>0.32572842998585799</v>
      </c>
      <c r="E26">
        <v>1.6553104241719301</v>
      </c>
      <c r="F26">
        <v>2.5430588954681599</v>
      </c>
      <c r="G26">
        <v>-26.992272973585859</v>
      </c>
      <c r="H26">
        <v>-23.660635451865492</v>
      </c>
      <c r="I26">
        <v>3.2499024744870102</v>
      </c>
      <c r="J26">
        <v>1.9170885404689699</v>
      </c>
      <c r="K26">
        <v>0.65091312950783997</v>
      </c>
      <c r="L26">
        <v>0</v>
      </c>
      <c r="M26">
        <v>1.2382833910659954E-6</v>
      </c>
      <c r="N26">
        <v>0</v>
      </c>
      <c r="O26" s="1">
        <v>9.2546333712375509E-13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751</v>
      </c>
      <c r="C27">
        <v>250</v>
      </c>
      <c r="D27">
        <v>0.32500170873407402</v>
      </c>
      <c r="E27">
        <v>2.53376687757721</v>
      </c>
      <c r="F27">
        <v>2.5430588954681599</v>
      </c>
      <c r="G27">
        <v>-41.311825315044182</v>
      </c>
      <c r="H27">
        <v>-36.220028992218317</v>
      </c>
      <c r="I27">
        <v>4.9717290658847402</v>
      </c>
      <c r="J27">
        <v>2.9340918674802698</v>
      </c>
      <c r="K27">
        <v>0.99634612556260405</v>
      </c>
      <c r="L27">
        <v>0</v>
      </c>
      <c r="M27">
        <v>1.2382833910659956E-6</v>
      </c>
      <c r="N27">
        <v>0</v>
      </c>
      <c r="O27" s="1">
        <v>1.41659734378177E-12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750</v>
      </c>
      <c r="C28">
        <v>250</v>
      </c>
      <c r="D28">
        <v>0.324273566925672</v>
      </c>
      <c r="E28">
        <v>3.42397181678519</v>
      </c>
      <c r="F28">
        <v>2.5430588954681599</v>
      </c>
      <c r="G28">
        <v>-55.819463375321938</v>
      </c>
      <c r="H28">
        <v>-48.949414081012307</v>
      </c>
      <c r="I28">
        <v>6.7146061616670396</v>
      </c>
      <c r="J28">
        <v>3.9644362401537898</v>
      </c>
      <c r="K28">
        <v>1.3463989461222701</v>
      </c>
      <c r="L28">
        <v>0</v>
      </c>
      <c r="M28">
        <v>1.2382833910659956E-6</v>
      </c>
      <c r="N28">
        <v>0</v>
      </c>
      <c r="O28" s="1">
        <v>1.9142997817855701E-12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749</v>
      </c>
      <c r="C29">
        <v>250</v>
      </c>
      <c r="D29">
        <v>0.32354400039133302</v>
      </c>
      <c r="E29">
        <v>4.3314371581766702</v>
      </c>
      <c r="F29">
        <v>2.5430588954681599</v>
      </c>
      <c r="G29">
        <v>-70.604968512756031</v>
      </c>
      <c r="H29">
        <v>-61.927636373431277</v>
      </c>
      <c r="I29">
        <v>8.4892942712173003</v>
      </c>
      <c r="J29">
        <v>5.0144966801707298</v>
      </c>
      <c r="K29">
        <v>1.70323902678599</v>
      </c>
      <c r="L29">
        <v>0</v>
      </c>
      <c r="M29">
        <v>1.2382833910659954E-6</v>
      </c>
      <c r="N29">
        <v>0</v>
      </c>
      <c r="O29" s="1">
        <v>2.4216522945859498E-12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748</v>
      </c>
      <c r="C30">
        <v>250</v>
      </c>
      <c r="D30">
        <v>0.32281300494540499</v>
      </c>
      <c r="E30">
        <v>5.2641327113101903</v>
      </c>
      <c r="F30">
        <v>2.5430588954681599</v>
      </c>
      <c r="G30">
        <v>-85.798139255454117</v>
      </c>
      <c r="H30">
        <v>-75.268710992430002</v>
      </c>
      <c r="I30">
        <v>10.3113433511473</v>
      </c>
      <c r="J30">
        <v>6.0934900192536698</v>
      </c>
      <c r="K30">
        <v>2.0700003136738498</v>
      </c>
      <c r="L30">
        <v>0</v>
      </c>
      <c r="M30">
        <v>1.2382833910659956E-6</v>
      </c>
      <c r="N30">
        <v>0</v>
      </c>
      <c r="O30" s="1">
        <v>2.9431107029417402E-12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747</v>
      </c>
      <c r="C31">
        <v>250</v>
      </c>
      <c r="D31">
        <v>0.32208057638582899</v>
      </c>
      <c r="E31">
        <v>6.2343080163908402</v>
      </c>
      <c r="F31">
        <v>2.5430588954681599</v>
      </c>
      <c r="G31">
        <v>-101.59845718142577</v>
      </c>
      <c r="H31">
        <v>-89.147888227175585</v>
      </c>
      <c r="I31">
        <v>12.204645350438801</v>
      </c>
      <c r="J31">
        <v>7.21558163349086</v>
      </c>
      <c r="K31">
        <v>2.4514996595244498</v>
      </c>
      <c r="L31">
        <v>0</v>
      </c>
      <c r="M31">
        <v>1.2382833910659954E-6</v>
      </c>
      <c r="N31">
        <v>0</v>
      </c>
      <c r="O31" s="1">
        <v>3.48552357144291E-12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746</v>
      </c>
      <c r="C32">
        <v>250</v>
      </c>
      <c r="D32">
        <v>0.32134671049404001</v>
      </c>
      <c r="E32">
        <v>7.2622391753851199</v>
      </c>
      <c r="F32">
        <v>2.5430588954681599</v>
      </c>
      <c r="G32">
        <v>-118.33609866545487</v>
      </c>
      <c r="H32">
        <v>-103.85526067488736</v>
      </c>
      <c r="I32">
        <v>14.2087406079257</v>
      </c>
      <c r="J32">
        <v>8.4042182217378798</v>
      </c>
      <c r="K32">
        <v>2.8557101797078799</v>
      </c>
      <c r="L32">
        <v>0</v>
      </c>
      <c r="M32">
        <v>1.2382833910659956E-6</v>
      </c>
      <c r="N32">
        <v>0</v>
      </c>
      <c r="O32" s="1">
        <v>4.0602270148844796E-12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745</v>
      </c>
      <c r="C33">
        <v>250</v>
      </c>
      <c r="D33">
        <v>0.32061140303491598</v>
      </c>
      <c r="E33">
        <v>8.3849664898093508</v>
      </c>
      <c r="F33">
        <v>2.5430588954681599</v>
      </c>
      <c r="G33">
        <v>-136.61421672475234</v>
      </c>
      <c r="H33">
        <v>-119.92077429943767</v>
      </c>
      <c r="I33">
        <v>16.395857609698599</v>
      </c>
      <c r="J33">
        <v>9.7022320363407495</v>
      </c>
      <c r="K33">
        <v>3.29719712931215</v>
      </c>
      <c r="L33">
        <v>0</v>
      </c>
      <c r="M33">
        <v>1.2382833910659954E-6</v>
      </c>
      <c r="N33">
        <v>0</v>
      </c>
      <c r="O33" s="1">
        <v>4.6879298021769698E-12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744</v>
      </c>
      <c r="C34">
        <v>250</v>
      </c>
      <c r="D34">
        <v>0.31987464975667701</v>
      </c>
      <c r="E34">
        <v>9.6805571262628494</v>
      </c>
      <c r="F34">
        <v>2.5430588954681599</v>
      </c>
      <c r="G34">
        <v>-157.70403566573043</v>
      </c>
      <c r="H34">
        <v>-138.46135515729341</v>
      </c>
      <c r="I34">
        <v>18.918232815648601</v>
      </c>
      <c r="J34">
        <v>11.1998988174409</v>
      </c>
      <c r="K34">
        <v>3.80665864385367</v>
      </c>
      <c r="L34">
        <v>0</v>
      </c>
      <c r="M34">
        <v>1.2382833910659956E-6</v>
      </c>
      <c r="N34">
        <v>0</v>
      </c>
      <c r="O34" s="1">
        <v>5.4122783089281197E-12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743</v>
      </c>
      <c r="C35">
        <v>250</v>
      </c>
      <c r="D35">
        <v>0.31913644639078897</v>
      </c>
      <c r="E35">
        <v>14.010708173089</v>
      </c>
      <c r="F35">
        <v>2.5430588954681599</v>
      </c>
      <c r="G35">
        <v>-228.21829487029032</v>
      </c>
      <c r="H35">
        <v>-200.41186920626228</v>
      </c>
      <c r="I35">
        <v>27.3644891640289</v>
      </c>
      <c r="J35">
        <v>16.207540813837301</v>
      </c>
      <c r="K35">
        <v>5.5093919366384698</v>
      </c>
      <c r="L35">
        <v>0</v>
      </c>
      <c r="M35">
        <v>1.2382833910659954E-6</v>
      </c>
      <c r="N35">
        <v>0</v>
      </c>
      <c r="O35" s="1">
        <v>7.8332115547574497E-12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742</v>
      </c>
      <c r="C36">
        <v>250</v>
      </c>
      <c r="D36">
        <v>0.318396788651924</v>
      </c>
      <c r="E36">
        <v>25.045557110535899</v>
      </c>
      <c r="F36">
        <v>2.5430588954681599</v>
      </c>
      <c r="G36">
        <v>-407.91436864973946</v>
      </c>
      <c r="H36">
        <v>-358.28544525765972</v>
      </c>
      <c r="I36">
        <v>48.888266159759397</v>
      </c>
      <c r="J36">
        <v>28.968825678151301</v>
      </c>
      <c r="K36">
        <v>9.8485949952508793</v>
      </c>
      <c r="L36">
        <v>0</v>
      </c>
      <c r="M36">
        <v>1.2382833910659956E-6</v>
      </c>
      <c r="N36">
        <v>0</v>
      </c>
      <c r="O36" s="1">
        <v>1.40026574624124E-11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741</v>
      </c>
      <c r="C37">
        <v>250</v>
      </c>
      <c r="D37">
        <v>0.31765567223783697</v>
      </c>
      <c r="E37">
        <v>28.0886338176687</v>
      </c>
      <c r="F37">
        <v>2.5430588954681599</v>
      </c>
      <c r="G37">
        <v>-457.42182837818666</v>
      </c>
      <c r="H37">
        <v>-401.85020724469626</v>
      </c>
      <c r="I37">
        <v>54.796254137445501</v>
      </c>
      <c r="J37">
        <v>32.4843240880449</v>
      </c>
      <c r="K37">
        <v>11.045215613261499</v>
      </c>
      <c r="L37">
        <v>0</v>
      </c>
      <c r="M37">
        <v>1.2382833910659954E-6</v>
      </c>
      <c r="N37">
        <v>0</v>
      </c>
      <c r="O37" s="1">
        <v>1.5704003556402799E-11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740</v>
      </c>
      <c r="C38">
        <v>250</v>
      </c>
      <c r="D38">
        <v>0.31691309282929903</v>
      </c>
      <c r="E38">
        <v>29.7229155590164</v>
      </c>
      <c r="F38">
        <v>2.5430588954681599</v>
      </c>
      <c r="G38">
        <v>-483.97804748033332</v>
      </c>
      <c r="H38">
        <v>-425.26544082611673</v>
      </c>
      <c r="I38">
        <v>57.9505568318773</v>
      </c>
      <c r="J38">
        <v>34.369840537771402</v>
      </c>
      <c r="K38">
        <v>11.687859692114801</v>
      </c>
      <c r="L38">
        <v>0</v>
      </c>
      <c r="M38">
        <v>1.2382833910659956E-6</v>
      </c>
      <c r="N38">
        <v>0</v>
      </c>
      <c r="O38" s="1">
        <v>1.66177100201948E-11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739</v>
      </c>
      <c r="C39">
        <v>250</v>
      </c>
      <c r="D39">
        <v>0.31616904609000601</v>
      </c>
      <c r="E39">
        <v>30.647314059605701</v>
      </c>
      <c r="F39">
        <v>2.5430588954681599</v>
      </c>
      <c r="G39">
        <v>-498.97028710746849</v>
      </c>
      <c r="H39">
        <v>-438.52685890532138</v>
      </c>
      <c r="I39">
        <v>59.717856248724999</v>
      </c>
      <c r="J39">
        <v>35.4340901552332</v>
      </c>
      <c r="K39">
        <v>12.051358352030499</v>
      </c>
      <c r="L39">
        <v>0</v>
      </c>
      <c r="M39">
        <v>1.2382833910659954E-6</v>
      </c>
      <c r="N39">
        <v>0</v>
      </c>
      <c r="O39" s="1">
        <v>1.7134529650334901E-11</v>
      </c>
      <c r="P39">
        <v>0</v>
      </c>
      <c r="Q39">
        <v>100</v>
      </c>
      <c r="AJ39">
        <v>1</v>
      </c>
    </row>
    <row r="40" spans="1:36" x14ac:dyDescent="0.2">
      <c r="A40">
        <v>45</v>
      </c>
      <c r="B40">
        <v>758</v>
      </c>
      <c r="C40">
        <v>225</v>
      </c>
      <c r="D40">
        <v>0.356728410027642</v>
      </c>
      <c r="E40">
        <v>0.28459796909379997</v>
      </c>
      <c r="F40">
        <v>2.5422717692855801</v>
      </c>
      <c r="G40">
        <v>-4.6469453375558052</v>
      </c>
      <c r="H40">
        <v>-4.0687992901750896</v>
      </c>
      <c r="I40">
        <v>0.56068083923843703</v>
      </c>
      <c r="J40">
        <v>0.32985710865259599</v>
      </c>
      <c r="K40">
        <v>0.11194632003240799</v>
      </c>
      <c r="L40">
        <v>0</v>
      </c>
      <c r="M40">
        <v>1.2382554563563434E-6</v>
      </c>
      <c r="N40">
        <v>0</v>
      </c>
      <c r="O40" s="1">
        <v>1.59115161947916E-13</v>
      </c>
      <c r="P40">
        <v>0</v>
      </c>
      <c r="Q40">
        <v>100</v>
      </c>
      <c r="AJ40">
        <v>1</v>
      </c>
    </row>
    <row r="41" spans="1:36" x14ac:dyDescent="0.2">
      <c r="A41">
        <v>46</v>
      </c>
      <c r="B41">
        <v>757</v>
      </c>
      <c r="C41">
        <v>225</v>
      </c>
      <c r="D41">
        <v>0.35603601417269398</v>
      </c>
      <c r="E41">
        <v>1.1734498029548099</v>
      </c>
      <c r="F41">
        <v>2.5422717692855801</v>
      </c>
      <c r="G41">
        <v>-19.157899703145709</v>
      </c>
      <c r="H41">
        <v>-16.777768256129121</v>
      </c>
      <c r="I41">
        <v>2.3104707537898199</v>
      </c>
      <c r="J41">
        <v>1.3598896319730001</v>
      </c>
      <c r="K41">
        <v>0.46157527968953999</v>
      </c>
      <c r="L41">
        <v>0</v>
      </c>
      <c r="M41">
        <v>1.2382554563563434E-6</v>
      </c>
      <c r="N41">
        <v>0</v>
      </c>
      <c r="O41" s="1">
        <v>6.5606109569027699E-13</v>
      </c>
      <c r="P41">
        <v>0</v>
      </c>
      <c r="Q41">
        <v>100</v>
      </c>
      <c r="AJ41">
        <v>1</v>
      </c>
    </row>
    <row r="42" spans="1:36" x14ac:dyDescent="0.2">
      <c r="A42">
        <v>47</v>
      </c>
      <c r="B42">
        <v>756</v>
      </c>
      <c r="C42">
        <v>225</v>
      </c>
      <c r="D42">
        <v>0.35534227274935698</v>
      </c>
      <c r="E42">
        <v>2.0688484085440799</v>
      </c>
      <c r="F42">
        <v>2.5422717692855801</v>
      </c>
      <c r="G42">
        <v>-33.772225760559962</v>
      </c>
      <c r="H42">
        <v>-29.582409316130704</v>
      </c>
      <c r="I42">
        <v>4.07114263657314</v>
      </c>
      <c r="J42">
        <v>2.39724700558933</v>
      </c>
      <c r="K42">
        <v>0.81377940530939497</v>
      </c>
      <c r="L42">
        <v>0</v>
      </c>
      <c r="M42">
        <v>1.2382554563563434E-6</v>
      </c>
      <c r="N42">
        <v>0</v>
      </c>
      <c r="O42" s="1">
        <v>1.15666724755399E-12</v>
      </c>
      <c r="P42">
        <v>0</v>
      </c>
      <c r="Q42">
        <v>100</v>
      </c>
      <c r="AJ42">
        <v>1</v>
      </c>
    </row>
    <row r="43" spans="1:36" x14ac:dyDescent="0.2">
      <c r="A43">
        <v>48</v>
      </c>
      <c r="B43">
        <v>755</v>
      </c>
      <c r="C43">
        <v>225</v>
      </c>
      <c r="D43">
        <v>0.354647181831445</v>
      </c>
      <c r="E43">
        <v>2.97438778964491</v>
      </c>
      <c r="F43">
        <v>2.5422717692855801</v>
      </c>
      <c r="G43">
        <v>-48.548549920214462</v>
      </c>
      <c r="H43">
        <v>-42.534139564978119</v>
      </c>
      <c r="I43">
        <v>5.8497401694658802</v>
      </c>
      <c r="J43">
        <v>3.4460894574958498</v>
      </c>
      <c r="K43">
        <v>1.16997239460388</v>
      </c>
      <c r="L43">
        <v>0</v>
      </c>
      <c r="M43">
        <v>1.2382554563563432E-6</v>
      </c>
      <c r="N43">
        <v>0</v>
      </c>
      <c r="O43" s="1">
        <v>1.66294298006487E-12</v>
      </c>
      <c r="P43">
        <v>0</v>
      </c>
      <c r="Q43">
        <v>100</v>
      </c>
      <c r="AJ43">
        <v>1</v>
      </c>
    </row>
    <row r="44" spans="1:36" x14ac:dyDescent="0.2">
      <c r="A44">
        <v>49</v>
      </c>
      <c r="B44">
        <v>754</v>
      </c>
      <c r="C44">
        <v>225</v>
      </c>
      <c r="D44">
        <v>0.35395073747748601</v>
      </c>
      <c r="E44">
        <v>3.8949670838192798</v>
      </c>
      <c r="F44">
        <v>2.5422717692855801</v>
      </c>
      <c r="G44">
        <v>-63.566770462317642</v>
      </c>
      <c r="H44">
        <v>-55.703057843373585</v>
      </c>
      <c r="I44">
        <v>7.65585612514632</v>
      </c>
      <c r="J44">
        <v>4.5120869989566996</v>
      </c>
      <c r="K44">
        <v>1.5320813183217701</v>
      </c>
      <c r="L44">
        <v>0</v>
      </c>
      <c r="M44">
        <v>1.2382554563563432E-6</v>
      </c>
      <c r="N44">
        <v>0</v>
      </c>
      <c r="O44" s="1">
        <v>2.1776273397068601E-12</v>
      </c>
      <c r="P44">
        <v>0</v>
      </c>
      <c r="Q44">
        <v>100</v>
      </c>
      <c r="AJ44">
        <v>1</v>
      </c>
    </row>
    <row r="45" spans="1:36" x14ac:dyDescent="0.2">
      <c r="A45">
        <v>50</v>
      </c>
      <c r="B45">
        <v>753</v>
      </c>
      <c r="C45">
        <v>225</v>
      </c>
      <c r="D45">
        <v>0.35325293573064698</v>
      </c>
      <c r="E45">
        <v>4.8375764925183304</v>
      </c>
      <c r="F45">
        <v>2.5422717692855801</v>
      </c>
      <c r="G45">
        <v>-78.940869772640468</v>
      </c>
      <c r="H45">
        <v>-69.189193017347222</v>
      </c>
      <c r="I45">
        <v>9.5031688888498103</v>
      </c>
      <c r="J45">
        <v>5.6033287853951697</v>
      </c>
      <c r="K45">
        <v>1.9028557650536899</v>
      </c>
      <c r="L45">
        <v>0</v>
      </c>
      <c r="M45">
        <v>1.2382554563563432E-6</v>
      </c>
      <c r="N45">
        <v>0</v>
      </c>
      <c r="O45" s="1">
        <v>2.7046284606085601E-12</v>
      </c>
      <c r="P45">
        <v>0</v>
      </c>
      <c r="Q45">
        <v>100</v>
      </c>
      <c r="AJ45">
        <v>1</v>
      </c>
    </row>
    <row r="46" spans="1:36" x14ac:dyDescent="0.2">
      <c r="A46">
        <v>51</v>
      </c>
      <c r="B46">
        <v>752</v>
      </c>
      <c r="C46">
        <v>225</v>
      </c>
      <c r="D46">
        <v>0.35255377261864101</v>
      </c>
      <c r="E46">
        <v>5.8126934030885202</v>
      </c>
      <c r="F46">
        <v>2.5422717692855801</v>
      </c>
      <c r="G46">
        <v>-94.841673416152375</v>
      </c>
      <c r="H46">
        <v>-83.142485661883356</v>
      </c>
      <c r="I46">
        <v>11.4121716375837</v>
      </c>
      <c r="J46">
        <v>6.7319384627781096</v>
      </c>
      <c r="K46">
        <v>2.2864170043952301</v>
      </c>
      <c r="L46">
        <v>0</v>
      </c>
      <c r="M46">
        <v>1.2382554563563432E-6</v>
      </c>
      <c r="N46">
        <v>0</v>
      </c>
      <c r="O46" s="1">
        <v>3.2498041188803499E-12</v>
      </c>
      <c r="P46">
        <v>0</v>
      </c>
      <c r="Q46">
        <v>100</v>
      </c>
      <c r="AJ46">
        <v>1</v>
      </c>
    </row>
    <row r="47" spans="1:36" x14ac:dyDescent="0.2">
      <c r="A47">
        <v>52</v>
      </c>
      <c r="B47">
        <v>751</v>
      </c>
      <c r="C47">
        <v>225</v>
      </c>
      <c r="D47">
        <v>0.35185324415369101</v>
      </c>
      <c r="E47">
        <v>6.8369611306838403</v>
      </c>
      <c r="F47">
        <v>2.5422717692855801</v>
      </c>
      <c r="G47">
        <v>-111.54051790373349</v>
      </c>
      <c r="H47">
        <v>-97.801127017936267</v>
      </c>
      <c r="I47">
        <v>13.4154087641431</v>
      </c>
      <c r="J47">
        <v>7.9171735290026897</v>
      </c>
      <c r="K47">
        <v>2.6893116673380302</v>
      </c>
      <c r="L47">
        <v>0</v>
      </c>
      <c r="M47">
        <v>1.2382554563563434E-6</v>
      </c>
      <c r="N47">
        <v>0</v>
      </c>
      <c r="O47" s="1">
        <v>3.8224593836852703E-12</v>
      </c>
      <c r="P47">
        <v>0</v>
      </c>
      <c r="Q47">
        <v>100</v>
      </c>
      <c r="AJ47">
        <v>1</v>
      </c>
    </row>
    <row r="48" spans="1:36" x14ac:dyDescent="0.2">
      <c r="A48">
        <v>53</v>
      </c>
      <c r="B48">
        <v>750</v>
      </c>
      <c r="C48">
        <v>225</v>
      </c>
      <c r="D48">
        <v>0.35115134633240402</v>
      </c>
      <c r="E48">
        <v>7.9388571599224704</v>
      </c>
      <c r="F48">
        <v>2.5422717692855801</v>
      </c>
      <c r="G48">
        <v>-129.50165284518917</v>
      </c>
      <c r="H48">
        <v>-113.5726841072517</v>
      </c>
      <c r="I48">
        <v>15.5685566514562</v>
      </c>
      <c r="J48">
        <v>9.1919836711014398</v>
      </c>
      <c r="K48">
        <v>3.12274134332751</v>
      </c>
      <c r="L48">
        <v>0</v>
      </c>
      <c r="M48">
        <v>1.2382554563563434E-6</v>
      </c>
      <c r="N48">
        <v>0</v>
      </c>
      <c r="O48" s="1">
        <v>4.4385156601946996E-12</v>
      </c>
      <c r="P48">
        <v>0</v>
      </c>
      <c r="Q48">
        <v>100</v>
      </c>
      <c r="AJ48">
        <v>1</v>
      </c>
    </row>
    <row r="49" spans="1:36" x14ac:dyDescent="0.2">
      <c r="A49">
        <v>54</v>
      </c>
      <c r="B49">
        <v>749</v>
      </c>
      <c r="C49">
        <v>225</v>
      </c>
      <c r="D49">
        <v>0.350448075135744</v>
      </c>
      <c r="E49">
        <v>9.1722706757874999</v>
      </c>
      <c r="F49">
        <v>2.5422717692855801</v>
      </c>
      <c r="G49">
        <v>-149.60358035556604</v>
      </c>
      <c r="H49">
        <v>-131.22842305347996</v>
      </c>
      <c r="I49">
        <v>17.9769674725686</v>
      </c>
      <c r="J49">
        <v>10.6187205709629</v>
      </c>
      <c r="K49">
        <v>3.60790328815437</v>
      </c>
      <c r="L49">
        <v>0</v>
      </c>
      <c r="M49">
        <v>1.2382554563563434E-6</v>
      </c>
      <c r="N49">
        <v>0</v>
      </c>
      <c r="O49" s="1">
        <v>5.1281017171525704E-12</v>
      </c>
      <c r="P49">
        <v>0</v>
      </c>
      <c r="Q49">
        <v>100</v>
      </c>
      <c r="AJ49">
        <v>1</v>
      </c>
    </row>
    <row r="50" spans="1:36" x14ac:dyDescent="0.2">
      <c r="A50">
        <v>55</v>
      </c>
      <c r="B50">
        <v>748</v>
      </c>
      <c r="C50">
        <v>225</v>
      </c>
      <c r="D50">
        <v>0.34974342652891699</v>
      </c>
      <c r="E50">
        <v>10.9357387124985</v>
      </c>
      <c r="F50">
        <v>2.5422717692855801</v>
      </c>
      <c r="G50">
        <v>-178.3450563600864</v>
      </c>
      <c r="H50">
        <v>-156.47116324393625</v>
      </c>
      <c r="I50">
        <v>21.4208423014739</v>
      </c>
      <c r="J50">
        <v>12.658650218791699</v>
      </c>
      <c r="K50">
        <v>4.3015616365718499</v>
      </c>
      <c r="L50">
        <v>0</v>
      </c>
      <c r="M50">
        <v>1.2382554563563432E-6</v>
      </c>
      <c r="N50">
        <v>0</v>
      </c>
      <c r="O50" s="1">
        <v>6.1140346215394097E-12</v>
      </c>
      <c r="P50">
        <v>0</v>
      </c>
      <c r="Q50">
        <v>100</v>
      </c>
      <c r="AJ50">
        <v>1</v>
      </c>
    </row>
    <row r="51" spans="1:36" x14ac:dyDescent="0.2">
      <c r="A51">
        <v>56</v>
      </c>
      <c r="B51">
        <v>747</v>
      </c>
      <c r="C51">
        <v>225</v>
      </c>
      <c r="D51">
        <v>0.34903739646130499</v>
      </c>
      <c r="E51">
        <v>20.913476916158</v>
      </c>
      <c r="F51">
        <v>2.5422717692855801</v>
      </c>
      <c r="G51">
        <v>-341.0256465260648</v>
      </c>
      <c r="H51">
        <v>-299.25923303908934</v>
      </c>
      <c r="I51">
        <v>40.941443402416702</v>
      </c>
      <c r="J51">
        <v>24.205236496483799</v>
      </c>
      <c r="K51">
        <v>8.2262947529150594</v>
      </c>
      <c r="L51">
        <v>0</v>
      </c>
      <c r="M51">
        <v>1.2382554563563434E-6</v>
      </c>
      <c r="N51">
        <v>0</v>
      </c>
      <c r="O51" s="1">
        <v>1.16924631507533E-11</v>
      </c>
      <c r="P51">
        <v>0</v>
      </c>
      <c r="Q51">
        <v>100</v>
      </c>
      <c r="AJ51">
        <v>1</v>
      </c>
    </row>
    <row r="52" spans="1:36" x14ac:dyDescent="0.2">
      <c r="A52">
        <v>57</v>
      </c>
      <c r="B52">
        <v>746</v>
      </c>
      <c r="C52">
        <v>225</v>
      </c>
      <c r="D52">
        <v>0.34832998086640898</v>
      </c>
      <c r="E52">
        <v>26.3384537530386</v>
      </c>
      <c r="F52">
        <v>2.5422717692855801</v>
      </c>
      <c r="G52">
        <v>-429.43649369613109</v>
      </c>
      <c r="H52">
        <v>-376.91785963453924</v>
      </c>
      <c r="I52">
        <v>51.531800089870799</v>
      </c>
      <c r="J52">
        <v>30.480146359535102</v>
      </c>
      <c r="K52">
        <v>10.360203842581299</v>
      </c>
      <c r="L52">
        <v>0</v>
      </c>
      <c r="M52">
        <v>1.2382554563563434E-6</v>
      </c>
      <c r="N52">
        <v>0</v>
      </c>
      <c r="O52" s="1">
        <v>1.4725499790868799E-11</v>
      </c>
      <c r="P52">
        <v>0</v>
      </c>
      <c r="Q52">
        <v>100</v>
      </c>
      <c r="AJ52">
        <v>1</v>
      </c>
    </row>
    <row r="53" spans="1:36" x14ac:dyDescent="0.2">
      <c r="A53">
        <v>58</v>
      </c>
      <c r="B53">
        <v>745</v>
      </c>
      <c r="C53">
        <v>225</v>
      </c>
      <c r="D53">
        <v>0.347621175661739</v>
      </c>
      <c r="E53">
        <v>28.5754200949977</v>
      </c>
      <c r="F53">
        <v>2.5422717692855801</v>
      </c>
      <c r="G53">
        <v>-465.85331892037243</v>
      </c>
      <c r="H53">
        <v>-408.96315356136091</v>
      </c>
      <c r="I53">
        <v>55.876015674518897</v>
      </c>
      <c r="J53">
        <v>33.064575348575502</v>
      </c>
      <c r="K53">
        <v>11.2401122650344</v>
      </c>
      <c r="L53">
        <v>0</v>
      </c>
      <c r="M53">
        <v>1.2382554563563434E-6</v>
      </c>
      <c r="N53">
        <v>0</v>
      </c>
      <c r="O53" s="1">
        <v>1.5976159670509501E-11</v>
      </c>
      <c r="P53">
        <v>0</v>
      </c>
      <c r="Q53">
        <v>100</v>
      </c>
      <c r="AJ53">
        <v>1</v>
      </c>
    </row>
    <row r="54" spans="1:36" x14ac:dyDescent="0.2">
      <c r="A54">
        <v>59</v>
      </c>
      <c r="B54">
        <v>744</v>
      </c>
      <c r="C54">
        <v>225</v>
      </c>
      <c r="D54">
        <v>0.34691097674876298</v>
      </c>
      <c r="E54">
        <v>29.9244836375143</v>
      </c>
      <c r="F54">
        <v>2.5422717692855801</v>
      </c>
      <c r="G54">
        <v>-487.7880499498529</v>
      </c>
      <c r="H54">
        <v>-428.3051843971619</v>
      </c>
      <c r="I54">
        <v>58.479934673048199</v>
      </c>
      <c r="J54">
        <v>34.621064111597498</v>
      </c>
      <c r="K54">
        <v>11.7707650295481</v>
      </c>
      <c r="L54">
        <v>0</v>
      </c>
      <c r="M54">
        <v>1.2382554563563434E-6</v>
      </c>
      <c r="N54">
        <v>0</v>
      </c>
      <c r="O54" s="1">
        <v>1.67304042096714E-11</v>
      </c>
      <c r="P54">
        <v>0</v>
      </c>
      <c r="Q54">
        <v>100</v>
      </c>
      <c r="AJ54">
        <v>1</v>
      </c>
    </row>
    <row r="55" spans="1:36" x14ac:dyDescent="0.2">
      <c r="A55">
        <v>60</v>
      </c>
      <c r="B55">
        <v>743</v>
      </c>
      <c r="C55">
        <v>225</v>
      </c>
      <c r="D55">
        <v>0.34619938001279399</v>
      </c>
      <c r="E55">
        <v>30.721559447548</v>
      </c>
      <c r="F55">
        <v>2.5422717692855801</v>
      </c>
      <c r="G55">
        <v>-500.7208707104536</v>
      </c>
      <c r="H55">
        <v>-439.74916617505619</v>
      </c>
      <c r="I55">
        <v>60.002661551343103</v>
      </c>
      <c r="J55">
        <v>35.538598224980603</v>
      </c>
      <c r="K55">
        <v>12.084293984108999</v>
      </c>
      <c r="L55">
        <v>0</v>
      </c>
      <c r="M55">
        <v>1.2382554563563434E-6</v>
      </c>
      <c r="N55">
        <v>0</v>
      </c>
      <c r="O55" s="1">
        <v>1.71760393173362E-11</v>
      </c>
      <c r="P55">
        <v>0</v>
      </c>
      <c r="Q55">
        <v>100</v>
      </c>
      <c r="AJ55">
        <v>1</v>
      </c>
    </row>
    <row r="56" spans="1:36" x14ac:dyDescent="0.2">
      <c r="A56">
        <v>69</v>
      </c>
      <c r="B56">
        <v>763</v>
      </c>
      <c r="C56">
        <v>200</v>
      </c>
      <c r="D56">
        <v>0.38671090093133698</v>
      </c>
      <c r="E56">
        <v>0.315267083652705</v>
      </c>
      <c r="F56">
        <v>2.5414849045122199</v>
      </c>
      <c r="G56">
        <v>-5.1539245005975856</v>
      </c>
      <c r="H56">
        <v>-4.5085382112524659</v>
      </c>
      <c r="I56">
        <v>0.62286955493424501</v>
      </c>
      <c r="J56">
        <v>0.36563295209748797</v>
      </c>
      <c r="K56">
        <v>0.124048379391501</v>
      </c>
      <c r="L56">
        <v>0</v>
      </c>
      <c r="M56">
        <v>1.2382274289707083E-6</v>
      </c>
      <c r="N56">
        <v>0</v>
      </c>
      <c r="O56" s="1">
        <v>1.7626187998451201E-13</v>
      </c>
      <c r="P56">
        <v>0</v>
      </c>
      <c r="Q56">
        <v>100</v>
      </c>
      <c r="AJ56">
        <v>1</v>
      </c>
    </row>
    <row r="57" spans="1:36" x14ac:dyDescent="0.2">
      <c r="A57">
        <v>70</v>
      </c>
      <c r="B57">
        <v>762</v>
      </c>
      <c r="C57">
        <v>200</v>
      </c>
      <c r="D57">
        <v>0.38605081389170998</v>
      </c>
      <c r="E57">
        <v>1.21825637612951</v>
      </c>
      <c r="F57">
        <v>2.5414849045122199</v>
      </c>
      <c r="G57">
        <v>-19.91341028186557</v>
      </c>
      <c r="H57">
        <v>-17.423324903094617</v>
      </c>
      <c r="I57">
        <v>2.40553096533927</v>
      </c>
      <c r="J57">
        <v>1.4127037948152401</v>
      </c>
      <c r="K57">
        <v>0.47934826367317102</v>
      </c>
      <c r="L57">
        <v>0</v>
      </c>
      <c r="M57">
        <v>1.2382274289707083E-6</v>
      </c>
      <c r="N57">
        <v>0</v>
      </c>
      <c r="O57" s="1">
        <v>6.8111188986749299E-13</v>
      </c>
      <c r="P57">
        <v>0</v>
      </c>
      <c r="Q57">
        <v>100</v>
      </c>
      <c r="AJ57">
        <v>1</v>
      </c>
    </row>
    <row r="58" spans="1:36" x14ac:dyDescent="0.2">
      <c r="A58">
        <v>71</v>
      </c>
      <c r="B58">
        <v>761</v>
      </c>
      <c r="C58">
        <v>200</v>
      </c>
      <c r="D58">
        <v>0.38538945027317301</v>
      </c>
      <c r="E58">
        <v>2.1278231028848098</v>
      </c>
      <c r="F58">
        <v>2.5414849045122199</v>
      </c>
      <c r="G58">
        <v>-34.776832030693654</v>
      </c>
      <c r="H58">
        <v>-30.434282783101636</v>
      </c>
      <c r="I58">
        <v>4.1991483320524203</v>
      </c>
      <c r="J58">
        <v>2.4671385183762</v>
      </c>
      <c r="K58">
        <v>0.83723617602725597</v>
      </c>
      <c r="L58">
        <v>0</v>
      </c>
      <c r="M58">
        <v>1.2382274289707083E-6</v>
      </c>
      <c r="N58">
        <v>0</v>
      </c>
      <c r="O58" s="1">
        <v>1.1896392609198299E-12</v>
      </c>
      <c r="P58">
        <v>0</v>
      </c>
      <c r="Q58">
        <v>100</v>
      </c>
      <c r="AJ58">
        <v>1</v>
      </c>
    </row>
    <row r="59" spans="1:36" x14ac:dyDescent="0.2">
      <c r="A59">
        <v>72</v>
      </c>
      <c r="B59">
        <v>760</v>
      </c>
      <c r="C59">
        <v>200</v>
      </c>
      <c r="D59">
        <v>0.38472680636887402</v>
      </c>
      <c r="E59">
        <v>3.04767048733114</v>
      </c>
      <c r="F59">
        <v>2.5414849045122199</v>
      </c>
      <c r="G59">
        <v>-49.804671495051423</v>
      </c>
      <c r="H59">
        <v>-43.594405883083056</v>
      </c>
      <c r="I59">
        <v>6.0110009311023198</v>
      </c>
      <c r="J59">
        <v>3.5332266222526498</v>
      </c>
      <c r="K59">
        <v>1.1991692265888401</v>
      </c>
      <c r="L59">
        <v>0</v>
      </c>
      <c r="M59">
        <v>1.2382274289707087E-6</v>
      </c>
      <c r="N59">
        <v>0</v>
      </c>
      <c r="O59" s="1">
        <v>1.7039144189948601E-12</v>
      </c>
      <c r="P59">
        <v>0</v>
      </c>
      <c r="Q59">
        <v>100</v>
      </c>
      <c r="AJ59">
        <v>1</v>
      </c>
    </row>
    <row r="60" spans="1:36" x14ac:dyDescent="0.2">
      <c r="A60">
        <v>73</v>
      </c>
      <c r="B60">
        <v>759</v>
      </c>
      <c r="C60">
        <v>200</v>
      </c>
      <c r="D60">
        <v>0.38406287845759102</v>
      </c>
      <c r="E60">
        <v>3.9829140840558201</v>
      </c>
      <c r="F60">
        <v>2.5414849045122199</v>
      </c>
      <c r="G60">
        <v>-65.080458627681409</v>
      </c>
      <c r="H60">
        <v>-56.976909266463416</v>
      </c>
      <c r="I60">
        <v>7.8511353594128703</v>
      </c>
      <c r="J60">
        <v>4.6168925671740499</v>
      </c>
      <c r="K60">
        <v>1.56716023651545</v>
      </c>
      <c r="L60">
        <v>0</v>
      </c>
      <c r="M60">
        <v>1.2382274289707087E-6</v>
      </c>
      <c r="N60">
        <v>0</v>
      </c>
      <c r="O60" s="1">
        <v>2.2267974066262699E-12</v>
      </c>
      <c r="P60">
        <v>0</v>
      </c>
      <c r="Q60">
        <v>100</v>
      </c>
      <c r="AJ60">
        <v>1</v>
      </c>
    </row>
    <row r="61" spans="1:36" x14ac:dyDescent="0.2">
      <c r="A61">
        <v>74</v>
      </c>
      <c r="B61">
        <v>758</v>
      </c>
      <c r="C61">
        <v>200</v>
      </c>
      <c r="D61">
        <v>0.383397662803666</v>
      </c>
      <c r="E61">
        <v>4.9408844571619204</v>
      </c>
      <c r="F61">
        <v>2.5414849045122199</v>
      </c>
      <c r="G61">
        <v>-80.723871822012555</v>
      </c>
      <c r="H61">
        <v>-70.68672071876108</v>
      </c>
      <c r="I61">
        <v>9.7339389063196204</v>
      </c>
      <c r="J61">
        <v>5.7266250578507103</v>
      </c>
      <c r="K61">
        <v>1.9440935684448599</v>
      </c>
      <c r="L61">
        <v>0</v>
      </c>
      <c r="M61">
        <v>1.2382274289707085E-6</v>
      </c>
      <c r="N61">
        <v>0</v>
      </c>
      <c r="O61" s="1">
        <v>2.7623866504407398E-12</v>
      </c>
      <c r="P61">
        <v>0</v>
      </c>
      <c r="Q61">
        <v>100</v>
      </c>
      <c r="AJ61">
        <v>1</v>
      </c>
    </row>
    <row r="62" spans="1:36" x14ac:dyDescent="0.2">
      <c r="A62">
        <v>75</v>
      </c>
      <c r="B62">
        <v>757</v>
      </c>
      <c r="C62">
        <v>200</v>
      </c>
      <c r="D62">
        <v>0.38273115565694399</v>
      </c>
      <c r="E62">
        <v>5.9325235377910603</v>
      </c>
      <c r="F62">
        <v>2.5414849045122199</v>
      </c>
      <c r="G62">
        <v>-96.91352701197188</v>
      </c>
      <c r="H62">
        <v>-84.880472170676441</v>
      </c>
      <c r="I62">
        <v>11.680876417313399</v>
      </c>
      <c r="J62">
        <v>6.8750936172670203</v>
      </c>
      <c r="K62">
        <v>2.3342745523525599</v>
      </c>
      <c r="L62">
        <v>0</v>
      </c>
      <c r="M62">
        <v>1.2382274289707087E-6</v>
      </c>
      <c r="N62">
        <v>0</v>
      </c>
      <c r="O62" s="1">
        <v>3.3167996471694198E-12</v>
      </c>
      <c r="P62">
        <v>0</v>
      </c>
      <c r="Q62">
        <v>100</v>
      </c>
      <c r="AJ62">
        <v>1</v>
      </c>
    </row>
    <row r="63" spans="1:36" x14ac:dyDescent="0.2">
      <c r="A63">
        <v>76</v>
      </c>
      <c r="B63">
        <v>756</v>
      </c>
      <c r="C63">
        <v>200</v>
      </c>
      <c r="D63">
        <v>0.38206335325268598</v>
      </c>
      <c r="E63">
        <v>6.9749893403292402</v>
      </c>
      <c r="F63">
        <v>2.5414849045122199</v>
      </c>
      <c r="G63">
        <v>-113.92948765055218</v>
      </c>
      <c r="H63">
        <v>-99.803790998666514</v>
      </c>
      <c r="I63">
        <v>13.725595541841001</v>
      </c>
      <c r="J63">
        <v>8.0821640875508898</v>
      </c>
      <c r="K63">
        <v>2.74445436521997</v>
      </c>
      <c r="L63">
        <v>0</v>
      </c>
      <c r="M63">
        <v>1.2382274289707083E-6</v>
      </c>
      <c r="N63">
        <v>0</v>
      </c>
      <c r="O63" s="1">
        <v>3.8996292278729897E-12</v>
      </c>
      <c r="P63">
        <v>0</v>
      </c>
      <c r="Q63">
        <v>100</v>
      </c>
      <c r="AJ63">
        <v>1</v>
      </c>
    </row>
    <row r="64" spans="1:36" x14ac:dyDescent="0.2">
      <c r="A64">
        <v>77</v>
      </c>
      <c r="B64">
        <v>755</v>
      </c>
      <c r="C64">
        <v>200</v>
      </c>
      <c r="D64">
        <v>0.38139425181150599</v>
      </c>
      <c r="E64">
        <v>8.0969296412515401</v>
      </c>
      <c r="F64">
        <v>2.5414849045122199</v>
      </c>
      <c r="G64">
        <v>-132.23933359415901</v>
      </c>
      <c r="H64">
        <v>-115.86680219475565</v>
      </c>
      <c r="I64">
        <v>15.9242633851124</v>
      </c>
      <c r="J64">
        <v>9.3810040412160305</v>
      </c>
      <c r="K64">
        <v>3.1859050694639302</v>
      </c>
      <c r="L64">
        <v>0</v>
      </c>
      <c r="M64">
        <v>1.2382274289707083E-6</v>
      </c>
      <c r="N64">
        <v>0</v>
      </c>
      <c r="O64" s="1">
        <v>4.52689200576832E-12</v>
      </c>
      <c r="P64">
        <v>0</v>
      </c>
      <c r="Q64">
        <v>100</v>
      </c>
      <c r="AJ64">
        <v>1</v>
      </c>
    </row>
    <row r="65" spans="1:36" x14ac:dyDescent="0.2">
      <c r="A65">
        <v>78</v>
      </c>
      <c r="B65">
        <v>754</v>
      </c>
      <c r="C65">
        <v>200</v>
      </c>
      <c r="D65">
        <v>0.38072384753930699</v>
      </c>
      <c r="E65">
        <v>9.3501760583339202</v>
      </c>
      <c r="F65">
        <v>2.5414849045122199</v>
      </c>
      <c r="G65">
        <v>-152.68901345585411</v>
      </c>
      <c r="H65">
        <v>-133.81155034076906</v>
      </c>
      <c r="I65">
        <v>18.378487187932599</v>
      </c>
      <c r="J65">
        <v>10.8316211466915</v>
      </c>
      <c r="K65">
        <v>3.6790208911858402</v>
      </c>
      <c r="L65">
        <v>0</v>
      </c>
      <c r="M65">
        <v>1.2382274289707085E-6</v>
      </c>
      <c r="N65">
        <v>0</v>
      </c>
      <c r="O65" s="1">
        <v>5.2275663895302902E-12</v>
      </c>
      <c r="P65">
        <v>0</v>
      </c>
      <c r="Q65">
        <v>100</v>
      </c>
      <c r="AJ65">
        <v>1</v>
      </c>
    </row>
    <row r="66" spans="1:36" x14ac:dyDescent="0.2">
      <c r="A66">
        <v>79</v>
      </c>
      <c r="B66">
        <v>753</v>
      </c>
      <c r="C66">
        <v>200</v>
      </c>
      <c r="D66">
        <v>0.380052136627202</v>
      </c>
      <c r="E66">
        <v>10.837492357194099</v>
      </c>
      <c r="F66">
        <v>2.5414849045122199</v>
      </c>
      <c r="G66">
        <v>-176.95569436092831</v>
      </c>
      <c r="H66">
        <v>-155.10927550455145</v>
      </c>
      <c r="I66">
        <v>21.2896933746302</v>
      </c>
      <c r="J66">
        <v>12.552986599898301</v>
      </c>
      <c r="K66">
        <v>4.2642363674688504</v>
      </c>
      <c r="L66">
        <v>0</v>
      </c>
      <c r="M66">
        <v>1.2382274289707087E-6</v>
      </c>
      <c r="N66">
        <v>0</v>
      </c>
      <c r="O66" s="1">
        <v>6.0591063141279903E-12</v>
      </c>
      <c r="P66">
        <v>0</v>
      </c>
      <c r="Q66">
        <v>100</v>
      </c>
      <c r="AJ66">
        <v>1</v>
      </c>
    </row>
    <row r="67" spans="1:36" x14ac:dyDescent="0.2">
      <c r="A67">
        <v>80</v>
      </c>
      <c r="B67">
        <v>752</v>
      </c>
      <c r="C67">
        <v>200</v>
      </c>
      <c r="D67">
        <v>0.37937911525142798</v>
      </c>
      <c r="E67">
        <v>19.337762839815401</v>
      </c>
      <c r="F67">
        <v>2.5414849045122199</v>
      </c>
      <c r="G67">
        <v>-315.71101147836458</v>
      </c>
      <c r="H67">
        <v>-276.78996360573473</v>
      </c>
      <c r="I67">
        <v>37.966197993103201</v>
      </c>
      <c r="J67">
        <v>22.3959222374028</v>
      </c>
      <c r="K67">
        <v>7.6088442648164802</v>
      </c>
      <c r="L67">
        <v>0</v>
      </c>
      <c r="M67">
        <v>1.2382274289707085E-6</v>
      </c>
      <c r="N67">
        <v>0</v>
      </c>
      <c r="O67" s="1">
        <v>1.08115011353208E-11</v>
      </c>
      <c r="P67">
        <v>0</v>
      </c>
      <c r="Q67">
        <v>100</v>
      </c>
      <c r="AJ67">
        <v>1</v>
      </c>
    </row>
    <row r="68" spans="1:36" x14ac:dyDescent="0.2">
      <c r="A68">
        <v>81</v>
      </c>
      <c r="B68">
        <v>751</v>
      </c>
      <c r="C68">
        <v>200</v>
      </c>
      <c r="D68">
        <v>0.378704779573308</v>
      </c>
      <c r="E68">
        <v>25.482128054487902</v>
      </c>
      <c r="F68">
        <v>2.5414849045122199</v>
      </c>
      <c r="G68">
        <v>-415.97475924404529</v>
      </c>
      <c r="H68">
        <v>-364.76649416099798</v>
      </c>
      <c r="I68">
        <v>50.000747041983402</v>
      </c>
      <c r="J68">
        <v>29.5082019393416</v>
      </c>
      <c r="K68">
        <v>10.026472323028999</v>
      </c>
      <c r="L68">
        <v>0</v>
      </c>
      <c r="M68">
        <v>1.2382274289707083E-6</v>
      </c>
      <c r="N68">
        <v>0</v>
      </c>
      <c r="O68" s="1">
        <v>1.42467388122191E-11</v>
      </c>
      <c r="P68">
        <v>0</v>
      </c>
      <c r="Q68">
        <v>100</v>
      </c>
      <c r="AJ68">
        <v>1</v>
      </c>
    </row>
    <row r="69" spans="1:36" x14ac:dyDescent="0.2">
      <c r="A69">
        <v>82</v>
      </c>
      <c r="B69">
        <v>750</v>
      </c>
      <c r="C69">
        <v>200</v>
      </c>
      <c r="D69">
        <v>0.37802912573913899</v>
      </c>
      <c r="E69">
        <v>28.051232382489399</v>
      </c>
      <c r="F69">
        <v>2.5414849045122199</v>
      </c>
      <c r="G69">
        <v>-457.85824612089743</v>
      </c>
      <c r="H69">
        <v>-401.5746785140887</v>
      </c>
      <c r="I69">
        <v>55.010084158538497</v>
      </c>
      <c r="J69">
        <v>32.4790413556997</v>
      </c>
      <c r="K69">
        <v>11.037339758613699</v>
      </c>
      <c r="L69">
        <v>0</v>
      </c>
      <c r="M69">
        <v>1.2382274289707085E-6</v>
      </c>
      <c r="N69">
        <v>0</v>
      </c>
      <c r="O69" s="1">
        <v>1.5683092882181999E-11</v>
      </c>
      <c r="P69">
        <v>0</v>
      </c>
      <c r="Q69">
        <v>100</v>
      </c>
      <c r="AJ69">
        <v>1</v>
      </c>
    </row>
    <row r="70" spans="1:36" x14ac:dyDescent="0.2">
      <c r="A70">
        <v>83</v>
      </c>
      <c r="B70">
        <v>749</v>
      </c>
      <c r="C70">
        <v>200</v>
      </c>
      <c r="D70">
        <v>0.37735214988015597</v>
      </c>
      <c r="E70">
        <v>29.402431210131098</v>
      </c>
      <c r="F70">
        <v>2.5414849045122199</v>
      </c>
      <c r="G70">
        <v>-479.85516067943087</v>
      </c>
      <c r="H70">
        <v>-420.95215643467895</v>
      </c>
      <c r="I70">
        <v>57.6265755953157</v>
      </c>
      <c r="J70">
        <v>34.039139506808802</v>
      </c>
      <c r="K70">
        <v>11.5689969898814</v>
      </c>
      <c r="L70">
        <v>0</v>
      </c>
      <c r="M70">
        <v>1.2382274289707085E-6</v>
      </c>
      <c r="N70">
        <v>0</v>
      </c>
      <c r="O70" s="1">
        <v>1.6438531232528001E-11</v>
      </c>
      <c r="P70">
        <v>0</v>
      </c>
      <c r="Q70">
        <v>100</v>
      </c>
      <c r="AJ70">
        <v>1</v>
      </c>
    </row>
    <row r="71" spans="1:36" x14ac:dyDescent="0.2">
      <c r="A71">
        <v>84</v>
      </c>
      <c r="B71">
        <v>748</v>
      </c>
      <c r="C71">
        <v>200</v>
      </c>
      <c r="D71">
        <v>0.37667384811242399</v>
      </c>
      <c r="E71">
        <v>30.3976607808954</v>
      </c>
      <c r="F71">
        <v>2.5414849045122199</v>
      </c>
      <c r="G71">
        <v>-496.0380006419494</v>
      </c>
      <c r="H71">
        <v>-435.23596427449661</v>
      </c>
      <c r="I71">
        <v>59.542708091321401</v>
      </c>
      <c r="J71">
        <v>35.186772966242998</v>
      </c>
      <c r="K71">
        <v>11.9605907266758</v>
      </c>
      <c r="L71">
        <v>0</v>
      </c>
      <c r="M71">
        <v>1.2382274289707085E-6</v>
      </c>
      <c r="N71">
        <v>0</v>
      </c>
      <c r="O71" s="1">
        <v>1.6994951627345799E-11</v>
      </c>
      <c r="P71">
        <v>0</v>
      </c>
      <c r="Q71">
        <v>100</v>
      </c>
      <c r="AJ71">
        <v>1</v>
      </c>
    </row>
    <row r="72" spans="1:36" x14ac:dyDescent="0.2">
      <c r="A72">
        <v>96</v>
      </c>
      <c r="B72">
        <v>769</v>
      </c>
      <c r="C72">
        <v>175</v>
      </c>
      <c r="D72">
        <v>0.41703257688433099</v>
      </c>
      <c r="E72">
        <v>0.28207706856110598</v>
      </c>
      <c r="F72">
        <v>2.5406983011149902</v>
      </c>
      <c r="G72">
        <v>-4.6174652467163098</v>
      </c>
      <c r="H72">
        <v>-4.0347095297005398</v>
      </c>
      <c r="I72">
        <v>0.55918602601906597</v>
      </c>
      <c r="J72">
        <v>0.32738410232405102</v>
      </c>
      <c r="K72">
        <v>0.11102344124735899</v>
      </c>
      <c r="L72">
        <v>0</v>
      </c>
      <c r="M72">
        <v>1.2381993090025822E-6</v>
      </c>
      <c r="N72">
        <v>0</v>
      </c>
      <c r="O72" s="1">
        <v>1.5770575801649899E-13</v>
      </c>
      <c r="P72">
        <v>0</v>
      </c>
      <c r="Q72">
        <v>100</v>
      </c>
      <c r="AJ72">
        <v>1</v>
      </c>
    </row>
    <row r="73" spans="1:36" x14ac:dyDescent="0.2">
      <c r="A73">
        <v>97</v>
      </c>
      <c r="B73">
        <v>768</v>
      </c>
      <c r="C73">
        <v>175</v>
      </c>
      <c r="D73">
        <v>0.416405417086878</v>
      </c>
      <c r="E73">
        <v>1.1907621872629299</v>
      </c>
      <c r="F73">
        <v>2.5406983011149902</v>
      </c>
      <c r="G73">
        <v>-19.489841461930375</v>
      </c>
      <c r="H73">
        <v>-17.03353406802573</v>
      </c>
      <c r="I73">
        <v>2.3592252738843</v>
      </c>
      <c r="J73">
        <v>1.3818512447572</v>
      </c>
      <c r="K73">
        <v>0.46867516176177398</v>
      </c>
      <c r="L73">
        <v>0</v>
      </c>
      <c r="M73">
        <v>1.2381993090025822E-6</v>
      </c>
      <c r="N73">
        <v>0</v>
      </c>
      <c r="O73" s="1">
        <v>6.6574023304203801E-13</v>
      </c>
      <c r="P73">
        <v>0</v>
      </c>
      <c r="Q73">
        <v>100</v>
      </c>
      <c r="AJ73">
        <v>1</v>
      </c>
    </row>
    <row r="74" spans="1:36" x14ac:dyDescent="0.2">
      <c r="A74">
        <v>98</v>
      </c>
      <c r="B74">
        <v>767</v>
      </c>
      <c r="C74">
        <v>175</v>
      </c>
      <c r="D74">
        <v>0.41577705138682203</v>
      </c>
      <c r="E74">
        <v>2.1052223485842099</v>
      </c>
      <c r="F74">
        <v>2.5406983011149902</v>
      </c>
      <c r="G74">
        <v>-34.453130069573611</v>
      </c>
      <c r="H74">
        <v>-30.117084589547495</v>
      </c>
      <c r="I74">
        <v>4.1686732490757201</v>
      </c>
      <c r="J74">
        <v>2.44275867017434</v>
      </c>
      <c r="K74">
        <v>0.82859989620189201</v>
      </c>
      <c r="L74">
        <v>0</v>
      </c>
      <c r="M74">
        <v>1.238199309002582E-6</v>
      </c>
      <c r="N74">
        <v>0</v>
      </c>
      <c r="O74" s="1">
        <v>1.17700346210463E-12</v>
      </c>
      <c r="P74">
        <v>0</v>
      </c>
      <c r="Q74">
        <v>100</v>
      </c>
      <c r="AJ74">
        <v>1</v>
      </c>
    </row>
    <row r="75" spans="1:36" x14ac:dyDescent="0.2">
      <c r="A75">
        <v>99</v>
      </c>
      <c r="B75">
        <v>766</v>
      </c>
      <c r="C75">
        <v>175</v>
      </c>
      <c r="D75">
        <v>0.41514747630275201</v>
      </c>
      <c r="E75">
        <v>3.0290821028505102</v>
      </c>
      <c r="F75">
        <v>2.5406983011149902</v>
      </c>
      <c r="G75">
        <v>-49.566610413106766</v>
      </c>
      <c r="H75">
        <v>-43.337237437239587</v>
      </c>
      <c r="I75">
        <v>5.99468120662769</v>
      </c>
      <c r="J75">
        <v>3.51430821325572</v>
      </c>
      <c r="K75">
        <v>1.19222424068264</v>
      </c>
      <c r="L75">
        <v>0</v>
      </c>
      <c r="M75">
        <v>1.238199309002582E-6</v>
      </c>
      <c r="N75">
        <v>0</v>
      </c>
      <c r="O75" s="1">
        <v>1.6935218859194999E-12</v>
      </c>
      <c r="P75">
        <v>0</v>
      </c>
      <c r="Q75">
        <v>100</v>
      </c>
      <c r="AJ75">
        <v>1</v>
      </c>
    </row>
    <row r="76" spans="1:36" x14ac:dyDescent="0.2">
      <c r="A76">
        <v>100</v>
      </c>
      <c r="B76">
        <v>765</v>
      </c>
      <c r="C76">
        <v>175</v>
      </c>
      <c r="D76">
        <v>0.41451668833983701</v>
      </c>
      <c r="E76">
        <v>3.9673308953948001</v>
      </c>
      <c r="F76">
        <v>2.5406983011149902</v>
      </c>
      <c r="G76">
        <v>-64.911865054226084</v>
      </c>
      <c r="H76">
        <v>-56.765414975892519</v>
      </c>
      <c r="I76">
        <v>7.8470838302110097</v>
      </c>
      <c r="J76">
        <v>4.6022829463115098</v>
      </c>
      <c r="K76">
        <v>1.5615120038667001</v>
      </c>
      <c r="L76">
        <v>0</v>
      </c>
      <c r="M76">
        <v>1.238199309002582E-6</v>
      </c>
      <c r="N76">
        <v>0</v>
      </c>
      <c r="O76" s="1">
        <v>2.2180850409148898E-12</v>
      </c>
      <c r="P76">
        <v>0</v>
      </c>
      <c r="Q76">
        <v>100</v>
      </c>
      <c r="AJ76">
        <v>1</v>
      </c>
    </row>
    <row r="77" spans="1:36" x14ac:dyDescent="0.2">
      <c r="A77">
        <v>101</v>
      </c>
      <c r="B77">
        <v>764</v>
      </c>
      <c r="C77">
        <v>175</v>
      </c>
      <c r="D77">
        <v>0.41388468398978101</v>
      </c>
      <c r="E77">
        <v>4.9270306204512497</v>
      </c>
      <c r="F77">
        <v>2.5406983011149902</v>
      </c>
      <c r="G77">
        <v>-80.604341630758739</v>
      </c>
      <c r="H77">
        <v>-70.50271815554585</v>
      </c>
      <c r="I77">
        <v>9.7397902668012204</v>
      </c>
      <c r="J77">
        <v>5.7148668753979601</v>
      </c>
      <c r="K77">
        <v>1.9392426949272099</v>
      </c>
      <c r="L77">
        <v>0</v>
      </c>
      <c r="M77">
        <v>1.238199309002582E-6</v>
      </c>
      <c r="N77">
        <v>0</v>
      </c>
      <c r="O77" s="1">
        <v>2.7546411437569201E-12</v>
      </c>
      <c r="P77">
        <v>0</v>
      </c>
      <c r="Q77">
        <v>100</v>
      </c>
      <c r="AJ77">
        <v>1</v>
      </c>
    </row>
    <row r="78" spans="1:36" x14ac:dyDescent="0.2">
      <c r="A78">
        <v>102</v>
      </c>
      <c r="B78">
        <v>763</v>
      </c>
      <c r="C78">
        <v>175</v>
      </c>
      <c r="D78">
        <v>0.41325145973073701</v>
      </c>
      <c r="E78">
        <v>5.9185016307560598</v>
      </c>
      <c r="F78">
        <v>2.5406983011149902</v>
      </c>
      <c r="G78">
        <v>-96.812732755032712</v>
      </c>
      <c r="H78">
        <v>-84.696910951813791</v>
      </c>
      <c r="I78">
        <v>11.6931156716874</v>
      </c>
      <c r="J78">
        <v>6.8640189079522802</v>
      </c>
      <c r="K78">
        <v>2.3294783281268301</v>
      </c>
      <c r="L78">
        <v>0</v>
      </c>
      <c r="M78">
        <v>1.238199309002582E-6</v>
      </c>
      <c r="N78">
        <v>0</v>
      </c>
      <c r="O78" s="1">
        <v>3.3089601744711498E-12</v>
      </c>
      <c r="P78">
        <v>0</v>
      </c>
      <c r="Q78">
        <v>100</v>
      </c>
      <c r="AJ78">
        <v>1</v>
      </c>
    </row>
    <row r="79" spans="1:36" x14ac:dyDescent="0.2">
      <c r="A79">
        <v>103</v>
      </c>
      <c r="B79">
        <v>762</v>
      </c>
      <c r="C79">
        <v>175</v>
      </c>
      <c r="D79">
        <v>0.41261701202724399</v>
      </c>
      <c r="E79">
        <v>6.9574263512623196</v>
      </c>
      <c r="F79">
        <v>2.5406983011149902</v>
      </c>
      <c r="G79">
        <v>-113.79334991951026</v>
      </c>
      <c r="H79">
        <v>-99.572545521838649</v>
      </c>
      <c r="I79">
        <v>13.7379166281907</v>
      </c>
      <c r="J79">
        <v>8.0679098432488008</v>
      </c>
      <c r="K79">
        <v>2.7383913895675902</v>
      </c>
      <c r="L79">
        <v>0</v>
      </c>
      <c r="M79">
        <v>1.238199309002582E-6</v>
      </c>
      <c r="N79">
        <v>0</v>
      </c>
      <c r="O79" s="1">
        <v>3.88980998053763E-12</v>
      </c>
      <c r="P79">
        <v>0</v>
      </c>
      <c r="Q79">
        <v>100</v>
      </c>
      <c r="AJ79">
        <v>1</v>
      </c>
    </row>
    <row r="80" spans="1:36" x14ac:dyDescent="0.2">
      <c r="A80">
        <v>104</v>
      </c>
      <c r="B80">
        <v>761</v>
      </c>
      <c r="C80">
        <v>175</v>
      </c>
      <c r="D80">
        <v>0.411981337330175</v>
      </c>
      <c r="E80">
        <v>8.0688091126298502</v>
      </c>
      <c r="F80">
        <v>2.5406983011149902</v>
      </c>
      <c r="G80">
        <v>-131.95482859068278</v>
      </c>
      <c r="H80">
        <v>-115.48766978715734</v>
      </c>
      <c r="I80">
        <v>15.923375529203099</v>
      </c>
      <c r="J80">
        <v>9.3555097377245104</v>
      </c>
      <c r="K80">
        <v>3.1758233982715698</v>
      </c>
      <c r="L80">
        <v>0</v>
      </c>
      <c r="M80">
        <v>1.238199309002582E-6</v>
      </c>
      <c r="N80">
        <v>0</v>
      </c>
      <c r="O80" s="1">
        <v>4.5111701702262399E-12</v>
      </c>
      <c r="P80">
        <v>0</v>
      </c>
      <c r="Q80">
        <v>100</v>
      </c>
      <c r="AJ80">
        <v>1</v>
      </c>
    </row>
    <row r="81" spans="1:36" x14ac:dyDescent="0.2">
      <c r="A81">
        <v>105</v>
      </c>
      <c r="B81">
        <v>760</v>
      </c>
      <c r="C81">
        <v>175</v>
      </c>
      <c r="D81">
        <v>0.41134443207665999</v>
      </c>
      <c r="E81">
        <v>9.2948276396379903</v>
      </c>
      <c r="F81">
        <v>2.5406983011149902</v>
      </c>
      <c r="G81">
        <v>-151.98642177229974</v>
      </c>
      <c r="H81">
        <v>-133.04626774332351</v>
      </c>
      <c r="I81">
        <v>18.332433846949801</v>
      </c>
      <c r="J81">
        <v>10.7756834612318</v>
      </c>
      <c r="K81">
        <v>3.6583751937642099</v>
      </c>
      <c r="L81">
        <v>0</v>
      </c>
      <c r="M81">
        <v>1.238199309002582E-6</v>
      </c>
      <c r="N81">
        <v>0</v>
      </c>
      <c r="O81" s="1">
        <v>5.1966217814840503E-12</v>
      </c>
      <c r="P81">
        <v>0</v>
      </c>
      <c r="Q81">
        <v>100</v>
      </c>
      <c r="AJ81">
        <v>1</v>
      </c>
    </row>
    <row r="82" spans="1:36" x14ac:dyDescent="0.2">
      <c r="A82">
        <v>106</v>
      </c>
      <c r="B82">
        <v>759</v>
      </c>
      <c r="C82">
        <v>175</v>
      </c>
      <c r="D82">
        <v>0.41070629269001901</v>
      </c>
      <c r="E82">
        <v>10.7103245977355</v>
      </c>
      <c r="F82">
        <v>2.5406983011149902</v>
      </c>
      <c r="G82">
        <v>-175.1111138673626</v>
      </c>
      <c r="H82">
        <v>-153.32012309508957</v>
      </c>
      <c r="I82">
        <v>21.112232497478999</v>
      </c>
      <c r="J82">
        <v>12.4151354972118</v>
      </c>
      <c r="K82">
        <v>4.21550429385307</v>
      </c>
      <c r="L82">
        <v>0</v>
      </c>
      <c r="M82">
        <v>1.2381993090025822E-6</v>
      </c>
      <c r="N82">
        <v>0</v>
      </c>
      <c r="O82" s="1">
        <v>5.9880084116895403E-12</v>
      </c>
      <c r="P82">
        <v>0</v>
      </c>
      <c r="Q82">
        <v>100</v>
      </c>
      <c r="AJ82">
        <v>1</v>
      </c>
    </row>
    <row r="83" spans="1:36" x14ac:dyDescent="0.2">
      <c r="A83">
        <v>107</v>
      </c>
      <c r="B83">
        <v>758</v>
      </c>
      <c r="C83">
        <v>175</v>
      </c>
      <c r="D83">
        <v>0.41006691557969399</v>
      </c>
      <c r="E83">
        <v>12.6272512470614</v>
      </c>
      <c r="F83">
        <v>2.5406983011149902</v>
      </c>
      <c r="G83">
        <v>-206.42749874486509</v>
      </c>
      <c r="H83">
        <v>-180.77589124739328</v>
      </c>
      <c r="I83">
        <v>24.8766983440544</v>
      </c>
      <c r="J83">
        <v>14.6353419170492</v>
      </c>
      <c r="K83">
        <v>4.9699923999319102</v>
      </c>
      <c r="L83">
        <v>0</v>
      </c>
      <c r="M83">
        <v>1.238199309002582E-6</v>
      </c>
      <c r="N83">
        <v>0</v>
      </c>
      <c r="O83" s="1">
        <v>7.0597381054079397E-12</v>
      </c>
      <c r="P83">
        <v>0</v>
      </c>
      <c r="Q83">
        <v>100</v>
      </c>
      <c r="AJ83">
        <v>1</v>
      </c>
    </row>
    <row r="84" spans="1:36" x14ac:dyDescent="0.2">
      <c r="A84">
        <v>108</v>
      </c>
      <c r="B84">
        <v>757</v>
      </c>
      <c r="C84">
        <v>175</v>
      </c>
      <c r="D84">
        <v>0.40942629714119499</v>
      </c>
      <c r="E84">
        <v>23.3866596714787</v>
      </c>
      <c r="F84">
        <v>2.5406983011149902</v>
      </c>
      <c r="G84">
        <v>-382.27385744295606</v>
      </c>
      <c r="H84">
        <v>-334.83823302630213</v>
      </c>
      <c r="I84">
        <v>46.047298370775003</v>
      </c>
      <c r="J84">
        <v>27.102374497522302</v>
      </c>
      <c r="K84">
        <v>9.2048157237777399</v>
      </c>
      <c r="L84">
        <v>0</v>
      </c>
      <c r="M84">
        <v>1.238199309002582E-6</v>
      </c>
      <c r="N84">
        <v>0</v>
      </c>
      <c r="O84" s="1">
        <v>1.30751886701682E-11</v>
      </c>
      <c r="P84">
        <v>0</v>
      </c>
      <c r="Q84">
        <v>100</v>
      </c>
      <c r="AJ84">
        <v>1</v>
      </c>
    </row>
    <row r="85" spans="1:36" x14ac:dyDescent="0.2">
      <c r="A85">
        <v>109</v>
      </c>
      <c r="B85">
        <v>756</v>
      </c>
      <c r="C85">
        <v>175</v>
      </c>
      <c r="D85">
        <v>0.40878443375601398</v>
      </c>
      <c r="E85">
        <v>26.848022579774302</v>
      </c>
      <c r="F85">
        <v>2.5406983011149902</v>
      </c>
      <c r="G85">
        <v>-438.79978478364899</v>
      </c>
      <c r="H85">
        <v>-384.4273686894665</v>
      </c>
      <c r="I85">
        <v>52.832353004112498</v>
      </c>
      <c r="J85">
        <v>31.1097427291214</v>
      </c>
      <c r="K85">
        <v>10.567182482072701</v>
      </c>
      <c r="L85">
        <v>0</v>
      </c>
      <c r="M85">
        <v>1.2381993090025822E-6</v>
      </c>
      <c r="N85">
        <v>0</v>
      </c>
      <c r="O85" s="1">
        <v>1.50103933431588E-11</v>
      </c>
      <c r="P85">
        <v>0</v>
      </c>
      <c r="Q85">
        <v>100</v>
      </c>
      <c r="AJ85">
        <v>1</v>
      </c>
    </row>
    <row r="86" spans="1:36" x14ac:dyDescent="0.2">
      <c r="A86">
        <v>110</v>
      </c>
      <c r="B86">
        <v>755</v>
      </c>
      <c r="C86">
        <v>175</v>
      </c>
      <c r="D86">
        <v>0.40814132179156798</v>
      </c>
      <c r="E86">
        <v>28.638279014172099</v>
      </c>
      <c r="F86">
        <v>2.5406983011149902</v>
      </c>
      <c r="G86">
        <v>-468.00311032073438</v>
      </c>
      <c r="H86">
        <v>-410.09460139710586</v>
      </c>
      <c r="I86">
        <v>56.323016022592498</v>
      </c>
      <c r="J86">
        <v>33.179961178950599</v>
      </c>
      <c r="K86">
        <v>11.271814131415701</v>
      </c>
      <c r="L86">
        <v>0</v>
      </c>
      <c r="M86">
        <v>1.238199309002582E-6</v>
      </c>
      <c r="N86">
        <v>0</v>
      </c>
      <c r="O86" s="1">
        <v>1.6011303305357501E-11</v>
      </c>
      <c r="P86">
        <v>0</v>
      </c>
      <c r="Q86">
        <v>100</v>
      </c>
      <c r="AJ86">
        <v>1</v>
      </c>
    </row>
    <row r="87" spans="1:36" x14ac:dyDescent="0.2">
      <c r="A87">
        <v>111</v>
      </c>
      <c r="B87">
        <v>754</v>
      </c>
      <c r="C87">
        <v>175</v>
      </c>
      <c r="D87">
        <v>0.40749695760112897</v>
      </c>
      <c r="E87">
        <v>29.695289045205499</v>
      </c>
      <c r="F87">
        <v>2.5406983011149902</v>
      </c>
      <c r="G87">
        <v>-485.21824859668686</v>
      </c>
      <c r="H87">
        <v>-425.26518245703778</v>
      </c>
      <c r="I87">
        <v>58.368365029108702</v>
      </c>
      <c r="J87">
        <v>34.400220784343198</v>
      </c>
      <c r="K87">
        <v>11.687845436891701</v>
      </c>
      <c r="L87">
        <v>0</v>
      </c>
      <c r="M87">
        <v>1.238199309002582E-6</v>
      </c>
      <c r="N87">
        <v>0</v>
      </c>
      <c r="O87" s="1">
        <v>1.6602264382149398E-11</v>
      </c>
      <c r="P87">
        <v>0</v>
      </c>
      <c r="Q87">
        <v>100</v>
      </c>
      <c r="AJ87">
        <v>1</v>
      </c>
    </row>
    <row r="88" spans="1:36" x14ac:dyDescent="0.2">
      <c r="A88">
        <v>112</v>
      </c>
      <c r="B88">
        <v>753</v>
      </c>
      <c r="C88">
        <v>175</v>
      </c>
      <c r="D88">
        <v>0.40685133752375702</v>
      </c>
      <c r="E88">
        <v>30.530232816806802</v>
      </c>
      <c r="F88">
        <v>2.5406983011149902</v>
      </c>
      <c r="G88">
        <v>-498.80115952686765</v>
      </c>
      <c r="H88">
        <v>-437.25774783016521</v>
      </c>
      <c r="I88">
        <v>59.975063778884603</v>
      </c>
      <c r="J88">
        <v>35.3629410577391</v>
      </c>
      <c r="K88">
        <v>12.016473110328899</v>
      </c>
      <c r="L88">
        <v>0</v>
      </c>
      <c r="M88">
        <v>1.2381993090025822E-6</v>
      </c>
      <c r="N88">
        <v>0</v>
      </c>
      <c r="O88" s="1">
        <v>1.7069070993098699E-11</v>
      </c>
      <c r="P88">
        <v>0</v>
      </c>
      <c r="Q88">
        <v>100</v>
      </c>
      <c r="AJ88">
        <v>1</v>
      </c>
    </row>
    <row r="89" spans="1:36" x14ac:dyDescent="0.2">
      <c r="A89">
        <v>129</v>
      </c>
      <c r="B89">
        <v>776</v>
      </c>
      <c r="C89">
        <v>150</v>
      </c>
      <c r="D89">
        <v>0.447600915026452</v>
      </c>
      <c r="E89">
        <v>0.63595496811974495</v>
      </c>
      <c r="F89">
        <v>2.53991195906073</v>
      </c>
      <c r="G89">
        <v>-10.425376315580213</v>
      </c>
      <c r="H89">
        <v>-9.0975171022226728</v>
      </c>
      <c r="I89">
        <v>1.2656523979960299</v>
      </c>
      <c r="J89">
        <v>0.73873320851097302</v>
      </c>
      <c r="K89">
        <v>0.25038465048013803</v>
      </c>
      <c r="L89">
        <v>0</v>
      </c>
      <c r="M89">
        <v>1.2381710965453893E-6</v>
      </c>
      <c r="N89">
        <v>0</v>
      </c>
      <c r="O89" s="1">
        <v>3.55554461847211E-13</v>
      </c>
      <c r="P89">
        <v>0</v>
      </c>
      <c r="Q89">
        <v>100</v>
      </c>
      <c r="AJ89">
        <v>1</v>
      </c>
    </row>
    <row r="90" spans="1:36" x14ac:dyDescent="0.2">
      <c r="A90">
        <v>130</v>
      </c>
      <c r="B90">
        <v>775</v>
      </c>
      <c r="C90">
        <v>150</v>
      </c>
      <c r="D90">
        <v>0.44700710776129698</v>
      </c>
      <c r="E90">
        <v>1.5434321244554301</v>
      </c>
      <c r="F90">
        <v>2.53991195906073</v>
      </c>
      <c r="G90">
        <v>-25.298816137151654</v>
      </c>
      <c r="H90">
        <v>-22.081029267336064</v>
      </c>
      <c r="I90">
        <v>3.06996791472173</v>
      </c>
      <c r="J90">
        <v>1.7926523983506999</v>
      </c>
      <c r="K90">
        <v>0.60767150567935602</v>
      </c>
      <c r="L90">
        <v>0</v>
      </c>
      <c r="M90">
        <v>1.2381710965453893E-6</v>
      </c>
      <c r="N90">
        <v>0</v>
      </c>
      <c r="O90" s="1">
        <v>8.6291358023500996E-13</v>
      </c>
      <c r="P90">
        <v>0</v>
      </c>
      <c r="Q90">
        <v>100</v>
      </c>
      <c r="AJ90">
        <v>1</v>
      </c>
    </row>
    <row r="91" spans="1:36" x14ac:dyDescent="0.2">
      <c r="A91">
        <v>131</v>
      </c>
      <c r="B91">
        <v>774</v>
      </c>
      <c r="C91">
        <v>150</v>
      </c>
      <c r="D91">
        <v>0.44641216635630598</v>
      </c>
      <c r="E91">
        <v>2.4567677106919099</v>
      </c>
      <c r="F91">
        <v>2.53991195906073</v>
      </c>
      <c r="G91">
        <v>-40.264663099361471</v>
      </c>
      <c r="H91">
        <v>-35.150469350744963</v>
      </c>
      <c r="I91">
        <v>4.8839170592718304</v>
      </c>
      <c r="J91">
        <v>2.8531185755970001</v>
      </c>
      <c r="K91">
        <v>0.96726490929254005</v>
      </c>
      <c r="L91">
        <v>0</v>
      </c>
      <c r="M91">
        <v>1.2381710965453891E-6</v>
      </c>
      <c r="N91">
        <v>0</v>
      </c>
      <c r="O91" s="1">
        <v>1.37354807344502E-12</v>
      </c>
      <c r="P91">
        <v>0</v>
      </c>
      <c r="Q91">
        <v>100</v>
      </c>
      <c r="AJ91">
        <v>1</v>
      </c>
    </row>
    <row r="92" spans="1:36" x14ac:dyDescent="0.2">
      <c r="A92">
        <v>132</v>
      </c>
      <c r="B92">
        <v>773</v>
      </c>
      <c r="C92">
        <v>150</v>
      </c>
      <c r="D92">
        <v>0.44581608755914398</v>
      </c>
      <c r="E92">
        <v>3.3798471444179499</v>
      </c>
      <c r="F92">
        <v>2.53991195906073</v>
      </c>
      <c r="G92">
        <v>-55.386556782615045</v>
      </c>
      <c r="H92">
        <v>-48.361452920482726</v>
      </c>
      <c r="I92">
        <v>6.7151974976172797</v>
      </c>
      <c r="J92">
        <v>3.9246401345523001</v>
      </c>
      <c r="K92">
        <v>1.3306946063074601</v>
      </c>
      <c r="L92">
        <v>0</v>
      </c>
      <c r="M92">
        <v>1.2381710965453893E-6</v>
      </c>
      <c r="N92">
        <v>0</v>
      </c>
      <c r="O92" s="1">
        <v>1.88963022981382E-12</v>
      </c>
      <c r="P92">
        <v>0</v>
      </c>
      <c r="Q92">
        <v>100</v>
      </c>
      <c r="AJ92">
        <v>1</v>
      </c>
    </row>
    <row r="93" spans="1:36" x14ac:dyDescent="0.2">
      <c r="A93">
        <v>133</v>
      </c>
      <c r="B93">
        <v>772</v>
      </c>
      <c r="C93">
        <v>150</v>
      </c>
      <c r="D93">
        <v>0.44521886810505501</v>
      </c>
      <c r="E93">
        <v>4.3179798690684299</v>
      </c>
      <c r="F93">
        <v>2.53991195906073</v>
      </c>
      <c r="G93">
        <v>-70.751439044630814</v>
      </c>
      <c r="H93">
        <v>-61.78999129492783</v>
      </c>
      <c r="I93">
        <v>8.5743173225881204</v>
      </c>
      <c r="J93">
        <v>5.0133766111433298</v>
      </c>
      <c r="K93">
        <v>1.70005100124227</v>
      </c>
      <c r="L93">
        <v>0</v>
      </c>
      <c r="M93">
        <v>1.2381710965453893E-6</v>
      </c>
      <c r="N93">
        <v>0</v>
      </c>
      <c r="O93" s="1">
        <v>2.4141284927027002E-12</v>
      </c>
      <c r="P93">
        <v>0</v>
      </c>
      <c r="Q93">
        <v>100</v>
      </c>
      <c r="AJ93">
        <v>1</v>
      </c>
    </row>
    <row r="94" spans="1:36" x14ac:dyDescent="0.2">
      <c r="A94">
        <v>134</v>
      </c>
      <c r="B94">
        <v>771</v>
      </c>
      <c r="C94">
        <v>150</v>
      </c>
      <c r="D94">
        <v>0.44462050471675502</v>
      </c>
      <c r="E94">
        <v>5.2785790540334903</v>
      </c>
      <c r="F94">
        <v>2.53991195906073</v>
      </c>
      <c r="G94">
        <v>-86.480675676731664</v>
      </c>
      <c r="H94">
        <v>-75.542227053914488</v>
      </c>
      <c r="I94">
        <v>10.475936046369901</v>
      </c>
      <c r="J94">
        <v>6.1279267257659997</v>
      </c>
      <c r="K94">
        <v>2.0782527658893799</v>
      </c>
      <c r="L94">
        <v>0</v>
      </c>
      <c r="M94">
        <v>1.2381710965453889E-6</v>
      </c>
      <c r="N94">
        <v>0</v>
      </c>
      <c r="O94" s="1">
        <v>2.95118747232028E-12</v>
      </c>
      <c r="P94">
        <v>0</v>
      </c>
      <c r="Q94">
        <v>100</v>
      </c>
      <c r="AJ94">
        <v>1</v>
      </c>
    </row>
    <row r="95" spans="1:36" x14ac:dyDescent="0.2">
      <c r="A95">
        <v>135</v>
      </c>
      <c r="B95">
        <v>770</v>
      </c>
      <c r="C95">
        <v>150</v>
      </c>
      <c r="D95">
        <v>0.44402099410439499</v>
      </c>
      <c r="E95">
        <v>6.2722669883789202</v>
      </c>
      <c r="F95">
        <v>2.53991195906073</v>
      </c>
      <c r="G95">
        <v>-102.74814342471993</v>
      </c>
      <c r="H95">
        <v>-89.770266915210371</v>
      </c>
      <c r="I95">
        <v>12.441045400478799</v>
      </c>
      <c r="J95">
        <v>7.2806099675313503</v>
      </c>
      <c r="K95">
        <v>2.4694820487787399</v>
      </c>
      <c r="L95">
        <v>0</v>
      </c>
      <c r="M95">
        <v>1.2381710965453893E-6</v>
      </c>
      <c r="N95">
        <v>0</v>
      </c>
      <c r="O95" s="1">
        <v>3.5067459575143602E-12</v>
      </c>
      <c r="P95">
        <v>0</v>
      </c>
      <c r="Q95">
        <v>100</v>
      </c>
      <c r="AJ95">
        <v>1</v>
      </c>
    </row>
    <row r="96" spans="1:36" x14ac:dyDescent="0.2">
      <c r="A96">
        <v>136</v>
      </c>
      <c r="B96">
        <v>769</v>
      </c>
      <c r="C96">
        <v>150</v>
      </c>
      <c r="D96">
        <v>0.44342033296550898</v>
      </c>
      <c r="E96">
        <v>7.3147448482134099</v>
      </c>
      <c r="F96">
        <v>2.53991195906073</v>
      </c>
      <c r="G96">
        <v>-119.81082384289354</v>
      </c>
      <c r="H96">
        <v>-104.69896310018103</v>
      </c>
      <c r="I96">
        <v>14.500658007688401</v>
      </c>
      <c r="J96">
        <v>8.4896343686408304</v>
      </c>
      <c r="K96">
        <v>2.8799206295789901</v>
      </c>
      <c r="L96">
        <v>0</v>
      </c>
      <c r="M96">
        <v>1.2381710965453893E-6</v>
      </c>
      <c r="N96">
        <v>0</v>
      </c>
      <c r="O96" s="1">
        <v>4.08958227930137E-12</v>
      </c>
      <c r="P96">
        <v>0</v>
      </c>
      <c r="Q96">
        <v>100</v>
      </c>
      <c r="AJ96">
        <v>1</v>
      </c>
    </row>
    <row r="97" spans="1:36" x14ac:dyDescent="0.2">
      <c r="A97">
        <v>137</v>
      </c>
      <c r="B97">
        <v>768</v>
      </c>
      <c r="C97">
        <v>150</v>
      </c>
      <c r="D97">
        <v>0.442818517984921</v>
      </c>
      <c r="E97">
        <v>8.4300507051927394</v>
      </c>
      <c r="F97">
        <v>2.53991195906073</v>
      </c>
      <c r="G97">
        <v>-138.06211071562024</v>
      </c>
      <c r="H97">
        <v>-120.67257979194166</v>
      </c>
      <c r="I97">
        <v>16.702233994792799</v>
      </c>
      <c r="J97">
        <v>9.7828736795155002</v>
      </c>
      <c r="K97">
        <v>3.31903264407251</v>
      </c>
      <c r="L97">
        <v>0</v>
      </c>
      <c r="M97">
        <v>1.2381710965453893E-6</v>
      </c>
      <c r="N97">
        <v>0</v>
      </c>
      <c r="O97" s="1">
        <v>4.7131358226375696E-12</v>
      </c>
      <c r="P97">
        <v>0</v>
      </c>
      <c r="Q97">
        <v>100</v>
      </c>
      <c r="AJ97">
        <v>1</v>
      </c>
    </row>
    <row r="98" spans="1:36" x14ac:dyDescent="0.2">
      <c r="A98">
        <v>138</v>
      </c>
      <c r="B98">
        <v>767</v>
      </c>
      <c r="C98">
        <v>150</v>
      </c>
      <c r="D98">
        <v>0.44221554583473799</v>
      </c>
      <c r="E98">
        <v>9.6561982755846394</v>
      </c>
      <c r="F98">
        <v>2.53991195906073</v>
      </c>
      <c r="G98">
        <v>-158.12406441281448</v>
      </c>
      <c r="H98">
        <v>-138.23556431436043</v>
      </c>
      <c r="I98">
        <v>19.1207999792857</v>
      </c>
      <c r="J98">
        <v>11.204404168742499</v>
      </c>
      <c r="K98">
        <v>3.8017846410532701</v>
      </c>
      <c r="L98">
        <v>0</v>
      </c>
      <c r="M98">
        <v>1.2381710965453891E-6</v>
      </c>
      <c r="N98">
        <v>0</v>
      </c>
      <c r="O98" s="1">
        <v>5.3986595804358801E-12</v>
      </c>
      <c r="P98">
        <v>0</v>
      </c>
      <c r="Q98">
        <v>100</v>
      </c>
      <c r="AJ98">
        <v>1</v>
      </c>
    </row>
    <row r="99" spans="1:36" x14ac:dyDescent="0.2">
      <c r="A99">
        <v>139</v>
      </c>
      <c r="B99">
        <v>766</v>
      </c>
      <c r="C99">
        <v>150</v>
      </c>
      <c r="D99">
        <v>0.44161141317423203</v>
      </c>
      <c r="E99">
        <v>11.0535092323185</v>
      </c>
      <c r="F99">
        <v>2.53991195906073</v>
      </c>
      <c r="G99">
        <v>-180.98370223701772</v>
      </c>
      <c r="H99">
        <v>-158.25192100351933</v>
      </c>
      <c r="I99">
        <v>21.8753608559865</v>
      </c>
      <c r="J99">
        <v>12.8241615649438</v>
      </c>
      <c r="K99">
        <v>4.35192613385155</v>
      </c>
      <c r="L99">
        <v>0</v>
      </c>
      <c r="M99">
        <v>1.2381710965453891E-6</v>
      </c>
      <c r="N99">
        <v>0</v>
      </c>
      <c r="O99" s="1">
        <v>6.1798786449297303E-12</v>
      </c>
      <c r="P99">
        <v>0</v>
      </c>
      <c r="Q99">
        <v>100</v>
      </c>
      <c r="AJ99">
        <v>1</v>
      </c>
    </row>
    <row r="100" spans="1:36" x14ac:dyDescent="0.2">
      <c r="A100">
        <v>140</v>
      </c>
      <c r="B100">
        <v>765</v>
      </c>
      <c r="C100">
        <v>150</v>
      </c>
      <c r="D100">
        <v>0.44100611664981298</v>
      </c>
      <c r="E100">
        <v>12.7060319578024</v>
      </c>
      <c r="F100">
        <v>2.53991195906073</v>
      </c>
      <c r="G100">
        <v>-208.01600519160164</v>
      </c>
      <c r="H100">
        <v>-181.92565433175793</v>
      </c>
      <c r="I100">
        <v>25.131581043051298</v>
      </c>
      <c r="J100">
        <v>14.739570692871</v>
      </c>
      <c r="K100">
        <v>5.0025481837965602</v>
      </c>
      <c r="L100">
        <v>0</v>
      </c>
      <c r="M100">
        <v>1.2381710965453891E-6</v>
      </c>
      <c r="N100">
        <v>0</v>
      </c>
      <c r="O100" s="1">
        <v>7.1037834146132003E-12</v>
      </c>
      <c r="P100">
        <v>0</v>
      </c>
      <c r="Q100">
        <v>100</v>
      </c>
      <c r="AJ100">
        <v>1</v>
      </c>
    </row>
    <row r="101" spans="1:36" x14ac:dyDescent="0.2">
      <c r="A101">
        <v>141</v>
      </c>
      <c r="B101">
        <v>764</v>
      </c>
      <c r="C101">
        <v>150</v>
      </c>
      <c r="D101">
        <v>0.44039965289495597</v>
      </c>
      <c r="E101">
        <v>21.8386780412226</v>
      </c>
      <c r="F101">
        <v>2.53991195906073</v>
      </c>
      <c r="G101">
        <v>-357.4873646197326</v>
      </c>
      <c r="H101">
        <v>-312.71270828755291</v>
      </c>
      <c r="I101">
        <v>43.170858923183403</v>
      </c>
      <c r="J101">
        <v>25.330700650046602</v>
      </c>
      <c r="K101">
        <v>8.5982027697127901</v>
      </c>
      <c r="L101">
        <v>0</v>
      </c>
      <c r="M101">
        <v>1.2381710965453893E-6</v>
      </c>
      <c r="N101">
        <v>0</v>
      </c>
      <c r="O101" s="1">
        <v>1.22097315181903E-11</v>
      </c>
      <c r="P101">
        <v>0</v>
      </c>
      <c r="Q101">
        <v>100</v>
      </c>
      <c r="AJ101">
        <v>1</v>
      </c>
    </row>
    <row r="102" spans="1:36" x14ac:dyDescent="0.2">
      <c r="A102">
        <v>142</v>
      </c>
      <c r="B102">
        <v>763</v>
      </c>
      <c r="C102">
        <v>150</v>
      </c>
      <c r="D102">
        <v>0.43979201853014099</v>
      </c>
      <c r="E102">
        <v>25.914643662348201</v>
      </c>
      <c r="F102">
        <v>2.53991195906073</v>
      </c>
      <c r="G102">
        <v>-424.15750667471389</v>
      </c>
      <c r="H102">
        <v>-371.10738955126573</v>
      </c>
      <c r="I102">
        <v>51.199263739273299</v>
      </c>
      <c r="J102">
        <v>30.054668426015201</v>
      </c>
      <c r="K102">
        <v>10.202969268246401</v>
      </c>
      <c r="L102">
        <v>0</v>
      </c>
      <c r="M102">
        <v>1.2381710965453891E-6</v>
      </c>
      <c r="N102">
        <v>0</v>
      </c>
      <c r="O102" s="1">
        <v>1.44885528743813E-11</v>
      </c>
      <c r="P102">
        <v>0</v>
      </c>
      <c r="Q102">
        <v>100</v>
      </c>
      <c r="AJ102">
        <v>1</v>
      </c>
    </row>
    <row r="103" spans="1:36" x14ac:dyDescent="0.2">
      <c r="A103">
        <v>143</v>
      </c>
      <c r="B103">
        <v>762</v>
      </c>
      <c r="C103">
        <v>150</v>
      </c>
      <c r="D103">
        <v>0.439183210162781</v>
      </c>
      <c r="E103">
        <v>27.964176954458399</v>
      </c>
      <c r="F103">
        <v>2.53991195906073</v>
      </c>
      <c r="G103">
        <v>-457.64797649342898</v>
      </c>
      <c r="H103">
        <v>-400.48990243935316</v>
      </c>
      <c r="I103">
        <v>55.217189831498601</v>
      </c>
      <c r="J103">
        <v>32.427574094017203</v>
      </c>
      <c r="K103">
        <v>11.009900108820901</v>
      </c>
      <c r="L103">
        <v>0</v>
      </c>
      <c r="M103">
        <v>1.2381710965453891E-6</v>
      </c>
      <c r="N103">
        <v>0</v>
      </c>
      <c r="O103" s="1">
        <v>1.5634421282122098E-11</v>
      </c>
      <c r="P103">
        <v>0</v>
      </c>
      <c r="Q103">
        <v>100</v>
      </c>
      <c r="AJ103">
        <v>1</v>
      </c>
    </row>
    <row r="104" spans="1:36" x14ac:dyDescent="0.2">
      <c r="A104">
        <v>144</v>
      </c>
      <c r="B104">
        <v>761</v>
      </c>
      <c r="C104">
        <v>150</v>
      </c>
      <c r="D104">
        <v>0.43857322438717999</v>
      </c>
      <c r="E104">
        <v>29.170508074403401</v>
      </c>
      <c r="F104">
        <v>2.53991195906073</v>
      </c>
      <c r="G104">
        <v>-477.33261589729437</v>
      </c>
      <c r="H104">
        <v>-417.80023854946035</v>
      </c>
      <c r="I104">
        <v>57.5664819879456</v>
      </c>
      <c r="J104">
        <v>33.822211993747999</v>
      </c>
      <c r="K104">
        <v>11.484850083225201</v>
      </c>
      <c r="L104">
        <v>0</v>
      </c>
      <c r="M104">
        <v>1.2381710965453893E-6</v>
      </c>
      <c r="N104">
        <v>0</v>
      </c>
      <c r="O104" s="1">
        <v>1.6308865910536101E-11</v>
      </c>
      <c r="P104">
        <v>0</v>
      </c>
      <c r="Q104">
        <v>100</v>
      </c>
      <c r="AJ104">
        <v>1</v>
      </c>
    </row>
    <row r="105" spans="1:36" x14ac:dyDescent="0.2">
      <c r="A105">
        <v>145</v>
      </c>
      <c r="B105">
        <v>760</v>
      </c>
      <c r="C105">
        <v>150</v>
      </c>
      <c r="D105">
        <v>0.43796205778444602</v>
      </c>
      <c r="E105">
        <v>30.0619753168871</v>
      </c>
      <c r="F105">
        <v>2.53991195906073</v>
      </c>
      <c r="G105">
        <v>-491.86086200569991</v>
      </c>
      <c r="H105">
        <v>-430.60330403991287</v>
      </c>
      <c r="I105">
        <v>59.292027262049999</v>
      </c>
      <c r="J105">
        <v>34.851461779958001</v>
      </c>
      <c r="K105">
        <v>11.8358336042498</v>
      </c>
      <c r="L105">
        <v>0</v>
      </c>
      <c r="M105">
        <v>1.2381710965453893E-6</v>
      </c>
      <c r="N105">
        <v>0</v>
      </c>
      <c r="O105" s="1">
        <v>1.68072740865E-11</v>
      </c>
      <c r="P105">
        <v>0</v>
      </c>
      <c r="Q105">
        <v>100</v>
      </c>
      <c r="AJ105">
        <v>1</v>
      </c>
    </row>
    <row r="106" spans="1:36" x14ac:dyDescent="0.2">
      <c r="A106">
        <v>166</v>
      </c>
      <c r="B106">
        <v>786</v>
      </c>
      <c r="C106">
        <v>125</v>
      </c>
      <c r="D106">
        <v>0.47944153330501299</v>
      </c>
      <c r="E106">
        <v>0.28295679677710101</v>
      </c>
      <c r="F106">
        <v>2.5391258783161499</v>
      </c>
      <c r="G106">
        <v>-4.647017311833177</v>
      </c>
      <c r="H106">
        <v>-4.0472743324842995</v>
      </c>
      <c r="I106">
        <v>0.56624933139675904</v>
      </c>
      <c r="J106">
        <v>0.32908040056739102</v>
      </c>
      <c r="K106">
        <v>0.111438664460679</v>
      </c>
      <c r="L106">
        <v>0</v>
      </c>
      <c r="M106">
        <v>1.2381427916924884E-6</v>
      </c>
      <c r="N106">
        <v>0</v>
      </c>
      <c r="O106" s="1">
        <v>1.5819760304970099E-13</v>
      </c>
      <c r="P106">
        <v>0</v>
      </c>
      <c r="Q106">
        <v>100</v>
      </c>
      <c r="AJ106">
        <v>1</v>
      </c>
    </row>
    <row r="107" spans="1:36" x14ac:dyDescent="0.2">
      <c r="A107">
        <v>167</v>
      </c>
      <c r="B107">
        <v>785</v>
      </c>
      <c r="C107">
        <v>125</v>
      </c>
      <c r="D107">
        <v>0.47888342862543298</v>
      </c>
      <c r="E107">
        <v>1.1779876489307</v>
      </c>
      <c r="F107">
        <v>2.5391258783161499</v>
      </c>
      <c r="G107">
        <v>-19.343808695826834</v>
      </c>
      <c r="H107">
        <v>-16.850723712815977</v>
      </c>
      <c r="I107">
        <v>2.3560789897565102</v>
      </c>
      <c r="J107">
        <v>1.3698439057829499</v>
      </c>
      <c r="K107">
        <v>0.463934324402971</v>
      </c>
      <c r="L107">
        <v>0</v>
      </c>
      <c r="M107">
        <v>1.2381427916924881E-6</v>
      </c>
      <c r="N107">
        <v>0</v>
      </c>
      <c r="O107" s="1">
        <v>6.58598148571038E-13</v>
      </c>
      <c r="P107">
        <v>0</v>
      </c>
      <c r="Q107">
        <v>100</v>
      </c>
      <c r="AJ107">
        <v>1</v>
      </c>
    </row>
    <row r="108" spans="1:36" x14ac:dyDescent="0.2">
      <c r="A108">
        <v>168</v>
      </c>
      <c r="B108">
        <v>784</v>
      </c>
      <c r="C108">
        <v>125</v>
      </c>
      <c r="D108">
        <v>0.47832426807926898</v>
      </c>
      <c r="E108">
        <v>2.0761566275989698</v>
      </c>
      <c r="F108">
        <v>2.5391258783161499</v>
      </c>
      <c r="G108">
        <v>-34.088546190207161</v>
      </c>
      <c r="H108">
        <v>-29.701148046327898</v>
      </c>
      <c r="I108">
        <v>4.1502134454706203</v>
      </c>
      <c r="J108">
        <v>2.4140085417035202</v>
      </c>
      <c r="K108">
        <v>0.817665892553464</v>
      </c>
      <c r="L108">
        <v>0</v>
      </c>
      <c r="M108">
        <v>1.2381427916924881E-6</v>
      </c>
      <c r="N108">
        <v>0</v>
      </c>
      <c r="O108" s="1">
        <v>1.1607531813439299E-12</v>
      </c>
      <c r="P108">
        <v>0</v>
      </c>
      <c r="Q108">
        <v>100</v>
      </c>
      <c r="AJ108">
        <v>1</v>
      </c>
    </row>
    <row r="109" spans="1:36" x14ac:dyDescent="0.2">
      <c r="A109">
        <v>169</v>
      </c>
      <c r="B109">
        <v>783</v>
      </c>
      <c r="C109">
        <v>125</v>
      </c>
      <c r="D109">
        <v>0.47776404866733202</v>
      </c>
      <c r="E109">
        <v>2.9806189862955699</v>
      </c>
      <c r="F109">
        <v>2.5391258783161499</v>
      </c>
      <c r="G109">
        <v>-48.933013934652479</v>
      </c>
      <c r="H109">
        <v>-42.643700102265299</v>
      </c>
      <c r="I109">
        <v>5.9549437413124702</v>
      </c>
      <c r="J109">
        <v>3.46524048881983</v>
      </c>
      <c r="K109">
        <v>1.17387602235467</v>
      </c>
      <c r="L109">
        <v>0</v>
      </c>
      <c r="M109">
        <v>1.2381427916924879E-6</v>
      </c>
      <c r="N109">
        <v>0</v>
      </c>
      <c r="O109" s="1">
        <v>1.6664267641106799E-12</v>
      </c>
      <c r="P109">
        <v>0</v>
      </c>
      <c r="Q109">
        <v>100</v>
      </c>
      <c r="AJ109">
        <v>1</v>
      </c>
    </row>
    <row r="110" spans="1:36" x14ac:dyDescent="0.2">
      <c r="A110">
        <v>170</v>
      </c>
      <c r="B110">
        <v>782</v>
      </c>
      <c r="C110">
        <v>125</v>
      </c>
      <c r="D110">
        <v>0.47720276737904699</v>
      </c>
      <c r="E110">
        <v>3.8955473247551402</v>
      </c>
      <c r="F110">
        <v>2.5391258783161499</v>
      </c>
      <c r="G110">
        <v>-63.945670690870436</v>
      </c>
      <c r="H110">
        <v>-55.738103668114093</v>
      </c>
      <c r="I110">
        <v>7.7785784227421102</v>
      </c>
      <c r="J110">
        <v>4.5283867820135102</v>
      </c>
      <c r="K110">
        <v>1.53420803514417</v>
      </c>
      <c r="L110">
        <v>0</v>
      </c>
      <c r="M110">
        <v>1.2381427916924884E-6</v>
      </c>
      <c r="N110">
        <v>0</v>
      </c>
      <c r="O110" s="1">
        <v>2.1779517451506999E-12</v>
      </c>
      <c r="P110">
        <v>0</v>
      </c>
      <c r="Q110">
        <v>100</v>
      </c>
      <c r="AJ110">
        <v>1</v>
      </c>
    </row>
    <row r="111" spans="1:36" x14ac:dyDescent="0.2">
      <c r="A111">
        <v>171</v>
      </c>
      <c r="B111">
        <v>781</v>
      </c>
      <c r="C111">
        <v>125</v>
      </c>
      <c r="D111">
        <v>0.476640421192431</v>
      </c>
      <c r="E111">
        <v>4.8265367386586702</v>
      </c>
      <c r="F111">
        <v>2.5391258783161499</v>
      </c>
      <c r="G111">
        <v>-79.218289474227547</v>
      </c>
      <c r="H111">
        <v>-69.064456874843557</v>
      </c>
      <c r="I111">
        <v>9.6322464539050401</v>
      </c>
      <c r="J111">
        <v>5.6099455039648598</v>
      </c>
      <c r="K111">
        <v>1.90086548283279</v>
      </c>
      <c r="L111">
        <v>0</v>
      </c>
      <c r="M111">
        <v>1.2381427916924881E-6</v>
      </c>
      <c r="N111">
        <v>0</v>
      </c>
      <c r="O111" s="1">
        <v>2.6984562724202899E-12</v>
      </c>
      <c r="P111">
        <v>0</v>
      </c>
      <c r="Q111">
        <v>100</v>
      </c>
      <c r="AJ111">
        <v>1</v>
      </c>
    </row>
    <row r="112" spans="1:36" x14ac:dyDescent="0.2">
      <c r="A112">
        <v>172</v>
      </c>
      <c r="B112">
        <v>780</v>
      </c>
      <c r="C112">
        <v>125</v>
      </c>
      <c r="D112">
        <v>0.47607700707401701</v>
      </c>
      <c r="E112">
        <v>5.7812171511677501</v>
      </c>
      <c r="F112">
        <v>2.5391258783161499</v>
      </c>
      <c r="G112">
        <v>-94.875992428650392</v>
      </c>
      <c r="H112">
        <v>-82.732003216819265</v>
      </c>
      <c r="I112">
        <v>11.53111067923</v>
      </c>
      <c r="J112">
        <v>6.7187764161186996</v>
      </c>
      <c r="K112">
        <v>2.2768533063046199</v>
      </c>
      <c r="L112">
        <v>0</v>
      </c>
      <c r="M112">
        <v>1.2381427916924881E-6</v>
      </c>
      <c r="N112">
        <v>0</v>
      </c>
      <c r="O112" s="1">
        <v>3.23220614044841E-12</v>
      </c>
      <c r="P112">
        <v>0</v>
      </c>
      <c r="Q112">
        <v>100</v>
      </c>
      <c r="AJ112">
        <v>1</v>
      </c>
    </row>
    <row r="113" spans="1:36" x14ac:dyDescent="0.2">
      <c r="A113">
        <v>173</v>
      </c>
      <c r="B113">
        <v>779</v>
      </c>
      <c r="C113">
        <v>125</v>
      </c>
      <c r="D113">
        <v>0.475512521978807</v>
      </c>
      <c r="E113">
        <v>6.7702003243863098</v>
      </c>
      <c r="F113">
        <v>2.5391258783161499</v>
      </c>
      <c r="G113">
        <v>-111.0927701893732</v>
      </c>
      <c r="H113">
        <v>-96.892696658231969</v>
      </c>
      <c r="I113">
        <v>13.496244386390901</v>
      </c>
      <c r="J113">
        <v>7.8671999790404001</v>
      </c>
      <c r="K113">
        <v>2.6663508029290899</v>
      </c>
      <c r="L113">
        <v>0</v>
      </c>
      <c r="M113">
        <v>1.2381427916924884E-6</v>
      </c>
      <c r="N113">
        <v>0</v>
      </c>
      <c r="O113" s="1">
        <v>3.7851342525902398E-12</v>
      </c>
      <c r="P113">
        <v>0</v>
      </c>
      <c r="Q113">
        <v>100</v>
      </c>
      <c r="AJ113">
        <v>1</v>
      </c>
    </row>
    <row r="114" spans="1:36" x14ac:dyDescent="0.2">
      <c r="A114">
        <v>174</v>
      </c>
      <c r="B114">
        <v>778</v>
      </c>
      <c r="C114">
        <v>125</v>
      </c>
      <c r="D114">
        <v>0.47494696285021398</v>
      </c>
      <c r="E114">
        <v>7.80855980495949</v>
      </c>
      <c r="F114">
        <v>2.5391258783161499</v>
      </c>
      <c r="G114">
        <v>-128.11573385325653</v>
      </c>
      <c r="H114">
        <v>-111.76240112046314</v>
      </c>
      <c r="I114">
        <v>15.557563366592101</v>
      </c>
      <c r="J114">
        <v>9.0727147804237998</v>
      </c>
      <c r="K114">
        <v>3.07529448289417</v>
      </c>
      <c r="L114">
        <v>0</v>
      </c>
      <c r="M114">
        <v>1.2381427916924884E-6</v>
      </c>
      <c r="N114">
        <v>0</v>
      </c>
      <c r="O114" s="1">
        <v>4.3656680400857601E-12</v>
      </c>
      <c r="P114">
        <v>0</v>
      </c>
      <c r="Q114">
        <v>100</v>
      </c>
      <c r="AJ114">
        <v>1</v>
      </c>
    </row>
    <row r="115" spans="1:36" x14ac:dyDescent="0.2">
      <c r="A115">
        <v>175</v>
      </c>
      <c r="B115">
        <v>777</v>
      </c>
      <c r="C115">
        <v>125</v>
      </c>
      <c r="D115">
        <v>0.47438032662001101</v>
      </c>
      <c r="E115">
        <v>8.9180919630846205</v>
      </c>
      <c r="F115">
        <v>2.5391258783161499</v>
      </c>
      <c r="G115">
        <v>-146.30216322511959</v>
      </c>
      <c r="H115">
        <v>-127.65328082565955</v>
      </c>
      <c r="I115">
        <v>17.758303479940899</v>
      </c>
      <c r="J115">
        <v>10.3606211409276</v>
      </c>
      <c r="K115">
        <v>3.5122685484969902</v>
      </c>
      <c r="L115">
        <v>0</v>
      </c>
      <c r="M115">
        <v>1.2381427916924881E-6</v>
      </c>
      <c r="N115">
        <v>0</v>
      </c>
      <c r="O115" s="1">
        <v>4.98599358066724E-12</v>
      </c>
      <c r="P115">
        <v>0</v>
      </c>
      <c r="Q115">
        <v>100</v>
      </c>
      <c r="AJ115">
        <v>1</v>
      </c>
    </row>
    <row r="116" spans="1:36" x14ac:dyDescent="0.2">
      <c r="A116">
        <v>176</v>
      </c>
      <c r="B116">
        <v>776</v>
      </c>
      <c r="C116">
        <v>125</v>
      </c>
      <c r="D116">
        <v>0.47381261020826598</v>
      </c>
      <c r="E116">
        <v>10.130354555414399</v>
      </c>
      <c r="F116">
        <v>2.5391258783161499</v>
      </c>
      <c r="G116">
        <v>-166.16928193882231</v>
      </c>
      <c r="H116">
        <v>-145.01733674566395</v>
      </c>
      <c r="I116">
        <v>20.1610305420181</v>
      </c>
      <c r="J116">
        <v>11.76754597295</v>
      </c>
      <c r="K116">
        <v>3.9897015905853901</v>
      </c>
      <c r="L116">
        <v>0</v>
      </c>
      <c r="M116">
        <v>1.2381427916924886E-6</v>
      </c>
      <c r="N116">
        <v>0</v>
      </c>
      <c r="O116" s="1">
        <v>5.6637544210420002E-12</v>
      </c>
      <c r="P116">
        <v>0</v>
      </c>
      <c r="Q116">
        <v>100</v>
      </c>
      <c r="AJ116">
        <v>1</v>
      </c>
    </row>
    <row r="117" spans="1:36" x14ac:dyDescent="0.2">
      <c r="A117">
        <v>177</v>
      </c>
      <c r="B117">
        <v>775</v>
      </c>
      <c r="C117">
        <v>125</v>
      </c>
      <c r="D117">
        <v>0.473243810523307</v>
      </c>
      <c r="E117">
        <v>11.4886007708997</v>
      </c>
      <c r="F117">
        <v>2.5391258783161499</v>
      </c>
      <c r="G117">
        <v>-188.42588110387806</v>
      </c>
      <c r="H117">
        <v>-164.4741516255263</v>
      </c>
      <c r="I117">
        <v>22.851432980347901</v>
      </c>
      <c r="J117">
        <v>13.343682173852301</v>
      </c>
      <c r="K117">
        <v>4.5246282860613798</v>
      </c>
      <c r="L117">
        <v>0</v>
      </c>
      <c r="M117">
        <v>1.2381427916924884E-6</v>
      </c>
      <c r="N117">
        <v>0</v>
      </c>
      <c r="O117" s="1">
        <v>6.4231328777127497E-12</v>
      </c>
      <c r="P117">
        <v>0</v>
      </c>
      <c r="Q117">
        <v>100</v>
      </c>
      <c r="AJ117">
        <v>1</v>
      </c>
    </row>
    <row r="118" spans="1:36" x14ac:dyDescent="0.2">
      <c r="A118">
        <v>178</v>
      </c>
      <c r="B118">
        <v>774</v>
      </c>
      <c r="C118">
        <v>125</v>
      </c>
      <c r="D118">
        <v>0.47267392446163797</v>
      </c>
      <c r="E118">
        <v>13.0388312476496</v>
      </c>
      <c r="F118">
        <v>2.5391258783161499</v>
      </c>
      <c r="G118">
        <v>-213.82546425208744</v>
      </c>
      <c r="H118">
        <v>-186.68284553164895</v>
      </c>
      <c r="I118">
        <v>25.92046862478</v>
      </c>
      <c r="J118">
        <v>15.1423887064465</v>
      </c>
      <c r="K118">
        <v>5.1351653571017399</v>
      </c>
      <c r="L118">
        <v>0</v>
      </c>
      <c r="M118">
        <v>1.2381427916924884E-6</v>
      </c>
      <c r="N118">
        <v>0</v>
      </c>
      <c r="O118" s="1">
        <v>7.2898473316144203E-12</v>
      </c>
      <c r="P118">
        <v>0</v>
      </c>
      <c r="Q118">
        <v>100</v>
      </c>
      <c r="AJ118">
        <v>1</v>
      </c>
    </row>
    <row r="119" spans="1:36" x14ac:dyDescent="0.2">
      <c r="A119">
        <v>179</v>
      </c>
      <c r="B119">
        <v>773</v>
      </c>
      <c r="C119">
        <v>125</v>
      </c>
      <c r="D119">
        <v>0.472102948907902</v>
      </c>
      <c r="E119">
        <v>19.5628717727921</v>
      </c>
      <c r="F119">
        <v>2.5391258783161499</v>
      </c>
      <c r="G119">
        <v>-320.77516168143853</v>
      </c>
      <c r="H119">
        <v>-280.11320267171874</v>
      </c>
      <c r="I119">
        <v>38.868191951173102</v>
      </c>
      <c r="J119">
        <v>22.7161846160419</v>
      </c>
      <c r="K119">
        <v>7.70456948978262</v>
      </c>
      <c r="L119">
        <v>0</v>
      </c>
      <c r="M119">
        <v>1.2381427916924884E-6</v>
      </c>
      <c r="N119">
        <v>0</v>
      </c>
      <c r="O119" s="1">
        <v>1.09373567218542E-11</v>
      </c>
      <c r="P119">
        <v>0</v>
      </c>
      <c r="Q119">
        <v>100</v>
      </c>
      <c r="AJ119">
        <v>1</v>
      </c>
    </row>
    <row r="120" spans="1:36" x14ac:dyDescent="0.2">
      <c r="A120">
        <v>180</v>
      </c>
      <c r="B120">
        <v>772</v>
      </c>
      <c r="C120">
        <v>125</v>
      </c>
      <c r="D120">
        <v>0.47153088073482102</v>
      </c>
      <c r="E120">
        <v>24.508512586094401</v>
      </c>
      <c r="F120">
        <v>2.5391258783161499</v>
      </c>
      <c r="G120">
        <v>-401.82084937554811</v>
      </c>
      <c r="H120">
        <v>-350.9563799655491</v>
      </c>
      <c r="I120">
        <v>48.667147691717901</v>
      </c>
      <c r="J120">
        <v>28.455529552884599</v>
      </c>
      <c r="K120">
        <v>9.6523424834484892</v>
      </c>
      <c r="L120">
        <v>0</v>
      </c>
      <c r="M120">
        <v>1.2381427916924884E-6</v>
      </c>
      <c r="N120">
        <v>0</v>
      </c>
      <c r="O120" s="1">
        <v>1.3702402591473401E-11</v>
      </c>
      <c r="P120">
        <v>0</v>
      </c>
      <c r="Q120">
        <v>100</v>
      </c>
      <c r="AJ120">
        <v>1</v>
      </c>
    </row>
    <row r="121" spans="1:36" x14ac:dyDescent="0.2">
      <c r="A121">
        <v>181</v>
      </c>
      <c r="B121">
        <v>771</v>
      </c>
      <c r="C121">
        <v>125</v>
      </c>
      <c r="D121">
        <v>0.47095771680314102</v>
      </c>
      <c r="E121">
        <v>27.031706210381198</v>
      </c>
      <c r="F121">
        <v>2.5391258783161499</v>
      </c>
      <c r="G121">
        <v>-443.13533607656825</v>
      </c>
      <c r="H121">
        <v>-387.11932749876667</v>
      </c>
      <c r="I121">
        <v>53.647472659868399</v>
      </c>
      <c r="J121">
        <v>31.381232190332401</v>
      </c>
      <c r="K121">
        <v>10.6460677831016</v>
      </c>
      <c r="L121">
        <v>0</v>
      </c>
      <c r="M121">
        <v>1.2381427916924881E-6</v>
      </c>
      <c r="N121">
        <v>0</v>
      </c>
      <c r="O121" s="1">
        <v>1.5113088561695601E-11</v>
      </c>
      <c r="P121">
        <v>0</v>
      </c>
      <c r="Q121">
        <v>100</v>
      </c>
      <c r="AJ121">
        <v>1</v>
      </c>
    </row>
    <row r="122" spans="1:36" x14ac:dyDescent="0.2">
      <c r="A122">
        <v>182</v>
      </c>
      <c r="B122">
        <v>770</v>
      </c>
      <c r="C122">
        <v>125</v>
      </c>
      <c r="D122">
        <v>0.47038345396155901</v>
      </c>
      <c r="E122">
        <v>28.503325656936202</v>
      </c>
      <c r="F122">
        <v>2.5391258783161499</v>
      </c>
      <c r="G122">
        <v>-467.20329057496718</v>
      </c>
      <c r="H122">
        <v>-408.22738263427891</v>
      </c>
      <c r="I122">
        <v>56.536363840951203</v>
      </c>
      <c r="J122">
        <v>33.0855809024347</v>
      </c>
      <c r="K122">
        <v>11.2256449750488</v>
      </c>
      <c r="L122">
        <v>0</v>
      </c>
      <c r="M122">
        <v>1.2381427916924881E-6</v>
      </c>
      <c r="N122">
        <v>0</v>
      </c>
      <c r="O122" s="1">
        <v>1.5935852572661201E-11</v>
      </c>
      <c r="P122">
        <v>0</v>
      </c>
      <c r="Q122">
        <v>100</v>
      </c>
      <c r="AJ122">
        <v>1</v>
      </c>
    </row>
    <row r="123" spans="1:36" x14ac:dyDescent="0.2">
      <c r="A123">
        <v>183</v>
      </c>
      <c r="B123">
        <v>769</v>
      </c>
      <c r="C123">
        <v>125</v>
      </c>
      <c r="D123">
        <v>0.46980808904668597</v>
      </c>
      <c r="E123">
        <v>29.450449771833199</v>
      </c>
      <c r="F123">
        <v>2.5391258783161499</v>
      </c>
      <c r="G123">
        <v>-482.66937878499112</v>
      </c>
      <c r="H123">
        <v>-421.82636853687637</v>
      </c>
      <c r="I123">
        <v>58.382200497159403</v>
      </c>
      <c r="J123">
        <v>34.180761700246101</v>
      </c>
      <c r="K123">
        <v>11.598656854052299</v>
      </c>
      <c r="L123">
        <v>0</v>
      </c>
      <c r="M123">
        <v>1.2381427916924884E-6</v>
      </c>
      <c r="N123">
        <v>0</v>
      </c>
      <c r="O123" s="1">
        <v>1.64653778092835E-11</v>
      </c>
      <c r="P123">
        <v>0</v>
      </c>
      <c r="Q123">
        <v>100</v>
      </c>
      <c r="AJ123">
        <v>1</v>
      </c>
    </row>
    <row r="124" spans="1:36" x14ac:dyDescent="0.2">
      <c r="A124">
        <v>184</v>
      </c>
      <c r="B124">
        <v>768</v>
      </c>
      <c r="C124">
        <v>125</v>
      </c>
      <c r="D124">
        <v>0.46923161888296799</v>
      </c>
      <c r="E124">
        <v>30.131427369483699</v>
      </c>
      <c r="F124">
        <v>2.5391258783161499</v>
      </c>
      <c r="G124">
        <v>-493.77034300765013</v>
      </c>
      <c r="H124">
        <v>-431.61515481958179</v>
      </c>
      <c r="I124">
        <v>59.698591161761797</v>
      </c>
      <c r="J124">
        <v>34.966806019041101</v>
      </c>
      <c r="K124">
        <v>11.866850567277</v>
      </c>
      <c r="L124">
        <v>0</v>
      </c>
      <c r="M124">
        <v>1.2381427916924881E-6</v>
      </c>
      <c r="N124">
        <v>0</v>
      </c>
      <c r="O124" s="1">
        <v>1.6846103859711999E-11</v>
      </c>
      <c r="P124">
        <v>0</v>
      </c>
      <c r="Q124">
        <v>100</v>
      </c>
      <c r="AJ12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4DA8C-EEEC-44A6-B485-D0ADE0DE78BB}">
  <sheetPr codeName="Sheet14"/>
  <dimension ref="A1:AJ18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756</v>
      </c>
      <c r="C2">
        <v>275</v>
      </c>
      <c r="D2">
        <v>0.30190011174270298</v>
      </c>
      <c r="E2">
        <v>3.6955473983414699</v>
      </c>
      <c r="F2">
        <v>0.55459200373927897</v>
      </c>
      <c r="G2">
        <v>-80.048358391967312</v>
      </c>
      <c r="H2">
        <v>-47.058410519978153</v>
      </c>
      <c r="I2">
        <v>32.057584114213697</v>
      </c>
      <c r="J2">
        <v>14.273758407084999</v>
      </c>
      <c r="K2">
        <v>6.6635425203115597</v>
      </c>
      <c r="L2">
        <v>1.2000672419984479E-3</v>
      </c>
      <c r="M2">
        <v>1.9390280436198249E-4</v>
      </c>
      <c r="N2" s="1">
        <v>5.2386003209221E-6</v>
      </c>
      <c r="O2" s="1">
        <v>1.05075369102852E-6</v>
      </c>
      <c r="P2" s="1">
        <v>-3.9111340633458403E-6</v>
      </c>
      <c r="AE2">
        <v>100</v>
      </c>
      <c r="AJ2">
        <v>1</v>
      </c>
    </row>
    <row r="3" spans="1:36" x14ac:dyDescent="0.2">
      <c r="A3">
        <v>2</v>
      </c>
      <c r="B3">
        <v>755</v>
      </c>
      <c r="C3">
        <v>275</v>
      </c>
      <c r="D3">
        <v>0.30115304187132302</v>
      </c>
      <c r="E3">
        <v>3.7034063001505602</v>
      </c>
      <c r="F3">
        <v>0.55525813201767704</v>
      </c>
      <c r="G3">
        <v>-80.186469358673065</v>
      </c>
      <c r="H3">
        <v>-47.172791455983152</v>
      </c>
      <c r="I3">
        <v>32.111848678879497</v>
      </c>
      <c r="J3">
        <v>14.310181234139799</v>
      </c>
      <c r="K3">
        <v>6.6697020477543596</v>
      </c>
      <c r="L3">
        <v>1.2007185476741171E-3</v>
      </c>
      <c r="M3">
        <v>1.9354819573302138E-4</v>
      </c>
      <c r="N3" s="1">
        <v>5.2898903496058102E-6</v>
      </c>
      <c r="O3" s="1">
        <v>1.04932337228795E-6</v>
      </c>
      <c r="P3" s="1">
        <v>-3.9175480532349397E-6</v>
      </c>
      <c r="AE3">
        <v>100</v>
      </c>
      <c r="AJ3">
        <v>1</v>
      </c>
    </row>
    <row r="4" spans="1:36" x14ac:dyDescent="0.2">
      <c r="A4">
        <v>3</v>
      </c>
      <c r="B4">
        <v>754</v>
      </c>
      <c r="C4">
        <v>275</v>
      </c>
      <c r="D4">
        <v>0.30040451735384299</v>
      </c>
      <c r="E4">
        <v>3.7143379735476101</v>
      </c>
      <c r="F4">
        <v>0.55592542096507103</v>
      </c>
      <c r="G4">
        <v>-80.390963231173515</v>
      </c>
      <c r="H4">
        <v>-47.326391036451653</v>
      </c>
      <c r="I4">
        <v>32.192666861701497</v>
      </c>
      <c r="J4">
        <v>14.358498414984901</v>
      </c>
      <c r="K4">
        <v>6.6813601851479101</v>
      </c>
      <c r="L4">
        <v>1.2013644355344702E-3</v>
      </c>
      <c r="M4">
        <v>1.9319286989129213E-4</v>
      </c>
      <c r="N4" s="1">
        <v>5.34581772157903E-6</v>
      </c>
      <c r="O4" s="1">
        <v>1.0487435632408E-6</v>
      </c>
      <c r="P4" s="1">
        <v>-3.9271580066612403E-6</v>
      </c>
      <c r="AE4">
        <v>100</v>
      </c>
      <c r="AJ4">
        <v>1</v>
      </c>
    </row>
    <row r="5" spans="1:36" x14ac:dyDescent="0.2">
      <c r="A5">
        <v>4</v>
      </c>
      <c r="B5">
        <v>753</v>
      </c>
      <c r="C5">
        <v>275</v>
      </c>
      <c r="D5">
        <v>0.29965453393753799</v>
      </c>
      <c r="E5">
        <v>3.72518592188755</v>
      </c>
      <c r="F5">
        <v>0.55659386981720904</v>
      </c>
      <c r="G5">
        <v>-80.593470219325653</v>
      </c>
      <c r="H5">
        <v>-47.479014095508006</v>
      </c>
      <c r="I5">
        <v>32.272657899873003</v>
      </c>
      <c r="J5">
        <v>14.406517552815901</v>
      </c>
      <c r="K5">
        <v>6.6928259973666897</v>
      </c>
      <c r="L5">
        <v>1.2020048706808957E-3</v>
      </c>
      <c r="M5">
        <v>1.9283683065854628E-4</v>
      </c>
      <c r="N5" s="1">
        <v>5.4019038650416501E-6</v>
      </c>
      <c r="O5" s="1">
        <v>1.0481170803669801E-6</v>
      </c>
      <c r="P5" s="1">
        <v>-3.9366228807736898E-6</v>
      </c>
      <c r="AE5">
        <v>100</v>
      </c>
      <c r="AJ5">
        <v>1</v>
      </c>
    </row>
    <row r="6" spans="1:36" x14ac:dyDescent="0.2">
      <c r="A6">
        <v>5</v>
      </c>
      <c r="B6">
        <v>752</v>
      </c>
      <c r="C6">
        <v>275</v>
      </c>
      <c r="D6">
        <v>0.29890308735307097</v>
      </c>
      <c r="E6">
        <v>3.7359505902821799</v>
      </c>
      <c r="F6">
        <v>0.55726347778082896</v>
      </c>
      <c r="G6">
        <v>-80.79400226778111</v>
      </c>
      <c r="H6">
        <v>-47.630665379892527</v>
      </c>
      <c r="I6">
        <v>32.351826394410502</v>
      </c>
      <c r="J6">
        <v>14.4542396895826</v>
      </c>
      <c r="K6">
        <v>6.7041009131976903</v>
      </c>
      <c r="L6">
        <v>1.2026398183147557E-3</v>
      </c>
      <c r="M6">
        <v>1.9248008190682318E-4</v>
      </c>
      <c r="N6" s="1">
        <v>5.4581452936287299E-6</v>
      </c>
      <c r="O6" s="1">
        <v>1.0474443520475E-6</v>
      </c>
      <c r="P6" s="1">
        <v>-3.9459427472159603E-6</v>
      </c>
      <c r="AE6">
        <v>100</v>
      </c>
      <c r="AJ6">
        <v>1</v>
      </c>
    </row>
    <row r="7" spans="1:36" x14ac:dyDescent="0.2">
      <c r="A7">
        <v>6</v>
      </c>
      <c r="B7">
        <v>751</v>
      </c>
      <c r="C7">
        <v>275</v>
      </c>
      <c r="D7">
        <v>0.29815017331445698</v>
      </c>
      <c r="E7">
        <v>3.7466324157664799</v>
      </c>
      <c r="F7">
        <v>0.55793424403356595</v>
      </c>
      <c r="G7">
        <v>-80.992571129539243</v>
      </c>
      <c r="H7">
        <v>-47.781349539110074</v>
      </c>
      <c r="I7">
        <v>32.430176872105598</v>
      </c>
      <c r="J7">
        <v>14.5016658378789</v>
      </c>
      <c r="K7">
        <v>6.7151863428929</v>
      </c>
      <c r="L7">
        <v>1.2032692437403826E-3</v>
      </c>
      <c r="M7">
        <v>1.9212262755833811E-4</v>
      </c>
      <c r="N7" s="1">
        <v>5.5145384917854904E-6</v>
      </c>
      <c r="O7" s="1">
        <v>1.04672580415498E-6</v>
      </c>
      <c r="P7" s="1">
        <v>-3.9551176758045596E-6</v>
      </c>
      <c r="AE7">
        <v>100</v>
      </c>
      <c r="AJ7">
        <v>1</v>
      </c>
    </row>
    <row r="8" spans="1:36" x14ac:dyDescent="0.2">
      <c r="A8">
        <v>7</v>
      </c>
      <c r="B8">
        <v>750</v>
      </c>
      <c r="C8">
        <v>275</v>
      </c>
      <c r="D8">
        <v>0.29739578751893703</v>
      </c>
      <c r="E8">
        <v>3.7572318271123701</v>
      </c>
      <c r="F8">
        <v>0.55860616772383997</v>
      </c>
      <c r="G8">
        <v>-81.189188362284938</v>
      </c>
      <c r="H8">
        <v>-47.931071122905372</v>
      </c>
      <c r="I8">
        <v>32.507713784050701</v>
      </c>
      <c r="J8">
        <v>14.548796980193799</v>
      </c>
      <c r="K8">
        <v>6.7260836779193101</v>
      </c>
      <c r="L8">
        <v>1.2038931123682388E-3</v>
      </c>
      <c r="M8">
        <v>1.917644715853801E-4</v>
      </c>
      <c r="N8" s="1">
        <v>5.5710799145452102E-6</v>
      </c>
      <c r="O8" s="1">
        <v>1.04596186002691E-6</v>
      </c>
      <c r="P8" s="1">
        <v>-3.9641477344131399E-6</v>
      </c>
      <c r="AE8">
        <v>100</v>
      </c>
      <c r="AJ8">
        <v>1</v>
      </c>
    </row>
    <row r="9" spans="1:36" x14ac:dyDescent="0.2">
      <c r="A9">
        <v>8</v>
      </c>
      <c r="B9">
        <v>749</v>
      </c>
      <c r="C9">
        <v>275</v>
      </c>
      <c r="D9">
        <v>0.29663992564692099</v>
      </c>
      <c r="E9">
        <v>3.7677492450763599</v>
      </c>
      <c r="F9">
        <v>0.55927924797073003</v>
      </c>
      <c r="G9">
        <v>-81.383865334107398</v>
      </c>
      <c r="H9">
        <v>-48.079834584268454</v>
      </c>
      <c r="I9">
        <v>32.584441507922797</v>
      </c>
      <c r="J9">
        <v>14.5956340698392</v>
      </c>
      <c r="K9">
        <v>6.7367942914870103</v>
      </c>
      <c r="L9">
        <v>1.204511389717951E-3</v>
      </c>
      <c r="M9">
        <v>1.914056180101959E-4</v>
      </c>
      <c r="N9" s="1">
        <v>5.6277659879586796E-6</v>
      </c>
      <c r="O9" s="1">
        <v>1.04515294056055E-6</v>
      </c>
      <c r="P9" s="1">
        <v>-3.9730329893171004E-6</v>
      </c>
      <c r="AE9">
        <v>100</v>
      </c>
      <c r="AJ9">
        <v>1</v>
      </c>
    </row>
    <row r="10" spans="1:36" x14ac:dyDescent="0.2">
      <c r="A10">
        <v>9</v>
      </c>
      <c r="B10">
        <v>748</v>
      </c>
      <c r="C10">
        <v>275</v>
      </c>
      <c r="D10">
        <v>0.29588258336189799</v>
      </c>
      <c r="E10">
        <v>3.7781850822873002</v>
      </c>
      <c r="F10">
        <v>0.55995348386390498</v>
      </c>
      <c r="G10">
        <v>-81.576613221436276</v>
      </c>
      <c r="H10">
        <v>-48.227644277854807</v>
      </c>
      <c r="I10">
        <v>32.660364347150399</v>
      </c>
      <c r="J10">
        <v>14.6421780304899</v>
      </c>
      <c r="K10">
        <v>6.7473195384307596</v>
      </c>
      <c r="L10">
        <v>1.2051240414215599E-3</v>
      </c>
      <c r="M10">
        <v>1.9104607090488277E-4</v>
      </c>
      <c r="N10" s="1">
        <v>5.6845931089911799E-6</v>
      </c>
      <c r="O10" s="1">
        <v>1.04429946420649E-6</v>
      </c>
      <c r="P10" s="1">
        <v>-3.9817735051566203E-6</v>
      </c>
      <c r="AE10">
        <v>100</v>
      </c>
      <c r="AJ10">
        <v>1</v>
      </c>
    </row>
    <row r="11" spans="1:36" x14ac:dyDescent="0.2">
      <c r="A11">
        <v>10</v>
      </c>
      <c r="B11">
        <v>747</v>
      </c>
      <c r="C11">
        <v>275</v>
      </c>
      <c r="D11">
        <v>0.29512375631034898</v>
      </c>
      <c r="E11">
        <v>3.9438378353632002</v>
      </c>
      <c r="F11">
        <v>0.56062887446346499</v>
      </c>
      <c r="G11">
        <v>-85.119216715689674</v>
      </c>
      <c r="H11">
        <v>-50.357450069180473</v>
      </c>
      <c r="I11">
        <v>34.0773646549017</v>
      </c>
      <c r="J11">
        <v>15.2905311651127</v>
      </c>
      <c r="K11">
        <v>7.0346677008699299</v>
      </c>
      <c r="L11">
        <v>1.2057310332263733E-3</v>
      </c>
      <c r="M11">
        <v>1.9068583439123629E-4</v>
      </c>
      <c r="N11" s="1">
        <v>5.97691295622803E-6</v>
      </c>
      <c r="O11" s="1">
        <v>1.08617249931082E-6</v>
      </c>
      <c r="P11" s="1">
        <v>-4.1539407440587398E-6</v>
      </c>
      <c r="AE11">
        <v>100</v>
      </c>
      <c r="AJ11">
        <v>1</v>
      </c>
    </row>
    <row r="12" spans="1:36" x14ac:dyDescent="0.2">
      <c r="A12">
        <v>11</v>
      </c>
      <c r="B12">
        <v>746</v>
      </c>
      <c r="C12">
        <v>275</v>
      </c>
      <c r="D12">
        <v>0.29436344012167098</v>
      </c>
      <c r="E12">
        <v>4.1357234247450902</v>
      </c>
      <c r="F12">
        <v>0.56130541879990004</v>
      </c>
      <c r="G12">
        <v>-89.224924961442909</v>
      </c>
      <c r="H12">
        <v>-52.823606123155407</v>
      </c>
      <c r="I12">
        <v>35.719654175728401</v>
      </c>
      <c r="J12">
        <v>16.041156097178099</v>
      </c>
      <c r="K12">
        <v>7.3680447154554098</v>
      </c>
      <c r="L12">
        <v>1.2063323309982944E-3</v>
      </c>
      <c r="M12">
        <v>1.9032491264064455E-4</v>
      </c>
      <c r="N12" s="1">
        <v>6.3129280773668299E-6</v>
      </c>
      <c r="O12" s="1">
        <v>1.13491440911178E-6</v>
      </c>
      <c r="P12" s="1">
        <v>-4.3534686195031101E-6</v>
      </c>
      <c r="AE12">
        <v>100</v>
      </c>
      <c r="AJ12">
        <v>1</v>
      </c>
    </row>
    <row r="13" spans="1:36" x14ac:dyDescent="0.2">
      <c r="A13">
        <v>12</v>
      </c>
      <c r="B13">
        <v>745</v>
      </c>
      <c r="C13">
        <v>275</v>
      </c>
      <c r="D13">
        <v>0.29360163040809401</v>
      </c>
      <c r="E13">
        <v>4.3341132230351098</v>
      </c>
      <c r="F13">
        <v>0.56198311587393401</v>
      </c>
      <c r="G13">
        <v>-93.46760131157437</v>
      </c>
      <c r="H13">
        <v>-55.374357733238561</v>
      </c>
      <c r="I13">
        <v>37.416612310629098</v>
      </c>
      <c r="J13">
        <v>16.817624978490802</v>
      </c>
      <c r="K13">
        <v>7.7121769331008903</v>
      </c>
      <c r="L13">
        <v>1.206927900724657E-3</v>
      </c>
      <c r="M13">
        <v>1.899633098739132E-4</v>
      </c>
      <c r="N13" s="1">
        <v>6.6631709490700602E-6</v>
      </c>
      <c r="O13" s="1">
        <v>1.1850527142837199E-6</v>
      </c>
      <c r="P13" s="1">
        <v>-4.55954600416474E-6</v>
      </c>
      <c r="AE13">
        <v>100</v>
      </c>
      <c r="AJ13">
        <v>1</v>
      </c>
    </row>
    <row r="14" spans="1:36" x14ac:dyDescent="0.2">
      <c r="A14">
        <v>13</v>
      </c>
      <c r="B14">
        <v>744</v>
      </c>
      <c r="C14">
        <v>275</v>
      </c>
      <c r="D14">
        <v>0.29283832276459099</v>
      </c>
      <c r="E14">
        <v>4.5404205497427403</v>
      </c>
      <c r="F14">
        <v>0.56266196465644502</v>
      </c>
      <c r="G14">
        <v>-97.877546400167901</v>
      </c>
      <c r="H14">
        <v>-58.02784416196782</v>
      </c>
      <c r="I14">
        <v>39.180357415968501</v>
      </c>
      <c r="J14">
        <v>17.6254535300762</v>
      </c>
      <c r="K14">
        <v>8.0695352359832508</v>
      </c>
      <c r="L14">
        <v>1.2075177085175582E-3</v>
      </c>
      <c r="M14">
        <v>1.8960103036114452E-4</v>
      </c>
      <c r="N14" s="1">
        <v>7.0300455829715697E-6</v>
      </c>
      <c r="O14" s="1">
        <v>1.2369530141409101E-6</v>
      </c>
      <c r="P14" s="1">
        <v>-4.7736388912265204E-6</v>
      </c>
      <c r="AE14">
        <v>100</v>
      </c>
      <c r="AJ14">
        <v>1</v>
      </c>
    </row>
    <row r="15" spans="1:36" x14ac:dyDescent="0.2">
      <c r="A15">
        <v>14</v>
      </c>
      <c r="B15">
        <v>743</v>
      </c>
      <c r="C15">
        <v>275</v>
      </c>
      <c r="D15">
        <v>0.29207351276878402</v>
      </c>
      <c r="E15">
        <v>4.7567952681645203</v>
      </c>
      <c r="F15">
        <v>0.563341964088373</v>
      </c>
      <c r="G15">
        <v>-102.50088351313597</v>
      </c>
      <c r="H15">
        <v>-60.811642777220918</v>
      </c>
      <c r="I15">
        <v>41.029339040759901</v>
      </c>
      <c r="J15">
        <v>18.473026746641001</v>
      </c>
      <c r="K15">
        <v>8.4438859012787901</v>
      </c>
      <c r="L15">
        <v>1.2081017206166231E-3</v>
      </c>
      <c r="M15">
        <v>1.8923807842155039E-4</v>
      </c>
      <c r="N15" s="1">
        <v>7.4171662541045201E-6</v>
      </c>
      <c r="O15" s="1">
        <v>1.2911752257218699E-6</v>
      </c>
      <c r="P15" s="1">
        <v>-4.9979829214580996E-6</v>
      </c>
      <c r="AE15">
        <v>100</v>
      </c>
      <c r="AJ15">
        <v>1</v>
      </c>
    </row>
    <row r="16" spans="1:36" x14ac:dyDescent="0.2">
      <c r="A16">
        <v>15</v>
      </c>
      <c r="B16">
        <v>742</v>
      </c>
      <c r="C16">
        <v>275</v>
      </c>
      <c r="D16">
        <v>0.291307195980888</v>
      </c>
      <c r="E16">
        <v>4.9867705176639197</v>
      </c>
      <c r="F16">
        <v>0.56402311308061603</v>
      </c>
      <c r="G16">
        <v>-107.41345729308784</v>
      </c>
      <c r="H16">
        <v>-63.771053821938771</v>
      </c>
      <c r="I16">
        <v>42.993899628096401</v>
      </c>
      <c r="J16">
        <v>19.374117363301998</v>
      </c>
      <c r="K16">
        <v>8.8414293705569502</v>
      </c>
      <c r="L16">
        <v>1.2086799033924221E-3</v>
      </c>
      <c r="M16">
        <v>1.8887445842331584E-4</v>
      </c>
      <c r="N16" s="1">
        <v>7.8304134361951704E-6</v>
      </c>
      <c r="O16" s="1">
        <v>1.3486448288879401E-6</v>
      </c>
      <c r="P16" s="1">
        <v>-5.2362598139228898E-6</v>
      </c>
      <c r="AE16">
        <v>100</v>
      </c>
      <c r="AJ16">
        <v>1</v>
      </c>
    </row>
    <row r="17" spans="1:36" x14ac:dyDescent="0.2">
      <c r="A17">
        <v>16</v>
      </c>
      <c r="B17">
        <v>741</v>
      </c>
      <c r="C17">
        <v>275</v>
      </c>
      <c r="D17">
        <v>0.29053936794360102</v>
      </c>
      <c r="E17">
        <v>5.2367428073003301</v>
      </c>
      <c r="F17">
        <v>0.56470541051391998</v>
      </c>
      <c r="G17">
        <v>-112.75264219506131</v>
      </c>
      <c r="H17">
        <v>-66.988060582383</v>
      </c>
      <c r="I17">
        <v>45.129003005951297</v>
      </c>
      <c r="J17">
        <v>20.353649508141899</v>
      </c>
      <c r="K17">
        <v>9.2734064696396903</v>
      </c>
      <c r="L17">
        <v>1.2092522233491973E-3</v>
      </c>
      <c r="M17">
        <v>1.8851017478340308E-4</v>
      </c>
      <c r="N17" s="1">
        <v>8.2803500459485095E-6</v>
      </c>
      <c r="O17" s="1">
        <v>1.4110448041643401E-6</v>
      </c>
      <c r="P17" s="1">
        <v>-5.4951454785657004E-6</v>
      </c>
      <c r="AE17">
        <v>100</v>
      </c>
      <c r="AJ17">
        <v>1</v>
      </c>
    </row>
    <row r="18" spans="1:36" x14ac:dyDescent="0.2">
      <c r="A18">
        <v>17</v>
      </c>
      <c r="B18">
        <v>740</v>
      </c>
      <c r="C18">
        <v>275</v>
      </c>
      <c r="D18">
        <v>0.28977002418201098</v>
      </c>
      <c r="E18">
        <v>5.5200253096863401</v>
      </c>
      <c r="F18">
        <v>0.56538885523881099</v>
      </c>
      <c r="G18">
        <v>-118.80445607581925</v>
      </c>
      <c r="H18">
        <v>-70.63325031948537</v>
      </c>
      <c r="I18">
        <v>47.5490940668059</v>
      </c>
      <c r="J18">
        <v>21.463481797150699</v>
      </c>
      <c r="K18">
        <v>9.7632368564370999</v>
      </c>
      <c r="L18">
        <v>1.2098186471282174E-3</v>
      </c>
      <c r="M18">
        <v>1.881452319673947E-4</v>
      </c>
      <c r="N18" s="1">
        <v>8.7888321703821703E-6</v>
      </c>
      <c r="O18" s="1">
        <v>1.4818895362257001E-6</v>
      </c>
      <c r="P18" s="1">
        <v>-5.7885500389943499E-6</v>
      </c>
      <c r="AE18">
        <v>100</v>
      </c>
      <c r="AJ18">
        <v>1</v>
      </c>
    </row>
    <row r="19" spans="1:36" x14ac:dyDescent="0.2">
      <c r="A19">
        <v>18</v>
      </c>
      <c r="B19">
        <v>739</v>
      </c>
      <c r="C19">
        <v>275</v>
      </c>
      <c r="D19">
        <v>0.28899916020352701</v>
      </c>
      <c r="E19">
        <v>6.4975274005866801</v>
      </c>
      <c r="F19">
        <v>0.56607344607547905</v>
      </c>
      <c r="G19">
        <v>-139.78673696035818</v>
      </c>
      <c r="H19">
        <v>-83.166460601452371</v>
      </c>
      <c r="I19">
        <v>55.944271741420003</v>
      </c>
      <c r="J19">
        <v>25.274631569915801</v>
      </c>
      <c r="K19">
        <v>11.478240934340301</v>
      </c>
      <c r="L19">
        <v>1.2103791415105356E-3</v>
      </c>
      <c r="M19">
        <v>1.8777963448927699E-4</v>
      </c>
      <c r="N19" s="1">
        <v>1.0416492395134699E-5</v>
      </c>
      <c r="O19" s="1">
        <v>1.73784854228391E-6</v>
      </c>
      <c r="P19" s="1">
        <v>-6.8089825717505702E-6</v>
      </c>
      <c r="AE19">
        <v>100</v>
      </c>
      <c r="AJ19">
        <v>1</v>
      </c>
    </row>
    <row r="20" spans="1:36" x14ac:dyDescent="0.2">
      <c r="A20">
        <v>19</v>
      </c>
      <c r="B20">
        <v>738</v>
      </c>
      <c r="C20">
        <v>275</v>
      </c>
      <c r="D20">
        <v>0.28822677149780002</v>
      </c>
      <c r="E20">
        <v>8.7756858777370397</v>
      </c>
      <c r="F20">
        <v>0.56675918181370799</v>
      </c>
      <c r="G20">
        <v>-188.72312159739937</v>
      </c>
      <c r="H20">
        <v>-112.36036976563507</v>
      </c>
      <c r="I20">
        <v>75.525662679238806</v>
      </c>
      <c r="J20">
        <v>34.150332523850501</v>
      </c>
      <c r="K20">
        <v>15.483976544770901</v>
      </c>
      <c r="L20">
        <v>1.2109336734201096E-3</v>
      </c>
      <c r="M20">
        <v>1.8741338691124582E-4</v>
      </c>
      <c r="N20" s="1">
        <v>1.41650619064043E-5</v>
      </c>
      <c r="O20" s="1">
        <v>2.3384481239905801E-6</v>
      </c>
      <c r="P20" s="1">
        <v>-9.1899921007697393E-6</v>
      </c>
      <c r="AE20">
        <v>100</v>
      </c>
      <c r="AJ20">
        <v>1</v>
      </c>
    </row>
    <row r="21" spans="1:36" x14ac:dyDescent="0.2">
      <c r="A21">
        <v>20</v>
      </c>
      <c r="B21">
        <v>737</v>
      </c>
      <c r="C21">
        <v>275</v>
      </c>
      <c r="D21">
        <v>0.28745285353660599</v>
      </c>
      <c r="E21">
        <v>9.4662890739005192</v>
      </c>
      <c r="F21">
        <v>0.56744606121277097</v>
      </c>
      <c r="G21">
        <v>-203.4932495333839</v>
      </c>
      <c r="H21">
        <v>-121.23942198878062</v>
      </c>
      <c r="I21">
        <v>81.432702803056998</v>
      </c>
      <c r="J21">
        <v>36.852785817485497</v>
      </c>
      <c r="K21">
        <v>16.682271181279699</v>
      </c>
      <c r="L21">
        <v>1.2114822099271985E-3</v>
      </c>
      <c r="M21">
        <v>1.8704649384357149E-4</v>
      </c>
      <c r="N21" s="1">
        <v>1.5383744525496401E-5</v>
      </c>
      <c r="O21" s="1">
        <v>2.5130614584748601E-6</v>
      </c>
      <c r="P21" s="1">
        <v>-9.90622896333824E-6</v>
      </c>
      <c r="AE21">
        <v>100</v>
      </c>
      <c r="AJ21">
        <v>1</v>
      </c>
    </row>
    <row r="22" spans="1:36" x14ac:dyDescent="0.2">
      <c r="A22">
        <v>21</v>
      </c>
      <c r="B22">
        <v>736</v>
      </c>
      <c r="C22">
        <v>275</v>
      </c>
      <c r="D22">
        <v>0.28667740177377199</v>
      </c>
      <c r="E22">
        <v>9.8065681427906899</v>
      </c>
      <c r="F22">
        <v>0.56813408300133506</v>
      </c>
      <c r="G22">
        <v>-210.72375945765469</v>
      </c>
      <c r="H22">
        <v>-125.63572871725117</v>
      </c>
      <c r="I22">
        <v>84.322095487179396</v>
      </c>
      <c r="J22">
        <v>38.193005843016103</v>
      </c>
      <c r="K22">
        <v>17.2610100963924</v>
      </c>
      <c r="L22">
        <v>1.2120247182506813E-3</v>
      </c>
      <c r="M22">
        <v>1.8667895994427741E-4</v>
      </c>
      <c r="N22" s="1">
        <v>1.6044464031116399E-5</v>
      </c>
      <c r="O22" s="1">
        <v>2.5936470204545301E-6</v>
      </c>
      <c r="P22" s="1">
        <v>-1.0254977793130399E-5</v>
      </c>
      <c r="AE22">
        <v>100</v>
      </c>
      <c r="AJ22">
        <v>1</v>
      </c>
    </row>
    <row r="23" spans="1:36" x14ac:dyDescent="0.2">
      <c r="A23">
        <v>22</v>
      </c>
      <c r="B23">
        <v>735</v>
      </c>
      <c r="C23">
        <v>275</v>
      </c>
      <c r="D23">
        <v>0.285900411645091</v>
      </c>
      <c r="E23">
        <v>9.9635223753308804</v>
      </c>
      <c r="F23">
        <v>0.56882324587739896</v>
      </c>
      <c r="G23">
        <v>-214.01074314249001</v>
      </c>
      <c r="H23">
        <v>-127.68534209904136</v>
      </c>
      <c r="I23">
        <v>85.633192265815694</v>
      </c>
      <c r="J23">
        <v>38.819992522540801</v>
      </c>
      <c r="K23">
        <v>17.516025316374499</v>
      </c>
      <c r="L23">
        <v>1.2125611657616516E-3</v>
      </c>
      <c r="M23">
        <v>1.8631078991901111E-4</v>
      </c>
      <c r="N23" s="1">
        <v>1.6410734581175599E-5</v>
      </c>
      <c r="O23" s="1">
        <v>2.6252518743132199E-6</v>
      </c>
      <c r="P23" s="1">
        <v>-1.0411520832047599E-5</v>
      </c>
      <c r="AE23">
        <v>100</v>
      </c>
      <c r="AJ23">
        <v>1</v>
      </c>
    </row>
    <row r="24" spans="1:36" x14ac:dyDescent="0.2">
      <c r="A24">
        <v>23</v>
      </c>
      <c r="B24">
        <v>756</v>
      </c>
      <c r="C24">
        <v>250</v>
      </c>
      <c r="D24">
        <v>0.32862119224602798</v>
      </c>
      <c r="E24">
        <v>4.1504655890487596</v>
      </c>
      <c r="F24">
        <v>0.52617349171939898</v>
      </c>
      <c r="G24">
        <v>-90.09419655317464</v>
      </c>
      <c r="H24">
        <v>-52.796824682136041</v>
      </c>
      <c r="I24">
        <v>36.243256106803102</v>
      </c>
      <c r="J24">
        <v>16.188293278521002</v>
      </c>
      <c r="K24">
        <v>7.88801726876454</v>
      </c>
      <c r="L24">
        <v>1.2959633878440581E-3</v>
      </c>
      <c r="M24">
        <v>2.2855032405439383E-4</v>
      </c>
      <c r="N24" s="1">
        <v>6.3179600029966002E-6</v>
      </c>
      <c r="O24" s="1">
        <v>1.6704778351610399E-6</v>
      </c>
      <c r="P24" s="1">
        <v>-5.6054104290964899E-6</v>
      </c>
      <c r="AE24">
        <v>100</v>
      </c>
      <c r="AJ24">
        <v>1</v>
      </c>
    </row>
    <row r="25" spans="1:36" x14ac:dyDescent="0.2">
      <c r="A25">
        <v>24</v>
      </c>
      <c r="B25">
        <v>755</v>
      </c>
      <c r="C25">
        <v>250</v>
      </c>
      <c r="D25">
        <v>0.32790011185138401</v>
      </c>
      <c r="E25">
        <v>4.1535459560595802</v>
      </c>
      <c r="F25">
        <v>0.52685606622883996</v>
      </c>
      <c r="G25">
        <v>-90.124799829239038</v>
      </c>
      <c r="H25">
        <v>-52.852213409756587</v>
      </c>
      <c r="I25">
        <v>36.254401919501397</v>
      </c>
      <c r="J25">
        <v>16.208300617557299</v>
      </c>
      <c r="K25">
        <v>7.8836445517085201</v>
      </c>
      <c r="L25">
        <v>1.2968387578846607E-3</v>
      </c>
      <c r="M25">
        <v>2.2813534073467382E-4</v>
      </c>
      <c r="N25" s="1">
        <v>6.3827858478718198E-6</v>
      </c>
      <c r="O25" s="1">
        <v>1.6660157523719099E-6</v>
      </c>
      <c r="P25" s="1">
        <v>-5.60834640643836E-6</v>
      </c>
      <c r="AE25">
        <v>100</v>
      </c>
      <c r="AJ25">
        <v>1</v>
      </c>
    </row>
    <row r="26" spans="1:36" x14ac:dyDescent="0.2">
      <c r="A26">
        <v>25</v>
      </c>
      <c r="B26">
        <v>754</v>
      </c>
      <c r="C26">
        <v>250</v>
      </c>
      <c r="D26">
        <v>0.32717762741566497</v>
      </c>
      <c r="E26">
        <v>4.1639860556797501</v>
      </c>
      <c r="F26">
        <v>0.52753998630330401</v>
      </c>
      <c r="G26">
        <v>-90.314994402851653</v>
      </c>
      <c r="H26">
        <v>-53.001312550200986</v>
      </c>
      <c r="I26">
        <v>36.329713032341601</v>
      </c>
      <c r="J26">
        <v>16.257042110657999</v>
      </c>
      <c r="K26">
        <v>7.8932140952168703</v>
      </c>
      <c r="L26">
        <v>1.2977077046387243E-3</v>
      </c>
      <c r="M26">
        <v>2.2771925480444122E-4</v>
      </c>
      <c r="N26" s="1">
        <v>6.4592334092517199E-6</v>
      </c>
      <c r="O26" s="1">
        <v>1.6644810691493799E-6</v>
      </c>
      <c r="P26" s="1">
        <v>-5.6211436120434499E-6</v>
      </c>
      <c r="AE26">
        <v>100</v>
      </c>
      <c r="AJ26">
        <v>1</v>
      </c>
    </row>
    <row r="27" spans="1:36" x14ac:dyDescent="0.2">
      <c r="A27">
        <v>26</v>
      </c>
      <c r="B27">
        <v>753</v>
      </c>
      <c r="C27">
        <v>250</v>
      </c>
      <c r="D27">
        <v>0.32645373483409301</v>
      </c>
      <c r="E27">
        <v>4.2489675226517098</v>
      </c>
      <c r="F27">
        <v>0.528225251476657</v>
      </c>
      <c r="G27">
        <v>-92.121141321671118</v>
      </c>
      <c r="H27">
        <v>-54.099592384090059</v>
      </c>
      <c r="I27">
        <v>37.0549924062895</v>
      </c>
      <c r="J27">
        <v>16.596979387754399</v>
      </c>
      <c r="K27">
        <v>8.0438553643047204</v>
      </c>
      <c r="L27">
        <v>1.2985701764441147E-3</v>
      </c>
      <c r="M27">
        <v>2.2730207043318774E-4</v>
      </c>
      <c r="N27" s="1">
        <v>6.6528102740558803E-6</v>
      </c>
      <c r="O27" s="1">
        <v>1.6926057718925999E-6</v>
      </c>
      <c r="P27" s="1">
        <v>-5.7344634422791999E-6</v>
      </c>
      <c r="AE27">
        <v>100</v>
      </c>
      <c r="AJ27">
        <v>1</v>
      </c>
    </row>
    <row r="28" spans="1:36" x14ac:dyDescent="0.2">
      <c r="A28">
        <v>27</v>
      </c>
      <c r="B28">
        <v>752</v>
      </c>
      <c r="C28">
        <v>250</v>
      </c>
      <c r="D28">
        <v>0.32572842998585799</v>
      </c>
      <c r="E28">
        <v>4.4242575388003802</v>
      </c>
      <c r="F28">
        <v>0.52891186124509804</v>
      </c>
      <c r="G28">
        <v>-95.882999051039292</v>
      </c>
      <c r="H28">
        <v>-56.34874248806203</v>
      </c>
      <c r="I28">
        <v>38.566832556037099</v>
      </c>
      <c r="J28">
        <v>17.290159218836699</v>
      </c>
      <c r="K28">
        <v>8.3648294980289197</v>
      </c>
      <c r="L28">
        <v>1.2994261217443425E-3</v>
      </c>
      <c r="M28">
        <v>2.268837918776033E-4</v>
      </c>
      <c r="N28" s="1">
        <v>6.9916871614413904E-6</v>
      </c>
      <c r="O28" s="1">
        <v>1.7563412259598901E-6</v>
      </c>
      <c r="P28" s="1">
        <v>-5.9695014553367397E-6</v>
      </c>
      <c r="AE28">
        <v>100</v>
      </c>
      <c r="AJ28">
        <v>1</v>
      </c>
    </row>
    <row r="29" spans="1:36" x14ac:dyDescent="0.2">
      <c r="A29">
        <v>28</v>
      </c>
      <c r="B29">
        <v>751</v>
      </c>
      <c r="C29">
        <v>250</v>
      </c>
      <c r="D29">
        <v>0.32500170873407402</v>
      </c>
      <c r="E29">
        <v>4.6038430764624696</v>
      </c>
      <c r="F29">
        <v>0.52959981506698395</v>
      </c>
      <c r="G29">
        <v>-99.734873175876942</v>
      </c>
      <c r="H29">
        <v>-58.653997051624465</v>
      </c>
      <c r="I29">
        <v>40.114739760747099</v>
      </c>
      <c r="J29">
        <v>18.000792232344999</v>
      </c>
      <c r="K29">
        <v>8.6930602041093596</v>
      </c>
      <c r="L29">
        <v>1.3002754890942478E-3</v>
      </c>
      <c r="M29">
        <v>2.2646442348167082E-4</v>
      </c>
      <c r="N29" s="1">
        <v>7.3426375678997898E-6</v>
      </c>
      <c r="O29" s="1">
        <v>1.8212868465572E-6</v>
      </c>
      <c r="P29" s="1">
        <v>-6.2101308344660001E-6</v>
      </c>
      <c r="AE29">
        <v>100</v>
      </c>
      <c r="AJ29">
        <v>1</v>
      </c>
    </row>
    <row r="30" spans="1:36" x14ac:dyDescent="0.2">
      <c r="A30">
        <v>29</v>
      </c>
      <c r="B30">
        <v>750</v>
      </c>
      <c r="C30">
        <v>250</v>
      </c>
      <c r="D30">
        <v>0.324273566925672</v>
      </c>
      <c r="E30">
        <v>4.7884295197354998</v>
      </c>
      <c r="F30">
        <v>0.53028911236263798</v>
      </c>
      <c r="G30">
        <v>-103.69192833724183</v>
      </c>
      <c r="H30">
        <v>-61.024396976028513</v>
      </c>
      <c r="I30">
        <v>41.704805350757702</v>
      </c>
      <c r="J30">
        <v>18.731660518428001</v>
      </c>
      <c r="K30">
        <v>9.0298469421731902</v>
      </c>
      <c r="L30">
        <v>1.3011182271658577E-3</v>
      </c>
      <c r="M30">
        <v>2.2604396967675723E-4</v>
      </c>
      <c r="N30" s="1">
        <v>7.7069950216232304E-6</v>
      </c>
      <c r="O30" s="1">
        <v>1.88770232351148E-6</v>
      </c>
      <c r="P30" s="1">
        <v>-6.4572881514606698E-6</v>
      </c>
      <c r="AE30">
        <v>100</v>
      </c>
      <c r="AJ30">
        <v>1</v>
      </c>
    </row>
    <row r="31" spans="1:36" x14ac:dyDescent="0.2">
      <c r="A31">
        <v>30</v>
      </c>
      <c r="B31">
        <v>749</v>
      </c>
      <c r="C31">
        <v>250</v>
      </c>
      <c r="D31">
        <v>0.32354400039133302</v>
      </c>
      <c r="E31">
        <v>4.9790102927115898</v>
      </c>
      <c r="F31">
        <v>0.53097975251415996</v>
      </c>
      <c r="G31">
        <v>-107.77553961687292</v>
      </c>
      <c r="H31">
        <v>-63.472666197315</v>
      </c>
      <c r="I31">
        <v>43.345617291976403</v>
      </c>
      <c r="J31">
        <v>19.486678740883299</v>
      </c>
      <c r="K31">
        <v>9.3770247719169202</v>
      </c>
      <c r="L31">
        <v>1.301954284753894E-3</v>
      </c>
      <c r="M31">
        <v>2.2562243498164988E-4</v>
      </c>
      <c r="N31" s="1">
        <v>8.0866022241794992E-6</v>
      </c>
      <c r="O31" s="1">
        <v>1.9559565886163698E-6</v>
      </c>
      <c r="P31" s="1">
        <v>-6.7122966424471203E-6</v>
      </c>
      <c r="AE31">
        <v>100</v>
      </c>
      <c r="AJ31">
        <v>1</v>
      </c>
    </row>
    <row r="32" spans="1:36" x14ac:dyDescent="0.2">
      <c r="A32">
        <v>31</v>
      </c>
      <c r="B32">
        <v>748</v>
      </c>
      <c r="C32">
        <v>250</v>
      </c>
      <c r="D32">
        <v>0.32281300494540499</v>
      </c>
      <c r="E32">
        <v>5.1770665462102299</v>
      </c>
      <c r="F32">
        <v>0.53167173486526598</v>
      </c>
      <c r="G32">
        <v>-112.01760070559386</v>
      </c>
      <c r="H32">
        <v>-66.01776373546744</v>
      </c>
      <c r="I32">
        <v>45.049992269022603</v>
      </c>
      <c r="J32">
        <v>20.271678760306699</v>
      </c>
      <c r="K32">
        <v>9.7373364177845207</v>
      </c>
      <c r="L32">
        <v>1.3027836107818854E-3</v>
      </c>
      <c r="M32">
        <v>2.2519982400264784E-4</v>
      </c>
      <c r="N32" s="1">
        <v>8.4841595342259604E-6</v>
      </c>
      <c r="O32" s="1">
        <v>2.0266039857618E-6</v>
      </c>
      <c r="P32" s="1">
        <v>-6.9771345943463598E-6</v>
      </c>
      <c r="AE32">
        <v>100</v>
      </c>
      <c r="AJ32">
        <v>1</v>
      </c>
    </row>
    <row r="33" spans="1:36" x14ac:dyDescent="0.2">
      <c r="A33">
        <v>32</v>
      </c>
      <c r="B33">
        <v>747</v>
      </c>
      <c r="C33">
        <v>250</v>
      </c>
      <c r="D33">
        <v>0.32208057638582899</v>
      </c>
      <c r="E33">
        <v>5.38493900354724</v>
      </c>
      <c r="F33">
        <v>0.53236505872108797</v>
      </c>
      <c r="G33">
        <v>-116.46854521905924</v>
      </c>
      <c r="H33">
        <v>-68.689636484342742</v>
      </c>
      <c r="I33">
        <v>46.838200585685797</v>
      </c>
      <c r="J33">
        <v>21.0958709638704</v>
      </c>
      <c r="K33">
        <v>10.115124791404501</v>
      </c>
      <c r="L33">
        <v>1.3036061543077364E-3</v>
      </c>
      <c r="M33">
        <v>2.2477614143356757E-4</v>
      </c>
      <c r="N33" s="1">
        <v>8.9038757884746199E-6</v>
      </c>
      <c r="O33" s="1">
        <v>2.1005259328311402E-6</v>
      </c>
      <c r="P33" s="1">
        <v>-7.2549350733572102E-6</v>
      </c>
      <c r="AE33">
        <v>100</v>
      </c>
      <c r="AJ33">
        <v>1</v>
      </c>
    </row>
    <row r="34" spans="1:36" x14ac:dyDescent="0.2">
      <c r="A34">
        <v>33</v>
      </c>
      <c r="B34">
        <v>746</v>
      </c>
      <c r="C34">
        <v>250</v>
      </c>
      <c r="D34">
        <v>0.32134671049404001</v>
      </c>
      <c r="E34">
        <v>5.60658637318486</v>
      </c>
      <c r="F34">
        <v>0.53305972334802598</v>
      </c>
      <c r="G34">
        <v>-121.21370616841828</v>
      </c>
      <c r="H34">
        <v>-71.538913273498594</v>
      </c>
      <c r="I34">
        <v>48.744543323285299</v>
      </c>
      <c r="J34">
        <v>21.974824937422799</v>
      </c>
      <c r="K34">
        <v>10.517745249952799</v>
      </c>
      <c r="L34">
        <v>1.3044218645294641E-3</v>
      </c>
      <c r="M34">
        <v>2.2435139205577128E-4</v>
      </c>
      <c r="N34" s="1">
        <v>9.35279693309644E-6</v>
      </c>
      <c r="O34" s="1">
        <v>2.1792197393240798E-6</v>
      </c>
      <c r="P34" s="1">
        <v>-7.55100513772682E-6</v>
      </c>
      <c r="AE34">
        <v>100</v>
      </c>
      <c r="AJ34">
        <v>1</v>
      </c>
    </row>
    <row r="35" spans="1:36" x14ac:dyDescent="0.2">
      <c r="A35">
        <v>34</v>
      </c>
      <c r="B35">
        <v>745</v>
      </c>
      <c r="C35">
        <v>250</v>
      </c>
      <c r="D35">
        <v>0.32061140303491598</v>
      </c>
      <c r="E35">
        <v>5.8493379135450398</v>
      </c>
      <c r="F35">
        <v>0.53375572797354498</v>
      </c>
      <c r="G35">
        <v>-126.41112073273158</v>
      </c>
      <c r="H35">
        <v>-74.659305873020429</v>
      </c>
      <c r="I35">
        <v>50.832551402107498</v>
      </c>
      <c r="J35">
        <v>22.937357136498999</v>
      </c>
      <c r="K35">
        <v>10.958829305219099</v>
      </c>
      <c r="L35">
        <v>1.3052306907911384E-3</v>
      </c>
      <c r="M35">
        <v>2.2392558073817514E-4</v>
      </c>
      <c r="N35" s="1">
        <v>9.8438749666877602E-6</v>
      </c>
      <c r="O35" s="1">
        <v>2.2654661391163902E-6</v>
      </c>
      <c r="P35" s="1">
        <v>-7.8751811273228604E-6</v>
      </c>
      <c r="AE35">
        <v>100</v>
      </c>
      <c r="AJ35">
        <v>1</v>
      </c>
    </row>
    <row r="36" spans="1:36" x14ac:dyDescent="0.2">
      <c r="A36">
        <v>35</v>
      </c>
      <c r="B36">
        <v>744</v>
      </c>
      <c r="C36">
        <v>250</v>
      </c>
      <c r="D36">
        <v>0.31987464975667701</v>
      </c>
      <c r="E36">
        <v>6.1287095039473902</v>
      </c>
      <c r="F36">
        <v>0.53445307178602697</v>
      </c>
      <c r="G36">
        <v>-132.39542314251815</v>
      </c>
      <c r="H36">
        <v>-78.249165036204531</v>
      </c>
      <c r="I36">
        <v>53.236754982291302</v>
      </c>
      <c r="J36">
        <v>24.044457244593001</v>
      </c>
      <c r="K36">
        <v>11.467254708568801</v>
      </c>
      <c r="L36">
        <v>1.3060325825887279E-3</v>
      </c>
      <c r="M36">
        <v>2.2349871243725617E-4</v>
      </c>
      <c r="N36" s="1">
        <v>1.0404393134818699E-5</v>
      </c>
      <c r="O36" s="1">
        <v>2.36516446083049E-6</v>
      </c>
      <c r="P36" s="1">
        <v>-8.2483013533716099E-6</v>
      </c>
      <c r="AE36">
        <v>100</v>
      </c>
      <c r="AJ36">
        <v>1</v>
      </c>
    </row>
    <row r="37" spans="1:36" x14ac:dyDescent="0.2">
      <c r="A37">
        <v>36</v>
      </c>
      <c r="B37">
        <v>743</v>
      </c>
      <c r="C37">
        <v>250</v>
      </c>
      <c r="D37">
        <v>0.31913644639078897</v>
      </c>
      <c r="E37">
        <v>6.9942987110781898</v>
      </c>
      <c r="F37">
        <v>0.53515175393459302</v>
      </c>
      <c r="G37">
        <v>-151.03356845108604</v>
      </c>
      <c r="H37">
        <v>-89.328144590066472</v>
      </c>
      <c r="I37">
        <v>60.728658591980597</v>
      </c>
      <c r="J37">
        <v>27.4535748776639</v>
      </c>
      <c r="K37">
        <v>13.069748271689299</v>
      </c>
      <c r="L37">
        <v>1.30682748957556E-3</v>
      </c>
      <c r="M37">
        <v>2.2307079219698701E-4</v>
      </c>
      <c r="N37" s="1">
        <v>1.1977120552191201E-5</v>
      </c>
      <c r="O37" s="1">
        <v>2.6894965471791501E-6</v>
      </c>
      <c r="P37" s="1">
        <v>-9.4096900855870601E-6</v>
      </c>
      <c r="AE37">
        <v>100</v>
      </c>
      <c r="AJ37">
        <v>1</v>
      </c>
    </row>
    <row r="38" spans="1:36" x14ac:dyDescent="0.2">
      <c r="A38">
        <v>37</v>
      </c>
      <c r="B38">
        <v>742</v>
      </c>
      <c r="C38">
        <v>250</v>
      </c>
      <c r="D38">
        <v>0.318396788651924</v>
      </c>
      <c r="E38">
        <v>9.2132593505807492</v>
      </c>
      <c r="F38">
        <v>0.53585177352894597</v>
      </c>
      <c r="G38">
        <v>-198.86940919724091</v>
      </c>
      <c r="H38">
        <v>-117.70391786456001</v>
      </c>
      <c r="I38">
        <v>79.959379131596506</v>
      </c>
      <c r="J38">
        <v>36.180645863188602</v>
      </c>
      <c r="K38">
        <v>17.1936714698268</v>
      </c>
      <c r="L38">
        <v>1.3076153615686314E-3</v>
      </c>
      <c r="M38">
        <v>2.22641825148849E-4</v>
      </c>
      <c r="N38" s="1">
        <v>1.59130889392678E-5</v>
      </c>
      <c r="O38" s="1">
        <v>3.5299427236316299E-6</v>
      </c>
      <c r="P38" s="1">
        <v>-1.23900792986669E-5</v>
      </c>
      <c r="AE38">
        <v>100</v>
      </c>
      <c r="AJ38">
        <v>1</v>
      </c>
    </row>
    <row r="39" spans="1:36" x14ac:dyDescent="0.2">
      <c r="A39">
        <v>38</v>
      </c>
      <c r="B39">
        <v>741</v>
      </c>
      <c r="C39">
        <v>250</v>
      </c>
      <c r="D39">
        <v>0.31765567223783697</v>
      </c>
      <c r="E39">
        <v>9.8237194559275007</v>
      </c>
      <c r="F39">
        <v>0.53655312963919899</v>
      </c>
      <c r="G39">
        <v>-211.96103210051507</v>
      </c>
      <c r="H39">
        <v>-125.54143300893874</v>
      </c>
      <c r="I39">
        <v>85.219366787057595</v>
      </c>
      <c r="J39">
        <v>38.596396362939899</v>
      </c>
      <c r="K39">
        <v>18.308940742798999</v>
      </c>
      <c r="L39">
        <v>1.3083961485540511E-3</v>
      </c>
      <c r="M39">
        <v>2.2221181651174392E-4</v>
      </c>
      <c r="N39" s="1">
        <v>1.7112865757367399E-5</v>
      </c>
      <c r="O39" s="1">
        <v>3.7501693321616201E-6</v>
      </c>
      <c r="P39" s="1">
        <v>-1.3205666895139099E-5</v>
      </c>
      <c r="AE39">
        <v>100</v>
      </c>
      <c r="AJ39">
        <v>1</v>
      </c>
    </row>
    <row r="40" spans="1:36" x14ac:dyDescent="0.2">
      <c r="A40">
        <v>39</v>
      </c>
      <c r="B40">
        <v>740</v>
      </c>
      <c r="C40">
        <v>250</v>
      </c>
      <c r="D40">
        <v>0.31691309282929903</v>
      </c>
      <c r="E40">
        <v>10.1533673625469</v>
      </c>
      <c r="F40">
        <v>0.53725582129572502</v>
      </c>
      <c r="G40">
        <v>-218.98560569416716</v>
      </c>
      <c r="H40">
        <v>-129.79404300412301</v>
      </c>
      <c r="I40">
        <v>88.0396516511248</v>
      </c>
      <c r="J40">
        <v>39.910593322181903</v>
      </c>
      <c r="K40">
        <v>18.8985711463481</v>
      </c>
      <c r="L40">
        <v>1.309169800692835E-3</v>
      </c>
      <c r="M40">
        <v>2.2178077159190816E-4</v>
      </c>
      <c r="N40" s="1">
        <v>1.78375565954731E-5</v>
      </c>
      <c r="O40" s="1">
        <v>3.8618783157059999E-6</v>
      </c>
      <c r="P40" s="1">
        <v>-1.3643066724452E-5</v>
      </c>
      <c r="AE40">
        <v>100</v>
      </c>
      <c r="AJ40">
        <v>1</v>
      </c>
    </row>
    <row r="41" spans="1:36" x14ac:dyDescent="0.2">
      <c r="A41">
        <v>40</v>
      </c>
      <c r="B41">
        <v>739</v>
      </c>
      <c r="C41">
        <v>250</v>
      </c>
      <c r="D41">
        <v>0.31616904609000601</v>
      </c>
      <c r="E41">
        <v>10.340231672779099</v>
      </c>
      <c r="F41">
        <v>0.53795984748899806</v>
      </c>
      <c r="G41">
        <v>-222.92621437100317</v>
      </c>
      <c r="H41">
        <v>-132.22344957558164</v>
      </c>
      <c r="I41">
        <v>89.619801522449805</v>
      </c>
      <c r="J41">
        <v>40.664469922859503</v>
      </c>
      <c r="K41">
        <v>19.2211960075525</v>
      </c>
      <c r="L41">
        <v>1.3099362683270542E-3</v>
      </c>
      <c r="M41">
        <v>2.2134869578288173E-4</v>
      </c>
      <c r="N41" s="1">
        <v>1.8319225075003E-5</v>
      </c>
      <c r="O41" s="1">
        <v>3.9185490387112502E-6</v>
      </c>
      <c r="P41" s="1">
        <v>-1.38881236840515E-5</v>
      </c>
      <c r="AE41">
        <v>100</v>
      </c>
      <c r="AJ41">
        <v>1</v>
      </c>
    </row>
    <row r="42" spans="1:36" x14ac:dyDescent="0.2">
      <c r="A42">
        <v>41</v>
      </c>
      <c r="B42">
        <v>762</v>
      </c>
      <c r="C42">
        <v>225</v>
      </c>
      <c r="D42">
        <v>0.35948461575617302</v>
      </c>
      <c r="E42">
        <v>4.5931234881628704</v>
      </c>
      <c r="F42">
        <v>0.49006487950535499</v>
      </c>
      <c r="G42">
        <v>-100.17076471292478</v>
      </c>
      <c r="H42">
        <v>-58.231496344148596</v>
      </c>
      <c r="I42">
        <v>40.517699691915297</v>
      </c>
      <c r="J42">
        <v>18.032389536533302</v>
      </c>
      <c r="K42">
        <v>9.3724804209575705</v>
      </c>
      <c r="L42">
        <v>1.400395218574617E-3</v>
      </c>
      <c r="M42">
        <v>2.7806099651990983E-4</v>
      </c>
      <c r="N42" s="1">
        <v>6.4845010756153797E-6</v>
      </c>
      <c r="O42" s="1">
        <v>2.7777820133539202E-6</v>
      </c>
      <c r="P42" s="1">
        <v>-8.0657989736488208E-6</v>
      </c>
      <c r="AE42">
        <v>100</v>
      </c>
      <c r="AJ42">
        <v>1</v>
      </c>
    </row>
    <row r="43" spans="1:36" x14ac:dyDescent="0.2">
      <c r="A43">
        <v>42</v>
      </c>
      <c r="B43">
        <v>761</v>
      </c>
      <c r="C43">
        <v>225</v>
      </c>
      <c r="D43">
        <v>0.35879756321617101</v>
      </c>
      <c r="E43">
        <v>4.5952067860790304</v>
      </c>
      <c r="F43">
        <v>0.49075195566205598</v>
      </c>
      <c r="G43">
        <v>-100.17567169661784</v>
      </c>
      <c r="H43">
        <v>-58.275954269821206</v>
      </c>
      <c r="I43">
        <v>40.5186356778974</v>
      </c>
      <c r="J43">
        <v>18.051291250107301</v>
      </c>
      <c r="K43">
        <v>9.3636036149459692</v>
      </c>
      <c r="L43">
        <v>1.4016610472918712E-3</v>
      </c>
      <c r="M43">
        <v>2.7758893737240956E-4</v>
      </c>
      <c r="N43" s="1">
        <v>6.5755936633429304E-6</v>
      </c>
      <c r="O43" s="1">
        <v>2.7702952171553999E-6</v>
      </c>
      <c r="P43" s="1">
        <v>-8.0715730784606401E-6</v>
      </c>
      <c r="AE43">
        <v>100</v>
      </c>
      <c r="AJ43">
        <v>1</v>
      </c>
    </row>
    <row r="44" spans="1:36" x14ac:dyDescent="0.2">
      <c r="A44">
        <v>43</v>
      </c>
      <c r="B44">
        <v>760</v>
      </c>
      <c r="C44">
        <v>225</v>
      </c>
      <c r="D44">
        <v>0.35810918066108399</v>
      </c>
      <c r="E44">
        <v>4.6392922425252197</v>
      </c>
      <c r="F44">
        <v>0.49144061549942197</v>
      </c>
      <c r="G44">
        <v>-101.09583767111384</v>
      </c>
      <c r="H44">
        <v>-58.853271513331393</v>
      </c>
      <c r="I44">
        <v>40.889726608613202</v>
      </c>
      <c r="J44">
        <v>18.235288181790001</v>
      </c>
      <c r="K44">
        <v>9.4401888981247097</v>
      </c>
      <c r="L44">
        <v>1.4029199985897737E-3</v>
      </c>
      <c r="M44">
        <v>2.77115137067881E-4</v>
      </c>
      <c r="N44" s="1">
        <v>6.7280099917691001E-6</v>
      </c>
      <c r="O44" s="1">
        <v>2.7880243028254299E-6</v>
      </c>
      <c r="P44" s="1">
        <v>-8.1510418470710392E-6</v>
      </c>
      <c r="AE44">
        <v>100</v>
      </c>
      <c r="AJ44">
        <v>1</v>
      </c>
    </row>
    <row r="45" spans="1:36" x14ac:dyDescent="0.2">
      <c r="A45">
        <v>44</v>
      </c>
      <c r="B45">
        <v>759</v>
      </c>
      <c r="C45">
        <v>225</v>
      </c>
      <c r="D45">
        <v>0.35741946422516302</v>
      </c>
      <c r="E45">
        <v>4.6835108033779997</v>
      </c>
      <c r="F45">
        <v>0.49213085957542302</v>
      </c>
      <c r="G45">
        <v>-102.0181435108732</v>
      </c>
      <c r="H45">
        <v>-59.432635198122789</v>
      </c>
      <c r="I45">
        <v>41.261627191040603</v>
      </c>
      <c r="J45">
        <v>18.4200046245011</v>
      </c>
      <c r="K45">
        <v>9.5167996727915103</v>
      </c>
      <c r="L45">
        <v>1.4041719922708539E-3</v>
      </c>
      <c r="M45">
        <v>2.7663959775880412E-4</v>
      </c>
      <c r="N45" s="1">
        <v>6.8826528638672499E-6</v>
      </c>
      <c r="O45" s="1">
        <v>2.8056469628586299E-6</v>
      </c>
      <c r="P45" s="1">
        <v>-8.2306768451881705E-6</v>
      </c>
      <c r="AE45">
        <v>100</v>
      </c>
      <c r="AJ45">
        <v>1</v>
      </c>
    </row>
    <row r="46" spans="1:36" x14ac:dyDescent="0.2">
      <c r="A46">
        <v>45</v>
      </c>
      <c r="B46">
        <v>758</v>
      </c>
      <c r="C46">
        <v>225</v>
      </c>
      <c r="D46">
        <v>0.356728410027642</v>
      </c>
      <c r="E46">
        <v>4.7657267630845102</v>
      </c>
      <c r="F46">
        <v>0.49282268840091997</v>
      </c>
      <c r="G46">
        <v>-103.76702823141819</v>
      </c>
      <c r="H46">
        <v>-60.494685022753522</v>
      </c>
      <c r="I46">
        <v>41.967774281304997</v>
      </c>
      <c r="J46">
        <v>18.754447240348199</v>
      </c>
      <c r="K46">
        <v>9.6702665588470307</v>
      </c>
      <c r="L46">
        <v>1.4054169480793059E-3</v>
      </c>
      <c r="M46">
        <v>2.7616232173905721E-4</v>
      </c>
      <c r="N46" s="1">
        <v>7.0959128946798097E-6</v>
      </c>
      <c r="O46" s="1">
        <v>2.84577204442607E-6</v>
      </c>
      <c r="P46" s="1">
        <v>-8.3770306961884597E-6</v>
      </c>
      <c r="AE46">
        <v>100</v>
      </c>
      <c r="AJ46">
        <v>1</v>
      </c>
    </row>
    <row r="47" spans="1:36" x14ac:dyDescent="0.2">
      <c r="A47">
        <v>46</v>
      </c>
      <c r="B47">
        <v>757</v>
      </c>
      <c r="C47">
        <v>225</v>
      </c>
      <c r="D47">
        <v>0.35603601417269398</v>
      </c>
      <c r="E47">
        <v>4.93006804716814</v>
      </c>
      <c r="F47">
        <v>0.49351610243928701</v>
      </c>
      <c r="G47">
        <v>-107.30192403570678</v>
      </c>
      <c r="H47">
        <v>-62.600190171519579</v>
      </c>
      <c r="I47">
        <v>43.396160900708203</v>
      </c>
      <c r="J47">
        <v>19.412638506893799</v>
      </c>
      <c r="K47">
        <v>9.98968022076774</v>
      </c>
      <c r="L47">
        <v>1.4066547857104824E-3</v>
      </c>
      <c r="M47">
        <v>2.7568331144484364E-4</v>
      </c>
      <c r="N47" s="1">
        <v>7.4365769082940896E-6</v>
      </c>
      <c r="O47" s="1">
        <v>2.9344459899787399E-6</v>
      </c>
      <c r="P47" s="1">
        <v>-8.6677241892284994E-6</v>
      </c>
      <c r="AE47">
        <v>100</v>
      </c>
      <c r="AJ47">
        <v>1</v>
      </c>
    </row>
    <row r="48" spans="1:36" x14ac:dyDescent="0.2">
      <c r="A48">
        <v>47</v>
      </c>
      <c r="B48">
        <v>756</v>
      </c>
      <c r="C48">
        <v>225</v>
      </c>
      <c r="D48">
        <v>0.35534227274935698</v>
      </c>
      <c r="E48">
        <v>5.0977793017821398</v>
      </c>
      <c r="F48">
        <v>0.49421110210605401</v>
      </c>
      <c r="G48">
        <v>-110.90726257041808</v>
      </c>
      <c r="H48">
        <v>-64.74980491762274</v>
      </c>
      <c r="I48">
        <v>44.8529125153294</v>
      </c>
      <c r="J48">
        <v>20.084859661909299</v>
      </c>
      <c r="K48">
        <v>10.314983374631201</v>
      </c>
      <c r="L48">
        <v>1.4078854248212129E-3</v>
      </c>
      <c r="M48">
        <v>2.7520256945572113E-4</v>
      </c>
      <c r="N48" s="1">
        <v>7.7891359382213706E-6</v>
      </c>
      <c r="O48" s="1">
        <v>3.0244694268940698E-6</v>
      </c>
      <c r="P48" s="1">
        <v>-8.9643459200020198E-6</v>
      </c>
      <c r="AE48">
        <v>100</v>
      </c>
      <c r="AJ48">
        <v>1</v>
      </c>
    </row>
    <row r="49" spans="1:36" x14ac:dyDescent="0.2">
      <c r="A49">
        <v>48</v>
      </c>
      <c r="B49">
        <v>755</v>
      </c>
      <c r="C49">
        <v>225</v>
      </c>
      <c r="D49">
        <v>0.354647181831445</v>
      </c>
      <c r="E49">
        <v>5.2694013732777201</v>
      </c>
      <c r="F49">
        <v>0.49490768776852501</v>
      </c>
      <c r="G49">
        <v>-114.59471871163724</v>
      </c>
      <c r="H49">
        <v>-66.950441968229185</v>
      </c>
      <c r="I49">
        <v>46.3427439755406</v>
      </c>
      <c r="J49">
        <v>20.7732646971245</v>
      </c>
      <c r="K49">
        <v>10.647240896654401</v>
      </c>
      <c r="L49">
        <v>1.4091087850398635E-3</v>
      </c>
      <c r="M49">
        <v>2.7472009849557622E-4</v>
      </c>
      <c r="N49" s="1">
        <v>8.1546535673235605E-6</v>
      </c>
      <c r="O49" s="1">
        <v>3.11614098706243E-6</v>
      </c>
      <c r="P49" s="1">
        <v>-9.2678376626605604E-6</v>
      </c>
      <c r="AE49">
        <v>100</v>
      </c>
      <c r="AJ49">
        <v>1</v>
      </c>
    </row>
    <row r="50" spans="1:36" x14ac:dyDescent="0.2">
      <c r="A50">
        <v>49</v>
      </c>
      <c r="B50">
        <v>754</v>
      </c>
      <c r="C50">
        <v>225</v>
      </c>
      <c r="D50">
        <v>0.35395073747748601</v>
      </c>
      <c r="E50">
        <v>5.4457065519279997</v>
      </c>
      <c r="F50">
        <v>0.49560585974538901</v>
      </c>
      <c r="G50">
        <v>-118.38097961672875</v>
      </c>
      <c r="H50">
        <v>-69.211964132643288</v>
      </c>
      <c r="I50">
        <v>47.872396292439397</v>
      </c>
      <c r="J50">
        <v>21.4809254517852</v>
      </c>
      <c r="K50">
        <v>10.987978541507999</v>
      </c>
      <c r="L50">
        <v>1.4103247859760767E-3</v>
      </c>
      <c r="M50">
        <v>2.7423590143348011E-4</v>
      </c>
      <c r="N50" s="1">
        <v>8.5345992429298999E-6</v>
      </c>
      <c r="O50" s="1">
        <v>3.20989149296922E-6</v>
      </c>
      <c r="P50" s="1">
        <v>-9.5795483435779205E-6</v>
      </c>
      <c r="AE50">
        <v>100</v>
      </c>
      <c r="AJ50">
        <v>1</v>
      </c>
    </row>
    <row r="51" spans="1:36" x14ac:dyDescent="0.2">
      <c r="A51">
        <v>50</v>
      </c>
      <c r="B51">
        <v>753</v>
      </c>
      <c r="C51">
        <v>225</v>
      </c>
      <c r="D51">
        <v>0.35325293573064698</v>
      </c>
      <c r="E51">
        <v>5.62784561641244</v>
      </c>
      <c r="F51">
        <v>0.49630561830638598</v>
      </c>
      <c r="G51">
        <v>-122.29092979492133</v>
      </c>
      <c r="H51">
        <v>-71.54905833624133</v>
      </c>
      <c r="I51">
        <v>49.451924238689202</v>
      </c>
      <c r="J51">
        <v>22.212414641227902</v>
      </c>
      <c r="K51">
        <v>11.3394759374619</v>
      </c>
      <c r="L51">
        <v>1.4115333472314695E-3</v>
      </c>
      <c r="M51">
        <v>2.7374998128468046E-4</v>
      </c>
      <c r="N51" s="1">
        <v>8.93110476864362E-6</v>
      </c>
      <c r="O51" s="1">
        <v>3.30636809033257E-6</v>
      </c>
      <c r="P51" s="1">
        <v>-9.9014929285351806E-6</v>
      </c>
      <c r="AE51">
        <v>100</v>
      </c>
      <c r="AJ51">
        <v>1</v>
      </c>
    </row>
    <row r="52" spans="1:36" x14ac:dyDescent="0.2">
      <c r="A52">
        <v>51</v>
      </c>
      <c r="B52">
        <v>752</v>
      </c>
      <c r="C52">
        <v>225</v>
      </c>
      <c r="D52">
        <v>0.35255377261864101</v>
      </c>
      <c r="E52">
        <v>5.8176065144611302</v>
      </c>
      <c r="F52">
        <v>0.49700696367191499</v>
      </c>
      <c r="G52">
        <v>-126.36325327078802</v>
      </c>
      <c r="H52">
        <v>-73.984532841639378</v>
      </c>
      <c r="I52">
        <v>51.096961050420099</v>
      </c>
      <c r="J52">
        <v>22.974831787943</v>
      </c>
      <c r="K52">
        <v>11.705281695613101</v>
      </c>
      <c r="L52">
        <v>1.4127343884097431E-3</v>
      </c>
      <c r="M52">
        <v>2.7326234121145604E-4</v>
      </c>
      <c r="N52" s="1">
        <v>9.34741784429567E-6</v>
      </c>
      <c r="O52" s="1">
        <v>3.4065820291808801E-6</v>
      </c>
      <c r="P52" s="1">
        <v>-1.02368078816369E-5</v>
      </c>
      <c r="AE52">
        <v>100</v>
      </c>
      <c r="AJ52">
        <v>1</v>
      </c>
    </row>
    <row r="53" spans="1:36" x14ac:dyDescent="0.2">
      <c r="A53">
        <v>52</v>
      </c>
      <c r="B53">
        <v>751</v>
      </c>
      <c r="C53">
        <v>225</v>
      </c>
      <c r="D53">
        <v>0.35185324415369101</v>
      </c>
      <c r="E53">
        <v>6.0179058077716601</v>
      </c>
      <c r="F53">
        <v>0.497709896012688</v>
      </c>
      <c r="G53">
        <v>-130.66107593016761</v>
      </c>
      <c r="H53">
        <v>-76.555581678207261</v>
      </c>
      <c r="I53">
        <v>52.833020619250298</v>
      </c>
      <c r="J53">
        <v>23.779752488593701</v>
      </c>
      <c r="K53">
        <v>12.091191788596101</v>
      </c>
      <c r="L53">
        <v>1.4139278291270152E-3</v>
      </c>
      <c r="M53">
        <v>2.7277298452397321E-4</v>
      </c>
      <c r="N53" s="1">
        <v>9.7887653876560593E-6</v>
      </c>
      <c r="O53" s="1">
        <v>3.5121892587156402E-6</v>
      </c>
      <c r="P53" s="1">
        <v>-1.05906164620872E-5</v>
      </c>
      <c r="AE53">
        <v>100</v>
      </c>
      <c r="AJ53">
        <v>1</v>
      </c>
    </row>
    <row r="54" spans="1:36" x14ac:dyDescent="0.2">
      <c r="A54">
        <v>53</v>
      </c>
      <c r="B54">
        <v>750</v>
      </c>
      <c r="C54">
        <v>225</v>
      </c>
      <c r="D54">
        <v>0.35115134633240402</v>
      </c>
      <c r="E54">
        <v>6.2338186455424003</v>
      </c>
      <c r="F54">
        <v>0.49841441544936699</v>
      </c>
      <c r="G54">
        <v>-135.29426985527658</v>
      </c>
      <c r="H54">
        <v>-79.326913661039157</v>
      </c>
      <c r="I54">
        <v>54.704514067406301</v>
      </c>
      <c r="J54">
        <v>24.647313692327099</v>
      </c>
      <c r="K54">
        <v>12.507300054558</v>
      </c>
      <c r="L54">
        <v>1.4151135890225655E-3</v>
      </c>
      <c r="M54">
        <v>2.7228191468116428E-4</v>
      </c>
      <c r="N54" s="1">
        <v>1.02641628705411E-5</v>
      </c>
      <c r="O54" s="1">
        <v>3.6260785047853798E-6</v>
      </c>
      <c r="P54" s="1">
        <v>-1.09718422096481E-5</v>
      </c>
      <c r="AE54">
        <v>100</v>
      </c>
      <c r="AJ54">
        <v>1</v>
      </c>
    </row>
    <row r="55" spans="1:36" x14ac:dyDescent="0.2">
      <c r="A55">
        <v>54</v>
      </c>
      <c r="B55">
        <v>749</v>
      </c>
      <c r="C55">
        <v>225</v>
      </c>
      <c r="D55">
        <v>0.350448075135744</v>
      </c>
      <c r="E55">
        <v>6.4750210715846501</v>
      </c>
      <c r="F55">
        <v>0.49912052205220397</v>
      </c>
      <c r="G55">
        <v>-140.47234337711919</v>
      </c>
      <c r="H55">
        <v>-82.421883776386409</v>
      </c>
      <c r="I55">
        <v>56.796130710171397</v>
      </c>
      <c r="J55">
        <v>25.615900512785</v>
      </c>
      <c r="K55">
        <v>12.972860833214501</v>
      </c>
      <c r="L55">
        <v>1.4162915877691444E-3</v>
      </c>
      <c r="M55">
        <v>2.7178913529151436E-4</v>
      </c>
      <c r="N55" s="1">
        <v>1.0790701810765599E-5</v>
      </c>
      <c r="O55" s="1">
        <v>3.7537660206598602E-6</v>
      </c>
      <c r="P55" s="1">
        <v>-1.13975091143917E-5</v>
      </c>
      <c r="AE55">
        <v>100</v>
      </c>
      <c r="AJ55">
        <v>1</v>
      </c>
    </row>
    <row r="56" spans="1:36" x14ac:dyDescent="0.2">
      <c r="A56">
        <v>55</v>
      </c>
      <c r="B56">
        <v>748</v>
      </c>
      <c r="C56">
        <v>225</v>
      </c>
      <c r="D56">
        <v>0.34974342652891699</v>
      </c>
      <c r="E56">
        <v>6.8120855049530196</v>
      </c>
      <c r="F56">
        <v>0.49982821584070197</v>
      </c>
      <c r="G56">
        <v>-147.72504813421367</v>
      </c>
      <c r="H56">
        <v>-86.739403936850707</v>
      </c>
      <c r="I56">
        <v>59.726330598833499</v>
      </c>
      <c r="J56">
        <v>26.965039693225101</v>
      </c>
      <c r="K56">
        <v>13.628853452170899</v>
      </c>
      <c r="L56">
        <v>1.4174617450838846E-3</v>
      </c>
      <c r="M56">
        <v>2.7129465011387977E-4</v>
      </c>
      <c r="N56" s="1">
        <v>1.1488959200726601E-5</v>
      </c>
      <c r="O56" s="1">
        <v>3.9358768315409502E-6</v>
      </c>
      <c r="P56" s="1">
        <v>-1.1991845104846999E-5</v>
      </c>
      <c r="AE56">
        <v>100</v>
      </c>
      <c r="AJ56">
        <v>1</v>
      </c>
    </row>
    <row r="57" spans="1:36" x14ac:dyDescent="0.2">
      <c r="A57">
        <v>56</v>
      </c>
      <c r="B57">
        <v>747</v>
      </c>
      <c r="C57">
        <v>225</v>
      </c>
      <c r="D57">
        <v>0.34903739646130499</v>
      </c>
      <c r="E57">
        <v>8.6329830459253305</v>
      </c>
      <c r="F57">
        <v>0.50053749678325199</v>
      </c>
      <c r="G57">
        <v>-187.13686619431525</v>
      </c>
      <c r="H57">
        <v>-109.95937431650032</v>
      </c>
      <c r="I57">
        <v>75.657925011850907</v>
      </c>
      <c r="J57">
        <v>34.192739856331499</v>
      </c>
      <c r="K57">
        <v>17.247425220699601</v>
      </c>
      <c r="L57">
        <v>1.4186239807389418E-3</v>
      </c>
      <c r="M57">
        <v>2.7079846305825764E-4</v>
      </c>
      <c r="N57" s="1">
        <v>1.4733542282917001E-5</v>
      </c>
      <c r="O57" s="1">
        <v>4.9710722749194701E-6</v>
      </c>
      <c r="P57" s="1">
        <v>-1.51983939703663E-5</v>
      </c>
      <c r="AE57">
        <v>100</v>
      </c>
      <c r="AJ57">
        <v>1</v>
      </c>
    </row>
    <row r="58" spans="1:36" x14ac:dyDescent="0.2">
      <c r="A58">
        <v>57</v>
      </c>
      <c r="B58">
        <v>746</v>
      </c>
      <c r="C58">
        <v>225</v>
      </c>
      <c r="D58">
        <v>0.34832998086640898</v>
      </c>
      <c r="E58">
        <v>9.6208711807289902</v>
      </c>
      <c r="F58">
        <v>0.50124836479679802</v>
      </c>
      <c r="G58">
        <v>-208.46698521398278</v>
      </c>
      <c r="H58">
        <v>-122.58034436598285</v>
      </c>
      <c r="I58">
        <v>84.278218614805198</v>
      </c>
      <c r="J58">
        <v>38.127554823166903</v>
      </c>
      <c r="K58">
        <v>19.193820581597699</v>
      </c>
      <c r="L58">
        <v>1.4197782145724304E-3</v>
      </c>
      <c r="M58">
        <v>2.7030057818655594E-4</v>
      </c>
      <c r="N58" s="1">
        <v>1.6613479310377099E-5</v>
      </c>
      <c r="O58" s="1">
        <v>5.5210758957808702E-6</v>
      </c>
      <c r="P58" s="1">
        <v>-1.6938532459296699E-5</v>
      </c>
      <c r="AE58">
        <v>100</v>
      </c>
      <c r="AJ58">
        <v>1</v>
      </c>
    </row>
    <row r="59" spans="1:36" x14ac:dyDescent="0.2">
      <c r="A59">
        <v>58</v>
      </c>
      <c r="B59">
        <v>745</v>
      </c>
      <c r="C59">
        <v>225</v>
      </c>
      <c r="D59">
        <v>0.347621175661739</v>
      </c>
      <c r="E59">
        <v>10.026673070677001</v>
      </c>
      <c r="F59">
        <v>0.50196081974649398</v>
      </c>
      <c r="G59">
        <v>-217.17216923790809</v>
      </c>
      <c r="H59">
        <v>-127.79044826874677</v>
      </c>
      <c r="I59">
        <v>87.793997787359999</v>
      </c>
      <c r="J59">
        <v>39.758724174775601</v>
      </c>
      <c r="K59">
        <v>19.975011347978899</v>
      </c>
      <c r="L59">
        <v>1.4209243664991028E-3</v>
      </c>
      <c r="M59">
        <v>2.6980099971325185E-4</v>
      </c>
      <c r="N59" s="1">
        <v>1.7516921522527601E-5</v>
      </c>
      <c r="O59" s="1">
        <v>5.7342762390937896E-6</v>
      </c>
      <c r="P59" s="1">
        <v>-1.7653728174779699E-5</v>
      </c>
      <c r="AE59">
        <v>100</v>
      </c>
      <c r="AJ59">
        <v>1</v>
      </c>
    </row>
    <row r="60" spans="1:36" x14ac:dyDescent="0.2">
      <c r="A60">
        <v>59</v>
      </c>
      <c r="B60">
        <v>744</v>
      </c>
      <c r="C60">
        <v>225</v>
      </c>
      <c r="D60">
        <v>0.34691097674876298</v>
      </c>
      <c r="E60">
        <v>10.272827098749</v>
      </c>
      <c r="F60">
        <v>0.502674861445363</v>
      </c>
      <c r="G60">
        <v>-222.41379943708645</v>
      </c>
      <c r="H60">
        <v>-130.96844018352036</v>
      </c>
      <c r="I60">
        <v>89.909293610633497</v>
      </c>
      <c r="J60">
        <v>40.758301276361003</v>
      </c>
      <c r="K60">
        <v>20.436325519066301</v>
      </c>
      <c r="L60">
        <v>1.4220623565214814E-3</v>
      </c>
      <c r="M60">
        <v>2.692997320061339E-4</v>
      </c>
      <c r="N60" s="1">
        <v>1.81552007368027E-5</v>
      </c>
      <c r="O60" s="1">
        <v>5.8548590740858197E-6</v>
      </c>
      <c r="P60" s="1">
        <v>-1.8087616253013E-5</v>
      </c>
      <c r="AE60">
        <v>100</v>
      </c>
      <c r="AJ60">
        <v>1</v>
      </c>
    </row>
    <row r="61" spans="1:36" x14ac:dyDescent="0.2">
      <c r="A61">
        <v>60</v>
      </c>
      <c r="B61">
        <v>743</v>
      </c>
      <c r="C61">
        <v>225</v>
      </c>
      <c r="D61">
        <v>0.34619938001279399</v>
      </c>
      <c r="E61">
        <v>10.418415435724899</v>
      </c>
      <c r="F61">
        <v>0.50339048965396604</v>
      </c>
      <c r="G61">
        <v>-225.47472427822666</v>
      </c>
      <c r="H61">
        <v>-132.86589610380346</v>
      </c>
      <c r="I61">
        <v>91.1428334709437</v>
      </c>
      <c r="J61">
        <v>41.359735259855199</v>
      </c>
      <c r="K61">
        <v>20.6964884117826</v>
      </c>
      <c r="L61">
        <v>1.4231921047410106E-3</v>
      </c>
      <c r="M61">
        <v>2.6879677958699806E-4</v>
      </c>
      <c r="N61" s="1">
        <v>1.8624253645473901E-5</v>
      </c>
      <c r="O61" s="1">
        <v>5.9173204150323204E-6</v>
      </c>
      <c r="P61" s="1">
        <v>-1.8344181083411401E-5</v>
      </c>
      <c r="AE61">
        <v>100</v>
      </c>
      <c r="AJ61">
        <v>1</v>
      </c>
    </row>
    <row r="62" spans="1:36" x14ac:dyDescent="0.2">
      <c r="A62">
        <v>61</v>
      </c>
      <c r="B62">
        <v>771</v>
      </c>
      <c r="C62">
        <v>200</v>
      </c>
      <c r="D62">
        <v>0.391946080543984</v>
      </c>
      <c r="E62">
        <v>5.0338693090672697</v>
      </c>
      <c r="F62">
        <v>0.44751467208788998</v>
      </c>
      <c r="G62">
        <v>-110.4534680857109</v>
      </c>
      <c r="H62">
        <v>-63.503395012896604</v>
      </c>
      <c r="I62">
        <v>44.967632774934501</v>
      </c>
      <c r="J62">
        <v>19.802352714085099</v>
      </c>
      <c r="K62">
        <v>11.248501162166599</v>
      </c>
      <c r="L62">
        <v>1.5092134599241451E-3</v>
      </c>
      <c r="M62">
        <v>3.4754657375281306E-4</v>
      </c>
      <c r="N62" s="1">
        <v>4.6027886911239996E-6</v>
      </c>
      <c r="O62" s="1">
        <v>4.8110190187695103E-6</v>
      </c>
      <c r="P62" s="1">
        <v>-1.1588700036196801E-5</v>
      </c>
      <c r="AE62">
        <v>100</v>
      </c>
      <c r="AJ62">
        <v>1</v>
      </c>
    </row>
    <row r="63" spans="1:36" x14ac:dyDescent="0.2">
      <c r="A63">
        <v>62</v>
      </c>
      <c r="B63">
        <v>770</v>
      </c>
      <c r="C63">
        <v>200</v>
      </c>
      <c r="D63">
        <v>0.39129607439006903</v>
      </c>
      <c r="E63">
        <v>5.0338467007654897</v>
      </c>
      <c r="F63">
        <v>0.44819099547830699</v>
      </c>
      <c r="G63">
        <v>-110.40801406997296</v>
      </c>
      <c r="H63">
        <v>-63.522919292328012</v>
      </c>
      <c r="I63">
        <v>44.948449843110403</v>
      </c>
      <c r="J63">
        <v>19.816713454448401</v>
      </c>
      <c r="K63">
        <v>11.231476650693001</v>
      </c>
      <c r="L63">
        <v>1.51107917573961E-3</v>
      </c>
      <c r="M63">
        <v>3.4703954022967973E-4</v>
      </c>
      <c r="N63" s="1">
        <v>4.7226348187896602E-6</v>
      </c>
      <c r="O63" s="1">
        <v>4.7979938961304604E-6</v>
      </c>
      <c r="P63" s="1">
        <v>-1.1599310068332099E-5</v>
      </c>
      <c r="AE63">
        <v>100</v>
      </c>
      <c r="AJ63">
        <v>1</v>
      </c>
    </row>
    <row r="64" spans="1:36" x14ac:dyDescent="0.2">
      <c r="A64">
        <v>63</v>
      </c>
      <c r="B64">
        <v>769</v>
      </c>
      <c r="C64">
        <v>200</v>
      </c>
      <c r="D64">
        <v>0.390644820803149</v>
      </c>
      <c r="E64">
        <v>5.0724429618636497</v>
      </c>
      <c r="F64">
        <v>0.44886917717133401</v>
      </c>
      <c r="G64">
        <v>-111.2092673734182</v>
      </c>
      <c r="H64">
        <v>-64.029947641722927</v>
      </c>
      <c r="I64">
        <v>45.273926493347098</v>
      </c>
      <c r="J64">
        <v>19.9832197256362</v>
      </c>
      <c r="K64">
        <v>11.300492927202001</v>
      </c>
      <c r="L64">
        <v>1.5129391772352009E-3</v>
      </c>
      <c r="M64">
        <v>3.4652987992740041E-4</v>
      </c>
      <c r="N64" s="1">
        <v>4.8804537790545602E-6</v>
      </c>
      <c r="O64" s="1">
        <v>4.8216378225581302E-6</v>
      </c>
      <c r="P64" s="1">
        <v>-1.16988819076361E-5</v>
      </c>
      <c r="AE64">
        <v>100</v>
      </c>
      <c r="AJ64">
        <v>1</v>
      </c>
    </row>
    <row r="65" spans="1:36" x14ac:dyDescent="0.2">
      <c r="A65">
        <v>64</v>
      </c>
      <c r="B65">
        <v>768</v>
      </c>
      <c r="C65">
        <v>200</v>
      </c>
      <c r="D65">
        <v>0.38999231618883101</v>
      </c>
      <c r="E65">
        <v>5.1112029134473396</v>
      </c>
      <c r="F65">
        <v>0.44954921991226099</v>
      </c>
      <c r="G65">
        <v>-112.01343819524102</v>
      </c>
      <c r="H65">
        <v>-64.539361588781134</v>
      </c>
      <c r="I65">
        <v>45.600539356126099</v>
      </c>
      <c r="J65">
        <v>20.150596576058</v>
      </c>
      <c r="K65">
        <v>11.3696180241284</v>
      </c>
      <c r="L65">
        <v>1.5147933469271623E-3</v>
      </c>
      <c r="M65">
        <v>3.4601758748557565E-4</v>
      </c>
      <c r="N65" s="1">
        <v>5.04111147007686E-6</v>
      </c>
      <c r="O65" s="1">
        <v>4.8451957628217298E-6</v>
      </c>
      <c r="P65" s="1">
        <v>-1.1798882449496399E-5</v>
      </c>
      <c r="AE65">
        <v>100</v>
      </c>
      <c r="AJ65">
        <v>1</v>
      </c>
    </row>
    <row r="66" spans="1:36" x14ac:dyDescent="0.2">
      <c r="A66">
        <v>65</v>
      </c>
      <c r="B66">
        <v>767</v>
      </c>
      <c r="C66">
        <v>200</v>
      </c>
      <c r="D66">
        <v>0.38933855693890601</v>
      </c>
      <c r="E66">
        <v>5.1500437104922696</v>
      </c>
      <c r="F66">
        <v>0.45023112639609603</v>
      </c>
      <c r="G66">
        <v>-112.81870779293229</v>
      </c>
      <c r="H66">
        <v>-65.05011699193399</v>
      </c>
      <c r="I66">
        <v>45.927546961744298</v>
      </c>
      <c r="J66">
        <v>20.318518064212899</v>
      </c>
      <c r="K66">
        <v>11.4386665171644</v>
      </c>
      <c r="L66">
        <v>1.5166415666822187E-3</v>
      </c>
      <c r="M66">
        <v>3.4550265771375317E-4</v>
      </c>
      <c r="N66" s="1">
        <v>5.20455200639319E-6</v>
      </c>
      <c r="O66" s="1">
        <v>4.8685871203967902E-6</v>
      </c>
      <c r="P66" s="1">
        <v>-1.1899116493635201E-5</v>
      </c>
      <c r="AE66">
        <v>100</v>
      </c>
      <c r="AJ66">
        <v>1</v>
      </c>
    </row>
    <row r="67" spans="1:36" x14ac:dyDescent="0.2">
      <c r="A67">
        <v>66</v>
      </c>
      <c r="B67">
        <v>766</v>
      </c>
      <c r="C67">
        <v>200</v>
      </c>
      <c r="D67">
        <v>0.38868353943126899</v>
      </c>
      <c r="E67">
        <v>5.1889382281171104</v>
      </c>
      <c r="F67">
        <v>0.45091489926683098</v>
      </c>
      <c r="G67">
        <v>-113.62448051201466</v>
      </c>
      <c r="H67">
        <v>-65.561872424186163</v>
      </c>
      <c r="I67">
        <v>46.254705785420697</v>
      </c>
      <c r="J67">
        <v>20.486877267471002</v>
      </c>
      <c r="K67">
        <v>11.507577674976099</v>
      </c>
      <c r="L67">
        <v>1.5184837177288771E-3</v>
      </c>
      <c r="M67">
        <v>3.449850855946038E-4</v>
      </c>
      <c r="N67" s="1">
        <v>5.3707689696218398E-6</v>
      </c>
      <c r="O67" s="1">
        <v>4.8917846898064704E-6</v>
      </c>
      <c r="P67" s="1">
        <v>-1.19995169161535E-5</v>
      </c>
      <c r="AE67">
        <v>100</v>
      </c>
      <c r="AJ67">
        <v>1</v>
      </c>
    </row>
    <row r="68" spans="1:36" x14ac:dyDescent="0.2">
      <c r="A68">
        <v>67</v>
      </c>
      <c r="B68">
        <v>765</v>
      </c>
      <c r="C68">
        <v>200</v>
      </c>
      <c r="D68">
        <v>0.38802726002986099</v>
      </c>
      <c r="E68">
        <v>5.2278595326046204</v>
      </c>
      <c r="F68">
        <v>0.45160054111671799</v>
      </c>
      <c r="G68">
        <v>-114.43016585218341</v>
      </c>
      <c r="H68">
        <v>-66.07428844698633</v>
      </c>
      <c r="I68">
        <v>46.581774413571203</v>
      </c>
      <c r="J68">
        <v>20.6555676838389</v>
      </c>
      <c r="K68">
        <v>11.5762915599639</v>
      </c>
      <c r="L68">
        <v>1.5203196806685374E-3</v>
      </c>
      <c r="M68">
        <v>3.4446486628701055E-4</v>
      </c>
      <c r="N68" s="1">
        <v>5.5397532833969602E-6</v>
      </c>
      <c r="O68" s="1">
        <v>4.9147617293464199E-6</v>
      </c>
      <c r="P68" s="1">
        <v>-1.21000167236996E-5</v>
      </c>
      <c r="AE68">
        <v>100</v>
      </c>
      <c r="AJ68">
        <v>1</v>
      </c>
    </row>
    <row r="69" spans="1:36" x14ac:dyDescent="0.2">
      <c r="A69">
        <v>68</v>
      </c>
      <c r="B69">
        <v>764</v>
      </c>
      <c r="C69">
        <v>200</v>
      </c>
      <c r="D69">
        <v>0.38736971508460899</v>
      </c>
      <c r="E69">
        <v>5.2667810412791098</v>
      </c>
      <c r="F69">
        <v>0.45228805448552201</v>
      </c>
      <c r="G69">
        <v>-115.23518195582515</v>
      </c>
      <c r="H69">
        <v>-66.587029634501519</v>
      </c>
      <c r="I69">
        <v>46.908514965870701</v>
      </c>
      <c r="J69">
        <v>20.824483866531299</v>
      </c>
      <c r="K69">
        <v>11.644749378291801</v>
      </c>
      <c r="L69">
        <v>1.5221493354871558E-3</v>
      </c>
      <c r="M69">
        <v>3.4394199512921049E-4</v>
      </c>
      <c r="N69" s="1">
        <v>5.7114933583178298E-6</v>
      </c>
      <c r="O69" s="1">
        <v>4.9374921109389997E-6</v>
      </c>
      <c r="P69" s="1">
        <v>-1.2200549431605999E-5</v>
      </c>
      <c r="AE69">
        <v>100</v>
      </c>
      <c r="AJ69">
        <v>1</v>
      </c>
    </row>
    <row r="70" spans="1:36" x14ac:dyDescent="0.2">
      <c r="A70">
        <v>69</v>
      </c>
      <c r="B70">
        <v>763</v>
      </c>
      <c r="C70">
        <v>200</v>
      </c>
      <c r="D70">
        <v>0.38671090093133698</v>
      </c>
      <c r="E70">
        <v>5.3452287386705502</v>
      </c>
      <c r="F70">
        <v>0.452977441859793</v>
      </c>
      <c r="G70">
        <v>-116.90399096160534</v>
      </c>
      <c r="H70">
        <v>-67.599973060610068</v>
      </c>
      <c r="I70">
        <v>47.586813462446699</v>
      </c>
      <c r="J70">
        <v>21.150021790978801</v>
      </c>
      <c r="K70">
        <v>11.8002095572896</v>
      </c>
      <c r="L70">
        <v>1.5239725615670296E-3</v>
      </c>
      <c r="M70">
        <v>3.4341646764188331E-4</v>
      </c>
      <c r="N70" s="1">
        <v>5.9298532509214103E-6</v>
      </c>
      <c r="O70" s="1">
        <v>4.9969252497007596E-6</v>
      </c>
      <c r="P70" s="1">
        <v>-1.2392749679373001E-5</v>
      </c>
      <c r="AE70">
        <v>100</v>
      </c>
      <c r="AJ70">
        <v>1</v>
      </c>
    </row>
    <row r="71" spans="1:36" x14ac:dyDescent="0.2">
      <c r="A71">
        <v>70</v>
      </c>
      <c r="B71">
        <v>762</v>
      </c>
      <c r="C71">
        <v>200</v>
      </c>
      <c r="D71">
        <v>0.38605081389170998</v>
      </c>
      <c r="E71">
        <v>5.4986745687760097</v>
      </c>
      <c r="F71">
        <v>0.45366870567212503</v>
      </c>
      <c r="G71">
        <v>-120.21101907030589</v>
      </c>
      <c r="H71">
        <v>-69.562334975238144</v>
      </c>
      <c r="I71">
        <v>48.931875355565097</v>
      </c>
      <c r="J71">
        <v>21.772979078246301</v>
      </c>
      <c r="K71">
        <v>12.1204625755032</v>
      </c>
      <c r="L71">
        <v>1.5257892376992494E-3</v>
      </c>
      <c r="M71">
        <v>3.4288827953132307E-4</v>
      </c>
      <c r="N71" s="1">
        <v>6.2380649904027996E-6</v>
      </c>
      <c r="O71" s="1">
        <v>5.12581279532053E-6</v>
      </c>
      <c r="P71" s="1">
        <v>-1.27591509936431E-5</v>
      </c>
      <c r="AE71">
        <v>100</v>
      </c>
      <c r="AJ71">
        <v>1</v>
      </c>
    </row>
    <row r="72" spans="1:36" x14ac:dyDescent="0.2">
      <c r="A72">
        <v>71</v>
      </c>
      <c r="B72">
        <v>761</v>
      </c>
      <c r="C72">
        <v>200</v>
      </c>
      <c r="D72">
        <v>0.38538945027317301</v>
      </c>
      <c r="E72">
        <v>5.6548421770279598</v>
      </c>
      <c r="F72">
        <v>0.45436184830042903</v>
      </c>
      <c r="G72">
        <v>-123.57481603162053</v>
      </c>
      <c r="H72">
        <v>-71.56037118901402</v>
      </c>
      <c r="I72">
        <v>50.299938007588104</v>
      </c>
      <c r="J72">
        <v>22.407602870913699</v>
      </c>
      <c r="K72">
        <v>12.445680019526799</v>
      </c>
      <c r="L72">
        <v>1.5275992420961764E-3</v>
      </c>
      <c r="M72">
        <v>3.4235742669254382E-4</v>
      </c>
      <c r="N72" s="1">
        <v>6.5580227479922502E-6</v>
      </c>
      <c r="O72" s="1">
        <v>5.25637185245727E-6</v>
      </c>
      <c r="P72" s="1">
        <v>-1.3132326468401301E-5</v>
      </c>
      <c r="AE72">
        <v>100</v>
      </c>
      <c r="AJ72">
        <v>1</v>
      </c>
    </row>
    <row r="73" spans="1:36" x14ac:dyDescent="0.2">
      <c r="A73">
        <v>72</v>
      </c>
      <c r="B73">
        <v>760</v>
      </c>
      <c r="C73">
        <v>200</v>
      </c>
      <c r="D73">
        <v>0.38472680636887402</v>
      </c>
      <c r="E73">
        <v>5.8142300944663798</v>
      </c>
      <c r="F73">
        <v>0.45505687206717499</v>
      </c>
      <c r="G73">
        <v>-127.00620095453381</v>
      </c>
      <c r="H73">
        <v>-73.600426131574494</v>
      </c>
      <c r="I73">
        <v>51.6953995861723</v>
      </c>
      <c r="J73">
        <v>23.055892768218602</v>
      </c>
      <c r="K73">
        <v>12.7769306461722</v>
      </c>
      <c r="L73">
        <v>1.5294024524042339E-3</v>
      </c>
      <c r="M73">
        <v>3.4182390521239169E-4</v>
      </c>
      <c r="N73" s="1">
        <v>6.8905925790289101E-6</v>
      </c>
      <c r="O73" s="1">
        <v>5.3890389717793698E-6</v>
      </c>
      <c r="P73" s="1">
        <v>-1.3513436057897801E-5</v>
      </c>
      <c r="AE73">
        <v>100</v>
      </c>
      <c r="AJ73">
        <v>1</v>
      </c>
    </row>
    <row r="74" spans="1:36" x14ac:dyDescent="0.2">
      <c r="A74">
        <v>73</v>
      </c>
      <c r="B74">
        <v>759</v>
      </c>
      <c r="C74">
        <v>200</v>
      </c>
      <c r="D74">
        <v>0.38406287845759102</v>
      </c>
      <c r="E74">
        <v>5.9775691834211502</v>
      </c>
      <c r="F74">
        <v>0.45575377923867499</v>
      </c>
      <c r="G74">
        <v>-130.52104827424716</v>
      </c>
      <c r="H74">
        <v>-75.691794116065893</v>
      </c>
      <c r="I74">
        <v>53.124715293642197</v>
      </c>
      <c r="J74">
        <v>23.720775973048699</v>
      </c>
      <c r="K74">
        <v>13.115786320865</v>
      </c>
      <c r="L74">
        <v>1.5311987457172483E-3</v>
      </c>
      <c r="M74">
        <v>3.4128771137268039E-4</v>
      </c>
      <c r="N74" s="1">
        <v>7.2369746382014998E-6</v>
      </c>
      <c r="O74" s="1">
        <v>5.5244599658747899E-6</v>
      </c>
      <c r="P74" s="1">
        <v>-1.39041831237242E-5</v>
      </c>
      <c r="AE74">
        <v>100</v>
      </c>
      <c r="AJ74">
        <v>1</v>
      </c>
    </row>
    <row r="75" spans="1:36" x14ac:dyDescent="0.2">
      <c r="A75">
        <v>74</v>
      </c>
      <c r="B75">
        <v>758</v>
      </c>
      <c r="C75">
        <v>200</v>
      </c>
      <c r="D75">
        <v>0.383397662803666</v>
      </c>
      <c r="E75">
        <v>6.1459582102306403</v>
      </c>
      <c r="F75">
        <v>0.45645257202433998</v>
      </c>
      <c r="G75">
        <v>-134.14323649412981</v>
      </c>
      <c r="H75">
        <v>-77.848441211255491</v>
      </c>
      <c r="I75">
        <v>54.597597224038502</v>
      </c>
      <c r="J75">
        <v>24.406649004985201</v>
      </c>
      <c r="K75">
        <v>13.464615136187501</v>
      </c>
      <c r="L75">
        <v>1.5329879985900396E-3</v>
      </c>
      <c r="M75">
        <v>3.4074884165332146E-4</v>
      </c>
      <c r="N75" s="1">
        <v>7.5989013962680298E-6</v>
      </c>
      <c r="O75" s="1">
        <v>5.6636116886998698E-6</v>
      </c>
      <c r="P75" s="1">
        <v>-1.43071320182478E-5</v>
      </c>
      <c r="AE75">
        <v>100</v>
      </c>
      <c r="AJ75">
        <v>1</v>
      </c>
    </row>
    <row r="76" spans="1:36" x14ac:dyDescent="0.2">
      <c r="A76">
        <v>75</v>
      </c>
      <c r="B76">
        <v>757</v>
      </c>
      <c r="C76">
        <v>200</v>
      </c>
      <c r="D76">
        <v>0.38273115565694399</v>
      </c>
      <c r="E76">
        <v>6.3210969394267602</v>
      </c>
      <c r="F76">
        <v>0.45715325257592998</v>
      </c>
      <c r="G76">
        <v>-137.90971737858359</v>
      </c>
      <c r="H76">
        <v>-80.091966008672202</v>
      </c>
      <c r="I76">
        <v>56.129077017657501</v>
      </c>
      <c r="J76">
        <v>25.120309300689499</v>
      </c>
      <c r="K76">
        <v>13.8270851269441</v>
      </c>
      <c r="L76">
        <v>1.5347700870519453E-3</v>
      </c>
      <c r="M76">
        <v>3.4020729273536902E-4</v>
      </c>
      <c r="N76" s="1">
        <v>7.9789805261832294E-6</v>
      </c>
      <c r="O76" s="1">
        <v>5.8080112054488199E-6</v>
      </c>
      <c r="P76" s="1">
        <v>-1.47262542352637E-5</v>
      </c>
      <c r="AE76">
        <v>100</v>
      </c>
      <c r="AJ76">
        <v>1</v>
      </c>
    </row>
    <row r="77" spans="1:36" x14ac:dyDescent="0.2">
      <c r="A77">
        <v>76</v>
      </c>
      <c r="B77">
        <v>756</v>
      </c>
      <c r="C77">
        <v>200</v>
      </c>
      <c r="D77">
        <v>0.38206335325268598</v>
      </c>
      <c r="E77">
        <v>6.5057164381287498</v>
      </c>
      <c r="F77">
        <v>0.45785582298683303</v>
      </c>
      <c r="G77">
        <v>-141.8798736087607</v>
      </c>
      <c r="H77">
        <v>-82.457065517324182</v>
      </c>
      <c r="I77">
        <v>57.743313474108902</v>
      </c>
      <c r="J77">
        <v>25.872675112250501</v>
      </c>
      <c r="K77">
        <v>14.2090940237224</v>
      </c>
      <c r="L77">
        <v>1.5365448866216133E-3</v>
      </c>
      <c r="M77">
        <v>3.396630615042568E-4</v>
      </c>
      <c r="N77" s="1">
        <v>8.3813290804142399E-6</v>
      </c>
      <c r="O77" s="1">
        <v>5.9601018170253704E-6</v>
      </c>
      <c r="P77" s="1">
        <v>-1.51679366832685E-5</v>
      </c>
      <c r="AE77">
        <v>100</v>
      </c>
      <c r="AJ77">
        <v>1</v>
      </c>
    </row>
    <row r="78" spans="1:36" x14ac:dyDescent="0.2">
      <c r="A78">
        <v>77</v>
      </c>
      <c r="B78">
        <v>755</v>
      </c>
      <c r="C78">
        <v>200</v>
      </c>
      <c r="D78">
        <v>0.38139425181150599</v>
      </c>
      <c r="E78">
        <v>6.70444185389628</v>
      </c>
      <c r="F78">
        <v>0.45856028529133602</v>
      </c>
      <c r="G78">
        <v>-146.15428131937838</v>
      </c>
      <c r="H78">
        <v>-85.002494485168782</v>
      </c>
      <c r="I78">
        <v>59.481226987830802</v>
      </c>
      <c r="J78">
        <v>26.682233957311901</v>
      </c>
      <c r="K78">
        <v>14.6206334672806</v>
      </c>
      <c r="L78">
        <v>1.538312272320987E-3</v>
      </c>
      <c r="M78">
        <v>3.3911614505275186E-4</v>
      </c>
      <c r="N78" s="1">
        <v>8.8128450737569299E-6</v>
      </c>
      <c r="O78" s="1">
        <v>6.1240270616370797E-6</v>
      </c>
      <c r="P78" s="1">
        <v>-1.5643003280867202E-5</v>
      </c>
      <c r="AE78">
        <v>100</v>
      </c>
      <c r="AJ78">
        <v>1</v>
      </c>
    </row>
    <row r="79" spans="1:36" x14ac:dyDescent="0.2">
      <c r="A79">
        <v>78</v>
      </c>
      <c r="B79">
        <v>754</v>
      </c>
      <c r="C79">
        <v>200</v>
      </c>
      <c r="D79">
        <v>0.38072384753930699</v>
      </c>
      <c r="E79">
        <v>6.9256849240196798</v>
      </c>
      <c r="F79">
        <v>0.45926664146385499</v>
      </c>
      <c r="G79">
        <v>-150.91586539853648</v>
      </c>
      <c r="H79">
        <v>-87.835104959082727</v>
      </c>
      <c r="I79">
        <v>61.417245525632097</v>
      </c>
      <c r="J79">
        <v>27.582606968288001</v>
      </c>
      <c r="K79">
        <v>15.0798780027761</v>
      </c>
      <c r="L79">
        <v>1.5400721186903535E-3</v>
      </c>
      <c r="M79">
        <v>3.3856654068413548E-4</v>
      </c>
      <c r="N79" s="1">
        <v>9.2859983201920304E-6</v>
      </c>
      <c r="O79" s="1">
        <v>6.3073283395001502E-6</v>
      </c>
      <c r="P79" s="1">
        <v>-1.6171149396446601E-5</v>
      </c>
      <c r="AE79">
        <v>100</v>
      </c>
      <c r="AJ79">
        <v>1</v>
      </c>
    </row>
    <row r="80" spans="1:36" x14ac:dyDescent="0.2">
      <c r="A80">
        <v>79</v>
      </c>
      <c r="B80">
        <v>753</v>
      </c>
      <c r="C80">
        <v>200</v>
      </c>
      <c r="D80">
        <v>0.380052136627202</v>
      </c>
      <c r="E80">
        <v>7.1860613723728699</v>
      </c>
      <c r="F80">
        <v>0.45997489341823899</v>
      </c>
      <c r="G80">
        <v>-156.52595102952907</v>
      </c>
      <c r="H80">
        <v>-91.165963150320849</v>
      </c>
      <c r="I80">
        <v>63.698387355454997</v>
      </c>
      <c r="J80">
        <v>28.6402087700613</v>
      </c>
      <c r="K80">
        <v>15.622725229567701</v>
      </c>
      <c r="L80">
        <v>1.5418242998035522E-3</v>
      </c>
      <c r="M80">
        <v>3.3801424591524664E-4</v>
      </c>
      <c r="N80" s="1">
        <v>9.8253783499496401E-6</v>
      </c>
      <c r="O80" s="1">
        <v>6.52490399375841E-6</v>
      </c>
      <c r="P80" s="1">
        <v>-1.67912944653695E-5</v>
      </c>
      <c r="AE80">
        <v>100</v>
      </c>
      <c r="AJ80">
        <v>1</v>
      </c>
    </row>
    <row r="81" spans="1:36" x14ac:dyDescent="0.2">
      <c r="A81">
        <v>80</v>
      </c>
      <c r="B81">
        <v>752</v>
      </c>
      <c r="C81">
        <v>200</v>
      </c>
      <c r="D81">
        <v>0.37937911525142798</v>
      </c>
      <c r="E81">
        <v>8.5987455470295906</v>
      </c>
      <c r="F81">
        <v>0.46068504300701602</v>
      </c>
      <c r="G81">
        <v>-187.22066908895076</v>
      </c>
      <c r="H81">
        <v>-109.12226287842141</v>
      </c>
      <c r="I81">
        <v>76.187218398043996</v>
      </c>
      <c r="J81">
        <v>34.2951472826716</v>
      </c>
      <c r="K81">
        <v>18.665128546182501</v>
      </c>
      <c r="L81">
        <v>1.5435686892833393E-3</v>
      </c>
      <c r="M81">
        <v>3.3745925847954801E-4</v>
      </c>
      <c r="N81" s="1">
        <v>1.1985865877741299E-5</v>
      </c>
      <c r="O81" s="1">
        <v>7.7841464260310702E-6</v>
      </c>
      <c r="P81" s="1">
        <v>-2.0106562045609801E-5</v>
      </c>
      <c r="AE81">
        <v>100</v>
      </c>
      <c r="AJ81">
        <v>1</v>
      </c>
    </row>
    <row r="82" spans="1:36" x14ac:dyDescent="0.2">
      <c r="A82">
        <v>81</v>
      </c>
      <c r="B82">
        <v>751</v>
      </c>
      <c r="C82">
        <v>200</v>
      </c>
      <c r="D82">
        <v>0.378704779573308</v>
      </c>
      <c r="E82">
        <v>9.6136780429774191</v>
      </c>
      <c r="F82">
        <v>0.46139709202066598</v>
      </c>
      <c r="G82">
        <v>-209.23365475591208</v>
      </c>
      <c r="H82">
        <v>-122.04060672116078</v>
      </c>
      <c r="I82">
        <v>85.142361540472507</v>
      </c>
      <c r="J82">
        <v>38.3706444537385</v>
      </c>
      <c r="K82">
        <v>20.836017845008001</v>
      </c>
      <c r="L82">
        <v>1.5453051603175104E-3</v>
      </c>
      <c r="M82">
        <v>3.3690157633022602E-4</v>
      </c>
      <c r="N82" s="1">
        <v>1.3657980601453101E-5</v>
      </c>
      <c r="O82" s="1">
        <v>8.6766147081482897E-6</v>
      </c>
      <c r="P82" s="1">
        <v>-2.2495520766110201E-5</v>
      </c>
      <c r="AE82">
        <v>100</v>
      </c>
      <c r="AJ82">
        <v>1</v>
      </c>
    </row>
    <row r="83" spans="1:36" x14ac:dyDescent="0.2">
      <c r="A83">
        <v>82</v>
      </c>
      <c r="B83">
        <v>750</v>
      </c>
      <c r="C83">
        <v>200</v>
      </c>
      <c r="D83">
        <v>0.37802912573913899</v>
      </c>
      <c r="E83">
        <v>10.035579235465899</v>
      </c>
      <c r="F83">
        <v>0.46211104218689197</v>
      </c>
      <c r="G83">
        <v>-218.32712171474347</v>
      </c>
      <c r="H83">
        <v>-127.43649028456964</v>
      </c>
      <c r="I83">
        <v>88.839734550034095</v>
      </c>
      <c r="J83">
        <v>40.083304974599997</v>
      </c>
      <c r="K83">
        <v>21.716813318231001</v>
      </c>
      <c r="L83">
        <v>1.5470335856745737E-3</v>
      </c>
      <c r="M83">
        <v>3.3634119764314386E-4</v>
      </c>
      <c r="N83" s="1">
        <v>1.45275254357272E-5</v>
      </c>
      <c r="O83" s="1">
        <v>9.0298411601135606E-6</v>
      </c>
      <c r="P83" s="1">
        <v>-2.3498865412804601E-5</v>
      </c>
      <c r="AE83">
        <v>100</v>
      </c>
      <c r="AJ83">
        <v>1</v>
      </c>
    </row>
    <row r="84" spans="1:36" x14ac:dyDescent="0.2">
      <c r="A84">
        <v>83</v>
      </c>
      <c r="B84">
        <v>749</v>
      </c>
      <c r="C84">
        <v>200</v>
      </c>
      <c r="D84">
        <v>0.37735214988015597</v>
      </c>
      <c r="E84">
        <v>10.2568291055639</v>
      </c>
      <c r="F84">
        <v>0.46282689516988901</v>
      </c>
      <c r="G84">
        <v>-223.04970257005724</v>
      </c>
      <c r="H84">
        <v>-130.2870065534396</v>
      </c>
      <c r="I84">
        <v>90.758269925229399</v>
      </c>
      <c r="J84">
        <v>40.996365666497098</v>
      </c>
      <c r="K84">
        <v>22.1612642061326</v>
      </c>
      <c r="L84">
        <v>1.5487538377205385E-3</v>
      </c>
      <c r="M84">
        <v>3.3577812081994103E-4</v>
      </c>
      <c r="N84" s="1">
        <v>1.5125410782699401E-5</v>
      </c>
      <c r="O84" s="1">
        <v>9.2006761679924197E-6</v>
      </c>
      <c r="P84" s="1">
        <v>-2.40330936749182E-5</v>
      </c>
      <c r="AE84">
        <v>100</v>
      </c>
      <c r="AJ84">
        <v>1</v>
      </c>
    </row>
    <row r="85" spans="1:36" x14ac:dyDescent="0.2">
      <c r="A85">
        <v>84</v>
      </c>
      <c r="B85">
        <v>748</v>
      </c>
      <c r="C85">
        <v>200</v>
      </c>
      <c r="D85">
        <v>0.37667384811242399</v>
      </c>
      <c r="E85">
        <v>10.4215726017976</v>
      </c>
      <c r="F85">
        <v>0.46354465256962502</v>
      </c>
      <c r="G85">
        <v>-226.54009445235786</v>
      </c>
      <c r="H85">
        <v>-132.42132470110315</v>
      </c>
      <c r="I85">
        <v>92.175227552323705</v>
      </c>
      <c r="J85">
        <v>41.684658106801201</v>
      </c>
      <c r="K85">
        <v>22.482348882737501</v>
      </c>
      <c r="L85">
        <v>1.5504657884356863E-3</v>
      </c>
      <c r="M85">
        <v>3.3521234449100618E-4</v>
      </c>
      <c r="N85" s="1">
        <v>1.56519162717351E-5</v>
      </c>
      <c r="O85" s="1">
        <v>9.3196760768117692E-6</v>
      </c>
      <c r="P85" s="1">
        <v>-2.4435205108130301E-5</v>
      </c>
      <c r="AE85">
        <v>100</v>
      </c>
      <c r="AJ85">
        <v>1</v>
      </c>
    </row>
    <row r="86" spans="1:36" x14ac:dyDescent="0.2">
      <c r="A86">
        <v>85</v>
      </c>
      <c r="B86">
        <v>780</v>
      </c>
      <c r="C86">
        <v>175</v>
      </c>
      <c r="D86">
        <v>0.42385272753169101</v>
      </c>
      <c r="E86">
        <v>5.48423249430056</v>
      </c>
      <c r="F86">
        <v>0.39997149020773798</v>
      </c>
      <c r="G86">
        <v>-121.10288994184154</v>
      </c>
      <c r="H86">
        <v>-68.783794543057198</v>
      </c>
      <c r="I86">
        <v>49.681653908168798</v>
      </c>
      <c r="J86">
        <v>21.479682148780601</v>
      </c>
      <c r="K86">
        <v>13.7115585199638</v>
      </c>
      <c r="L86">
        <v>1.6148045595352158E-3</v>
      </c>
      <c r="M86">
        <v>4.4369429851733814E-4</v>
      </c>
      <c r="N86" s="1">
        <v>-8.9173730095407998E-7</v>
      </c>
      <c r="O86" s="1">
        <v>8.6440716517817408E-6</v>
      </c>
      <c r="P86" s="1">
        <v>-1.65366282829147E-5</v>
      </c>
      <c r="AE86">
        <v>100</v>
      </c>
      <c r="AJ86">
        <v>1</v>
      </c>
    </row>
    <row r="87" spans="1:36" x14ac:dyDescent="0.2">
      <c r="A87">
        <v>86</v>
      </c>
      <c r="B87">
        <v>779</v>
      </c>
      <c r="C87">
        <v>175</v>
      </c>
      <c r="D87">
        <v>0.42323860666254698</v>
      </c>
      <c r="E87">
        <v>5.5173131444537002</v>
      </c>
      <c r="F87">
        <v>0.40061842301797101</v>
      </c>
      <c r="G87">
        <v>-121.78340620287463</v>
      </c>
      <c r="H87">
        <v>-69.220314233138524</v>
      </c>
      <c r="I87">
        <v>49.960793912578197</v>
      </c>
      <c r="J87">
        <v>21.628468673985601</v>
      </c>
      <c r="K87">
        <v>13.771990571202901</v>
      </c>
      <c r="L87">
        <v>1.6174765081413294E-3</v>
      </c>
      <c r="M87">
        <v>4.4320298887237956E-4</v>
      </c>
      <c r="N87" s="1">
        <v>-7.5766364529757698E-7</v>
      </c>
      <c r="O87" s="1">
        <v>8.6774550543199906E-6</v>
      </c>
      <c r="P87" s="1">
        <v>-1.6663241550776901E-5</v>
      </c>
      <c r="AE87">
        <v>100</v>
      </c>
      <c r="AJ87">
        <v>1</v>
      </c>
    </row>
    <row r="88" spans="1:36" x14ac:dyDescent="0.2">
      <c r="A88">
        <v>87</v>
      </c>
      <c r="B88">
        <v>778</v>
      </c>
      <c r="C88">
        <v>175</v>
      </c>
      <c r="D88">
        <v>0.422623317319128</v>
      </c>
      <c r="E88">
        <v>5.5509150255017898</v>
      </c>
      <c r="F88">
        <v>0.40126747408564201</v>
      </c>
      <c r="G88">
        <v>-122.4748442989068</v>
      </c>
      <c r="H88">
        <v>-69.663653939464865</v>
      </c>
      <c r="I88">
        <v>50.244367534495296</v>
      </c>
      <c r="J88">
        <v>21.779566648392599</v>
      </c>
      <c r="K88">
        <v>13.833453703544</v>
      </c>
      <c r="L88">
        <v>1.620147003555853E-3</v>
      </c>
      <c r="M88">
        <v>4.4270815849281126E-4</v>
      </c>
      <c r="N88" s="1">
        <v>-6.2037814884103305E-7</v>
      </c>
      <c r="O88" s="1">
        <v>8.7113597282679696E-6</v>
      </c>
      <c r="P88" s="1">
        <v>-1.6791735324593399E-5</v>
      </c>
      <c r="AE88">
        <v>100</v>
      </c>
      <c r="AJ88">
        <v>1</v>
      </c>
    </row>
    <row r="89" spans="1:36" x14ac:dyDescent="0.2">
      <c r="A89">
        <v>88</v>
      </c>
      <c r="B89">
        <v>777</v>
      </c>
      <c r="C89">
        <v>175</v>
      </c>
      <c r="D89">
        <v>0.42200685616340999</v>
      </c>
      <c r="E89">
        <v>5.5845788067100202</v>
      </c>
      <c r="F89">
        <v>0.40191864970093999</v>
      </c>
      <c r="G89">
        <v>-123.16706001565507</v>
      </c>
      <c r="H89">
        <v>-70.108053805427843</v>
      </c>
      <c r="I89">
        <v>50.528212206973102</v>
      </c>
      <c r="J89">
        <v>21.9311777387347</v>
      </c>
      <c r="K89">
        <v>13.8947988874499</v>
      </c>
      <c r="L89">
        <v>1.6228159064942151E-3</v>
      </c>
      <c r="M89">
        <v>4.4220978705443919E-4</v>
      </c>
      <c r="N89" s="1">
        <v>-4.7976474209299696E-7</v>
      </c>
      <c r="O89" s="1">
        <v>8.7450591960163208E-6</v>
      </c>
      <c r="P89" s="1">
        <v>-1.6920722109208001E-5</v>
      </c>
      <c r="AE89">
        <v>100</v>
      </c>
      <c r="AJ89">
        <v>1</v>
      </c>
    </row>
    <row r="90" spans="1:36" x14ac:dyDescent="0.2">
      <c r="A90">
        <v>89</v>
      </c>
      <c r="B90">
        <v>776</v>
      </c>
      <c r="C90">
        <v>175</v>
      </c>
      <c r="D90">
        <v>0.42138921984463801</v>
      </c>
      <c r="E90">
        <v>5.6182831891483902</v>
      </c>
      <c r="F90">
        <v>0.40257195612188401</v>
      </c>
      <c r="G90">
        <v>-123.85958253615088</v>
      </c>
      <c r="H90">
        <v>-70.553247480559619</v>
      </c>
      <c r="I90">
        <v>50.812133805684702</v>
      </c>
      <c r="J90">
        <v>22.083218897073401</v>
      </c>
      <c r="K90">
        <v>13.9559725999577</v>
      </c>
      <c r="L90">
        <v>1.6254830759239616E-3</v>
      </c>
      <c r="M90">
        <v>4.4170785429031867E-4</v>
      </c>
      <c r="N90" s="1">
        <v>-3.3578065695846098E-7</v>
      </c>
      <c r="O90" s="1">
        <v>8.7785176650835792E-6</v>
      </c>
      <c r="P90" s="1">
        <v>-1.7050134663336002E-5</v>
      </c>
      <c r="AE90">
        <v>100</v>
      </c>
      <c r="AJ90">
        <v>1</v>
      </c>
    </row>
    <row r="91" spans="1:36" x14ac:dyDescent="0.2">
      <c r="A91">
        <v>90</v>
      </c>
      <c r="B91">
        <v>775</v>
      </c>
      <c r="C91">
        <v>175</v>
      </c>
      <c r="D91">
        <v>0.42077040499928797</v>
      </c>
      <c r="E91">
        <v>5.6520070417344099</v>
      </c>
      <c r="F91">
        <v>0.40322739957324999</v>
      </c>
      <c r="G91">
        <v>-124.55194551502252</v>
      </c>
      <c r="H91">
        <v>-70.998970389346724</v>
      </c>
      <c r="I91">
        <v>51.095940038332301</v>
      </c>
      <c r="J91">
        <v>22.235607413013799</v>
      </c>
      <c r="K91">
        <v>14.0169220834598</v>
      </c>
      <c r="L91">
        <v>1.628148369061369E-3</v>
      </c>
      <c r="M91">
        <v>4.4120233999572089E-4</v>
      </c>
      <c r="N91" s="1">
        <v>-1.88385280775446E-7</v>
      </c>
      <c r="O91" s="1">
        <v>8.8116998810192697E-6</v>
      </c>
      <c r="P91" s="1">
        <v>-1.7179905709271798E-5</v>
      </c>
      <c r="AE91">
        <v>100</v>
      </c>
      <c r="AJ91">
        <v>1</v>
      </c>
    </row>
    <row r="92" spans="1:36" x14ac:dyDescent="0.2">
      <c r="A92">
        <v>91</v>
      </c>
      <c r="B92">
        <v>774</v>
      </c>
      <c r="C92">
        <v>175</v>
      </c>
      <c r="D92">
        <v>0.420150408250972</v>
      </c>
      <c r="E92">
        <v>5.6857295144364102</v>
      </c>
      <c r="F92">
        <v>0.40388498624548502</v>
      </c>
      <c r="G92">
        <v>-125.24368956372939</v>
      </c>
      <c r="H92">
        <v>-71.4449611562315</v>
      </c>
      <c r="I92">
        <v>51.3794414659503</v>
      </c>
      <c r="J92">
        <v>22.388261360657001</v>
      </c>
      <c r="K92">
        <v>14.077595622681899</v>
      </c>
      <c r="L92">
        <v>1.6308116413681732E-3</v>
      </c>
      <c r="M92">
        <v>4.4069322403309143E-4</v>
      </c>
      <c r="N92" s="1">
        <v>-3.7540207986101299E-8</v>
      </c>
      <c r="O92" s="1">
        <v>8.8445713035692008E-6</v>
      </c>
      <c r="P92" s="1">
        <v>-1.7309968280411099E-5</v>
      </c>
      <c r="AE92">
        <v>100</v>
      </c>
      <c r="AJ92">
        <v>1</v>
      </c>
    </row>
    <row r="93" spans="1:36" x14ac:dyDescent="0.2">
      <c r="A93">
        <v>92</v>
      </c>
      <c r="B93">
        <v>773</v>
      </c>
      <c r="C93">
        <v>175</v>
      </c>
      <c r="D93">
        <v>0.41952922621038902</v>
      </c>
      <c r="E93">
        <v>5.7194301444999498</v>
      </c>
      <c r="F93">
        <v>0.40454472229358901</v>
      </c>
      <c r="G93">
        <v>-125.93436457604159</v>
      </c>
      <c r="H93">
        <v>-71.890962945600052</v>
      </c>
      <c r="I93">
        <v>51.662452458618198</v>
      </c>
      <c r="J93">
        <v>22.5411000205128</v>
      </c>
      <c r="K93">
        <v>14.1379428016593</v>
      </c>
      <c r="L93">
        <v>1.6334727465490734E-3</v>
      </c>
      <c r="M93">
        <v>4.4018048633720573E-4</v>
      </c>
      <c r="N93" s="1">
        <v>1.16790726292617E-7</v>
      </c>
      <c r="O93" s="1">
        <v>8.8770982696736992E-6</v>
      </c>
      <c r="P93" s="1">
        <v>-1.7440256051023401E-5</v>
      </c>
      <c r="AE93">
        <v>100</v>
      </c>
      <c r="AJ93">
        <v>1</v>
      </c>
    </row>
    <row r="94" spans="1:36" x14ac:dyDescent="0.2">
      <c r="A94">
        <v>93</v>
      </c>
      <c r="B94">
        <v>772</v>
      </c>
      <c r="C94">
        <v>175</v>
      </c>
      <c r="D94">
        <v>0.418906855475288</v>
      </c>
      <c r="E94">
        <v>5.7530889539652703</v>
      </c>
      <c r="F94">
        <v>0.40520661383601803</v>
      </c>
      <c r="G94">
        <v>-126.62353185610012</v>
      </c>
      <c r="H94">
        <v>-72.33672469479383</v>
      </c>
      <c r="I94">
        <v>51.944792070119902</v>
      </c>
      <c r="J94">
        <v>22.6940442693741</v>
      </c>
      <c r="K94">
        <v>14.1979147366372</v>
      </c>
      <c r="L94">
        <v>1.6361315365495117E-3</v>
      </c>
      <c r="M94">
        <v>4.3966410692031801E-4</v>
      </c>
      <c r="N94" s="1">
        <v>2.7464143011510799E-7</v>
      </c>
      <c r="O94" s="1">
        <v>8.9092481407447892E-6</v>
      </c>
      <c r="P94" s="1">
        <v>-1.75707036427216E-5</v>
      </c>
      <c r="AE94">
        <v>100</v>
      </c>
      <c r="AJ94">
        <v>1</v>
      </c>
    </row>
    <row r="95" spans="1:36" x14ac:dyDescent="0.2">
      <c r="A95">
        <v>94</v>
      </c>
      <c r="B95">
        <v>771</v>
      </c>
      <c r="C95">
        <v>175</v>
      </c>
      <c r="D95">
        <v>0.41828329263037001</v>
      </c>
      <c r="E95">
        <v>5.7866865380432104</v>
      </c>
      <c r="F95">
        <v>0.40587066695355301</v>
      </c>
      <c r="G95">
        <v>-127.31076604008943</v>
      </c>
      <c r="H95">
        <v>-72.782002234468592</v>
      </c>
      <c r="I95">
        <v>52.226284827851501</v>
      </c>
      <c r="J95">
        <v>22.847016936251698</v>
      </c>
      <c r="K95">
        <v>14.257464284073</v>
      </c>
      <c r="L95">
        <v>1.638787861553917E-3</v>
      </c>
      <c r="M95">
        <v>4.3914406587744178E-4</v>
      </c>
      <c r="N95" s="1">
        <v>4.3604355497594602E-7</v>
      </c>
      <c r="O95" s="1">
        <v>8.9409894337441503E-6</v>
      </c>
      <c r="P95" s="1">
        <v>-1.7701246906013801E-5</v>
      </c>
      <c r="AE95">
        <v>100</v>
      </c>
      <c r="AJ95">
        <v>1</v>
      </c>
    </row>
    <row r="96" spans="1:36" x14ac:dyDescent="0.2">
      <c r="A96">
        <v>95</v>
      </c>
      <c r="B96">
        <v>770</v>
      </c>
      <c r="C96">
        <v>175</v>
      </c>
      <c r="D96">
        <v>0.41765853424723398</v>
      </c>
      <c r="E96">
        <v>5.8202041431835596</v>
      </c>
      <c r="F96">
        <v>0.40653688768815099</v>
      </c>
      <c r="G96">
        <v>-127.99565678647332</v>
      </c>
      <c r="H96">
        <v>-73.226559281386102</v>
      </c>
      <c r="I96">
        <v>52.5067614276944</v>
      </c>
      <c r="J96">
        <v>22.999943119545598</v>
      </c>
      <c r="K96">
        <v>14.3165462211344</v>
      </c>
      <c r="L96">
        <v>1.6414415699846272E-3</v>
      </c>
      <c r="M96">
        <v>4.3862034339174849E-4</v>
      </c>
      <c r="N96" s="1">
        <v>6.0102651121146799E-7</v>
      </c>
      <c r="O96" s="1">
        <v>8.9722919344579105E-6</v>
      </c>
      <c r="P96" s="1">
        <v>-1.7831823173032999E-5</v>
      </c>
      <c r="AE96">
        <v>100</v>
      </c>
      <c r="AJ96">
        <v>1</v>
      </c>
    </row>
    <row r="97" spans="1:36" x14ac:dyDescent="0.2">
      <c r="A97">
        <v>96</v>
      </c>
      <c r="B97">
        <v>769</v>
      </c>
      <c r="C97">
        <v>175</v>
      </c>
      <c r="D97">
        <v>0.41703257688433099</v>
      </c>
      <c r="E97">
        <v>5.8865627791344597</v>
      </c>
      <c r="F97">
        <v>0.407205282041807</v>
      </c>
      <c r="G97">
        <v>-129.4018957393337</v>
      </c>
      <c r="H97">
        <v>-74.084719194770443</v>
      </c>
      <c r="I97">
        <v>53.083092834296203</v>
      </c>
      <c r="J97">
        <v>23.283033774776101</v>
      </c>
      <c r="K97">
        <v>14.456007912319</v>
      </c>
      <c r="L97">
        <v>1.6440925085012053E-3</v>
      </c>
      <c r="M97">
        <v>4.3809291974000774E-4</v>
      </c>
      <c r="N97" s="1">
        <v>7.7394822728858396E-7</v>
      </c>
      <c r="O97" s="1">
        <v>9.0537884697379605E-6</v>
      </c>
      <c r="P97" s="1">
        <v>-1.8063447904288501E-5</v>
      </c>
      <c r="AE97">
        <v>100</v>
      </c>
      <c r="AJ97">
        <v>1</v>
      </c>
    </row>
    <row r="98" spans="1:36" x14ac:dyDescent="0.2">
      <c r="A98">
        <v>97</v>
      </c>
      <c r="B98">
        <v>768</v>
      </c>
      <c r="C98">
        <v>175</v>
      </c>
      <c r="D98">
        <v>0.416405417086878</v>
      </c>
      <c r="E98">
        <v>6.0269663067753196</v>
      </c>
      <c r="F98">
        <v>0.407875855975387</v>
      </c>
      <c r="G98">
        <v>-132.43399115220578</v>
      </c>
      <c r="H98">
        <v>-75.875602144596073</v>
      </c>
      <c r="I98">
        <v>54.326310337442699</v>
      </c>
      <c r="J98">
        <v>23.8597575619178</v>
      </c>
      <c r="K98">
        <v>14.776472346867701</v>
      </c>
      <c r="L98">
        <v>1.6467405220001743E-3</v>
      </c>
      <c r="M98">
        <v>4.3756177529812295E-4</v>
      </c>
      <c r="N98" s="1">
        <v>9.6424606807979903E-7</v>
      </c>
      <c r="O98" s="1">
        <v>9.2483547178934895E-6</v>
      </c>
      <c r="P98" s="1">
        <v>-1.8523225094911801E-5</v>
      </c>
      <c r="AE98">
        <v>100</v>
      </c>
      <c r="AJ98">
        <v>1</v>
      </c>
    </row>
    <row r="99" spans="1:36" x14ac:dyDescent="0.2">
      <c r="A99">
        <v>98</v>
      </c>
      <c r="B99">
        <v>767</v>
      </c>
      <c r="C99">
        <v>175</v>
      </c>
      <c r="D99">
        <v>0.41577705138682203</v>
      </c>
      <c r="E99">
        <v>6.1694271406244798</v>
      </c>
      <c r="F99">
        <v>0.40854861540745302</v>
      </c>
      <c r="G99">
        <v>-135.50876615312055</v>
      </c>
      <c r="H99">
        <v>-77.69352646735247</v>
      </c>
      <c r="I99">
        <v>55.586954007426002</v>
      </c>
      <c r="J99">
        <v>24.445661473748899</v>
      </c>
      <c r="K99">
        <v>15.1008396747877</v>
      </c>
      <c r="L99">
        <v>1.6493854536155932E-3</v>
      </c>
      <c r="M99">
        <v>4.3702689054680896E-4</v>
      </c>
      <c r="N99" s="1">
        <v>1.16479466315691E-6</v>
      </c>
      <c r="O99" s="1">
        <v>9.4449879211912303E-6</v>
      </c>
      <c r="P99" s="1">
        <v>-1.8990622400993601E-5</v>
      </c>
      <c r="AE99">
        <v>100</v>
      </c>
      <c r="AJ99">
        <v>1</v>
      </c>
    </row>
    <row r="100" spans="1:36" x14ac:dyDescent="0.2">
      <c r="A100">
        <v>99</v>
      </c>
      <c r="B100">
        <v>766</v>
      </c>
      <c r="C100">
        <v>175</v>
      </c>
      <c r="D100">
        <v>0.41514747630275201</v>
      </c>
      <c r="E100">
        <v>6.3143862709815197</v>
      </c>
      <c r="F100">
        <v>0.40922356621307199</v>
      </c>
      <c r="G100">
        <v>-138.63584897699857</v>
      </c>
      <c r="H100">
        <v>-79.544073434475365</v>
      </c>
      <c r="I100">
        <v>56.8689688900497</v>
      </c>
      <c r="J100">
        <v>25.042517764376601</v>
      </c>
      <c r="K100">
        <v>15.430162855513</v>
      </c>
      <c r="L100">
        <v>1.6520271447197138E-3</v>
      </c>
      <c r="M100">
        <v>4.3648824607725819E-4</v>
      </c>
      <c r="N100" s="1">
        <v>1.3760025849122999E-6</v>
      </c>
      <c r="O100" s="1">
        <v>9.6443330414553497E-6</v>
      </c>
      <c r="P100" s="1">
        <v>-1.9467020583166998E-5</v>
      </c>
      <c r="AE100">
        <v>100</v>
      </c>
      <c r="AJ100">
        <v>1</v>
      </c>
    </row>
    <row r="101" spans="1:36" x14ac:dyDescent="0.2">
      <c r="A101">
        <v>100</v>
      </c>
      <c r="B101">
        <v>765</v>
      </c>
      <c r="C101">
        <v>175</v>
      </c>
      <c r="D101">
        <v>0.41451668833983701</v>
      </c>
      <c r="E101">
        <v>6.46249060157374</v>
      </c>
      <c r="F101">
        <v>0.40990071422263102</v>
      </c>
      <c r="G101">
        <v>-141.82937111591966</v>
      </c>
      <c r="H101">
        <v>-81.435426127798138</v>
      </c>
      <c r="I101">
        <v>58.1781469171951</v>
      </c>
      <c r="J101">
        <v>25.652922323107202</v>
      </c>
      <c r="K101">
        <v>15.7659900979429</v>
      </c>
      <c r="L101">
        <v>1.6546654349248425E-3</v>
      </c>
      <c r="M101">
        <v>4.3594582259703305E-4</v>
      </c>
      <c r="N101" s="1">
        <v>1.5983852144716499E-6</v>
      </c>
      <c r="O101" s="1">
        <v>9.8473422455691506E-6</v>
      </c>
      <c r="P101" s="1">
        <v>-1.9954444046141199E-5</v>
      </c>
      <c r="AE101">
        <v>100</v>
      </c>
      <c r="AJ101">
        <v>1</v>
      </c>
    </row>
    <row r="102" spans="1:36" x14ac:dyDescent="0.2">
      <c r="A102">
        <v>101</v>
      </c>
      <c r="B102">
        <v>764</v>
      </c>
      <c r="C102">
        <v>175</v>
      </c>
      <c r="D102">
        <v>0.41388468398978101</v>
      </c>
      <c r="E102">
        <v>6.6147002394314196</v>
      </c>
      <c r="F102">
        <v>0.41058006522061502</v>
      </c>
      <c r="G102">
        <v>-145.11031174641744</v>
      </c>
      <c r="H102">
        <v>-83.379725956047579</v>
      </c>
      <c r="I102">
        <v>59.523088394191703</v>
      </c>
      <c r="J102">
        <v>26.280724636262899</v>
      </c>
      <c r="K102">
        <v>16.110622019306099</v>
      </c>
      <c r="L102">
        <v>1.6573001620850663E-3</v>
      </c>
      <c r="M102">
        <v>4.3539960093590103E-4</v>
      </c>
      <c r="N102" s="1">
        <v>1.8326263844744101E-6</v>
      </c>
      <c r="O102" s="1">
        <v>1.0055434228543199E-5</v>
      </c>
      <c r="P102" s="1">
        <v>-2.0455897456183201E-5</v>
      </c>
      <c r="AE102">
        <v>100</v>
      </c>
      <c r="AJ102">
        <v>1</v>
      </c>
    </row>
    <row r="103" spans="1:36" x14ac:dyDescent="0.2">
      <c r="A103">
        <v>102</v>
      </c>
      <c r="B103">
        <v>763</v>
      </c>
      <c r="C103">
        <v>175</v>
      </c>
      <c r="D103">
        <v>0.41325145973073701</v>
      </c>
      <c r="E103">
        <v>6.7724661942995503</v>
      </c>
      <c r="F103">
        <v>0.41126162494439</v>
      </c>
      <c r="G103">
        <v>-148.51038035636086</v>
      </c>
      <c r="H103">
        <v>-85.395319548470795</v>
      </c>
      <c r="I103">
        <v>60.916794314455899</v>
      </c>
      <c r="J103">
        <v>26.9317400563577</v>
      </c>
      <c r="K103">
        <v>16.467537410560201</v>
      </c>
      <c r="L103">
        <v>1.6599311622991152E-3</v>
      </c>
      <c r="M103">
        <v>4.3484956205187597E-4</v>
      </c>
      <c r="N103" s="1">
        <v>2.07968191687757E-6</v>
      </c>
      <c r="O103" s="1">
        <v>1.0270757941203699E-5</v>
      </c>
      <c r="P103" s="1">
        <v>-2.09759234429829E-5</v>
      </c>
      <c r="AE103">
        <v>100</v>
      </c>
      <c r="AJ103">
        <v>1</v>
      </c>
    </row>
    <row r="104" spans="1:36" x14ac:dyDescent="0.2">
      <c r="A104">
        <v>103</v>
      </c>
      <c r="B104">
        <v>762</v>
      </c>
      <c r="C104">
        <v>175</v>
      </c>
      <c r="D104">
        <v>0.41261701202724399</v>
      </c>
      <c r="E104">
        <v>6.9380423662822697</v>
      </c>
      <c r="F104">
        <v>0.411945399082977</v>
      </c>
      <c r="G104">
        <v>-152.07883334073614</v>
      </c>
      <c r="H104">
        <v>-87.510703707342103</v>
      </c>
      <c r="I104">
        <v>62.379461920765699</v>
      </c>
      <c r="J104">
        <v>27.615000402835101</v>
      </c>
      <c r="K104">
        <v>16.8421406859425</v>
      </c>
      <c r="L104">
        <v>1.6625582699135513E-3</v>
      </c>
      <c r="M104">
        <v>4.3429568703726639E-4</v>
      </c>
      <c r="N104" s="1">
        <v>2.3409622506147102E-6</v>
      </c>
      <c r="O104" s="1">
        <v>1.0496655541445101E-5</v>
      </c>
      <c r="P104" s="1">
        <v>-2.1521581832643601E-5</v>
      </c>
      <c r="AE104">
        <v>100</v>
      </c>
      <c r="AJ104">
        <v>1</v>
      </c>
    </row>
    <row r="105" spans="1:36" x14ac:dyDescent="0.2">
      <c r="A105">
        <v>104</v>
      </c>
      <c r="B105">
        <v>761</v>
      </c>
      <c r="C105">
        <v>175</v>
      </c>
      <c r="D105">
        <v>0.411981337330175</v>
      </c>
      <c r="E105">
        <v>7.11506712703064</v>
      </c>
      <c r="F105">
        <v>0.412631393275806</v>
      </c>
      <c r="G105">
        <v>-155.89518074749415</v>
      </c>
      <c r="H105">
        <v>-89.77187934350799</v>
      </c>
      <c r="I105">
        <v>63.9436958684053</v>
      </c>
      <c r="J105">
        <v>28.345085306871301</v>
      </c>
      <c r="K105">
        <v>17.243155133072602</v>
      </c>
      <c r="L105">
        <v>1.6651813175267132E-3</v>
      </c>
      <c r="M105">
        <v>4.3373795712486939E-4</v>
      </c>
      <c r="N105" s="1">
        <v>2.6186739052686798E-6</v>
      </c>
      <c r="O105" s="1">
        <v>1.0738525296324701E-5</v>
      </c>
      <c r="P105" s="1">
        <v>-2.2104275137612801E-5</v>
      </c>
      <c r="AE105">
        <v>100</v>
      </c>
      <c r="AJ105">
        <v>1</v>
      </c>
    </row>
    <row r="106" spans="1:36" x14ac:dyDescent="0.2">
      <c r="A106">
        <v>105</v>
      </c>
      <c r="B106">
        <v>760</v>
      </c>
      <c r="C106">
        <v>175</v>
      </c>
      <c r="D106">
        <v>0.41134443207665999</v>
      </c>
      <c r="E106">
        <v>7.3097030647806198</v>
      </c>
      <c r="F106">
        <v>0.41331961311145299</v>
      </c>
      <c r="G106">
        <v>-160.0940863896862</v>
      </c>
      <c r="H106">
        <v>-92.256764025363182</v>
      </c>
      <c r="I106">
        <v>65.664719958654402</v>
      </c>
      <c r="J106">
        <v>29.146691737297701</v>
      </c>
      <c r="K106">
        <v>17.685352528406401</v>
      </c>
      <c r="L106">
        <v>1.6678001359930626E-3</v>
      </c>
      <c r="M106">
        <v>4.3317635369420935E-4</v>
      </c>
      <c r="N106" s="1">
        <v>2.9164953310854199E-6</v>
      </c>
      <c r="O106" s="1">
        <v>1.10055118980853E-5</v>
      </c>
      <c r="P106" s="1">
        <v>-2.2743326924675302E-5</v>
      </c>
      <c r="AE106">
        <v>100</v>
      </c>
      <c r="AJ106">
        <v>1</v>
      </c>
    </row>
    <row r="107" spans="1:36" x14ac:dyDescent="0.2">
      <c r="A107">
        <v>106</v>
      </c>
      <c r="B107">
        <v>759</v>
      </c>
      <c r="C107">
        <v>175</v>
      </c>
      <c r="D107">
        <v>0.41070629269001901</v>
      </c>
      <c r="E107">
        <v>7.5328418720781896</v>
      </c>
      <c r="F107">
        <v>0.41401006412639402</v>
      </c>
      <c r="G107">
        <v>-164.91352536698366</v>
      </c>
      <c r="H107">
        <v>-95.103079443357643</v>
      </c>
      <c r="I107">
        <v>67.640126607871593</v>
      </c>
      <c r="J107">
        <v>30.063479126537398</v>
      </c>
      <c r="K107">
        <v>18.194827915532102</v>
      </c>
      <c r="L107">
        <v>1.6704145544284375E-3</v>
      </c>
      <c r="M107">
        <v>4.3261085827785302E-4</v>
      </c>
      <c r="N107" s="1">
        <v>3.2409311361227698E-6</v>
      </c>
      <c r="O107" s="1">
        <v>1.13137710885168E-5</v>
      </c>
      <c r="P107" s="1">
        <v>-2.34729109523391E-5</v>
      </c>
      <c r="AE107">
        <v>100</v>
      </c>
      <c r="AJ107">
        <v>1</v>
      </c>
    </row>
    <row r="108" spans="1:36" x14ac:dyDescent="0.2">
      <c r="A108">
        <v>107</v>
      </c>
      <c r="B108">
        <v>758</v>
      </c>
      <c r="C108">
        <v>175</v>
      </c>
      <c r="D108">
        <v>0.41006691557969399</v>
      </c>
      <c r="E108">
        <v>7.8292725173787998</v>
      </c>
      <c r="F108">
        <v>0.41470275180371802</v>
      </c>
      <c r="G108">
        <v>-171.33287740875573</v>
      </c>
      <c r="H108">
        <v>-98.876814353473776</v>
      </c>
      <c r="I108">
        <v>70.271583616145804</v>
      </c>
      <c r="J108">
        <v>31.274669222556401</v>
      </c>
      <c r="K108">
        <v>18.879239366813799</v>
      </c>
      <c r="L108">
        <v>1.6730244002158934E-3</v>
      </c>
      <c r="M108">
        <v>4.3204145256789731E-4</v>
      </c>
      <c r="N108" s="1">
        <v>3.6155471070503398E-6</v>
      </c>
      <c r="O108" s="1">
        <v>1.17300821788039E-5</v>
      </c>
      <c r="P108" s="1">
        <v>-2.44331870598309E-5</v>
      </c>
      <c r="AE108">
        <v>100</v>
      </c>
      <c r="AJ108">
        <v>1</v>
      </c>
    </row>
    <row r="109" spans="1:36" x14ac:dyDescent="0.2">
      <c r="A109">
        <v>108</v>
      </c>
      <c r="B109">
        <v>757</v>
      </c>
      <c r="C109">
        <v>175</v>
      </c>
      <c r="D109">
        <v>0.40942629714119499</v>
      </c>
      <c r="E109">
        <v>9.4397710548299507</v>
      </c>
      <c r="F109">
        <v>0.41539768157183499</v>
      </c>
      <c r="G109">
        <v>-206.49171795939367</v>
      </c>
      <c r="H109">
        <v>-119.25371695793193</v>
      </c>
      <c r="I109">
        <v>84.6899995322308</v>
      </c>
      <c r="J109">
        <v>37.741900018192702</v>
      </c>
      <c r="K109">
        <v>22.7246599429985</v>
      </c>
      <c r="L109">
        <v>1.6756294990119022E-3</v>
      </c>
      <c r="M109">
        <v>4.3146811842239527E-4</v>
      </c>
      <c r="N109" s="1">
        <v>4.6600883466100403E-6</v>
      </c>
      <c r="O109" s="1">
        <v>1.41079927176415E-5</v>
      </c>
      <c r="P109" s="1">
        <v>-2.9503086835669699E-5</v>
      </c>
      <c r="AE109">
        <v>100</v>
      </c>
      <c r="AJ109">
        <v>1</v>
      </c>
    </row>
    <row r="110" spans="1:36" x14ac:dyDescent="0.2">
      <c r="A110">
        <v>109</v>
      </c>
      <c r="B110">
        <v>756</v>
      </c>
      <c r="C110">
        <v>175</v>
      </c>
      <c r="D110">
        <v>0.40878443375601398</v>
      </c>
      <c r="E110">
        <v>9.9539973918780102</v>
      </c>
      <c r="F110">
        <v>0.41609485880319902</v>
      </c>
      <c r="G110">
        <v>-217.65095662823566</v>
      </c>
      <c r="H110">
        <v>-125.78981339930145</v>
      </c>
      <c r="I110">
        <v>89.264771430294203</v>
      </c>
      <c r="J110">
        <v>39.833717892080998</v>
      </c>
      <c r="K110">
        <v>23.922423412075702</v>
      </c>
      <c r="L110">
        <v>1.6782296747537672E-3</v>
      </c>
      <c r="M110">
        <v>4.3089083787200741E-4</v>
      </c>
      <c r="N110" s="1">
        <v>5.2342200768937199E-6</v>
      </c>
      <c r="O110" s="1">
        <v>1.48394686120475E-5</v>
      </c>
      <c r="P110" s="1">
        <v>-3.1156408488875102E-5</v>
      </c>
      <c r="AE110">
        <v>100</v>
      </c>
      <c r="AJ110">
        <v>1</v>
      </c>
    </row>
    <row r="111" spans="1:36" x14ac:dyDescent="0.2">
      <c r="A111">
        <v>110</v>
      </c>
      <c r="B111">
        <v>755</v>
      </c>
      <c r="C111">
        <v>175</v>
      </c>
      <c r="D111">
        <v>0.40814132179156798</v>
      </c>
      <c r="E111">
        <v>10.218584227440299</v>
      </c>
      <c r="F111">
        <v>0.41679428881299901</v>
      </c>
      <c r="G111">
        <v>-223.34471100003941</v>
      </c>
      <c r="H111">
        <v>-129.17433871672799</v>
      </c>
      <c r="I111">
        <v>91.597743505032597</v>
      </c>
      <c r="J111">
        <v>40.929373183214402</v>
      </c>
      <c r="K111">
        <v>24.517092728266899</v>
      </c>
      <c r="L111">
        <v>1.6808247496673274E-3</v>
      </c>
      <c r="M111">
        <v>4.3030959312664803E-4</v>
      </c>
      <c r="N111" s="1">
        <v>5.7052996856270998E-6</v>
      </c>
      <c r="O111" s="1">
        <v>1.51957271057727E-5</v>
      </c>
      <c r="P111" s="1">
        <v>-3.2031771432926598E-5</v>
      </c>
      <c r="AE111">
        <v>100</v>
      </c>
      <c r="AJ111">
        <v>1</v>
      </c>
    </row>
    <row r="112" spans="1:36" x14ac:dyDescent="0.2">
      <c r="A112">
        <v>111</v>
      </c>
      <c r="B112">
        <v>754</v>
      </c>
      <c r="C112">
        <v>175</v>
      </c>
      <c r="D112">
        <v>0.40749695760112897</v>
      </c>
      <c r="E112">
        <v>10.3743053310679</v>
      </c>
      <c r="F112">
        <v>0.41749597685781797</v>
      </c>
      <c r="G112">
        <v>-226.65528982365097</v>
      </c>
      <c r="H112">
        <v>-131.18439952027657</v>
      </c>
      <c r="I112">
        <v>92.953149119349803</v>
      </c>
      <c r="J112">
        <v>41.590528476242703</v>
      </c>
      <c r="K112">
        <v>24.8488749739521</v>
      </c>
      <c r="L112">
        <v>1.6834145442753245E-3</v>
      </c>
      <c r="M112">
        <v>4.2972436658222463E-4</v>
      </c>
      <c r="N112" s="1">
        <v>6.1324618631239196E-6</v>
      </c>
      <c r="O112" s="1">
        <v>1.5388366010290698E-5</v>
      </c>
      <c r="P112" s="1">
        <v>-3.2567619204114701E-5</v>
      </c>
      <c r="AE112">
        <v>100</v>
      </c>
      <c r="AJ112">
        <v>1</v>
      </c>
    </row>
    <row r="113" spans="1:36" x14ac:dyDescent="0.2">
      <c r="A113">
        <v>112</v>
      </c>
      <c r="B113">
        <v>753</v>
      </c>
      <c r="C113">
        <v>175</v>
      </c>
      <c r="D113">
        <v>0.40685133752375702</v>
      </c>
      <c r="E113">
        <v>10.498809837026499</v>
      </c>
      <c r="F113">
        <v>0.41819992813434598</v>
      </c>
      <c r="G113">
        <v>-229.28138566950622</v>
      </c>
      <c r="H113">
        <v>-132.80088332381857</v>
      </c>
      <c r="I113">
        <v>94.027686409761898</v>
      </c>
      <c r="J113">
        <v>42.127580573491798</v>
      </c>
      <c r="K113">
        <v>25.104762413191398</v>
      </c>
      <c r="L113">
        <v>1.6859988774069194E-3</v>
      </c>
      <c r="M113">
        <v>4.2913514082751179E-4</v>
      </c>
      <c r="N113" s="1">
        <v>6.5536141212723297E-6</v>
      </c>
      <c r="O113" s="1">
        <v>1.5533488414312E-5</v>
      </c>
      <c r="P113" s="1">
        <v>-3.3006548635813797E-5</v>
      </c>
      <c r="AE113">
        <v>100</v>
      </c>
      <c r="AJ113">
        <v>1</v>
      </c>
    </row>
    <row r="114" spans="1:36" x14ac:dyDescent="0.2">
      <c r="A114">
        <v>113</v>
      </c>
      <c r="B114">
        <v>792</v>
      </c>
      <c r="C114">
        <v>150</v>
      </c>
      <c r="D114">
        <v>0.456950194808243</v>
      </c>
      <c r="E114">
        <v>5.9576419196845096</v>
      </c>
      <c r="F114">
        <v>0.34538998947148503</v>
      </c>
      <c r="G114">
        <v>-132.60972462878362</v>
      </c>
      <c r="H114">
        <v>-74.142270268884488</v>
      </c>
      <c r="I114">
        <v>54.894487807770403</v>
      </c>
      <c r="J114">
        <v>22.9002517123721</v>
      </c>
      <c r="K114">
        <v>17.249028927563501</v>
      </c>
      <c r="L114">
        <v>1.6871577057192089E-3</v>
      </c>
      <c r="M114">
        <v>5.7843369134338136E-4</v>
      </c>
      <c r="N114" s="1">
        <v>-1.2285825244864599E-5</v>
      </c>
      <c r="O114" s="1">
        <v>1.6332086150108899E-5</v>
      </c>
      <c r="P114" s="1">
        <v>-2.3221759118224799E-5</v>
      </c>
      <c r="AE114">
        <v>100</v>
      </c>
      <c r="AJ114">
        <v>1</v>
      </c>
    </row>
    <row r="115" spans="1:36" x14ac:dyDescent="0.2">
      <c r="A115">
        <v>114</v>
      </c>
      <c r="B115">
        <v>791</v>
      </c>
      <c r="C115">
        <v>150</v>
      </c>
      <c r="D115">
        <v>0.45637410139548201</v>
      </c>
      <c r="E115">
        <v>5.9732385930874896</v>
      </c>
      <c r="F115">
        <v>0.34597382474481803</v>
      </c>
      <c r="G115">
        <v>-132.90185983405814</v>
      </c>
      <c r="H115">
        <v>-74.359341393832466</v>
      </c>
      <c r="I115">
        <v>55.016620489731203</v>
      </c>
      <c r="J115">
        <v>22.9839156240633</v>
      </c>
      <c r="K115">
        <v>17.265001470828601</v>
      </c>
      <c r="L115">
        <v>1.6907200999054413E-3</v>
      </c>
      <c r="M115">
        <v>5.7806149437167722E-4</v>
      </c>
      <c r="N115" s="1">
        <v>-1.2214585661547599E-5</v>
      </c>
      <c r="O115" s="1">
        <v>1.6348900866754001E-5</v>
      </c>
      <c r="P115" s="1">
        <v>-2.3331651358254199E-5</v>
      </c>
      <c r="AE115">
        <v>100</v>
      </c>
      <c r="AJ115">
        <v>1</v>
      </c>
    </row>
    <row r="116" spans="1:36" x14ac:dyDescent="0.2">
      <c r="A116">
        <v>115</v>
      </c>
      <c r="B116">
        <v>790</v>
      </c>
      <c r="C116">
        <v>150</v>
      </c>
      <c r="D116">
        <v>0.45579692423458601</v>
      </c>
      <c r="E116">
        <v>6.0019005656538997</v>
      </c>
      <c r="F116">
        <v>0.34655988274475702</v>
      </c>
      <c r="G116">
        <v>-133.48430601950238</v>
      </c>
      <c r="H116">
        <v>-74.739253216932525</v>
      </c>
      <c r="I116">
        <v>55.258888640956002</v>
      </c>
      <c r="J116">
        <v>23.118117969851699</v>
      </c>
      <c r="K116">
        <v>17.318509338469301</v>
      </c>
      <c r="L116">
        <v>1.6942896990151197E-3</v>
      </c>
      <c r="M116">
        <v>5.7768559114277143E-4</v>
      </c>
      <c r="N116" s="1">
        <v>-1.21672026291857E-5</v>
      </c>
      <c r="O116" s="1">
        <v>1.6401194927926801E-5</v>
      </c>
      <c r="P116" s="1">
        <v>-2.3493166983986101E-5</v>
      </c>
      <c r="AE116">
        <v>100</v>
      </c>
      <c r="AJ116">
        <v>1</v>
      </c>
    </row>
    <row r="117" spans="1:36" x14ac:dyDescent="0.2">
      <c r="A117">
        <v>116</v>
      </c>
      <c r="B117">
        <v>789</v>
      </c>
      <c r="C117">
        <v>150</v>
      </c>
      <c r="D117">
        <v>0.45521866026455898</v>
      </c>
      <c r="E117">
        <v>6.0306119570973102</v>
      </c>
      <c r="F117">
        <v>0.34714817390574498</v>
      </c>
      <c r="G117">
        <v>-134.06734481191177</v>
      </c>
      <c r="H117">
        <v>-75.120025385617012</v>
      </c>
      <c r="I117">
        <v>55.501360930921699</v>
      </c>
      <c r="J117">
        <v>23.252829417610702</v>
      </c>
      <c r="K117">
        <v>17.371867146086998</v>
      </c>
      <c r="L117">
        <v>1.6978664150258205E-3</v>
      </c>
      <c r="M117">
        <v>5.7730594539334083E-4</v>
      </c>
      <c r="N117" s="1">
        <v>-1.21167759195555E-5</v>
      </c>
      <c r="O117" s="1">
        <v>1.64532840178358E-5</v>
      </c>
      <c r="P117" s="1">
        <v>-2.3655576240750401E-5</v>
      </c>
      <c r="AE117">
        <v>100</v>
      </c>
      <c r="AJ117">
        <v>1</v>
      </c>
    </row>
    <row r="118" spans="1:36" x14ac:dyDescent="0.2">
      <c r="A118">
        <v>117</v>
      </c>
      <c r="B118">
        <v>788</v>
      </c>
      <c r="C118">
        <v>150</v>
      </c>
      <c r="D118">
        <v>0.45463930641285699</v>
      </c>
      <c r="E118">
        <v>6.0593563250883502</v>
      </c>
      <c r="F118">
        <v>0.34773870868548101</v>
      </c>
      <c r="G118">
        <v>-134.65060982178281</v>
      </c>
      <c r="H118">
        <v>-75.501454029059659</v>
      </c>
      <c r="I118">
        <v>55.743884774536497</v>
      </c>
      <c r="J118">
        <v>23.3879881843752</v>
      </c>
      <c r="K118">
        <v>17.425026819688402</v>
      </c>
      <c r="L118">
        <v>1.701450157528024E-3</v>
      </c>
      <c r="M118">
        <v>5.7692252058317889E-4</v>
      </c>
      <c r="N118" s="1">
        <v>-1.20632130972111E-5</v>
      </c>
      <c r="O118" s="1">
        <v>1.6505120305861399E-5</v>
      </c>
      <c r="P118" s="1">
        <v>-2.38188181034422E-5</v>
      </c>
      <c r="AE118">
        <v>100</v>
      </c>
      <c r="AJ118">
        <v>1</v>
      </c>
    </row>
    <row r="119" spans="1:36" x14ac:dyDescent="0.2">
      <c r="A119">
        <v>118</v>
      </c>
      <c r="B119">
        <v>787</v>
      </c>
      <c r="C119">
        <v>150</v>
      </c>
      <c r="D119">
        <v>0.45405885959534198</v>
      </c>
      <c r="E119">
        <v>6.0881173498349499</v>
      </c>
      <c r="F119">
        <v>0.34833149756415499</v>
      </c>
      <c r="G119">
        <v>-135.23373798850346</v>
      </c>
      <c r="H119">
        <v>-75.883336552467512</v>
      </c>
      <c r="I119">
        <v>55.986308947447696</v>
      </c>
      <c r="J119">
        <v>23.523532683059699</v>
      </c>
      <c r="K119">
        <v>17.477940962584402</v>
      </c>
      <c r="L119">
        <v>1.7050408336895919E-3</v>
      </c>
      <c r="M119">
        <v>5.7653527989610215E-4</v>
      </c>
      <c r="N119" s="1">
        <v>-1.20064224293281E-5</v>
      </c>
      <c r="O119" s="1">
        <v>1.6556656544571498E-5</v>
      </c>
      <c r="P119" s="1">
        <v>-2.39828314041346E-5</v>
      </c>
      <c r="AE119">
        <v>100</v>
      </c>
      <c r="AJ119">
        <v>1</v>
      </c>
    </row>
    <row r="120" spans="1:36" x14ac:dyDescent="0.2">
      <c r="A120">
        <v>119</v>
      </c>
      <c r="B120">
        <v>786</v>
      </c>
      <c r="C120">
        <v>150</v>
      </c>
      <c r="D120">
        <v>0.45347731671623798</v>
      </c>
      <c r="E120">
        <v>6.1168789137940003</v>
      </c>
      <c r="F120">
        <v>0.34892655104366499</v>
      </c>
      <c r="G120">
        <v>-135.81637134401018</v>
      </c>
      <c r="H120">
        <v>-76.265472632623229</v>
      </c>
      <c r="I120">
        <v>56.228484317727201</v>
      </c>
      <c r="J120">
        <v>23.659401830239698</v>
      </c>
      <c r="K120">
        <v>17.530563081250101</v>
      </c>
      <c r="L120">
        <v>1.7086383482201083E-3</v>
      </c>
      <c r="M120">
        <v>5.7614418624103085E-4</v>
      </c>
      <c r="N120" s="1">
        <v>-1.1946313088382099E-5</v>
      </c>
      <c r="O120" s="1">
        <v>1.6607846285480799E-5</v>
      </c>
      <c r="P120" s="1">
        <v>-2.4147555142304001E-5</v>
      </c>
      <c r="AE120">
        <v>100</v>
      </c>
      <c r="AJ120">
        <v>1</v>
      </c>
    </row>
    <row r="121" spans="1:36" x14ac:dyDescent="0.2">
      <c r="A121">
        <v>120</v>
      </c>
      <c r="B121">
        <v>785</v>
      </c>
      <c r="C121">
        <v>150</v>
      </c>
      <c r="D121">
        <v>0.452894674668055</v>
      </c>
      <c r="E121">
        <v>6.14562517686982</v>
      </c>
      <c r="F121">
        <v>0.34952387964680498</v>
      </c>
      <c r="G121">
        <v>-136.39815867188614</v>
      </c>
      <c r="H121">
        <v>-76.647665158991813</v>
      </c>
      <c r="I121">
        <v>56.470264534333602</v>
      </c>
      <c r="J121">
        <v>23.795535338429801</v>
      </c>
      <c r="K121">
        <v>17.582847795921602</v>
      </c>
      <c r="L121">
        <v>1.7122426033349329E-3</v>
      </c>
      <c r="M121">
        <v>5.7574920225310182E-4</v>
      </c>
      <c r="N121" s="1">
        <v>-1.18827953379158E-5</v>
      </c>
      <c r="O121" s="1">
        <v>1.6658644080484099E-5</v>
      </c>
      <c r="P121" s="1">
        <v>-2.4312928781268702E-5</v>
      </c>
      <c r="AE121">
        <v>100</v>
      </c>
      <c r="AJ121">
        <v>1</v>
      </c>
    </row>
    <row r="122" spans="1:36" x14ac:dyDescent="0.2">
      <c r="A122">
        <v>121</v>
      </c>
      <c r="B122">
        <v>784</v>
      </c>
      <c r="C122">
        <v>150</v>
      </c>
      <c r="D122">
        <v>0.45231093033155201</v>
      </c>
      <c r="E122">
        <v>6.1743406455805703</v>
      </c>
      <c r="F122">
        <v>0.35012349391644099</v>
      </c>
      <c r="G122">
        <v>-136.97875702849984</v>
      </c>
      <c r="H122">
        <v>-77.029721101326501</v>
      </c>
      <c r="I122">
        <v>56.711506658505101</v>
      </c>
      <c r="J122">
        <v>23.931873986870801</v>
      </c>
      <c r="K122">
        <v>17.634751031743299</v>
      </c>
      <c r="L122">
        <v>1.7158534987191804E-3</v>
      </c>
      <c r="M122">
        <v>5.7535029029500318E-4</v>
      </c>
      <c r="N122" s="1">
        <v>-1.1815780698472399E-5</v>
      </c>
      <c r="O122" s="1">
        <v>1.6709005664978502E-5</v>
      </c>
      <c r="P122" s="1">
        <v>-2.44788925246376E-5</v>
      </c>
      <c r="AE122">
        <v>100</v>
      </c>
      <c r="AJ122">
        <v>1</v>
      </c>
    </row>
    <row r="123" spans="1:36" x14ac:dyDescent="0.2">
      <c r="A123">
        <v>122</v>
      </c>
      <c r="B123">
        <v>783</v>
      </c>
      <c r="C123">
        <v>150</v>
      </c>
      <c r="D123">
        <v>0.45172608057567798</v>
      </c>
      <c r="E123">
        <v>6.20301023628884</v>
      </c>
      <c r="F123">
        <v>0.35072540441465599</v>
      </c>
      <c r="G123">
        <v>-137.55783312871549</v>
      </c>
      <c r="H123">
        <v>-77.411452304821537</v>
      </c>
      <c r="I123">
        <v>56.952071739108597</v>
      </c>
      <c r="J123">
        <v>24.068359871041601</v>
      </c>
      <c r="K123">
        <v>17.686230190941899</v>
      </c>
      <c r="L123">
        <v>1.7194709314914006E-3</v>
      </c>
      <c r="M123">
        <v>5.7494741245833639E-4</v>
      </c>
      <c r="N123" s="1">
        <v>-1.17451820941236E-5</v>
      </c>
      <c r="O123" s="1">
        <v>1.6758888123089398E-5</v>
      </c>
      <c r="P123" s="1">
        <v>-2.4645387572840299E-5</v>
      </c>
      <c r="AE123">
        <v>100</v>
      </c>
      <c r="AJ123">
        <v>1</v>
      </c>
    </row>
    <row r="124" spans="1:36" x14ac:dyDescent="0.2">
      <c r="A124">
        <v>123</v>
      </c>
      <c r="B124">
        <v>782</v>
      </c>
      <c r="C124">
        <v>150</v>
      </c>
      <c r="D124">
        <v>0.451140122257502</v>
      </c>
      <c r="E124">
        <v>6.23161933162746</v>
      </c>
      <c r="F124">
        <v>0.35132962172186999</v>
      </c>
      <c r="G124">
        <v>-138.1350645772938</v>
      </c>
      <c r="H124">
        <v>-77.792676201800376</v>
      </c>
      <c r="I124">
        <v>57.1918253241152</v>
      </c>
      <c r="J124">
        <v>24.2049366273888</v>
      </c>
      <c r="K124">
        <v>17.737244303757301</v>
      </c>
      <c r="L124">
        <v>1.7230947961672878E-3</v>
      </c>
      <c r="M124">
        <v>5.7454053056520214E-4</v>
      </c>
      <c r="N124" s="1">
        <v>-1.16709139782698E-5</v>
      </c>
      <c r="O124" s="1">
        <v>1.6808250032825E-5</v>
      </c>
      <c r="P124" s="1">
        <v>-2.4812356355988099E-5</v>
      </c>
      <c r="AE124">
        <v>100</v>
      </c>
      <c r="AJ124">
        <v>1</v>
      </c>
    </row>
    <row r="125" spans="1:36" x14ac:dyDescent="0.2">
      <c r="A125">
        <v>124</v>
      </c>
      <c r="B125">
        <v>781</v>
      </c>
      <c r="C125">
        <v>150</v>
      </c>
      <c r="D125">
        <v>0.45055305222216901</v>
      </c>
      <c r="E125">
        <v>6.2601538298555202</v>
      </c>
      <c r="F125">
        <v>0.35193615643595</v>
      </c>
      <c r="G125">
        <v>-138.71014094055997</v>
      </c>
      <c r="H125">
        <v>-78.173216436462184</v>
      </c>
      <c r="I125">
        <v>57.430637905930503</v>
      </c>
      <c r="J125">
        <v>24.341549632046299</v>
      </c>
      <c r="K125">
        <v>17.787754157606201</v>
      </c>
      <c r="L125">
        <v>1.7267249846231799E-3</v>
      </c>
      <c r="M125">
        <v>5.7412960616987237E-4</v>
      </c>
      <c r="N125" s="1">
        <v>-1.15928924386599E-5</v>
      </c>
      <c r="O125" s="1">
        <v>1.68570515906341E-5</v>
      </c>
      <c r="P125" s="1">
        <v>-2.4979742741646201E-5</v>
      </c>
      <c r="AE125">
        <v>100</v>
      </c>
      <c r="AJ125">
        <v>1</v>
      </c>
    </row>
    <row r="126" spans="1:36" x14ac:dyDescent="0.2">
      <c r="A126">
        <v>125</v>
      </c>
      <c r="B126">
        <v>780</v>
      </c>
      <c r="C126">
        <v>150</v>
      </c>
      <c r="D126">
        <v>0.44996486730285301</v>
      </c>
      <c r="E126">
        <v>6.2886001873706796</v>
      </c>
      <c r="F126">
        <v>0.35254501917127701</v>
      </c>
      <c r="G126">
        <v>-139.28276466379964</v>
      </c>
      <c r="H126">
        <v>-78.552903405314041</v>
      </c>
      <c r="I126">
        <v>57.668385302831602</v>
      </c>
      <c r="J126">
        <v>24.4781461742555</v>
      </c>
      <c r="K126">
        <v>17.837722405363099</v>
      </c>
      <c r="L126">
        <v>1.7303613860593157E-3</v>
      </c>
      <c r="M126">
        <v>5.7371460056058576E-4</v>
      </c>
      <c r="N126" s="1">
        <v>-1.1511035282579999E-5</v>
      </c>
      <c r="O126" s="1">
        <v>1.6905254716177199E-5</v>
      </c>
      <c r="P126" s="1">
        <v>-2.51474922180431E-5</v>
      </c>
      <c r="AE126">
        <v>100</v>
      </c>
      <c r="AJ126">
        <v>1</v>
      </c>
    </row>
    <row r="127" spans="1:36" x14ac:dyDescent="0.2">
      <c r="A127">
        <v>126</v>
      </c>
      <c r="B127">
        <v>779</v>
      </c>
      <c r="C127">
        <v>150</v>
      </c>
      <c r="D127">
        <v>0.44937556432067799</v>
      </c>
      <c r="E127">
        <v>6.3169454536721696</v>
      </c>
      <c r="F127">
        <v>0.35315622055781098</v>
      </c>
      <c r="G127">
        <v>-139.85265181920693</v>
      </c>
      <c r="H127">
        <v>-78.931574704293936</v>
      </c>
      <c r="I127">
        <v>57.90494897021</v>
      </c>
      <c r="J127">
        <v>24.614675601549099</v>
      </c>
      <c r="K127">
        <v>17.887113650991399</v>
      </c>
      <c r="L127">
        <v>1.73400388696325E-3</v>
      </c>
      <c r="M127">
        <v>5.7329547476154977E-4</v>
      </c>
      <c r="N127" s="1">
        <v>-1.1425262101543301E-5</v>
      </c>
      <c r="O127" s="1">
        <v>1.6952823135620001E-5</v>
      </c>
      <c r="P127" s="1">
        <v>-2.5315552049517001E-5</v>
      </c>
      <c r="AE127">
        <v>100</v>
      </c>
      <c r="AJ127">
        <v>1</v>
      </c>
    </row>
    <row r="128" spans="1:36" x14ac:dyDescent="0.2">
      <c r="A128">
        <v>127</v>
      </c>
      <c r="B128">
        <v>778</v>
      </c>
      <c r="C128">
        <v>150</v>
      </c>
      <c r="D128">
        <v>0.44878514008467002</v>
      </c>
      <c r="E128">
        <v>6.3451773000268297</v>
      </c>
      <c r="F128">
        <v>0.353769771240103</v>
      </c>
      <c r="G128">
        <v>-140.4195327125866</v>
      </c>
      <c r="H128">
        <v>-79.309075498035483</v>
      </c>
      <c r="I128">
        <v>58.140216253285097</v>
      </c>
      <c r="J128">
        <v>24.751089441366702</v>
      </c>
      <c r="K128">
        <v>17.935894516324701</v>
      </c>
      <c r="L128">
        <v>1.7376523710728438E-3</v>
      </c>
      <c r="M128">
        <v>5.7287218953501983E-4</v>
      </c>
      <c r="N128" s="1">
        <v>-1.13354943184489E-5</v>
      </c>
      <c r="O128" s="1">
        <v>1.6999722447021298E-5</v>
      </c>
      <c r="P128" s="1">
        <v>-2.54838714087967E-5</v>
      </c>
      <c r="AE128">
        <v>100</v>
      </c>
      <c r="AJ128">
        <v>1</v>
      </c>
    </row>
    <row r="129" spans="1:36" x14ac:dyDescent="0.2">
      <c r="A129">
        <v>128</v>
      </c>
      <c r="B129">
        <v>777</v>
      </c>
      <c r="C129">
        <v>150</v>
      </c>
      <c r="D129">
        <v>0.44819359139171</v>
      </c>
      <c r="E129">
        <v>6.3732840405813196</v>
      </c>
      <c r="F129">
        <v>0.35438568187631497</v>
      </c>
      <c r="G129">
        <v>-140.98315232141292</v>
      </c>
      <c r="H129">
        <v>-79.685258795391761</v>
      </c>
      <c r="I129">
        <v>58.3740805699315</v>
      </c>
      <c r="J129">
        <v>24.8873414940408</v>
      </c>
      <c r="K129">
        <v>17.9840336856658</v>
      </c>
      <c r="L129">
        <v>1.7413067193394398E-3</v>
      </c>
      <c r="M129">
        <v>5.7244470538355828E-4</v>
      </c>
      <c r="N129" s="1">
        <v>-1.12416552156379E-5</v>
      </c>
      <c r="O129" s="1">
        <v>1.7045920164641599E-5</v>
      </c>
      <c r="P129" s="1">
        <v>-2.5652401480702E-5</v>
      </c>
      <c r="AE129">
        <v>100</v>
      </c>
      <c r="AJ129">
        <v>1</v>
      </c>
    </row>
    <row r="130" spans="1:36" x14ac:dyDescent="0.2">
      <c r="A130">
        <v>129</v>
      </c>
      <c r="B130">
        <v>776</v>
      </c>
      <c r="C130">
        <v>150</v>
      </c>
      <c r="D130">
        <v>0.447600915026452</v>
      </c>
      <c r="E130">
        <v>6.4695897284166302</v>
      </c>
      <c r="F130">
        <v>0.35500396313718702</v>
      </c>
      <c r="G130">
        <v>-143.05428232818005</v>
      </c>
      <c r="H130">
        <v>-80.914647103697902</v>
      </c>
      <c r="I130">
        <v>59.232080752040197</v>
      </c>
      <c r="J130">
        <v>25.290519165842699</v>
      </c>
      <c r="K130">
        <v>18.2239929696686</v>
      </c>
      <c r="L130">
        <v>1.7449668098908986E-3</v>
      </c>
      <c r="M130">
        <v>5.7201298255247102E-4</v>
      </c>
      <c r="N130" s="1">
        <v>-1.1262631561951099E-5</v>
      </c>
      <c r="O130" s="1">
        <v>1.7273840795250201E-5</v>
      </c>
      <c r="P130" s="1">
        <v>-2.6096742545308301E-5</v>
      </c>
      <c r="AE130">
        <v>100</v>
      </c>
      <c r="AJ130">
        <v>1</v>
      </c>
    </row>
    <row r="131" spans="1:36" x14ac:dyDescent="0.2">
      <c r="A131">
        <v>130</v>
      </c>
      <c r="B131">
        <v>775</v>
      </c>
      <c r="C131">
        <v>150</v>
      </c>
      <c r="D131">
        <v>0.44700710776129698</v>
      </c>
      <c r="E131">
        <v>6.5958768995051402</v>
      </c>
      <c r="F131">
        <v>0.35562462570499698</v>
      </c>
      <c r="G131">
        <v>-145.78634315569994</v>
      </c>
      <c r="H131">
        <v>-82.5199088169025</v>
      </c>
      <c r="I131">
        <v>60.36369689891</v>
      </c>
      <c r="J131">
        <v>25.8119254518551</v>
      </c>
      <c r="K131">
        <v>18.5473007850042</v>
      </c>
      <c r="L131">
        <v>1.7486325179944698E-3</v>
      </c>
      <c r="M131">
        <v>5.7157698103235156E-4</v>
      </c>
      <c r="N131" s="1">
        <v>-1.13279289610488E-5</v>
      </c>
      <c r="O131" s="1">
        <v>1.7580674991632101E-5</v>
      </c>
      <c r="P131" s="1">
        <v>-2.6664199795538201E-5</v>
      </c>
      <c r="AE131">
        <v>100</v>
      </c>
      <c r="AJ131">
        <v>1</v>
      </c>
    </row>
    <row r="132" spans="1:36" x14ac:dyDescent="0.2">
      <c r="A132">
        <v>131</v>
      </c>
      <c r="B132">
        <v>774</v>
      </c>
      <c r="C132">
        <v>150</v>
      </c>
      <c r="D132">
        <v>0.44641216635630598</v>
      </c>
      <c r="E132">
        <v>6.7237603476099697</v>
      </c>
      <c r="F132">
        <v>0.35624768027248299</v>
      </c>
      <c r="G132">
        <v>-148.55138445982146</v>
      </c>
      <c r="H132">
        <v>-84.146163723780063</v>
      </c>
      <c r="I132">
        <v>61.5089227757231</v>
      </c>
      <c r="J132">
        <v>26.340742695686298</v>
      </c>
      <c r="K132">
        <v>18.873836153732</v>
      </c>
      <c r="L132">
        <v>1.7523037160198551E-3</v>
      </c>
      <c r="M132">
        <v>5.7113666056184315E-4</v>
      </c>
      <c r="N132" s="1">
        <v>-1.13871779486994E-5</v>
      </c>
      <c r="O132" s="1">
        <v>1.7890473772390798E-5</v>
      </c>
      <c r="P132" s="1">
        <v>-2.7240576036109501E-5</v>
      </c>
      <c r="AE132">
        <v>100</v>
      </c>
      <c r="AJ132">
        <v>1</v>
      </c>
    </row>
    <row r="133" spans="1:36" x14ac:dyDescent="0.2">
      <c r="A133">
        <v>132</v>
      </c>
      <c r="B133">
        <v>773</v>
      </c>
      <c r="C133">
        <v>150</v>
      </c>
      <c r="D133">
        <v>0.44581608755914398</v>
      </c>
      <c r="E133">
        <v>6.8536804179452497</v>
      </c>
      <c r="F133">
        <v>0.35687313754174299</v>
      </c>
      <c r="G133">
        <v>-151.35908864639279</v>
      </c>
      <c r="H133">
        <v>-85.798944822893063</v>
      </c>
      <c r="I133">
        <v>62.671764011183001</v>
      </c>
      <c r="J133">
        <v>26.878723016024601</v>
      </c>
      <c r="K133">
        <v>19.204808927776401</v>
      </c>
      <c r="L133">
        <v>1.7559802734019518E-3</v>
      </c>
      <c r="M133">
        <v>5.7069198063049414E-4</v>
      </c>
      <c r="N133" s="1">
        <v>-1.1440805484635301E-5</v>
      </c>
      <c r="O133" s="1">
        <v>1.82043762606728E-5</v>
      </c>
      <c r="P133" s="1">
        <v>-2.78277121941052E-5</v>
      </c>
      <c r="AE133">
        <v>100</v>
      </c>
      <c r="AJ133">
        <v>1</v>
      </c>
    </row>
    <row r="134" spans="1:36" x14ac:dyDescent="0.2">
      <c r="A134">
        <v>133</v>
      </c>
      <c r="B134">
        <v>772</v>
      </c>
      <c r="C134">
        <v>150</v>
      </c>
      <c r="D134">
        <v>0.44521886810505501</v>
      </c>
      <c r="E134">
        <v>6.9862718459936604</v>
      </c>
      <c r="F134">
        <v>0.35750100822311298</v>
      </c>
      <c r="G134">
        <v>-154.22341326386197</v>
      </c>
      <c r="H134">
        <v>-87.486226341452564</v>
      </c>
      <c r="I134">
        <v>63.8579963604898</v>
      </c>
      <c r="J134">
        <v>27.4283892761309</v>
      </c>
      <c r="K134">
        <v>19.541964037297401</v>
      </c>
      <c r="L134">
        <v>1.7596620566039767E-3</v>
      </c>
      <c r="M134">
        <v>5.7024290048188772E-4</v>
      </c>
      <c r="N134" s="1">
        <v>-1.1489508119001999E-5</v>
      </c>
      <c r="O134" s="1">
        <v>1.8524028498630099E-5</v>
      </c>
      <c r="P134" s="1">
        <v>-2.8428255911864199E-5</v>
      </c>
      <c r="AE134">
        <v>100</v>
      </c>
      <c r="AJ134">
        <v>1</v>
      </c>
    </row>
    <row r="135" spans="1:36" x14ac:dyDescent="0.2">
      <c r="A135">
        <v>134</v>
      </c>
      <c r="B135">
        <v>771</v>
      </c>
      <c r="C135">
        <v>150</v>
      </c>
      <c r="D135">
        <v>0.44462050471675502</v>
      </c>
      <c r="E135">
        <v>7.1224549956892904</v>
      </c>
      <c r="F135">
        <v>0.35813130303401502</v>
      </c>
      <c r="G135">
        <v>-157.16459540585842</v>
      </c>
      <c r="H135">
        <v>-89.219570469065616</v>
      </c>
      <c r="I135">
        <v>65.075995635598503</v>
      </c>
      <c r="J135">
        <v>27.993397877136299</v>
      </c>
      <c r="K135">
        <v>19.887831461112999</v>
      </c>
      <c r="L135">
        <v>1.763348929080318E-3</v>
      </c>
      <c r="M135">
        <v>5.697893791168537E-4</v>
      </c>
      <c r="N135" s="1">
        <v>-1.1534373315286101E-5</v>
      </c>
      <c r="O135" s="1">
        <v>1.8851820307349899E-5</v>
      </c>
      <c r="P135" s="1">
        <v>-2.9046042435258401E-5</v>
      </c>
      <c r="AE135">
        <v>100</v>
      </c>
      <c r="AJ135">
        <v>1</v>
      </c>
    </row>
    <row r="136" spans="1:36" x14ac:dyDescent="0.2">
      <c r="A136">
        <v>135</v>
      </c>
      <c r="B136">
        <v>770</v>
      </c>
      <c r="C136">
        <v>150</v>
      </c>
      <c r="D136">
        <v>0.44402099410439499</v>
      </c>
      <c r="E136">
        <v>7.2635826907187298</v>
      </c>
      <c r="F136">
        <v>0.35876403269776902</v>
      </c>
      <c r="G136">
        <v>-160.21237733797557</v>
      </c>
      <c r="H136">
        <v>-91.015972863661503</v>
      </c>
      <c r="I136">
        <v>66.338073280318895</v>
      </c>
      <c r="J136">
        <v>28.5791226666428</v>
      </c>
      <c r="K136">
        <v>20.246128454124399</v>
      </c>
      <c r="L136">
        <v>1.7670407512394338E-3</v>
      </c>
      <c r="M136">
        <v>5.6933137529686646E-4</v>
      </c>
      <c r="N136" s="1">
        <v>-1.15770740494237E-5</v>
      </c>
      <c r="O136" s="1">
        <v>1.9191266404212699E-5</v>
      </c>
      <c r="P136" s="1">
        <v>-2.9686707714167001E-5</v>
      </c>
      <c r="AE136">
        <v>100</v>
      </c>
      <c r="AJ136">
        <v>1</v>
      </c>
    </row>
    <row r="137" spans="1:36" x14ac:dyDescent="0.2">
      <c r="A137">
        <v>136</v>
      </c>
      <c r="B137">
        <v>769</v>
      </c>
      <c r="C137">
        <v>150</v>
      </c>
      <c r="D137">
        <v>0.44342033296550898</v>
      </c>
      <c r="E137">
        <v>7.4116862159095804</v>
      </c>
      <c r="F137">
        <v>0.359399207942392</v>
      </c>
      <c r="G137">
        <v>-163.41141057916698</v>
      </c>
      <c r="H137">
        <v>-92.900954680547841</v>
      </c>
      <c r="I137">
        <v>67.662713928514606</v>
      </c>
      <c r="J137">
        <v>29.1936333012559</v>
      </c>
      <c r="K137">
        <v>20.622433361337698</v>
      </c>
      <c r="L137">
        <v>1.7707373804070827E-3</v>
      </c>
      <c r="M137">
        <v>5.6886884754770925E-4</v>
      </c>
      <c r="N137" s="1">
        <v>-1.1620193990825799E-5</v>
      </c>
      <c r="O137" s="1">
        <v>1.9547644835936198E-5</v>
      </c>
      <c r="P137" s="1">
        <v>-3.0358715769742701E-5</v>
      </c>
      <c r="AE137">
        <v>100</v>
      </c>
      <c r="AJ137">
        <v>1</v>
      </c>
    </row>
    <row r="138" spans="1:36" x14ac:dyDescent="0.2">
      <c r="A138">
        <v>137</v>
      </c>
      <c r="B138">
        <v>768</v>
      </c>
      <c r="C138">
        <v>150</v>
      </c>
      <c r="D138">
        <v>0.442818517984921</v>
      </c>
      <c r="E138">
        <v>7.5698994115064604</v>
      </c>
      <c r="F138">
        <v>0.36003683949936299</v>
      </c>
      <c r="G138">
        <v>-166.83057146753271</v>
      </c>
      <c r="H138">
        <v>-94.913893433857766</v>
      </c>
      <c r="I138">
        <v>69.078432497683593</v>
      </c>
      <c r="J138">
        <v>29.849382297044201</v>
      </c>
      <c r="K138">
        <v>21.0253468007121</v>
      </c>
      <c r="L138">
        <v>1.774438670789342E-3</v>
      </c>
      <c r="M138">
        <v>5.6840175416322618E-4</v>
      </c>
      <c r="N138" s="1">
        <v>-1.1667785094871499E-5</v>
      </c>
      <c r="O138" s="1">
        <v>1.9929097158839502E-5</v>
      </c>
      <c r="P138" s="1">
        <v>-3.1075130676242603E-5</v>
      </c>
      <c r="AE138">
        <v>100</v>
      </c>
      <c r="AJ138">
        <v>1</v>
      </c>
    </row>
    <row r="139" spans="1:36" x14ac:dyDescent="0.2">
      <c r="A139">
        <v>138</v>
      </c>
      <c r="B139">
        <v>767</v>
      </c>
      <c r="C139">
        <v>150</v>
      </c>
      <c r="D139">
        <v>0.44221554583473799</v>
      </c>
      <c r="E139">
        <v>7.7431810930090696</v>
      </c>
      <c r="F139">
        <v>0.36067693810235402</v>
      </c>
      <c r="G139">
        <v>-170.578825528538</v>
      </c>
      <c r="H139">
        <v>-97.117105622557247</v>
      </c>
      <c r="I139">
        <v>70.6303427675699</v>
      </c>
      <c r="J139">
        <v>30.566080834136201</v>
      </c>
      <c r="K139">
        <v>21.468467415046302</v>
      </c>
      <c r="L139">
        <v>1.7781444734358755E-3</v>
      </c>
      <c r="M139">
        <v>5.6793005320932509E-4</v>
      </c>
      <c r="N139" s="1">
        <v>-1.1726303688380699E-5</v>
      </c>
      <c r="O139" s="1">
        <v>2.0348500301030498E-5</v>
      </c>
      <c r="P139" s="1">
        <v>-3.1856639265086201E-5</v>
      </c>
      <c r="AE139">
        <v>100</v>
      </c>
      <c r="AJ139">
        <v>1</v>
      </c>
    </row>
    <row r="140" spans="1:36" x14ac:dyDescent="0.2">
      <c r="A140">
        <v>139</v>
      </c>
      <c r="B140">
        <v>766</v>
      </c>
      <c r="C140">
        <v>150</v>
      </c>
      <c r="D140">
        <v>0.44161141317423203</v>
      </c>
      <c r="E140">
        <v>7.9393430717445996</v>
      </c>
      <c r="F140">
        <v>0.36131951448594002</v>
      </c>
      <c r="G140">
        <v>-174.82778183758674</v>
      </c>
      <c r="H140">
        <v>-99.608780683729009</v>
      </c>
      <c r="I140">
        <v>72.389495773944901</v>
      </c>
      <c r="J140">
        <v>31.374801225577698</v>
      </c>
      <c r="K140">
        <v>21.9731920182615</v>
      </c>
      <c r="L140">
        <v>1.7818546362032698E-3</v>
      </c>
      <c r="M140">
        <v>5.6745370252813732E-4</v>
      </c>
      <c r="N140" s="1">
        <v>-1.18058744548908E-5</v>
      </c>
      <c r="O140" s="1">
        <v>2.0826119045297901E-5</v>
      </c>
      <c r="P140" s="1">
        <v>-3.2735873800249101E-5</v>
      </c>
      <c r="AE140">
        <v>100</v>
      </c>
      <c r="AJ140">
        <v>1</v>
      </c>
    </row>
    <row r="141" spans="1:36" x14ac:dyDescent="0.2">
      <c r="A141">
        <v>140</v>
      </c>
      <c r="B141">
        <v>765</v>
      </c>
      <c r="C141">
        <v>150</v>
      </c>
      <c r="D141">
        <v>0.44100611664981298</v>
      </c>
      <c r="E141">
        <v>8.1690249420885301</v>
      </c>
      <c r="F141">
        <v>0.36196457938427801</v>
      </c>
      <c r="G141">
        <v>-179.81100820454444</v>
      </c>
      <c r="H141">
        <v>-102.52272118749818</v>
      </c>
      <c r="I141">
        <v>74.452595323174606</v>
      </c>
      <c r="J141">
        <v>32.317939781678703</v>
      </c>
      <c r="K141">
        <v>22.568575510853801</v>
      </c>
      <c r="L141">
        <v>1.7855690037185882E-3</v>
      </c>
      <c r="M141">
        <v>5.669726597424163E-4</v>
      </c>
      <c r="N141" s="1">
        <v>-1.19198327579755E-5</v>
      </c>
      <c r="O141" s="1">
        <v>2.1389470650412701E-5</v>
      </c>
      <c r="P141" s="1">
        <v>-3.3757439376302101E-5</v>
      </c>
      <c r="AE141">
        <v>100</v>
      </c>
      <c r="AJ141">
        <v>1</v>
      </c>
    </row>
    <row r="142" spans="1:36" x14ac:dyDescent="0.2">
      <c r="A142">
        <v>141</v>
      </c>
      <c r="B142">
        <v>764</v>
      </c>
      <c r="C142">
        <v>150</v>
      </c>
      <c r="D142">
        <v>0.44039965289495597</v>
      </c>
      <c r="E142">
        <v>9.3983614741427708</v>
      </c>
      <c r="F142">
        <v>0.36261214352975601</v>
      </c>
      <c r="G142">
        <v>-206.78468704596898</v>
      </c>
      <c r="H142">
        <v>-117.98831594896703</v>
      </c>
      <c r="I142">
        <v>85.620931800186</v>
      </c>
      <c r="J142">
        <v>37.222330827018403</v>
      </c>
      <c r="K142">
        <v>25.918496227558101</v>
      </c>
      <c r="L142">
        <v>1.7892874173430716E-3</v>
      </c>
      <c r="M142">
        <v>5.6648688226013024E-4</v>
      </c>
      <c r="N142" s="1">
        <v>-1.34473844727195E-5</v>
      </c>
      <c r="O142" s="1">
        <v>2.4563100360266201E-5</v>
      </c>
      <c r="P142" s="1">
        <v>-3.8923540540625098E-5</v>
      </c>
      <c r="AE142">
        <v>100</v>
      </c>
      <c r="AJ142">
        <v>1</v>
      </c>
    </row>
    <row r="143" spans="1:36" x14ac:dyDescent="0.2">
      <c r="A143">
        <v>142</v>
      </c>
      <c r="B143">
        <v>763</v>
      </c>
      <c r="C143">
        <v>150</v>
      </c>
      <c r="D143">
        <v>0.43979201853014099</v>
      </c>
      <c r="E143">
        <v>9.9409398099775004</v>
      </c>
      <c r="F143">
        <v>0.36326221765161398</v>
      </c>
      <c r="G143">
        <v>-218.6320625335739</v>
      </c>
      <c r="H143">
        <v>-124.83931154739764</v>
      </c>
      <c r="I143">
        <v>90.525927522442799</v>
      </c>
      <c r="J143">
        <v>39.414658526021903</v>
      </c>
      <c r="K143">
        <v>27.365741128385999</v>
      </c>
      <c r="L143">
        <v>1.7930097151359569E-3</v>
      </c>
      <c r="M143">
        <v>5.6599632727922838E-4</v>
      </c>
      <c r="N143" s="1">
        <v>-1.3937405495633499E-5</v>
      </c>
      <c r="O143" s="1">
        <v>2.5933123476037101E-5</v>
      </c>
      <c r="P143" s="1">
        <v>-4.1261926621587197E-5</v>
      </c>
      <c r="AE143">
        <v>100</v>
      </c>
      <c r="AJ143">
        <v>1</v>
      </c>
    </row>
    <row r="144" spans="1:36" x14ac:dyDescent="0.2">
      <c r="A144">
        <v>143</v>
      </c>
      <c r="B144">
        <v>762</v>
      </c>
      <c r="C144">
        <v>150</v>
      </c>
      <c r="D144">
        <v>0.439183210162781</v>
      </c>
      <c r="E144">
        <v>10.2125334032743</v>
      </c>
      <c r="F144">
        <v>0.363914812474528</v>
      </c>
      <c r="G144">
        <v>-224.51226741421218</v>
      </c>
      <c r="H144">
        <v>-128.2905247878663</v>
      </c>
      <c r="I144">
        <v>92.960041409535407</v>
      </c>
      <c r="J144">
        <v>40.536255832893502</v>
      </c>
      <c r="K144">
        <v>28.062978073994</v>
      </c>
      <c r="L144">
        <v>1.7967357318186277E-3</v>
      </c>
      <c r="M144">
        <v>5.6550095179265546E-4</v>
      </c>
      <c r="N144" s="1">
        <v>-1.4019166670916E-5</v>
      </c>
      <c r="O144" s="1">
        <v>2.65920779959208E-5</v>
      </c>
      <c r="P144" s="1">
        <v>-4.2483304697731103E-5</v>
      </c>
      <c r="AE144">
        <v>100</v>
      </c>
      <c r="AJ144">
        <v>1</v>
      </c>
    </row>
    <row r="145" spans="1:36" x14ac:dyDescent="0.2">
      <c r="A145">
        <v>144</v>
      </c>
      <c r="B145">
        <v>761</v>
      </c>
      <c r="C145">
        <v>150</v>
      </c>
      <c r="D145">
        <v>0.43857322438717999</v>
      </c>
      <c r="E145">
        <v>10.3718759335245</v>
      </c>
      <c r="F145">
        <v>0.36456993871718202</v>
      </c>
      <c r="G145">
        <v>-227.92086199028148</v>
      </c>
      <c r="H145">
        <v>-130.33338778007374</v>
      </c>
      <c r="I145">
        <v>94.370651873058094</v>
      </c>
      <c r="J145">
        <v>41.214323191773303</v>
      </c>
      <c r="K145">
        <v>28.449619214409701</v>
      </c>
      <c r="L145">
        <v>1.8004652987390153E-3</v>
      </c>
      <c r="M145">
        <v>5.650007125935926E-4</v>
      </c>
      <c r="N145" s="1">
        <v>-1.39292089441966E-5</v>
      </c>
      <c r="O145" s="1">
        <v>2.6956437220981398E-5</v>
      </c>
      <c r="P145" s="1">
        <v>-4.3241989713046003E-5</v>
      </c>
      <c r="AE145">
        <v>100</v>
      </c>
      <c r="AJ145">
        <v>1</v>
      </c>
    </row>
    <row r="146" spans="1:36" x14ac:dyDescent="0.2">
      <c r="A146">
        <v>145</v>
      </c>
      <c r="B146">
        <v>760</v>
      </c>
      <c r="C146">
        <v>150</v>
      </c>
      <c r="D146">
        <v>0.43796205778444602</v>
      </c>
      <c r="E146">
        <v>10.4894319041362</v>
      </c>
      <c r="F146">
        <v>0.365227607090785</v>
      </c>
      <c r="G146">
        <v>-230.40872175227869</v>
      </c>
      <c r="H146">
        <v>-131.85230514465795</v>
      </c>
      <c r="I146">
        <v>95.399912214761798</v>
      </c>
      <c r="J146">
        <v>41.727698102079998</v>
      </c>
      <c r="K146">
        <v>28.720260189774802</v>
      </c>
      <c r="L146">
        <v>1.804198243836138E-3</v>
      </c>
      <c r="M146">
        <v>5.6449556628087618E-4</v>
      </c>
      <c r="N146" s="1">
        <v>-1.37697756562844E-5</v>
      </c>
      <c r="O146" s="1">
        <v>2.7210621579503799E-5</v>
      </c>
      <c r="P146" s="1">
        <v>-4.3829308215376002E-5</v>
      </c>
      <c r="AE146">
        <v>100</v>
      </c>
      <c r="AJ146">
        <v>1</v>
      </c>
    </row>
    <row r="147" spans="1:36" x14ac:dyDescent="0.2">
      <c r="A147">
        <v>146</v>
      </c>
      <c r="B147">
        <v>806</v>
      </c>
      <c r="C147">
        <v>125</v>
      </c>
      <c r="D147">
        <v>0.490386415234215</v>
      </c>
      <c r="E147">
        <v>6.4690029488672298</v>
      </c>
      <c r="F147">
        <v>0.28550077203207203</v>
      </c>
      <c r="G147">
        <v>-145.34842670094952</v>
      </c>
      <c r="H147">
        <v>-79.742147331191248</v>
      </c>
      <c r="I147">
        <v>60.797832859646803</v>
      </c>
      <c r="J147">
        <v>23.930812815888</v>
      </c>
      <c r="K147">
        <v>22.658442927574701</v>
      </c>
      <c r="L147">
        <v>1.6974068773031822E-3</v>
      </c>
      <c r="M147">
        <v>7.6475014385040882E-4</v>
      </c>
      <c r="N147" s="1">
        <v>-2.9548063051679901E-5</v>
      </c>
      <c r="O147" s="1">
        <v>3.28451609296583E-5</v>
      </c>
      <c r="P147" s="1">
        <v>-3.23918105708002E-5</v>
      </c>
      <c r="AE147">
        <v>100</v>
      </c>
      <c r="AJ147">
        <v>1</v>
      </c>
    </row>
    <row r="148" spans="1:36" x14ac:dyDescent="0.2">
      <c r="A148">
        <v>147</v>
      </c>
      <c r="B148">
        <v>805</v>
      </c>
      <c r="C148">
        <v>125</v>
      </c>
      <c r="D148">
        <v>0.48984881509993899</v>
      </c>
      <c r="E148">
        <v>6.4803183519805696</v>
      </c>
      <c r="F148">
        <v>0.28598639379797303</v>
      </c>
      <c r="G148">
        <v>-145.54177313138956</v>
      </c>
      <c r="H148">
        <v>-79.905615788147216</v>
      </c>
      <c r="I148">
        <v>60.881942011167702</v>
      </c>
      <c r="J148">
        <v>23.998697370515899</v>
      </c>
      <c r="K148">
        <v>22.659533783828898</v>
      </c>
      <c r="L148">
        <v>1.7016005873717864E-3</v>
      </c>
      <c r="M148">
        <v>7.6461741542753199E-4</v>
      </c>
      <c r="N148" s="1">
        <v>-2.9609857950628101E-5</v>
      </c>
      <c r="O148" s="1">
        <v>3.2865327239557302E-5</v>
      </c>
      <c r="P148" s="1">
        <v>-3.2517770882925603E-5</v>
      </c>
      <c r="AE148">
        <v>100</v>
      </c>
      <c r="AJ148">
        <v>1</v>
      </c>
    </row>
    <row r="149" spans="1:36" x14ac:dyDescent="0.2">
      <c r="A149">
        <v>148</v>
      </c>
      <c r="B149">
        <v>804</v>
      </c>
      <c r="C149">
        <v>125</v>
      </c>
      <c r="D149">
        <v>0.48931021677575198</v>
      </c>
      <c r="E149">
        <v>6.50430743807786</v>
      </c>
      <c r="F149">
        <v>0.28647404539289301</v>
      </c>
      <c r="G149">
        <v>-146.01944899989502</v>
      </c>
      <c r="H149">
        <v>-80.225514057912306</v>
      </c>
      <c r="I149">
        <v>61.0849529834368</v>
      </c>
      <c r="J149">
        <v>24.113801818475299</v>
      </c>
      <c r="K149">
        <v>22.704700627092901</v>
      </c>
      <c r="L149">
        <v>1.7058112374922743E-3</v>
      </c>
      <c r="M149">
        <v>7.6448216075012863E-4</v>
      </c>
      <c r="N149" s="1">
        <v>-2.9728222927118199E-5</v>
      </c>
      <c r="O149" s="1">
        <v>3.2949494223284801E-5</v>
      </c>
      <c r="P149" s="1">
        <v>-3.2708206203109898E-5</v>
      </c>
      <c r="AE149">
        <v>100</v>
      </c>
      <c r="AJ149">
        <v>1</v>
      </c>
    </row>
    <row r="150" spans="1:36" x14ac:dyDescent="0.2">
      <c r="A150">
        <v>149</v>
      </c>
      <c r="B150">
        <v>803</v>
      </c>
      <c r="C150">
        <v>125</v>
      </c>
      <c r="D150">
        <v>0.48877061747897599</v>
      </c>
      <c r="E150">
        <v>6.5283248944883203</v>
      </c>
      <c r="F150">
        <v>0.28696373924711899</v>
      </c>
      <c r="G150">
        <v>-146.49733330730041</v>
      </c>
      <c r="H150">
        <v>-80.545966568010982</v>
      </c>
      <c r="I150">
        <v>61.2880199300089</v>
      </c>
      <c r="J150">
        <v>24.229349862311299</v>
      </c>
      <c r="K150">
        <v>22.749650919715702</v>
      </c>
      <c r="L150">
        <v>1.7100388695349162E-3</v>
      </c>
      <c r="M150">
        <v>7.6434434440379446E-4</v>
      </c>
      <c r="N150" s="1">
        <v>-2.9845352693927299E-5</v>
      </c>
      <c r="O150" s="1">
        <v>3.3033455407857198E-5</v>
      </c>
      <c r="P150" s="1">
        <v>-3.2899809163636402E-5</v>
      </c>
      <c r="AE150">
        <v>100</v>
      </c>
      <c r="AJ150">
        <v>1</v>
      </c>
    </row>
    <row r="151" spans="1:36" x14ac:dyDescent="0.2">
      <c r="A151">
        <v>150</v>
      </c>
      <c r="B151">
        <v>802</v>
      </c>
      <c r="C151">
        <v>125</v>
      </c>
      <c r="D151">
        <v>0.48823001441659297</v>
      </c>
      <c r="E151">
        <v>6.5523583486474699</v>
      </c>
      <c r="F151">
        <v>0.28745548787480801</v>
      </c>
      <c r="G151">
        <v>-146.97514802062705</v>
      </c>
      <c r="H151">
        <v>-80.866821373630813</v>
      </c>
      <c r="I151">
        <v>61.491025725530498</v>
      </c>
      <c r="J151">
        <v>24.345298108673902</v>
      </c>
      <c r="K151">
        <v>22.79434077634</v>
      </c>
      <c r="L151">
        <v>1.714283524322204E-3</v>
      </c>
      <c r="M151">
        <v>7.6420393047775125E-4</v>
      </c>
      <c r="N151" s="1">
        <v>-2.9961143565139801E-5</v>
      </c>
      <c r="O151" s="1">
        <v>3.3117145978349202E-5</v>
      </c>
      <c r="P151" s="1">
        <v>-3.30925280410512E-5</v>
      </c>
      <c r="AE151">
        <v>100</v>
      </c>
      <c r="AJ151">
        <v>1</v>
      </c>
    </row>
    <row r="152" spans="1:36" x14ac:dyDescent="0.2">
      <c r="A152">
        <v>151</v>
      </c>
      <c r="B152">
        <v>801</v>
      </c>
      <c r="C152">
        <v>125</v>
      </c>
      <c r="D152">
        <v>0.487688404785181</v>
      </c>
      <c r="E152">
        <v>6.5763955557604596</v>
      </c>
      <c r="F152">
        <v>0.28794930387432</v>
      </c>
      <c r="G152">
        <v>-147.45261843751931</v>
      </c>
      <c r="H152">
        <v>-81.187927926800484</v>
      </c>
      <c r="I152">
        <v>61.693854608846699</v>
      </c>
      <c r="J152">
        <v>24.461603446268001</v>
      </c>
      <c r="K152">
        <v>22.838727051171599</v>
      </c>
      <c r="L152">
        <v>1.718545241592749E-3</v>
      </c>
      <c r="M152">
        <v>7.6406088255830769E-4</v>
      </c>
      <c r="N152" s="1">
        <v>-3.0075491353045202E-5</v>
      </c>
      <c r="O152" s="1">
        <v>3.3200502016590103E-5</v>
      </c>
      <c r="P152" s="1">
        <v>-3.3286311307548397E-5</v>
      </c>
      <c r="AE152">
        <v>100</v>
      </c>
      <c r="AJ152">
        <v>1</v>
      </c>
    </row>
    <row r="153" spans="1:36" x14ac:dyDescent="0.2">
      <c r="A153">
        <v>152</v>
      </c>
      <c r="B153">
        <v>800</v>
      </c>
      <c r="C153">
        <v>125</v>
      </c>
      <c r="D153">
        <v>0.48714578577086598</v>
      </c>
      <c r="E153">
        <v>6.6004244514650097</v>
      </c>
      <c r="F153">
        <v>0.288445199928548</v>
      </c>
      <c r="G153">
        <v>-147.9294743601196</v>
      </c>
      <c r="H153">
        <v>-81.509137728612671</v>
      </c>
      <c r="I153">
        <v>61.896392675479198</v>
      </c>
      <c r="J153">
        <v>24.578223241577401</v>
      </c>
      <c r="K153">
        <v>22.882767517365501</v>
      </c>
      <c r="L153">
        <v>1.7228240599642412E-3</v>
      </c>
      <c r="M153">
        <v>7.6391516372222566E-4</v>
      </c>
      <c r="N153" s="1">
        <v>-3.0188291618838099E-5</v>
      </c>
      <c r="O153" s="1">
        <v>3.3283460763655901E-5</v>
      </c>
      <c r="P153" s="1">
        <v>-3.3481107895039501E-5</v>
      </c>
      <c r="AE153">
        <v>100</v>
      </c>
      <c r="AJ153">
        <v>1</v>
      </c>
    </row>
    <row r="154" spans="1:36" x14ac:dyDescent="0.2">
      <c r="A154">
        <v>153</v>
      </c>
      <c r="B154">
        <v>799</v>
      </c>
      <c r="C154">
        <v>125</v>
      </c>
      <c r="D154">
        <v>0.48660215454927003</v>
      </c>
      <c r="E154">
        <v>6.62443320133388</v>
      </c>
      <c r="F154">
        <v>0.288943188805248</v>
      </c>
      <c r="G154">
        <v>-148.40545119518288</v>
      </c>
      <c r="H154">
        <v>-81.830304943582703</v>
      </c>
      <c r="I154">
        <v>62.098528339378603</v>
      </c>
      <c r="J154">
        <v>24.695115524137801</v>
      </c>
      <c r="K154">
        <v>22.9264210335784</v>
      </c>
      <c r="L154">
        <v>1.7271200168956276E-3</v>
      </c>
      <c r="M154">
        <v>7.6376673653004673E-4</v>
      </c>
      <c r="N154" s="1">
        <v>-3.0299439909470798E-5</v>
      </c>
      <c r="O154" s="1">
        <v>3.3365960864603402E-5</v>
      </c>
      <c r="P154" s="1">
        <v>-3.3676867446620597E-5</v>
      </c>
      <c r="AE154">
        <v>100</v>
      </c>
      <c r="AJ154">
        <v>1</v>
      </c>
    </row>
    <row r="155" spans="1:36" x14ac:dyDescent="0.2">
      <c r="A155">
        <v>154</v>
      </c>
      <c r="B155">
        <v>798</v>
      </c>
      <c r="C155">
        <v>125</v>
      </c>
      <c r="D155">
        <v>0.48605750828548999</v>
      </c>
      <c r="E155">
        <v>6.6484102458525198</v>
      </c>
      <c r="F155">
        <v>0.28944328335734498</v>
      </c>
      <c r="G155">
        <v>-148.88029095008818</v>
      </c>
      <c r="H155">
        <v>-82.151286959212428</v>
      </c>
      <c r="I155">
        <v>62.300152751227699</v>
      </c>
      <c r="J155">
        <v>24.812239156181999</v>
      </c>
      <c r="K155">
        <v>22.969647693100601</v>
      </c>
      <c r="L155">
        <v>1.7314331486484166E-3</v>
      </c>
      <c r="M155">
        <v>7.6361556301935427E-4</v>
      </c>
      <c r="N155" s="1">
        <v>-3.0408831974180999E-5</v>
      </c>
      <c r="O155" s="1">
        <v>3.3447942588695701E-5</v>
      </c>
      <c r="P155" s="1">
        <v>-3.3873540548319998E-5</v>
      </c>
      <c r="AE155">
        <v>100</v>
      </c>
      <c r="AJ155">
        <v>1</v>
      </c>
    </row>
    <row r="156" spans="1:36" x14ac:dyDescent="0.2">
      <c r="A156">
        <v>155</v>
      </c>
      <c r="B156">
        <v>797</v>
      </c>
      <c r="C156">
        <v>125</v>
      </c>
      <c r="D156">
        <v>0.48551184413399801</v>
      </c>
      <c r="E156">
        <v>6.6723443417715602</v>
      </c>
      <c r="F156">
        <v>0.28994549652324297</v>
      </c>
      <c r="G156">
        <v>-149.35374314518612</v>
      </c>
      <c r="H156">
        <v>-82.47194490176102</v>
      </c>
      <c r="I156">
        <v>62.501160181830897</v>
      </c>
      <c r="J156">
        <v>24.9295539899177</v>
      </c>
      <c r="K156">
        <v>23.012408958856401</v>
      </c>
      <c r="L156">
        <v>1.7357634902470734E-3</v>
      </c>
      <c r="M156">
        <v>7.6346160469796846E-4</v>
      </c>
      <c r="N156" s="1">
        <v>-3.05163639645312E-5</v>
      </c>
      <c r="O156" s="1">
        <v>3.3529348029814302E-5</v>
      </c>
      <c r="P156" s="1">
        <v>-3.4071078945457803E-5</v>
      </c>
      <c r="AE156">
        <v>100</v>
      </c>
      <c r="AJ156">
        <v>1</v>
      </c>
    </row>
    <row r="157" spans="1:36" x14ac:dyDescent="0.2">
      <c r="A157">
        <v>156</v>
      </c>
      <c r="B157">
        <v>796</v>
      </c>
      <c r="C157">
        <v>125</v>
      </c>
      <c r="D157">
        <v>0.48496515923864703</v>
      </c>
      <c r="E157">
        <v>6.6962245983897102</v>
      </c>
      <c r="F157">
        <v>0.29044984132711499</v>
      </c>
      <c r="G157">
        <v>-149.82556561040727</v>
      </c>
      <c r="H157">
        <v>-82.792144090274462</v>
      </c>
      <c r="I157">
        <v>62.701448357146603</v>
      </c>
      <c r="J157">
        <v>25.047021006958801</v>
      </c>
      <c r="K157">
        <v>23.054667779446799</v>
      </c>
      <c r="L157">
        <v>1.7401110754385713E-3</v>
      </c>
      <c r="M157">
        <v>7.6330482253711548E-4</v>
      </c>
      <c r="N157" s="1">
        <v>-3.0621932611159601E-5</v>
      </c>
      <c r="O157" s="1">
        <v>3.3610121279946303E-5</v>
      </c>
      <c r="P157" s="1">
        <v>-3.4269435736005803E-5</v>
      </c>
      <c r="AE157">
        <v>100</v>
      </c>
      <c r="AJ157">
        <v>1</v>
      </c>
    </row>
    <row r="158" spans="1:36" x14ac:dyDescent="0.2">
      <c r="A158">
        <v>157</v>
      </c>
      <c r="B158">
        <v>795</v>
      </c>
      <c r="C158">
        <v>125</v>
      </c>
      <c r="D158">
        <v>0.48441745073257497</v>
      </c>
      <c r="E158">
        <v>6.7200405095585403</v>
      </c>
      <c r="F158">
        <v>0.29095633087919698</v>
      </c>
      <c r="G158">
        <v>-150.29552518416378</v>
      </c>
      <c r="H158">
        <v>-83.111754438534049</v>
      </c>
      <c r="I158">
        <v>62.900918752485097</v>
      </c>
      <c r="J158">
        <v>25.1646024427234</v>
      </c>
      <c r="K158">
        <v>23.096388689162499</v>
      </c>
      <c r="L158">
        <v>1.7444759366510734E-3</v>
      </c>
      <c r="M158">
        <v>7.6314517696453212E-4</v>
      </c>
      <c r="N158" s="1">
        <v>-3.0725435380640999E-5</v>
      </c>
      <c r="O158" s="1">
        <v>3.3690208579906098E-5</v>
      </c>
      <c r="P158" s="1">
        <v>-3.4468565544678602E-5</v>
      </c>
      <c r="AE158">
        <v>100</v>
      </c>
      <c r="AJ158">
        <v>1</v>
      </c>
    </row>
    <row r="159" spans="1:36" x14ac:dyDescent="0.2">
      <c r="A159">
        <v>158</v>
      </c>
      <c r="B159">
        <v>794</v>
      </c>
      <c r="C159">
        <v>125</v>
      </c>
      <c r="D159">
        <v>0.48386871573818202</v>
      </c>
      <c r="E159">
        <v>6.7437819809411996</v>
      </c>
      <c r="F159">
        <v>0.291464978376057</v>
      </c>
      <c r="G159">
        <v>-150.76339830436982</v>
      </c>
      <c r="H159">
        <v>-83.430650799024647</v>
      </c>
      <c r="I159">
        <v>63.099476841597003</v>
      </c>
      <c r="J159">
        <v>25.282261893963501</v>
      </c>
      <c r="K159">
        <v>23.1375378905391</v>
      </c>
      <c r="L159">
        <v>1.7488581049515787E-3</v>
      </c>
      <c r="M159">
        <v>7.6298262785748935E-4</v>
      </c>
      <c r="N159" s="1">
        <v>-3.0826770610120203E-5</v>
      </c>
      <c r="O159" s="1">
        <v>3.3769558445120098E-5</v>
      </c>
      <c r="P159" s="1">
        <v>-3.4668424675071897E-5</v>
      </c>
      <c r="AE159">
        <v>100</v>
      </c>
      <c r="AJ159">
        <v>1</v>
      </c>
    </row>
    <row r="160" spans="1:36" x14ac:dyDescent="0.2">
      <c r="A160">
        <v>159</v>
      </c>
      <c r="B160">
        <v>793</v>
      </c>
      <c r="C160">
        <v>125</v>
      </c>
      <c r="D160">
        <v>0.48331895136707098</v>
      </c>
      <c r="E160">
        <v>6.7674393523374103</v>
      </c>
      <c r="F160">
        <v>0.29197579710086402</v>
      </c>
      <c r="G160">
        <v>-151.22897148769812</v>
      </c>
      <c r="H160">
        <v>-83.748713246481714</v>
      </c>
      <c r="I160">
        <v>63.297032299003099</v>
      </c>
      <c r="J160">
        <v>25.399964408561299</v>
      </c>
      <c r="K160">
        <v>23.1780833190073</v>
      </c>
      <c r="L160">
        <v>1.7532576100027092E-3</v>
      </c>
      <c r="M160">
        <v>7.6281713453579434E-4</v>
      </c>
      <c r="N160" s="1">
        <v>-3.0925837618698102E-5</v>
      </c>
      <c r="O160" s="1">
        <v>3.3848121765717699E-5</v>
      </c>
      <c r="P160" s="1">
        <v>-3.4868971238554797E-5</v>
      </c>
      <c r="AE160">
        <v>100</v>
      </c>
      <c r="AJ160">
        <v>1</v>
      </c>
    </row>
    <row r="161" spans="1:36" x14ac:dyDescent="0.2">
      <c r="A161">
        <v>160</v>
      </c>
      <c r="B161">
        <v>792</v>
      </c>
      <c r="C161">
        <v>125</v>
      </c>
      <c r="D161">
        <v>0.48276815471999501</v>
      </c>
      <c r="E161">
        <v>6.7910034160932602</v>
      </c>
      <c r="F161">
        <v>0.29248880042363901</v>
      </c>
      <c r="G161">
        <v>-151.6920417201504</v>
      </c>
      <c r="H161">
        <v>-84.065827313492747</v>
      </c>
      <c r="I161">
        <v>63.493499165213997</v>
      </c>
      <c r="J161">
        <v>25.517676561324201</v>
      </c>
      <c r="K161">
        <v>23.2179946933257</v>
      </c>
      <c r="L161">
        <v>1.7576744800185907E-3</v>
      </c>
      <c r="M161">
        <v>7.6264865575475496E-4</v>
      </c>
      <c r="N161" s="1">
        <v>-3.1022536800115699E-5</v>
      </c>
      <c r="O161" s="1">
        <v>3.39258518862156E-5</v>
      </c>
      <c r="P161" s="1">
        <v>-3.5070165264821903E-5</v>
      </c>
      <c r="AE161">
        <v>100</v>
      </c>
      <c r="AJ161">
        <v>1</v>
      </c>
    </row>
    <row r="162" spans="1:36" x14ac:dyDescent="0.2">
      <c r="A162">
        <v>161</v>
      </c>
      <c r="B162">
        <v>791</v>
      </c>
      <c r="C162">
        <v>125</v>
      </c>
      <c r="D162">
        <v>0.48221632288681698</v>
      </c>
      <c r="E162">
        <v>6.8144654306433496</v>
      </c>
      <c r="F162">
        <v>0.29300400180150199</v>
      </c>
      <c r="G162">
        <v>-152.15241673793085</v>
      </c>
      <c r="H162">
        <v>-84.381884166265948</v>
      </c>
      <c r="I162">
        <v>63.688795966020201</v>
      </c>
      <c r="J162">
        <v>25.635366512054699</v>
      </c>
      <c r="K162">
        <v>23.257243548707098</v>
      </c>
      <c r="L162">
        <v>1.7621087417196376E-3</v>
      </c>
      <c r="M162">
        <v>7.6247714969804304E-4</v>
      </c>
      <c r="N162" s="1">
        <v>-3.1116769692202197E-5</v>
      </c>
      <c r="O162" s="1">
        <v>3.4002704660193698E-5</v>
      </c>
      <c r="P162" s="1">
        <v>-3.5271968788903302E-5</v>
      </c>
      <c r="AE162">
        <v>100</v>
      </c>
      <c r="AJ162">
        <v>1</v>
      </c>
    </row>
    <row r="163" spans="1:36" x14ac:dyDescent="0.2">
      <c r="A163">
        <v>162</v>
      </c>
      <c r="B163">
        <v>790</v>
      </c>
      <c r="C163">
        <v>125</v>
      </c>
      <c r="D163">
        <v>0.48166345294643498</v>
      </c>
      <c r="E163">
        <v>6.8378171300653703</v>
      </c>
      <c r="F163">
        <v>0.29352141477889798</v>
      </c>
      <c r="G163">
        <v>-152.60991521858818</v>
      </c>
      <c r="H163">
        <v>-84.696780731335181</v>
      </c>
      <c r="I163">
        <v>63.882845794201103</v>
      </c>
      <c r="J163">
        <v>25.753004049092201</v>
      </c>
      <c r="K163">
        <v>23.295803255841101</v>
      </c>
      <c r="L163">
        <v>1.7665604202865045E-3</v>
      </c>
      <c r="M163">
        <v>7.6230257397057058E-4</v>
      </c>
      <c r="N163" s="1">
        <v>-3.1208439027085597E-5</v>
      </c>
      <c r="O163" s="1">
        <v>3.4078638484547298E-5</v>
      </c>
      <c r="P163" s="1">
        <v>-3.5474345918827802E-5</v>
      </c>
      <c r="AE163">
        <v>100</v>
      </c>
      <c r="AJ163">
        <v>1</v>
      </c>
    </row>
    <row r="164" spans="1:36" x14ac:dyDescent="0.2">
      <c r="A164">
        <v>163</v>
      </c>
      <c r="B164">
        <v>789</v>
      </c>
      <c r="C164">
        <v>125</v>
      </c>
      <c r="D164">
        <v>0.48110954196676597</v>
      </c>
      <c r="E164">
        <v>6.8610507299533596</v>
      </c>
      <c r="F164">
        <v>0.29404105298782102</v>
      </c>
      <c r="G164">
        <v>-153.06436688951757</v>
      </c>
      <c r="H164">
        <v>-85.010419776893329</v>
      </c>
      <c r="I164">
        <v>64.075576356605595</v>
      </c>
      <c r="J164">
        <v>25.870560619361999</v>
      </c>
      <c r="K164">
        <v>23.333649027020499</v>
      </c>
      <c r="L164">
        <v>1.7710295393128857E-3</v>
      </c>
      <c r="M164">
        <v>7.6212488559126925E-4</v>
      </c>
      <c r="N164" s="1">
        <v>-3.1297448763448801E-5</v>
      </c>
      <c r="O164" s="1">
        <v>3.4153614314997197E-5</v>
      </c>
      <c r="P164" s="1">
        <v>-3.5677262885228198E-5</v>
      </c>
      <c r="AE164">
        <v>100</v>
      </c>
      <c r="AJ164">
        <v>1</v>
      </c>
    </row>
    <row r="165" spans="1:36" x14ac:dyDescent="0.2">
      <c r="A165">
        <v>164</v>
      </c>
      <c r="B165">
        <v>788</v>
      </c>
      <c r="C165">
        <v>125</v>
      </c>
      <c r="D165">
        <v>0.48055458700466802</v>
      </c>
      <c r="E165">
        <v>6.8841589294322301</v>
      </c>
      <c r="F165">
        <v>0.29456293014801499</v>
      </c>
      <c r="G165">
        <v>-153.51561255010805</v>
      </c>
      <c r="H165">
        <v>-85.32270994646197</v>
      </c>
      <c r="I165">
        <v>64.266919985036296</v>
      </c>
      <c r="J165">
        <v>25.988009344149201</v>
      </c>
      <c r="K165">
        <v>23.370757908922801</v>
      </c>
      <c r="L165">
        <v>1.7755161207574589E-3</v>
      </c>
      <c r="M165">
        <v>7.6194404098586788E-4</v>
      </c>
      <c r="N165" s="1">
        <v>-3.13837040999927E-5</v>
      </c>
      <c r="O165" s="1">
        <v>3.4227595662129101E-5</v>
      </c>
      <c r="P165" s="1">
        <v>-3.58806880716855E-5</v>
      </c>
      <c r="AE165">
        <v>100</v>
      </c>
      <c r="AJ165">
        <v>1</v>
      </c>
    </row>
    <row r="166" spans="1:36" x14ac:dyDescent="0.2">
      <c r="A166">
        <v>165</v>
      </c>
      <c r="B166">
        <v>787</v>
      </c>
      <c r="C166">
        <v>125</v>
      </c>
      <c r="D166">
        <v>0.479998585105882</v>
      </c>
      <c r="E166">
        <v>6.9071349101344204</v>
      </c>
      <c r="F166">
        <v>0.29508706006717</v>
      </c>
      <c r="G166">
        <v>-153.96350402608687</v>
      </c>
      <c r="H166">
        <v>-85.633565754969624</v>
      </c>
      <c r="I166">
        <v>64.456813618694895</v>
      </c>
      <c r="J166">
        <v>26.1053250235964</v>
      </c>
      <c r="K166">
        <v>23.407108764993399</v>
      </c>
      <c r="L166">
        <v>1.7800201848946907E-3</v>
      </c>
      <c r="M166">
        <v>7.61759995979604E-4</v>
      </c>
      <c r="N166" s="1">
        <v>-3.1467111473830298E-5</v>
      </c>
      <c r="O166" s="1">
        <v>3.4300548572189898E-5</v>
      </c>
      <c r="P166" s="1">
        <v>-3.6084592029779999E-5</v>
      </c>
      <c r="AE166">
        <v>100</v>
      </c>
      <c r="AJ166">
        <v>1</v>
      </c>
    </row>
    <row r="167" spans="1:36" x14ac:dyDescent="0.2">
      <c r="A167">
        <v>166</v>
      </c>
      <c r="B167">
        <v>786</v>
      </c>
      <c r="C167">
        <v>125</v>
      </c>
      <c r="D167">
        <v>0.47944153330501299</v>
      </c>
      <c r="E167">
        <v>6.9573042660359796</v>
      </c>
      <c r="F167">
        <v>0.295613456641098</v>
      </c>
      <c r="G167">
        <v>-155.01689157087003</v>
      </c>
      <c r="H167">
        <v>-86.281867900165579</v>
      </c>
      <c r="I167">
        <v>64.900160569733103</v>
      </c>
      <c r="J167">
        <v>26.325906072723701</v>
      </c>
      <c r="K167">
        <v>23.535140602488699</v>
      </c>
      <c r="L167">
        <v>1.7845417502645995E-3</v>
      </c>
      <c r="M167">
        <v>7.6157270578989535E-4</v>
      </c>
      <c r="N167" s="1">
        <v>-3.1672002753585701E-5</v>
      </c>
      <c r="O167" s="1">
        <v>3.4508007112583697E-5</v>
      </c>
      <c r="P167" s="1">
        <v>-3.6432071731658299E-5</v>
      </c>
      <c r="AE167">
        <v>100</v>
      </c>
      <c r="AJ167">
        <v>1</v>
      </c>
    </row>
    <row r="168" spans="1:36" x14ac:dyDescent="0.2">
      <c r="A168">
        <v>167</v>
      </c>
      <c r="B168">
        <v>785</v>
      </c>
      <c r="C168">
        <v>125</v>
      </c>
      <c r="D168">
        <v>0.47888342862543298</v>
      </c>
      <c r="E168">
        <v>7.0669767144127604</v>
      </c>
      <c r="F168">
        <v>0.29614213385389898</v>
      </c>
      <c r="G168">
        <v>-157.39461164344596</v>
      </c>
      <c r="H168">
        <v>-87.668741006379193</v>
      </c>
      <c r="I168">
        <v>65.897949057416099</v>
      </c>
      <c r="J168">
        <v>26.772521843016801</v>
      </c>
      <c r="K168">
        <v>23.8634625287708</v>
      </c>
      <c r="L168">
        <v>1.7890808336215277E-3</v>
      </c>
      <c r="M168">
        <v>7.6138212501897771E-4</v>
      </c>
      <c r="N168" s="1">
        <v>-3.2144972919703998E-5</v>
      </c>
      <c r="O168" s="1">
        <v>3.5009540090472599E-5</v>
      </c>
      <c r="P168" s="1">
        <v>-3.7093736427559699E-5</v>
      </c>
      <c r="AE168">
        <v>100</v>
      </c>
      <c r="AJ168">
        <v>1</v>
      </c>
    </row>
    <row r="169" spans="1:36" x14ac:dyDescent="0.2">
      <c r="A169">
        <v>168</v>
      </c>
      <c r="B169">
        <v>784</v>
      </c>
      <c r="C169">
        <v>125</v>
      </c>
      <c r="D169">
        <v>0.47832426807926898</v>
      </c>
      <c r="E169">
        <v>7.1775973489440004</v>
      </c>
      <c r="F169">
        <v>0.29667310577810901</v>
      </c>
      <c r="G169">
        <v>-159.79142069170985</v>
      </c>
      <c r="H169">
        <v>-89.068243019101956</v>
      </c>
      <c r="I169">
        <v>66.903736588531302</v>
      </c>
      <c r="J169">
        <v>27.2238868394106</v>
      </c>
      <c r="K169">
        <v>24.193623247778699</v>
      </c>
      <c r="L169">
        <v>1.7936374498817903E-3</v>
      </c>
      <c r="M169">
        <v>7.6118820764652692E-4</v>
      </c>
      <c r="N169" s="1">
        <v>-3.2619098808101797E-5</v>
      </c>
      <c r="O169" s="1">
        <v>3.5514342914763201E-5</v>
      </c>
      <c r="P169" s="1">
        <v>-3.7763750223161898E-5</v>
      </c>
      <c r="AE169">
        <v>100</v>
      </c>
      <c r="AJ169">
        <v>1</v>
      </c>
    </row>
    <row r="170" spans="1:36" x14ac:dyDescent="0.2">
      <c r="A170">
        <v>169</v>
      </c>
      <c r="B170">
        <v>783</v>
      </c>
      <c r="C170">
        <v>125</v>
      </c>
      <c r="D170">
        <v>0.47776404866733202</v>
      </c>
      <c r="E170">
        <v>7.2894789712205696</v>
      </c>
      <c r="F170">
        <v>0.297206386574835</v>
      </c>
      <c r="G170">
        <v>-162.21425427699509</v>
      </c>
      <c r="H170">
        <v>-90.484269189060782</v>
      </c>
      <c r="I170">
        <v>67.920424727005496</v>
      </c>
      <c r="J170">
        <v>27.6812102155933</v>
      </c>
      <c r="K170">
        <v>24.526656560878099</v>
      </c>
      <c r="L170">
        <v>1.798211612070214E-3</v>
      </c>
      <c r="M170">
        <v>7.6099090702220942E-4</v>
      </c>
      <c r="N170" s="1">
        <v>-3.3095632880676801E-5</v>
      </c>
      <c r="O170" s="1">
        <v>3.6023937886752003E-5</v>
      </c>
      <c r="P170" s="1">
        <v>-3.8443833113983899E-5</v>
      </c>
      <c r="AE170">
        <v>100</v>
      </c>
      <c r="AJ170">
        <v>1</v>
      </c>
    </row>
    <row r="171" spans="1:36" x14ac:dyDescent="0.2">
      <c r="A171">
        <v>170</v>
      </c>
      <c r="B171">
        <v>782</v>
      </c>
      <c r="C171">
        <v>125</v>
      </c>
      <c r="D171">
        <v>0.47720276737904699</v>
      </c>
      <c r="E171">
        <v>7.4030582759226604</v>
      </c>
      <c r="F171">
        <v>0.29774199049387401</v>
      </c>
      <c r="G171">
        <v>-164.67279219261789</v>
      </c>
      <c r="H171">
        <v>-91.922257913174221</v>
      </c>
      <c r="I171">
        <v>68.952064411684603</v>
      </c>
      <c r="J171">
        <v>28.146178014991001</v>
      </c>
      <c r="K171">
        <v>24.8640047836147</v>
      </c>
      <c r="L171">
        <v>1.8028033312655956E-3</v>
      </c>
      <c r="M171">
        <v>7.6079017585822513E-4</v>
      </c>
      <c r="N171" s="1">
        <v>-3.3576377992133902E-5</v>
      </c>
      <c r="O171" s="1">
        <v>3.6540451045499899E-5</v>
      </c>
      <c r="P171" s="1">
        <v>-3.9136376678081297E-5</v>
      </c>
      <c r="AE171">
        <v>100</v>
      </c>
      <c r="AJ171">
        <v>1</v>
      </c>
    </row>
    <row r="172" spans="1:36" x14ac:dyDescent="0.2">
      <c r="A172">
        <v>171</v>
      </c>
      <c r="B172">
        <v>781</v>
      </c>
      <c r="C172">
        <v>125</v>
      </c>
      <c r="D172">
        <v>0.476640421192431</v>
      </c>
      <c r="E172">
        <v>7.5189437513398403</v>
      </c>
      <c r="F172">
        <v>0.29827993187381202</v>
      </c>
      <c r="G172">
        <v>-167.18051775436214</v>
      </c>
      <c r="H172">
        <v>-93.389788058849376</v>
      </c>
      <c r="I172">
        <v>70.004299669727502</v>
      </c>
      <c r="J172">
        <v>28.621138412468099</v>
      </c>
      <c r="K172">
        <v>25.207675568736398</v>
      </c>
      <c r="L172">
        <v>1.8074126165450433E-3</v>
      </c>
      <c r="M172">
        <v>7.6058596622182622E-4</v>
      </c>
      <c r="N172" s="1">
        <v>-3.4063900048178303E-5</v>
      </c>
      <c r="O172" s="1">
        <v>3.7066844497866901E-5</v>
      </c>
      <c r="P172" s="1">
        <v>-3.9844706089812697E-5</v>
      </c>
      <c r="AE172">
        <v>100</v>
      </c>
      <c r="AJ172">
        <v>1</v>
      </c>
    </row>
    <row r="173" spans="1:36" x14ac:dyDescent="0.2">
      <c r="A173">
        <v>172</v>
      </c>
      <c r="B173">
        <v>780</v>
      </c>
      <c r="C173">
        <v>125</v>
      </c>
      <c r="D173">
        <v>0.47607700707401701</v>
      </c>
      <c r="E173">
        <v>7.6379873313159496</v>
      </c>
      <c r="F173">
        <v>0.29882022514210899</v>
      </c>
      <c r="G173">
        <v>-169.75630230414541</v>
      </c>
      <c r="H173">
        <v>-94.897472489010454</v>
      </c>
      <c r="I173">
        <v>71.085031325558603</v>
      </c>
      <c r="J173">
        <v>29.109378841855399</v>
      </c>
      <c r="K173">
        <v>25.560476462674401</v>
      </c>
      <c r="L173">
        <v>1.8120394749271236E-3</v>
      </c>
      <c r="M173">
        <v>7.6037822952778472E-4</v>
      </c>
      <c r="N173" s="1">
        <v>-3.4561845880931797E-5</v>
      </c>
      <c r="O173" s="1">
        <v>3.7607263915993498E-5</v>
      </c>
      <c r="P173" s="1">
        <v>-4.0573472164310098E-5</v>
      </c>
      <c r="AE173">
        <v>100</v>
      </c>
      <c r="AJ173">
        <v>1</v>
      </c>
    </row>
    <row r="174" spans="1:36" x14ac:dyDescent="0.2">
      <c r="A174">
        <v>173</v>
      </c>
      <c r="B174">
        <v>779</v>
      </c>
      <c r="C174">
        <v>125</v>
      </c>
      <c r="D174">
        <v>0.475512521978807</v>
      </c>
      <c r="E174">
        <v>7.7613941751598503</v>
      </c>
      <c r="F174">
        <v>0.29936288481516998</v>
      </c>
      <c r="G174">
        <v>-172.42683277218515</v>
      </c>
      <c r="H174">
        <v>-96.460327101466305</v>
      </c>
      <c r="I174">
        <v>72.205433842199298</v>
      </c>
      <c r="J174">
        <v>29.615550659336801</v>
      </c>
      <c r="K174">
        <v>25.926374206180601</v>
      </c>
      <c r="L174">
        <v>1.8166839113140034E-3</v>
      </c>
      <c r="M174">
        <v>7.601669165309006E-4</v>
      </c>
      <c r="N174" s="1">
        <v>-3.5075429958356698E-5</v>
      </c>
      <c r="O174" s="1">
        <v>3.8167570870204701E-5</v>
      </c>
      <c r="P174" s="1">
        <v>-4.1329252231743301E-5</v>
      </c>
      <c r="AE174">
        <v>100</v>
      </c>
      <c r="AJ174">
        <v>1</v>
      </c>
    </row>
    <row r="175" spans="1:36" x14ac:dyDescent="0.2">
      <c r="A175">
        <v>174</v>
      </c>
      <c r="B175">
        <v>778</v>
      </c>
      <c r="C175">
        <v>125</v>
      </c>
      <c r="D175">
        <v>0.47494696285021398</v>
      </c>
      <c r="E175">
        <v>7.8908924392324202</v>
      </c>
      <c r="F175">
        <v>0.29990792549838502</v>
      </c>
      <c r="G175">
        <v>-175.23036534065676</v>
      </c>
      <c r="H175">
        <v>-98.099888219271804</v>
      </c>
      <c r="I175">
        <v>73.381527636012805</v>
      </c>
      <c r="J175">
        <v>30.146326147108802</v>
      </c>
      <c r="K175">
        <v>26.311050053510201</v>
      </c>
      <c r="L175">
        <v>1.8213459284321186E-3</v>
      </c>
      <c r="M175">
        <v>7.5995197731837339E-4</v>
      </c>
      <c r="N175" s="1">
        <v>-3.5612186363777597E-5</v>
      </c>
      <c r="O175" s="1">
        <v>3.8756165724370797E-5</v>
      </c>
      <c r="P175" s="1">
        <v>-4.2121480167650397E-5</v>
      </c>
      <c r="AE175">
        <v>100</v>
      </c>
      <c r="AJ175">
        <v>1</v>
      </c>
    </row>
    <row r="176" spans="1:36" x14ac:dyDescent="0.2">
      <c r="A176">
        <v>175</v>
      </c>
      <c r="B176">
        <v>777</v>
      </c>
      <c r="C176">
        <v>125</v>
      </c>
      <c r="D176">
        <v>0.47438032662001101</v>
      </c>
      <c r="E176">
        <v>8.0289887221486804</v>
      </c>
      <c r="F176">
        <v>0.30045536188616701</v>
      </c>
      <c r="G176">
        <v>-178.22237138410389</v>
      </c>
      <c r="H176">
        <v>-99.847399325412979</v>
      </c>
      <c r="I176">
        <v>74.636544054729399</v>
      </c>
      <c r="J176">
        <v>30.711388109559099</v>
      </c>
      <c r="K176">
        <v>26.7227340252646</v>
      </c>
      <c r="L176">
        <v>1.8260255267720869E-3</v>
      </c>
      <c r="M176">
        <v>7.5973336130231159E-4</v>
      </c>
      <c r="N176" s="1">
        <v>-3.6183098118935898E-5</v>
      </c>
      <c r="O176" s="1">
        <v>3.9385224460467801E-5</v>
      </c>
      <c r="P176" s="1">
        <v>-4.2963848733408798E-5</v>
      </c>
      <c r="AE176">
        <v>100</v>
      </c>
      <c r="AJ176">
        <v>1</v>
      </c>
    </row>
    <row r="177" spans="1:36" x14ac:dyDescent="0.2">
      <c r="A177">
        <v>176</v>
      </c>
      <c r="B177">
        <v>776</v>
      </c>
      <c r="C177">
        <v>125</v>
      </c>
      <c r="D177">
        <v>0.47381261020826598</v>
      </c>
      <c r="E177">
        <v>8.1793003798392601</v>
      </c>
      <c r="F177">
        <v>0.30100520876195502</v>
      </c>
      <c r="G177">
        <v>-181.48287478755711</v>
      </c>
      <c r="H177">
        <v>-101.74795993816052</v>
      </c>
      <c r="I177">
        <v>76.0039989966549</v>
      </c>
      <c r="J177">
        <v>31.324721248028201</v>
      </c>
      <c r="K177">
        <v>27.173285184934102</v>
      </c>
      <c r="L177">
        <v>1.8307227045269467E-3</v>
      </c>
      <c r="M177">
        <v>7.5951101721206862E-4</v>
      </c>
      <c r="N177" s="1">
        <v>-3.6804058644208401E-5</v>
      </c>
      <c r="O177" s="1">
        <v>4.0072302553993901E-5</v>
      </c>
      <c r="P177" s="1">
        <v>-4.3876145266463997E-5</v>
      </c>
      <c r="AE177">
        <v>100</v>
      </c>
      <c r="AJ177">
        <v>1</v>
      </c>
    </row>
    <row r="178" spans="1:36" x14ac:dyDescent="0.2">
      <c r="A178">
        <v>177</v>
      </c>
      <c r="B178">
        <v>775</v>
      </c>
      <c r="C178">
        <v>125</v>
      </c>
      <c r="D178">
        <v>0.473243810523307</v>
      </c>
      <c r="E178">
        <v>8.3467254300007792</v>
      </c>
      <c r="F178">
        <v>0.301557480998209</v>
      </c>
      <c r="G178">
        <v>-185.12016871463874</v>
      </c>
      <c r="H178">
        <v>-103.86266122302379</v>
      </c>
      <c r="I178">
        <v>77.529250584795705</v>
      </c>
      <c r="J178">
        <v>32.005290470928401</v>
      </c>
      <c r="K178">
        <v>27.678721159135598</v>
      </c>
      <c r="L178">
        <v>1.8354374575295627E-3</v>
      </c>
      <c r="M178">
        <v>7.5928489308669817E-4</v>
      </c>
      <c r="N178" s="1">
        <v>-3.7496584268951798E-5</v>
      </c>
      <c r="O178" s="1">
        <v>4.0841131674068402E-5</v>
      </c>
      <c r="P178" s="1">
        <v>-4.4885241652251298E-5</v>
      </c>
      <c r="AE178">
        <v>100</v>
      </c>
      <c r="AJ178">
        <v>1</v>
      </c>
    </row>
    <row r="179" spans="1:36" x14ac:dyDescent="0.2">
      <c r="A179">
        <v>178</v>
      </c>
      <c r="B179">
        <v>774</v>
      </c>
      <c r="C179">
        <v>125</v>
      </c>
      <c r="D179">
        <v>0.47267392446163797</v>
      </c>
      <c r="E179">
        <v>8.5362799414460007</v>
      </c>
      <c r="F179">
        <v>0.30211219355637597</v>
      </c>
      <c r="G179">
        <v>-189.24498178826528</v>
      </c>
      <c r="H179">
        <v>-106.25413930254237</v>
      </c>
      <c r="I179">
        <v>79.258680675445703</v>
      </c>
      <c r="J179">
        <v>32.772608640139602</v>
      </c>
      <c r="K179">
        <v>28.255330713267199</v>
      </c>
      <c r="L179">
        <v>1.8401697791886687E-3</v>
      </c>
      <c r="M179">
        <v>7.5905493626736149E-4</v>
      </c>
      <c r="N179" s="1">
        <v>-3.8282535994321603E-5</v>
      </c>
      <c r="O179" s="1">
        <v>4.17158979294169E-5</v>
      </c>
      <c r="P179" s="1">
        <v>-4.6018916036059397E-5</v>
      </c>
      <c r="AE179">
        <v>100</v>
      </c>
      <c r="AJ179">
        <v>1</v>
      </c>
    </row>
    <row r="180" spans="1:36" x14ac:dyDescent="0.2">
      <c r="A180">
        <v>179</v>
      </c>
      <c r="B180">
        <v>773</v>
      </c>
      <c r="C180">
        <v>125</v>
      </c>
      <c r="D180">
        <v>0.472102948907902</v>
      </c>
      <c r="E180">
        <v>9.3180721312530608</v>
      </c>
      <c r="F180">
        <v>0.30266936148683299</v>
      </c>
      <c r="G180">
        <v>-206.49041628067357</v>
      </c>
      <c r="H180">
        <v>-116.02118346517501</v>
      </c>
      <c r="I180">
        <v>86.483358207300299</v>
      </c>
      <c r="J180">
        <v>35.818490170637197</v>
      </c>
      <c r="K180">
        <v>30.786307822763899</v>
      </c>
      <c r="L180">
        <v>1.8449196604234806E-3</v>
      </c>
      <c r="M180">
        <v>7.5882109338966245E-4</v>
      </c>
      <c r="N180" s="1">
        <v>-4.1713255321868301E-5</v>
      </c>
      <c r="O180" s="1">
        <v>4.5478705877007501E-5</v>
      </c>
      <c r="P180" s="1">
        <v>-5.0359251843797102E-5</v>
      </c>
      <c r="AE180">
        <v>100</v>
      </c>
      <c r="AJ180">
        <v>1</v>
      </c>
    </row>
    <row r="181" spans="1:36" x14ac:dyDescent="0.2">
      <c r="A181">
        <v>180</v>
      </c>
      <c r="B181">
        <v>772</v>
      </c>
      <c r="C181">
        <v>125</v>
      </c>
      <c r="D181">
        <v>0.47153088073482102</v>
      </c>
      <c r="E181">
        <v>9.9005295881239093</v>
      </c>
      <c r="F181">
        <v>0.30322899992881802</v>
      </c>
      <c r="G181">
        <v>-219.30592356797902</v>
      </c>
      <c r="H181">
        <v>-123.31155912875698</v>
      </c>
      <c r="I181">
        <v>91.852872917968199</v>
      </c>
      <c r="J181">
        <v>38.104880526564699</v>
      </c>
      <c r="K181">
        <v>32.650338821313198</v>
      </c>
      <c r="L181">
        <v>1.8496870895973502E-3</v>
      </c>
      <c r="M181">
        <v>7.5858331037610032E-4</v>
      </c>
      <c r="N181" s="1">
        <v>-4.4236516683169802E-5</v>
      </c>
      <c r="O181" s="1">
        <v>4.8259996222397897E-5</v>
      </c>
      <c r="P181" s="1">
        <v>-5.3641667498005E-5</v>
      </c>
      <c r="AE181">
        <v>100</v>
      </c>
      <c r="AJ181">
        <v>1</v>
      </c>
    </row>
    <row r="182" spans="1:36" x14ac:dyDescent="0.2">
      <c r="A182">
        <v>181</v>
      </c>
      <c r="B182">
        <v>771</v>
      </c>
      <c r="C182">
        <v>125</v>
      </c>
      <c r="D182">
        <v>0.47095771680314102</v>
      </c>
      <c r="E182">
        <v>10.1960559745665</v>
      </c>
      <c r="F182">
        <v>0.30379112411033399</v>
      </c>
      <c r="G182">
        <v>-225.75753158751473</v>
      </c>
      <c r="H182">
        <v>-127.03162092061395</v>
      </c>
      <c r="I182">
        <v>94.557051646065204</v>
      </c>
      <c r="J182">
        <v>39.291398299011597</v>
      </c>
      <c r="K182">
        <v>33.5627184777899</v>
      </c>
      <c r="L182">
        <v>1.8544720524500771E-3</v>
      </c>
      <c r="M182">
        <v>7.5834153242848991E-4</v>
      </c>
      <c r="N182" s="1">
        <v>-4.5465994203415401E-5</v>
      </c>
      <c r="O182" s="1">
        <v>4.9637009487236699E-5</v>
      </c>
      <c r="P182" s="1">
        <v>-5.5382413685971803E-5</v>
      </c>
      <c r="AE182">
        <v>100</v>
      </c>
      <c r="AJ182">
        <v>1</v>
      </c>
    </row>
    <row r="183" spans="1:36" x14ac:dyDescent="0.2">
      <c r="A183">
        <v>182</v>
      </c>
      <c r="B183">
        <v>770</v>
      </c>
      <c r="C183">
        <v>125</v>
      </c>
      <c r="D183">
        <v>0.47038345396155901</v>
      </c>
      <c r="E183">
        <v>10.367779263986099</v>
      </c>
      <c r="F183">
        <v>0.30435574934801402</v>
      </c>
      <c r="G183">
        <v>-229.4636385963689</v>
      </c>
      <c r="H183">
        <v>-129.21108208195656</v>
      </c>
      <c r="I183">
        <v>96.111287537134402</v>
      </c>
      <c r="J183">
        <v>40.003338225504002</v>
      </c>
      <c r="K183">
        <v>34.064673613676902</v>
      </c>
      <c r="L183">
        <v>1.8592745320286453E-3</v>
      </c>
      <c r="M183">
        <v>7.5809570402031597E-4</v>
      </c>
      <c r="N183" s="1">
        <v>-4.6134803210259198E-5</v>
      </c>
      <c r="O183" s="1">
        <v>5.0408219650829002E-5</v>
      </c>
      <c r="P183" s="1">
        <v>-5.6458121228481098E-5</v>
      </c>
      <c r="AE183">
        <v>100</v>
      </c>
      <c r="AJ183">
        <v>1</v>
      </c>
    </row>
    <row r="184" spans="1:36" x14ac:dyDescent="0.2">
      <c r="A184">
        <v>183</v>
      </c>
      <c r="B184">
        <v>769</v>
      </c>
      <c r="C184">
        <v>125</v>
      </c>
      <c r="D184">
        <v>0.46980808904668597</v>
      </c>
      <c r="E184">
        <v>10.477979680208399</v>
      </c>
      <c r="F184">
        <v>0.304922891046987</v>
      </c>
      <c r="G184">
        <v>-231.80552269725914</v>
      </c>
      <c r="H184">
        <v>-130.62493676452436</v>
      </c>
      <c r="I184">
        <v>97.094067145928506</v>
      </c>
      <c r="J184">
        <v>40.479522655504397</v>
      </c>
      <c r="K184">
        <v>34.362719191829498</v>
      </c>
      <c r="L184">
        <v>1.8640945086170373E-3</v>
      </c>
      <c r="M184">
        <v>7.5784576888920767E-4</v>
      </c>
      <c r="N184" s="1">
        <v>-4.6522636736357101E-5</v>
      </c>
      <c r="O184" s="1">
        <v>5.0878351824214601E-5</v>
      </c>
      <c r="P184" s="1">
        <v>-5.72037412562777E-5</v>
      </c>
      <c r="AE184">
        <v>100</v>
      </c>
      <c r="AJ184">
        <v>1</v>
      </c>
    </row>
    <row r="185" spans="1:36" x14ac:dyDescent="0.2">
      <c r="A185">
        <v>184</v>
      </c>
      <c r="B185">
        <v>768</v>
      </c>
      <c r="C185">
        <v>125</v>
      </c>
      <c r="D185">
        <v>0.46923161888296799</v>
      </c>
      <c r="E185">
        <v>10.556860079344901</v>
      </c>
      <c r="F185">
        <v>0.30549256470070202</v>
      </c>
      <c r="G185">
        <v>-233.45279720783481</v>
      </c>
      <c r="H185">
        <v>-131.6491183721287</v>
      </c>
      <c r="I185">
        <v>97.785833087748102</v>
      </c>
      <c r="J185">
        <v>40.835892613121104</v>
      </c>
      <c r="K185">
        <v>34.556847855488002</v>
      </c>
      <c r="L185">
        <v>1.8689319596645417E-3</v>
      </c>
      <c r="M185">
        <v>7.5759167002939119E-4</v>
      </c>
      <c r="N185" s="1">
        <v>-4.6764861853106197E-5</v>
      </c>
      <c r="O185" s="1">
        <v>5.1195020954211301E-5</v>
      </c>
      <c r="P185" s="1">
        <v>-5.77820629004845E-5</v>
      </c>
      <c r="AE185">
        <v>100</v>
      </c>
      <c r="AJ18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A4FE-DB32-4BB6-A568-C85F9648A031}">
  <sheetPr codeName="Sheet15"/>
  <dimension ref="A1:AU18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756</v>
      </c>
      <c r="C2">
        <v>275</v>
      </c>
      <c r="D2">
        <v>0.30190011174270298</v>
      </c>
      <c r="E2">
        <v>201.51722523384043</v>
      </c>
      <c r="F2">
        <v>63.566707168307758</v>
      </c>
      <c r="G2">
        <v>72.5993484019601</v>
      </c>
      <c r="H2">
        <v>67.997176975149785</v>
      </c>
      <c r="J2">
        <v>55.063567514899596</v>
      </c>
      <c r="L2">
        <v>9.8772254691209884</v>
      </c>
      <c r="M2">
        <v>13.058420837145821</v>
      </c>
      <c r="N2">
        <v>2.5815249809633114</v>
      </c>
      <c r="O2">
        <v>42.450518098963272</v>
      </c>
      <c r="P2">
        <v>13.484742737580738</v>
      </c>
      <c r="Q2">
        <v>0.58827302140650273</v>
      </c>
      <c r="R2">
        <v>18.873495722605192</v>
      </c>
      <c r="S2">
        <v>53.093772601548942</v>
      </c>
      <c r="U2">
        <v>0.89867770752843168</v>
      </c>
      <c r="V2">
        <v>48.727259220006161</v>
      </c>
      <c r="W2">
        <v>22.294834882464613</v>
      </c>
      <c r="X2">
        <v>45.69588917192165</v>
      </c>
      <c r="Y2">
        <v>11.167816828365165</v>
      </c>
      <c r="Z2">
        <v>30.103276679939821</v>
      </c>
      <c r="AA2">
        <v>9.2788115397985536</v>
      </c>
      <c r="AB2">
        <v>35.639762367989015</v>
      </c>
      <c r="AC2">
        <v>2.608302990194533E-3</v>
      </c>
      <c r="AD2">
        <v>7.9099021646071836</v>
      </c>
      <c r="AE2">
        <v>11.48011035705219</v>
      </c>
      <c r="AF2">
        <v>12.733576761204189</v>
      </c>
      <c r="AG2">
        <v>21.092761747974748</v>
      </c>
      <c r="AH2">
        <v>9.6106827385959175</v>
      </c>
      <c r="AI2">
        <v>2.5292041123199613</v>
      </c>
      <c r="AK2">
        <v>48.217604345082457</v>
      </c>
    </row>
    <row r="3" spans="1:47" x14ac:dyDescent="0.2">
      <c r="A3">
        <v>2</v>
      </c>
      <c r="B3">
        <v>755</v>
      </c>
      <c r="C3">
        <v>275</v>
      </c>
      <c r="D3">
        <v>0.30115304187132302</v>
      </c>
      <c r="E3">
        <v>201.40126231149239</v>
      </c>
      <c r="F3">
        <v>63.202693351358782</v>
      </c>
      <c r="G3">
        <v>72.539136758622021</v>
      </c>
      <c r="H3">
        <v>67.934584030160451</v>
      </c>
      <c r="J3">
        <v>54.994675282479058</v>
      </c>
      <c r="L3">
        <v>9.7902376894070056</v>
      </c>
      <c r="M3">
        <v>12.991689819695482</v>
      </c>
      <c r="N3">
        <v>2.5806595802968184</v>
      </c>
      <c r="O3">
        <v>42.051910451578109</v>
      </c>
      <c r="P3">
        <v>13.384950801065154</v>
      </c>
      <c r="Q3">
        <v>0.52088344757392502</v>
      </c>
      <c r="R3">
        <v>18.656880237347242</v>
      </c>
      <c r="S3">
        <v>52.638842053952899</v>
      </c>
      <c r="U3">
        <v>0.82070023404339987</v>
      </c>
      <c r="V3">
        <v>48.619591315664323</v>
      </c>
      <c r="W3">
        <v>22.089030616071604</v>
      </c>
      <c r="X3">
        <v>45.49685401901278</v>
      </c>
      <c r="Y3">
        <v>11.076510222509988</v>
      </c>
      <c r="Z3">
        <v>29.894542729019832</v>
      </c>
      <c r="AA3">
        <v>9.1893694884638819</v>
      </c>
      <c r="AB3">
        <v>35.484142257051154</v>
      </c>
      <c r="AD3">
        <v>7.7911459480811951</v>
      </c>
      <c r="AE3">
        <v>11.386139033061578</v>
      </c>
      <c r="AF3">
        <v>12.662888866241227</v>
      </c>
      <c r="AG3">
        <v>20.919313629020788</v>
      </c>
      <c r="AH3">
        <v>9.4804653405799151</v>
      </c>
      <c r="AI3">
        <v>2.5280507760549482</v>
      </c>
      <c r="AK3">
        <v>48.214311693637789</v>
      </c>
    </row>
    <row r="4" spans="1:47" x14ac:dyDescent="0.2">
      <c r="A4">
        <v>3</v>
      </c>
      <c r="B4">
        <v>754</v>
      </c>
      <c r="C4">
        <v>275</v>
      </c>
      <c r="D4">
        <v>0.30040451735384299</v>
      </c>
      <c r="E4">
        <v>201.27945066058558</v>
      </c>
      <c r="F4">
        <v>62.817705469397964</v>
      </c>
      <c r="G4">
        <v>72.475991777956622</v>
      </c>
      <c r="H4">
        <v>67.869070799703834</v>
      </c>
      <c r="J4">
        <v>54.914240940487915</v>
      </c>
      <c r="L4">
        <v>9.7005943904011431</v>
      </c>
      <c r="M4">
        <v>12.916052443329995</v>
      </c>
      <c r="N4">
        <v>2.5826331579496387</v>
      </c>
      <c r="O4">
        <v>41.647651499500775</v>
      </c>
      <c r="P4">
        <v>13.2821389392046</v>
      </c>
      <c r="Q4">
        <v>0.44747784071317975</v>
      </c>
      <c r="R4">
        <v>18.426897047715325</v>
      </c>
      <c r="S4">
        <v>52.141876305050793</v>
      </c>
      <c r="U4">
        <v>0.73526239985706232</v>
      </c>
      <c r="V4">
        <v>48.498219849002204</v>
      </c>
      <c r="W4">
        <v>21.865849885977283</v>
      </c>
      <c r="X4">
        <v>45.272442875965737</v>
      </c>
      <c r="Y4">
        <v>10.981386267975669</v>
      </c>
      <c r="Z4">
        <v>29.671210190637343</v>
      </c>
      <c r="AA4">
        <v>9.0972135639326872</v>
      </c>
      <c r="AB4">
        <v>35.311385739369634</v>
      </c>
      <c r="AD4">
        <v>7.6634037376668163</v>
      </c>
      <c r="AE4">
        <v>11.286006277112067</v>
      </c>
      <c r="AF4">
        <v>12.58613389302012</v>
      </c>
      <c r="AG4">
        <v>20.731570608920968</v>
      </c>
      <c r="AH4">
        <v>9.340429131912547</v>
      </c>
      <c r="AI4">
        <v>2.5297355853678658</v>
      </c>
      <c r="AK4">
        <v>48.206946963799346</v>
      </c>
    </row>
    <row r="5" spans="1:47" x14ac:dyDescent="0.2">
      <c r="A5">
        <v>4</v>
      </c>
      <c r="B5">
        <v>753</v>
      </c>
      <c r="C5">
        <v>275</v>
      </c>
      <c r="D5">
        <v>0.29965453393753799</v>
      </c>
      <c r="E5">
        <v>201.15780580713044</v>
      </c>
      <c r="F5">
        <v>62.433424710370502</v>
      </c>
      <c r="G5">
        <v>72.412933797666113</v>
      </c>
      <c r="H5">
        <v>67.803657642362424</v>
      </c>
      <c r="J5">
        <v>54.834443368913988</v>
      </c>
      <c r="L5">
        <v>9.61106798726615</v>
      </c>
      <c r="M5">
        <v>12.840561557184026</v>
      </c>
      <c r="N5">
        <v>2.5846066074779674</v>
      </c>
      <c r="O5">
        <v>41.244015015150005</v>
      </c>
      <c r="P5">
        <v>13.17950874373688</v>
      </c>
      <c r="Q5">
        <v>0.37419038141943223</v>
      </c>
      <c r="R5">
        <v>18.197295281815617</v>
      </c>
      <c r="S5">
        <v>51.645852594544358</v>
      </c>
      <c r="U5">
        <v>0.64990675820687893</v>
      </c>
      <c r="V5">
        <v>48.37704444254625</v>
      </c>
      <c r="W5">
        <v>21.642940500221918</v>
      </c>
      <c r="X5">
        <v>45.048485388833427</v>
      </c>
      <c r="Y5">
        <v>10.88643200295979</v>
      </c>
      <c r="Z5">
        <v>29.448133910855187</v>
      </c>
      <c r="AA5">
        <v>9.0052348804190849</v>
      </c>
      <c r="AB5">
        <v>35.138884755385888</v>
      </c>
      <c r="AD5">
        <v>7.5357561239681567</v>
      </c>
      <c r="AE5">
        <v>11.185979393461496</v>
      </c>
      <c r="AF5">
        <v>12.509525589854356</v>
      </c>
      <c r="AG5">
        <v>20.544085527624556</v>
      </c>
      <c r="AH5">
        <v>9.2006153236058683</v>
      </c>
      <c r="AI5">
        <v>2.5314194319750833</v>
      </c>
      <c r="AK5">
        <v>48.199921144622536</v>
      </c>
    </row>
    <row r="6" spans="1:47" x14ac:dyDescent="0.2">
      <c r="A6">
        <v>5</v>
      </c>
      <c r="B6">
        <v>752</v>
      </c>
      <c r="C6">
        <v>275</v>
      </c>
      <c r="D6">
        <v>0.29890308735307097</v>
      </c>
      <c r="E6">
        <v>201.0363274423286</v>
      </c>
      <c r="F6">
        <v>62.049849436682081</v>
      </c>
      <c r="G6">
        <v>72.349962695631092</v>
      </c>
      <c r="H6">
        <v>67.738344456935195</v>
      </c>
      <c r="J6">
        <v>54.755282415622467</v>
      </c>
      <c r="L6">
        <v>9.5217750007655333</v>
      </c>
      <c r="M6">
        <v>12.765216678806166</v>
      </c>
      <c r="N6">
        <v>2.5865799293528213</v>
      </c>
      <c r="O6">
        <v>40.8409998238497</v>
      </c>
      <c r="P6">
        <v>13.077059993731323</v>
      </c>
      <c r="Q6">
        <v>0.3010205925615016</v>
      </c>
      <c r="R6">
        <v>17.968073937485268</v>
      </c>
      <c r="S6">
        <v>51.150768394378368</v>
      </c>
      <c r="U6">
        <v>0.56463297985638239</v>
      </c>
      <c r="V6">
        <v>48.256064449057739</v>
      </c>
      <c r="W6">
        <v>21.420301377903382</v>
      </c>
      <c r="X6">
        <v>44.824980254336722</v>
      </c>
      <c r="Y6">
        <v>10.791647153498795</v>
      </c>
      <c r="Z6">
        <v>29.225312550769321</v>
      </c>
      <c r="AA6">
        <v>8.9134331057240495</v>
      </c>
      <c r="AB6">
        <v>34.966638150251086</v>
      </c>
      <c r="AD6">
        <v>7.408202883965104</v>
      </c>
      <c r="AE6">
        <v>11.086057695988575</v>
      </c>
      <c r="AF6">
        <v>12.433063480400843</v>
      </c>
      <c r="AG6">
        <v>20.356857236723737</v>
      </c>
      <c r="AH6">
        <v>9.0610236218784195</v>
      </c>
      <c r="AI6">
        <v>2.5331023145089526</v>
      </c>
      <c r="AK6">
        <v>48.193234362032427</v>
      </c>
    </row>
    <row r="7" spans="1:47" x14ac:dyDescent="0.2">
      <c r="A7">
        <v>6</v>
      </c>
      <c r="B7">
        <v>751</v>
      </c>
      <c r="C7">
        <v>275</v>
      </c>
      <c r="D7">
        <v>0.29815017331445698</v>
      </c>
      <c r="E7">
        <v>200.91501526367503</v>
      </c>
      <c r="F7">
        <v>61.666978033101316</v>
      </c>
      <c r="G7">
        <v>72.28707835269536</v>
      </c>
      <c r="H7">
        <v>67.673131145227259</v>
      </c>
      <c r="J7">
        <v>54.676757943126574</v>
      </c>
      <c r="L7">
        <v>9.4325956584545683</v>
      </c>
      <c r="M7">
        <v>12.690017329747837</v>
      </c>
      <c r="N7">
        <v>2.5885531241308981</v>
      </c>
      <c r="O7">
        <v>40.438604769274384</v>
      </c>
      <c r="P7">
        <v>12.974792474335304</v>
      </c>
      <c r="Q7">
        <v>0.22796799757908298</v>
      </c>
      <c r="R7">
        <v>17.739232025281158</v>
      </c>
      <c r="S7">
        <v>50.656621205278789</v>
      </c>
      <c r="U7">
        <v>0.47944074130409631</v>
      </c>
      <c r="V7">
        <v>48.135279221525167</v>
      </c>
      <c r="W7">
        <v>21.197931444541961</v>
      </c>
      <c r="X7">
        <v>44.601926185577192</v>
      </c>
      <c r="Y7">
        <v>10.697031451816661</v>
      </c>
      <c r="Z7">
        <v>29.002744774517005</v>
      </c>
      <c r="AA7">
        <v>8.8218079131872358</v>
      </c>
      <c r="AB7">
        <v>34.794644773751813</v>
      </c>
      <c r="AD7">
        <v>7.2807437943129241</v>
      </c>
      <c r="AE7">
        <v>10.986240499170741</v>
      </c>
      <c r="AF7">
        <v>12.356747092416638</v>
      </c>
      <c r="AG7">
        <v>20.169884592549497</v>
      </c>
      <c r="AH7">
        <v>8.9216537393551736</v>
      </c>
      <c r="AI7">
        <v>2.5347842316863445</v>
      </c>
      <c r="AK7">
        <v>48.186886750251212</v>
      </c>
    </row>
    <row r="8" spans="1:47" x14ac:dyDescent="0.2">
      <c r="A8">
        <v>7</v>
      </c>
      <c r="B8">
        <v>750</v>
      </c>
      <c r="C8">
        <v>275</v>
      </c>
      <c r="D8">
        <v>0.29739578751893703</v>
      </c>
      <c r="E8">
        <v>200.79386897531214</v>
      </c>
      <c r="F8">
        <v>61.284808907773943</v>
      </c>
      <c r="G8">
        <v>72.224280652810265</v>
      </c>
      <c r="H8">
        <v>67.608017612192228</v>
      </c>
      <c r="J8">
        <v>54.598869829281377</v>
      </c>
      <c r="L8">
        <v>9.343594739636826</v>
      </c>
      <c r="M8">
        <v>12.614963035907644</v>
      </c>
      <c r="N8">
        <v>2.5905261923628427</v>
      </c>
      <c r="O8">
        <v>40.036828713796716</v>
      </c>
      <c r="P8">
        <v>12.872705976968424</v>
      </c>
      <c r="Q8">
        <v>0.15503212064602379</v>
      </c>
      <c r="R8">
        <v>17.510768569084512</v>
      </c>
      <c r="S8">
        <v>50.163408558514838</v>
      </c>
      <c r="U8">
        <v>0.39432972509642616</v>
      </c>
      <c r="V8">
        <v>48.014688113595057</v>
      </c>
      <c r="W8">
        <v>20.975829632656943</v>
      </c>
      <c r="X8">
        <v>44.379321911851328</v>
      </c>
      <c r="Y8">
        <v>10.602584636540199</v>
      </c>
      <c r="Z8">
        <v>28.780429249568606</v>
      </c>
      <c r="AA8">
        <v>8.7303589818563196</v>
      </c>
      <c r="AB8">
        <v>34.622903480791564</v>
      </c>
      <c r="AD8">
        <v>7.1533786316003054</v>
      </c>
      <c r="AE8">
        <v>10.8865271181526</v>
      </c>
      <c r="AF8">
        <v>12.2805759580111</v>
      </c>
      <c r="AG8">
        <v>19.983166456563723</v>
      </c>
      <c r="AH8">
        <v>8.7825053954850283</v>
      </c>
      <c r="AI8">
        <v>2.5364651822180755</v>
      </c>
      <c r="AK8">
        <v>48.180878452167079</v>
      </c>
    </row>
    <row r="9" spans="1:47" x14ac:dyDescent="0.2">
      <c r="A9">
        <v>8</v>
      </c>
      <c r="B9">
        <v>749</v>
      </c>
      <c r="C9">
        <v>275</v>
      </c>
      <c r="D9">
        <v>0.29663992564692099</v>
      </c>
      <c r="E9">
        <v>200.67288828776466</v>
      </c>
      <c r="F9">
        <v>60.903340491381606</v>
      </c>
      <c r="G9">
        <v>72.16156948295135</v>
      </c>
      <c r="H9">
        <v>67.543003765847459</v>
      </c>
      <c r="J9">
        <v>54.521617966884719</v>
      </c>
      <c r="L9">
        <v>9.2548194616832617</v>
      </c>
      <c r="M9">
        <v>12.540053327353485</v>
      </c>
      <c r="N9">
        <v>2.5924991345807893</v>
      </c>
      <c r="O9">
        <v>39.635670538001669</v>
      </c>
      <c r="P9">
        <v>12.770800299145321</v>
      </c>
      <c r="Q9">
        <v>8.2212486215201233E-2</v>
      </c>
      <c r="R9">
        <v>17.282682605637728</v>
      </c>
      <c r="S9">
        <v>49.671128014902102</v>
      </c>
      <c r="U9">
        <v>0.30929961968511632</v>
      </c>
      <c r="V9">
        <v>47.894290478990037</v>
      </c>
      <c r="W9">
        <v>20.753994881498631</v>
      </c>
      <c r="X9">
        <v>44.157166179171263</v>
      </c>
      <c r="Y9">
        <v>10.508306452525661</v>
      </c>
      <c r="Z9">
        <v>28.558364646538262</v>
      </c>
      <c r="AA9">
        <v>8.6390859962917901</v>
      </c>
      <c r="AB9">
        <v>34.451413131177041</v>
      </c>
      <c r="AD9">
        <v>7.0261071722512929</v>
      </c>
      <c r="AE9">
        <v>10.786916868699027</v>
      </c>
      <c r="AF9">
        <v>12.204549613460792</v>
      </c>
      <c r="AG9">
        <v>19.796701695133326</v>
      </c>
      <c r="AH9">
        <v>8.6435783163084547</v>
      </c>
      <c r="AI9">
        <v>2.538145164796918</v>
      </c>
      <c r="AK9">
        <v>48.175209619064049</v>
      </c>
    </row>
    <row r="10" spans="1:47" x14ac:dyDescent="0.2">
      <c r="A10">
        <v>9</v>
      </c>
      <c r="B10">
        <v>748</v>
      </c>
      <c r="C10">
        <v>275</v>
      </c>
      <c r="D10">
        <v>0.29588258336189799</v>
      </c>
      <c r="E10">
        <v>200.55207291813176</v>
      </c>
      <c r="F10">
        <v>60.522571237519045</v>
      </c>
      <c r="G10">
        <v>72.098944733167571</v>
      </c>
      <c r="H10">
        <v>67.47808951732614</v>
      </c>
      <c r="J10">
        <v>54.445002264018022</v>
      </c>
      <c r="L10">
        <v>9.1661621496318375</v>
      </c>
      <c r="M10">
        <v>12.465287738373549</v>
      </c>
      <c r="N10">
        <v>2.59447195131338</v>
      </c>
      <c r="O10">
        <v>39.235129140887395</v>
      </c>
      <c r="P10">
        <v>12.669075244586036</v>
      </c>
      <c r="Q10">
        <v>9.5086189848412623E-3</v>
      </c>
      <c r="R10">
        <v>17.054973184764457</v>
      </c>
      <c r="S10">
        <v>49.179777165206303</v>
      </c>
      <c r="U10">
        <v>0.22435011949600339</v>
      </c>
      <c r="V10">
        <v>47.774085671475596</v>
      </c>
      <c r="W10">
        <v>20.532426137015463</v>
      </c>
      <c r="X10">
        <v>43.935457750048506</v>
      </c>
      <c r="Y10">
        <v>10.414196650967638</v>
      </c>
      <c r="Z10">
        <v>28.336549638954171</v>
      </c>
      <c r="AA10">
        <v>8.5479886466721808</v>
      </c>
      <c r="AB10">
        <v>34.280172589499351</v>
      </c>
      <c r="AD10">
        <v>6.8989291924682004</v>
      </c>
      <c r="AE10">
        <v>10.687409067030192</v>
      </c>
      <c r="AF10">
        <v>12.128667599268846</v>
      </c>
      <c r="AG10">
        <v>19.610489179425034</v>
      </c>
      <c r="AH10">
        <v>8.5048722345610503</v>
      </c>
      <c r="AI10">
        <v>2.5398241781108712</v>
      </c>
      <c r="AK10">
        <v>48.169880410874427</v>
      </c>
    </row>
    <row r="11" spans="1:47" x14ac:dyDescent="0.2">
      <c r="A11">
        <v>10</v>
      </c>
      <c r="B11">
        <v>747</v>
      </c>
      <c r="C11">
        <v>275</v>
      </c>
      <c r="D11">
        <v>0.29512375631034898</v>
      </c>
      <c r="E11">
        <v>200.32913951955902</v>
      </c>
      <c r="F11">
        <v>59.50953356720823</v>
      </c>
      <c r="G11">
        <v>71.933501881694482</v>
      </c>
      <c r="H11">
        <v>67.310370365989456</v>
      </c>
      <c r="J11">
        <v>54.275075174208787</v>
      </c>
      <c r="L11">
        <v>8.9113537487375467</v>
      </c>
      <c r="M11">
        <v>12.467290912571407</v>
      </c>
      <c r="N11">
        <v>2.5964387974449781</v>
      </c>
      <c r="O11">
        <v>38.147108686485645</v>
      </c>
      <c r="P11">
        <v>12.361715947807605</v>
      </c>
      <c r="R11">
        <v>16.735548913983749</v>
      </c>
      <c r="S11">
        <v>48.954536736468391</v>
      </c>
      <c r="U11">
        <v>0.17774565480809132</v>
      </c>
      <c r="V11">
        <v>47.846434629979193</v>
      </c>
      <c r="W11">
        <v>20.287211300824019</v>
      </c>
      <c r="X11">
        <v>43.834608799153514</v>
      </c>
      <c r="Y11">
        <v>10.116508357376093</v>
      </c>
      <c r="Z11">
        <v>27.776468352903549</v>
      </c>
      <c r="AA11">
        <v>8.278128452541802</v>
      </c>
      <c r="AB11">
        <v>34.263241695673287</v>
      </c>
      <c r="AD11">
        <v>6.5668106447929366</v>
      </c>
      <c r="AE11">
        <v>10.468328051302594</v>
      </c>
      <c r="AF11">
        <v>12.129548719622317</v>
      </c>
      <c r="AG11">
        <v>19.578582910302885</v>
      </c>
      <c r="AH11">
        <v>8.0720792466411346</v>
      </c>
      <c r="AI11">
        <v>2.5414963752045878</v>
      </c>
      <c r="AK11">
        <v>48.011015981777739</v>
      </c>
    </row>
    <row r="12" spans="1:47" x14ac:dyDescent="0.2">
      <c r="A12">
        <v>11</v>
      </c>
      <c r="B12">
        <v>746</v>
      </c>
      <c r="C12">
        <v>275</v>
      </c>
      <c r="D12">
        <v>0.29436344012167098</v>
      </c>
      <c r="E12">
        <v>200.08853727805106</v>
      </c>
      <c r="F12">
        <v>58.380170585368184</v>
      </c>
      <c r="G12">
        <v>71.7482649649791</v>
      </c>
      <c r="H12">
        <v>67.122870369449686</v>
      </c>
      <c r="J12">
        <v>54.074998475704255</v>
      </c>
      <c r="L12">
        <v>8.621742214414823</v>
      </c>
      <c r="M12">
        <v>12.482862005842893</v>
      </c>
      <c r="N12">
        <v>2.5984041322953368</v>
      </c>
      <c r="O12">
        <v>36.928265214880284</v>
      </c>
      <c r="P12">
        <v>12.014774964243964</v>
      </c>
      <c r="R12">
        <v>16.383585747825066</v>
      </c>
      <c r="S12">
        <v>48.732903214516789</v>
      </c>
      <c r="U12">
        <v>0.13987232370361943</v>
      </c>
      <c r="V12">
        <v>47.937025894249444</v>
      </c>
      <c r="W12">
        <v>20.041468893252727</v>
      </c>
      <c r="X12">
        <v>43.760590330258552</v>
      </c>
      <c r="Y12">
        <v>9.7796164873315981</v>
      </c>
      <c r="Z12">
        <v>27.153715951711874</v>
      </c>
      <c r="AA12">
        <v>7.97319135141767</v>
      </c>
      <c r="AB12">
        <v>34.253223685587137</v>
      </c>
      <c r="AD12">
        <v>6.1956095663489599</v>
      </c>
      <c r="AE12">
        <v>10.227637494247883</v>
      </c>
      <c r="AF12">
        <v>12.143996595453594</v>
      </c>
      <c r="AG12">
        <v>19.553590589060541</v>
      </c>
      <c r="AH12">
        <v>7.5820605039958107</v>
      </c>
      <c r="AI12">
        <v>2.5431662135574102</v>
      </c>
      <c r="AK12">
        <v>47.822509580412124</v>
      </c>
    </row>
    <row r="13" spans="1:47" x14ac:dyDescent="0.2">
      <c r="A13">
        <v>12</v>
      </c>
      <c r="B13">
        <v>745</v>
      </c>
      <c r="C13">
        <v>275</v>
      </c>
      <c r="D13">
        <v>0.29360163040809401</v>
      </c>
      <c r="E13">
        <v>199.84297535244738</v>
      </c>
      <c r="F13">
        <v>57.211639893486286</v>
      </c>
      <c r="G13">
        <v>71.55577562147829</v>
      </c>
      <c r="H13">
        <v>66.92813118737314</v>
      </c>
      <c r="J13">
        <v>53.852396003692498</v>
      </c>
      <c r="L13">
        <v>8.3170598898832839</v>
      </c>
      <c r="M13">
        <v>12.502094392403073</v>
      </c>
      <c r="N13">
        <v>2.6003686117079825</v>
      </c>
      <c r="O13">
        <v>35.662363552947951</v>
      </c>
      <c r="P13">
        <v>11.65333624994533</v>
      </c>
      <c r="R13">
        <v>16.007433996153612</v>
      </c>
      <c r="S13">
        <v>48.469020782922854</v>
      </c>
      <c r="U13">
        <v>0.10603217691631336</v>
      </c>
      <c r="V13">
        <v>48.017721725286187</v>
      </c>
      <c r="W13">
        <v>19.798901123096069</v>
      </c>
      <c r="X13">
        <v>43.6985209053136</v>
      </c>
      <c r="Y13">
        <v>9.428319289390318</v>
      </c>
      <c r="Z13">
        <v>26.508703451027781</v>
      </c>
      <c r="AA13">
        <v>7.6549089878659728</v>
      </c>
      <c r="AB13">
        <v>34.224432107045629</v>
      </c>
      <c r="AD13">
        <v>5.8097747881761981</v>
      </c>
      <c r="AE13">
        <v>9.9794504202985088</v>
      </c>
      <c r="AF13">
        <v>12.162105262543195</v>
      </c>
      <c r="AG13">
        <v>19.509826425451642</v>
      </c>
      <c r="AH13">
        <v>7.0704200601570175</v>
      </c>
      <c r="AI13">
        <v>2.5448343471725718</v>
      </c>
      <c r="AK13">
        <v>47.622710107684313</v>
      </c>
    </row>
    <row r="14" spans="1:47" x14ac:dyDescent="0.2">
      <c r="A14">
        <v>13</v>
      </c>
      <c r="B14">
        <v>744</v>
      </c>
      <c r="C14">
        <v>275</v>
      </c>
      <c r="D14">
        <v>0.29283832276459099</v>
      </c>
      <c r="E14">
        <v>199.59118350786918</v>
      </c>
      <c r="F14">
        <v>55.994503573226403</v>
      </c>
      <c r="G14">
        <v>71.354596144527164</v>
      </c>
      <c r="H14">
        <v>66.724715134344507</v>
      </c>
      <c r="J14">
        <v>53.60177314698204</v>
      </c>
      <c r="L14">
        <v>7.9947165530216555</v>
      </c>
      <c r="M14">
        <v>12.525313376813935</v>
      </c>
      <c r="N14">
        <v>2.6023321026644401</v>
      </c>
      <c r="O14">
        <v>34.339471702132656</v>
      </c>
      <c r="P14">
        <v>11.274524281915408</v>
      </c>
      <c r="R14">
        <v>15.603079395518122</v>
      </c>
      <c r="S14">
        <v>48.152407293756042</v>
      </c>
      <c r="U14">
        <v>7.6553413230070241E-2</v>
      </c>
      <c r="V14">
        <v>48.086497608342398</v>
      </c>
      <c r="W14">
        <v>19.559908304517222</v>
      </c>
      <c r="X14">
        <v>43.649376058976593</v>
      </c>
      <c r="Y14">
        <v>9.0597198769707816</v>
      </c>
      <c r="Z14">
        <v>25.835067443010526</v>
      </c>
      <c r="AA14">
        <v>7.3203751860859043</v>
      </c>
      <c r="AB14">
        <v>34.171566701456982</v>
      </c>
      <c r="AD14">
        <v>5.4055310825302598</v>
      </c>
      <c r="AE14">
        <v>9.7211827344891049</v>
      </c>
      <c r="AF14">
        <v>12.184199898173219</v>
      </c>
      <c r="AG14">
        <v>19.441990033987771</v>
      </c>
      <c r="AH14">
        <v>6.5326906713852031</v>
      </c>
      <c r="AI14">
        <v>2.5465006411909559</v>
      </c>
      <c r="AK14">
        <v>47.40885999205819</v>
      </c>
    </row>
    <row r="15" spans="1:47" x14ac:dyDescent="0.2">
      <c r="A15">
        <v>14</v>
      </c>
      <c r="B15">
        <v>743</v>
      </c>
      <c r="C15">
        <v>275</v>
      </c>
      <c r="D15">
        <v>0.29207351276878402</v>
      </c>
      <c r="E15">
        <v>199.33128551364973</v>
      </c>
      <c r="F15">
        <v>54.71476477061271</v>
      </c>
      <c r="G15">
        <v>71.142622176153338</v>
      </c>
      <c r="H15">
        <v>66.510517873681835</v>
      </c>
      <c r="J15">
        <v>53.315250026164868</v>
      </c>
      <c r="L15">
        <v>7.6506869409040776</v>
      </c>
      <c r="M15">
        <v>12.552904541041512</v>
      </c>
      <c r="N15">
        <v>2.6042944201608575</v>
      </c>
      <c r="O15">
        <v>32.944998136295695</v>
      </c>
      <c r="P15">
        <v>10.874130182623318</v>
      </c>
      <c r="R15">
        <v>15.164601413688684</v>
      </c>
      <c r="S15">
        <v>47.768644216211761</v>
      </c>
      <c r="U15">
        <v>5.1854734277605133E-2</v>
      </c>
      <c r="V15">
        <v>48.140686985908275</v>
      </c>
      <c r="W15">
        <v>19.325012323904151</v>
      </c>
      <c r="X15">
        <v>43.614397058427905</v>
      </c>
      <c r="Y15">
        <v>8.6695743859073158</v>
      </c>
      <c r="Z15">
        <v>25.123220986252193</v>
      </c>
      <c r="AA15">
        <v>6.9656583342931411</v>
      </c>
      <c r="AB15">
        <v>34.087269434707551</v>
      </c>
      <c r="AD15">
        <v>4.9772176702848965</v>
      </c>
      <c r="AE15">
        <v>9.4489034555632507</v>
      </c>
      <c r="AF15">
        <v>12.210665905061063</v>
      </c>
      <c r="AG15">
        <v>19.342723201698718</v>
      </c>
      <c r="AH15">
        <v>5.9622934665957157</v>
      </c>
      <c r="AI15">
        <v>2.5481649087688805</v>
      </c>
      <c r="AK15">
        <v>47.176848463507547</v>
      </c>
    </row>
    <row r="16" spans="1:47" x14ac:dyDescent="0.2">
      <c r="A16">
        <v>15</v>
      </c>
      <c r="B16">
        <v>742</v>
      </c>
      <c r="C16">
        <v>275</v>
      </c>
      <c r="D16">
        <v>0.291307195980888</v>
      </c>
      <c r="E16">
        <v>199.06028115879653</v>
      </c>
      <c r="F16">
        <v>53.349972837269426</v>
      </c>
      <c r="G16">
        <v>70.916515529594136</v>
      </c>
      <c r="H16">
        <v>66.282201239957232</v>
      </c>
      <c r="J16">
        <v>52.98054812775942</v>
      </c>
      <c r="L16">
        <v>7.2784793789528086</v>
      </c>
      <c r="M16">
        <v>12.585347768352174</v>
      </c>
      <c r="N16">
        <v>2.6062552864250366</v>
      </c>
      <c r="O16">
        <v>31.455728049232572</v>
      </c>
      <c r="P16">
        <v>10.445477324259176</v>
      </c>
      <c r="R16">
        <v>14.682507680312918</v>
      </c>
      <c r="S16">
        <v>47.296114099353339</v>
      </c>
      <c r="U16">
        <v>3.2511432328228576E-2</v>
      </c>
      <c r="V16">
        <v>48.176434376331073</v>
      </c>
      <c r="W16">
        <v>19.094944489074006</v>
      </c>
      <c r="X16">
        <v>43.59528308870005</v>
      </c>
      <c r="Y16">
        <v>8.2511463029792385</v>
      </c>
      <c r="Z16">
        <v>24.35758964557515</v>
      </c>
      <c r="AA16">
        <v>6.5841764680460182</v>
      </c>
      <c r="AB16">
        <v>33.9604193976364</v>
      </c>
      <c r="AD16">
        <v>4.5156750113023634</v>
      </c>
      <c r="AE16">
        <v>9.1561774403141012</v>
      </c>
      <c r="AF16">
        <v>12.241982894463115</v>
      </c>
      <c r="AG16">
        <v>19.200904747812871</v>
      </c>
      <c r="AH16">
        <v>5.3487391793235117</v>
      </c>
      <c r="AI16">
        <v>2.5498268702929243</v>
      </c>
      <c r="AK16">
        <v>46.920051931131816</v>
      </c>
    </row>
    <row r="17" spans="1:37" x14ac:dyDescent="0.2">
      <c r="A17">
        <v>16</v>
      </c>
      <c r="B17">
        <v>741</v>
      </c>
      <c r="C17">
        <v>275</v>
      </c>
      <c r="D17">
        <v>0.29053936794360102</v>
      </c>
      <c r="E17">
        <v>198.7728459638659</v>
      </c>
      <c r="F17">
        <v>51.860188051460199</v>
      </c>
      <c r="G17">
        <v>70.67039667057584</v>
      </c>
      <c r="H17">
        <v>66.033885720271741</v>
      </c>
      <c r="J17">
        <v>52.576302647888689</v>
      </c>
      <c r="L17">
        <v>6.8667837531317382</v>
      </c>
      <c r="M17">
        <v>12.62326938899564</v>
      </c>
      <c r="N17">
        <v>2.6082142383731255</v>
      </c>
      <c r="O17">
        <v>29.830667068962484</v>
      </c>
      <c r="P17">
        <v>9.9768061987405758</v>
      </c>
      <c r="R17">
        <v>14.139863605088165</v>
      </c>
      <c r="S17">
        <v>46.698384662170959</v>
      </c>
      <c r="U17">
        <v>1.9388707508057979E-2</v>
      </c>
      <c r="V17">
        <v>48.187408644734461</v>
      </c>
      <c r="W17">
        <v>18.87085476131767</v>
      </c>
      <c r="X17">
        <v>43.594576852094875</v>
      </c>
      <c r="Y17">
        <v>7.7925635801185731</v>
      </c>
      <c r="Z17">
        <v>23.510158590670766</v>
      </c>
      <c r="AA17">
        <v>6.1646794930887259</v>
      </c>
      <c r="AB17">
        <v>33.772137330213639</v>
      </c>
      <c r="AD17">
        <v>4.0044846199579407</v>
      </c>
      <c r="AE17">
        <v>8.8313534221210404</v>
      </c>
      <c r="AF17">
        <v>12.278776739323163</v>
      </c>
      <c r="AG17">
        <v>18.997654955400016</v>
      </c>
      <c r="AH17">
        <v>4.6734667544650987</v>
      </c>
      <c r="AI17">
        <v>2.5514860608390588</v>
      </c>
      <c r="AK17">
        <v>46.626636747902438</v>
      </c>
    </row>
    <row r="18" spans="1:37" x14ac:dyDescent="0.2">
      <c r="A18">
        <v>17</v>
      </c>
      <c r="B18">
        <v>740</v>
      </c>
      <c r="C18">
        <v>275</v>
      </c>
      <c r="D18">
        <v>0.28977002418201098</v>
      </c>
      <c r="E18">
        <v>198.45799085443039</v>
      </c>
      <c r="F18">
        <v>50.162797587529184</v>
      </c>
      <c r="G18">
        <v>70.392230949760318</v>
      </c>
      <c r="H18">
        <v>65.753536686704393</v>
      </c>
      <c r="J18">
        <v>52.058976500608928</v>
      </c>
      <c r="L18">
        <v>6.3922182240525034</v>
      </c>
      <c r="M18">
        <v>12.667492879378415</v>
      </c>
      <c r="N18">
        <v>2.6101703768025852</v>
      </c>
      <c r="O18">
        <v>27.985663477511704</v>
      </c>
      <c r="P18">
        <v>9.444046631805822</v>
      </c>
      <c r="R18">
        <v>13.501499966503822</v>
      </c>
      <c r="S18">
        <v>45.902979075909244</v>
      </c>
      <c r="U18">
        <v>1.3941498684199189E-2</v>
      </c>
      <c r="V18">
        <v>48.161202790095359</v>
      </c>
      <c r="W18">
        <v>18.654911024941313</v>
      </c>
      <c r="X18">
        <v>43.616523000176493</v>
      </c>
      <c r="Y18">
        <v>7.2695074129754422</v>
      </c>
      <c r="Z18">
        <v>22.522331695384629</v>
      </c>
      <c r="AA18">
        <v>5.6836922955667397</v>
      </c>
      <c r="AB18">
        <v>33.484583003318015</v>
      </c>
      <c r="AD18">
        <v>3.4094213360827634</v>
      </c>
      <c r="AE18">
        <v>8.4499024377296568</v>
      </c>
      <c r="AF18">
        <v>12.321870022635091</v>
      </c>
      <c r="AG18">
        <v>18.6951327023407</v>
      </c>
      <c r="AH18">
        <v>3.8982870962584402</v>
      </c>
      <c r="AI18">
        <v>2.5531415793641008</v>
      </c>
      <c r="AK18">
        <v>46.272015648176144</v>
      </c>
    </row>
    <row r="19" spans="1:37" x14ac:dyDescent="0.2">
      <c r="A19">
        <v>18</v>
      </c>
      <c r="B19">
        <v>739</v>
      </c>
      <c r="C19">
        <v>275</v>
      </c>
      <c r="D19">
        <v>0.28899916020352701</v>
      </c>
      <c r="E19">
        <v>197.54567394323581</v>
      </c>
      <c r="F19">
        <v>44.058175815756087</v>
      </c>
      <c r="G19">
        <v>69.508014211440269</v>
      </c>
      <c r="H19">
        <v>64.867150005009293</v>
      </c>
      <c r="J19">
        <v>49.500039086545236</v>
      </c>
      <c r="L19">
        <v>4.7376652970182516</v>
      </c>
      <c r="M19">
        <v>12.678966850810955</v>
      </c>
      <c r="N19">
        <v>2.6120917479375096</v>
      </c>
      <c r="O19">
        <v>21.825854811289918</v>
      </c>
      <c r="P19">
        <v>7.6991583819478322</v>
      </c>
      <c r="R19">
        <v>11.112559352802586</v>
      </c>
      <c r="S19">
        <v>42.328293157086293</v>
      </c>
      <c r="V19">
        <v>47.835024344548145</v>
      </c>
      <c r="W19">
        <v>18.555024684368583</v>
      </c>
      <c r="X19">
        <v>43.615450724045623</v>
      </c>
      <c r="Y19">
        <v>5.5159642316498516</v>
      </c>
      <c r="Z19">
        <v>18.293142670911607</v>
      </c>
      <c r="AA19">
        <v>4.0159743391094382</v>
      </c>
      <c r="AB19">
        <v>31.661746814731821</v>
      </c>
      <c r="AD19">
        <v>0.9512895466768122</v>
      </c>
      <c r="AE19">
        <v>6.6743589736079016</v>
      </c>
      <c r="AF19">
        <v>12.332179407737797</v>
      </c>
      <c r="AG19">
        <v>16.857296438864061</v>
      </c>
      <c r="AH19">
        <v>1.157690709981833</v>
      </c>
      <c r="AI19">
        <v>2.5547614702513859</v>
      </c>
      <c r="AK19">
        <v>44.603360316365212</v>
      </c>
    </row>
    <row r="20" spans="1:37" x14ac:dyDescent="0.2">
      <c r="A20">
        <v>19</v>
      </c>
      <c r="B20">
        <v>738</v>
      </c>
      <c r="C20">
        <v>275</v>
      </c>
      <c r="D20">
        <v>0.28822677149780002</v>
      </c>
      <c r="E20">
        <v>197.3653636219432</v>
      </c>
      <c r="F20">
        <v>43.220384901316251</v>
      </c>
      <c r="G20">
        <v>69.43715674466273</v>
      </c>
      <c r="H20">
        <v>64.794135985734457</v>
      </c>
      <c r="J20">
        <v>39.636665327855994</v>
      </c>
      <c r="L20">
        <v>3.0595764336152316</v>
      </c>
      <c r="M20">
        <v>12.878114764575885</v>
      </c>
      <c r="N20">
        <v>2.6140547143106949</v>
      </c>
      <c r="O20">
        <v>12.198651512352637</v>
      </c>
      <c r="P20">
        <v>7.5810384135426183</v>
      </c>
      <c r="R20">
        <v>9.4244278886265356</v>
      </c>
      <c r="S20">
        <v>37.287260565280278</v>
      </c>
      <c r="V20">
        <v>47.19729747818721</v>
      </c>
      <c r="W20">
        <v>18.665454589173262</v>
      </c>
      <c r="X20">
        <v>43.649679544494113</v>
      </c>
      <c r="Y20">
        <v>4.3204991152996692</v>
      </c>
      <c r="Z20">
        <v>17.453203175620413</v>
      </c>
      <c r="AA20">
        <v>1.9584775691087415</v>
      </c>
      <c r="AB20">
        <v>30.837854110589564</v>
      </c>
      <c r="AE20">
        <v>6.2614647863110449</v>
      </c>
      <c r="AF20">
        <v>12.530204724265378</v>
      </c>
      <c r="AG20">
        <v>16.018447879880764</v>
      </c>
      <c r="AI20">
        <v>2.5564220941938829</v>
      </c>
      <c r="AK20">
        <v>38.186267452921925</v>
      </c>
    </row>
    <row r="21" spans="1:37" x14ac:dyDescent="0.2">
      <c r="A21">
        <v>20</v>
      </c>
      <c r="B21">
        <v>737</v>
      </c>
      <c r="C21">
        <v>275</v>
      </c>
      <c r="D21">
        <v>0.28745285353660599</v>
      </c>
      <c r="E21">
        <v>197.22831429324597</v>
      </c>
      <c r="F21">
        <v>43.251311582581259</v>
      </c>
      <c r="G21">
        <v>69.420209146549752</v>
      </c>
      <c r="H21">
        <v>64.77504524754761</v>
      </c>
      <c r="J21">
        <v>33.704124152716744</v>
      </c>
      <c r="L21">
        <v>1.8302499691984375</v>
      </c>
      <c r="M21">
        <v>13.09866137232193</v>
      </c>
      <c r="N21">
        <v>2.6160189145031705</v>
      </c>
      <c r="O21">
        <v>5.7467113527756686</v>
      </c>
      <c r="P21">
        <v>7.5707475832319613</v>
      </c>
      <c r="R21">
        <v>8.3246854371148746</v>
      </c>
      <c r="S21">
        <v>33.408544099860762</v>
      </c>
      <c r="V21">
        <v>46.588901785560353</v>
      </c>
      <c r="W21">
        <v>18.797482289638669</v>
      </c>
      <c r="X21">
        <v>43.684066174983059</v>
      </c>
      <c r="Y21">
        <v>3.3851632993882821</v>
      </c>
      <c r="Z21">
        <v>17.813265503120668</v>
      </c>
      <c r="AA21">
        <v>0.53456521944705304</v>
      </c>
      <c r="AB21">
        <v>30.617216409976443</v>
      </c>
      <c r="AE21">
        <v>6.4690267070654235</v>
      </c>
      <c r="AF21">
        <v>12.749630368274518</v>
      </c>
      <c r="AG21">
        <v>15.782858189319828</v>
      </c>
      <c r="AI21">
        <v>2.5580830879317449</v>
      </c>
      <c r="AK21">
        <v>34.395428304140673</v>
      </c>
    </row>
    <row r="22" spans="1:37" x14ac:dyDescent="0.2">
      <c r="A22">
        <v>21</v>
      </c>
      <c r="B22">
        <v>736</v>
      </c>
      <c r="C22">
        <v>275</v>
      </c>
      <c r="D22">
        <v>0.28667740177377199</v>
      </c>
      <c r="E22">
        <v>197.0535618156448</v>
      </c>
      <c r="F22">
        <v>43.062280769033705</v>
      </c>
      <c r="G22">
        <v>69.390652375150651</v>
      </c>
      <c r="H22">
        <v>64.743358770085223</v>
      </c>
      <c r="J22">
        <v>28.932416300853543</v>
      </c>
      <c r="L22">
        <v>1.6413544968654024</v>
      </c>
      <c r="M22">
        <v>13.369544991313983</v>
      </c>
      <c r="N22">
        <v>2.6179770866062064</v>
      </c>
      <c r="O22">
        <v>4.7600116055318171</v>
      </c>
      <c r="P22">
        <v>7.5352405690875273</v>
      </c>
      <c r="R22">
        <v>8.2950669404732515</v>
      </c>
      <c r="S22">
        <v>32.246037775908761</v>
      </c>
      <c r="V22">
        <v>46.044594718089797</v>
      </c>
      <c r="W22">
        <v>18.980056266761682</v>
      </c>
      <c r="X22">
        <v>43.718690040248433</v>
      </c>
      <c r="Y22">
        <v>3.0275869424655699</v>
      </c>
      <c r="Z22">
        <v>17.989472426234698</v>
      </c>
      <c r="AB22">
        <v>30.243534542486618</v>
      </c>
      <c r="AE22">
        <v>6.569869544701783</v>
      </c>
      <c r="AF22">
        <v>13.019387400964389</v>
      </c>
      <c r="AG22">
        <v>15.394220941152762</v>
      </c>
      <c r="AI22">
        <v>2.5597371877157165</v>
      </c>
      <c r="AK22">
        <v>31.393887179686914</v>
      </c>
    </row>
    <row r="23" spans="1:37" x14ac:dyDescent="0.2">
      <c r="A23">
        <v>22</v>
      </c>
      <c r="B23">
        <v>735</v>
      </c>
      <c r="C23">
        <v>275</v>
      </c>
      <c r="D23">
        <v>0.285900411645091</v>
      </c>
      <c r="E23">
        <v>196.87863991299335</v>
      </c>
      <c r="F23">
        <v>42.841647611761807</v>
      </c>
      <c r="G23">
        <v>69.36024189698179</v>
      </c>
      <c r="H23">
        <v>64.710832041494029</v>
      </c>
      <c r="J23">
        <v>25.486137652037726</v>
      </c>
      <c r="L23">
        <v>1.6323163707578241</v>
      </c>
      <c r="M23">
        <v>13.639195653597632</v>
      </c>
      <c r="N23">
        <v>2.6199343795757728</v>
      </c>
      <c r="O23">
        <v>4.6656600819191771</v>
      </c>
      <c r="P23">
        <v>7.4980334770501136</v>
      </c>
      <c r="R23">
        <v>8.4362698116732471</v>
      </c>
      <c r="S23">
        <v>31.56566032074431</v>
      </c>
      <c r="V23">
        <v>45.524958428663233</v>
      </c>
      <c r="W23">
        <v>19.161604132354093</v>
      </c>
      <c r="X23">
        <v>43.753525099944532</v>
      </c>
      <c r="Y23">
        <v>2.7876323138941741</v>
      </c>
      <c r="Z23">
        <v>18.116664794591344</v>
      </c>
      <c r="AB23">
        <v>29.846206444563428</v>
      </c>
      <c r="AE23">
        <v>6.6420042716814356</v>
      </c>
      <c r="AF23">
        <v>13.287911009194909</v>
      </c>
      <c r="AG23">
        <v>14.981939227081012</v>
      </c>
      <c r="AI23">
        <v>2.5613895406619398</v>
      </c>
      <c r="AK23">
        <v>29.274244031229291</v>
      </c>
    </row>
    <row r="24" spans="1:37" x14ac:dyDescent="0.2">
      <c r="A24">
        <v>23</v>
      </c>
      <c r="B24">
        <v>756</v>
      </c>
      <c r="C24">
        <v>250</v>
      </c>
      <c r="D24">
        <v>0.32862119224602798</v>
      </c>
      <c r="E24">
        <v>186.91841758365186</v>
      </c>
      <c r="F24">
        <v>63.052696393206389</v>
      </c>
      <c r="G24">
        <v>72.599101237283662</v>
      </c>
      <c r="H24">
        <v>67.995752683612622</v>
      </c>
      <c r="J24">
        <v>54.526679937105072</v>
      </c>
      <c r="L24">
        <v>9.7607907153985209</v>
      </c>
      <c r="M24">
        <v>13.030771358482365</v>
      </c>
      <c r="N24">
        <v>2.4941671501146754</v>
      </c>
      <c r="O24">
        <v>42.510504248978826</v>
      </c>
      <c r="P24">
        <v>13.255698598438331</v>
      </c>
      <c r="Q24">
        <v>0.17080358532989928</v>
      </c>
      <c r="R24">
        <v>18.895508401710437</v>
      </c>
      <c r="S24">
        <v>52.555662946464977</v>
      </c>
      <c r="U24">
        <v>0.750555853732367</v>
      </c>
      <c r="V24">
        <v>48.182996820859636</v>
      </c>
      <c r="W24">
        <v>22.836748775202494</v>
      </c>
      <c r="X24">
        <v>44.167614710604411</v>
      </c>
      <c r="Y24">
        <v>10.950429826842031</v>
      </c>
      <c r="Z24">
        <v>30.125098525105987</v>
      </c>
      <c r="AA24">
        <v>9.1919821903639534</v>
      </c>
      <c r="AB24">
        <v>35.670622059653589</v>
      </c>
      <c r="AC24">
        <v>6.8194002597715877E-3</v>
      </c>
      <c r="AD24">
        <v>7.9025940823386396</v>
      </c>
      <c r="AE24">
        <v>11.673643656582348</v>
      </c>
      <c r="AF24">
        <v>12.695641820809016</v>
      </c>
      <c r="AG24">
        <v>21.144336070038221</v>
      </c>
      <c r="AH24">
        <v>9.1314875637412065</v>
      </c>
      <c r="AI24">
        <v>2.4386389969972782</v>
      </c>
      <c r="AK24">
        <v>47.808913119147682</v>
      </c>
    </row>
    <row r="25" spans="1:37" x14ac:dyDescent="0.2">
      <c r="A25">
        <v>24</v>
      </c>
      <c r="B25">
        <v>755</v>
      </c>
      <c r="C25">
        <v>250</v>
      </c>
      <c r="D25">
        <v>0.32790011185138401</v>
      </c>
      <c r="E25">
        <v>186.81173697322214</v>
      </c>
      <c r="F25">
        <v>62.722568310064865</v>
      </c>
      <c r="G25">
        <v>72.543461490922709</v>
      </c>
      <c r="H25">
        <v>67.937721472434802</v>
      </c>
      <c r="J25">
        <v>54.47562415442566</v>
      </c>
      <c r="L25">
        <v>9.6784855814391051</v>
      </c>
      <c r="M25">
        <v>12.978091237074986</v>
      </c>
      <c r="N25">
        <v>2.4891090674919609</v>
      </c>
      <c r="O25">
        <v>42.121346375153152</v>
      </c>
      <c r="P25">
        <v>13.160847968235547</v>
      </c>
      <c r="Q25">
        <v>0.11300746215084917</v>
      </c>
      <c r="R25">
        <v>18.700388916516381</v>
      </c>
      <c r="S25">
        <v>52.1663856913882</v>
      </c>
      <c r="U25">
        <v>0.68383480919211992</v>
      </c>
      <c r="V25">
        <v>48.09689179394806</v>
      </c>
      <c r="W25">
        <v>22.657846637880318</v>
      </c>
      <c r="X25">
        <v>44.008852856578727</v>
      </c>
      <c r="Y25">
        <v>10.865217147062857</v>
      </c>
      <c r="Z25">
        <v>29.940207149512116</v>
      </c>
      <c r="AA25">
        <v>9.1071907558677196</v>
      </c>
      <c r="AB25">
        <v>35.54212249736495</v>
      </c>
      <c r="AD25">
        <v>7.7983646180468389</v>
      </c>
      <c r="AE25">
        <v>11.589750010400904</v>
      </c>
      <c r="AF25">
        <v>12.63480863882732</v>
      </c>
      <c r="AG25">
        <v>20.993848700784692</v>
      </c>
      <c r="AH25">
        <v>9.016574876269198</v>
      </c>
      <c r="AI25">
        <v>2.4332941065268892</v>
      </c>
      <c r="AK25">
        <v>47.812172147316076</v>
      </c>
    </row>
    <row r="26" spans="1:37" x14ac:dyDescent="0.2">
      <c r="A26">
        <v>25</v>
      </c>
      <c r="B26">
        <v>754</v>
      </c>
      <c r="C26">
        <v>250</v>
      </c>
      <c r="D26">
        <v>0.32717762741566497</v>
      </c>
      <c r="E26">
        <v>186.69012258759051</v>
      </c>
      <c r="F26">
        <v>62.339554325406112</v>
      </c>
      <c r="G26">
        <v>72.480412133244798</v>
      </c>
      <c r="H26">
        <v>67.872293704167944</v>
      </c>
      <c r="J26">
        <v>54.394480076818667</v>
      </c>
      <c r="L26">
        <v>9.589182284738337</v>
      </c>
      <c r="M26">
        <v>12.903178571403782</v>
      </c>
      <c r="N26">
        <v>2.491085027369905</v>
      </c>
      <c r="O26">
        <v>41.717647516465476</v>
      </c>
      <c r="P26">
        <v>13.058219925801916</v>
      </c>
      <c r="Q26">
        <v>4.0100636170043259E-2</v>
      </c>
      <c r="R26">
        <v>18.471630546659362</v>
      </c>
      <c r="S26">
        <v>51.671731944520587</v>
      </c>
      <c r="U26">
        <v>0.5983525478517544</v>
      </c>
      <c r="V26">
        <v>47.976334242035982</v>
      </c>
      <c r="W26">
        <v>22.435743813110346</v>
      </c>
      <c r="X26">
        <v>43.786090001377808</v>
      </c>
      <c r="Y26">
        <v>10.770305383179247</v>
      </c>
      <c r="Z26">
        <v>29.719833247780514</v>
      </c>
      <c r="AA26">
        <v>9.0154822172526625</v>
      </c>
      <c r="AB26">
        <v>35.371391536730883</v>
      </c>
      <c r="AD26">
        <v>7.6722317432837643</v>
      </c>
      <c r="AE26">
        <v>11.490991874092616</v>
      </c>
      <c r="AF26">
        <v>12.558777263455001</v>
      </c>
      <c r="AG26">
        <v>20.808166502964994</v>
      </c>
      <c r="AH26">
        <v>8.8771614251861308</v>
      </c>
      <c r="AI26">
        <v>2.4349824258156603</v>
      </c>
      <c r="AK26">
        <v>47.804458888990027</v>
      </c>
    </row>
    <row r="27" spans="1:37" x14ac:dyDescent="0.2">
      <c r="A27">
        <v>26</v>
      </c>
      <c r="B27">
        <v>753</v>
      </c>
      <c r="C27">
        <v>250</v>
      </c>
      <c r="D27">
        <v>0.32645373483409301</v>
      </c>
      <c r="E27">
        <v>186.51687083408683</v>
      </c>
      <c r="F27">
        <v>61.634240023699029</v>
      </c>
      <c r="G27">
        <v>72.364990115426139</v>
      </c>
      <c r="H27">
        <v>67.754506350867103</v>
      </c>
      <c r="J27">
        <v>54.268277280027306</v>
      </c>
      <c r="L27">
        <v>9.4152781481781833</v>
      </c>
      <c r="M27">
        <v>12.867944117412492</v>
      </c>
      <c r="N27">
        <v>2.49305801046197</v>
      </c>
      <c r="O27">
        <v>40.962823447464309</v>
      </c>
      <c r="P27">
        <v>12.850851376983067</v>
      </c>
      <c r="R27">
        <v>18.197025167745842</v>
      </c>
      <c r="S27">
        <v>51.316905209514616</v>
      </c>
      <c r="U27">
        <v>0.53300553546742391</v>
      </c>
      <c r="V27">
        <v>47.955257560637563</v>
      </c>
      <c r="W27">
        <v>22.200403762355915</v>
      </c>
      <c r="X27">
        <v>43.62693167543619</v>
      </c>
      <c r="Y27">
        <v>10.57160945111179</v>
      </c>
      <c r="Z27">
        <v>29.32551218358774</v>
      </c>
      <c r="AA27">
        <v>8.8327355372406302</v>
      </c>
      <c r="AB27">
        <v>35.279979112553953</v>
      </c>
      <c r="AD27">
        <v>7.4412672225377197</v>
      </c>
      <c r="AE27">
        <v>11.330325171069134</v>
      </c>
      <c r="AF27">
        <v>12.522421436970493</v>
      </c>
      <c r="AG27">
        <v>20.701802398046325</v>
      </c>
      <c r="AH27">
        <v>8.588213136837533</v>
      </c>
      <c r="AI27">
        <v>2.4366669337373428</v>
      </c>
      <c r="AK27">
        <v>47.719595792560987</v>
      </c>
    </row>
    <row r="28" spans="1:37" x14ac:dyDescent="0.2">
      <c r="A28">
        <v>27</v>
      </c>
      <c r="B28">
        <v>752</v>
      </c>
      <c r="C28">
        <v>250</v>
      </c>
      <c r="D28">
        <v>0.32572842998585799</v>
      </c>
      <c r="E28">
        <v>186.28066943846972</v>
      </c>
      <c r="F28">
        <v>60.531349790604224</v>
      </c>
      <c r="G28">
        <v>72.184299119686841</v>
      </c>
      <c r="H28">
        <v>67.571463115674106</v>
      </c>
      <c r="J28">
        <v>54.077396066078101</v>
      </c>
      <c r="L28">
        <v>9.1338641083295755</v>
      </c>
      <c r="M28">
        <v>12.881318471319096</v>
      </c>
      <c r="N28">
        <v>2.4950271309913288</v>
      </c>
      <c r="O28">
        <v>39.771580714887797</v>
      </c>
      <c r="P28">
        <v>12.512948823286903</v>
      </c>
      <c r="R28">
        <v>17.854721832644021</v>
      </c>
      <c r="S28">
        <v>51.103159282070969</v>
      </c>
      <c r="U28">
        <v>0.49376793761781651</v>
      </c>
      <c r="V28">
        <v>48.045046611732047</v>
      </c>
      <c r="W28">
        <v>21.951281971901427</v>
      </c>
      <c r="X28">
        <v>43.549566823055891</v>
      </c>
      <c r="Y28">
        <v>10.243574521848799</v>
      </c>
      <c r="Z28">
        <v>28.716656975377479</v>
      </c>
      <c r="AA28">
        <v>8.5359661789166719</v>
      </c>
      <c r="AB28">
        <v>35.27179973669358</v>
      </c>
      <c r="AD28">
        <v>7.0801750337847231</v>
      </c>
      <c r="AE28">
        <v>11.093789528819974</v>
      </c>
      <c r="AF28">
        <v>12.534670875453527</v>
      </c>
      <c r="AG28">
        <v>20.678670018081867</v>
      </c>
      <c r="AH28">
        <v>8.1125063918886049</v>
      </c>
      <c r="AI28">
        <v>2.4383467426764462</v>
      </c>
      <c r="AK28">
        <v>47.538545129238791</v>
      </c>
    </row>
    <row r="29" spans="1:37" x14ac:dyDescent="0.2">
      <c r="A29">
        <v>28</v>
      </c>
      <c r="B29">
        <v>751</v>
      </c>
      <c r="C29">
        <v>250</v>
      </c>
      <c r="D29">
        <v>0.32500170873407402</v>
      </c>
      <c r="E29">
        <v>186.040911188319</v>
      </c>
      <c r="F29">
        <v>59.398907302594651</v>
      </c>
      <c r="G29">
        <v>71.997889955035092</v>
      </c>
      <c r="H29">
        <v>67.382714828555621</v>
      </c>
      <c r="J29">
        <v>53.868719343823933</v>
      </c>
      <c r="L29">
        <v>8.8403877769374457</v>
      </c>
      <c r="M29">
        <v>12.897867815706235</v>
      </c>
      <c r="N29">
        <v>2.496995529008434</v>
      </c>
      <c r="O29">
        <v>38.543549839334176</v>
      </c>
      <c r="P29">
        <v>12.163617045683324</v>
      </c>
      <c r="R29">
        <v>17.492242057457553</v>
      </c>
      <c r="S29">
        <v>50.85412550189951</v>
      </c>
      <c r="U29">
        <v>0.45819008594608823</v>
      </c>
      <c r="V29">
        <v>48.126028679378898</v>
      </c>
      <c r="W29">
        <v>21.705093787089634</v>
      </c>
      <c r="X29">
        <v>43.48304748040966</v>
      </c>
      <c r="Y29">
        <v>9.9041868732415033</v>
      </c>
      <c r="Z29">
        <v>28.091332084656347</v>
      </c>
      <c r="AA29">
        <v>8.2286825127626209</v>
      </c>
      <c r="AB29">
        <v>35.24799177103521</v>
      </c>
      <c r="AD29">
        <v>6.7079490852792736</v>
      </c>
      <c r="AE29">
        <v>10.851964309880753</v>
      </c>
      <c r="AF29">
        <v>12.55009490718543</v>
      </c>
      <c r="AG29">
        <v>20.639910870994989</v>
      </c>
      <c r="AH29">
        <v>7.6197679846741568</v>
      </c>
      <c r="AI29">
        <v>2.4400249908435958</v>
      </c>
      <c r="AK29">
        <v>47.349041527759447</v>
      </c>
    </row>
    <row r="30" spans="1:37" x14ac:dyDescent="0.2">
      <c r="A30">
        <v>29</v>
      </c>
      <c r="B30">
        <v>750</v>
      </c>
      <c r="C30">
        <v>250</v>
      </c>
      <c r="D30">
        <v>0.324273566925672</v>
      </c>
      <c r="E30">
        <v>185.79684149698508</v>
      </c>
      <c r="F30">
        <v>58.231287393307213</v>
      </c>
      <c r="G30">
        <v>71.804903734866912</v>
      </c>
      <c r="H30">
        <v>67.187402623910842</v>
      </c>
      <c r="J30">
        <v>53.638739192819166</v>
      </c>
      <c r="L30">
        <v>8.5331806410741269</v>
      </c>
      <c r="M30">
        <v>12.917810662840546</v>
      </c>
      <c r="N30">
        <v>2.4989631200821423</v>
      </c>
      <c r="O30">
        <v>37.2727877671092</v>
      </c>
      <c r="P30">
        <v>11.801138209503401</v>
      </c>
      <c r="R30">
        <v>17.10720947409817</v>
      </c>
      <c r="S30">
        <v>50.562636530751739</v>
      </c>
      <c r="U30">
        <v>0.42648432696262129</v>
      </c>
      <c r="V30">
        <v>48.196740323414495</v>
      </c>
      <c r="W30">
        <v>21.462140776140501</v>
      </c>
      <c r="X30">
        <v>43.428007269932834</v>
      </c>
      <c r="Y30">
        <v>9.5517131440836369</v>
      </c>
      <c r="Z30">
        <v>27.445758189236809</v>
      </c>
      <c r="AA30">
        <v>7.9090778264743564</v>
      </c>
      <c r="AB30">
        <v>35.204923569249765</v>
      </c>
      <c r="AD30">
        <v>6.3223443467618612</v>
      </c>
      <c r="AE30">
        <v>10.603310318099114</v>
      </c>
      <c r="AF30">
        <v>12.568911965662748</v>
      </c>
      <c r="AG30">
        <v>20.581893232033668</v>
      </c>
      <c r="AH30">
        <v>7.1073363588298299</v>
      </c>
      <c r="AI30">
        <v>2.4417015919679361</v>
      </c>
      <c r="AK30">
        <v>47.149443955185049</v>
      </c>
    </row>
    <row r="31" spans="1:37" x14ac:dyDescent="0.2">
      <c r="A31">
        <v>30</v>
      </c>
      <c r="B31">
        <v>749</v>
      </c>
      <c r="C31">
        <v>250</v>
      </c>
      <c r="D31">
        <v>0.32354400039133302</v>
      </c>
      <c r="E31">
        <v>185.54743677710431</v>
      </c>
      <c r="F31">
        <v>57.020828639384725</v>
      </c>
      <c r="G31">
        <v>71.604186554015314</v>
      </c>
      <c r="H31">
        <v>66.98437261761508</v>
      </c>
      <c r="J31">
        <v>53.382867607497495</v>
      </c>
      <c r="L31">
        <v>8.2100427065166812</v>
      </c>
      <c r="M31">
        <v>12.941388567678915</v>
      </c>
      <c r="N31">
        <v>2.5009297965732169</v>
      </c>
      <c r="O31">
        <v>35.951280340732282</v>
      </c>
      <c r="P31">
        <v>11.423204419809903</v>
      </c>
      <c r="R31">
        <v>16.696413142039081</v>
      </c>
      <c r="S31">
        <v>50.219729523801753</v>
      </c>
      <c r="U31">
        <v>0.39890047197440526</v>
      </c>
      <c r="V31">
        <v>48.255430261305882</v>
      </c>
      <c r="W31">
        <v>21.222786923847398</v>
      </c>
      <c r="X31">
        <v>43.38518993881388</v>
      </c>
      <c r="Y31">
        <v>9.1838224662524812</v>
      </c>
      <c r="Z31">
        <v>26.77470305778748</v>
      </c>
      <c r="AA31">
        <v>7.575048477662043</v>
      </c>
      <c r="AB31">
        <v>35.138014164914225</v>
      </c>
      <c r="AD31">
        <v>5.9202672028328989</v>
      </c>
      <c r="AE31">
        <v>10.345675203748408</v>
      </c>
      <c r="AF31">
        <v>12.591363503878137</v>
      </c>
      <c r="AG31">
        <v>20.500036033162928</v>
      </c>
      <c r="AH31">
        <v>6.5716127217407561</v>
      </c>
      <c r="AI31">
        <v>2.4433764365705195</v>
      </c>
      <c r="AK31">
        <v>46.937503384982399</v>
      </c>
    </row>
    <row r="32" spans="1:37" x14ac:dyDescent="0.2">
      <c r="A32">
        <v>31</v>
      </c>
      <c r="B32">
        <v>748</v>
      </c>
      <c r="C32">
        <v>250</v>
      </c>
      <c r="D32">
        <v>0.32281300494540499</v>
      </c>
      <c r="E32">
        <v>185.29123077627494</v>
      </c>
      <c r="F32">
        <v>55.756522765244952</v>
      </c>
      <c r="G32">
        <v>71.394098115316879</v>
      </c>
      <c r="H32">
        <v>66.771984533588224</v>
      </c>
      <c r="J32">
        <v>53.094758575966758</v>
      </c>
      <c r="L32">
        <v>7.8679096876898145</v>
      </c>
      <c r="M32">
        <v>12.968879022242087</v>
      </c>
      <c r="N32">
        <v>2.5028954142980226</v>
      </c>
      <c r="O32">
        <v>34.56760588554274</v>
      </c>
      <c r="P32">
        <v>11.026534961186416</v>
      </c>
      <c r="R32">
        <v>16.255244838922621</v>
      </c>
      <c r="S32">
        <v>49.813552821531367</v>
      </c>
      <c r="U32">
        <v>0.37574989391746827</v>
      </c>
      <c r="V32">
        <v>48.299874631475276</v>
      </c>
      <c r="W32">
        <v>20.987487483410519</v>
      </c>
      <c r="X32">
        <v>43.355519547861888</v>
      </c>
      <c r="Y32">
        <v>8.7971996847571194</v>
      </c>
      <c r="Z32">
        <v>26.070554200701796</v>
      </c>
      <c r="AA32">
        <v>7.2232709923473744</v>
      </c>
      <c r="AB32">
        <v>35.041161229731131</v>
      </c>
      <c r="AD32">
        <v>5.4972337525293868</v>
      </c>
      <c r="AE32">
        <v>10.075904343936603</v>
      </c>
      <c r="AF32">
        <v>12.617726875356299</v>
      </c>
      <c r="AG32">
        <v>20.388236807948758</v>
      </c>
      <c r="AH32">
        <v>6.007456416112487</v>
      </c>
      <c r="AI32">
        <v>2.4450493786275338</v>
      </c>
      <c r="AK32">
        <v>46.709971828009166</v>
      </c>
    </row>
    <row r="33" spans="1:37" x14ac:dyDescent="0.2">
      <c r="A33">
        <v>32</v>
      </c>
      <c r="B33">
        <v>747</v>
      </c>
      <c r="C33">
        <v>250</v>
      </c>
      <c r="D33">
        <v>0.32208057638582899</v>
      </c>
      <c r="E33">
        <v>185.02598587652193</v>
      </c>
      <c r="F33">
        <v>54.421533106663396</v>
      </c>
      <c r="G33">
        <v>71.172150761680044</v>
      </c>
      <c r="H33">
        <v>66.547750735864796</v>
      </c>
      <c r="J33">
        <v>52.765013824436785</v>
      </c>
      <c r="L33">
        <v>7.5019855131409532</v>
      </c>
      <c r="M33">
        <v>13.000614998217257</v>
      </c>
      <c r="N33">
        <v>2.5048597677066824</v>
      </c>
      <c r="O33">
        <v>33.104411536071154</v>
      </c>
      <c r="P33">
        <v>10.606154337067011</v>
      </c>
      <c r="R33">
        <v>15.77663052029768</v>
      </c>
      <c r="S33">
        <v>49.327257789079098</v>
      </c>
      <c r="U33">
        <v>0.35744751373347045</v>
      </c>
      <c r="V33">
        <v>48.32701551363467</v>
      </c>
      <c r="W33">
        <v>20.756846250039995</v>
      </c>
      <c r="X33">
        <v>43.340222314032168</v>
      </c>
      <c r="Y33">
        <v>8.3868154988099501</v>
      </c>
      <c r="Z33">
        <v>25.321556378784663</v>
      </c>
      <c r="AA33">
        <v>6.8489870021775427</v>
      </c>
      <c r="AB33">
        <v>34.905636672869171</v>
      </c>
      <c r="AD33">
        <v>5.0463409718547574</v>
      </c>
      <c r="AE33">
        <v>9.789099660665622</v>
      </c>
      <c r="AF33">
        <v>12.648334851933308</v>
      </c>
      <c r="AG33">
        <v>20.237767266075444</v>
      </c>
      <c r="AH33">
        <v>5.40704165724439</v>
      </c>
      <c r="AI33">
        <v>2.4467202107490409</v>
      </c>
      <c r="AK33">
        <v>46.461860576710833</v>
      </c>
    </row>
    <row r="34" spans="1:37" x14ac:dyDescent="0.2">
      <c r="A34">
        <v>33</v>
      </c>
      <c r="B34">
        <v>746</v>
      </c>
      <c r="C34">
        <v>250</v>
      </c>
      <c r="D34">
        <v>0.32134671049404001</v>
      </c>
      <c r="E34">
        <v>184.74801082140735</v>
      </c>
      <c r="F34">
        <v>52.988040803537139</v>
      </c>
      <c r="G34">
        <v>70.934264221506496</v>
      </c>
      <c r="H34">
        <v>66.307590974012228</v>
      </c>
      <c r="J34">
        <v>52.378482540632014</v>
      </c>
      <c r="L34">
        <v>7.1043680650153327</v>
      </c>
      <c r="M34">
        <v>13.037011724178962</v>
      </c>
      <c r="N34">
        <v>2.5068225393995727</v>
      </c>
      <c r="O34">
        <v>31.533193072062399</v>
      </c>
      <c r="P34">
        <v>10.153901710079859</v>
      </c>
      <c r="R34">
        <v>15.248809980054535</v>
      </c>
      <c r="S34">
        <v>48.734584708178467</v>
      </c>
      <c r="U34">
        <v>0.34458822502010727</v>
      </c>
      <c r="V34">
        <v>48.332198974749694</v>
      </c>
      <c r="W34">
        <v>20.531739070788785</v>
      </c>
      <c r="X34">
        <v>43.341047161194822</v>
      </c>
      <c r="Y34">
        <v>7.9444186121638527</v>
      </c>
      <c r="Z34">
        <v>24.508130255917138</v>
      </c>
      <c r="AA34">
        <v>6.4443186594532742</v>
      </c>
      <c r="AB34">
        <v>34.717766644182461</v>
      </c>
      <c r="AD34">
        <v>4.5561206355809514</v>
      </c>
      <c r="AE34">
        <v>9.4770662241018258</v>
      </c>
      <c r="AF34">
        <v>12.683602350500076</v>
      </c>
      <c r="AG34">
        <v>20.03495324608296</v>
      </c>
      <c r="AH34">
        <v>4.7574891836041653</v>
      </c>
      <c r="AI34">
        <v>2.4483886136951241</v>
      </c>
      <c r="AK34">
        <v>46.184895570849235</v>
      </c>
    </row>
    <row r="35" spans="1:37" x14ac:dyDescent="0.2">
      <c r="A35">
        <v>34</v>
      </c>
      <c r="B35">
        <v>745</v>
      </c>
      <c r="C35">
        <v>250</v>
      </c>
      <c r="D35">
        <v>0.32061140303491598</v>
      </c>
      <c r="E35">
        <v>184.4505526537402</v>
      </c>
      <c r="F35">
        <v>51.40508779794154</v>
      </c>
      <c r="G35">
        <v>70.673021112538493</v>
      </c>
      <c r="H35">
        <v>66.044087886981288</v>
      </c>
      <c r="J35">
        <v>51.907881382987746</v>
      </c>
      <c r="L35">
        <v>6.6605425128371101</v>
      </c>
      <c r="M35">
        <v>13.078589573546129</v>
      </c>
      <c r="N35">
        <v>2.5087831841397135</v>
      </c>
      <c r="O35">
        <v>29.80204547949927</v>
      </c>
      <c r="P35">
        <v>9.654941793765774</v>
      </c>
      <c r="R35">
        <v>14.650102951826435</v>
      </c>
      <c r="S35">
        <v>47.98944975652384</v>
      </c>
      <c r="U35">
        <v>0.33809536262327128</v>
      </c>
      <c r="V35">
        <v>48.307373523513419</v>
      </c>
      <c r="W35">
        <v>20.313614294267612</v>
      </c>
      <c r="X35">
        <v>43.360690246303442</v>
      </c>
      <c r="Y35">
        <v>7.4550031829055587</v>
      </c>
      <c r="Z35">
        <v>23.594124617700594</v>
      </c>
      <c r="AA35">
        <v>5.994725094424866</v>
      </c>
      <c r="AB35">
        <v>34.453431444052455</v>
      </c>
      <c r="AD35">
        <v>4.0054490138487182</v>
      </c>
      <c r="AE35">
        <v>9.1246050956323863</v>
      </c>
      <c r="AF35">
        <v>12.724049204962457</v>
      </c>
      <c r="AG35">
        <v>19.755674509219677</v>
      </c>
      <c r="AH35">
        <v>4.0352987086638326</v>
      </c>
      <c r="AI35">
        <v>2.4500540403886264</v>
      </c>
      <c r="AK35">
        <v>45.863861753403384</v>
      </c>
    </row>
    <row r="36" spans="1:37" x14ac:dyDescent="0.2">
      <c r="A36">
        <v>35</v>
      </c>
      <c r="B36">
        <v>744</v>
      </c>
      <c r="C36">
        <v>250</v>
      </c>
      <c r="D36">
        <v>0.31987464975667701</v>
      </c>
      <c r="E36">
        <v>184.11925949690749</v>
      </c>
      <c r="F36">
        <v>49.564234438704922</v>
      </c>
      <c r="G36">
        <v>70.37278729024051</v>
      </c>
      <c r="H36">
        <v>65.741607351485968</v>
      </c>
      <c r="J36">
        <v>51.295780324471593</v>
      </c>
      <c r="L36">
        <v>6.1400579368701145</v>
      </c>
      <c r="M36">
        <v>13.125897851256005</v>
      </c>
      <c r="N36">
        <v>2.5107406131231214</v>
      </c>
      <c r="O36">
        <v>27.801289948582834</v>
      </c>
      <c r="P36">
        <v>9.0780052336048538</v>
      </c>
      <c r="R36">
        <v>13.934144962173617</v>
      </c>
      <c r="S36">
        <v>46.996720339886416</v>
      </c>
      <c r="U36">
        <v>0.33952831952792017</v>
      </c>
      <c r="V36">
        <v>48.236034819059071</v>
      </c>
      <c r="W36">
        <v>20.10536975304969</v>
      </c>
      <c r="X36">
        <v>43.40365803991407</v>
      </c>
      <c r="Y36">
        <v>6.8869167875440223</v>
      </c>
      <c r="Z36">
        <v>22.501869437249564</v>
      </c>
      <c r="AA36">
        <v>5.469798975761063</v>
      </c>
      <c r="AB36">
        <v>34.06252117185722</v>
      </c>
      <c r="AD36">
        <v>3.3490636059186856</v>
      </c>
      <c r="AE36">
        <v>8.6988849561116783</v>
      </c>
      <c r="AF36">
        <v>12.770223637190542</v>
      </c>
      <c r="AG36">
        <v>19.349820072184169</v>
      </c>
      <c r="AH36">
        <v>3.1906872653208738</v>
      </c>
      <c r="AI36">
        <v>2.4517154001845736</v>
      </c>
      <c r="AK36">
        <v>45.46623239824752</v>
      </c>
    </row>
    <row r="37" spans="1:37" x14ac:dyDescent="0.2">
      <c r="A37">
        <v>36</v>
      </c>
      <c r="B37">
        <v>743</v>
      </c>
      <c r="C37">
        <v>250</v>
      </c>
      <c r="D37">
        <v>0.31913644639078897</v>
      </c>
      <c r="E37">
        <v>183.23671776138551</v>
      </c>
      <c r="F37">
        <v>43.676221060673363</v>
      </c>
      <c r="G37">
        <v>69.521697868502017</v>
      </c>
      <c r="H37">
        <v>64.888284502707677</v>
      </c>
      <c r="J37">
        <v>48.843334243785009</v>
      </c>
      <c r="L37">
        <v>4.5447873802855394</v>
      </c>
      <c r="M37">
        <v>13.135187447134685</v>
      </c>
      <c r="N37">
        <v>2.512669547106785</v>
      </c>
      <c r="O37">
        <v>21.868519350924242</v>
      </c>
      <c r="P37">
        <v>7.3993370015586102</v>
      </c>
      <c r="R37">
        <v>11.631974711726155</v>
      </c>
      <c r="S37">
        <v>43.620711892071697</v>
      </c>
      <c r="U37">
        <v>0.32238738714586795</v>
      </c>
      <c r="V37">
        <v>47.945917403765151</v>
      </c>
      <c r="W37">
        <v>20.009534090632929</v>
      </c>
      <c r="X37">
        <v>43.390117382604728</v>
      </c>
      <c r="Y37">
        <v>5.1984201767688267</v>
      </c>
      <c r="Z37">
        <v>18.426914640099302</v>
      </c>
      <c r="AA37">
        <v>3.8630809023720212</v>
      </c>
      <c r="AB37">
        <v>32.335169653388284</v>
      </c>
      <c r="AD37">
        <v>0.97951155628198805</v>
      </c>
      <c r="AE37">
        <v>6.9811185037034011</v>
      </c>
      <c r="AF37">
        <v>12.778351263523229</v>
      </c>
      <c r="AG37">
        <v>17.607498487670291</v>
      </c>
      <c r="AH37">
        <v>0.55683204126561647</v>
      </c>
      <c r="AI37">
        <v>2.4533474120004741</v>
      </c>
      <c r="AK37">
        <v>43.856478876793936</v>
      </c>
    </row>
    <row r="38" spans="1:37" x14ac:dyDescent="0.2">
      <c r="A38">
        <v>37</v>
      </c>
      <c r="B38">
        <v>742</v>
      </c>
      <c r="C38">
        <v>250</v>
      </c>
      <c r="D38">
        <v>0.318396788651924</v>
      </c>
      <c r="E38">
        <v>183.25382335770377</v>
      </c>
      <c r="F38">
        <v>43.653444632503792</v>
      </c>
      <c r="G38">
        <v>69.691217022974172</v>
      </c>
      <c r="H38">
        <v>65.055583537630412</v>
      </c>
      <c r="J38">
        <v>38.596376997785789</v>
      </c>
      <c r="L38">
        <v>3.0993702321798411</v>
      </c>
      <c r="M38">
        <v>13.358228277193662</v>
      </c>
      <c r="N38">
        <v>2.514653064808634</v>
      </c>
      <c r="O38">
        <v>12.634622185576466</v>
      </c>
      <c r="P38">
        <v>7.7619485511330266</v>
      </c>
      <c r="R38">
        <v>10.426028525127835</v>
      </c>
      <c r="S38">
        <v>39.434706902359913</v>
      </c>
      <c r="U38">
        <v>0.29139970145174071</v>
      </c>
      <c r="V38">
        <v>47.517104494057236</v>
      </c>
      <c r="W38">
        <v>20.162184484463541</v>
      </c>
      <c r="X38">
        <v>43.335982129758648</v>
      </c>
      <c r="Y38">
        <v>4.2993232341448673</v>
      </c>
      <c r="Z38">
        <v>17.324456552580255</v>
      </c>
      <c r="AA38">
        <v>1.9891760542683188</v>
      </c>
      <c r="AB38">
        <v>31.475815338154401</v>
      </c>
      <c r="AE38">
        <v>6.2673521689763438</v>
      </c>
      <c r="AF38">
        <v>13.000285084451443</v>
      </c>
      <c r="AG38">
        <v>16.733231290067167</v>
      </c>
      <c r="AI38">
        <v>2.4550331527130336</v>
      </c>
      <c r="AK38">
        <v>37.095665462643105</v>
      </c>
    </row>
    <row r="39" spans="1:37" x14ac:dyDescent="0.2">
      <c r="A39">
        <v>38</v>
      </c>
      <c r="B39">
        <v>741</v>
      </c>
      <c r="C39">
        <v>250</v>
      </c>
      <c r="D39">
        <v>0.31765567223783697</v>
      </c>
      <c r="E39">
        <v>183.09676968389496</v>
      </c>
      <c r="F39">
        <v>43.628175053681368</v>
      </c>
      <c r="G39">
        <v>69.670786577921959</v>
      </c>
      <c r="H39">
        <v>65.032946301895805</v>
      </c>
      <c r="J39">
        <v>33.250366940179084</v>
      </c>
      <c r="L39">
        <v>1.9553530619040138</v>
      </c>
      <c r="M39">
        <v>13.565228263180051</v>
      </c>
      <c r="N39">
        <v>2.5166231778424071</v>
      </c>
      <c r="O39">
        <v>6.676354961823419</v>
      </c>
      <c r="P39">
        <v>7.7446555660271494</v>
      </c>
      <c r="R39">
        <v>9.4227583985791146</v>
      </c>
      <c r="S39">
        <v>36.18330963499686</v>
      </c>
      <c r="U39">
        <v>0.26802828708573428</v>
      </c>
      <c r="V39">
        <v>47.08166310836657</v>
      </c>
      <c r="W39">
        <v>20.293732084067081</v>
      </c>
      <c r="X39">
        <v>43.304021814388356</v>
      </c>
      <c r="Y39">
        <v>3.396855174855268</v>
      </c>
      <c r="Z39">
        <v>17.671632560620651</v>
      </c>
      <c r="AA39">
        <v>0.66872973822033233</v>
      </c>
      <c r="AB39">
        <v>31.472738366243505</v>
      </c>
      <c r="AE39">
        <v>6.4692795265648888</v>
      </c>
      <c r="AF39">
        <v>13.206165039115712</v>
      </c>
      <c r="AG39">
        <v>16.715230637258706</v>
      </c>
      <c r="AI39">
        <v>2.4567046320955805</v>
      </c>
      <c r="AK39">
        <v>33.621924934017684</v>
      </c>
    </row>
    <row r="40" spans="1:37" x14ac:dyDescent="0.2">
      <c r="A40">
        <v>39</v>
      </c>
      <c r="B40">
        <v>740</v>
      </c>
      <c r="C40">
        <v>250</v>
      </c>
      <c r="D40">
        <v>0.31691309282929903</v>
      </c>
      <c r="E40">
        <v>182.91168826923976</v>
      </c>
      <c r="F40">
        <v>43.431818436953598</v>
      </c>
      <c r="G40">
        <v>69.640522564089423</v>
      </c>
      <c r="H40">
        <v>65.000488847664116</v>
      </c>
      <c r="J40">
        <v>28.99269938757396</v>
      </c>
      <c r="L40">
        <v>1.6237897530164809</v>
      </c>
      <c r="M40">
        <v>13.810636722905608</v>
      </c>
      <c r="N40">
        <v>2.5185891859973104</v>
      </c>
      <c r="O40">
        <v>4.9769724475118213</v>
      </c>
      <c r="P40">
        <v>7.7076994311376534</v>
      </c>
      <c r="R40">
        <v>9.2689268110910401</v>
      </c>
      <c r="S40">
        <v>35.029721360337511</v>
      </c>
      <c r="U40">
        <v>0.24558211137136618</v>
      </c>
      <c r="V40">
        <v>46.689857337361843</v>
      </c>
      <c r="W40">
        <v>20.463049170628487</v>
      </c>
      <c r="X40">
        <v>43.274940949294859</v>
      </c>
      <c r="Y40">
        <v>2.9504068428906258</v>
      </c>
      <c r="Z40">
        <v>17.87148507590193</v>
      </c>
      <c r="AB40">
        <v>31.336074347917304</v>
      </c>
      <c r="AE40">
        <v>6.585676905969871</v>
      </c>
      <c r="AF40">
        <v>13.450449750905285</v>
      </c>
      <c r="AG40">
        <v>16.563641445502263</v>
      </c>
      <c r="AI40">
        <v>2.4583711480967954</v>
      </c>
      <c r="AK40">
        <v>30.88973137652523</v>
      </c>
    </row>
    <row r="41" spans="1:37" x14ac:dyDescent="0.2">
      <c r="A41">
        <v>40</v>
      </c>
      <c r="B41">
        <v>739</v>
      </c>
      <c r="C41">
        <v>250</v>
      </c>
      <c r="D41">
        <v>0.31616904609000601</v>
      </c>
      <c r="E41">
        <v>182.71908563768227</v>
      </c>
      <c r="F41">
        <v>43.169497639136971</v>
      </c>
      <c r="G41">
        <v>69.607206241345523</v>
      </c>
      <c r="H41">
        <v>64.964992456265279</v>
      </c>
      <c r="J41">
        <v>25.728073579221327</v>
      </c>
      <c r="L41">
        <v>1.6179192683116599</v>
      </c>
      <c r="M41">
        <v>14.066062321057592</v>
      </c>
      <c r="N41">
        <v>2.5205535854426415</v>
      </c>
      <c r="O41">
        <v>4.8698055174918773</v>
      </c>
      <c r="P41">
        <v>7.6646451860575642</v>
      </c>
      <c r="R41">
        <v>9.4440626646140764</v>
      </c>
      <c r="S41">
        <v>34.708706528972648</v>
      </c>
      <c r="U41">
        <v>0.22359742482000339</v>
      </c>
      <c r="V41">
        <v>46.322448072145669</v>
      </c>
      <c r="W41">
        <v>20.642060725413444</v>
      </c>
      <c r="X41">
        <v>43.247395665239154</v>
      </c>
      <c r="Y41">
        <v>2.7023984327192663</v>
      </c>
      <c r="Z41">
        <v>17.999682610980013</v>
      </c>
      <c r="AB41">
        <v>31.142583059224147</v>
      </c>
      <c r="AE41">
        <v>6.6603053111829942</v>
      </c>
      <c r="AF41">
        <v>13.704750386481534</v>
      </c>
      <c r="AG41">
        <v>16.355225993236619</v>
      </c>
      <c r="AI41">
        <v>2.4600351950453332</v>
      </c>
      <c r="AK41">
        <v>28.82455059499409</v>
      </c>
    </row>
    <row r="42" spans="1:37" x14ac:dyDescent="0.2">
      <c r="A42">
        <v>41</v>
      </c>
      <c r="B42">
        <v>762</v>
      </c>
      <c r="C42">
        <v>225</v>
      </c>
      <c r="D42">
        <v>0.35948461575617302</v>
      </c>
      <c r="E42">
        <v>172.91727095883238</v>
      </c>
      <c r="F42">
        <v>64.3740865173055</v>
      </c>
      <c r="G42">
        <v>72.915543950183121</v>
      </c>
      <c r="H42">
        <v>68.325711606812007</v>
      </c>
      <c r="J42">
        <v>54.249762725768207</v>
      </c>
      <c r="L42">
        <v>10.113486875138873</v>
      </c>
      <c r="M42">
        <v>13.266213796470616</v>
      </c>
      <c r="N42">
        <v>2.449315674213064</v>
      </c>
      <c r="O42">
        <v>44.895850083597253</v>
      </c>
      <c r="P42">
        <v>13.573837585662078</v>
      </c>
      <c r="Q42">
        <v>5.0069925969177913E-2</v>
      </c>
      <c r="R42">
        <v>19.996816076609672</v>
      </c>
      <c r="S42">
        <v>54.137549028142182</v>
      </c>
      <c r="U42">
        <v>0.9899456467157135</v>
      </c>
      <c r="V42">
        <v>48.063524327626453</v>
      </c>
      <c r="W42">
        <v>24.39703100260801</v>
      </c>
      <c r="X42">
        <v>43.417497539393338</v>
      </c>
      <c r="Y42">
        <v>11.217264977649997</v>
      </c>
      <c r="Z42">
        <v>31.166246141419215</v>
      </c>
      <c r="AA42">
        <v>9.5895887032459139</v>
      </c>
      <c r="AB42">
        <v>36.374879267290773</v>
      </c>
      <c r="AC42">
        <v>6.5407431337121083E-2</v>
      </c>
      <c r="AD42">
        <v>8.4641575488708511</v>
      </c>
      <c r="AE42">
        <v>12.335955317617401</v>
      </c>
      <c r="AF42">
        <v>12.981912022680433</v>
      </c>
      <c r="AG42">
        <v>22.01322581096559</v>
      </c>
      <c r="AH42">
        <v>9.2808731164136891</v>
      </c>
      <c r="AI42">
        <v>2.3923365069881082</v>
      </c>
      <c r="AK42">
        <v>47.351240341184798</v>
      </c>
    </row>
    <row r="43" spans="1:37" x14ac:dyDescent="0.2">
      <c r="A43">
        <v>42</v>
      </c>
      <c r="B43">
        <v>761</v>
      </c>
      <c r="C43">
        <v>225</v>
      </c>
      <c r="D43">
        <v>0.35879756321617101</v>
      </c>
      <c r="E43">
        <v>172.8157081451032</v>
      </c>
      <c r="F43">
        <v>64.056761166249785</v>
      </c>
      <c r="G43">
        <v>72.86129781156167</v>
      </c>
      <c r="H43">
        <v>68.268985936829296</v>
      </c>
      <c r="J43">
        <v>54.208555686788927</v>
      </c>
      <c r="L43">
        <v>10.031671790912823</v>
      </c>
      <c r="M43">
        <v>13.224770678048788</v>
      </c>
      <c r="N43">
        <v>2.4413578131682652</v>
      </c>
      <c r="O43">
        <v>44.500539608863534</v>
      </c>
      <c r="P43">
        <v>13.478818524963753</v>
      </c>
      <c r="R43">
        <v>19.815433647470606</v>
      </c>
      <c r="S43">
        <v>53.799156439923543</v>
      </c>
      <c r="U43">
        <v>0.93244332771655658</v>
      </c>
      <c r="V43">
        <v>47.996606089515787</v>
      </c>
      <c r="W43">
        <v>24.236122023613543</v>
      </c>
      <c r="X43">
        <v>43.2904346581414</v>
      </c>
      <c r="Y43">
        <v>11.132835586784401</v>
      </c>
      <c r="Z43">
        <v>30.9911164228294</v>
      </c>
      <c r="AA43">
        <v>9.5049794311986187</v>
      </c>
      <c r="AB43">
        <v>36.267477118630964</v>
      </c>
      <c r="AC43">
        <v>5.5470798589586555E-2</v>
      </c>
      <c r="AD43">
        <v>8.3665647178757414</v>
      </c>
      <c r="AE43">
        <v>12.256375163511846</v>
      </c>
      <c r="AF43">
        <v>12.929410795110666</v>
      </c>
      <c r="AG43">
        <v>21.880953920170963</v>
      </c>
      <c r="AH43">
        <v>9.1715954111103137</v>
      </c>
      <c r="AI43">
        <v>2.3840979236912161</v>
      </c>
      <c r="AK43">
        <v>47.356082225801565</v>
      </c>
    </row>
    <row r="44" spans="1:37" x14ac:dyDescent="0.2">
      <c r="A44">
        <v>43</v>
      </c>
      <c r="B44">
        <v>760</v>
      </c>
      <c r="C44">
        <v>225</v>
      </c>
      <c r="D44">
        <v>0.35810918066108399</v>
      </c>
      <c r="E44">
        <v>172.69858704429134</v>
      </c>
      <c r="F44">
        <v>63.57646615182437</v>
      </c>
      <c r="G44">
        <v>72.778795668533832</v>
      </c>
      <c r="H44">
        <v>68.184017194609453</v>
      </c>
      <c r="J44">
        <v>54.182110785100932</v>
      </c>
      <c r="L44">
        <v>9.8964918526216241</v>
      </c>
      <c r="M44">
        <v>13.247846770513638</v>
      </c>
      <c r="N44">
        <v>2.4226091065063962</v>
      </c>
      <c r="O44">
        <v>43.860757010528459</v>
      </c>
      <c r="P44">
        <v>13.316504239253547</v>
      </c>
      <c r="R44">
        <v>19.651249030521285</v>
      </c>
      <c r="S44">
        <v>53.730108037870217</v>
      </c>
      <c r="U44">
        <v>0.91959138824924302</v>
      </c>
      <c r="V44">
        <v>48.058647867438992</v>
      </c>
      <c r="W44">
        <v>24.13070199355943</v>
      </c>
      <c r="X44">
        <v>43.312067864416065</v>
      </c>
      <c r="Y44">
        <v>10.984678104453304</v>
      </c>
      <c r="Z44">
        <v>30.736138416977564</v>
      </c>
      <c r="AA44">
        <v>9.362074512536914</v>
      </c>
      <c r="AB44">
        <v>36.28399497786684</v>
      </c>
      <c r="AC44">
        <v>3.4743465122476176E-2</v>
      </c>
      <c r="AD44">
        <v>8.2221562473791376</v>
      </c>
      <c r="AE44">
        <v>12.151284914525931</v>
      </c>
      <c r="AF44">
        <v>12.930638213739186</v>
      </c>
      <c r="AG44">
        <v>21.86181368362212</v>
      </c>
      <c r="AH44">
        <v>8.9867134670174007</v>
      </c>
      <c r="AI44">
        <v>2.3650676730637792</v>
      </c>
      <c r="AK44">
        <v>47.32091915487139</v>
      </c>
    </row>
    <row r="45" spans="1:37" x14ac:dyDescent="0.2">
      <c r="A45">
        <v>44</v>
      </c>
      <c r="B45">
        <v>759</v>
      </c>
      <c r="C45">
        <v>225</v>
      </c>
      <c r="D45">
        <v>0.35741946422516302</v>
      </c>
      <c r="E45">
        <v>172.58189765555997</v>
      </c>
      <c r="F45">
        <v>63.096755191300907</v>
      </c>
      <c r="G45">
        <v>72.696167107174475</v>
      </c>
      <c r="H45">
        <v>68.098934986864052</v>
      </c>
      <c r="J45">
        <v>54.154335400995741</v>
      </c>
      <c r="L45">
        <v>9.7603669665461972</v>
      </c>
      <c r="M45">
        <v>13.27140790703457</v>
      </c>
      <c r="N45">
        <v>2.4037919337529985</v>
      </c>
      <c r="O45">
        <v>43.219985111813386</v>
      </c>
      <c r="P45">
        <v>13.153876302613273</v>
      </c>
      <c r="R45">
        <v>19.485005518069709</v>
      </c>
      <c r="S45">
        <v>53.656301340329378</v>
      </c>
      <c r="U45">
        <v>0.90746874010678324</v>
      </c>
      <c r="V45">
        <v>48.118787459632699</v>
      </c>
      <c r="W45">
        <v>24.026371341766499</v>
      </c>
      <c r="X45">
        <v>43.336059975561682</v>
      </c>
      <c r="Y45">
        <v>10.836176924609811</v>
      </c>
      <c r="Z45">
        <v>30.481389978058637</v>
      </c>
      <c r="AA45">
        <v>9.2186439510447098</v>
      </c>
      <c r="AB45">
        <v>36.298061150279899</v>
      </c>
      <c r="AC45">
        <v>1.394781001930275E-2</v>
      </c>
      <c r="AD45">
        <v>8.0775874198308983</v>
      </c>
      <c r="AE45">
        <v>12.046424741527888</v>
      </c>
      <c r="AF45">
        <v>12.932282496810112</v>
      </c>
      <c r="AG45">
        <v>21.840155791965849</v>
      </c>
      <c r="AH45">
        <v>8.8013278186102255</v>
      </c>
      <c r="AI45">
        <v>2.3459681327946544</v>
      </c>
      <c r="AK45">
        <v>47.285726443428693</v>
      </c>
    </row>
    <row r="46" spans="1:37" x14ac:dyDescent="0.2">
      <c r="A46">
        <v>45</v>
      </c>
      <c r="B46">
        <v>758</v>
      </c>
      <c r="C46">
        <v>225</v>
      </c>
      <c r="D46">
        <v>0.356728410027642</v>
      </c>
      <c r="E46">
        <v>172.4277718378811</v>
      </c>
      <c r="F46">
        <v>62.419660777915183</v>
      </c>
      <c r="G46">
        <v>72.582258544302391</v>
      </c>
      <c r="H46">
        <v>67.982585751090511</v>
      </c>
      <c r="J46">
        <v>54.072657152824597</v>
      </c>
      <c r="L46">
        <v>9.5773160893204636</v>
      </c>
      <c r="M46">
        <v>13.291917840670859</v>
      </c>
      <c r="N46">
        <v>2.3916156643641187</v>
      </c>
      <c r="O46">
        <v>42.403156180999339</v>
      </c>
      <c r="P46">
        <v>12.935336940605538</v>
      </c>
      <c r="R46">
        <v>19.260092471372882</v>
      </c>
      <c r="S46">
        <v>53.530302626327398</v>
      </c>
      <c r="U46">
        <v>0.88736892789521549</v>
      </c>
      <c r="V46">
        <v>48.185405010822727</v>
      </c>
      <c r="W46">
        <v>23.87572652510449</v>
      </c>
      <c r="X46">
        <v>43.330042539365081</v>
      </c>
      <c r="Y46">
        <v>10.630342791139487</v>
      </c>
      <c r="Z46">
        <v>30.114063173493385</v>
      </c>
      <c r="AA46">
        <v>9.0261787443245272</v>
      </c>
      <c r="AB46">
        <v>36.301012575291168</v>
      </c>
      <c r="AD46">
        <v>7.8643441840468551</v>
      </c>
      <c r="AE46">
        <v>11.899605399529923</v>
      </c>
      <c r="AF46">
        <v>12.937516772397714</v>
      </c>
      <c r="AG46">
        <v>21.814026559934323</v>
      </c>
      <c r="AH46">
        <v>8.5235141647222239</v>
      </c>
      <c r="AI46">
        <v>2.3335086705023897</v>
      </c>
      <c r="AK46">
        <v>47.204281202748561</v>
      </c>
    </row>
    <row r="47" spans="1:37" x14ac:dyDescent="0.2">
      <c r="A47">
        <v>46</v>
      </c>
      <c r="B47">
        <v>757</v>
      </c>
      <c r="C47">
        <v>225</v>
      </c>
      <c r="D47">
        <v>0.35603601417269398</v>
      </c>
      <c r="E47">
        <v>172.19188556671693</v>
      </c>
      <c r="F47">
        <v>61.307951573692876</v>
      </c>
      <c r="G47">
        <v>72.399194675283127</v>
      </c>
      <c r="H47">
        <v>67.797094203371174</v>
      </c>
      <c r="J47">
        <v>53.869067698532774</v>
      </c>
      <c r="L47">
        <v>9.2894826290034143</v>
      </c>
      <c r="M47">
        <v>13.307052807521838</v>
      </c>
      <c r="N47">
        <v>2.3935876995093843</v>
      </c>
      <c r="O47">
        <v>41.195000098150011</v>
      </c>
      <c r="P47">
        <v>12.592642967661041</v>
      </c>
      <c r="R47">
        <v>18.90278638161103</v>
      </c>
      <c r="S47">
        <v>53.280863979598621</v>
      </c>
      <c r="U47">
        <v>0.8514199746095934</v>
      </c>
      <c r="V47">
        <v>48.263498660973688</v>
      </c>
      <c r="W47">
        <v>23.627186770649104</v>
      </c>
      <c r="X47">
        <v>43.263255775989528</v>
      </c>
      <c r="Y47">
        <v>10.297445063344018</v>
      </c>
      <c r="Z47">
        <v>29.499280851054319</v>
      </c>
      <c r="AA47">
        <v>8.7248648898112879</v>
      </c>
      <c r="AB47">
        <v>36.275191222348553</v>
      </c>
      <c r="AD47">
        <v>7.4999605168324521</v>
      </c>
      <c r="AE47">
        <v>11.660854680193014</v>
      </c>
      <c r="AF47">
        <v>12.951524683345493</v>
      </c>
      <c r="AG47">
        <v>21.773275364022773</v>
      </c>
      <c r="AH47">
        <v>8.0414832569754306</v>
      </c>
      <c r="AI47">
        <v>2.3351966855181803</v>
      </c>
      <c r="AK47">
        <v>47.020474097752157</v>
      </c>
    </row>
    <row r="48" spans="1:37" x14ac:dyDescent="0.2">
      <c r="A48">
        <v>47</v>
      </c>
      <c r="B48">
        <v>756</v>
      </c>
      <c r="C48">
        <v>225</v>
      </c>
      <c r="D48">
        <v>0.35534227274935698</v>
      </c>
      <c r="E48">
        <v>171.95275548187891</v>
      </c>
      <c r="F48">
        <v>60.168412433605319</v>
      </c>
      <c r="G48">
        <v>72.210741190649557</v>
      </c>
      <c r="H48">
        <v>67.606226054996696</v>
      </c>
      <c r="J48">
        <v>53.64772197988944</v>
      </c>
      <c r="L48">
        <v>8.9902303580208969</v>
      </c>
      <c r="M48">
        <v>13.325189232027688</v>
      </c>
      <c r="N48">
        <v>2.3955590282827988</v>
      </c>
      <c r="O48">
        <v>39.952030736512185</v>
      </c>
      <c r="P48">
        <v>12.239176776535725</v>
      </c>
      <c r="R48">
        <v>18.526101658761728</v>
      </c>
      <c r="S48">
        <v>52.994046726756324</v>
      </c>
      <c r="U48">
        <v>0.81902755162894414</v>
      </c>
      <c r="V48">
        <v>48.332123825236714</v>
      </c>
      <c r="W48">
        <v>23.381716757043382</v>
      </c>
      <c r="X48">
        <v>43.207020850941404</v>
      </c>
      <c r="Y48">
        <v>9.9538212104245947</v>
      </c>
      <c r="Z48">
        <v>28.868620779665534</v>
      </c>
      <c r="AA48">
        <v>8.4134107280218746</v>
      </c>
      <c r="AB48">
        <v>36.232357273198041</v>
      </c>
      <c r="AD48">
        <v>7.1248478830814408</v>
      </c>
      <c r="AE48">
        <v>11.41692507796072</v>
      </c>
      <c r="AF48">
        <v>12.968533648773711</v>
      </c>
      <c r="AG48">
        <v>21.715513380964822</v>
      </c>
      <c r="AH48">
        <v>7.5432910118314567</v>
      </c>
      <c r="AI48">
        <v>2.3368831650977162</v>
      </c>
      <c r="AK48">
        <v>46.828737869832807</v>
      </c>
    </row>
    <row r="49" spans="1:37" x14ac:dyDescent="0.2">
      <c r="A49">
        <v>48</v>
      </c>
      <c r="B49">
        <v>755</v>
      </c>
      <c r="C49">
        <v>225</v>
      </c>
      <c r="D49">
        <v>0.354647181831445</v>
      </c>
      <c r="E49">
        <v>171.70971301324332</v>
      </c>
      <c r="F49">
        <v>58.99602665714189</v>
      </c>
      <c r="G49">
        <v>72.016146983709405</v>
      </c>
      <c r="H49">
        <v>67.409230220073127</v>
      </c>
      <c r="J49">
        <v>53.405441513445197</v>
      </c>
      <c r="L49">
        <v>8.67807719093177</v>
      </c>
      <c r="M49">
        <v>13.346492066571553</v>
      </c>
      <c r="N49">
        <v>2.3975295769597023</v>
      </c>
      <c r="O49">
        <v>38.669010558148436</v>
      </c>
      <c r="P49">
        <v>11.873436102774864</v>
      </c>
      <c r="R49">
        <v>18.127981997809773</v>
      </c>
      <c r="S49">
        <v>52.66331794243149</v>
      </c>
      <c r="U49">
        <v>0.79035593109830515</v>
      </c>
      <c r="V49">
        <v>48.389959788022757</v>
      </c>
      <c r="W49">
        <v>23.139606940112838</v>
      </c>
      <c r="X49">
        <v>43.161829154586961</v>
      </c>
      <c r="Y49">
        <v>9.5979505302229438</v>
      </c>
      <c r="Z49">
        <v>28.218646471594592</v>
      </c>
      <c r="AA49">
        <v>8.0904818774048479</v>
      </c>
      <c r="AB49">
        <v>36.169155017586498</v>
      </c>
      <c r="AD49">
        <v>6.7369771769326441</v>
      </c>
      <c r="AE49">
        <v>11.166390468865641</v>
      </c>
      <c r="AF49">
        <v>12.988708552937172</v>
      </c>
      <c r="AG49">
        <v>21.637384832694963</v>
      </c>
      <c r="AH49">
        <v>7.0265943088235314</v>
      </c>
      <c r="AI49">
        <v>2.338568033677674</v>
      </c>
      <c r="AK49">
        <v>46.627596817227236</v>
      </c>
    </row>
    <row r="50" spans="1:37" x14ac:dyDescent="0.2">
      <c r="A50">
        <v>49</v>
      </c>
      <c r="B50">
        <v>754</v>
      </c>
      <c r="C50">
        <v>225</v>
      </c>
      <c r="D50">
        <v>0.35395073747748601</v>
      </c>
      <c r="E50">
        <v>171.46185504551514</v>
      </c>
      <c r="F50">
        <v>57.783996296056216</v>
      </c>
      <c r="G50">
        <v>71.814404502623134</v>
      </c>
      <c r="H50">
        <v>67.205099167599698</v>
      </c>
      <c r="J50">
        <v>53.138110510226106</v>
      </c>
      <c r="L50">
        <v>8.3511808248812418</v>
      </c>
      <c r="M50">
        <v>13.371140912036241</v>
      </c>
      <c r="N50">
        <v>2.399499252847539</v>
      </c>
      <c r="O50">
        <v>37.338898652532599</v>
      </c>
      <c r="P50">
        <v>11.493405772727174</v>
      </c>
      <c r="R50">
        <v>17.70564039224579</v>
      </c>
      <c r="S50">
        <v>52.280620466730312</v>
      </c>
      <c r="U50">
        <v>0.76559859538660768</v>
      </c>
      <c r="V50">
        <v>48.435442980197315</v>
      </c>
      <c r="W50">
        <v>22.90119978966413</v>
      </c>
      <c r="X50">
        <v>43.128257570208312</v>
      </c>
      <c r="Y50">
        <v>9.2277922566328368</v>
      </c>
      <c r="Z50">
        <v>27.544645038075547</v>
      </c>
      <c r="AA50">
        <v>7.7539711873143826</v>
      </c>
      <c r="AB50">
        <v>36.081417011022175</v>
      </c>
      <c r="AD50">
        <v>6.3335752378002246</v>
      </c>
      <c r="AE50">
        <v>10.907281944831377</v>
      </c>
      <c r="AF50">
        <v>13.012228909638857</v>
      </c>
      <c r="AG50">
        <v>21.534722187962686</v>
      </c>
      <c r="AH50">
        <v>6.4882353946666482</v>
      </c>
      <c r="AI50">
        <v>2.3402511967270669</v>
      </c>
      <c r="AK50">
        <v>46.415040024072084</v>
      </c>
    </row>
    <row r="51" spans="1:37" x14ac:dyDescent="0.2">
      <c r="A51">
        <v>50</v>
      </c>
      <c r="B51">
        <v>753</v>
      </c>
      <c r="C51">
        <v>225</v>
      </c>
      <c r="D51">
        <v>0.35325293573064698</v>
      </c>
      <c r="E51">
        <v>171.20790290720146</v>
      </c>
      <c r="F51">
        <v>56.522673932199737</v>
      </c>
      <c r="G51">
        <v>71.604093943399747</v>
      </c>
      <c r="H51">
        <v>66.992413114464739</v>
      </c>
      <c r="J51">
        <v>52.840118114354702</v>
      </c>
      <c r="L51">
        <v>8.0068206734319425</v>
      </c>
      <c r="M51">
        <v>13.399339264688843</v>
      </c>
      <c r="N51">
        <v>2.4014679340478251</v>
      </c>
      <c r="O51">
        <v>35.951762402763883</v>
      </c>
      <c r="P51">
        <v>11.096246079294456</v>
      </c>
      <c r="R51">
        <v>17.255096114460422</v>
      </c>
      <c r="S51">
        <v>51.835467881660108</v>
      </c>
      <c r="U51">
        <v>0.74499761803541098</v>
      </c>
      <c r="V51">
        <v>48.466609660882092</v>
      </c>
      <c r="W51">
        <v>22.666913657120201</v>
      </c>
      <c r="X51">
        <v>43.107024756991109</v>
      </c>
      <c r="Y51">
        <v>8.8404703567217613</v>
      </c>
      <c r="Z51">
        <v>26.839870927717762</v>
      </c>
      <c r="AA51">
        <v>7.401178161576361</v>
      </c>
      <c r="AB51">
        <v>35.963689746573408</v>
      </c>
      <c r="AD51">
        <v>5.9106830859170563</v>
      </c>
      <c r="AE51">
        <v>10.636769055024496</v>
      </c>
      <c r="AF51">
        <v>13.039298098869768</v>
      </c>
      <c r="AG51">
        <v>21.402071823888527</v>
      </c>
      <c r="AH51">
        <v>5.9237501499240093</v>
      </c>
      <c r="AI51">
        <v>2.341932530507933</v>
      </c>
      <c r="AK51">
        <v>46.188201379425976</v>
      </c>
    </row>
    <row r="52" spans="1:37" x14ac:dyDescent="0.2">
      <c r="A52">
        <v>51</v>
      </c>
      <c r="B52">
        <v>752</v>
      </c>
      <c r="C52">
        <v>225</v>
      </c>
      <c r="D52">
        <v>0.35255377261864101</v>
      </c>
      <c r="E52">
        <v>170.94594841747863</v>
      </c>
      <c r="F52">
        <v>55.197638632489273</v>
      </c>
      <c r="G52">
        <v>71.383103959320593</v>
      </c>
      <c r="H52">
        <v>66.769060734869001</v>
      </c>
      <c r="J52">
        <v>52.503344995888213</v>
      </c>
      <c r="L52">
        <v>7.6408365394583999</v>
      </c>
      <c r="M52">
        <v>13.431327094072071</v>
      </c>
      <c r="N52">
        <v>2.4034354512388987</v>
      </c>
      <c r="O52">
        <v>34.492823659419258</v>
      </c>
      <c r="P52">
        <v>10.677734182563146</v>
      </c>
      <c r="R52">
        <v>16.770340588421796</v>
      </c>
      <c r="S52">
        <v>51.313284132487468</v>
      </c>
      <c r="U52">
        <v>0.72887528736697871</v>
      </c>
      <c r="V52">
        <v>48.480804396803407</v>
      </c>
      <c r="W52">
        <v>22.43728864213033</v>
      </c>
      <c r="X52">
        <v>43.099082574353872</v>
      </c>
      <c r="Y52">
        <v>8.4317081899642439</v>
      </c>
      <c r="Z52">
        <v>26.094177768172546</v>
      </c>
      <c r="AA52">
        <v>7.0280338098632633</v>
      </c>
      <c r="AB52">
        <v>35.808361755483155</v>
      </c>
      <c r="AD52">
        <v>5.4623573320444336</v>
      </c>
      <c r="AE52">
        <v>10.350581575266094</v>
      </c>
      <c r="AF52">
        <v>13.070155926488718</v>
      </c>
      <c r="AG52">
        <v>21.23182210836287</v>
      </c>
      <c r="AH52">
        <v>5.3264842492327009</v>
      </c>
      <c r="AI52">
        <v>2.3436118638593637</v>
      </c>
      <c r="AK52">
        <v>45.942781868132919</v>
      </c>
    </row>
    <row r="53" spans="1:37" x14ac:dyDescent="0.2">
      <c r="A53">
        <v>52</v>
      </c>
      <c r="B53">
        <v>751</v>
      </c>
      <c r="C53">
        <v>225</v>
      </c>
      <c r="D53">
        <v>0.35185324415369101</v>
      </c>
      <c r="E53">
        <v>170.67296023018034</v>
      </c>
      <c r="F53">
        <v>53.785955146468851</v>
      </c>
      <c r="G53">
        <v>71.148092125516413</v>
      </c>
      <c r="H53">
        <v>66.531699624903993</v>
      </c>
      <c r="J53">
        <v>52.115184788900542</v>
      </c>
      <c r="L53">
        <v>7.2468245784359642</v>
      </c>
      <c r="M53">
        <v>13.467395189995006</v>
      </c>
      <c r="N53">
        <v>2.4054015530741428</v>
      </c>
      <c r="O53">
        <v>32.938676749134061</v>
      </c>
      <c r="P53">
        <v>10.231185004358437</v>
      </c>
      <c r="R53">
        <v>16.241717947644947</v>
      </c>
      <c r="S53">
        <v>50.69215436682304</v>
      </c>
      <c r="U53">
        <v>0.71768726935012084</v>
      </c>
      <c r="V53">
        <v>48.474107668711547</v>
      </c>
      <c r="W53">
        <v>22.213079900392568</v>
      </c>
      <c r="X53">
        <v>43.105768853853689</v>
      </c>
      <c r="Y53">
        <v>7.9947355845206802</v>
      </c>
      <c r="Z53">
        <v>25.291342814330914</v>
      </c>
      <c r="AA53">
        <v>6.6279012287769143</v>
      </c>
      <c r="AB53">
        <v>35.603951303291907</v>
      </c>
      <c r="AD53">
        <v>4.9791105257381503</v>
      </c>
      <c r="AE53">
        <v>10.041874693073693</v>
      </c>
      <c r="AF53">
        <v>13.105092936606756</v>
      </c>
      <c r="AG53">
        <v>21.012491061569495</v>
      </c>
      <c r="AH53">
        <v>4.6858793415395681</v>
      </c>
      <c r="AI53">
        <v>2.345288943595381</v>
      </c>
      <c r="AK53">
        <v>45.671923037411808</v>
      </c>
    </row>
    <row r="54" spans="1:37" x14ac:dyDescent="0.2">
      <c r="A54">
        <v>53</v>
      </c>
      <c r="B54">
        <v>750</v>
      </c>
      <c r="C54">
        <v>225</v>
      </c>
      <c r="D54">
        <v>0.35115134633240402</v>
      </c>
      <c r="E54">
        <v>170.38372370416616</v>
      </c>
      <c r="F54">
        <v>52.248138071501067</v>
      </c>
      <c r="G54">
        <v>70.893334869511705</v>
      </c>
      <c r="H54">
        <v>66.274606233096023</v>
      </c>
      <c r="J54">
        <v>51.654289694401228</v>
      </c>
      <c r="L54">
        <v>6.8137112703553795</v>
      </c>
      <c r="M54">
        <v>13.507890296450411</v>
      </c>
      <c r="N54">
        <v>2.4073658340883042</v>
      </c>
      <c r="O54">
        <v>31.249207421185179</v>
      </c>
      <c r="P54">
        <v>9.7451510172344751</v>
      </c>
      <c r="R54">
        <v>15.652453318078051</v>
      </c>
      <c r="S54">
        <v>49.935860306554304</v>
      </c>
      <c r="U54">
        <v>0.71211568698603545</v>
      </c>
      <c r="V54">
        <v>48.440108913311157</v>
      </c>
      <c r="W54">
        <v>21.995464925942947</v>
      </c>
      <c r="X54">
        <v>43.129072043875126</v>
      </c>
      <c r="Y54">
        <v>7.5179571615531762</v>
      </c>
      <c r="Z54">
        <v>24.40327885226742</v>
      </c>
      <c r="AA54">
        <v>6.1896786639948695</v>
      </c>
      <c r="AB54">
        <v>35.331417994323495</v>
      </c>
      <c r="AD54">
        <v>4.4445428489333665</v>
      </c>
      <c r="AE54">
        <v>9.698763784691236</v>
      </c>
      <c r="AF54">
        <v>13.144455473411274</v>
      </c>
      <c r="AG54">
        <v>20.725037888372857</v>
      </c>
      <c r="AH54">
        <v>3.983804533531754</v>
      </c>
      <c r="AI54">
        <v>2.3469633624109041</v>
      </c>
      <c r="AK54">
        <v>45.363778480351129</v>
      </c>
    </row>
    <row r="55" spans="1:37" x14ac:dyDescent="0.2">
      <c r="A55">
        <v>54</v>
      </c>
      <c r="B55">
        <v>749</v>
      </c>
      <c r="C55">
        <v>225</v>
      </c>
      <c r="D55">
        <v>0.350448075135744</v>
      </c>
      <c r="E55">
        <v>170.06824829717146</v>
      </c>
      <c r="F55">
        <v>50.508489087258837</v>
      </c>
      <c r="G55">
        <v>70.607939966184958</v>
      </c>
      <c r="H55">
        <v>65.986888355366361</v>
      </c>
      <c r="J55">
        <v>51.080173079307421</v>
      </c>
      <c r="L55">
        <v>6.3200325962810968</v>
      </c>
      <c r="M55">
        <v>13.553152562921692</v>
      </c>
      <c r="N55">
        <v>2.4093275649569712</v>
      </c>
      <c r="O55">
        <v>29.347948460343304</v>
      </c>
      <c r="P55">
        <v>9.1978470646655914</v>
      </c>
      <c r="R55">
        <v>14.970178988250947</v>
      </c>
      <c r="S55">
        <v>48.976988919164114</v>
      </c>
      <c r="U55">
        <v>0.7132350815986126</v>
      </c>
      <c r="V55">
        <v>48.366935785282102</v>
      </c>
      <c r="W55">
        <v>21.786567500045933</v>
      </c>
      <c r="X55">
        <v>43.172093078511779</v>
      </c>
      <c r="Y55">
        <v>6.9792948235716272</v>
      </c>
      <c r="Z55">
        <v>23.375747559131966</v>
      </c>
      <c r="AA55">
        <v>5.6921391496062279</v>
      </c>
      <c r="AB55">
        <v>34.955158153889073</v>
      </c>
      <c r="AD55">
        <v>3.8270452011060847</v>
      </c>
      <c r="AE55">
        <v>9.2982097164557889</v>
      </c>
      <c r="AF55">
        <v>13.188582962737794</v>
      </c>
      <c r="AG55">
        <v>20.333858190788028</v>
      </c>
      <c r="AH55">
        <v>3.1856166664477032</v>
      </c>
      <c r="AI55">
        <v>2.3486343891418091</v>
      </c>
      <c r="AK55">
        <v>44.99554559814387</v>
      </c>
    </row>
    <row r="56" spans="1:37" x14ac:dyDescent="0.2">
      <c r="A56">
        <v>55</v>
      </c>
      <c r="B56">
        <v>748</v>
      </c>
      <c r="C56">
        <v>225</v>
      </c>
      <c r="D56">
        <v>0.34974342652891699</v>
      </c>
      <c r="E56">
        <v>169.65707073746566</v>
      </c>
      <c r="F56">
        <v>48.05440335465795</v>
      </c>
      <c r="G56">
        <v>70.221151500861353</v>
      </c>
      <c r="H56">
        <v>65.597790098123909</v>
      </c>
      <c r="J56">
        <v>50.148331777856278</v>
      </c>
      <c r="L56">
        <v>5.6277516565504557</v>
      </c>
      <c r="M56">
        <v>13.599447453028114</v>
      </c>
      <c r="N56">
        <v>2.4112831230823617</v>
      </c>
      <c r="O56">
        <v>26.732468417327212</v>
      </c>
      <c r="P56">
        <v>8.4477577178013643</v>
      </c>
      <c r="R56">
        <v>13.98859813306948</v>
      </c>
      <c r="S56">
        <v>47.471794984078208</v>
      </c>
      <c r="U56">
        <v>0.72056963971752697</v>
      </c>
      <c r="V56">
        <v>48.21222199897425</v>
      </c>
      <c r="W56">
        <v>21.599666431947266</v>
      </c>
      <c r="X56">
        <v>43.233041828482619</v>
      </c>
      <c r="Y56">
        <v>6.2349616120001068</v>
      </c>
      <c r="Z56">
        <v>21.835630390193415</v>
      </c>
      <c r="AA56">
        <v>4.9965120772745575</v>
      </c>
      <c r="AB56">
        <v>34.28716523079791</v>
      </c>
      <c r="AD56">
        <v>2.9117456145624461</v>
      </c>
      <c r="AE56">
        <v>8.6788091499906841</v>
      </c>
      <c r="AF56">
        <v>13.233737251294919</v>
      </c>
      <c r="AG56">
        <v>19.650941801073802</v>
      </c>
      <c r="AH56">
        <v>2.0641068797750379</v>
      </c>
      <c r="AI56">
        <v>2.3502983993502533</v>
      </c>
      <c r="AK56">
        <v>44.413091291797514</v>
      </c>
    </row>
    <row r="57" spans="1:37" x14ac:dyDescent="0.2">
      <c r="A57">
        <v>56</v>
      </c>
      <c r="B57">
        <v>747</v>
      </c>
      <c r="C57">
        <v>225</v>
      </c>
      <c r="D57">
        <v>0.34903739646130499</v>
      </c>
      <c r="E57">
        <v>169.25449025018352</v>
      </c>
      <c r="F57">
        <v>44.566024509964876</v>
      </c>
      <c r="G57">
        <v>69.900591426312658</v>
      </c>
      <c r="H57">
        <v>65.274933435265169</v>
      </c>
      <c r="J57">
        <v>42.82549883796429</v>
      </c>
      <c r="L57">
        <v>4.0664016532667411</v>
      </c>
      <c r="M57">
        <v>13.719724215186725</v>
      </c>
      <c r="N57">
        <v>2.4132450533583683</v>
      </c>
      <c r="O57">
        <v>18.650179170374397</v>
      </c>
      <c r="P57">
        <v>7.8301394502477644</v>
      </c>
      <c r="R57">
        <v>12.15170509247802</v>
      </c>
      <c r="S57">
        <v>43.269032070591109</v>
      </c>
      <c r="U57">
        <v>0.70818215828396403</v>
      </c>
      <c r="V57">
        <v>47.741552013673555</v>
      </c>
      <c r="W57">
        <v>21.635260886635926</v>
      </c>
      <c r="X57">
        <v>43.23335385039212</v>
      </c>
      <c r="Y57">
        <v>4.9384284815895469</v>
      </c>
      <c r="Z57">
        <v>18.10916236003327</v>
      </c>
      <c r="AA57">
        <v>3.1770452138594845</v>
      </c>
      <c r="AB57">
        <v>32.18419769709984</v>
      </c>
      <c r="AD57">
        <v>0.83268297602242014</v>
      </c>
      <c r="AE57">
        <v>6.8092162910959591</v>
      </c>
      <c r="AF57">
        <v>13.352880138091418</v>
      </c>
      <c r="AG57">
        <v>17.533059742239381</v>
      </c>
      <c r="AI57">
        <v>2.3519679360898369</v>
      </c>
      <c r="AK57">
        <v>39.631532055770229</v>
      </c>
    </row>
    <row r="58" spans="1:37" x14ac:dyDescent="0.2">
      <c r="A58">
        <v>57</v>
      </c>
      <c r="B58">
        <v>746</v>
      </c>
      <c r="C58">
        <v>225</v>
      </c>
      <c r="D58">
        <v>0.34832998086640898</v>
      </c>
      <c r="E58">
        <v>169.17303164298801</v>
      </c>
      <c r="F58">
        <v>44.225694237408128</v>
      </c>
      <c r="G58">
        <v>69.951847163372406</v>
      </c>
      <c r="H58">
        <v>65.323905808791267</v>
      </c>
      <c r="J58">
        <v>35.869832158584174</v>
      </c>
      <c r="L58">
        <v>2.8354121775276071</v>
      </c>
      <c r="M58">
        <v>13.932212260837492</v>
      </c>
      <c r="N58">
        <v>2.4152238136132818</v>
      </c>
      <c r="O58">
        <v>11.638381550394392</v>
      </c>
      <c r="P58">
        <v>7.9561775847290628</v>
      </c>
      <c r="R58">
        <v>11.075045753781621</v>
      </c>
      <c r="S58">
        <v>39.547688372351892</v>
      </c>
      <c r="U58">
        <v>0.69119215896144881</v>
      </c>
      <c r="V58">
        <v>47.248364979155916</v>
      </c>
      <c r="W58">
        <v>21.766180613093546</v>
      </c>
      <c r="X58">
        <v>43.220563681530315</v>
      </c>
      <c r="Y58">
        <v>4.0469413397466276</v>
      </c>
      <c r="Z58">
        <v>17.29963243402284</v>
      </c>
      <c r="AA58">
        <v>1.6823350768904783</v>
      </c>
      <c r="AB58">
        <v>31.425108016804867</v>
      </c>
      <c r="AE58">
        <v>6.3299399983133329</v>
      </c>
      <c r="AF58">
        <v>13.564251498113293</v>
      </c>
      <c r="AG58">
        <v>16.759074942207743</v>
      </c>
      <c r="AI58">
        <v>2.3536534553485562</v>
      </c>
      <c r="AK58">
        <v>35.110188534397821</v>
      </c>
    </row>
    <row r="59" spans="1:37" x14ac:dyDescent="0.2">
      <c r="A59">
        <v>58</v>
      </c>
      <c r="B59">
        <v>745</v>
      </c>
      <c r="C59">
        <v>225</v>
      </c>
      <c r="D59">
        <v>0.347621175661739</v>
      </c>
      <c r="E59">
        <v>169.01668180207412</v>
      </c>
      <c r="F59">
        <v>44.185158126718264</v>
      </c>
      <c r="G59">
        <v>69.929957001754886</v>
      </c>
      <c r="H59">
        <v>65.299745529623564</v>
      </c>
      <c r="J59">
        <v>31.358019746286971</v>
      </c>
      <c r="L59">
        <v>1.8244933072675449</v>
      </c>
      <c r="M59">
        <v>14.143066945378727</v>
      </c>
      <c r="N59">
        <v>2.4171972657254486</v>
      </c>
      <c r="O59">
        <v>6.5231905796584604</v>
      </c>
      <c r="P59">
        <v>7.9359265858476613</v>
      </c>
      <c r="R59">
        <v>10.204995249452573</v>
      </c>
      <c r="S59">
        <v>36.578234632893384</v>
      </c>
      <c r="U59">
        <v>0.67158709611993672</v>
      </c>
      <c r="V59">
        <v>46.79296926925764</v>
      </c>
      <c r="W59">
        <v>21.89734261918051</v>
      </c>
      <c r="X59">
        <v>43.200482731898639</v>
      </c>
      <c r="Y59">
        <v>3.2065278102530361</v>
      </c>
      <c r="Z59">
        <v>17.625570354243131</v>
      </c>
      <c r="AA59">
        <v>0.5363695861455271</v>
      </c>
      <c r="AB59">
        <v>31.362952472690104</v>
      </c>
      <c r="AE59">
        <v>6.5196814637724447</v>
      </c>
      <c r="AF59">
        <v>13.773984554359133</v>
      </c>
      <c r="AG59">
        <v>16.682021551739503</v>
      </c>
      <c r="AI59">
        <v>2.3553328171649306</v>
      </c>
      <c r="AK59">
        <v>32.208741813939262</v>
      </c>
    </row>
    <row r="60" spans="1:37" x14ac:dyDescent="0.2">
      <c r="A60">
        <v>59</v>
      </c>
      <c r="B60">
        <v>744</v>
      </c>
      <c r="C60">
        <v>225</v>
      </c>
      <c r="D60">
        <v>0.34691097674876298</v>
      </c>
      <c r="E60">
        <v>168.82953800341014</v>
      </c>
      <c r="F60">
        <v>43.971163582403342</v>
      </c>
      <c r="G60">
        <v>69.898143035585861</v>
      </c>
      <c r="H60">
        <v>65.265674713137898</v>
      </c>
      <c r="J60">
        <v>27.531510275831067</v>
      </c>
      <c r="L60">
        <v>1.5904972734602307</v>
      </c>
      <c r="M60">
        <v>14.393902040239482</v>
      </c>
      <c r="N60">
        <v>2.4191668654251615</v>
      </c>
      <c r="O60">
        <v>5.3255399679318245</v>
      </c>
      <c r="P60">
        <v>7.8958321209467686</v>
      </c>
      <c r="R60">
        <v>10.148162476646208</v>
      </c>
      <c r="S60">
        <v>35.63291129561533</v>
      </c>
      <c r="U60">
        <v>0.6510333761666045</v>
      </c>
      <c r="V60">
        <v>46.388265903711869</v>
      </c>
      <c r="W60">
        <v>22.069142514784069</v>
      </c>
      <c r="X60">
        <v>43.177895614083347</v>
      </c>
      <c r="Y60">
        <v>2.8098251815792215</v>
      </c>
      <c r="Z60">
        <v>17.809859728731173</v>
      </c>
      <c r="AB60">
        <v>31.187838588744945</v>
      </c>
      <c r="AE60">
        <v>6.6273243137831006</v>
      </c>
      <c r="AF60">
        <v>14.023694539726621</v>
      </c>
      <c r="AG60">
        <v>16.492008556678044</v>
      </c>
      <c r="AI60">
        <v>2.3570074754280275</v>
      </c>
      <c r="AK60">
        <v>29.774415958953298</v>
      </c>
    </row>
    <row r="61" spans="1:37" x14ac:dyDescent="0.2">
      <c r="A61">
        <v>60</v>
      </c>
      <c r="B61">
        <v>743</v>
      </c>
      <c r="C61">
        <v>225</v>
      </c>
      <c r="D61">
        <v>0.34619938001279399</v>
      </c>
      <c r="E61">
        <v>168.63803950756676</v>
      </c>
      <c r="F61">
        <v>43.710284564890557</v>
      </c>
      <c r="G61">
        <v>69.864405858911681</v>
      </c>
      <c r="H61">
        <v>65.229693974672458</v>
      </c>
      <c r="J61">
        <v>24.567821657746304</v>
      </c>
      <c r="L61">
        <v>1.5842618794544614</v>
      </c>
      <c r="M61">
        <v>14.648581837456033</v>
      </c>
      <c r="N61">
        <v>2.4211356237465238</v>
      </c>
      <c r="O61">
        <v>5.2196834209101972</v>
      </c>
      <c r="P61">
        <v>7.8518984125782119</v>
      </c>
      <c r="R61">
        <v>10.320014442389718</v>
      </c>
      <c r="S61">
        <v>35.286985342311368</v>
      </c>
      <c r="U61">
        <v>0.62990073513885547</v>
      </c>
      <c r="V61">
        <v>46.011048752813508</v>
      </c>
      <c r="W61">
        <v>22.245181921391229</v>
      </c>
      <c r="X61">
        <v>43.153854177291556</v>
      </c>
      <c r="Y61">
        <v>2.5577451274880025</v>
      </c>
      <c r="Z61">
        <v>17.938530268342337</v>
      </c>
      <c r="AB61">
        <v>30.98184643165612</v>
      </c>
      <c r="AE61">
        <v>6.7025561508843809</v>
      </c>
      <c r="AF61">
        <v>14.277248763041014</v>
      </c>
      <c r="AG61">
        <v>16.271119040889285</v>
      </c>
      <c r="AI61">
        <v>2.3586804393323559</v>
      </c>
      <c r="AK61">
        <v>27.914757817005952</v>
      </c>
    </row>
    <row r="62" spans="1:37" x14ac:dyDescent="0.2">
      <c r="A62">
        <v>61</v>
      </c>
      <c r="B62">
        <v>771</v>
      </c>
      <c r="C62">
        <v>200</v>
      </c>
      <c r="D62">
        <v>0.391946080543984</v>
      </c>
      <c r="E62">
        <v>159.19720243295319</v>
      </c>
      <c r="F62">
        <v>66.568630600883552</v>
      </c>
      <c r="G62">
        <v>73.38907494396004</v>
      </c>
      <c r="H62">
        <v>68.821133666084464</v>
      </c>
      <c r="J62">
        <v>54.124120373376819</v>
      </c>
      <c r="L62">
        <v>10.685808722852022</v>
      </c>
      <c r="M62">
        <v>13.626910904605491</v>
      </c>
      <c r="N62">
        <v>2.4195148067950778</v>
      </c>
      <c r="O62">
        <v>48.456511559149405</v>
      </c>
      <c r="P62">
        <v>14.157508755391607</v>
      </c>
      <c r="Q62">
        <v>5.1626321211319097E-2</v>
      </c>
      <c r="R62">
        <v>21.610237417361265</v>
      </c>
      <c r="S62">
        <v>56.782489598953724</v>
      </c>
      <c r="U62">
        <v>1.4374109213131032</v>
      </c>
      <c r="V62">
        <v>48.13062041215121</v>
      </c>
      <c r="W62">
        <v>26.503578415189807</v>
      </c>
      <c r="X62">
        <v>42.998663740880446</v>
      </c>
      <c r="Y62">
        <v>11.717662178379486</v>
      </c>
      <c r="Z62">
        <v>32.715382615703476</v>
      </c>
      <c r="AA62">
        <v>10.215819994093414</v>
      </c>
      <c r="AB62">
        <v>37.419965291299462</v>
      </c>
      <c r="AC62">
        <v>0.1450243242152775</v>
      </c>
      <c r="AD62">
        <v>9.3010514865623062</v>
      </c>
      <c r="AE62">
        <v>13.237771858450611</v>
      </c>
      <c r="AF62">
        <v>13.417867755148038</v>
      </c>
      <c r="AG62">
        <v>23.288364285848388</v>
      </c>
      <c r="AH62">
        <v>9.7383035514595822</v>
      </c>
      <c r="AI62">
        <v>2.3619205665736498</v>
      </c>
      <c r="AK62">
        <v>46.86132644178916</v>
      </c>
    </row>
    <row r="63" spans="1:37" x14ac:dyDescent="0.2">
      <c r="A63">
        <v>62</v>
      </c>
      <c r="B63">
        <v>770</v>
      </c>
      <c r="C63">
        <v>200</v>
      </c>
      <c r="D63">
        <v>0.39129607439006903</v>
      </c>
      <c r="E63">
        <v>159.09657739548842</v>
      </c>
      <c r="F63">
        <v>66.258509681062009</v>
      </c>
      <c r="G63">
        <v>73.335893717868828</v>
      </c>
      <c r="H63">
        <v>68.765347242572446</v>
      </c>
      <c r="J63">
        <v>54.079060050915345</v>
      </c>
      <c r="L63">
        <v>10.60659494916613</v>
      </c>
      <c r="M63">
        <v>13.582520229896613</v>
      </c>
      <c r="N63">
        <v>2.4122961781458216</v>
      </c>
      <c r="O63">
        <v>48.070898671520077</v>
      </c>
      <c r="P63">
        <v>14.065281431379651</v>
      </c>
      <c r="Q63">
        <v>7.9009325175422875E-4</v>
      </c>
      <c r="R63">
        <v>21.42819179404459</v>
      </c>
      <c r="S63">
        <v>56.430524243800996</v>
      </c>
      <c r="U63">
        <v>1.3783601710947302</v>
      </c>
      <c r="V63">
        <v>48.058376932356254</v>
      </c>
      <c r="W63">
        <v>26.339162870313388</v>
      </c>
      <c r="X63">
        <v>42.86617504101676</v>
      </c>
      <c r="Y63">
        <v>11.636004030024141</v>
      </c>
      <c r="Z63">
        <v>32.543451212172194</v>
      </c>
      <c r="AA63">
        <v>10.133940784741018</v>
      </c>
      <c r="AB63">
        <v>37.306259455385927</v>
      </c>
      <c r="AC63">
        <v>0.13582342343686482</v>
      </c>
      <c r="AD63">
        <v>9.2061435113964478</v>
      </c>
      <c r="AE63">
        <v>13.158993426135281</v>
      </c>
      <c r="AF63">
        <v>13.363152331310266</v>
      </c>
      <c r="AG63">
        <v>23.150538655221048</v>
      </c>
      <c r="AH63">
        <v>9.6321178662782483</v>
      </c>
      <c r="AI63">
        <v>2.3544296562174787</v>
      </c>
      <c r="AK63">
        <v>46.866763090082571</v>
      </c>
    </row>
    <row r="64" spans="1:37" x14ac:dyDescent="0.2">
      <c r="A64">
        <v>63</v>
      </c>
      <c r="B64">
        <v>769</v>
      </c>
      <c r="C64">
        <v>200</v>
      </c>
      <c r="D64">
        <v>0.390644820803149</v>
      </c>
      <c r="E64">
        <v>158.98110691411085</v>
      </c>
      <c r="F64">
        <v>65.785001464256013</v>
      </c>
      <c r="G64">
        <v>73.254468748793684</v>
      </c>
      <c r="H64">
        <v>68.681329826657418</v>
      </c>
      <c r="J64">
        <v>54.052347110340634</v>
      </c>
      <c r="L64">
        <v>10.474263982602562</v>
      </c>
      <c r="M64">
        <v>13.603977251236406</v>
      </c>
      <c r="N64">
        <v>2.3939911238924991</v>
      </c>
      <c r="O64">
        <v>47.438353482177632</v>
      </c>
      <c r="P64">
        <v>13.905487623126417</v>
      </c>
      <c r="R64">
        <v>21.265302005744285</v>
      </c>
      <c r="S64">
        <v>56.355945240527362</v>
      </c>
      <c r="U64">
        <v>1.3652840149595005</v>
      </c>
      <c r="V64">
        <v>48.118382757598333</v>
      </c>
      <c r="W64">
        <v>26.231033787630203</v>
      </c>
      <c r="X64">
        <v>42.886904916663212</v>
      </c>
      <c r="Y64">
        <v>11.490423856961966</v>
      </c>
      <c r="Z64">
        <v>32.289400603361301</v>
      </c>
      <c r="AA64">
        <v>9.9936664763731393</v>
      </c>
      <c r="AB64">
        <v>37.318391851164243</v>
      </c>
      <c r="AC64">
        <v>0.11553624592001294</v>
      </c>
      <c r="AD64">
        <v>9.0638305823941749</v>
      </c>
      <c r="AE64">
        <v>13.053416218680219</v>
      </c>
      <c r="AF64">
        <v>13.363198415509597</v>
      </c>
      <c r="AG64">
        <v>23.127467270921734</v>
      </c>
      <c r="AH64">
        <v>9.4506778149709803</v>
      </c>
      <c r="AI64">
        <v>2.33585151506345</v>
      </c>
      <c r="AK64">
        <v>46.833515211795579</v>
      </c>
    </row>
    <row r="65" spans="1:37" x14ac:dyDescent="0.2">
      <c r="A65">
        <v>64</v>
      </c>
      <c r="B65">
        <v>768</v>
      </c>
      <c r="C65">
        <v>200</v>
      </c>
      <c r="D65">
        <v>0.38999231618883101</v>
      </c>
      <c r="E65">
        <v>158.86603621962587</v>
      </c>
      <c r="F65">
        <v>65.311895244603434</v>
      </c>
      <c r="G65">
        <v>73.172898898434013</v>
      </c>
      <c r="H65">
        <v>68.597180300320147</v>
      </c>
      <c r="J65">
        <v>54.024487863362012</v>
      </c>
      <c r="L65">
        <v>10.341048563537289</v>
      </c>
      <c r="M65">
        <v>13.625971644363446</v>
      </c>
      <c r="N65">
        <v>2.3756098075113359</v>
      </c>
      <c r="O65">
        <v>46.80464074138392</v>
      </c>
      <c r="P65">
        <v>13.745335239366348</v>
      </c>
      <c r="R65">
        <v>21.100535665868822</v>
      </c>
      <c r="S65">
        <v>56.277371948278109</v>
      </c>
      <c r="U65">
        <v>1.3529467286239134</v>
      </c>
      <c r="V65">
        <v>48.176820260853503</v>
      </c>
      <c r="W65">
        <v>26.123986194462045</v>
      </c>
      <c r="X65">
        <v>42.910047860414977</v>
      </c>
      <c r="Y65">
        <v>11.344459059042229</v>
      </c>
      <c r="Z65">
        <v>32.035466597509654</v>
      </c>
      <c r="AA65">
        <v>9.8528336387161399</v>
      </c>
      <c r="AB65">
        <v>37.328420709838234</v>
      </c>
      <c r="AC65">
        <v>9.5172954701013751E-2</v>
      </c>
      <c r="AD65">
        <v>8.9212927419469512</v>
      </c>
      <c r="AE65">
        <v>12.948022126683156</v>
      </c>
      <c r="AF65">
        <v>13.363705852394398</v>
      </c>
      <c r="AG65">
        <v>23.102218533305738</v>
      </c>
      <c r="AH65">
        <v>9.2686745916862829</v>
      </c>
      <c r="AI65">
        <v>2.317196304754364</v>
      </c>
      <c r="AK65">
        <v>46.800227989368267</v>
      </c>
    </row>
    <row r="66" spans="1:37" x14ac:dyDescent="0.2">
      <c r="A66">
        <v>65</v>
      </c>
      <c r="B66">
        <v>767</v>
      </c>
      <c r="C66">
        <v>200</v>
      </c>
      <c r="D66">
        <v>0.38933855693890601</v>
      </c>
      <c r="E66">
        <v>158.75139608324076</v>
      </c>
      <c r="F66">
        <v>64.839507594468927</v>
      </c>
      <c r="G66">
        <v>73.091241839357764</v>
      </c>
      <c r="H66">
        <v>68.512956356451028</v>
      </c>
      <c r="J66">
        <v>53.995448076691595</v>
      </c>
      <c r="L66">
        <v>10.207003606246277</v>
      </c>
      <c r="M66">
        <v>13.648391451580762</v>
      </c>
      <c r="N66">
        <v>2.3571715472303372</v>
      </c>
      <c r="O66">
        <v>46.170233619619509</v>
      </c>
      <c r="P66">
        <v>13.584958965386232</v>
      </c>
      <c r="R66">
        <v>20.933928151037463</v>
      </c>
      <c r="S66">
        <v>56.194284946833321</v>
      </c>
      <c r="U66">
        <v>1.3412660474440206</v>
      </c>
      <c r="V66">
        <v>48.23346314044408</v>
      </c>
      <c r="W66">
        <v>26.017934285668069</v>
      </c>
      <c r="X66">
        <v>42.935333735106511</v>
      </c>
      <c r="Y66">
        <v>11.19823682343884</v>
      </c>
      <c r="Z66">
        <v>31.781797748367218</v>
      </c>
      <c r="AA66">
        <v>9.7116317053402899</v>
      </c>
      <c r="AB66">
        <v>37.336092420412534</v>
      </c>
      <c r="AC66">
        <v>7.4752867568055659E-2</v>
      </c>
      <c r="AD66">
        <v>8.7786213201139045</v>
      </c>
      <c r="AE66">
        <v>12.842854495964367</v>
      </c>
      <c r="AF66">
        <v>13.364582007946153</v>
      </c>
      <c r="AG66">
        <v>23.074558155298288</v>
      </c>
      <c r="AH66">
        <v>9.0862639187852103</v>
      </c>
      <c r="AI66">
        <v>2.2984833416839869</v>
      </c>
      <c r="AK66">
        <v>46.766977650687224</v>
      </c>
    </row>
    <row r="67" spans="1:37" x14ac:dyDescent="0.2">
      <c r="A67">
        <v>66</v>
      </c>
      <c r="B67">
        <v>766</v>
      </c>
      <c r="C67">
        <v>200</v>
      </c>
      <c r="D67">
        <v>0.38868353943126899</v>
      </c>
      <c r="E67">
        <v>158.63719495718695</v>
      </c>
      <c r="F67">
        <v>64.367918341820527</v>
      </c>
      <c r="G67">
        <v>73.009514730843151</v>
      </c>
      <c r="H67">
        <v>68.428675174688351</v>
      </c>
      <c r="J67">
        <v>53.965225497891048</v>
      </c>
      <c r="L67">
        <v>10.072309103724619</v>
      </c>
      <c r="M67">
        <v>13.671218670565247</v>
      </c>
      <c r="N67">
        <v>2.3386798719379569</v>
      </c>
      <c r="O67">
        <v>45.535251350031153</v>
      </c>
      <c r="P67">
        <v>13.424396670611557</v>
      </c>
      <c r="R67">
        <v>20.765547090858277</v>
      </c>
      <c r="S67">
        <v>56.106585303787156</v>
      </c>
      <c r="U67">
        <v>1.3302244844685294</v>
      </c>
      <c r="V67">
        <v>48.288283025420014</v>
      </c>
      <c r="W67">
        <v>25.912870927603798</v>
      </c>
      <c r="X67">
        <v>42.962708419134962</v>
      </c>
      <c r="Y67">
        <v>11.051792807912761</v>
      </c>
      <c r="Z67">
        <v>31.52842385331196</v>
      </c>
      <c r="AA67">
        <v>9.5700921126789034</v>
      </c>
      <c r="AB67">
        <v>37.341345340967948</v>
      </c>
      <c r="AC67">
        <v>5.4279512968960393E-2</v>
      </c>
      <c r="AD67">
        <v>8.6358395185431576</v>
      </c>
      <c r="AE67">
        <v>12.737917684343417</v>
      </c>
      <c r="AF67">
        <v>13.365812414188573</v>
      </c>
      <c r="AG67">
        <v>23.044428029580327</v>
      </c>
      <c r="AH67">
        <v>8.9034938037975131</v>
      </c>
      <c r="AI67">
        <v>2.2797161529057175</v>
      </c>
      <c r="AK67">
        <v>46.733784758781212</v>
      </c>
    </row>
    <row r="68" spans="1:37" x14ac:dyDescent="0.2">
      <c r="A68">
        <v>67</v>
      </c>
      <c r="B68">
        <v>765</v>
      </c>
      <c r="C68">
        <v>200</v>
      </c>
      <c r="D68">
        <v>0.38802726002986099</v>
      </c>
      <c r="E68">
        <v>158.52344069979029</v>
      </c>
      <c r="F68">
        <v>63.897206705272815</v>
      </c>
      <c r="G68">
        <v>72.927734855496226</v>
      </c>
      <c r="H68">
        <v>68.344354058038803</v>
      </c>
      <c r="J68">
        <v>53.933822608091837</v>
      </c>
      <c r="L68">
        <v>9.936879154072674</v>
      </c>
      <c r="M68">
        <v>13.694434583522924</v>
      </c>
      <c r="N68">
        <v>2.3201384684101134</v>
      </c>
      <c r="O68">
        <v>44.899814719036677</v>
      </c>
      <c r="P68">
        <v>13.263686629075554</v>
      </c>
      <c r="R68">
        <v>20.595462855251505</v>
      </c>
      <c r="S68">
        <v>56.014190863416012</v>
      </c>
      <c r="U68">
        <v>1.319803471248419</v>
      </c>
      <c r="V68">
        <v>48.341257103534033</v>
      </c>
      <c r="W68">
        <v>25.808787179325822</v>
      </c>
      <c r="X68">
        <v>42.992114450372156</v>
      </c>
      <c r="Y68">
        <v>10.905163069220459</v>
      </c>
      <c r="Z68">
        <v>31.27537463824514</v>
      </c>
      <c r="AA68">
        <v>9.4282469638430779</v>
      </c>
      <c r="AB68">
        <v>37.344126523076859</v>
      </c>
      <c r="AC68">
        <v>3.3756577239014984E-2</v>
      </c>
      <c r="AD68">
        <v>8.4929706310627449</v>
      </c>
      <c r="AE68">
        <v>12.633215942227986</v>
      </c>
      <c r="AF68">
        <v>13.367382045581641</v>
      </c>
      <c r="AG68">
        <v>23.011778900228496</v>
      </c>
      <c r="AH68">
        <v>8.7204126626983154</v>
      </c>
      <c r="AI68">
        <v>2.2608984233610023</v>
      </c>
      <c r="AK68">
        <v>46.700670098634568</v>
      </c>
    </row>
    <row r="69" spans="1:37" x14ac:dyDescent="0.2">
      <c r="A69">
        <v>68</v>
      </c>
      <c r="B69">
        <v>764</v>
      </c>
      <c r="C69">
        <v>200</v>
      </c>
      <c r="D69">
        <v>0.38736971508460899</v>
      </c>
      <c r="E69">
        <v>158.41014054361571</v>
      </c>
      <c r="F69">
        <v>63.42745083566281</v>
      </c>
      <c r="G69">
        <v>72.845919515076361</v>
      </c>
      <c r="H69">
        <v>68.260010328701028</v>
      </c>
      <c r="J69">
        <v>53.901246447623734</v>
      </c>
      <c r="L69">
        <v>9.8008313044682911</v>
      </c>
      <c r="M69">
        <v>13.718019886570127</v>
      </c>
      <c r="N69">
        <v>2.3015511552345571</v>
      </c>
      <c r="O69">
        <v>44.264045305543576</v>
      </c>
      <c r="P69">
        <v>13.102867284986434</v>
      </c>
      <c r="R69">
        <v>20.423748068999011</v>
      </c>
      <c r="S69">
        <v>55.917036156486077</v>
      </c>
      <c r="U69">
        <v>1.3099834962477712</v>
      </c>
      <c r="V69">
        <v>48.392368028986233</v>
      </c>
      <c r="W69">
        <v>25.705672395603031</v>
      </c>
      <c r="X69">
        <v>43.023491451948068</v>
      </c>
      <c r="Y69">
        <v>10.758383842153862</v>
      </c>
      <c r="Z69">
        <v>31.022679574393813</v>
      </c>
      <c r="AA69">
        <v>9.2861912926911891</v>
      </c>
      <c r="AB69">
        <v>37.344391723587016</v>
      </c>
      <c r="AC69">
        <v>1.3187878525103901E-2</v>
      </c>
      <c r="AD69">
        <v>8.3500379154546778</v>
      </c>
      <c r="AE69">
        <v>12.528753382594795</v>
      </c>
      <c r="AF69">
        <v>13.369275422311322</v>
      </c>
      <c r="AG69">
        <v>22.976570348428151</v>
      </c>
      <c r="AH69">
        <v>8.5370690437553698</v>
      </c>
      <c r="AI69">
        <v>2.2420339698016041</v>
      </c>
      <c r="AK69">
        <v>46.66765454696877</v>
      </c>
    </row>
    <row r="70" spans="1:37" x14ac:dyDescent="0.2">
      <c r="A70">
        <v>69</v>
      </c>
      <c r="B70">
        <v>763</v>
      </c>
      <c r="C70">
        <v>200</v>
      </c>
      <c r="D70">
        <v>0.38671090093133698</v>
      </c>
      <c r="E70">
        <v>158.25473625347533</v>
      </c>
      <c r="F70">
        <v>62.733462254144634</v>
      </c>
      <c r="G70">
        <v>72.728367072873425</v>
      </c>
      <c r="H70">
        <v>68.139942370443279</v>
      </c>
      <c r="J70">
        <v>53.804983125004249</v>
      </c>
      <c r="L70">
        <v>9.6103031606870211</v>
      </c>
      <c r="M70">
        <v>13.739184643210686</v>
      </c>
      <c r="N70">
        <v>2.2901434316454496</v>
      </c>
      <c r="O70">
        <v>43.425358918201319</v>
      </c>
      <c r="P70">
        <v>12.877760886322502</v>
      </c>
      <c r="R70">
        <v>20.182695054584034</v>
      </c>
      <c r="S70">
        <v>55.753268734945848</v>
      </c>
      <c r="U70">
        <v>1.2922400911179828</v>
      </c>
      <c r="V70">
        <v>48.448203197860536</v>
      </c>
      <c r="W70">
        <v>25.55228452425095</v>
      </c>
      <c r="X70">
        <v>43.024566867363021</v>
      </c>
      <c r="Y70">
        <v>10.545775966359255</v>
      </c>
      <c r="Z70">
        <v>30.642905155665613</v>
      </c>
      <c r="AA70">
        <v>9.0875752532331386</v>
      </c>
      <c r="AB70">
        <v>37.328581531788991</v>
      </c>
      <c r="AD70">
        <v>8.1294684481390114</v>
      </c>
      <c r="AE70">
        <v>12.377111878252478</v>
      </c>
      <c r="AF70">
        <v>13.375928112615298</v>
      </c>
      <c r="AG70">
        <v>22.932468468466361</v>
      </c>
      <c r="AH70">
        <v>8.2484467853404571</v>
      </c>
      <c r="AI70">
        <v>2.2303482896259328</v>
      </c>
      <c r="AK70">
        <v>46.581776787344495</v>
      </c>
    </row>
    <row r="71" spans="1:37" x14ac:dyDescent="0.2">
      <c r="A71">
        <v>70</v>
      </c>
      <c r="B71">
        <v>762</v>
      </c>
      <c r="C71">
        <v>200</v>
      </c>
      <c r="D71">
        <v>0.38605081389170998</v>
      </c>
      <c r="E71">
        <v>158.01865989449263</v>
      </c>
      <c r="F71">
        <v>61.605283784040168</v>
      </c>
      <c r="G71">
        <v>72.541289251495201</v>
      </c>
      <c r="H71">
        <v>67.950361926391295</v>
      </c>
      <c r="J71">
        <v>53.581090426296171</v>
      </c>
      <c r="L71">
        <v>9.3124171344127795</v>
      </c>
      <c r="M71">
        <v>13.757181624295265</v>
      </c>
      <c r="N71">
        <v>2.2921181416701053</v>
      </c>
      <c r="O71">
        <v>42.189497982894487</v>
      </c>
      <c r="P71">
        <v>12.526993744552881</v>
      </c>
      <c r="R71">
        <v>19.803366635154642</v>
      </c>
      <c r="S71">
        <v>55.448308141984683</v>
      </c>
      <c r="U71">
        <v>1.2611743943040286</v>
      </c>
      <c r="V71">
        <v>48.509229806688168</v>
      </c>
      <c r="W71">
        <v>25.306272573294642</v>
      </c>
      <c r="X71">
        <v>42.973241209523977</v>
      </c>
      <c r="Y71">
        <v>10.204727107523819</v>
      </c>
      <c r="Z71">
        <v>30.017161611731805</v>
      </c>
      <c r="AA71">
        <v>8.7783931329682243</v>
      </c>
      <c r="AB71">
        <v>37.275284284996175</v>
      </c>
      <c r="AD71">
        <v>7.7583757879962789</v>
      </c>
      <c r="AE71">
        <v>12.134429235908444</v>
      </c>
      <c r="AF71">
        <v>13.392795736881604</v>
      </c>
      <c r="AG71">
        <v>22.86426444746839</v>
      </c>
      <c r="AH71">
        <v>7.7550198200867522</v>
      </c>
      <c r="AI71">
        <v>2.2320442250247337</v>
      </c>
      <c r="AK71">
        <v>46.392926021542529</v>
      </c>
    </row>
    <row r="72" spans="1:37" x14ac:dyDescent="0.2">
      <c r="A72">
        <v>71</v>
      </c>
      <c r="B72">
        <v>761</v>
      </c>
      <c r="C72">
        <v>200</v>
      </c>
      <c r="D72">
        <v>0.38538945027317301</v>
      </c>
      <c r="E72">
        <v>157.77939820269032</v>
      </c>
      <c r="F72">
        <v>60.449235894771213</v>
      </c>
      <c r="G72">
        <v>72.348909791227257</v>
      </c>
      <c r="H72">
        <v>67.755492757389149</v>
      </c>
      <c r="J72">
        <v>53.338446836283666</v>
      </c>
      <c r="L72">
        <v>9.0033213047706884</v>
      </c>
      <c r="M72">
        <v>13.77802578797129</v>
      </c>
      <c r="N72">
        <v>2.2940921375237813</v>
      </c>
      <c r="O72">
        <v>40.919094246667257</v>
      </c>
      <c r="P72">
        <v>12.165630214749905</v>
      </c>
      <c r="R72">
        <v>19.404941861751425</v>
      </c>
      <c r="S72">
        <v>55.102067748429093</v>
      </c>
      <c r="U72">
        <v>1.23355736215717</v>
      </c>
      <c r="V72">
        <v>48.559854836985011</v>
      </c>
      <c r="W72">
        <v>25.063570054550365</v>
      </c>
      <c r="X72">
        <v>42.932166440843659</v>
      </c>
      <c r="Y72">
        <v>9.853089583990517</v>
      </c>
      <c r="Z72">
        <v>29.374913857986197</v>
      </c>
      <c r="AA72">
        <v>8.4592398768888089</v>
      </c>
      <c r="AB72">
        <v>37.202633643127818</v>
      </c>
      <c r="AD72">
        <v>7.3762531342634006</v>
      </c>
      <c r="AE72">
        <v>11.886147497058388</v>
      </c>
      <c r="AF72">
        <v>13.412510110996362</v>
      </c>
      <c r="AG72">
        <v>22.776708803371584</v>
      </c>
      <c r="AH72">
        <v>7.2455415798305083</v>
      </c>
      <c r="AI72">
        <v>2.233738626377046</v>
      </c>
      <c r="AK72">
        <v>46.196122712775271</v>
      </c>
    </row>
    <row r="73" spans="1:37" x14ac:dyDescent="0.2">
      <c r="A73">
        <v>72</v>
      </c>
      <c r="B73">
        <v>760</v>
      </c>
      <c r="C73">
        <v>200</v>
      </c>
      <c r="D73">
        <v>0.38472680636887402</v>
      </c>
      <c r="E73">
        <v>157.53626885176953</v>
      </c>
      <c r="F73">
        <v>59.260174002845226</v>
      </c>
      <c r="G73">
        <v>72.150476664387099</v>
      </c>
      <c r="H73">
        <v>67.55458285635099</v>
      </c>
      <c r="J73">
        <v>53.073853783730883</v>
      </c>
      <c r="L73">
        <v>8.6815137900329216</v>
      </c>
      <c r="M73">
        <v>13.801839327830196</v>
      </c>
      <c r="N73">
        <v>2.2960653490592615</v>
      </c>
      <c r="O73">
        <v>39.608862936657282</v>
      </c>
      <c r="P73">
        <v>11.792166193750543</v>
      </c>
      <c r="R73">
        <v>18.985376377210919</v>
      </c>
      <c r="S73">
        <v>54.708174604678838</v>
      </c>
      <c r="U73">
        <v>1.2095194995433971</v>
      </c>
      <c r="V73">
        <v>48.598834048861406</v>
      </c>
      <c r="W73">
        <v>24.824467093603918</v>
      </c>
      <c r="X73">
        <v>42.901733394316501</v>
      </c>
      <c r="Y73">
        <v>9.4893360522558154</v>
      </c>
      <c r="Z73">
        <v>28.712563804339091</v>
      </c>
      <c r="AA73">
        <v>8.1285111909567487</v>
      </c>
      <c r="AB73">
        <v>37.107305150973914</v>
      </c>
      <c r="AD73">
        <v>6.9809917650649469</v>
      </c>
      <c r="AE73">
        <v>11.630742923458463</v>
      </c>
      <c r="AF73">
        <v>13.43519336393911</v>
      </c>
      <c r="AG73">
        <v>22.666477016637625</v>
      </c>
      <c r="AH73">
        <v>6.7176487601005785</v>
      </c>
      <c r="AI73">
        <v>2.2354314216976876</v>
      </c>
      <c r="AK73">
        <v>45.989834807154864</v>
      </c>
    </row>
    <row r="74" spans="1:37" x14ac:dyDescent="0.2">
      <c r="A74">
        <v>73</v>
      </c>
      <c r="B74">
        <v>759</v>
      </c>
      <c r="C74">
        <v>200</v>
      </c>
      <c r="D74">
        <v>0.38406287845759102</v>
      </c>
      <c r="E74">
        <v>157.28833655691545</v>
      </c>
      <c r="F74">
        <v>58.031028414431411</v>
      </c>
      <c r="G74">
        <v>71.944960703214008</v>
      </c>
      <c r="H74">
        <v>67.346603076154665</v>
      </c>
      <c r="J74">
        <v>52.783107083648964</v>
      </c>
      <c r="L74">
        <v>8.3451866575287603</v>
      </c>
      <c r="M74">
        <v>13.828756826199664</v>
      </c>
      <c r="N74">
        <v>2.298037687306719</v>
      </c>
      <c r="O74">
        <v>38.251572297041726</v>
      </c>
      <c r="P74">
        <v>11.40454327947541</v>
      </c>
      <c r="R74">
        <v>18.541822433668649</v>
      </c>
      <c r="S74">
        <v>54.25864991771958</v>
      </c>
      <c r="U74">
        <v>1.189221696121366</v>
      </c>
      <c r="V74">
        <v>48.62466119640338</v>
      </c>
      <c r="W74">
        <v>24.589304337979645</v>
      </c>
      <c r="X74">
        <v>42.882421280243754</v>
      </c>
      <c r="Y74">
        <v>9.1113768674802458</v>
      </c>
      <c r="Z74">
        <v>28.02513657602556</v>
      </c>
      <c r="AA74">
        <v>7.7843099684197954</v>
      </c>
      <c r="AB74">
        <v>36.985118495280226</v>
      </c>
      <c r="AD74">
        <v>6.569680914793663</v>
      </c>
      <c r="AE74">
        <v>11.366104041324586</v>
      </c>
      <c r="AF74">
        <v>13.460979994617098</v>
      </c>
      <c r="AG74">
        <v>22.529388690882886</v>
      </c>
      <c r="AH74">
        <v>6.168100288490856</v>
      </c>
      <c r="AI74">
        <v>2.2371225201802636</v>
      </c>
      <c r="AK74">
        <v>45.771949221797428</v>
      </c>
    </row>
    <row r="75" spans="1:37" x14ac:dyDescent="0.2">
      <c r="A75">
        <v>74</v>
      </c>
      <c r="B75">
        <v>758</v>
      </c>
      <c r="C75">
        <v>200</v>
      </c>
      <c r="D75">
        <v>0.383397662803666</v>
      </c>
      <c r="E75">
        <v>157.03426631780343</v>
      </c>
      <c r="F75">
        <v>56.751688904685345</v>
      </c>
      <c r="G75">
        <v>71.730893522262775</v>
      </c>
      <c r="H75">
        <v>67.130085052032229</v>
      </c>
      <c r="J75">
        <v>52.460405576448366</v>
      </c>
      <c r="L75">
        <v>7.9913533031066759</v>
      </c>
      <c r="M75">
        <v>13.858932503206493</v>
      </c>
      <c r="N75">
        <v>2.3000090346793436</v>
      </c>
      <c r="O75">
        <v>36.836910236965913</v>
      </c>
      <c r="P75">
        <v>10.999824605915826</v>
      </c>
      <c r="R75">
        <v>18.070141798157724</v>
      </c>
      <c r="S75">
        <v>53.742937368531607</v>
      </c>
      <c r="U75">
        <v>1.1728741677720627</v>
      </c>
      <c r="V75">
        <v>48.635393958337474</v>
      </c>
      <c r="W75">
        <v>24.358499678949009</v>
      </c>
      <c r="X75">
        <v>42.874852384658311</v>
      </c>
      <c r="Y75">
        <v>8.7162317436897929</v>
      </c>
      <c r="Z75">
        <v>27.305489048602183</v>
      </c>
      <c r="AA75">
        <v>7.4236243787284764</v>
      </c>
      <c r="AB75">
        <v>36.830526986533386</v>
      </c>
      <c r="AD75">
        <v>6.138145612715876</v>
      </c>
      <c r="AE75">
        <v>11.089195987067658</v>
      </c>
      <c r="AF75">
        <v>13.490024111128339</v>
      </c>
      <c r="AG75">
        <v>22.359897024862761</v>
      </c>
      <c r="AH75">
        <v>5.5922655785811735</v>
      </c>
      <c r="AI75">
        <v>2.2388118024002321</v>
      </c>
      <c r="AK75">
        <v>45.539435895736474</v>
      </c>
    </row>
    <row r="76" spans="1:37" x14ac:dyDescent="0.2">
      <c r="A76">
        <v>75</v>
      </c>
      <c r="B76">
        <v>757</v>
      </c>
      <c r="C76">
        <v>200</v>
      </c>
      <c r="D76">
        <v>0.38273115565694399</v>
      </c>
      <c r="E76">
        <v>156.77206382527905</v>
      </c>
      <c r="F76">
        <v>55.407032183996314</v>
      </c>
      <c r="G76">
        <v>71.506082764810984</v>
      </c>
      <c r="H76">
        <v>66.902836447978501</v>
      </c>
      <c r="J76">
        <v>52.097299846703621</v>
      </c>
      <c r="L76">
        <v>7.615846982452247</v>
      </c>
      <c r="M76">
        <v>13.892547936979286</v>
      </c>
      <c r="N76">
        <v>2.3019792274013833</v>
      </c>
      <c r="O76">
        <v>35.349489105479002</v>
      </c>
      <c r="P76">
        <v>10.573625318390469</v>
      </c>
      <c r="R76">
        <v>17.564047108402303</v>
      </c>
      <c r="S76">
        <v>53.14617000248132</v>
      </c>
      <c r="U76">
        <v>1.1607655462071107</v>
      </c>
      <c r="V76">
        <v>48.628342911898912</v>
      </c>
      <c r="W76">
        <v>24.13259842821234</v>
      </c>
      <c r="X76">
        <v>42.879875577763841</v>
      </c>
      <c r="Y76">
        <v>8.299452448940082</v>
      </c>
      <c r="Z76">
        <v>26.542902342843401</v>
      </c>
      <c r="AA76">
        <v>7.0422331284985411</v>
      </c>
      <c r="AB76">
        <v>36.635703833626422</v>
      </c>
      <c r="AD76">
        <v>5.680125760812853</v>
      </c>
      <c r="AE76">
        <v>10.79546145609185</v>
      </c>
      <c r="AF76">
        <v>13.522507133400461</v>
      </c>
      <c r="AG76">
        <v>22.150175069571066</v>
      </c>
      <c r="AH76">
        <v>4.9832223327661582</v>
      </c>
      <c r="AI76">
        <v>2.2404991027435264</v>
      </c>
      <c r="AK76">
        <v>45.287751832860664</v>
      </c>
    </row>
    <row r="77" spans="1:37" x14ac:dyDescent="0.2">
      <c r="A77">
        <v>76</v>
      </c>
      <c r="B77">
        <v>756</v>
      </c>
      <c r="C77">
        <v>200</v>
      </c>
      <c r="D77">
        <v>0.38206335325268598</v>
      </c>
      <c r="E77">
        <v>156.49858281386204</v>
      </c>
      <c r="F77">
        <v>53.973179280326612</v>
      </c>
      <c r="G77">
        <v>71.2670758276264</v>
      </c>
      <c r="H77">
        <v>66.661404681519485</v>
      </c>
      <c r="J77">
        <v>51.680694795949471</v>
      </c>
      <c r="L77">
        <v>7.2119485743836194</v>
      </c>
      <c r="M77">
        <v>13.929815666926631</v>
      </c>
      <c r="N77">
        <v>2.3039480236758867</v>
      </c>
      <c r="O77">
        <v>33.765079601709417</v>
      </c>
      <c r="P77">
        <v>10.119039991231347</v>
      </c>
      <c r="R77">
        <v>17.013478215384424</v>
      </c>
      <c r="S77">
        <v>52.445886543815817</v>
      </c>
      <c r="U77">
        <v>1.1533085942720582</v>
      </c>
      <c r="V77">
        <v>48.59948298530599</v>
      </c>
      <c r="W77">
        <v>23.912372393319384</v>
      </c>
      <c r="X77">
        <v>42.898696297799169</v>
      </c>
      <c r="Y77">
        <v>7.8540346489635953</v>
      </c>
      <c r="Z77">
        <v>25.720394102313836</v>
      </c>
      <c r="AA77">
        <v>6.6333808277951469</v>
      </c>
      <c r="AB77">
        <v>36.388803137995609</v>
      </c>
      <c r="AD77">
        <v>5.1857108864795478</v>
      </c>
      <c r="AE77">
        <v>10.477672269498589</v>
      </c>
      <c r="AF77">
        <v>13.558641364631168</v>
      </c>
      <c r="AG77">
        <v>21.888376690540522</v>
      </c>
      <c r="AH77">
        <v>4.3300504487151388</v>
      </c>
      <c r="AI77">
        <v>2.2421841775749969</v>
      </c>
      <c r="AK77">
        <v>45.009706351949049</v>
      </c>
    </row>
    <row r="78" spans="1:37" x14ac:dyDescent="0.2">
      <c r="A78">
        <v>77</v>
      </c>
      <c r="B78">
        <v>755</v>
      </c>
      <c r="C78">
        <v>200</v>
      </c>
      <c r="D78">
        <v>0.38139425181150599</v>
      </c>
      <c r="E78">
        <v>156.20850613989288</v>
      </c>
      <c r="F78">
        <v>52.409755511072142</v>
      </c>
      <c r="G78">
        <v>71.008060197955004</v>
      </c>
      <c r="H78">
        <v>66.399977260698563</v>
      </c>
      <c r="J78">
        <v>51.188723302591214</v>
      </c>
      <c r="L78">
        <v>6.768304799924608</v>
      </c>
      <c r="M78">
        <v>13.970960709023126</v>
      </c>
      <c r="N78">
        <v>2.3059150400494102</v>
      </c>
      <c r="O78">
        <v>32.042868482751096</v>
      </c>
      <c r="P78">
        <v>9.6244432381388876</v>
      </c>
      <c r="R78">
        <v>16.401255512508012</v>
      </c>
      <c r="S78">
        <v>51.60529716022608</v>
      </c>
      <c r="U78">
        <v>1.1511126544958716</v>
      </c>
      <c r="V78">
        <v>48.542249480162759</v>
      </c>
      <c r="W78">
        <v>23.69903135472536</v>
      </c>
      <c r="X78">
        <v>42.933078991520752</v>
      </c>
      <c r="Y78">
        <v>7.3681844204984923</v>
      </c>
      <c r="Z78">
        <v>24.80911863998568</v>
      </c>
      <c r="AA78">
        <v>6.1857433592567101</v>
      </c>
      <c r="AB78">
        <v>36.070373386592209</v>
      </c>
      <c r="AD78">
        <v>4.6380846426819415</v>
      </c>
      <c r="AE78">
        <v>10.123526305936869</v>
      </c>
      <c r="AF78">
        <v>13.598651442938642</v>
      </c>
      <c r="AG78">
        <v>21.55504999718379</v>
      </c>
      <c r="AH78">
        <v>3.6143173682608625</v>
      </c>
      <c r="AI78">
        <v>2.2438666416021871</v>
      </c>
      <c r="AK78">
        <v>44.69310469412725</v>
      </c>
    </row>
    <row r="79" spans="1:37" x14ac:dyDescent="0.2">
      <c r="A79">
        <v>78</v>
      </c>
      <c r="B79">
        <v>754</v>
      </c>
      <c r="C79">
        <v>200</v>
      </c>
      <c r="D79">
        <v>0.38072384753930699</v>
      </c>
      <c r="E79">
        <v>155.8920135963663</v>
      </c>
      <c r="F79">
        <v>50.642171764594181</v>
      </c>
      <c r="G79">
        <v>70.718372427117444</v>
      </c>
      <c r="H79">
        <v>66.107890757676117</v>
      </c>
      <c r="J79">
        <v>50.581327073567195</v>
      </c>
      <c r="L79">
        <v>6.2640125099237194</v>
      </c>
      <c r="M79">
        <v>14.016106814713286</v>
      </c>
      <c r="N79">
        <v>2.3078796136788382</v>
      </c>
      <c r="O79">
        <v>30.107864819774736</v>
      </c>
      <c r="P79">
        <v>9.0685075216332844</v>
      </c>
      <c r="R79">
        <v>15.69544741586326</v>
      </c>
      <c r="S79">
        <v>50.558092469816081</v>
      </c>
      <c r="U79">
        <v>1.1550887924243896</v>
      </c>
      <c r="V79">
        <v>48.444831005286972</v>
      </c>
      <c r="W79">
        <v>23.494724814002051</v>
      </c>
      <c r="X79">
        <v>42.98562811510476</v>
      </c>
      <c r="Y79">
        <v>6.8202525572476267</v>
      </c>
      <c r="Z79">
        <v>23.755427088626899</v>
      </c>
      <c r="AA79">
        <v>5.6783173959737612</v>
      </c>
      <c r="AB79">
        <v>35.645205328113242</v>
      </c>
      <c r="AD79">
        <v>4.0060175384128138</v>
      </c>
      <c r="AE79">
        <v>9.7100665081818676</v>
      </c>
      <c r="AF79">
        <v>13.642660462536773</v>
      </c>
      <c r="AG79">
        <v>21.114985081286232</v>
      </c>
      <c r="AH79">
        <v>2.8020676813597984</v>
      </c>
      <c r="AI79">
        <v>2.245545830144017</v>
      </c>
      <c r="AK79">
        <v>44.315325680009245</v>
      </c>
    </row>
    <row r="80" spans="1:37" x14ac:dyDescent="0.2">
      <c r="A80">
        <v>79</v>
      </c>
      <c r="B80">
        <v>753</v>
      </c>
      <c r="C80">
        <v>200</v>
      </c>
      <c r="D80">
        <v>0.380052136627202</v>
      </c>
      <c r="E80">
        <v>155.5289096173301</v>
      </c>
      <c r="F80">
        <v>48.516976725621298</v>
      </c>
      <c r="G80">
        <v>70.376318056856661</v>
      </c>
      <c r="H80">
        <v>65.763450735072979</v>
      </c>
      <c r="J80">
        <v>49.776641814612582</v>
      </c>
      <c r="L80">
        <v>5.656462674104092</v>
      </c>
      <c r="M80">
        <v>14.064738619573248</v>
      </c>
      <c r="N80">
        <v>2.3098404847867098</v>
      </c>
      <c r="O80">
        <v>27.807044110865732</v>
      </c>
      <c r="P80">
        <v>8.4078426882087012</v>
      </c>
      <c r="R80">
        <v>14.830248681243731</v>
      </c>
      <c r="S80">
        <v>49.171119083356473</v>
      </c>
      <c r="U80">
        <v>1.1665002670957225</v>
      </c>
      <c r="V80">
        <v>48.283550604354645</v>
      </c>
      <c r="W80">
        <v>23.303883669675269</v>
      </c>
      <c r="X80">
        <v>43.059851985599046</v>
      </c>
      <c r="Y80">
        <v>6.1661424858819887</v>
      </c>
      <c r="Z80">
        <v>22.44779907783386</v>
      </c>
      <c r="AA80">
        <v>5.0685181031245596</v>
      </c>
      <c r="AB80">
        <v>35.042051588211045</v>
      </c>
      <c r="AD80">
        <v>3.2247335624466489</v>
      </c>
      <c r="AE80">
        <v>9.1893185557527577</v>
      </c>
      <c r="AF80">
        <v>13.690151804845703</v>
      </c>
      <c r="AG80">
        <v>20.4969333146732</v>
      </c>
      <c r="AH80">
        <v>1.823755643085869</v>
      </c>
      <c r="AI80">
        <v>2.247220481583081</v>
      </c>
      <c r="AK80">
        <v>43.82955128147934</v>
      </c>
    </row>
    <row r="81" spans="1:37" x14ac:dyDescent="0.2">
      <c r="A81">
        <v>80</v>
      </c>
      <c r="B81">
        <v>752</v>
      </c>
      <c r="C81">
        <v>200</v>
      </c>
      <c r="D81">
        <v>0.37937911525142798</v>
      </c>
      <c r="E81">
        <v>155.19769961253766</v>
      </c>
      <c r="F81">
        <v>45.568230831113326</v>
      </c>
      <c r="G81">
        <v>70.10380946513304</v>
      </c>
      <c r="H81">
        <v>65.488569591770798</v>
      </c>
      <c r="J81">
        <v>43.757356648152289</v>
      </c>
      <c r="L81">
        <v>4.3908897369561526</v>
      </c>
      <c r="M81">
        <v>14.178965157529174</v>
      </c>
      <c r="N81">
        <v>2.3118067868856436</v>
      </c>
      <c r="O81">
        <v>21.258924472704006</v>
      </c>
      <c r="P81">
        <v>7.8862826501487762</v>
      </c>
      <c r="R81">
        <v>13.302770158827945</v>
      </c>
      <c r="S81">
        <v>45.480174026950515</v>
      </c>
      <c r="U81">
        <v>1.1736969144842362</v>
      </c>
      <c r="V81">
        <v>47.789092228945321</v>
      </c>
      <c r="W81">
        <v>23.285799649678577</v>
      </c>
      <c r="X81">
        <v>43.118654591753014</v>
      </c>
      <c r="Y81">
        <v>5.1043273644809544</v>
      </c>
      <c r="Z81">
        <v>19.260689662613668</v>
      </c>
      <c r="AA81">
        <v>3.5980882020248535</v>
      </c>
      <c r="AB81">
        <v>33.069512505147912</v>
      </c>
      <c r="AD81">
        <v>1.459927609368995</v>
      </c>
      <c r="AE81">
        <v>7.5725766336463973</v>
      </c>
      <c r="AF81">
        <v>13.803243642942668</v>
      </c>
      <c r="AG81">
        <v>18.509504175090296</v>
      </c>
      <c r="AI81">
        <v>2.2488997275932183</v>
      </c>
      <c r="AK81">
        <v>39.95846921462396</v>
      </c>
    </row>
    <row r="82" spans="1:37" x14ac:dyDescent="0.2">
      <c r="A82">
        <v>81</v>
      </c>
      <c r="B82">
        <v>751</v>
      </c>
      <c r="C82">
        <v>200</v>
      </c>
      <c r="D82">
        <v>0.378704779573308</v>
      </c>
      <c r="E82">
        <v>155.1840497126995</v>
      </c>
      <c r="F82">
        <v>44.915832879049844</v>
      </c>
      <c r="G82">
        <v>70.213405028369436</v>
      </c>
      <c r="H82">
        <v>65.595805725152303</v>
      </c>
      <c r="J82">
        <v>36.613080304152533</v>
      </c>
      <c r="L82">
        <v>3.2546359614570246</v>
      </c>
      <c r="M82">
        <v>14.391577370610621</v>
      </c>
      <c r="N82">
        <v>2.3137925528565328</v>
      </c>
      <c r="O82">
        <v>14.442886133994804</v>
      </c>
      <c r="P82">
        <v>8.1289582160902718</v>
      </c>
      <c r="R82">
        <v>12.330232141136252</v>
      </c>
      <c r="S82">
        <v>41.752183613096676</v>
      </c>
      <c r="U82">
        <v>1.1658476838761718</v>
      </c>
      <c r="V82">
        <v>47.245929042782784</v>
      </c>
      <c r="W82">
        <v>23.408038277437736</v>
      </c>
      <c r="X82">
        <v>43.133170935200347</v>
      </c>
      <c r="Y82">
        <v>4.3185367966850867</v>
      </c>
      <c r="Z82">
        <v>17.404154729205516</v>
      </c>
      <c r="AA82">
        <v>2.1807910891671782</v>
      </c>
      <c r="AB82">
        <v>31.588285362050943</v>
      </c>
      <c r="AD82">
        <v>0.41912265804396948</v>
      </c>
      <c r="AE82">
        <v>6.4707040517429251</v>
      </c>
      <c r="AF82">
        <v>14.014740957386248</v>
      </c>
      <c r="AG82">
        <v>17.013408984534045</v>
      </c>
      <c r="AI82">
        <v>2.2505975992157263</v>
      </c>
      <c r="AK82">
        <v>35.345202693956146</v>
      </c>
    </row>
    <row r="83" spans="1:37" x14ac:dyDescent="0.2">
      <c r="A83">
        <v>82</v>
      </c>
      <c r="B83">
        <v>750</v>
      </c>
      <c r="C83">
        <v>200</v>
      </c>
      <c r="D83">
        <v>0.37802912573913899</v>
      </c>
      <c r="E83">
        <v>155.05128813736806</v>
      </c>
      <c r="F83">
        <v>44.78974711233694</v>
      </c>
      <c r="G83">
        <v>70.211825466935352</v>
      </c>
      <c r="H83">
        <v>65.591879876587825</v>
      </c>
      <c r="J83">
        <v>31.870738390939632</v>
      </c>
      <c r="L83">
        <v>2.2503382919752259</v>
      </c>
      <c r="M83">
        <v>14.603955908962593</v>
      </c>
      <c r="N83">
        <v>2.3157708326977766</v>
      </c>
      <c r="O83">
        <v>9.2427147422939129</v>
      </c>
      <c r="P83">
        <v>8.1492838997480597</v>
      </c>
      <c r="R83">
        <v>11.466819403133737</v>
      </c>
      <c r="S83">
        <v>38.689038127838579</v>
      </c>
      <c r="U83">
        <v>1.1499514434248841</v>
      </c>
      <c r="V83">
        <v>46.76101811791348</v>
      </c>
      <c r="W83">
        <v>23.536048956476211</v>
      </c>
      <c r="X83">
        <v>43.124796079562664</v>
      </c>
      <c r="Y83">
        <v>3.49083765675873</v>
      </c>
      <c r="Z83">
        <v>17.401264928852036</v>
      </c>
      <c r="AA83">
        <v>1.0282564736687345</v>
      </c>
      <c r="AB83">
        <v>31.288305540892836</v>
      </c>
      <c r="AE83">
        <v>6.4669003209748901</v>
      </c>
      <c r="AF83">
        <v>14.225997453980535</v>
      </c>
      <c r="AG83">
        <v>16.698556180982226</v>
      </c>
      <c r="AI83">
        <v>2.2522871446089443</v>
      </c>
      <c r="AK83">
        <v>32.305465881172751</v>
      </c>
    </row>
    <row r="84" spans="1:37" x14ac:dyDescent="0.2">
      <c r="A84">
        <v>83</v>
      </c>
      <c r="B84">
        <v>749</v>
      </c>
      <c r="C84">
        <v>200</v>
      </c>
      <c r="D84">
        <v>0.37735214988015597</v>
      </c>
      <c r="E84">
        <v>154.89456562702756</v>
      </c>
      <c r="F84">
        <v>44.72121663380684</v>
      </c>
      <c r="G84">
        <v>70.188063303899654</v>
      </c>
      <c r="H84">
        <v>65.565784590190916</v>
      </c>
      <c r="J84">
        <v>28.448784755943024</v>
      </c>
      <c r="L84">
        <v>1.4273256040037996</v>
      </c>
      <c r="M84">
        <v>14.813845964712392</v>
      </c>
      <c r="N84">
        <v>2.3177478331208969</v>
      </c>
      <c r="O84">
        <v>5.2427494081921235</v>
      </c>
      <c r="P84">
        <v>8.1252509770137955</v>
      </c>
      <c r="R84">
        <v>10.788528735546564</v>
      </c>
      <c r="S84">
        <v>36.213260891694716</v>
      </c>
      <c r="U84">
        <v>1.1309878852351289</v>
      </c>
      <c r="V84">
        <v>46.317927411957903</v>
      </c>
      <c r="W84">
        <v>23.663819352772673</v>
      </c>
      <c r="X84">
        <v>43.107822541675191</v>
      </c>
      <c r="Y84">
        <v>2.751591180283167</v>
      </c>
      <c r="Z84">
        <v>17.689776215699712</v>
      </c>
      <c r="AA84">
        <v>0.11759348825948837</v>
      </c>
      <c r="AB84">
        <v>31.193476210704151</v>
      </c>
      <c r="AE84">
        <v>6.635117048696511</v>
      </c>
      <c r="AF84">
        <v>14.434764537240302</v>
      </c>
      <c r="AG84">
        <v>16.588855146204892</v>
      </c>
      <c r="AI84">
        <v>2.2539745686451478</v>
      </c>
      <c r="AK84">
        <v>30.134908814701443</v>
      </c>
    </row>
    <row r="85" spans="1:37" x14ac:dyDescent="0.2">
      <c r="A85">
        <v>84</v>
      </c>
      <c r="B85">
        <v>748</v>
      </c>
      <c r="C85">
        <v>200</v>
      </c>
      <c r="D85">
        <v>0.37667384811242399</v>
      </c>
      <c r="E85">
        <v>154.69374332044032</v>
      </c>
      <c r="F85">
        <v>44.426685878889543</v>
      </c>
      <c r="G85">
        <v>70.151222027916049</v>
      </c>
      <c r="H85">
        <v>65.526623375697127</v>
      </c>
      <c r="J85">
        <v>25.089465714192048</v>
      </c>
      <c r="L85">
        <v>1.553564337929747</v>
      </c>
      <c r="M85">
        <v>15.083944243246759</v>
      </c>
      <c r="N85">
        <v>2.3197195086950892</v>
      </c>
      <c r="O85">
        <v>5.760053901427626</v>
      </c>
      <c r="P85">
        <v>8.0750624028652336</v>
      </c>
      <c r="R85">
        <v>11.100803567949871</v>
      </c>
      <c r="S85">
        <v>36.163633896370953</v>
      </c>
      <c r="U85">
        <v>1.1110366263193778</v>
      </c>
      <c r="V85">
        <v>45.924574852873818</v>
      </c>
      <c r="W85">
        <v>23.852509118471648</v>
      </c>
      <c r="X85">
        <v>43.088244567709829</v>
      </c>
      <c r="Y85">
        <v>2.5621053869583483</v>
      </c>
      <c r="Z85">
        <v>17.808118862195364</v>
      </c>
      <c r="AB85">
        <v>30.949335354428349</v>
      </c>
      <c r="AE85">
        <v>6.7047739857452813</v>
      </c>
      <c r="AF85">
        <v>14.703734872809303</v>
      </c>
      <c r="AG85">
        <v>16.329839823762729</v>
      </c>
      <c r="AI85">
        <v>2.2556558240530071</v>
      </c>
      <c r="AK85">
        <v>28.022991038588074</v>
      </c>
    </row>
    <row r="86" spans="1:37" x14ac:dyDescent="0.2">
      <c r="A86">
        <v>85</v>
      </c>
      <c r="B86">
        <v>780</v>
      </c>
      <c r="C86">
        <v>175</v>
      </c>
      <c r="D86">
        <v>0.42385272753169101</v>
      </c>
      <c r="E86">
        <v>145.43905422382758</v>
      </c>
      <c r="F86">
        <v>68.663189161063812</v>
      </c>
      <c r="G86">
        <v>73.857616836729946</v>
      </c>
      <c r="H86">
        <v>69.312791998297456</v>
      </c>
      <c r="J86">
        <v>54.015816530192765</v>
      </c>
      <c r="L86">
        <v>11.227680505238549</v>
      </c>
      <c r="M86">
        <v>13.972764199121485</v>
      </c>
      <c r="N86">
        <v>2.3790372159508832</v>
      </c>
      <c r="O86">
        <v>52.033173412741036</v>
      </c>
      <c r="P86">
        <v>14.721296095667178</v>
      </c>
      <c r="Q86">
        <v>1.3273098526713056E-3</v>
      </c>
      <c r="R86">
        <v>23.16394577981233</v>
      </c>
      <c r="S86">
        <v>59.416911458628391</v>
      </c>
      <c r="U86">
        <v>1.9158147376165775</v>
      </c>
      <c r="V86">
        <v>48.14437158602783</v>
      </c>
      <c r="W86">
        <v>28.681420550536355</v>
      </c>
      <c r="X86">
        <v>42.461648534704587</v>
      </c>
      <c r="Y86">
        <v>12.197793848847164</v>
      </c>
      <c r="Z86">
        <v>34.261089293988881</v>
      </c>
      <c r="AA86">
        <v>10.813465488963368</v>
      </c>
      <c r="AB86">
        <v>38.468704914257692</v>
      </c>
      <c r="AC86">
        <v>0.21401671682517834</v>
      </c>
      <c r="AD86">
        <v>10.123189332390915</v>
      </c>
      <c r="AE86">
        <v>14.14946777597617</v>
      </c>
      <c r="AF86">
        <v>13.828397177627505</v>
      </c>
      <c r="AG86">
        <v>24.556063655260054</v>
      </c>
      <c r="AH86">
        <v>10.177589838056877</v>
      </c>
      <c r="AI86">
        <v>2.3208024106677465</v>
      </c>
      <c r="AK86">
        <v>46.343433545682679</v>
      </c>
    </row>
    <row r="87" spans="1:37" x14ac:dyDescent="0.2">
      <c r="A87">
        <v>86</v>
      </c>
      <c r="B87">
        <v>779</v>
      </c>
      <c r="C87">
        <v>175</v>
      </c>
      <c r="D87">
        <v>0.42323860666254698</v>
      </c>
      <c r="E87">
        <v>145.32539535280063</v>
      </c>
      <c r="F87">
        <v>68.197976553476352</v>
      </c>
      <c r="G87">
        <v>73.777476542733638</v>
      </c>
      <c r="H87">
        <v>69.22992243801572</v>
      </c>
      <c r="J87">
        <v>53.987817186213562</v>
      </c>
      <c r="L87">
        <v>11.098597870264573</v>
      </c>
      <c r="M87">
        <v>13.991978288160734</v>
      </c>
      <c r="N87">
        <v>2.3613153600202428</v>
      </c>
      <c r="O87">
        <v>51.409863953089975</v>
      </c>
      <c r="P87">
        <v>14.56457196394612</v>
      </c>
      <c r="R87">
        <v>23.001868049116094</v>
      </c>
      <c r="S87">
        <v>59.332889979973928</v>
      </c>
      <c r="U87">
        <v>1.90218373310663</v>
      </c>
      <c r="V87">
        <v>48.20067947587161</v>
      </c>
      <c r="W87">
        <v>28.569925759957979</v>
      </c>
      <c r="X87">
        <v>42.480218208644651</v>
      </c>
      <c r="Y87">
        <v>12.055328884316646</v>
      </c>
      <c r="Z87">
        <v>34.008820418867728</v>
      </c>
      <c r="AA87">
        <v>10.676279495133945</v>
      </c>
      <c r="AB87">
        <v>38.474777643805901</v>
      </c>
      <c r="AC87">
        <v>0.19430905272891014</v>
      </c>
      <c r="AD87">
        <v>9.9836284345816075</v>
      </c>
      <c r="AE87">
        <v>14.043692768957351</v>
      </c>
      <c r="AF87">
        <v>13.826777748638726</v>
      </c>
      <c r="AG87">
        <v>24.527524536134479</v>
      </c>
      <c r="AH87">
        <v>10.00027901989222</v>
      </c>
      <c r="AI87">
        <v>2.3028165650878587</v>
      </c>
      <c r="AK87">
        <v>46.312209255961804</v>
      </c>
    </row>
    <row r="88" spans="1:37" x14ac:dyDescent="0.2">
      <c r="A88">
        <v>87</v>
      </c>
      <c r="B88">
        <v>778</v>
      </c>
      <c r="C88">
        <v>175</v>
      </c>
      <c r="D88">
        <v>0.422623317319128</v>
      </c>
      <c r="E88">
        <v>145.2119693270964</v>
      </c>
      <c r="F88">
        <v>67.731415309011652</v>
      </c>
      <c r="G88">
        <v>73.696903738673115</v>
      </c>
      <c r="H88">
        <v>69.146632939808342</v>
      </c>
      <c r="J88">
        <v>53.959063270265816</v>
      </c>
      <c r="L88">
        <v>10.968185078606639</v>
      </c>
      <c r="M88">
        <v>14.012424446377299</v>
      </c>
      <c r="N88">
        <v>2.3434001869861696</v>
      </c>
      <c r="O88">
        <v>50.782823746378618</v>
      </c>
      <c r="P88">
        <v>14.406796725006108</v>
      </c>
      <c r="R88">
        <v>22.838309190224962</v>
      </c>
      <c r="S88">
        <v>59.248365925573715</v>
      </c>
      <c r="U88">
        <v>1.8897524166116599</v>
      </c>
      <c r="V88">
        <v>48.257051271296802</v>
      </c>
      <c r="W88">
        <v>28.460051756868715</v>
      </c>
      <c r="X88">
        <v>42.502763170695339</v>
      </c>
      <c r="Y88">
        <v>11.911826902764496</v>
      </c>
      <c r="Z88">
        <v>33.755743683975574</v>
      </c>
      <c r="AA88">
        <v>10.538083810160547</v>
      </c>
      <c r="AB88">
        <v>38.480311743467645</v>
      </c>
      <c r="AC88">
        <v>0.17440822434224726</v>
      </c>
      <c r="AD88">
        <v>9.84331950202996</v>
      </c>
      <c r="AE88">
        <v>13.937781408482117</v>
      </c>
      <c r="AF88">
        <v>13.826197266969324</v>
      </c>
      <c r="AG88">
        <v>24.498255859974574</v>
      </c>
      <c r="AH88">
        <v>9.8216335607942433</v>
      </c>
      <c r="AI88">
        <v>2.284636613691315</v>
      </c>
      <c r="AK88">
        <v>46.280577943274857</v>
      </c>
    </row>
    <row r="89" spans="1:37" x14ac:dyDescent="0.2">
      <c r="A89">
        <v>88</v>
      </c>
      <c r="B89">
        <v>777</v>
      </c>
      <c r="C89">
        <v>175</v>
      </c>
      <c r="D89">
        <v>0.42200685616340999</v>
      </c>
      <c r="E89">
        <v>145.09896134839337</v>
      </c>
      <c r="F89">
        <v>67.265617727942711</v>
      </c>
      <c r="G89">
        <v>73.616264285150137</v>
      </c>
      <c r="H89">
        <v>69.063289384212965</v>
      </c>
      <c r="J89">
        <v>53.929274271653554</v>
      </c>
      <c r="L89">
        <v>10.837014094241383</v>
      </c>
      <c r="M89">
        <v>14.033253873193265</v>
      </c>
      <c r="N89">
        <v>2.3254361471190017</v>
      </c>
      <c r="O89">
        <v>50.155257022511009</v>
      </c>
      <c r="P89">
        <v>14.248846571653431</v>
      </c>
      <c r="R89">
        <v>22.673057384381586</v>
      </c>
      <c r="S89">
        <v>59.159674573579245</v>
      </c>
      <c r="U89">
        <v>1.8779199576985546</v>
      </c>
      <c r="V89">
        <v>48.311766484598472</v>
      </c>
      <c r="W89">
        <v>28.351088150795601</v>
      </c>
      <c r="X89">
        <v>42.527284476957114</v>
      </c>
      <c r="Y89">
        <v>11.768115325420279</v>
      </c>
      <c r="Z89">
        <v>33.502937691643389</v>
      </c>
      <c r="AA89">
        <v>10.399499014839472</v>
      </c>
      <c r="AB89">
        <v>38.483650572116787</v>
      </c>
      <c r="AC89">
        <v>0.1544586814975733</v>
      </c>
      <c r="AD89">
        <v>9.702878540656398</v>
      </c>
      <c r="AE89">
        <v>13.832089080140811</v>
      </c>
      <c r="AF89">
        <v>13.825951387638185</v>
      </c>
      <c r="AG89">
        <v>24.466745441441926</v>
      </c>
      <c r="AH89">
        <v>9.6426238941166211</v>
      </c>
      <c r="AI89">
        <v>2.2664070049196847</v>
      </c>
      <c r="AK89">
        <v>46.249023334683031</v>
      </c>
    </row>
    <row r="90" spans="1:37" x14ac:dyDescent="0.2">
      <c r="A90">
        <v>89</v>
      </c>
      <c r="B90">
        <v>776</v>
      </c>
      <c r="C90">
        <v>175</v>
      </c>
      <c r="D90">
        <v>0.42138921984463801</v>
      </c>
      <c r="E90">
        <v>144.98637796412422</v>
      </c>
      <c r="F90">
        <v>66.800651869968917</v>
      </c>
      <c r="G90">
        <v>73.535573008742475</v>
      </c>
      <c r="H90">
        <v>68.979906617783769</v>
      </c>
      <c r="J90">
        <v>53.898447516986025</v>
      </c>
      <c r="L90">
        <v>10.705256436738981</v>
      </c>
      <c r="M90">
        <v>14.054450731761381</v>
      </c>
      <c r="N90">
        <v>2.3074264264510322</v>
      </c>
      <c r="O90">
        <v>49.527267625505878</v>
      </c>
      <c r="P90">
        <v>14.090754364469616</v>
      </c>
      <c r="R90">
        <v>22.506173639150198</v>
      </c>
      <c r="S90">
        <v>59.066730875902124</v>
      </c>
      <c r="U90">
        <v>1.8666703770812465</v>
      </c>
      <c r="V90">
        <v>48.364801060811544</v>
      </c>
      <c r="W90">
        <v>28.243028339041043</v>
      </c>
      <c r="X90">
        <v>42.553732736784973</v>
      </c>
      <c r="Y90">
        <v>11.6242250912989</v>
      </c>
      <c r="Z90">
        <v>33.25042905621217</v>
      </c>
      <c r="AA90">
        <v>10.260622535773873</v>
      </c>
      <c r="AB90">
        <v>38.484741844556126</v>
      </c>
      <c r="AC90">
        <v>0.13446360979004118</v>
      </c>
      <c r="AD90">
        <v>9.5623263836977248</v>
      </c>
      <c r="AE90">
        <v>13.726619867897364</v>
      </c>
      <c r="AF90">
        <v>13.826027465170673</v>
      </c>
      <c r="AG90">
        <v>24.432944186904969</v>
      </c>
      <c r="AH90">
        <v>9.4632920637849391</v>
      </c>
      <c r="AI90">
        <v>2.2481309229755615</v>
      </c>
      <c r="AK90">
        <v>46.217562500205929</v>
      </c>
    </row>
    <row r="91" spans="1:37" x14ac:dyDescent="0.2">
      <c r="A91">
        <v>90</v>
      </c>
      <c r="B91">
        <v>775</v>
      </c>
      <c r="C91">
        <v>175</v>
      </c>
      <c r="D91">
        <v>0.42077040499928797</v>
      </c>
      <c r="E91">
        <v>144.87422520668167</v>
      </c>
      <c r="F91">
        <v>66.336585139509239</v>
      </c>
      <c r="G91">
        <v>73.454844810365643</v>
      </c>
      <c r="H91">
        <v>68.896499561448522</v>
      </c>
      <c r="J91">
        <v>53.86658426710364</v>
      </c>
      <c r="L91">
        <v>10.572819747679253</v>
      </c>
      <c r="M91">
        <v>14.075998615221446</v>
      </c>
      <c r="N91">
        <v>2.289374335691055</v>
      </c>
      <c r="O91">
        <v>48.898960479843957</v>
      </c>
      <c r="P91">
        <v>13.932553237441772</v>
      </c>
      <c r="R91">
        <v>22.337721146307764</v>
      </c>
      <c r="S91">
        <v>58.969463935986425</v>
      </c>
      <c r="U91">
        <v>1.8559868160555293</v>
      </c>
      <c r="V91">
        <v>48.416135605740287</v>
      </c>
      <c r="W91">
        <v>28.135864236175138</v>
      </c>
      <c r="X91">
        <v>42.582055844041079</v>
      </c>
      <c r="Y91">
        <v>11.480187410705414</v>
      </c>
      <c r="Z91">
        <v>32.998244283210042</v>
      </c>
      <c r="AA91">
        <v>10.121482303051279</v>
      </c>
      <c r="AB91">
        <v>38.483540636435912</v>
      </c>
      <c r="AC91">
        <v>0.11442631948979265</v>
      </c>
      <c r="AD91">
        <v>9.4216839052774564</v>
      </c>
      <c r="AE91">
        <v>13.621377758042541</v>
      </c>
      <c r="AF91">
        <v>13.826412408765828</v>
      </c>
      <c r="AG91">
        <v>24.396810488276223</v>
      </c>
      <c r="AH91">
        <v>9.2836803782390653</v>
      </c>
      <c r="AI91">
        <v>2.2298116767379237</v>
      </c>
      <c r="AK91">
        <v>46.186212646318708</v>
      </c>
    </row>
    <row r="92" spans="1:37" x14ac:dyDescent="0.2">
      <c r="A92">
        <v>91</v>
      </c>
      <c r="B92">
        <v>774</v>
      </c>
      <c r="C92">
        <v>175</v>
      </c>
      <c r="D92">
        <v>0.420150408250972</v>
      </c>
      <c r="E92">
        <v>144.76250857326846</v>
      </c>
      <c r="F92">
        <v>65.873483934455024</v>
      </c>
      <c r="G92">
        <v>73.37409458431388</v>
      </c>
      <c r="H92">
        <v>68.813083129552851</v>
      </c>
      <c r="J92">
        <v>53.83368957703005</v>
      </c>
      <c r="L92">
        <v>10.43981685991176</v>
      </c>
      <c r="M92">
        <v>14.097880649607486</v>
      </c>
      <c r="N92">
        <v>2.271283288991377</v>
      </c>
      <c r="O92">
        <v>48.270440992995219</v>
      </c>
      <c r="P92">
        <v>13.774276414819386</v>
      </c>
      <c r="R92">
        <v>22.167764888175807</v>
      </c>
      <c r="S92">
        <v>58.867816903100405</v>
      </c>
      <c r="U92">
        <v>1.8458516481180709</v>
      </c>
      <c r="V92">
        <v>48.46575530098238</v>
      </c>
      <c r="W92">
        <v>28.029586358254772</v>
      </c>
      <c r="X92">
        <v>42.6121993263977</v>
      </c>
      <c r="Y92">
        <v>11.336033592719479</v>
      </c>
      <c r="Z92">
        <v>32.74640962181104</v>
      </c>
      <c r="AA92">
        <v>9.9821718853990173</v>
      </c>
      <c r="AB92">
        <v>38.480009370647899</v>
      </c>
      <c r="AC92">
        <v>9.4350224311412628E-2</v>
      </c>
      <c r="AD92">
        <v>9.2809719185088984</v>
      </c>
      <c r="AE92">
        <v>13.51636661360355</v>
      </c>
      <c r="AF92">
        <v>13.82709276397382</v>
      </c>
      <c r="AG92">
        <v>24.358310188168467</v>
      </c>
      <c r="AH92">
        <v>9.1038311956193905</v>
      </c>
      <c r="AI92">
        <v>2.2114526785283304</v>
      </c>
      <c r="AK92">
        <v>46.154991018612044</v>
      </c>
    </row>
    <row r="93" spans="1:37" x14ac:dyDescent="0.2">
      <c r="A93">
        <v>92</v>
      </c>
      <c r="B93">
        <v>773</v>
      </c>
      <c r="C93">
        <v>175</v>
      </c>
      <c r="D93">
        <v>0.41952922621038902</v>
      </c>
      <c r="E93">
        <v>144.65123301081314</v>
      </c>
      <c r="F93">
        <v>65.41141331586212</v>
      </c>
      <c r="G93">
        <v>73.293337140421571</v>
      </c>
      <c r="H93">
        <v>68.729672152020697</v>
      </c>
      <c r="J93">
        <v>53.799772124421956</v>
      </c>
      <c r="L93">
        <v>10.306289577175805</v>
      </c>
      <c r="M93">
        <v>14.120079596813627</v>
      </c>
      <c r="N93">
        <v>2.2531567825489343</v>
      </c>
      <c r="O93">
        <v>47.641814475891721</v>
      </c>
      <c r="P93">
        <v>13.615957034036622</v>
      </c>
      <c r="R93">
        <v>21.996371245044774</v>
      </c>
      <c r="S93">
        <v>58.761746733856022</v>
      </c>
      <c r="U93">
        <v>1.8362465927583527</v>
      </c>
      <c r="V93">
        <v>48.513649780119131</v>
      </c>
      <c r="W93">
        <v>27.924183916192383</v>
      </c>
      <c r="X93">
        <v>42.644106699832712</v>
      </c>
      <c r="Y93">
        <v>11.191794878291052</v>
      </c>
      <c r="Z93">
        <v>32.494950924496045</v>
      </c>
      <c r="AA93">
        <v>9.8425836591478735</v>
      </c>
      <c r="AB93">
        <v>38.474117733030646</v>
      </c>
      <c r="AC93">
        <v>7.4238820013067683E-2</v>
      </c>
      <c r="AD93">
        <v>9.1402110772731575</v>
      </c>
      <c r="AE93">
        <v>13.411590150506239</v>
      </c>
      <c r="AF93">
        <v>13.828054794260023</v>
      </c>
      <c r="AG93">
        <v>24.317416474206645</v>
      </c>
      <c r="AH93">
        <v>8.9237867159555346</v>
      </c>
      <c r="AI93">
        <v>2.193057422712505</v>
      </c>
      <c r="AK93">
        <v>46.123914807560965</v>
      </c>
    </row>
    <row r="94" spans="1:37" x14ac:dyDescent="0.2">
      <c r="A94">
        <v>93</v>
      </c>
      <c r="B94">
        <v>772</v>
      </c>
      <c r="C94">
        <v>175</v>
      </c>
      <c r="D94">
        <v>0.418906855475288</v>
      </c>
      <c r="E94">
        <v>144.54040290633591</v>
      </c>
      <c r="F94">
        <v>64.950436704586423</v>
      </c>
      <c r="G94">
        <v>73.212587130649567</v>
      </c>
      <c r="H94">
        <v>68.646281300942036</v>
      </c>
      <c r="J94">
        <v>53.764844011292965</v>
      </c>
      <c r="L94">
        <v>10.172279799340435</v>
      </c>
      <c r="M94">
        <v>14.142577955595307</v>
      </c>
      <c r="N94">
        <v>2.2349983735051309</v>
      </c>
      <c r="O94">
        <v>47.013185591574853</v>
      </c>
      <c r="P94">
        <v>13.457627977783678</v>
      </c>
      <c r="R94">
        <v>21.823607609602362</v>
      </c>
      <c r="S94">
        <v>58.651223830981557</v>
      </c>
      <c r="U94">
        <v>1.8271528292255721</v>
      </c>
      <c r="V94">
        <v>48.559812969429494</v>
      </c>
      <c r="W94">
        <v>27.819644915820444</v>
      </c>
      <c r="X94">
        <v>42.67771982379103</v>
      </c>
      <c r="Y94">
        <v>11.047502281859568</v>
      </c>
      <c r="Z94">
        <v>32.24389351635039</v>
      </c>
      <c r="AA94">
        <v>9.7028173586992637</v>
      </c>
      <c r="AB94">
        <v>38.465842521917608</v>
      </c>
      <c r="AC94">
        <v>5.4095663297160194E-2</v>
      </c>
      <c r="AD94">
        <v>8.9994217833950696</v>
      </c>
      <c r="AE94">
        <v>13.307051915930703</v>
      </c>
      <c r="AF94">
        <v>13.829284560910379</v>
      </c>
      <c r="AG94">
        <v>24.2741097074666</v>
      </c>
      <c r="AH94">
        <v>8.7435887839304876</v>
      </c>
      <c r="AI94">
        <v>2.1746294646001725</v>
      </c>
      <c r="AK94">
        <v>46.093001059303177</v>
      </c>
    </row>
    <row r="95" spans="1:37" x14ac:dyDescent="0.2">
      <c r="A95">
        <v>94</v>
      </c>
      <c r="B95">
        <v>771</v>
      </c>
      <c r="C95">
        <v>175</v>
      </c>
      <c r="D95">
        <v>0.41828329263037001</v>
      </c>
      <c r="E95">
        <v>144.43002208204268</v>
      </c>
      <c r="F95">
        <v>64.490615605640386</v>
      </c>
      <c r="G95">
        <v>73.131858980618503</v>
      </c>
      <c r="H95">
        <v>68.56292502210205</v>
      </c>
      <c r="J95">
        <v>53.728920543320157</v>
      </c>
      <c r="L95">
        <v>10.037829163209334</v>
      </c>
      <c r="M95">
        <v>14.165358059479013</v>
      </c>
      <c r="N95">
        <v>2.2168116593240308</v>
      </c>
      <c r="O95">
        <v>46.384657836416359</v>
      </c>
      <c r="P95">
        <v>13.299321716450056</v>
      </c>
      <c r="R95">
        <v>21.649542012891335</v>
      </c>
      <c r="S95">
        <v>58.536231573540718</v>
      </c>
      <c r="U95">
        <v>1.8185511088465247</v>
      </c>
      <c r="V95">
        <v>48.604242898235754</v>
      </c>
      <c r="W95">
        <v>27.715956263125697</v>
      </c>
      <c r="X95">
        <v>42.712979250850523</v>
      </c>
      <c r="Y95">
        <v>10.903186442650926</v>
      </c>
      <c r="Z95">
        <v>31.993262075082349</v>
      </c>
      <c r="AA95">
        <v>9.5629013157473963</v>
      </c>
      <c r="AB95">
        <v>38.455167439011689</v>
      </c>
      <c r="AC95">
        <v>3.3924351188401966E-2</v>
      </c>
      <c r="AD95">
        <v>8.8586241000116068</v>
      </c>
      <c r="AE95">
        <v>13.202755269121383</v>
      </c>
      <c r="AF95">
        <v>13.8307680003128</v>
      </c>
      <c r="AG95">
        <v>24.228377192739206</v>
      </c>
      <c r="AH95">
        <v>8.5632787037242206</v>
      </c>
      <c r="AI95">
        <v>2.1561723998225539</v>
      </c>
      <c r="AK95">
        <v>46.062266591780002</v>
      </c>
    </row>
    <row r="96" spans="1:37" x14ac:dyDescent="0.2">
      <c r="A96">
        <v>95</v>
      </c>
      <c r="B96">
        <v>770</v>
      </c>
      <c r="C96">
        <v>175</v>
      </c>
      <c r="D96">
        <v>0.41765853424723398</v>
      </c>
      <c r="E96">
        <v>144.32009379563391</v>
      </c>
      <c r="F96">
        <v>64.032009364469616</v>
      </c>
      <c r="G96">
        <v>73.051166826953747</v>
      </c>
      <c r="H96">
        <v>68.479617472333004</v>
      </c>
      <c r="J96">
        <v>53.692019992316808</v>
      </c>
      <c r="L96">
        <v>9.9029787891841412</v>
      </c>
      <c r="M96">
        <v>14.188402170559012</v>
      </c>
      <c r="N96">
        <v>2.1986002579903414</v>
      </c>
      <c r="O96">
        <v>45.756333060372491</v>
      </c>
      <c r="P96">
        <v>13.141070163016357</v>
      </c>
      <c r="R96">
        <v>21.474242767089848</v>
      </c>
      <c r="S96">
        <v>58.41676575411271</v>
      </c>
      <c r="U96">
        <v>1.8104218644661176</v>
      </c>
      <c r="V96">
        <v>48.646941484284064</v>
      </c>
      <c r="W96">
        <v>27.613103872817881</v>
      </c>
      <c r="X96">
        <v>42.749824567865829</v>
      </c>
      <c r="Y96">
        <v>10.758877487631159</v>
      </c>
      <c r="Z96">
        <v>31.743080522770743</v>
      </c>
      <c r="AA96">
        <v>9.4228636062500293</v>
      </c>
      <c r="AB96">
        <v>38.442082828441237</v>
      </c>
      <c r="AC96">
        <v>1.3728501233081281E-2</v>
      </c>
      <c r="AD96">
        <v>8.7178376720795789</v>
      </c>
      <c r="AE96">
        <v>13.098703364595542</v>
      </c>
      <c r="AF96">
        <v>13.832490997959578</v>
      </c>
      <c r="AG96">
        <v>24.180212897777835</v>
      </c>
      <c r="AH96">
        <v>8.3828970684944846</v>
      </c>
      <c r="AI96">
        <v>2.1376898445326789</v>
      </c>
      <c r="AK96">
        <v>46.03172791782778</v>
      </c>
    </row>
    <row r="97" spans="1:37" x14ac:dyDescent="0.2">
      <c r="A97">
        <v>96</v>
      </c>
      <c r="B97">
        <v>769</v>
      </c>
      <c r="C97">
        <v>175</v>
      </c>
      <c r="D97">
        <v>0.41703257688433099</v>
      </c>
      <c r="E97">
        <v>144.1721166900625</v>
      </c>
      <c r="F97">
        <v>63.368611832257052</v>
      </c>
      <c r="G97">
        <v>72.937657484034759</v>
      </c>
      <c r="H97">
        <v>68.363505486257594</v>
      </c>
      <c r="J97">
        <v>53.594611422847755</v>
      </c>
      <c r="L97">
        <v>9.7172738094135926</v>
      </c>
      <c r="M97">
        <v>14.210101678475127</v>
      </c>
      <c r="N97">
        <v>2.1866599823384676</v>
      </c>
      <c r="O97">
        <v>44.940203486170212</v>
      </c>
      <c r="P97">
        <v>12.923462780883236</v>
      </c>
      <c r="R97">
        <v>21.233186388573447</v>
      </c>
      <c r="S97">
        <v>58.228930784529403</v>
      </c>
      <c r="U97">
        <v>1.7960382518245754</v>
      </c>
      <c r="V97">
        <v>48.691330954197312</v>
      </c>
      <c r="W97">
        <v>27.466278248894142</v>
      </c>
      <c r="X97">
        <v>42.762292979968223</v>
      </c>
      <c r="Y97">
        <v>10.553835532319878</v>
      </c>
      <c r="Z97">
        <v>31.377332767714929</v>
      </c>
      <c r="AA97">
        <v>9.2305916516003048</v>
      </c>
      <c r="AB97">
        <v>38.410614574085983</v>
      </c>
      <c r="AD97">
        <v>8.50635486117352</v>
      </c>
      <c r="AE97">
        <v>12.951860669060148</v>
      </c>
      <c r="AF97">
        <v>13.839140761750466</v>
      </c>
      <c r="AG97">
        <v>24.119938524954065</v>
      </c>
      <c r="AH97">
        <v>8.1060713157825717</v>
      </c>
      <c r="AI97">
        <v>2.125477609730944</v>
      </c>
      <c r="AK97">
        <v>45.952678054515388</v>
      </c>
    </row>
    <row r="98" spans="1:37" x14ac:dyDescent="0.2">
      <c r="A98">
        <v>97</v>
      </c>
      <c r="B98">
        <v>768</v>
      </c>
      <c r="C98">
        <v>175</v>
      </c>
      <c r="D98">
        <v>0.416405417086878</v>
      </c>
      <c r="E98">
        <v>143.93738761535732</v>
      </c>
      <c r="F98">
        <v>62.234085415630062</v>
      </c>
      <c r="G98">
        <v>72.748427634471795</v>
      </c>
      <c r="H98">
        <v>68.171685766768405</v>
      </c>
      <c r="J98">
        <v>53.353999538719449</v>
      </c>
      <c r="L98">
        <v>9.4132786740065892</v>
      </c>
      <c r="M98">
        <v>14.230032145961275</v>
      </c>
      <c r="N98">
        <v>2.1886376221373527</v>
      </c>
      <c r="O98">
        <v>43.688338956548279</v>
      </c>
      <c r="P98">
        <v>12.568339746903581</v>
      </c>
      <c r="R98">
        <v>20.837651395040581</v>
      </c>
      <c r="S98">
        <v>57.872603308370181</v>
      </c>
      <c r="U98">
        <v>1.7690442479497861</v>
      </c>
      <c r="V98">
        <v>48.736137413285249</v>
      </c>
      <c r="W98">
        <v>27.222741191306731</v>
      </c>
      <c r="X98">
        <v>42.724151211144338</v>
      </c>
      <c r="Y98">
        <v>10.208315242798776</v>
      </c>
      <c r="Z98">
        <v>30.745639622689417</v>
      </c>
      <c r="AA98">
        <v>8.9169623907060451</v>
      </c>
      <c r="AB98">
        <v>38.330862634550847</v>
      </c>
      <c r="AD98">
        <v>8.1320677776538322</v>
      </c>
      <c r="AE98">
        <v>12.706712231834192</v>
      </c>
      <c r="AF98">
        <v>13.857939649622837</v>
      </c>
      <c r="AG98">
        <v>24.025300828316524</v>
      </c>
      <c r="AH98">
        <v>7.6067215240399584</v>
      </c>
      <c r="AI98">
        <v>2.127182483352752</v>
      </c>
      <c r="AK98">
        <v>45.761449547771491</v>
      </c>
    </row>
    <row r="99" spans="1:37" x14ac:dyDescent="0.2">
      <c r="A99">
        <v>98</v>
      </c>
      <c r="B99">
        <v>767</v>
      </c>
      <c r="C99">
        <v>175</v>
      </c>
      <c r="D99">
        <v>0.41577705138682203</v>
      </c>
      <c r="E99">
        <v>143.69966728382047</v>
      </c>
      <c r="F99">
        <v>61.072817514770826</v>
      </c>
      <c r="G99">
        <v>72.554181557836245</v>
      </c>
      <c r="H99">
        <v>67.974862613759242</v>
      </c>
      <c r="J99">
        <v>53.094556979777614</v>
      </c>
      <c r="L99">
        <v>9.0985904495158074</v>
      </c>
      <c r="M99">
        <v>14.252571120245701</v>
      </c>
      <c r="N99">
        <v>2.190614560563958</v>
      </c>
      <c r="O99">
        <v>42.403558029092842</v>
      </c>
      <c r="P99">
        <v>12.203191025321578</v>
      </c>
      <c r="R99">
        <v>20.423966359262302</v>
      </c>
      <c r="S99">
        <v>57.473464172369312</v>
      </c>
      <c r="U99">
        <v>1.7452869016242107</v>
      </c>
      <c r="V99">
        <v>48.770198972321388</v>
      </c>
      <c r="W99">
        <v>26.982657669777744</v>
      </c>
      <c r="X99">
        <v>42.695654113332566</v>
      </c>
      <c r="Y99">
        <v>9.8527421264464952</v>
      </c>
      <c r="Z99">
        <v>30.097609410419132</v>
      </c>
      <c r="AA99">
        <v>8.5937366267757032</v>
      </c>
      <c r="AB99">
        <v>38.230608787410958</v>
      </c>
      <c r="AD99">
        <v>7.7469335152855177</v>
      </c>
      <c r="AE99">
        <v>12.45584839345946</v>
      </c>
      <c r="AF99">
        <v>13.879346597431873</v>
      </c>
      <c r="AG99">
        <v>23.910162974310385</v>
      </c>
      <c r="AH99">
        <v>7.0920385828044754</v>
      </c>
      <c r="AI99">
        <v>2.1288858467407086</v>
      </c>
      <c r="AK99">
        <v>45.562558890064373</v>
      </c>
    </row>
    <row r="100" spans="1:37" x14ac:dyDescent="0.2">
      <c r="A100">
        <v>99</v>
      </c>
      <c r="B100">
        <v>766</v>
      </c>
      <c r="C100">
        <v>175</v>
      </c>
      <c r="D100">
        <v>0.41514747630275201</v>
      </c>
      <c r="E100">
        <v>143.45829224932675</v>
      </c>
      <c r="F100">
        <v>59.879797910941463</v>
      </c>
      <c r="G100">
        <v>72.354200082779997</v>
      </c>
      <c r="H100">
        <v>67.772316876242527</v>
      </c>
      <c r="J100">
        <v>52.813230240774985</v>
      </c>
      <c r="L100">
        <v>8.7720012049712235</v>
      </c>
      <c r="M100">
        <v>14.277802534470654</v>
      </c>
      <c r="N100">
        <v>2.1925907342317723</v>
      </c>
      <c r="O100">
        <v>41.080779837508942</v>
      </c>
      <c r="P100">
        <v>11.826578232042021</v>
      </c>
      <c r="R100">
        <v>19.990187216463372</v>
      </c>
      <c r="S100">
        <v>57.025628053552985</v>
      </c>
      <c r="U100">
        <v>1.7248640225972625</v>
      </c>
      <c r="V100">
        <v>48.792399052158366</v>
      </c>
      <c r="W100">
        <v>26.746298650657288</v>
      </c>
      <c r="X100">
        <v>42.677094819194217</v>
      </c>
      <c r="Y100">
        <v>9.4856519408625033</v>
      </c>
      <c r="Z100">
        <v>29.429695761876285</v>
      </c>
      <c r="AA100">
        <v>8.2595468393935594</v>
      </c>
      <c r="AB100">
        <v>38.106745672805303</v>
      </c>
      <c r="AD100">
        <v>7.3488863606815382</v>
      </c>
      <c r="AE100">
        <v>12.197743438186246</v>
      </c>
      <c r="AF100">
        <v>13.903445480392493</v>
      </c>
      <c r="AG100">
        <v>23.771417545398506</v>
      </c>
      <c r="AH100">
        <v>6.5597541492979436</v>
      </c>
      <c r="AI100">
        <v>2.1305876346732466</v>
      </c>
      <c r="AK100">
        <v>45.354497708379412</v>
      </c>
    </row>
    <row r="101" spans="1:37" x14ac:dyDescent="0.2">
      <c r="A101">
        <v>100</v>
      </c>
      <c r="B101">
        <v>765</v>
      </c>
      <c r="C101">
        <v>175</v>
      </c>
      <c r="D101">
        <v>0.41451668833983701</v>
      </c>
      <c r="E101">
        <v>143.21235325046865</v>
      </c>
      <c r="F101">
        <v>58.648141413728631</v>
      </c>
      <c r="G101">
        <v>72.147494015568427</v>
      </c>
      <c r="H101">
        <v>67.563059380883374</v>
      </c>
      <c r="J101">
        <v>52.505986936928153</v>
      </c>
      <c r="L101">
        <v>8.4314588282155789</v>
      </c>
      <c r="M101">
        <v>14.30582006158758</v>
      </c>
      <c r="N101">
        <v>2.1945660629582284</v>
      </c>
      <c r="O101">
        <v>39.713028168500806</v>
      </c>
      <c r="P101">
        <v>11.436522921457435</v>
      </c>
      <c r="R101">
        <v>19.533575922281649</v>
      </c>
      <c r="S101">
        <v>56.521659462025838</v>
      </c>
      <c r="U101">
        <v>1.7079025303825344</v>
      </c>
      <c r="V101">
        <v>48.801361117882308</v>
      </c>
      <c r="W101">
        <v>26.513981260022554</v>
      </c>
      <c r="X101">
        <v>42.66885067546292</v>
      </c>
      <c r="Y101">
        <v>9.1050322071614911</v>
      </c>
      <c r="Z101">
        <v>28.73701488316474</v>
      </c>
      <c r="AA101">
        <v>7.9123163478861391</v>
      </c>
      <c r="AB101">
        <v>37.955339705960426</v>
      </c>
      <c r="AD101">
        <v>6.9350818624564559</v>
      </c>
      <c r="AE101">
        <v>11.9302984098082</v>
      </c>
      <c r="AF101">
        <v>13.930329896750107</v>
      </c>
      <c r="AG101">
        <v>23.605130882355194</v>
      </c>
      <c r="AH101">
        <v>6.0067469613692195</v>
      </c>
      <c r="AI101">
        <v>2.1322877651335599</v>
      </c>
      <c r="AK101">
        <v>45.135189376930832</v>
      </c>
    </row>
    <row r="102" spans="1:37" x14ac:dyDescent="0.2">
      <c r="A102">
        <v>101</v>
      </c>
      <c r="B102">
        <v>764</v>
      </c>
      <c r="C102">
        <v>175</v>
      </c>
      <c r="D102">
        <v>0.41388468398978101</v>
      </c>
      <c r="E102">
        <v>142.96056247670683</v>
      </c>
      <c r="F102">
        <v>57.368076403514642</v>
      </c>
      <c r="G102">
        <v>71.932657821993502</v>
      </c>
      <c r="H102">
        <v>67.345684613913463</v>
      </c>
      <c r="J102">
        <v>52.167272905338002</v>
      </c>
      <c r="L102">
        <v>8.0743355494797324</v>
      </c>
      <c r="M102">
        <v>14.336731522686165</v>
      </c>
      <c r="N102">
        <v>2.1965404412410097</v>
      </c>
      <c r="O102">
        <v>38.290407064088143</v>
      </c>
      <c r="P102">
        <v>11.030213941757371</v>
      </c>
      <c r="R102">
        <v>19.050157072839887</v>
      </c>
      <c r="S102">
        <v>55.951674180708203</v>
      </c>
      <c r="U102">
        <v>1.6945742775484987</v>
      </c>
      <c r="V102">
        <v>48.795284315678572</v>
      </c>
      <c r="W102">
        <v>26.286094754329881</v>
      </c>
      <c r="X102">
        <v>42.671428618816172</v>
      </c>
      <c r="Y102">
        <v>8.7080253384424076</v>
      </c>
      <c r="Z102">
        <v>28.012626518261843</v>
      </c>
      <c r="AA102">
        <v>7.5493488667332276</v>
      </c>
      <c r="AB102">
        <v>37.771157523718728</v>
      </c>
      <c r="AD102">
        <v>6.5014772720796365</v>
      </c>
      <c r="AE102">
        <v>11.650534093134926</v>
      </c>
      <c r="AF102">
        <v>13.960107567574772</v>
      </c>
      <c r="AG102">
        <v>23.406069522268414</v>
      </c>
      <c r="AH102">
        <v>5.4285806645018564</v>
      </c>
      <c r="AI102">
        <v>2.1339861307833452</v>
      </c>
      <c r="AK102">
        <v>44.901682599258741</v>
      </c>
    </row>
    <row r="103" spans="1:37" x14ac:dyDescent="0.2">
      <c r="A103">
        <v>102</v>
      </c>
      <c r="B103">
        <v>763</v>
      </c>
      <c r="C103">
        <v>175</v>
      </c>
      <c r="D103">
        <v>0.41325145973073701</v>
      </c>
      <c r="E103">
        <v>142.70102662802677</v>
      </c>
      <c r="F103">
        <v>56.025216718524156</v>
      </c>
      <c r="G103">
        <v>71.707621506050742</v>
      </c>
      <c r="H103">
        <v>67.118122599806213</v>
      </c>
      <c r="J103">
        <v>51.789082748143379</v>
      </c>
      <c r="L103">
        <v>7.6966192939518043</v>
      </c>
      <c r="M103">
        <v>14.370661543402438</v>
      </c>
      <c r="N103">
        <v>2.1985137241212711</v>
      </c>
      <c r="O103">
        <v>36.798359771805558</v>
      </c>
      <c r="P103">
        <v>10.603511178140121</v>
      </c>
      <c r="R103">
        <v>18.533964322507138</v>
      </c>
      <c r="S103">
        <v>55.301804442398705</v>
      </c>
      <c r="U103">
        <v>1.6851186970540444</v>
      </c>
      <c r="V103">
        <v>48.771663543647499</v>
      </c>
      <c r="W103">
        <v>26.063147188939151</v>
      </c>
      <c r="X103">
        <v>42.685529639562418</v>
      </c>
      <c r="Y103">
        <v>8.2904247724127522</v>
      </c>
      <c r="Z103">
        <v>27.246297944452628</v>
      </c>
      <c r="AA103">
        <v>7.1665804434583551</v>
      </c>
      <c r="AB103">
        <v>37.546853599536774</v>
      </c>
      <c r="AD103">
        <v>6.0421113311364953</v>
      </c>
      <c r="AE103">
        <v>11.354061173968256</v>
      </c>
      <c r="AF103">
        <v>13.992902979044185</v>
      </c>
      <c r="AG103">
        <v>23.166887799399721</v>
      </c>
      <c r="AH103">
        <v>4.8187169427042127</v>
      </c>
      <c r="AI103">
        <v>2.135682584827888</v>
      </c>
      <c r="AK103">
        <v>44.649625956675166</v>
      </c>
    </row>
    <row r="104" spans="1:37" x14ac:dyDescent="0.2">
      <c r="A104">
        <v>103</v>
      </c>
      <c r="B104">
        <v>762</v>
      </c>
      <c r="C104">
        <v>175</v>
      </c>
      <c r="D104">
        <v>0.41261701202724399</v>
      </c>
      <c r="E104">
        <v>142.43083547556077</v>
      </c>
      <c r="F104">
        <v>54.597430547794247</v>
      </c>
      <c r="G104">
        <v>71.469204632155183</v>
      </c>
      <c r="H104">
        <v>66.877192923496068</v>
      </c>
      <c r="J104">
        <v>51.359277216120155</v>
      </c>
      <c r="L104">
        <v>7.2921165826845753</v>
      </c>
      <c r="M104">
        <v>14.407746812877328</v>
      </c>
      <c r="N104">
        <v>2.2004857026715774</v>
      </c>
      <c r="O104">
        <v>35.214532018333131</v>
      </c>
      <c r="P104">
        <v>10.150053572740255</v>
      </c>
      <c r="R104">
        <v>17.975681250266419</v>
      </c>
      <c r="S104">
        <v>54.551439635774294</v>
      </c>
      <c r="U104">
        <v>1.6798753698234885</v>
      </c>
      <c r="V104">
        <v>48.726788053206533</v>
      </c>
      <c r="W104">
        <v>25.845852931539174</v>
      </c>
      <c r="X104">
        <v>42.712140095761029</v>
      </c>
      <c r="Y104">
        <v>7.8457684739530382</v>
      </c>
      <c r="Z104">
        <v>26.422249645972858</v>
      </c>
      <c r="AA104">
        <v>6.7578232152318085</v>
      </c>
      <c r="AB104">
        <v>37.271502346575332</v>
      </c>
      <c r="AD104">
        <v>5.5477927282154926</v>
      </c>
      <c r="AE104">
        <v>11.034109993197729</v>
      </c>
      <c r="AF104">
        <v>14.02885261688073</v>
      </c>
      <c r="AG104">
        <v>22.876659923766788</v>
      </c>
      <c r="AH104">
        <v>4.1670952700164676</v>
      </c>
      <c r="AI104">
        <v>2.1373769165030692</v>
      </c>
      <c r="AK104">
        <v>44.372312055861705</v>
      </c>
    </row>
    <row r="105" spans="1:37" x14ac:dyDescent="0.2">
      <c r="A105">
        <v>104</v>
      </c>
      <c r="B105">
        <v>761</v>
      </c>
      <c r="C105">
        <v>175</v>
      </c>
      <c r="D105">
        <v>0.411981337330175</v>
      </c>
      <c r="E105">
        <v>142.14526496070346</v>
      </c>
      <c r="F105">
        <v>53.048778804938927</v>
      </c>
      <c r="G105">
        <v>71.212260694294073</v>
      </c>
      <c r="H105">
        <v>66.61774909952733</v>
      </c>
      <c r="J105">
        <v>50.858334395801734</v>
      </c>
      <c r="L105">
        <v>6.8508501805665363</v>
      </c>
      <c r="M105">
        <v>14.448106199150056</v>
      </c>
      <c r="N105">
        <v>2.2024560587394477</v>
      </c>
      <c r="O105">
        <v>33.502738343151421</v>
      </c>
      <c r="P105">
        <v>9.6595478176654908</v>
      </c>
      <c r="R105">
        <v>17.360021428452313</v>
      </c>
      <c r="S105">
        <v>53.667955614948617</v>
      </c>
      <c r="U105">
        <v>1.6793289090929546</v>
      </c>
      <c r="V105">
        <v>48.654787280631083</v>
      </c>
      <c r="W105">
        <v>25.635307318196045</v>
      </c>
      <c r="X105">
        <v>42.752653916788084</v>
      </c>
      <c r="Y105">
        <v>7.3635979298713679</v>
      </c>
      <c r="Z105">
        <v>25.514757652478526</v>
      </c>
      <c r="AA105">
        <v>6.312874871144726</v>
      </c>
      <c r="AB105">
        <v>36.927776813571647</v>
      </c>
      <c r="AD105">
        <v>5.0035459505444431</v>
      </c>
      <c r="AE105">
        <v>10.67962970540289</v>
      </c>
      <c r="AF105">
        <v>14.068075036494699</v>
      </c>
      <c r="AG105">
        <v>22.518058631755459</v>
      </c>
      <c r="AH105">
        <v>3.45739447481477</v>
      </c>
      <c r="AI105">
        <v>2.1390688058201883</v>
      </c>
      <c r="AK105">
        <v>44.05881848964016</v>
      </c>
    </row>
    <row r="106" spans="1:37" x14ac:dyDescent="0.2">
      <c r="A106">
        <v>105</v>
      </c>
      <c r="B106">
        <v>760</v>
      </c>
      <c r="C106">
        <v>175</v>
      </c>
      <c r="D106">
        <v>0.41134443207665999</v>
      </c>
      <c r="E106">
        <v>141.83612657912229</v>
      </c>
      <c r="F106">
        <v>51.316962917014408</v>
      </c>
      <c r="G106">
        <v>70.927925349817698</v>
      </c>
      <c r="H106">
        <v>66.330926805847881</v>
      </c>
      <c r="J106">
        <v>50.252650073079948</v>
      </c>
      <c r="L106">
        <v>6.3552325560123792</v>
      </c>
      <c r="M106">
        <v>14.491726507208158</v>
      </c>
      <c r="N106">
        <v>2.2044242781789416</v>
      </c>
      <c r="O106">
        <v>31.600568388025472</v>
      </c>
      <c r="P106">
        <v>9.1142647358271205</v>
      </c>
      <c r="R106">
        <v>16.66032972477112</v>
      </c>
      <c r="S106">
        <v>52.596014883164365</v>
      </c>
      <c r="U106">
        <v>1.6841560942860327</v>
      </c>
      <c r="V106">
        <v>48.545701501301785</v>
      </c>
      <c r="W106">
        <v>25.433362668309243</v>
      </c>
      <c r="X106">
        <v>42.808987891864092</v>
      </c>
      <c r="Y106">
        <v>6.8258887324157129</v>
      </c>
      <c r="Z106">
        <v>24.478956690237407</v>
      </c>
      <c r="AA106">
        <v>5.8143812692274954</v>
      </c>
      <c r="AB106">
        <v>36.486172276299982</v>
      </c>
      <c r="AD106">
        <v>4.3832803623729273</v>
      </c>
      <c r="AE106">
        <v>10.271292771849906</v>
      </c>
      <c r="AF106">
        <v>14.110556534263711</v>
      </c>
      <c r="AG106">
        <v>22.06157869081553</v>
      </c>
      <c r="AH106">
        <v>2.6613885138431961</v>
      </c>
      <c r="AI106">
        <v>2.1407577367956891</v>
      </c>
      <c r="AK106">
        <v>43.690135075407241</v>
      </c>
    </row>
    <row r="107" spans="1:37" x14ac:dyDescent="0.2">
      <c r="A107">
        <v>106</v>
      </c>
      <c r="B107">
        <v>759</v>
      </c>
      <c r="C107">
        <v>175</v>
      </c>
      <c r="D107">
        <v>0.41070629269001901</v>
      </c>
      <c r="E107">
        <v>141.48822614951982</v>
      </c>
      <c r="F107">
        <v>49.28638844602547</v>
      </c>
      <c r="G107">
        <v>70.599922717600933</v>
      </c>
      <c r="H107">
        <v>66.000450181970706</v>
      </c>
      <c r="J107">
        <v>49.48025549799722</v>
      </c>
      <c r="L107">
        <v>5.7733483365351423</v>
      </c>
      <c r="M107">
        <v>14.538053722858043</v>
      </c>
      <c r="N107">
        <v>2.2063894880760784</v>
      </c>
      <c r="O107">
        <v>29.393118479897247</v>
      </c>
      <c r="P107">
        <v>8.4816517144722603</v>
      </c>
      <c r="R107">
        <v>15.827085996564</v>
      </c>
      <c r="S107">
        <v>51.235354885473484</v>
      </c>
      <c r="U107">
        <v>1.6951833216723657</v>
      </c>
      <c r="V107">
        <v>48.381498308553915</v>
      </c>
      <c r="W107">
        <v>25.243492220686107</v>
      </c>
      <c r="X107">
        <v>42.88339708070076</v>
      </c>
      <c r="Y107">
        <v>6.1995068551884183</v>
      </c>
      <c r="Z107">
        <v>23.230794688127219</v>
      </c>
      <c r="AA107">
        <v>5.230277991316747</v>
      </c>
      <c r="AB107">
        <v>35.892838678290673</v>
      </c>
      <c r="AD107">
        <v>3.6382020918484241</v>
      </c>
      <c r="AE107">
        <v>9.7727224755425794</v>
      </c>
      <c r="AF107">
        <v>14.155742228629006</v>
      </c>
      <c r="AG107">
        <v>21.453369177402745</v>
      </c>
      <c r="AH107">
        <v>1.726911533236307</v>
      </c>
      <c r="AI107">
        <v>2.1424428346786741</v>
      </c>
      <c r="AK107">
        <v>43.230774110742985</v>
      </c>
    </row>
    <row r="108" spans="1:37" x14ac:dyDescent="0.2">
      <c r="A108">
        <v>107</v>
      </c>
      <c r="B108">
        <v>758</v>
      </c>
      <c r="C108">
        <v>175</v>
      </c>
      <c r="D108">
        <v>0.41006691557969399</v>
      </c>
      <c r="E108">
        <v>141.03933867868878</v>
      </c>
      <c r="F108">
        <v>46.495471598393436</v>
      </c>
      <c r="G108">
        <v>70.165343414374746</v>
      </c>
      <c r="H108">
        <v>65.563409865303541</v>
      </c>
      <c r="J108">
        <v>48.315403732192848</v>
      </c>
      <c r="L108">
        <v>4.9815173764942742</v>
      </c>
      <c r="M108">
        <v>14.581416372849917</v>
      </c>
      <c r="N108">
        <v>2.208349154919949</v>
      </c>
      <c r="O108">
        <v>26.432449038090901</v>
      </c>
      <c r="P108">
        <v>7.6358874760276709</v>
      </c>
      <c r="R108">
        <v>14.672717510195318</v>
      </c>
      <c r="S108">
        <v>49.268841063154909</v>
      </c>
      <c r="U108">
        <v>1.7104089696704847</v>
      </c>
      <c r="V108">
        <v>48.118916640410291</v>
      </c>
      <c r="W108">
        <v>25.079378849647998</v>
      </c>
      <c r="X108">
        <v>42.969355870764531</v>
      </c>
      <c r="Y108">
        <v>5.3561047666904331</v>
      </c>
      <c r="Z108">
        <v>21.431603953044469</v>
      </c>
      <c r="AA108">
        <v>4.4364320688012233</v>
      </c>
      <c r="AB108">
        <v>34.972239377887526</v>
      </c>
      <c r="AD108">
        <v>2.5732562172956772</v>
      </c>
      <c r="AE108">
        <v>9.035518195237275</v>
      </c>
      <c r="AF108">
        <v>14.197958118388367</v>
      </c>
      <c r="AG108">
        <v>20.517890922204874</v>
      </c>
      <c r="AH108">
        <v>0.45069350153548721</v>
      </c>
      <c r="AI108">
        <v>2.1441215641206171</v>
      </c>
      <c r="AK108">
        <v>42.539283881331009</v>
      </c>
    </row>
    <row r="109" spans="1:37" x14ac:dyDescent="0.2">
      <c r="A109">
        <v>108</v>
      </c>
      <c r="B109">
        <v>757</v>
      </c>
      <c r="C109">
        <v>175</v>
      </c>
      <c r="D109">
        <v>0.40942629714119499</v>
      </c>
      <c r="E109">
        <v>141.1842184840674</v>
      </c>
      <c r="F109">
        <v>46.020009736909451</v>
      </c>
      <c r="G109">
        <v>70.417718105352023</v>
      </c>
      <c r="H109">
        <v>65.813336541777005</v>
      </c>
      <c r="J109">
        <v>38.958338420188809</v>
      </c>
      <c r="L109">
        <v>3.8826503299689721</v>
      </c>
      <c r="M109">
        <v>14.813780763972861</v>
      </c>
      <c r="N109">
        <v>2.2103437260646364</v>
      </c>
      <c r="O109">
        <v>18.841575893837877</v>
      </c>
      <c r="P109">
        <v>8.1640738208111863</v>
      </c>
      <c r="R109">
        <v>13.748085222986413</v>
      </c>
      <c r="S109">
        <v>44.935424249927507</v>
      </c>
      <c r="U109">
        <v>1.7275602101695171</v>
      </c>
      <c r="V109">
        <v>47.384843157560638</v>
      </c>
      <c r="W109">
        <v>25.199035494935583</v>
      </c>
      <c r="X109">
        <v>43.056782529408181</v>
      </c>
      <c r="Y109">
        <v>4.7181745502866805</v>
      </c>
      <c r="Z109">
        <v>18.776762349807093</v>
      </c>
      <c r="AA109">
        <v>2.9584217130042378</v>
      </c>
      <c r="AB109">
        <v>32.628139279821724</v>
      </c>
      <c r="AD109">
        <v>1.1959541185078391</v>
      </c>
      <c r="AE109">
        <v>7.3652957374957735</v>
      </c>
      <c r="AF109">
        <v>14.429210963258923</v>
      </c>
      <c r="AG109">
        <v>18.15894928318454</v>
      </c>
      <c r="AI109">
        <v>2.1458343706372882</v>
      </c>
      <c r="AK109">
        <v>36.549763694758688</v>
      </c>
    </row>
    <row r="110" spans="1:37" x14ac:dyDescent="0.2">
      <c r="A110">
        <v>109</v>
      </c>
      <c r="B110">
        <v>756</v>
      </c>
      <c r="C110">
        <v>175</v>
      </c>
      <c r="D110">
        <v>0.40878443375601398</v>
      </c>
      <c r="E110">
        <v>141.13791670926943</v>
      </c>
      <c r="F110">
        <v>45.522113252081354</v>
      </c>
      <c r="G110">
        <v>70.493297614363016</v>
      </c>
      <c r="H110">
        <v>65.886481055979615</v>
      </c>
      <c r="J110">
        <v>33.693005151378891</v>
      </c>
      <c r="L110">
        <v>2.9329101380896936</v>
      </c>
      <c r="M110">
        <v>15.021165646369649</v>
      </c>
      <c r="N110">
        <v>2.2123306327509638</v>
      </c>
      <c r="O110">
        <v>13.502315785550076</v>
      </c>
      <c r="P110">
        <v>8.3386698503254042</v>
      </c>
      <c r="R110">
        <v>12.962414217917779</v>
      </c>
      <c r="S110">
        <v>41.785223863405022</v>
      </c>
      <c r="U110">
        <v>1.7180879962990849</v>
      </c>
      <c r="V110">
        <v>46.872131026946292</v>
      </c>
      <c r="W110">
        <v>25.314672719860098</v>
      </c>
      <c r="X110">
        <v>43.06792272836995</v>
      </c>
      <c r="Y110">
        <v>3.9924683828479965</v>
      </c>
      <c r="Z110">
        <v>17.463932077856235</v>
      </c>
      <c r="AA110">
        <v>1.8207851142326545</v>
      </c>
      <c r="AB110">
        <v>31.485721140500928</v>
      </c>
      <c r="AD110">
        <v>0.42587498601498763</v>
      </c>
      <c r="AE110">
        <v>6.5853958405066635</v>
      </c>
      <c r="AF110">
        <v>14.635476950211157</v>
      </c>
      <c r="AG110">
        <v>17.001684453883964</v>
      </c>
      <c r="AI110">
        <v>2.147538683631312</v>
      </c>
      <c r="AK110">
        <v>33.184244186982681</v>
      </c>
    </row>
    <row r="111" spans="1:37" x14ac:dyDescent="0.2">
      <c r="A111">
        <v>110</v>
      </c>
      <c r="B111">
        <v>755</v>
      </c>
      <c r="C111">
        <v>175</v>
      </c>
      <c r="D111">
        <v>0.40814132179156798</v>
      </c>
      <c r="E111">
        <v>141.00831411085758</v>
      </c>
      <c r="F111">
        <v>45.364866780807411</v>
      </c>
      <c r="G111">
        <v>70.492825295148421</v>
      </c>
      <c r="H111">
        <v>65.883586782449854</v>
      </c>
      <c r="J111">
        <v>29.83145650645066</v>
      </c>
      <c r="L111">
        <v>2.0782581996119953</v>
      </c>
      <c r="M111">
        <v>15.230516066078643</v>
      </c>
      <c r="N111">
        <v>2.2143126120214243</v>
      </c>
      <c r="O111">
        <v>9.1908072439267059</v>
      </c>
      <c r="P111">
        <v>8.3611650317569435</v>
      </c>
      <c r="R111">
        <v>12.252345957128181</v>
      </c>
      <c r="S111">
        <v>39.117206158307816</v>
      </c>
      <c r="U111">
        <v>1.7023438522646537</v>
      </c>
      <c r="V111">
        <v>46.401346397084325</v>
      </c>
      <c r="W111">
        <v>25.437133326976792</v>
      </c>
      <c r="X111">
        <v>43.061276642244358</v>
      </c>
      <c r="Y111">
        <v>3.2454786795269888</v>
      </c>
      <c r="Z111">
        <v>17.391795131464594</v>
      </c>
      <c r="AA111">
        <v>0.85642302499859213</v>
      </c>
      <c r="AB111">
        <v>31.140966349313572</v>
      </c>
      <c r="AE111">
        <v>6.5409060615041641</v>
      </c>
      <c r="AF111">
        <v>14.843703867922708</v>
      </c>
      <c r="AG111">
        <v>16.642080566646825</v>
      </c>
      <c r="AI111">
        <v>2.1492372383062852</v>
      </c>
      <c r="AK111">
        <v>30.733794948273516</v>
      </c>
    </row>
    <row r="112" spans="1:37" x14ac:dyDescent="0.2">
      <c r="A112">
        <v>111</v>
      </c>
      <c r="B112">
        <v>754</v>
      </c>
      <c r="C112">
        <v>175</v>
      </c>
      <c r="D112">
        <v>0.40749695760112897</v>
      </c>
      <c r="E112">
        <v>140.85210755562576</v>
      </c>
      <c r="F112">
        <v>45.284306277859635</v>
      </c>
      <c r="G112">
        <v>70.468007415453101</v>
      </c>
      <c r="H112">
        <v>65.856360009771436</v>
      </c>
      <c r="J112">
        <v>26.871597929490584</v>
      </c>
      <c r="L112">
        <v>1.3500599916629363</v>
      </c>
      <c r="M112">
        <v>15.438542675176482</v>
      </c>
      <c r="N112">
        <v>2.2162931921436293</v>
      </c>
      <c r="O112">
        <v>5.7093242886375517</v>
      </c>
      <c r="P112">
        <v>8.3349754515881447</v>
      </c>
      <c r="R112">
        <v>11.665002400810964</v>
      </c>
      <c r="S112">
        <v>36.883472450158841</v>
      </c>
      <c r="U112">
        <v>1.6836339254951784</v>
      </c>
      <c r="V112">
        <v>45.963483570738887</v>
      </c>
      <c r="W112">
        <v>25.560527598514629</v>
      </c>
      <c r="X112">
        <v>43.046335702294598</v>
      </c>
      <c r="Y112">
        <v>2.5577960163749371</v>
      </c>
      <c r="Z112">
        <v>17.663094116837634</v>
      </c>
      <c r="AA112">
        <v>5.8091741456155435E-2</v>
      </c>
      <c r="AB112">
        <v>31.02990321948992</v>
      </c>
      <c r="AE112">
        <v>6.6993427305838678</v>
      </c>
      <c r="AF112">
        <v>15.050605902349748</v>
      </c>
      <c r="AG112">
        <v>16.516169468904909</v>
      </c>
      <c r="AI112">
        <v>2.1509335610916214</v>
      </c>
      <c r="AK112">
        <v>28.874181163348439</v>
      </c>
    </row>
    <row r="113" spans="1:37" x14ac:dyDescent="0.2">
      <c r="A113">
        <v>112</v>
      </c>
      <c r="B113">
        <v>753</v>
      </c>
      <c r="C113">
        <v>175</v>
      </c>
      <c r="D113">
        <v>0.40685133752375702</v>
      </c>
      <c r="E113">
        <v>140.65190758285769</v>
      </c>
      <c r="F113">
        <v>44.983546842730981</v>
      </c>
      <c r="G113">
        <v>70.43035684217503</v>
      </c>
      <c r="H113">
        <v>65.816313625720696</v>
      </c>
      <c r="J113">
        <v>23.84845333831699</v>
      </c>
      <c r="L113">
        <v>1.5170924422105818</v>
      </c>
      <c r="M113">
        <v>15.707060406847006</v>
      </c>
      <c r="N113">
        <v>2.2182687245893318</v>
      </c>
      <c r="O113">
        <v>6.4075958151375687</v>
      </c>
      <c r="P113">
        <v>8.2831232178774581</v>
      </c>
      <c r="R113">
        <v>12.01521809411058</v>
      </c>
      <c r="S113">
        <v>36.923938537368812</v>
      </c>
      <c r="U113">
        <v>1.6639356496216049</v>
      </c>
      <c r="V113">
        <v>45.570413107296822</v>
      </c>
      <c r="W113">
        <v>25.745152115122416</v>
      </c>
      <c r="X113">
        <v>43.028798646491573</v>
      </c>
      <c r="Y113">
        <v>2.3926389326613879</v>
      </c>
      <c r="Z113">
        <v>17.772574080060682</v>
      </c>
      <c r="AB113">
        <v>30.774018748312795</v>
      </c>
      <c r="AE113">
        <v>6.7640685335894934</v>
      </c>
      <c r="AF113">
        <v>15.31799434377014</v>
      </c>
      <c r="AG113">
        <v>16.24543451536244</v>
      </c>
      <c r="AI113">
        <v>2.1526240016192455</v>
      </c>
      <c r="AK113">
        <v>26.989378615570445</v>
      </c>
    </row>
    <row r="114" spans="1:37" x14ac:dyDescent="0.2">
      <c r="A114">
        <v>113</v>
      </c>
      <c r="B114">
        <v>792</v>
      </c>
      <c r="C114">
        <v>150</v>
      </c>
      <c r="D114">
        <v>0.456950194808243</v>
      </c>
      <c r="E114">
        <v>131.92159115990685</v>
      </c>
      <c r="F114">
        <v>71.529454720988824</v>
      </c>
      <c r="G114">
        <v>74.477398118747914</v>
      </c>
      <c r="H114">
        <v>69.965530560317021</v>
      </c>
      <c r="J114">
        <v>54.06461299376533</v>
      </c>
      <c r="L114">
        <v>11.959635399071823</v>
      </c>
      <c r="M114">
        <v>14.427523287054962</v>
      </c>
      <c r="N114">
        <v>2.3439471251343651</v>
      </c>
      <c r="O114">
        <v>56.784267427858985</v>
      </c>
      <c r="P114">
        <v>15.530131006716344</v>
      </c>
      <c r="Q114">
        <v>2.2549217007534338E-2</v>
      </c>
      <c r="R114">
        <v>25.16933586136345</v>
      </c>
      <c r="S114">
        <v>63.079098831337845</v>
      </c>
      <c r="U114">
        <v>2.604891300663259</v>
      </c>
      <c r="V114">
        <v>48.290699045930246</v>
      </c>
      <c r="W114">
        <v>31.453932701684582</v>
      </c>
      <c r="X114">
        <v>42.134561171144938</v>
      </c>
      <c r="Y114">
        <v>12.890743162005386</v>
      </c>
      <c r="Z114">
        <v>36.323053516285562</v>
      </c>
      <c r="AA114">
        <v>11.612387973603923</v>
      </c>
      <c r="AB114">
        <v>39.866293319508031</v>
      </c>
      <c r="AC114">
        <v>0.29441865540955192</v>
      </c>
      <c r="AD114">
        <v>11.206271489269456</v>
      </c>
      <c r="AE114">
        <v>15.315184250294115</v>
      </c>
      <c r="AF114">
        <v>14.362663695777984</v>
      </c>
      <c r="AG114">
        <v>26.228228852015235</v>
      </c>
      <c r="AH114">
        <v>10.906591774148241</v>
      </c>
      <c r="AI114">
        <v>2.2858106714478503</v>
      </c>
      <c r="AK114">
        <v>45.76498200662256</v>
      </c>
    </row>
    <row r="115" spans="1:37" x14ac:dyDescent="0.2">
      <c r="A115">
        <v>114</v>
      </c>
      <c r="B115">
        <v>791</v>
      </c>
      <c r="C115">
        <v>150</v>
      </c>
      <c r="D115">
        <v>0.45637410139548201</v>
      </c>
      <c r="E115">
        <v>131.81481230862104</v>
      </c>
      <c r="F115">
        <v>71.135664099378701</v>
      </c>
      <c r="G115">
        <v>74.409385390697921</v>
      </c>
      <c r="H115">
        <v>69.894628993331395</v>
      </c>
      <c r="J115">
        <v>54.024859422237959</v>
      </c>
      <c r="L115">
        <v>11.854316028884204</v>
      </c>
      <c r="M115">
        <v>14.417955107099722</v>
      </c>
      <c r="N115">
        <v>2.331368497602361</v>
      </c>
      <c r="O115">
        <v>56.267086642039651</v>
      </c>
      <c r="P115">
        <v>15.402710637835856</v>
      </c>
      <c r="R115">
        <v>24.999351089441248</v>
      </c>
      <c r="S115">
        <v>62.872446463010938</v>
      </c>
      <c r="U115">
        <v>2.5719535642801055</v>
      </c>
      <c r="V115">
        <v>48.289993664475624</v>
      </c>
      <c r="W115">
        <v>31.316299734536955</v>
      </c>
      <c r="X115">
        <v>42.087964699913918</v>
      </c>
      <c r="Y115">
        <v>12.776179746517197</v>
      </c>
      <c r="Z115">
        <v>36.106016335201858</v>
      </c>
      <c r="AA115">
        <v>11.500999525405117</v>
      </c>
      <c r="AB115">
        <v>39.816578766423575</v>
      </c>
      <c r="AC115">
        <v>0.2798501754556304</v>
      </c>
      <c r="AD115">
        <v>11.088457349357736</v>
      </c>
      <c r="AE115">
        <v>15.220561296563362</v>
      </c>
      <c r="AF115">
        <v>14.337399576059063</v>
      </c>
      <c r="AG115">
        <v>26.149050306388194</v>
      </c>
      <c r="AH115">
        <v>10.762125399351588</v>
      </c>
      <c r="AI115">
        <v>2.272978504159207</v>
      </c>
      <c r="AK115">
        <v>45.749358580797988</v>
      </c>
    </row>
    <row r="116" spans="1:37" x14ac:dyDescent="0.2">
      <c r="A116">
        <v>115</v>
      </c>
      <c r="B116">
        <v>790</v>
      </c>
      <c r="C116">
        <v>150</v>
      </c>
      <c r="D116">
        <v>0.45579692423458601</v>
      </c>
      <c r="E116">
        <v>131.70285818215999</v>
      </c>
      <c r="F116">
        <v>70.675078487180357</v>
      </c>
      <c r="G116">
        <v>74.32974540600803</v>
      </c>
      <c r="H116">
        <v>69.812112507889225</v>
      </c>
      <c r="J116">
        <v>53.994571064847349</v>
      </c>
      <c r="L116">
        <v>11.726877762039477</v>
      </c>
      <c r="M116">
        <v>14.436727233419306</v>
      </c>
      <c r="N116">
        <v>2.3139639705770576</v>
      </c>
      <c r="O116">
        <v>55.646236775505791</v>
      </c>
      <c r="P116">
        <v>15.247216831378724</v>
      </c>
      <c r="R116">
        <v>24.837376268379735</v>
      </c>
      <c r="S116">
        <v>62.782317092199825</v>
      </c>
      <c r="U116">
        <v>2.5593920525048084</v>
      </c>
      <c r="V116">
        <v>48.344598126368531</v>
      </c>
      <c r="W116">
        <v>31.203040898264668</v>
      </c>
      <c r="X116">
        <v>42.109389917467716</v>
      </c>
      <c r="Y116">
        <v>12.635099384880913</v>
      </c>
      <c r="Z116">
        <v>35.853645857220179</v>
      </c>
      <c r="AA116">
        <v>11.365367845950663</v>
      </c>
      <c r="AB116">
        <v>39.818018599575218</v>
      </c>
      <c r="AC116">
        <v>0.26045595404686617</v>
      </c>
      <c r="AD116">
        <v>10.950715464135088</v>
      </c>
      <c r="AE116">
        <v>15.11402161288564</v>
      </c>
      <c r="AF116">
        <v>14.335650001407584</v>
      </c>
      <c r="AG116">
        <v>26.116202572569733</v>
      </c>
      <c r="AH116">
        <v>10.58697241896337</v>
      </c>
      <c r="AI116">
        <v>2.2553196705592025</v>
      </c>
      <c r="AK116">
        <v>45.718983069773842</v>
      </c>
    </row>
    <row r="117" spans="1:37" x14ac:dyDescent="0.2">
      <c r="A117">
        <v>116</v>
      </c>
      <c r="B117">
        <v>789</v>
      </c>
      <c r="C117">
        <v>150</v>
      </c>
      <c r="D117">
        <v>0.45521866026455898</v>
      </c>
      <c r="E117">
        <v>131.59130783906465</v>
      </c>
      <c r="F117">
        <v>70.2152828972565</v>
      </c>
      <c r="G117">
        <v>74.250054924667765</v>
      </c>
      <c r="H117">
        <v>69.729557883470747</v>
      </c>
      <c r="J117">
        <v>53.963384965941515</v>
      </c>
      <c r="L117">
        <v>11.598800403348994</v>
      </c>
      <c r="M117">
        <v>14.455844047839166</v>
      </c>
      <c r="N117">
        <v>2.2965178849573116</v>
      </c>
      <c r="O117">
        <v>55.024998827019893</v>
      </c>
      <c r="P117">
        <v>15.091587468877302</v>
      </c>
      <c r="R117">
        <v>24.67383460957199</v>
      </c>
      <c r="S117">
        <v>62.68837213703469</v>
      </c>
      <c r="U117">
        <v>2.5473747273081329</v>
      </c>
      <c r="V117">
        <v>48.397685497786348</v>
      </c>
      <c r="W117">
        <v>31.090611345948759</v>
      </c>
      <c r="X117">
        <v>42.132638359336724</v>
      </c>
      <c r="Y117">
        <v>12.493848178075375</v>
      </c>
      <c r="Z117">
        <v>35.60154557391369</v>
      </c>
      <c r="AA117">
        <v>11.229522167907838</v>
      </c>
      <c r="AB117">
        <v>39.817432033023863</v>
      </c>
      <c r="AC117">
        <v>0.24102033164823511</v>
      </c>
      <c r="AD117">
        <v>10.812835125194104</v>
      </c>
      <c r="AE117">
        <v>15.007693105437561</v>
      </c>
      <c r="AF117">
        <v>14.334203699733346</v>
      </c>
      <c r="AG117">
        <v>26.081289210833859</v>
      </c>
      <c r="AH117">
        <v>10.411482644485423</v>
      </c>
      <c r="AI117">
        <v>2.2376185097257242</v>
      </c>
      <c r="AK117">
        <v>45.688716316903097</v>
      </c>
    </row>
    <row r="118" spans="1:37" x14ac:dyDescent="0.2">
      <c r="A118">
        <v>117</v>
      </c>
      <c r="B118">
        <v>788</v>
      </c>
      <c r="C118">
        <v>150</v>
      </c>
      <c r="D118">
        <v>0.45463930641285699</v>
      </c>
      <c r="E118">
        <v>131.48016631106557</v>
      </c>
      <c r="F118">
        <v>69.756335030542417</v>
      </c>
      <c r="G118">
        <v>74.170326670700064</v>
      </c>
      <c r="H118">
        <v>69.646977863624528</v>
      </c>
      <c r="J118">
        <v>53.931297485473685</v>
      </c>
      <c r="L118">
        <v>11.470190375645867</v>
      </c>
      <c r="M118">
        <v>14.475291823139523</v>
      </c>
      <c r="N118">
        <v>2.2790330681602282</v>
      </c>
      <c r="O118">
        <v>54.403462450356201</v>
      </c>
      <c r="P118">
        <v>14.93585084650025</v>
      </c>
      <c r="R118">
        <v>24.508780530272897</v>
      </c>
      <c r="S118">
        <v>62.59053628584995</v>
      </c>
      <c r="U118">
        <v>2.5358872461866864</v>
      </c>
      <c r="V118">
        <v>48.449234660776696</v>
      </c>
      <c r="W118">
        <v>30.97900529723427</v>
      </c>
      <c r="X118">
        <v>42.15766577052576</v>
      </c>
      <c r="Y118">
        <v>12.352452763540983</v>
      </c>
      <c r="Z118">
        <v>35.349739111448898</v>
      </c>
      <c r="AA118">
        <v>11.093353104294744</v>
      </c>
      <c r="AB118">
        <v>39.814773639692987</v>
      </c>
      <c r="AC118">
        <v>0.22154613524272992</v>
      </c>
      <c r="AD118">
        <v>10.674835017031304</v>
      </c>
      <c r="AE118">
        <v>14.901579556859099</v>
      </c>
      <c r="AF118">
        <v>14.333049776429759</v>
      </c>
      <c r="AG118">
        <v>26.044267626855309</v>
      </c>
      <c r="AH118">
        <v>10.235692786589834</v>
      </c>
      <c r="AI118">
        <v>2.2198778472547929</v>
      </c>
      <c r="AK118">
        <v>45.658572360376915</v>
      </c>
    </row>
    <row r="119" spans="1:37" x14ac:dyDescent="0.2">
      <c r="A119">
        <v>118</v>
      </c>
      <c r="B119">
        <v>787</v>
      </c>
      <c r="C119">
        <v>150</v>
      </c>
      <c r="D119">
        <v>0.45405885959534198</v>
      </c>
      <c r="E119">
        <v>131.36943819168445</v>
      </c>
      <c r="F119">
        <v>69.298291988952968</v>
      </c>
      <c r="G119">
        <v>74.090573420649832</v>
      </c>
      <c r="H119">
        <v>69.564385244459345</v>
      </c>
      <c r="J119">
        <v>53.898308254884874</v>
      </c>
      <c r="L119">
        <v>11.340940672706099</v>
      </c>
      <c r="M119">
        <v>14.495056365163174</v>
      </c>
      <c r="N119">
        <v>2.2615124487743463</v>
      </c>
      <c r="O119">
        <v>53.781718122455381</v>
      </c>
      <c r="P119">
        <v>14.780035466691142</v>
      </c>
      <c r="R119">
        <v>24.34227024438378</v>
      </c>
      <c r="S119">
        <v>62.488746087572771</v>
      </c>
      <c r="U119">
        <v>2.524914537322795</v>
      </c>
      <c r="V119">
        <v>48.499228383830882</v>
      </c>
      <c r="W119">
        <v>30.868215749478829</v>
      </c>
      <c r="X119">
        <v>42.184425648383979</v>
      </c>
      <c r="Y119">
        <v>12.210939983261841</v>
      </c>
      <c r="Z119">
        <v>35.09824999249377</v>
      </c>
      <c r="AA119">
        <v>10.956954636416107</v>
      </c>
      <c r="AB119">
        <v>39.810004176318714</v>
      </c>
      <c r="AC119">
        <v>0.20203629298466086</v>
      </c>
      <c r="AD119">
        <v>10.536733843895496</v>
      </c>
      <c r="AE119">
        <v>14.795684667190187</v>
      </c>
      <c r="AF119">
        <v>14.332176971135642</v>
      </c>
      <c r="AG119">
        <v>26.005101511306147</v>
      </c>
      <c r="AH119">
        <v>10.059639747234058</v>
      </c>
      <c r="AI119">
        <v>2.2021006099124656</v>
      </c>
      <c r="AK119">
        <v>45.628565330297775</v>
      </c>
    </row>
    <row r="120" spans="1:37" x14ac:dyDescent="0.2">
      <c r="A120">
        <v>119</v>
      </c>
      <c r="B120">
        <v>786</v>
      </c>
      <c r="C120">
        <v>150</v>
      </c>
      <c r="D120">
        <v>0.45347731671623798</v>
      </c>
      <c r="E120">
        <v>131.25912762349614</v>
      </c>
      <c r="F120">
        <v>68.841210004328474</v>
      </c>
      <c r="G120">
        <v>74.010807940512279</v>
      </c>
      <c r="H120">
        <v>69.481792811571012</v>
      </c>
      <c r="J120">
        <v>53.864420071414756</v>
      </c>
      <c r="L120">
        <v>11.211164255942164</v>
      </c>
      <c r="M120">
        <v>14.515123094443807</v>
      </c>
      <c r="N120">
        <v>2.2439590394092184</v>
      </c>
      <c r="O120">
        <v>53.159856673673382</v>
      </c>
      <c r="P120">
        <v>14.624169894870281</v>
      </c>
      <c r="R120">
        <v>24.174361446155995</v>
      </c>
      <c r="S120">
        <v>62.382949867777072</v>
      </c>
      <c r="U120">
        <v>2.5144408899500119</v>
      </c>
      <c r="V120">
        <v>48.54765325444599</v>
      </c>
      <c r="W120">
        <v>30.758234544712984</v>
      </c>
      <c r="X120">
        <v>42.2128695255876</v>
      </c>
      <c r="Y120">
        <v>12.069336748913038</v>
      </c>
      <c r="Z120">
        <v>34.847101516464839</v>
      </c>
      <c r="AA120">
        <v>10.820351137064964</v>
      </c>
      <c r="AB120">
        <v>39.803090568202379</v>
      </c>
      <c r="AC120">
        <v>0.1824938170487683</v>
      </c>
      <c r="AD120">
        <v>10.398550248535745</v>
      </c>
      <c r="AE120">
        <v>14.69001203179697</v>
      </c>
      <c r="AF120">
        <v>14.33157372221395</v>
      </c>
      <c r="AG120">
        <v>25.96376080746299</v>
      </c>
      <c r="AH120">
        <v>9.8833604527301464</v>
      </c>
      <c r="AI120">
        <v>2.1842898084852305</v>
      </c>
      <c r="AK120">
        <v>45.598709376031621</v>
      </c>
    </row>
    <row r="121" spans="1:37" x14ac:dyDescent="0.2">
      <c r="A121">
        <v>120</v>
      </c>
      <c r="B121">
        <v>785</v>
      </c>
      <c r="C121">
        <v>150</v>
      </c>
      <c r="D121">
        <v>0.452894674668055</v>
      </c>
      <c r="E121">
        <v>131.14923828879688</v>
      </c>
      <c r="F121">
        <v>68.385144182814471</v>
      </c>
      <c r="G121">
        <v>73.931042925071196</v>
      </c>
      <c r="H121">
        <v>69.399213279378813</v>
      </c>
      <c r="J121">
        <v>53.829638767658182</v>
      </c>
      <c r="L121">
        <v>11.080898514365577</v>
      </c>
      <c r="M121">
        <v>14.535477127364013</v>
      </c>
      <c r="N121">
        <v>2.2263759194228663</v>
      </c>
      <c r="O121">
        <v>52.537968832470192</v>
      </c>
      <c r="P121">
        <v>14.468282620839235</v>
      </c>
      <c r="R121">
        <v>24.005112994394896</v>
      </c>
      <c r="S121">
        <v>62.273107541418192</v>
      </c>
      <c r="U121">
        <v>2.5044500460238162</v>
      </c>
      <c r="V121">
        <v>48.594499581103065</v>
      </c>
      <c r="W121">
        <v>30.649052443302288</v>
      </c>
      <c r="X121">
        <v>42.24294725193063</v>
      </c>
      <c r="Y121">
        <v>11.927669911345413</v>
      </c>
      <c r="Z121">
        <v>34.596316645887342</v>
      </c>
      <c r="AA121">
        <v>10.68363344134479</v>
      </c>
      <c r="AB121">
        <v>39.794005839663853</v>
      </c>
      <c r="AC121">
        <v>0.1629217863580309</v>
      </c>
      <c r="AD121">
        <v>10.260302733944014</v>
      </c>
      <c r="AE121">
        <v>14.58456512095721</v>
      </c>
      <c r="AF121">
        <v>14.331228230636079</v>
      </c>
      <c r="AG121">
        <v>25.920221624385121</v>
      </c>
      <c r="AH121">
        <v>9.7068916920963133</v>
      </c>
      <c r="AI121">
        <v>2.1664485205082786</v>
      </c>
      <c r="AK121">
        <v>45.569018595533535</v>
      </c>
    </row>
    <row r="122" spans="1:37" x14ac:dyDescent="0.2">
      <c r="A122">
        <v>121</v>
      </c>
      <c r="B122">
        <v>784</v>
      </c>
      <c r="C122">
        <v>150</v>
      </c>
      <c r="D122">
        <v>0.45231093033155201</v>
      </c>
      <c r="E122">
        <v>131.0397734046085</v>
      </c>
      <c r="F122">
        <v>67.930148270354309</v>
      </c>
      <c r="G122">
        <v>73.851290940613936</v>
      </c>
      <c r="H122">
        <v>69.316659233845755</v>
      </c>
      <c r="J122">
        <v>53.79397306076158</v>
      </c>
      <c r="L122">
        <v>10.950180794608386</v>
      </c>
      <c r="M122">
        <v>14.556103355938909</v>
      </c>
      <c r="N122">
        <v>2.2087662179657759</v>
      </c>
      <c r="O122">
        <v>51.916144791916189</v>
      </c>
      <c r="P122">
        <v>14.312401927256897</v>
      </c>
      <c r="R122">
        <v>23.834584602625288</v>
      </c>
      <c r="S122">
        <v>62.15919033203096</v>
      </c>
      <c r="U122">
        <v>2.4949252918300373</v>
      </c>
      <c r="V122">
        <v>48.639761268579427</v>
      </c>
      <c r="W122">
        <v>30.540659202558274</v>
      </c>
      <c r="X122">
        <v>42.274607304273637</v>
      </c>
      <c r="Y122">
        <v>11.785966136670314</v>
      </c>
      <c r="Z122">
        <v>34.345917900144407</v>
      </c>
      <c r="AA122">
        <v>10.546688092028358</v>
      </c>
      <c r="AB122">
        <v>39.782728993882493</v>
      </c>
      <c r="AC122">
        <v>0.14332332962789018</v>
      </c>
      <c r="AD122">
        <v>10.122009589185499</v>
      </c>
      <c r="AE122">
        <v>14.479347261098679</v>
      </c>
      <c r="AF122">
        <v>14.331128522812831</v>
      </c>
      <c r="AG122">
        <v>25.87446609980196</v>
      </c>
      <c r="AH122">
        <v>9.5302699633516426</v>
      </c>
      <c r="AI122">
        <v>2.1485798733069363</v>
      </c>
      <c r="AK122">
        <v>45.539506968685522</v>
      </c>
    </row>
    <row r="123" spans="1:37" x14ac:dyDescent="0.2">
      <c r="A123">
        <v>122</v>
      </c>
      <c r="B123">
        <v>783</v>
      </c>
      <c r="C123">
        <v>150</v>
      </c>
      <c r="D123">
        <v>0.45172608057567798</v>
      </c>
      <c r="E123">
        <v>130.93073572110492</v>
      </c>
      <c r="F123">
        <v>67.476274438269613</v>
      </c>
      <c r="G123">
        <v>73.771564371241723</v>
      </c>
      <c r="H123">
        <v>69.234143078783987</v>
      </c>
      <c r="J123">
        <v>53.757434383955228</v>
      </c>
      <c r="L123">
        <v>10.819048150154678</v>
      </c>
      <c r="M123">
        <v>14.57698652554803</v>
      </c>
      <c r="N123">
        <v>2.1911330973416545</v>
      </c>
      <c r="O123">
        <v>51.29447379974782</v>
      </c>
      <c r="P123">
        <v>14.156555765622249</v>
      </c>
      <c r="R123">
        <v>23.662836538049845</v>
      </c>
      <c r="S123">
        <v>62.041180407914986</v>
      </c>
      <c r="U123">
        <v>2.4858495486937526</v>
      </c>
      <c r="V123">
        <v>48.683435670217953</v>
      </c>
      <c r="W123">
        <v>30.433043659644778</v>
      </c>
      <c r="X123">
        <v>42.307797003999639</v>
      </c>
      <c r="Y123">
        <v>11.644251789338391</v>
      </c>
      <c r="Z123">
        <v>34.095927257179689</v>
      </c>
      <c r="AA123">
        <v>10.409611724584799</v>
      </c>
      <c r="AB123">
        <v>39.769244847994827</v>
      </c>
      <c r="AC123">
        <v>0.12370160872607742</v>
      </c>
      <c r="AD123">
        <v>9.9836888197167202</v>
      </c>
      <c r="AE123">
        <v>14.374361617884949</v>
      </c>
      <c r="AF123">
        <v>14.331262511681274</v>
      </c>
      <c r="AG123">
        <v>25.826482218567538</v>
      </c>
      <c r="AH123">
        <v>9.3535313284293107</v>
      </c>
      <c r="AI123">
        <v>2.1306870273606826</v>
      </c>
      <c r="AK123">
        <v>45.510188294289726</v>
      </c>
    </row>
    <row r="124" spans="1:37" x14ac:dyDescent="0.2">
      <c r="A124">
        <v>123</v>
      </c>
      <c r="B124">
        <v>782</v>
      </c>
      <c r="C124">
        <v>150</v>
      </c>
      <c r="D124">
        <v>0.451140122257502</v>
      </c>
      <c r="E124">
        <v>130.822127523555</v>
      </c>
      <c r="F124">
        <v>67.023573092343227</v>
      </c>
      <c r="G124">
        <v>73.691875369506889</v>
      </c>
      <c r="H124">
        <v>69.151676986495033</v>
      </c>
      <c r="J124">
        <v>53.720036704027819</v>
      </c>
      <c r="L124">
        <v>10.687537157330665</v>
      </c>
      <c r="M124">
        <v>14.598111309232063</v>
      </c>
      <c r="N124">
        <v>2.1734797370205783</v>
      </c>
      <c r="O124">
        <v>50.673043778169273</v>
      </c>
      <c r="P124">
        <v>14.000771641554513</v>
      </c>
      <c r="R124">
        <v>23.489929332766749</v>
      </c>
      <c r="S124">
        <v>61.919070444247154</v>
      </c>
      <c r="U124">
        <v>2.4772054612593926</v>
      </c>
      <c r="V124">
        <v>48.72552341998238</v>
      </c>
      <c r="W124">
        <v>30.326193816795822</v>
      </c>
      <c r="X124">
        <v>42.342462884417039</v>
      </c>
      <c r="Y124">
        <v>11.502552823923622</v>
      </c>
      <c r="Z124">
        <v>33.846366064656422</v>
      </c>
      <c r="AA124">
        <v>10.272428592318917</v>
      </c>
      <c r="AB124">
        <v>39.753543827826221</v>
      </c>
      <c r="AC124">
        <v>0.10405980268692722</v>
      </c>
      <c r="AD124">
        <v>9.8453580832505185</v>
      </c>
      <c r="AE124">
        <v>14.269611181462651</v>
      </c>
      <c r="AF124">
        <v>14.331618055020201</v>
      </c>
      <c r="AG124">
        <v>25.776263591412246</v>
      </c>
      <c r="AH124">
        <v>9.1767112802356028</v>
      </c>
      <c r="AI124">
        <v>2.1127731603132709</v>
      </c>
      <c r="AK124">
        <v>45.481076131876655</v>
      </c>
    </row>
    <row r="125" spans="1:37" x14ac:dyDescent="0.2">
      <c r="A125">
        <v>124</v>
      </c>
      <c r="B125">
        <v>781</v>
      </c>
      <c r="C125">
        <v>150</v>
      </c>
      <c r="D125">
        <v>0.45055305222216901</v>
      </c>
      <c r="E125">
        <v>130.71395063770683</v>
      </c>
      <c r="F125">
        <v>66.572092706185941</v>
      </c>
      <c r="G125">
        <v>73.612235811659147</v>
      </c>
      <c r="H125">
        <v>69.069272853014539</v>
      </c>
      <c r="J125">
        <v>53.681796328478839</v>
      </c>
      <c r="L125">
        <v>10.555683771406464</v>
      </c>
      <c r="M125">
        <v>14.619462378228652</v>
      </c>
      <c r="N125">
        <v>2.1558093184299159</v>
      </c>
      <c r="O125">
        <v>50.051940975476143</v>
      </c>
      <c r="P125">
        <v>13.845076510088269</v>
      </c>
      <c r="R125">
        <v>23.31592351033586</v>
      </c>
      <c r="S125">
        <v>61.792863123760512</v>
      </c>
      <c r="U125">
        <v>2.4689754826442543</v>
      </c>
      <c r="V125">
        <v>48.766028248668803</v>
      </c>
      <c r="W125">
        <v>30.220096927942294</v>
      </c>
      <c r="X125">
        <v>42.378550881537151</v>
      </c>
      <c r="Y125">
        <v>11.360894686273395</v>
      </c>
      <c r="Z125">
        <v>33.597254960722012</v>
      </c>
      <c r="AA125">
        <v>10.135162655213673</v>
      </c>
      <c r="AB125">
        <v>39.735621728348612</v>
      </c>
      <c r="AC125">
        <v>8.4401092501715722E-2</v>
      </c>
      <c r="AD125">
        <v>9.7070346314616867</v>
      </c>
      <c r="AE125">
        <v>14.165098753757194</v>
      </c>
      <c r="AF125">
        <v>14.33218301077231</v>
      </c>
      <c r="AG125">
        <v>25.723809200183283</v>
      </c>
      <c r="AH125">
        <v>8.9998446124587073</v>
      </c>
      <c r="AI125">
        <v>2.0948414517663276</v>
      </c>
      <c r="AK125">
        <v>45.452183748773393</v>
      </c>
    </row>
    <row r="126" spans="1:37" x14ac:dyDescent="0.2">
      <c r="A126">
        <v>125</v>
      </c>
      <c r="B126">
        <v>780</v>
      </c>
      <c r="C126">
        <v>150</v>
      </c>
      <c r="D126">
        <v>0.44996486730285301</v>
      </c>
      <c r="E126">
        <v>130.60620643793106</v>
      </c>
      <c r="F126">
        <v>66.121879677728458</v>
      </c>
      <c r="G126">
        <v>73.532657257508504</v>
      </c>
      <c r="H126">
        <v>68.986942257976168</v>
      </c>
      <c r="J126">
        <v>53.642731705347281</v>
      </c>
      <c r="L126">
        <v>10.42352320864666</v>
      </c>
      <c r="M126">
        <v>14.64102446837105</v>
      </c>
      <c r="N126">
        <v>2.1381250105664398</v>
      </c>
      <c r="O126">
        <v>49.431249649964926</v>
      </c>
      <c r="P126">
        <v>13.68949668100057</v>
      </c>
      <c r="R126">
        <v>23.140879329513194</v>
      </c>
      <c r="S126">
        <v>61.662570587848194</v>
      </c>
      <c r="U126">
        <v>2.4611419558958967</v>
      </c>
      <c r="V126">
        <v>48.804956788174152</v>
      </c>
      <c r="W126">
        <v>30.114739585885129</v>
      </c>
      <c r="X126">
        <v>42.416006618357514</v>
      </c>
      <c r="Y126">
        <v>11.219302224070548</v>
      </c>
      <c r="Z126">
        <v>33.348613804407961</v>
      </c>
      <c r="AA126">
        <v>9.9978374858331378</v>
      </c>
      <c r="AB126">
        <v>39.715479446198394</v>
      </c>
      <c r="AC126">
        <v>6.4728646730308995E-2</v>
      </c>
      <c r="AD126">
        <v>9.5687352576191476</v>
      </c>
      <c r="AE126">
        <v>14.060826937840787</v>
      </c>
      <c r="AF126">
        <v>14.332945289059746</v>
      </c>
      <c r="AG126">
        <v>25.669123115978927</v>
      </c>
      <c r="AH126">
        <v>8.8229653217142854</v>
      </c>
      <c r="AI126">
        <v>2.0768950688894869</v>
      </c>
      <c r="AK126">
        <v>45.423524072263483</v>
      </c>
    </row>
    <row r="127" spans="1:37" x14ac:dyDescent="0.2">
      <c r="A127">
        <v>126</v>
      </c>
      <c r="B127">
        <v>779</v>
      </c>
      <c r="C127">
        <v>150</v>
      </c>
      <c r="D127">
        <v>0.44937556432067799</v>
      </c>
      <c r="E127">
        <v>130.49889585831147</v>
      </c>
      <c r="F127">
        <v>65.672978212137409</v>
      </c>
      <c r="G127">
        <v>73.453150915566397</v>
      </c>
      <c r="H127">
        <v>68.904696429753699</v>
      </c>
      <c r="J127">
        <v>53.602863219141987</v>
      </c>
      <c r="L127">
        <v>10.291089848346408</v>
      </c>
      <c r="M127">
        <v>14.662782440871101</v>
      </c>
      <c r="N127">
        <v>2.1204299567689859</v>
      </c>
      <c r="O127">
        <v>48.811051791924577</v>
      </c>
      <c r="P127">
        <v>13.534057735875727</v>
      </c>
      <c r="R127">
        <v>22.964856547242988</v>
      </c>
      <c r="S127">
        <v>61.528213846051194</v>
      </c>
      <c r="U127">
        <v>2.4536871902177482</v>
      </c>
      <c r="V127">
        <v>48.842318365710014</v>
      </c>
      <c r="W127">
        <v>30.010107807885323</v>
      </c>
      <c r="X127">
        <v>42.454775635943008</v>
      </c>
      <c r="Y127">
        <v>11.07779960839772</v>
      </c>
      <c r="Z127">
        <v>33.100461617108806</v>
      </c>
      <c r="AA127">
        <v>9.8605387523386749</v>
      </c>
      <c r="AB127">
        <v>39.693122688342186</v>
      </c>
      <c r="AC127">
        <v>4.5045608274636099E-2</v>
      </c>
      <c r="AD127">
        <v>9.4304762511526619</v>
      </c>
      <c r="AE127">
        <v>13.956798129717589</v>
      </c>
      <c r="AF127">
        <v>14.333892899736034</v>
      </c>
      <c r="AG127">
        <v>25.612214194590251</v>
      </c>
      <c r="AH127">
        <v>8.6461065064404519</v>
      </c>
      <c r="AI127">
        <v>2.0589371531932819</v>
      </c>
      <c r="AK127">
        <v>45.395109647938149</v>
      </c>
    </row>
    <row r="128" spans="1:37" x14ac:dyDescent="0.2">
      <c r="A128">
        <v>127</v>
      </c>
      <c r="B128">
        <v>778</v>
      </c>
      <c r="C128">
        <v>150</v>
      </c>
      <c r="D128">
        <v>0.44878514008467002</v>
      </c>
      <c r="E128">
        <v>130.39201940568807</v>
      </c>
      <c r="F128">
        <v>65.225430225431623</v>
      </c>
      <c r="G128">
        <v>73.373727612628628</v>
      </c>
      <c r="H128">
        <v>68.822546215041569</v>
      </c>
      <c r="J128">
        <v>53.562212985475632</v>
      </c>
      <c r="L128">
        <v>10.158337067538461</v>
      </c>
      <c r="M128">
        <v>14.684721338947638</v>
      </c>
      <c r="N128">
        <v>2.1027272623401281</v>
      </c>
      <c r="O128">
        <v>48.191426876885743</v>
      </c>
      <c r="P128">
        <v>13.378784454884967</v>
      </c>
      <c r="R128">
        <v>22.787914201698634</v>
      </c>
      <c r="S128">
        <v>61.389822160360893</v>
      </c>
      <c r="U128">
        <v>2.4465935329366069</v>
      </c>
      <c r="V128">
        <v>48.878124794103094</v>
      </c>
      <c r="W128">
        <v>29.906187120589944</v>
      </c>
      <c r="X128">
        <v>42.494803616735773</v>
      </c>
      <c r="Y128">
        <v>10.936410264422273</v>
      </c>
      <c r="Z128">
        <v>32.852816532886138</v>
      </c>
      <c r="AA128">
        <v>9.7231592484161666</v>
      </c>
      <c r="AB128">
        <v>39.668561665259602</v>
      </c>
      <c r="AC128">
        <v>2.5355082000713715E-2</v>
      </c>
      <c r="AD128">
        <v>9.2922733578920873</v>
      </c>
      <c r="AE128">
        <v>13.853014511854273</v>
      </c>
      <c r="AF128">
        <v>14.335013996636929</v>
      </c>
      <c r="AG128">
        <v>25.553095757298895</v>
      </c>
      <c r="AH128">
        <v>8.4693002511093916</v>
      </c>
      <c r="AI128">
        <v>2.0409708081527995</v>
      </c>
      <c r="AK128">
        <v>45.366952602845721</v>
      </c>
    </row>
    <row r="129" spans="1:37" x14ac:dyDescent="0.2">
      <c r="A129">
        <v>128</v>
      </c>
      <c r="B129">
        <v>777</v>
      </c>
      <c r="C129">
        <v>150</v>
      </c>
      <c r="D129">
        <v>0.44819359139171</v>
      </c>
      <c r="E129">
        <v>130.28557717523961</v>
      </c>
      <c r="F129">
        <v>64.77927527504572</v>
      </c>
      <c r="G129">
        <v>73.29439776887773</v>
      </c>
      <c r="H129">
        <v>68.740502053958636</v>
      </c>
      <c r="J129">
        <v>53.520804647575801</v>
      </c>
      <c r="L129">
        <v>10.025453746834501</v>
      </c>
      <c r="M129">
        <v>14.706826437816124</v>
      </c>
      <c r="N129">
        <v>2.0850199835927778</v>
      </c>
      <c r="O129">
        <v>47.572451659707177</v>
      </c>
      <c r="P129">
        <v>13.223700756042074</v>
      </c>
      <c r="R129">
        <v>22.61011041688387</v>
      </c>
      <c r="S129">
        <v>61.247432407401782</v>
      </c>
      <c r="U129">
        <v>2.4398434349004945</v>
      </c>
      <c r="V129">
        <v>48.91239015767836</v>
      </c>
      <c r="W129">
        <v>29.802962641008424</v>
      </c>
      <c r="X129">
        <v>42.536036586570219</v>
      </c>
      <c r="Y129">
        <v>10.795156813802027</v>
      </c>
      <c r="Z129">
        <v>32.605695760198685</v>
      </c>
      <c r="AA129">
        <v>9.5857884742942705</v>
      </c>
      <c r="AB129">
        <v>39.641810770376651</v>
      </c>
      <c r="AC129">
        <v>5.6601237833821833E-3</v>
      </c>
      <c r="AD129">
        <v>9.1541417476528171</v>
      </c>
      <c r="AE129">
        <v>13.749478049168948</v>
      </c>
      <c r="AF129">
        <v>14.336296916617746</v>
      </c>
      <c r="AG129">
        <v>25.491785259360711</v>
      </c>
      <c r="AH129">
        <v>8.2925776144462624</v>
      </c>
      <c r="AI129">
        <v>2.0229990882517161</v>
      </c>
      <c r="AK129">
        <v>45.339064615430409</v>
      </c>
    </row>
    <row r="130" spans="1:37" x14ac:dyDescent="0.2">
      <c r="A130">
        <v>129</v>
      </c>
      <c r="B130">
        <v>776</v>
      </c>
      <c r="C130">
        <v>150</v>
      </c>
      <c r="D130">
        <v>0.447600915026452</v>
      </c>
      <c r="E130">
        <v>130.09155485276332</v>
      </c>
      <c r="F130">
        <v>63.857198352274658</v>
      </c>
      <c r="G130">
        <v>73.138577657928266</v>
      </c>
      <c r="H130">
        <v>68.581980240096385</v>
      </c>
      <c r="J130">
        <v>53.334156800310858</v>
      </c>
      <c r="L130">
        <v>9.7727679115480353</v>
      </c>
      <c r="M130">
        <v>14.727629828975402</v>
      </c>
      <c r="N130">
        <v>2.0811512947530524</v>
      </c>
      <c r="O130">
        <v>46.511969578276862</v>
      </c>
      <c r="P130">
        <v>12.929482382198625</v>
      </c>
      <c r="R130">
        <v>22.275486879714645</v>
      </c>
      <c r="S130">
        <v>60.931796112524303</v>
      </c>
      <c r="U130">
        <v>2.42055137380639</v>
      </c>
      <c r="V130">
        <v>48.945859522392041</v>
      </c>
      <c r="W130">
        <v>29.601989593618949</v>
      </c>
      <c r="X130">
        <v>42.527291326896624</v>
      </c>
      <c r="Y130">
        <v>10.511709670139322</v>
      </c>
      <c r="Z130">
        <v>32.091070862459304</v>
      </c>
      <c r="AA130">
        <v>9.3256709361405807</v>
      </c>
      <c r="AB130">
        <v>39.565078100715596</v>
      </c>
      <c r="AD130">
        <v>8.8525953718145391</v>
      </c>
      <c r="AE130">
        <v>13.546967162995601</v>
      </c>
      <c r="AF130">
        <v>14.350116930743415</v>
      </c>
      <c r="AG130">
        <v>25.394333977559842</v>
      </c>
      <c r="AH130">
        <v>7.8918288758396082</v>
      </c>
      <c r="AI130">
        <v>2.0188651658866821</v>
      </c>
      <c r="AK130">
        <v>45.197983272371914</v>
      </c>
    </row>
    <row r="131" spans="1:37" x14ac:dyDescent="0.2">
      <c r="A131">
        <v>130</v>
      </c>
      <c r="B131">
        <v>775</v>
      </c>
      <c r="C131">
        <v>150</v>
      </c>
      <c r="D131">
        <v>0.44700710776129698</v>
      </c>
      <c r="E131">
        <v>129.85828166396732</v>
      </c>
      <c r="F131">
        <v>62.713905754204781</v>
      </c>
      <c r="G131">
        <v>72.946688730364372</v>
      </c>
      <c r="H131">
        <v>68.387402244050236</v>
      </c>
      <c r="J131">
        <v>53.071712578448611</v>
      </c>
      <c r="L131">
        <v>9.4614907386435814</v>
      </c>
      <c r="M131">
        <v>14.749797580680209</v>
      </c>
      <c r="N131">
        <v>2.083131838003498</v>
      </c>
      <c r="O131">
        <v>45.2402848194032</v>
      </c>
      <c r="P131">
        <v>12.568982898157405</v>
      </c>
      <c r="R131">
        <v>21.861080552668486</v>
      </c>
      <c r="S131">
        <v>60.509601132776368</v>
      </c>
      <c r="U131">
        <v>2.3983619680134542</v>
      </c>
      <c r="V131">
        <v>48.970696457580587</v>
      </c>
      <c r="W131">
        <v>29.362417030355594</v>
      </c>
      <c r="X131">
        <v>42.50456043525849</v>
      </c>
      <c r="Y131">
        <v>10.160663368474912</v>
      </c>
      <c r="Z131">
        <v>31.451005639283718</v>
      </c>
      <c r="AA131">
        <v>9.0064962145446046</v>
      </c>
      <c r="AB131">
        <v>39.45113424050605</v>
      </c>
      <c r="AD131">
        <v>8.4737796849679583</v>
      </c>
      <c r="AE131">
        <v>13.298244033709288</v>
      </c>
      <c r="AF131">
        <v>14.371150754801894</v>
      </c>
      <c r="AG131">
        <v>25.265523143859145</v>
      </c>
      <c r="AH131">
        <v>7.384917896146427</v>
      </c>
      <c r="AI131">
        <v>2.0205796814101964</v>
      </c>
      <c r="AK131">
        <v>45.003333758420418</v>
      </c>
    </row>
    <row r="132" spans="1:37" x14ac:dyDescent="0.2">
      <c r="A132">
        <v>131</v>
      </c>
      <c r="B132">
        <v>774</v>
      </c>
      <c r="C132">
        <v>150</v>
      </c>
      <c r="D132">
        <v>0.44641216635630598</v>
      </c>
      <c r="E132">
        <v>129.62203918925385</v>
      </c>
      <c r="F132">
        <v>61.543852231756496</v>
      </c>
      <c r="G132">
        <v>72.749924587838663</v>
      </c>
      <c r="H132">
        <v>68.187961687525103</v>
      </c>
      <c r="J132">
        <v>52.789878295357482</v>
      </c>
      <c r="L132">
        <v>9.1399366723376012</v>
      </c>
      <c r="M132">
        <v>14.774308764232421</v>
      </c>
      <c r="N132">
        <v>2.0851116812947139</v>
      </c>
      <c r="O132">
        <v>43.936275594459069</v>
      </c>
      <c r="P132">
        <v>12.19873959668573</v>
      </c>
      <c r="R132">
        <v>21.429186564500032</v>
      </c>
      <c r="S132">
        <v>60.042740840693597</v>
      </c>
      <c r="U132">
        <v>2.3791557512257979</v>
      </c>
      <c r="V132">
        <v>48.98450510991502</v>
      </c>
      <c r="W132">
        <v>29.126457854550559</v>
      </c>
      <c r="X132">
        <v>42.490750397872418</v>
      </c>
      <c r="Y132">
        <v>9.7998047638215127</v>
      </c>
      <c r="Z132">
        <v>30.793972550246874</v>
      </c>
      <c r="AA132">
        <v>8.6779250260852709</v>
      </c>
      <c r="AB132">
        <v>39.315337245815968</v>
      </c>
      <c r="AD132">
        <v>8.0838524950400075</v>
      </c>
      <c r="AE132">
        <v>13.043319281293083</v>
      </c>
      <c r="AF132">
        <v>14.394527533409384</v>
      </c>
      <c r="AG132">
        <v>25.114860887847637</v>
      </c>
      <c r="AH132">
        <v>6.8629342978049657</v>
      </c>
      <c r="AI132">
        <v>2.0222927009421103</v>
      </c>
      <c r="AK132">
        <v>44.80093718890857</v>
      </c>
    </row>
    <row r="133" spans="1:37" x14ac:dyDescent="0.2">
      <c r="A133">
        <v>132</v>
      </c>
      <c r="B133">
        <v>773</v>
      </c>
      <c r="C133">
        <v>150</v>
      </c>
      <c r="D133">
        <v>0.44581608755914398</v>
      </c>
      <c r="E133">
        <v>129.3821192663211</v>
      </c>
      <c r="F133">
        <v>60.341683571875961</v>
      </c>
      <c r="G133">
        <v>72.547525918249363</v>
      </c>
      <c r="H133">
        <v>67.982899278507887</v>
      </c>
      <c r="J133">
        <v>52.485508038771627</v>
      </c>
      <c r="L133">
        <v>8.8066640589442429</v>
      </c>
      <c r="M133">
        <v>14.801218548607878</v>
      </c>
      <c r="N133">
        <v>2.0870907639361334</v>
      </c>
      <c r="O133">
        <v>42.594564847609462</v>
      </c>
      <c r="P133">
        <v>11.817233814461048</v>
      </c>
      <c r="R133">
        <v>20.977735149240541</v>
      </c>
      <c r="S133">
        <v>59.52546387708751</v>
      </c>
      <c r="U133">
        <v>2.3630119646477281</v>
      </c>
      <c r="V133">
        <v>48.98622936317647</v>
      </c>
      <c r="W133">
        <v>28.894367577037826</v>
      </c>
      <c r="X133">
        <v>42.486097451270744</v>
      </c>
      <c r="Y133">
        <v>9.4275854023372663</v>
      </c>
      <c r="Z133">
        <v>30.116159408101804</v>
      </c>
      <c r="AA133">
        <v>8.3383391704180969</v>
      </c>
      <c r="AB133">
        <v>39.154619767987704</v>
      </c>
      <c r="AD133">
        <v>7.6806052669438198</v>
      </c>
      <c r="AE133">
        <v>12.780533045609369</v>
      </c>
      <c r="AF133">
        <v>14.420302380225118</v>
      </c>
      <c r="AG133">
        <v>24.939279805766681</v>
      </c>
      <c r="AH133">
        <v>6.3234815861780733</v>
      </c>
      <c r="AI133">
        <v>2.0240041619609928</v>
      </c>
      <c r="AK133">
        <v>44.589165530736665</v>
      </c>
    </row>
    <row r="134" spans="1:37" x14ac:dyDescent="0.2">
      <c r="A134">
        <v>133</v>
      </c>
      <c r="B134">
        <v>772</v>
      </c>
      <c r="C134">
        <v>150</v>
      </c>
      <c r="D134">
        <v>0.44521886810505501</v>
      </c>
      <c r="E134">
        <v>129.1375514499691</v>
      </c>
      <c r="F134">
        <v>59.100040638503323</v>
      </c>
      <c r="G134">
        <v>72.338444518134196</v>
      </c>
      <c r="H134">
        <v>67.771166833665433</v>
      </c>
      <c r="J134">
        <v>52.154400517098402</v>
      </c>
      <c r="L134">
        <v>8.45966562297758</v>
      </c>
      <c r="M134">
        <v>14.830590070294779</v>
      </c>
      <c r="N134">
        <v>2.0890690084894485</v>
      </c>
      <c r="O134">
        <v>41.20774958817082</v>
      </c>
      <c r="P134">
        <v>11.422369088750477</v>
      </c>
      <c r="R134">
        <v>20.503793198054378</v>
      </c>
      <c r="S134">
        <v>58.950339535096639</v>
      </c>
      <c r="U134">
        <v>2.350040522015</v>
      </c>
      <c r="V134">
        <v>48.974519991786508</v>
      </c>
      <c r="W134">
        <v>28.666450397935222</v>
      </c>
      <c r="X134">
        <v>42.490925943283472</v>
      </c>
      <c r="Y134">
        <v>9.0418697611260139</v>
      </c>
      <c r="Z134">
        <v>29.412328515247019</v>
      </c>
      <c r="AA134">
        <v>7.9857315258101007</v>
      </c>
      <c r="AB134">
        <v>38.965020784314319</v>
      </c>
      <c r="AD134">
        <v>7.2609999091139068</v>
      </c>
      <c r="AE134">
        <v>12.507611816790192</v>
      </c>
      <c r="AF134">
        <v>14.448538359688557</v>
      </c>
      <c r="AG134">
        <v>24.734818803070606</v>
      </c>
      <c r="AH134">
        <v>5.7632528112505446</v>
      </c>
      <c r="AI134">
        <v>2.0257139851963912</v>
      </c>
      <c r="AK134">
        <v>44.365780511305779</v>
      </c>
    </row>
    <row r="135" spans="1:37" x14ac:dyDescent="0.2">
      <c r="A135">
        <v>134</v>
      </c>
      <c r="B135">
        <v>771</v>
      </c>
      <c r="C135">
        <v>150</v>
      </c>
      <c r="D135">
        <v>0.44462050471675502</v>
      </c>
      <c r="E135">
        <v>128.88696960652368</v>
      </c>
      <c r="F135">
        <v>57.808541403607869</v>
      </c>
      <c r="G135">
        <v>72.121197294393312</v>
      </c>
      <c r="H135">
        <v>67.551281280064245</v>
      </c>
      <c r="J135">
        <v>51.790747129611873</v>
      </c>
      <c r="L135">
        <v>8.0961681036922819</v>
      </c>
      <c r="M135">
        <v>14.862495326772196</v>
      </c>
      <c r="N135">
        <v>2.0910463130261765</v>
      </c>
      <c r="O135">
        <v>39.765376370131889</v>
      </c>
      <c r="P135">
        <v>11.011179153114258</v>
      </c>
      <c r="R135">
        <v>20.003118751149515</v>
      </c>
      <c r="S135">
        <v>58.307344058506928</v>
      </c>
      <c r="U135">
        <v>2.3403951596088373</v>
      </c>
      <c r="V135">
        <v>48.947565372807475</v>
      </c>
      <c r="W135">
        <v>28.443087760491231</v>
      </c>
      <c r="X135">
        <v>42.505685598798799</v>
      </c>
      <c r="Y135">
        <v>8.6396383850196603</v>
      </c>
      <c r="Z135">
        <v>28.675090114729041</v>
      </c>
      <c r="AA135">
        <v>7.6172372475114534</v>
      </c>
      <c r="AB135">
        <v>38.741201365630211</v>
      </c>
      <c r="AD135">
        <v>6.8207456752201923</v>
      </c>
      <c r="AE135">
        <v>12.221355287745947</v>
      </c>
      <c r="AF135">
        <v>14.479307372748115</v>
      </c>
      <c r="AG135">
        <v>24.49613885429039</v>
      </c>
      <c r="AH135">
        <v>5.1775683624410416</v>
      </c>
      <c r="AI135">
        <v>2.0274220668875627</v>
      </c>
      <c r="AK135">
        <v>44.127622696363481</v>
      </c>
    </row>
    <row r="136" spans="1:37" x14ac:dyDescent="0.2">
      <c r="A136">
        <v>135</v>
      </c>
      <c r="B136">
        <v>770</v>
      </c>
      <c r="C136">
        <v>150</v>
      </c>
      <c r="D136">
        <v>0.44402099410439499</v>
      </c>
      <c r="E136">
        <v>128.62838956757429</v>
      </c>
      <c r="F136">
        <v>56.452086146908513</v>
      </c>
      <c r="G136">
        <v>71.89362515998306</v>
      </c>
      <c r="H136">
        <v>67.321083550865296</v>
      </c>
      <c r="J136">
        <v>51.386214686657944</v>
      </c>
      <c r="L136">
        <v>7.7117963801722871</v>
      </c>
      <c r="M136">
        <v>14.897011612729496</v>
      </c>
      <c r="N136">
        <v>2.0930225384641172</v>
      </c>
      <c r="O136">
        <v>38.252245464364371</v>
      </c>
      <c r="P136">
        <v>10.57934571613367</v>
      </c>
      <c r="R136">
        <v>19.469423668004151</v>
      </c>
      <c r="S136">
        <v>57.582355376997775</v>
      </c>
      <c r="U136">
        <v>2.3342906890906332</v>
      </c>
      <c r="V136">
        <v>48.902814066214333</v>
      </c>
      <c r="W136">
        <v>28.224787534831435</v>
      </c>
      <c r="X136">
        <v>42.530999563726688</v>
      </c>
      <c r="Y136">
        <v>8.2164971712814996</v>
      </c>
      <c r="Z136">
        <v>27.893685035736254</v>
      </c>
      <c r="AA136">
        <v>7.2284931575400844</v>
      </c>
      <c r="AB136">
        <v>38.475642844015795</v>
      </c>
      <c r="AD136">
        <v>6.3535913115883478</v>
      </c>
      <c r="AE136">
        <v>11.917109584626864</v>
      </c>
      <c r="AF136">
        <v>14.512686580423924</v>
      </c>
      <c r="AG136">
        <v>24.215721158064238</v>
      </c>
      <c r="AH136">
        <v>4.5596094443564033</v>
      </c>
      <c r="AI136">
        <v>2.0291282661200465</v>
      </c>
      <c r="AK136">
        <v>43.870091661785843</v>
      </c>
    </row>
    <row r="137" spans="1:37" x14ac:dyDescent="0.2">
      <c r="A137">
        <v>136</v>
      </c>
      <c r="B137">
        <v>769</v>
      </c>
      <c r="C137">
        <v>150</v>
      </c>
      <c r="D137">
        <v>0.44342033296550898</v>
      </c>
      <c r="E137">
        <v>128.35882133964824</v>
      </c>
      <c r="F137">
        <v>55.007904355018567</v>
      </c>
      <c r="G137">
        <v>71.652476571084009</v>
      </c>
      <c r="H137">
        <v>67.077322122493314</v>
      </c>
      <c r="J137">
        <v>50.928352359450336</v>
      </c>
      <c r="L137">
        <v>7.3003730425192552</v>
      </c>
      <c r="M137">
        <v>14.93420582654942</v>
      </c>
      <c r="N137">
        <v>2.0949974878740645</v>
      </c>
      <c r="O137">
        <v>36.64547448397196</v>
      </c>
      <c r="P137">
        <v>10.120365515046265</v>
      </c>
      <c r="R137">
        <v>18.893095490284935</v>
      </c>
      <c r="S137">
        <v>56.754570042819054</v>
      </c>
      <c r="U137">
        <v>2.3320244764898539</v>
      </c>
      <c r="V137">
        <v>48.836500933076856</v>
      </c>
      <c r="W137">
        <v>28.012272178725627</v>
      </c>
      <c r="X137">
        <v>42.567722322710921</v>
      </c>
      <c r="Y137">
        <v>7.7658288610894894</v>
      </c>
      <c r="Z137">
        <v>27.051848460980946</v>
      </c>
      <c r="AA137">
        <v>6.8131735464914822</v>
      </c>
      <c r="AB137">
        <v>38.157262665125607</v>
      </c>
      <c r="AD137">
        <v>5.8500848402144978</v>
      </c>
      <c r="AE137">
        <v>11.587839176549116</v>
      </c>
      <c r="AF137">
        <v>14.548742689594354</v>
      </c>
      <c r="AG137">
        <v>23.882482968774656</v>
      </c>
      <c r="AH137">
        <v>3.8990879076933762</v>
      </c>
      <c r="AI137">
        <v>2.0308323841308624</v>
      </c>
      <c r="AK137">
        <v>43.586235986243118</v>
      </c>
    </row>
    <row r="138" spans="1:37" x14ac:dyDescent="0.2">
      <c r="A138">
        <v>137</v>
      </c>
      <c r="B138">
        <v>768</v>
      </c>
      <c r="C138">
        <v>150</v>
      </c>
      <c r="D138">
        <v>0.442818517984921</v>
      </c>
      <c r="E138">
        <v>128.07356308469051</v>
      </c>
      <c r="F138">
        <v>53.440182474325347</v>
      </c>
      <c r="G138">
        <v>71.39265773159525</v>
      </c>
      <c r="H138">
        <v>66.81490321912969</v>
      </c>
      <c r="J138">
        <v>50.397706545487019</v>
      </c>
      <c r="L138">
        <v>6.8518016989181048</v>
      </c>
      <c r="M138">
        <v>14.974085826327885</v>
      </c>
      <c r="N138">
        <v>2.0969708717552114</v>
      </c>
      <c r="O138">
        <v>34.909196461160029</v>
      </c>
      <c r="P138">
        <v>9.6240506900192742</v>
      </c>
      <c r="R138">
        <v>18.258884576445659</v>
      </c>
      <c r="S138">
        <v>55.791899402984328</v>
      </c>
      <c r="U138">
        <v>2.3339974554803598</v>
      </c>
      <c r="V138">
        <v>48.742805948623612</v>
      </c>
      <c r="W138">
        <v>27.806644567678212</v>
      </c>
      <c r="X138">
        <v>42.616990659199878</v>
      </c>
      <c r="Y138">
        <v>7.2772633993449691</v>
      </c>
      <c r="Z138">
        <v>26.123889766413718</v>
      </c>
      <c r="AA138">
        <v>6.3612614270214545</v>
      </c>
      <c r="AB138">
        <v>37.768928409014194</v>
      </c>
      <c r="AD138">
        <v>5.2953015227579376</v>
      </c>
      <c r="AE138">
        <v>11.222416123430135</v>
      </c>
      <c r="AF138">
        <v>14.587483274289831</v>
      </c>
      <c r="AG138">
        <v>23.47929158265077</v>
      </c>
      <c r="AH138">
        <v>3.1798370701094378</v>
      </c>
      <c r="AI138">
        <v>2.032534129585545</v>
      </c>
      <c r="AK138">
        <v>43.265088248640424</v>
      </c>
    </row>
    <row r="139" spans="1:37" x14ac:dyDescent="0.2">
      <c r="A139">
        <v>138</v>
      </c>
      <c r="B139">
        <v>767</v>
      </c>
      <c r="C139">
        <v>150</v>
      </c>
      <c r="D139">
        <v>0.44221554583473799</v>
      </c>
      <c r="E139">
        <v>127.76488515452218</v>
      </c>
      <c r="F139">
        <v>51.690056178579042</v>
      </c>
      <c r="G139">
        <v>71.105855902687438</v>
      </c>
      <c r="H139">
        <v>66.525514122267509</v>
      </c>
      <c r="J139">
        <v>49.762479251439828</v>
      </c>
      <c r="L139">
        <v>6.3496945900710564</v>
      </c>
      <c r="M139">
        <v>15.016460010857648</v>
      </c>
      <c r="N139">
        <v>2.0989422514241238</v>
      </c>
      <c r="O139">
        <v>32.984785341787024</v>
      </c>
      <c r="P139">
        <v>9.0737753466395947</v>
      </c>
      <c r="R139">
        <v>17.541625871007707</v>
      </c>
      <c r="S139">
        <v>54.64264703528675</v>
      </c>
      <c r="U139">
        <v>2.3407084934391902</v>
      </c>
      <c r="V139">
        <v>48.612339966941839</v>
      </c>
      <c r="W139">
        <v>27.609713574121585</v>
      </c>
      <c r="X139">
        <v>42.680183695528179</v>
      </c>
      <c r="Y139">
        <v>6.7338639530115811</v>
      </c>
      <c r="Z139">
        <v>25.067298357997821</v>
      </c>
      <c r="AA139">
        <v>5.8563801441283285</v>
      </c>
      <c r="AB139">
        <v>37.282910713381668</v>
      </c>
      <c r="AD139">
        <v>4.6645672784723651</v>
      </c>
      <c r="AE139">
        <v>10.802374459265272</v>
      </c>
      <c r="AF139">
        <v>14.628716300069078</v>
      </c>
      <c r="AG139">
        <v>22.978417204401261</v>
      </c>
      <c r="AH139">
        <v>2.3753485765798352</v>
      </c>
      <c r="AI139">
        <v>2.0342330619665376</v>
      </c>
      <c r="AK139">
        <v>42.888537789012432</v>
      </c>
    </row>
    <row r="140" spans="1:37" x14ac:dyDescent="0.2">
      <c r="A140">
        <v>139</v>
      </c>
      <c r="B140">
        <v>766</v>
      </c>
      <c r="C140">
        <v>150</v>
      </c>
      <c r="D140">
        <v>0.44161141317423203</v>
      </c>
      <c r="E140">
        <v>127.41972254640787</v>
      </c>
      <c r="F140">
        <v>49.658062093057595</v>
      </c>
      <c r="G140">
        <v>70.778189208935174</v>
      </c>
      <c r="H140">
        <v>66.195272976842404</v>
      </c>
      <c r="J140">
        <v>48.969260591336528</v>
      </c>
      <c r="L140">
        <v>5.766668361933676</v>
      </c>
      <c r="M140">
        <v>15.060540137601643</v>
      </c>
      <c r="N140">
        <v>2.1009109673833466</v>
      </c>
      <c r="O140">
        <v>30.774040469034876</v>
      </c>
      <c r="P140">
        <v>8.441775096548545</v>
      </c>
      <c r="R140">
        <v>16.698836840351071</v>
      </c>
      <c r="S140">
        <v>53.221732977208141</v>
      </c>
      <c r="U140">
        <v>2.3526081818681956</v>
      </c>
      <c r="V140">
        <v>48.429654004182623</v>
      </c>
      <c r="W140">
        <v>27.424629065837767</v>
      </c>
      <c r="X140">
        <v>42.758442250625336</v>
      </c>
      <c r="Y140">
        <v>6.1073046018734347</v>
      </c>
      <c r="Z140">
        <v>23.809473379715136</v>
      </c>
      <c r="AA140">
        <v>5.271140303880995</v>
      </c>
      <c r="AB140">
        <v>36.65317140917044</v>
      </c>
      <c r="AD140">
        <v>3.9158084914203539</v>
      </c>
      <c r="AE140">
        <v>10.296027729992414</v>
      </c>
      <c r="AF140">
        <v>14.671652870356994</v>
      </c>
      <c r="AG140">
        <v>22.333821011182888</v>
      </c>
      <c r="AH140">
        <v>1.4410170739481658</v>
      </c>
      <c r="AI140">
        <v>2.035928519941447</v>
      </c>
      <c r="AK140">
        <v>42.425762198575896</v>
      </c>
    </row>
    <row r="141" spans="1:37" x14ac:dyDescent="0.2">
      <c r="A141">
        <v>140</v>
      </c>
      <c r="B141">
        <v>765</v>
      </c>
      <c r="C141">
        <v>150</v>
      </c>
      <c r="D141">
        <v>0.44100611664981298</v>
      </c>
      <c r="E141">
        <v>127.01731614686017</v>
      </c>
      <c r="F141">
        <v>47.18612726330494</v>
      </c>
      <c r="G141">
        <v>70.388063009866684</v>
      </c>
      <c r="H141">
        <v>65.802585162781355</v>
      </c>
      <c r="J141">
        <v>47.933897587301708</v>
      </c>
      <c r="L141">
        <v>5.0596827699351126</v>
      </c>
      <c r="M141">
        <v>15.103926772194306</v>
      </c>
      <c r="N141">
        <v>2.1028761920149384</v>
      </c>
      <c r="O141">
        <v>28.123285591358513</v>
      </c>
      <c r="P141">
        <v>7.6848598532312034</v>
      </c>
      <c r="R141">
        <v>15.663558503022664</v>
      </c>
      <c r="S141">
        <v>51.399992867117113</v>
      </c>
      <c r="U141">
        <v>2.369398817292264</v>
      </c>
      <c r="V141">
        <v>48.171356057127213</v>
      </c>
      <c r="W141">
        <v>27.256844446009662</v>
      </c>
      <c r="X141">
        <v>42.850519858691968</v>
      </c>
      <c r="Y141">
        <v>5.3533883005403888</v>
      </c>
      <c r="Z141">
        <v>22.232767571096492</v>
      </c>
      <c r="AA141">
        <v>4.562457801165321</v>
      </c>
      <c r="AB141">
        <v>35.808502234635242</v>
      </c>
      <c r="AD141">
        <v>2.9810228735031572</v>
      </c>
      <c r="AE141">
        <v>9.6516067546092739</v>
      </c>
      <c r="AF141">
        <v>14.713892728646472</v>
      </c>
      <c r="AG141">
        <v>21.474293919362168</v>
      </c>
      <c r="AH141">
        <v>0.30644896548845862</v>
      </c>
      <c r="AI141">
        <v>2.0376196740575079</v>
      </c>
      <c r="AK141">
        <v>41.827139518267607</v>
      </c>
    </row>
    <row r="142" spans="1:37" x14ac:dyDescent="0.2">
      <c r="A142">
        <v>141</v>
      </c>
      <c r="B142">
        <v>764</v>
      </c>
      <c r="C142">
        <v>150</v>
      </c>
      <c r="D142">
        <v>0.44039965289495597</v>
      </c>
      <c r="E142">
        <v>127.21050572996997</v>
      </c>
      <c r="F142">
        <v>47.111359505064712</v>
      </c>
      <c r="G142">
        <v>70.6538898993808</v>
      </c>
      <c r="H142">
        <v>66.06586329442338</v>
      </c>
      <c r="J142">
        <v>40.293401703356039</v>
      </c>
      <c r="L142">
        <v>4.3018942533578084</v>
      </c>
      <c r="M142">
        <v>15.311104966872463</v>
      </c>
      <c r="N142">
        <v>2.1048712767472386</v>
      </c>
      <c r="O142">
        <v>22.395925934420568</v>
      </c>
      <c r="P142">
        <v>8.2398881780247564</v>
      </c>
      <c r="R142">
        <v>15.052790087012378</v>
      </c>
      <c r="S142">
        <v>47.7663549656763</v>
      </c>
      <c r="U142">
        <v>2.4078345766184714</v>
      </c>
      <c r="V142">
        <v>47.447136905493316</v>
      </c>
      <c r="W142">
        <v>27.294348845666736</v>
      </c>
      <c r="X142">
        <v>43.002152874314184</v>
      </c>
      <c r="Y142">
        <v>4.9676627701948384</v>
      </c>
      <c r="Z142">
        <v>20.104868346500631</v>
      </c>
      <c r="AA142">
        <v>3.4970400894717022</v>
      </c>
      <c r="AB142">
        <v>33.630854944614995</v>
      </c>
      <c r="AD142">
        <v>1.9163234920772039</v>
      </c>
      <c r="AE142">
        <v>8.2452352858436146</v>
      </c>
      <c r="AF142">
        <v>14.91995428408608</v>
      </c>
      <c r="AG142">
        <v>19.281821040954018</v>
      </c>
      <c r="AI142">
        <v>2.0393398739076583</v>
      </c>
      <c r="AK142">
        <v>37.015390329509188</v>
      </c>
    </row>
    <row r="143" spans="1:37" x14ac:dyDescent="0.2">
      <c r="A143">
        <v>142</v>
      </c>
      <c r="B143">
        <v>763</v>
      </c>
      <c r="C143">
        <v>150</v>
      </c>
      <c r="D143">
        <v>0.43979201853014099</v>
      </c>
      <c r="E143">
        <v>127.18816075276598</v>
      </c>
      <c r="F143">
        <v>46.523588554743142</v>
      </c>
      <c r="G143">
        <v>70.742224191082116</v>
      </c>
      <c r="H143">
        <v>66.151661705851495</v>
      </c>
      <c r="J143">
        <v>34.775574946906708</v>
      </c>
      <c r="L143">
        <v>3.3849674333356599</v>
      </c>
      <c r="M143">
        <v>15.512642397060848</v>
      </c>
      <c r="N143">
        <v>2.1068619212991635</v>
      </c>
      <c r="O143">
        <v>17.053315552368854</v>
      </c>
      <c r="P143">
        <v>8.4399344200301858</v>
      </c>
      <c r="R143">
        <v>14.26650498328577</v>
      </c>
      <c r="S143">
        <v>44.518767604232536</v>
      </c>
      <c r="U143">
        <v>2.4062093681541707</v>
      </c>
      <c r="V143">
        <v>46.886583768302607</v>
      </c>
      <c r="W143">
        <v>27.39468049039802</v>
      </c>
      <c r="X143">
        <v>43.036920124133665</v>
      </c>
      <c r="Y143">
        <v>4.2779838401980212</v>
      </c>
      <c r="Z143">
        <v>18.509610167389685</v>
      </c>
      <c r="AA143">
        <v>2.3762381958936896</v>
      </c>
      <c r="AB143">
        <v>32.231095669596293</v>
      </c>
      <c r="AD143">
        <v>1.02074568847457</v>
      </c>
      <c r="AE143">
        <v>7.2894097754031053</v>
      </c>
      <c r="AF143">
        <v>15.120370917319041</v>
      </c>
      <c r="AG143">
        <v>17.867234211927794</v>
      </c>
      <c r="AI143">
        <v>2.0410548173744774</v>
      </c>
      <c r="AK143">
        <v>33.509604234014787</v>
      </c>
    </row>
    <row r="144" spans="1:37" x14ac:dyDescent="0.2">
      <c r="A144">
        <v>143</v>
      </c>
      <c r="B144">
        <v>762</v>
      </c>
      <c r="C144">
        <v>150</v>
      </c>
      <c r="D144">
        <v>0.439183210162781</v>
      </c>
      <c r="E144">
        <v>127.11785824225358</v>
      </c>
      <c r="F144">
        <v>46.122286845015054</v>
      </c>
      <c r="G144">
        <v>70.79334764328874</v>
      </c>
      <c r="H144">
        <v>66.200262175902211</v>
      </c>
      <c r="J144">
        <v>30.816236878273223</v>
      </c>
      <c r="L144">
        <v>2.5976266352485147</v>
      </c>
      <c r="M144">
        <v>15.714132423165811</v>
      </c>
      <c r="N144">
        <v>2.1088509875785353</v>
      </c>
      <c r="O144">
        <v>12.8541468785108</v>
      </c>
      <c r="P144">
        <v>8.5655649800231668</v>
      </c>
      <c r="R144">
        <v>13.639784161071775</v>
      </c>
      <c r="S144">
        <v>41.893068281062625</v>
      </c>
      <c r="U144">
        <v>2.393886458362807</v>
      </c>
      <c r="V144">
        <v>46.411120545215944</v>
      </c>
      <c r="W144">
        <v>27.503673103704056</v>
      </c>
      <c r="X144">
        <v>43.041167540901171</v>
      </c>
      <c r="Y144">
        <v>3.6148229998819925</v>
      </c>
      <c r="Z144">
        <v>17.565388009262556</v>
      </c>
      <c r="AA144">
        <v>1.4638991682538689</v>
      </c>
      <c r="AB144">
        <v>31.336961630027812</v>
      </c>
      <c r="AD144">
        <v>0.43821587208096491</v>
      </c>
      <c r="AE144">
        <v>6.727597572698035</v>
      </c>
      <c r="AF144">
        <v>15.320738856168886</v>
      </c>
      <c r="AG144">
        <v>16.958273520424314</v>
      </c>
      <c r="AI144">
        <v>2.0427673645294528</v>
      </c>
      <c r="AK144">
        <v>31.00557008373567</v>
      </c>
    </row>
    <row r="145" spans="1:37" x14ac:dyDescent="0.2">
      <c r="A145">
        <v>144</v>
      </c>
      <c r="B145">
        <v>761</v>
      </c>
      <c r="C145">
        <v>150</v>
      </c>
      <c r="D145">
        <v>0.43857322438717999</v>
      </c>
      <c r="E145">
        <v>127.0219495717122</v>
      </c>
      <c r="F145">
        <v>45.806500389078785</v>
      </c>
      <c r="G145">
        <v>70.822607941775303</v>
      </c>
      <c r="H145">
        <v>66.227012410907733</v>
      </c>
      <c r="J145">
        <v>27.782953198978152</v>
      </c>
      <c r="L145">
        <v>1.9227367956618364</v>
      </c>
      <c r="M145">
        <v>15.913918932967444</v>
      </c>
      <c r="N145">
        <v>2.1108390084203776</v>
      </c>
      <c r="O145">
        <v>9.4546583208531487</v>
      </c>
      <c r="P145">
        <v>8.6474757846790453</v>
      </c>
      <c r="R145">
        <v>13.132382412545873</v>
      </c>
      <c r="S145">
        <v>39.697508430207776</v>
      </c>
      <c r="U145">
        <v>2.3769492937135515</v>
      </c>
      <c r="V145">
        <v>45.979409863077414</v>
      </c>
      <c r="W145">
        <v>27.614653835884699</v>
      </c>
      <c r="X145">
        <v>43.03239046791326</v>
      </c>
      <c r="Y145">
        <v>2.9960458581377387</v>
      </c>
      <c r="Z145">
        <v>16.959227676024049</v>
      </c>
      <c r="AA145">
        <v>0.70773487326139006</v>
      </c>
      <c r="AB145">
        <v>30.693151400210404</v>
      </c>
      <c r="AD145">
        <v>2.480771559145933E-2</v>
      </c>
      <c r="AE145">
        <v>6.368097790779208</v>
      </c>
      <c r="AF145">
        <v>15.519402526775098</v>
      </c>
      <c r="AG145">
        <v>16.299638079380902</v>
      </c>
      <c r="AI145">
        <v>2.0444780463713896</v>
      </c>
      <c r="AK145">
        <v>29.102865070914085</v>
      </c>
    </row>
    <row r="146" spans="1:37" x14ac:dyDescent="0.2">
      <c r="A146">
        <v>145</v>
      </c>
      <c r="B146">
        <v>760</v>
      </c>
      <c r="C146">
        <v>150</v>
      </c>
      <c r="D146">
        <v>0.43796205778444602</v>
      </c>
      <c r="E146">
        <v>126.82343509824938</v>
      </c>
      <c r="F146">
        <v>45.779839111048645</v>
      </c>
      <c r="G146">
        <v>70.765061870717403</v>
      </c>
      <c r="H146">
        <v>66.166969215641686</v>
      </c>
      <c r="J146">
        <v>24.953087220305868</v>
      </c>
      <c r="L146">
        <v>1.4841544716230637</v>
      </c>
      <c r="M146">
        <v>16.142285929801503</v>
      </c>
      <c r="N146">
        <v>2.1128195624014054</v>
      </c>
      <c r="O146">
        <v>7.4100334995841921</v>
      </c>
      <c r="P146">
        <v>8.5557740032843999</v>
      </c>
      <c r="R146">
        <v>12.821906737629636</v>
      </c>
      <c r="S146">
        <v>38.210428213057845</v>
      </c>
      <c r="U146">
        <v>2.3584334848235837</v>
      </c>
      <c r="V146">
        <v>45.54148719680645</v>
      </c>
      <c r="W146">
        <v>27.755493716444992</v>
      </c>
      <c r="X146">
        <v>43.01934563337052</v>
      </c>
      <c r="Y146">
        <v>2.4513966068031183</v>
      </c>
      <c r="Z146">
        <v>17.63056455984232</v>
      </c>
      <c r="AB146">
        <v>30.791017221733537</v>
      </c>
      <c r="AE146">
        <v>6.763362099172908</v>
      </c>
      <c r="AF146">
        <v>15.746639516584532</v>
      </c>
      <c r="AG146">
        <v>16.382673714784961</v>
      </c>
      <c r="AI146">
        <v>2.0461804396391541</v>
      </c>
      <c r="AK146">
        <v>27.340100075113757</v>
      </c>
    </row>
    <row r="147" spans="1:37" x14ac:dyDescent="0.2">
      <c r="A147">
        <v>146</v>
      </c>
      <c r="B147">
        <v>806</v>
      </c>
      <c r="C147">
        <v>125</v>
      </c>
      <c r="D147">
        <v>0.490386415234215</v>
      </c>
      <c r="E147">
        <v>118.51355288281108</v>
      </c>
      <c r="F147">
        <v>74.777238053255218</v>
      </c>
      <c r="G147">
        <v>75.190977726806011</v>
      </c>
      <c r="H147">
        <v>70.720225636374266</v>
      </c>
      <c r="J147">
        <v>54.237812967784784</v>
      </c>
      <c r="L147">
        <v>12.779758219350832</v>
      </c>
      <c r="M147">
        <v>14.934050455212027</v>
      </c>
      <c r="N147">
        <v>2.2992917213000474</v>
      </c>
      <c r="O147">
        <v>62.33763753519181</v>
      </c>
      <c r="P147">
        <v>16.476058509628377</v>
      </c>
      <c r="Q147">
        <v>2.5173358017614816E-2</v>
      </c>
      <c r="R147">
        <v>27.397628716784897</v>
      </c>
      <c r="S147">
        <v>67.406940403126853</v>
      </c>
      <c r="U147">
        <v>3.4538683707155853</v>
      </c>
      <c r="V147">
        <v>48.456658377220201</v>
      </c>
      <c r="W147">
        <v>34.709125924387585</v>
      </c>
      <c r="X147">
        <v>41.793008484794562</v>
      </c>
      <c r="Y147">
        <v>13.699064738496475</v>
      </c>
      <c r="Z147">
        <v>38.731534784958342</v>
      </c>
      <c r="AA147">
        <v>12.50928783074033</v>
      </c>
      <c r="AB147">
        <v>41.502665617788267</v>
      </c>
      <c r="AC147">
        <v>0.36932053781562701</v>
      </c>
      <c r="AD147">
        <v>12.43986164575616</v>
      </c>
      <c r="AE147">
        <v>16.664684229662523</v>
      </c>
      <c r="AF147">
        <v>14.945498151619699</v>
      </c>
      <c r="AG147">
        <v>28.16290387302287</v>
      </c>
      <c r="AH147">
        <v>11.804516916470181</v>
      </c>
      <c r="AI147">
        <v>2.2416610533916974</v>
      </c>
      <c r="AK147">
        <v>45.109498629976116</v>
      </c>
    </row>
    <row r="148" spans="1:37" x14ac:dyDescent="0.2">
      <c r="A148">
        <v>147</v>
      </c>
      <c r="B148">
        <v>805</v>
      </c>
      <c r="C148">
        <v>125</v>
      </c>
      <c r="D148">
        <v>0.48984881509993899</v>
      </c>
      <c r="E148">
        <v>118.40849292452322</v>
      </c>
      <c r="F148">
        <v>74.395721991897531</v>
      </c>
      <c r="G148">
        <v>75.124830724008802</v>
      </c>
      <c r="H148">
        <v>70.651008804621597</v>
      </c>
      <c r="J148">
        <v>54.192360668987234</v>
      </c>
      <c r="L148">
        <v>12.678846752275149</v>
      </c>
      <c r="M148">
        <v>14.919715106077625</v>
      </c>
      <c r="N148">
        <v>2.287818056690559</v>
      </c>
      <c r="O148">
        <v>61.836272353898231</v>
      </c>
      <c r="P148">
        <v>16.353369658858384</v>
      </c>
      <c r="R148">
        <v>27.226530726880341</v>
      </c>
      <c r="S148">
        <v>67.177433626773123</v>
      </c>
      <c r="U148">
        <v>3.4188782107619202</v>
      </c>
      <c r="V148">
        <v>48.446774578942211</v>
      </c>
      <c r="W148">
        <v>34.565521003920452</v>
      </c>
      <c r="X148">
        <v>41.737765379924099</v>
      </c>
      <c r="Y148">
        <v>13.589206836795158</v>
      </c>
      <c r="Z148">
        <v>38.519589565227747</v>
      </c>
      <c r="AA148">
        <v>12.402521310914235</v>
      </c>
      <c r="AB148">
        <v>41.442191767331273</v>
      </c>
      <c r="AC148">
        <v>0.35585258640330858</v>
      </c>
      <c r="AD148">
        <v>12.327031591994471</v>
      </c>
      <c r="AE148">
        <v>16.571257420182572</v>
      </c>
      <c r="AF148">
        <v>14.916566624643524</v>
      </c>
      <c r="AG148">
        <v>28.074071874124694</v>
      </c>
      <c r="AH148">
        <v>11.665868674152801</v>
      </c>
      <c r="AI148">
        <v>2.2299455215223656</v>
      </c>
      <c r="AK148">
        <v>45.095411903250088</v>
      </c>
    </row>
    <row r="149" spans="1:37" x14ac:dyDescent="0.2">
      <c r="A149">
        <v>148</v>
      </c>
      <c r="B149">
        <v>804</v>
      </c>
      <c r="C149">
        <v>125</v>
      </c>
      <c r="D149">
        <v>0.48931021677575198</v>
      </c>
      <c r="E149">
        <v>118.29809691160524</v>
      </c>
      <c r="F149">
        <v>73.940680503635406</v>
      </c>
      <c r="G149">
        <v>75.045934283588267</v>
      </c>
      <c r="H149">
        <v>70.569054606737751</v>
      </c>
      <c r="J149">
        <v>54.158725058596048</v>
      </c>
      <c r="L149">
        <v>12.554033261688664</v>
      </c>
      <c r="M149">
        <v>14.937046554034474</v>
      </c>
      <c r="N149">
        <v>2.2709091595026432</v>
      </c>
      <c r="O149">
        <v>61.220046935804305</v>
      </c>
      <c r="P149">
        <v>16.19975338874373</v>
      </c>
      <c r="R149">
        <v>27.06502547355457</v>
      </c>
      <c r="S149">
        <v>67.078679609698582</v>
      </c>
      <c r="U149">
        <v>3.4068117522493702</v>
      </c>
      <c r="V149">
        <v>48.498653625433946</v>
      </c>
      <c r="W149">
        <v>34.44896618433976</v>
      </c>
      <c r="X149">
        <v>41.759222176270164</v>
      </c>
      <c r="Y149">
        <v>13.450196186615797</v>
      </c>
      <c r="Z149">
        <v>38.267804109659927</v>
      </c>
      <c r="AA149">
        <v>12.269198689153418</v>
      </c>
      <c r="AB149">
        <v>41.438259321878256</v>
      </c>
      <c r="AC149">
        <v>0.33694956648703644</v>
      </c>
      <c r="AD149">
        <v>12.192174070914241</v>
      </c>
      <c r="AE149">
        <v>16.46409058405505</v>
      </c>
      <c r="AF149">
        <v>14.91386673513894</v>
      </c>
      <c r="AG149">
        <v>28.036348299989704</v>
      </c>
      <c r="AH149">
        <v>11.493986964730782</v>
      </c>
      <c r="AI149">
        <v>2.2127940156579018</v>
      </c>
      <c r="AK149">
        <v>45.065736938005372</v>
      </c>
    </row>
    <row r="150" spans="1:37" x14ac:dyDescent="0.2">
      <c r="A150">
        <v>149</v>
      </c>
      <c r="B150">
        <v>803</v>
      </c>
      <c r="C150">
        <v>125</v>
      </c>
      <c r="D150">
        <v>0.48877061747897599</v>
      </c>
      <c r="E150">
        <v>118.18809454059802</v>
      </c>
      <c r="F150">
        <v>73.486491422220098</v>
      </c>
      <c r="G150">
        <v>74.967010410010559</v>
      </c>
      <c r="H150">
        <v>70.487085066175297</v>
      </c>
      <c r="J150">
        <v>54.124314426921444</v>
      </c>
      <c r="L150">
        <v>12.42864865056673</v>
      </c>
      <c r="M150">
        <v>14.954675968659474</v>
      </c>
      <c r="N150">
        <v>2.2539677530585727</v>
      </c>
      <c r="O150">
        <v>60.603622597966989</v>
      </c>
      <c r="P150">
        <v>16.046056451429976</v>
      </c>
      <c r="R150">
        <v>26.902100718124622</v>
      </c>
      <c r="S150">
        <v>66.976387802051562</v>
      </c>
      <c r="U150">
        <v>3.3952265256606524</v>
      </c>
      <c r="V150">
        <v>48.549133559696678</v>
      </c>
      <c r="W150">
        <v>34.333159926895796</v>
      </c>
      <c r="X150">
        <v>41.782327831331287</v>
      </c>
      <c r="Y150">
        <v>13.311067967793758</v>
      </c>
      <c r="Z150">
        <v>38.01630444256935</v>
      </c>
      <c r="AA150">
        <v>12.13565283097855</v>
      </c>
      <c r="AB150">
        <v>41.432429372610351</v>
      </c>
      <c r="AC150">
        <v>0.31801420096067562</v>
      </c>
      <c r="AD150">
        <v>12.057179688857925</v>
      </c>
      <c r="AE150">
        <v>16.357130675332616</v>
      </c>
      <c r="AF150">
        <v>14.911432381029483</v>
      </c>
      <c r="AG150">
        <v>27.996696970214131</v>
      </c>
      <c r="AH150">
        <v>11.321809575287128</v>
      </c>
      <c r="AI150">
        <v>2.195609257312765</v>
      </c>
      <c r="AK150">
        <v>45.036207773025204</v>
      </c>
    </row>
    <row r="151" spans="1:37" x14ac:dyDescent="0.2">
      <c r="A151">
        <v>150</v>
      </c>
      <c r="B151">
        <v>802</v>
      </c>
      <c r="C151">
        <v>125</v>
      </c>
      <c r="D151">
        <v>0.48823001441659297</v>
      </c>
      <c r="E151">
        <v>118.0784893124318</v>
      </c>
      <c r="F151">
        <v>73.03320312575201</v>
      </c>
      <c r="G151">
        <v>74.888070039378221</v>
      </c>
      <c r="H151">
        <v>70.405111138057165</v>
      </c>
      <c r="J151">
        <v>54.089126466661391</v>
      </c>
      <c r="L151">
        <v>12.302726517077234</v>
      </c>
      <c r="M151">
        <v>14.972591206663649</v>
      </c>
      <c r="N151">
        <v>2.2369963982062528</v>
      </c>
      <c r="O151">
        <v>59.987077066825854</v>
      </c>
      <c r="P151">
        <v>15.892303299910067</v>
      </c>
      <c r="R151">
        <v>26.737806185385658</v>
      </c>
      <c r="S151">
        <v>66.870498777327825</v>
      </c>
      <c r="U151">
        <v>3.3841092215721762</v>
      </c>
      <c r="V151">
        <v>48.598198227395116</v>
      </c>
      <c r="W151">
        <v>34.218096439383793</v>
      </c>
      <c r="X151">
        <v>41.807041387730429</v>
      </c>
      <c r="Y151">
        <v>13.171845203688875</v>
      </c>
      <c r="Z151">
        <v>37.765111431547496</v>
      </c>
      <c r="AA151">
        <v>12.001968276768224</v>
      </c>
      <c r="AB151">
        <v>41.424666242584415</v>
      </c>
      <c r="AC151">
        <v>0.29904905024244172</v>
      </c>
      <c r="AD151">
        <v>11.922065307658468</v>
      </c>
      <c r="AE151">
        <v>16.250381113596024</v>
      </c>
      <c r="AF151">
        <v>14.909253984906019</v>
      </c>
      <c r="AG151">
        <v>27.955084773810576</v>
      </c>
      <c r="AH151">
        <v>11.149368860677965</v>
      </c>
      <c r="AI151">
        <v>2.1783938055246015</v>
      </c>
      <c r="AK151">
        <v>45.006835966108426</v>
      </c>
    </row>
    <row r="152" spans="1:37" x14ac:dyDescent="0.2">
      <c r="A152">
        <v>151</v>
      </c>
      <c r="B152">
        <v>801</v>
      </c>
      <c r="C152">
        <v>125</v>
      </c>
      <c r="D152">
        <v>0.487688404785181</v>
      </c>
      <c r="E152">
        <v>117.96928434995775</v>
      </c>
      <c r="F152">
        <v>72.580863296501775</v>
      </c>
      <c r="G152">
        <v>74.809124107558262</v>
      </c>
      <c r="H152">
        <v>70.32314377730944</v>
      </c>
      <c r="J152">
        <v>54.053161530561624</v>
      </c>
      <c r="L152">
        <v>12.176300815669045</v>
      </c>
      <c r="M152">
        <v>14.99077979161906</v>
      </c>
      <c r="N152">
        <v>2.2199977276951826</v>
      </c>
      <c r="O152">
        <v>59.370488418455899</v>
      </c>
      <c r="P152">
        <v>15.738518458668999</v>
      </c>
      <c r="R152">
        <v>26.572192895913172</v>
      </c>
      <c r="S152">
        <v>66.760962990484842</v>
      </c>
      <c r="U152">
        <v>3.3734459798450658</v>
      </c>
      <c r="V152">
        <v>48.645834666435263</v>
      </c>
      <c r="W152">
        <v>34.103768961847976</v>
      </c>
      <c r="X152">
        <v>41.833320199104023</v>
      </c>
      <c r="Y152">
        <v>13.032550992397153</v>
      </c>
      <c r="Z152">
        <v>37.514245777942776</v>
      </c>
      <c r="AA152">
        <v>11.868032867376824</v>
      </c>
      <c r="AB152">
        <v>41.414939433149584</v>
      </c>
      <c r="AC152">
        <v>0.28005674665272762</v>
      </c>
      <c r="AD152">
        <v>11.786847741731936</v>
      </c>
      <c r="AE152">
        <v>16.143845235564044</v>
      </c>
      <c r="AF152">
        <v>14.907321708137177</v>
      </c>
      <c r="AG152">
        <v>27.911483849999726</v>
      </c>
      <c r="AH152">
        <v>10.976697209449723</v>
      </c>
      <c r="AI152">
        <v>2.1611502912326537</v>
      </c>
      <c r="AK152">
        <v>44.977633094403018</v>
      </c>
    </row>
    <row r="153" spans="1:37" x14ac:dyDescent="0.2">
      <c r="A153">
        <v>152</v>
      </c>
      <c r="B153">
        <v>800</v>
      </c>
      <c r="C153">
        <v>125</v>
      </c>
      <c r="D153">
        <v>0.48714578577086598</v>
      </c>
      <c r="E153">
        <v>117.86048239233918</v>
      </c>
      <c r="F153">
        <v>72.129518721755332</v>
      </c>
      <c r="G153">
        <v>74.73018350264627</v>
      </c>
      <c r="H153">
        <v>70.241193891120247</v>
      </c>
      <c r="J153">
        <v>54.016422538036416</v>
      </c>
      <c r="L153">
        <v>12.049479512567318</v>
      </c>
      <c r="M153">
        <v>15.009228977690578</v>
      </c>
      <c r="N153">
        <v>2.202974432393582</v>
      </c>
      <c r="O153">
        <v>58.753934719731312</v>
      </c>
      <c r="P153">
        <v>15.584726414817558</v>
      </c>
      <c r="R153">
        <v>26.405312911982463</v>
      </c>
      <c r="S153">
        <v>66.647740652536953</v>
      </c>
      <c r="U153">
        <v>3.3632224628623697</v>
      </c>
      <c r="V153">
        <v>48.692033036143684</v>
      </c>
      <c r="W153">
        <v>33.990169822836165</v>
      </c>
      <c r="X153">
        <v>41.86112015915915</v>
      </c>
      <c r="Y153">
        <v>12.893208404374835</v>
      </c>
      <c r="Z153">
        <v>37.263727923803962</v>
      </c>
      <c r="AA153">
        <v>11.733937439502856</v>
      </c>
      <c r="AB153">
        <v>41.403223577659865</v>
      </c>
      <c r="AC153">
        <v>0.26103998062936518</v>
      </c>
      <c r="AD153">
        <v>11.65154369536449</v>
      </c>
      <c r="AE153">
        <v>16.037526277338266</v>
      </c>
      <c r="AF153">
        <v>14.905625500812667</v>
      </c>
      <c r="AG153">
        <v>27.865871528142598</v>
      </c>
      <c r="AH153">
        <v>10.803826918237139</v>
      </c>
      <c r="AI153">
        <v>2.1438814034934848</v>
      </c>
      <c r="AK153">
        <v>44.948610701703529</v>
      </c>
    </row>
    <row r="154" spans="1:37" x14ac:dyDescent="0.2">
      <c r="A154">
        <v>153</v>
      </c>
      <c r="B154">
        <v>799</v>
      </c>
      <c r="C154">
        <v>125</v>
      </c>
      <c r="D154">
        <v>0.48660215454927003</v>
      </c>
      <c r="E154">
        <v>117.75208579208601</v>
      </c>
      <c r="F154">
        <v>71.679215106652791</v>
      </c>
      <c r="G154">
        <v>74.65125901934924</v>
      </c>
      <c r="H154">
        <v>70.159272293324577</v>
      </c>
      <c r="J154">
        <v>53.97891486514068</v>
      </c>
      <c r="L154">
        <v>11.922149185859114</v>
      </c>
      <c r="M154">
        <v>15.027925813331862</v>
      </c>
      <c r="N154">
        <v>2.1859292474726848</v>
      </c>
      <c r="O154">
        <v>58.137493681061585</v>
      </c>
      <c r="P154">
        <v>15.430951513046587</v>
      </c>
      <c r="R154">
        <v>26.237219086889013</v>
      </c>
      <c r="S154">
        <v>66.530801534605104</v>
      </c>
      <c r="U154">
        <v>3.3534239296431494</v>
      </c>
      <c r="V154">
        <v>48.736786526764064</v>
      </c>
      <c r="W154">
        <v>33.877290500613668</v>
      </c>
      <c r="X154">
        <v>41.890395932409476</v>
      </c>
      <c r="Y154">
        <v>12.75384038360048</v>
      </c>
      <c r="Z154">
        <v>37.013577963194862</v>
      </c>
      <c r="AA154">
        <v>11.599703133145638</v>
      </c>
      <c r="AB154">
        <v>41.389498357369391</v>
      </c>
      <c r="AC154">
        <v>0.24200148691343409</v>
      </c>
      <c r="AD154">
        <v>11.516169702227646</v>
      </c>
      <c r="AE154">
        <v>15.93142735765001</v>
      </c>
      <c r="AF154">
        <v>14.9041551516254</v>
      </c>
      <c r="AG154">
        <v>27.818230229820124</v>
      </c>
      <c r="AH154">
        <v>10.630790070314061</v>
      </c>
      <c r="AI154">
        <v>2.1265898756660921</v>
      </c>
      <c r="AK154">
        <v>44.919780247541212</v>
      </c>
    </row>
    <row r="155" spans="1:37" x14ac:dyDescent="0.2">
      <c r="A155">
        <v>154</v>
      </c>
      <c r="B155">
        <v>798</v>
      </c>
      <c r="C155">
        <v>125</v>
      </c>
      <c r="D155">
        <v>0.48605750828548999</v>
      </c>
      <c r="E155">
        <v>117.64409651508547</v>
      </c>
      <c r="F155">
        <v>71.229996905789449</v>
      </c>
      <c r="G155">
        <v>74.572361316604429</v>
      </c>
      <c r="H155">
        <v>70.077389662023521</v>
      </c>
      <c r="J155">
        <v>53.940646219866167</v>
      </c>
      <c r="L155">
        <v>11.794341062117503</v>
      </c>
      <c r="M155">
        <v>15.046857202152149</v>
      </c>
      <c r="N155">
        <v>2.1688649391147883</v>
      </c>
      <c r="O155">
        <v>57.521242331749797</v>
      </c>
      <c r="P155">
        <v>15.277217857571287</v>
      </c>
      <c r="R155">
        <v>26.067964820274845</v>
      </c>
      <c r="S155">
        <v>66.410124700597137</v>
      </c>
      <c r="U155">
        <v>3.344035308330362</v>
      </c>
      <c r="V155">
        <v>48.780091248019644</v>
      </c>
      <c r="W155">
        <v>33.765121686438256</v>
      </c>
      <c r="X155">
        <v>41.92110118008236</v>
      </c>
      <c r="Y155">
        <v>12.614469655274171</v>
      </c>
      <c r="Z155">
        <v>36.763815561309052</v>
      </c>
      <c r="AA155">
        <v>11.465351058228539</v>
      </c>
      <c r="AB155">
        <v>41.373748379471301</v>
      </c>
      <c r="AC155">
        <v>0.22294403125649456</v>
      </c>
      <c r="AD155">
        <v>11.380742069202405</v>
      </c>
      <c r="AE155">
        <v>15.825551463124107</v>
      </c>
      <c r="AF155">
        <v>14.902900335445771</v>
      </c>
      <c r="AG155">
        <v>27.768547333576951</v>
      </c>
      <c r="AH155">
        <v>10.457618421836937</v>
      </c>
      <c r="AI155">
        <v>2.1092784721194877</v>
      </c>
      <c r="AK155">
        <v>44.891153059789048</v>
      </c>
    </row>
    <row r="156" spans="1:37" x14ac:dyDescent="0.2">
      <c r="A156">
        <v>155</v>
      </c>
      <c r="B156">
        <v>797</v>
      </c>
      <c r="C156">
        <v>125</v>
      </c>
      <c r="D156">
        <v>0.48551184413399801</v>
      </c>
      <c r="E156">
        <v>117.53651614295752</v>
      </c>
      <c r="F156">
        <v>70.781907167946898</v>
      </c>
      <c r="G156">
        <v>74.493500877616128</v>
      </c>
      <c r="H156">
        <v>69.9955564996215</v>
      </c>
      <c r="J156">
        <v>53.901626505826421</v>
      </c>
      <c r="L156">
        <v>11.666238343168803</v>
      </c>
      <c r="M156">
        <v>15.066009963158876</v>
      </c>
      <c r="N156">
        <v>2.1517842913648391</v>
      </c>
      <c r="O156">
        <v>56.905256710587615</v>
      </c>
      <c r="P156">
        <v>15.123549219058578</v>
      </c>
      <c r="R156">
        <v>25.897603822315364</v>
      </c>
      <c r="S156">
        <v>66.285698186589997</v>
      </c>
      <c r="U156">
        <v>3.3350412684181867</v>
      </c>
      <c r="V156">
        <v>48.821946104351397</v>
      </c>
      <c r="W156">
        <v>33.653653351606032</v>
      </c>
      <c r="X156">
        <v>41.953188784742927</v>
      </c>
      <c r="Y156">
        <v>12.475118638154656</v>
      </c>
      <c r="Z156">
        <v>36.514459878527887</v>
      </c>
      <c r="AA156">
        <v>11.330964441560806</v>
      </c>
      <c r="AB156">
        <v>41.355963025670555</v>
      </c>
      <c r="AC156">
        <v>0.20387039727252451</v>
      </c>
      <c r="AD156">
        <v>11.245276823051613</v>
      </c>
      <c r="AE156">
        <v>15.719901434503843</v>
      </c>
      <c r="AF156">
        <v>14.901850660417697</v>
      </c>
      <c r="AG156">
        <v>27.716815010348569</v>
      </c>
      <c r="AH156">
        <v>10.284343293734365</v>
      </c>
      <c r="AI156">
        <v>2.0919499750845181</v>
      </c>
      <c r="AK156">
        <v>44.862740289664892</v>
      </c>
    </row>
    <row r="157" spans="1:37" x14ac:dyDescent="0.2">
      <c r="A157">
        <v>156</v>
      </c>
      <c r="B157">
        <v>796</v>
      </c>
      <c r="C157">
        <v>125</v>
      </c>
      <c r="D157">
        <v>0.48496515923864703</v>
      </c>
      <c r="E157">
        <v>117.42934587804464</v>
      </c>
      <c r="F157">
        <v>70.334987401512635</v>
      </c>
      <c r="G157">
        <v>74.414687973747164</v>
      </c>
      <c r="H157">
        <v>69.913783096716401</v>
      </c>
      <c r="J157">
        <v>53.861867676241289</v>
      </c>
      <c r="L157">
        <v>11.537798747727408</v>
      </c>
      <c r="M157">
        <v>15.085370886962984</v>
      </c>
      <c r="N157">
        <v>2.1346900937798186</v>
      </c>
      <c r="O157">
        <v>56.289611584304822</v>
      </c>
      <c r="P157">
        <v>14.969968950062523</v>
      </c>
      <c r="R157">
        <v>25.726189888546976</v>
      </c>
      <c r="S157">
        <v>66.157518624351937</v>
      </c>
      <c r="U157">
        <v>3.3264262897718955</v>
      </c>
      <c r="V157">
        <v>48.862352654417734</v>
      </c>
      <c r="W157">
        <v>33.542874814630004</v>
      </c>
      <c r="X157">
        <v>41.986611064656259</v>
      </c>
      <c r="Y157">
        <v>12.335809364865298</v>
      </c>
      <c r="Z157">
        <v>36.265529507535703</v>
      </c>
      <c r="AA157">
        <v>11.196434728583249</v>
      </c>
      <c r="AB157">
        <v>41.336136270781338</v>
      </c>
      <c r="AC157">
        <v>0.18478337408741816</v>
      </c>
      <c r="AD157">
        <v>11.109789662307351</v>
      </c>
      <c r="AE157">
        <v>15.614479955087065</v>
      </c>
      <c r="AF157">
        <v>14.900995711814147</v>
      </c>
      <c r="AG157">
        <v>27.663030029711319</v>
      </c>
      <c r="AH157">
        <v>10.110995473120909</v>
      </c>
      <c r="AI157">
        <v>2.0746071723034825</v>
      </c>
      <c r="AK157">
        <v>44.834552870993576</v>
      </c>
    </row>
    <row r="158" spans="1:37" x14ac:dyDescent="0.2">
      <c r="A158">
        <v>157</v>
      </c>
      <c r="B158">
        <v>795</v>
      </c>
      <c r="C158">
        <v>125</v>
      </c>
      <c r="D158">
        <v>0.48441745073257497</v>
      </c>
      <c r="E158">
        <v>117.3225865505884</v>
      </c>
      <c r="F158">
        <v>69.889277455899588</v>
      </c>
      <c r="G158">
        <v>74.335932631550975</v>
      </c>
      <c r="H158">
        <v>69.83207949913448</v>
      </c>
      <c r="J158">
        <v>53.821383581253983</v>
      </c>
      <c r="L158">
        <v>11.40905408148617</v>
      </c>
      <c r="M158">
        <v>15.104926789900178</v>
      </c>
      <c r="N158">
        <v>2.1175851295624089</v>
      </c>
      <c r="O158">
        <v>55.674380187309275</v>
      </c>
      <c r="P158">
        <v>14.816499907213275</v>
      </c>
      <c r="R158">
        <v>25.553776687597193</v>
      </c>
      <c r="S158">
        <v>66.025590825993703</v>
      </c>
      <c r="U158">
        <v>3.3181747296576276</v>
      </c>
      <c r="V158">
        <v>48.901314961716409</v>
      </c>
      <c r="W158">
        <v>33.432774809941868</v>
      </c>
      <c r="X158">
        <v>42.021319982415498</v>
      </c>
      <c r="Y158">
        <v>12.196563408520836</v>
      </c>
      <c r="Z158">
        <v>36.017042396381875</v>
      </c>
      <c r="AA158">
        <v>11.061849925354705</v>
      </c>
      <c r="AB158">
        <v>41.314266479180255</v>
      </c>
      <c r="AC158">
        <v>0.16568574447184087</v>
      </c>
      <c r="AD158">
        <v>10.97429591309281</v>
      </c>
      <c r="AE158">
        <v>15.509289540451833</v>
      </c>
      <c r="AF158">
        <v>14.90032509428449</v>
      </c>
      <c r="AG158">
        <v>27.60719354446023</v>
      </c>
      <c r="AH158">
        <v>9.9376051228239728</v>
      </c>
      <c r="AI158">
        <v>2.0572528451631005</v>
      </c>
      <c r="AK158">
        <v>44.806601482868267</v>
      </c>
    </row>
    <row r="159" spans="1:37" x14ac:dyDescent="0.2">
      <c r="A159">
        <v>158</v>
      </c>
      <c r="B159">
        <v>794</v>
      </c>
      <c r="C159">
        <v>125</v>
      </c>
      <c r="D159">
        <v>0.48386871573818202</v>
      </c>
      <c r="E159">
        <v>117.21623862773579</v>
      </c>
      <c r="F159">
        <v>69.444815421564698</v>
      </c>
      <c r="G159">
        <v>74.257244603575003</v>
      </c>
      <c r="H159">
        <v>69.750455478730871</v>
      </c>
      <c r="J159">
        <v>53.780189810221543</v>
      </c>
      <c r="L159">
        <v>11.280035437093996</v>
      </c>
      <c r="M159">
        <v>15.124664564009645</v>
      </c>
      <c r="N159">
        <v>2.1004721644999096</v>
      </c>
      <c r="O159">
        <v>55.059633988893616</v>
      </c>
      <c r="P159">
        <v>14.663164381774402</v>
      </c>
      <c r="R159">
        <v>25.380417562582942</v>
      </c>
      <c r="S159">
        <v>65.889927331826428</v>
      </c>
      <c r="U159">
        <v>3.3102708860216721</v>
      </c>
      <c r="V159">
        <v>48.938839435936281</v>
      </c>
      <c r="W159">
        <v>33.323341555918205</v>
      </c>
      <c r="X159">
        <v>42.057267340247222</v>
      </c>
      <c r="Y159">
        <v>12.057401817188163</v>
      </c>
      <c r="Z159">
        <v>35.769015820728569</v>
      </c>
      <c r="AA159">
        <v>10.927230163605229</v>
      </c>
      <c r="AB159">
        <v>41.290356181054435</v>
      </c>
      <c r="AC159">
        <v>0.1465802737809587</v>
      </c>
      <c r="AD159">
        <v>10.838810490056916</v>
      </c>
      <c r="AE159">
        <v>15.404332530173354</v>
      </c>
      <c r="AF159">
        <v>14.899828470783772</v>
      </c>
      <c r="AG159">
        <v>27.549310855805178</v>
      </c>
      <c r="AH159">
        <v>9.7642017021689274</v>
      </c>
      <c r="AI159">
        <v>2.0398897576337784</v>
      </c>
      <c r="AK159">
        <v>44.778896516290565</v>
      </c>
    </row>
    <row r="160" spans="1:37" x14ac:dyDescent="0.2">
      <c r="A160">
        <v>159</v>
      </c>
      <c r="B160">
        <v>793</v>
      </c>
      <c r="C160">
        <v>125</v>
      </c>
      <c r="D160">
        <v>0.48331895136707098</v>
      </c>
      <c r="E160">
        <v>117.1103022246687</v>
      </c>
      <c r="F160">
        <v>69.001637549466409</v>
      </c>
      <c r="G160">
        <v>74.178633343042961</v>
      </c>
      <c r="H160">
        <v>69.668920508072404</v>
      </c>
      <c r="J160">
        <v>53.73830353191363</v>
      </c>
      <c r="L160">
        <v>11.150773131332619</v>
      </c>
      <c r="M160">
        <v>15.144571223098907</v>
      </c>
      <c r="N160">
        <v>2.0833539368044396</v>
      </c>
      <c r="O160">
        <v>54.445442488413278</v>
      </c>
      <c r="P160">
        <v>14.50998403883357</v>
      </c>
      <c r="R160">
        <v>25.20616534811148</v>
      </c>
      <c r="S160">
        <v>65.750547931346645</v>
      </c>
      <c r="U160">
        <v>3.3026990568273544</v>
      </c>
      <c r="V160">
        <v>48.974934668513939</v>
      </c>
      <c r="W160">
        <v>33.214562821633869</v>
      </c>
      <c r="X160">
        <v>42.094404964933915</v>
      </c>
      <c r="Y160">
        <v>11.918345056456483</v>
      </c>
      <c r="Z160">
        <v>35.521466323696743</v>
      </c>
      <c r="AA160">
        <v>10.792595164203361</v>
      </c>
      <c r="AB160">
        <v>41.264411832905665</v>
      </c>
      <c r="AC160">
        <v>0.12746969979452399</v>
      </c>
      <c r="AD160">
        <v>10.703347862421426</v>
      </c>
      <c r="AE160">
        <v>15.299611081277485</v>
      </c>
      <c r="AF160">
        <v>14.899495598467063</v>
      </c>
      <c r="AG160">
        <v>27.489391163708646</v>
      </c>
      <c r="AH160">
        <v>9.590813879627996</v>
      </c>
      <c r="AI160">
        <v>2.0225206461102743</v>
      </c>
      <c r="AK160">
        <v>44.751448045357201</v>
      </c>
    </row>
    <row r="161" spans="1:37" x14ac:dyDescent="0.2">
      <c r="A161">
        <v>160</v>
      </c>
      <c r="B161">
        <v>792</v>
      </c>
      <c r="C161">
        <v>125</v>
      </c>
      <c r="D161">
        <v>0.48276815471999501</v>
      </c>
      <c r="E161">
        <v>117.00477711676844</v>
      </c>
      <c r="F161">
        <v>68.559778184783596</v>
      </c>
      <c r="G161">
        <v>74.100107981726808</v>
      </c>
      <c r="H161">
        <v>69.587483738311846</v>
      </c>
      <c r="J161">
        <v>53.695743334042191</v>
      </c>
      <c r="L161">
        <v>11.021296649552932</v>
      </c>
      <c r="M161">
        <v>15.16463394565613</v>
      </c>
      <c r="N161">
        <v>2.0662331475785218</v>
      </c>
      <c r="O161">
        <v>53.831873033289419</v>
      </c>
      <c r="P161">
        <v>14.356979863530315</v>
      </c>
      <c r="R161">
        <v>25.031072202718263</v>
      </c>
      <c r="S161">
        <v>65.607479168155209</v>
      </c>
      <c r="U161">
        <v>3.2954435960658697</v>
      </c>
      <c r="V161">
        <v>49.009611266069179</v>
      </c>
      <c r="W161">
        <v>33.106425993072492</v>
      </c>
      <c r="X161">
        <v>42.132684879823003</v>
      </c>
      <c r="Y161">
        <v>11.77941295858836</v>
      </c>
      <c r="Z161">
        <v>35.274409682546541</v>
      </c>
      <c r="AA161">
        <v>10.657964179971968</v>
      </c>
      <c r="AB161">
        <v>41.236443568212273</v>
      </c>
      <c r="AC161">
        <v>0.10835672318246051</v>
      </c>
      <c r="AD161">
        <v>10.567922024272814</v>
      </c>
      <c r="AE161">
        <v>15.195127163102615</v>
      </c>
      <c r="AF161">
        <v>14.899316362076435</v>
      </c>
      <c r="AG161">
        <v>27.427447308022067</v>
      </c>
      <c r="AH161">
        <v>9.4174695074211137</v>
      </c>
      <c r="AI161">
        <v>2.0051482098770546</v>
      </c>
      <c r="AK161">
        <v>44.724265801593731</v>
      </c>
    </row>
    <row r="162" spans="1:37" x14ac:dyDescent="0.2">
      <c r="A162">
        <v>161</v>
      </c>
      <c r="B162">
        <v>791</v>
      </c>
      <c r="C162">
        <v>125</v>
      </c>
      <c r="D162">
        <v>0.48221632288681698</v>
      </c>
      <c r="E162">
        <v>116.89966275349251</v>
      </c>
      <c r="F162">
        <v>68.119269720120073</v>
      </c>
      <c r="G162">
        <v>74.021677311834353</v>
      </c>
      <c r="H162">
        <v>69.506153981073695</v>
      </c>
      <c r="J162">
        <v>53.652529064383003</v>
      </c>
      <c r="L162">
        <v>10.891552980852925</v>
      </c>
      <c r="M162">
        <v>15.184840112972426</v>
      </c>
      <c r="N162">
        <v>2.0491124523627495</v>
      </c>
      <c r="O162">
        <v>53.21899066680632</v>
      </c>
      <c r="P162">
        <v>14.20417211636256</v>
      </c>
      <c r="R162">
        <v>24.855189457973985</v>
      </c>
      <c r="S162">
        <v>65.460753830676737</v>
      </c>
      <c r="U162">
        <v>3.2884889648263069</v>
      </c>
      <c r="V162">
        <v>49.04288168152204</v>
      </c>
      <c r="W162">
        <v>32.998918136352543</v>
      </c>
      <c r="X162">
        <v>42.172059463647301</v>
      </c>
      <c r="Y162">
        <v>11.640624680208518</v>
      </c>
      <c r="Z162">
        <v>35.027860879779134</v>
      </c>
      <c r="AA162">
        <v>10.523416444976014</v>
      </c>
      <c r="AB162">
        <v>41.206464939185942</v>
      </c>
      <c r="AC162">
        <v>8.924399905241269E-2</v>
      </c>
      <c r="AD162">
        <v>10.432546470253062</v>
      </c>
      <c r="AE162">
        <v>15.090882553983013</v>
      </c>
      <c r="AF162">
        <v>14.899280803604512</v>
      </c>
      <c r="AG162">
        <v>27.363495501776931</v>
      </c>
      <c r="AH162">
        <v>9.2441955233033415</v>
      </c>
      <c r="AI162">
        <v>1.9877751026556052</v>
      </c>
      <c r="AK162">
        <v>44.697359153082672</v>
      </c>
    </row>
    <row r="163" spans="1:37" x14ac:dyDescent="0.2">
      <c r="A163">
        <v>162</v>
      </c>
      <c r="B163">
        <v>790</v>
      </c>
      <c r="C163">
        <v>125</v>
      </c>
      <c r="D163">
        <v>0.48166345294643498</v>
      </c>
      <c r="E163">
        <v>116.79495827303073</v>
      </c>
      <c r="F163">
        <v>67.680142563883635</v>
      </c>
      <c r="G163">
        <v>73.943349771321465</v>
      </c>
      <c r="H163">
        <v>69.424939693766817</v>
      </c>
      <c r="J163">
        <v>53.608681674776065</v>
      </c>
      <c r="L163">
        <v>10.761728634512933</v>
      </c>
      <c r="M163">
        <v>15.205177343040823</v>
      </c>
      <c r="N163">
        <v>2.0319944535431782</v>
      </c>
      <c r="O163">
        <v>52.606858001459351</v>
      </c>
      <c r="P163">
        <v>14.051580296227794</v>
      </c>
      <c r="R163">
        <v>24.678567483749127</v>
      </c>
      <c r="S163">
        <v>65.310410437698806</v>
      </c>
      <c r="U163">
        <v>3.2818197778759304</v>
      </c>
      <c r="V163">
        <v>49.074760045706292</v>
      </c>
      <c r="W163">
        <v>32.892026058406557</v>
      </c>
      <c r="X163">
        <v>42.212481593464304</v>
      </c>
      <c r="Y163">
        <v>11.501998667248966</v>
      </c>
      <c r="Z163">
        <v>34.781834081563105</v>
      </c>
      <c r="AA163">
        <v>10.388844882946694</v>
      </c>
      <c r="AB163">
        <v>41.174492654662174</v>
      </c>
      <c r="AC163">
        <v>7.0134129356788963E-2</v>
      </c>
      <c r="AD163">
        <v>10.297234175978728</v>
      </c>
      <c r="AE163">
        <v>14.986878839559854</v>
      </c>
      <c r="AF163">
        <v>14.899379148601314</v>
      </c>
      <c r="AG163">
        <v>27.297555061496567</v>
      </c>
      <c r="AH163">
        <v>9.0710179377577465</v>
      </c>
      <c r="AI163">
        <v>1.9704039250119454</v>
      </c>
      <c r="AK163">
        <v>44.670737087213517</v>
      </c>
    </row>
    <row r="164" spans="1:37" x14ac:dyDescent="0.2">
      <c r="A164">
        <v>163</v>
      </c>
      <c r="B164">
        <v>789</v>
      </c>
      <c r="C164">
        <v>125</v>
      </c>
      <c r="D164">
        <v>0.48110954196676597</v>
      </c>
      <c r="E164">
        <v>116.6906625179226</v>
      </c>
      <c r="F164">
        <v>67.242425122481961</v>
      </c>
      <c r="G164">
        <v>73.865133432298975</v>
      </c>
      <c r="H164">
        <v>69.343848967991846</v>
      </c>
      <c r="J164">
        <v>53.56422306970579</v>
      </c>
      <c r="L164">
        <v>10.631773001418711</v>
      </c>
      <c r="M164">
        <v>15.225633521178855</v>
      </c>
      <c r="N164">
        <v>2.0148816935476654</v>
      </c>
      <c r="O164">
        <v>51.995535114781873</v>
      </c>
      <c r="P164">
        <v>13.899223110430508</v>
      </c>
      <c r="R164">
        <v>24.501255570020621</v>
      </c>
      <c r="S164">
        <v>65.156492727228652</v>
      </c>
      <c r="U164">
        <v>3.2754208463477896</v>
      </c>
      <c r="V164">
        <v>49.105262002677669</v>
      </c>
      <c r="W164">
        <v>32.785736365443256</v>
      </c>
      <c r="X164">
        <v>42.253904776332</v>
      </c>
      <c r="Y164">
        <v>11.363552626433661</v>
      </c>
      <c r="Z164">
        <v>34.536342622063479</v>
      </c>
      <c r="AA164">
        <v>10.254332155776094</v>
      </c>
      <c r="AB164">
        <v>41.140546317841682</v>
      </c>
      <c r="AC164">
        <v>5.1029656089799633E-2</v>
      </c>
      <c r="AD164">
        <v>10.161997582477872</v>
      </c>
      <c r="AE164">
        <v>14.883117412140127</v>
      </c>
      <c r="AF164">
        <v>14.89960182999679</v>
      </c>
      <c r="AG164">
        <v>27.229648138123572</v>
      </c>
      <c r="AH164">
        <v>8.8979617724260418</v>
      </c>
      <c r="AI164">
        <v>1.9530372175534294</v>
      </c>
      <c r="AK164">
        <v>44.644408196987662</v>
      </c>
    </row>
    <row r="165" spans="1:37" x14ac:dyDescent="0.2">
      <c r="A165">
        <v>164</v>
      </c>
      <c r="B165">
        <v>788</v>
      </c>
      <c r="C165">
        <v>125</v>
      </c>
      <c r="D165">
        <v>0.48055458700466802</v>
      </c>
      <c r="E165">
        <v>116.58677405120714</v>
      </c>
      <c r="F165">
        <v>66.806143797802932</v>
      </c>
      <c r="G165">
        <v>73.787035992895213</v>
      </c>
      <c r="H165">
        <v>69.262889521403665</v>
      </c>
      <c r="J165">
        <v>53.519175960474932</v>
      </c>
      <c r="L165">
        <v>10.501711885349364</v>
      </c>
      <c r="M165">
        <v>15.246196825703256</v>
      </c>
      <c r="N165">
        <v>1.9977766490708551</v>
      </c>
      <c r="O165">
        <v>51.385079471858916</v>
      </c>
      <c r="P165">
        <v>13.747118452633845</v>
      </c>
      <c r="R165">
        <v>24.323301824526361</v>
      </c>
      <c r="S165">
        <v>64.999049148876452</v>
      </c>
      <c r="U165">
        <v>3.2692772151915372</v>
      </c>
      <c r="V165">
        <v>49.134404547427422</v>
      </c>
      <c r="W165">
        <v>32.680035517234579</v>
      </c>
      <c r="X165">
        <v>42.296283261292167</v>
      </c>
      <c r="Y165">
        <v>11.225303504240571</v>
      </c>
      <c r="Z165">
        <v>34.291398995353255</v>
      </c>
      <c r="AA165">
        <v>10.119895195459758</v>
      </c>
      <c r="AB165">
        <v>41.104648165073534</v>
      </c>
      <c r="AC165">
        <v>3.1933055512209249E-2</v>
      </c>
      <c r="AD165">
        <v>10.026848585548722</v>
      </c>
      <c r="AE165">
        <v>14.779599471826456</v>
      </c>
      <c r="AF165">
        <v>14.899939507999681</v>
      </c>
      <c r="AG165">
        <v>27.159799450035216</v>
      </c>
      <c r="AH165">
        <v>8.7250510815019631</v>
      </c>
      <c r="AI165">
        <v>1.9356774551536169</v>
      </c>
      <c r="AK165">
        <v>44.618380671215327</v>
      </c>
    </row>
    <row r="166" spans="1:37" x14ac:dyDescent="0.2">
      <c r="A166">
        <v>165</v>
      </c>
      <c r="B166">
        <v>787</v>
      </c>
      <c r="C166">
        <v>125</v>
      </c>
      <c r="D166">
        <v>0.479998585105882</v>
      </c>
      <c r="E166">
        <v>116.48329117303776</v>
      </c>
      <c r="F166">
        <v>66.371322996010491</v>
      </c>
      <c r="G166">
        <v>73.709064771820067</v>
      </c>
      <c r="H166">
        <v>69.182068692275521</v>
      </c>
      <c r="J166">
        <v>53.473563725829408</v>
      </c>
      <c r="L166">
        <v>10.371570093272338</v>
      </c>
      <c r="M166">
        <v>15.266855750435614</v>
      </c>
      <c r="N166">
        <v>1.9806817260318821</v>
      </c>
      <c r="O166">
        <v>50.775545867675746</v>
      </c>
      <c r="P166">
        <v>13.595283386944457</v>
      </c>
      <c r="R166">
        <v>24.144753085865727</v>
      </c>
      <c r="S166">
        <v>64.838132368678643</v>
      </c>
      <c r="U166">
        <v>3.2633741967512262</v>
      </c>
      <c r="V166">
        <v>49.162205869665961</v>
      </c>
      <c r="W166">
        <v>32.574909878726864</v>
      </c>
      <c r="X166">
        <v>42.339572154734221</v>
      </c>
      <c r="Y166">
        <v>11.087267471615229</v>
      </c>
      <c r="Z166">
        <v>34.047014852334961</v>
      </c>
      <c r="AA166">
        <v>9.985550287523365</v>
      </c>
      <c r="AB166">
        <v>41.066822809523032</v>
      </c>
      <c r="AC166">
        <v>1.284673310845761E-2</v>
      </c>
      <c r="AD166">
        <v>9.8917985286417789</v>
      </c>
      <c r="AE166">
        <v>14.676326028485782</v>
      </c>
      <c r="AF166">
        <v>14.900383087556799</v>
      </c>
      <c r="AG166">
        <v>27.088036021664053</v>
      </c>
      <c r="AH166">
        <v>8.5523088744034652</v>
      </c>
      <c r="AI166">
        <v>1.9183270419088112</v>
      </c>
      <c r="AK166">
        <v>44.592662287724288</v>
      </c>
    </row>
    <row r="167" spans="1:37" x14ac:dyDescent="0.2">
      <c r="A167">
        <v>166</v>
      </c>
      <c r="B167">
        <v>786</v>
      </c>
      <c r="C167">
        <v>125</v>
      </c>
      <c r="D167">
        <v>0.47944153330501299</v>
      </c>
      <c r="E167">
        <v>116.3408156264172</v>
      </c>
      <c r="F167">
        <v>65.722564272190866</v>
      </c>
      <c r="G167">
        <v>73.596555319770331</v>
      </c>
      <c r="H167">
        <v>69.066722050903451</v>
      </c>
      <c r="J167">
        <v>53.360397941784029</v>
      </c>
      <c r="L167">
        <v>10.186636797950326</v>
      </c>
      <c r="M167">
        <v>15.287564008293092</v>
      </c>
      <c r="N167">
        <v>1.9696310092505862</v>
      </c>
      <c r="O167">
        <v>49.965599451344346</v>
      </c>
      <c r="P167">
        <v>13.380423120397987</v>
      </c>
      <c r="R167">
        <v>23.893567562497527</v>
      </c>
      <c r="S167">
        <v>64.591162476522342</v>
      </c>
      <c r="U167">
        <v>3.2525622926018785</v>
      </c>
      <c r="V167">
        <v>49.186928660601822</v>
      </c>
      <c r="W167">
        <v>32.427192872007602</v>
      </c>
      <c r="X167">
        <v>42.363054540438604</v>
      </c>
      <c r="Y167">
        <v>10.88478130057843</v>
      </c>
      <c r="Z167">
        <v>33.682560648217944</v>
      </c>
      <c r="AA167">
        <v>9.795428416257943</v>
      </c>
      <c r="AB167">
        <v>41.002334880932523</v>
      </c>
      <c r="AD167">
        <v>9.6833930166495534</v>
      </c>
      <c r="AE167">
        <v>14.528620301353628</v>
      </c>
      <c r="AF167">
        <v>14.906920371626493</v>
      </c>
      <c r="AG167">
        <v>26.995656572938675</v>
      </c>
      <c r="AH167">
        <v>8.2786370422073858</v>
      </c>
      <c r="AI167">
        <v>1.9070200608162537</v>
      </c>
      <c r="AK167">
        <v>44.515947793810717</v>
      </c>
    </row>
    <row r="168" spans="1:37" x14ac:dyDescent="0.2">
      <c r="A168">
        <v>167</v>
      </c>
      <c r="B168">
        <v>785</v>
      </c>
      <c r="C168">
        <v>125</v>
      </c>
      <c r="D168">
        <v>0.47888342862543298</v>
      </c>
      <c r="E168">
        <v>116.11199320062718</v>
      </c>
      <c r="F168">
        <v>64.595650363555364</v>
      </c>
      <c r="G168">
        <v>73.406689038085617</v>
      </c>
      <c r="H168">
        <v>68.874031018265399</v>
      </c>
      <c r="J168">
        <v>53.091902642980479</v>
      </c>
      <c r="L168">
        <v>9.8782617628626248</v>
      </c>
      <c r="M168">
        <v>15.309534392493426</v>
      </c>
      <c r="N168">
        <v>1.9716153138628507</v>
      </c>
      <c r="O168">
        <v>48.704423289547599</v>
      </c>
      <c r="P168">
        <v>13.02389129169069</v>
      </c>
      <c r="R168">
        <v>23.477062593786904</v>
      </c>
      <c r="S168">
        <v>64.139373753076612</v>
      </c>
      <c r="U168">
        <v>3.2324487704751439</v>
      </c>
      <c r="V168">
        <v>49.201040456747862</v>
      </c>
      <c r="W168">
        <v>32.188656111829673</v>
      </c>
      <c r="X168">
        <v>42.347324404831468</v>
      </c>
      <c r="Y168">
        <v>10.53760462010972</v>
      </c>
      <c r="Z168">
        <v>33.049227049239796</v>
      </c>
      <c r="AA168">
        <v>9.4797840137656753</v>
      </c>
      <c r="AB168">
        <v>40.871363001247701</v>
      </c>
      <c r="AD168">
        <v>9.310642461015652</v>
      </c>
      <c r="AE168">
        <v>14.281447586572263</v>
      </c>
      <c r="AF168">
        <v>14.927754973792226</v>
      </c>
      <c r="AG168">
        <v>26.849830546319961</v>
      </c>
      <c r="AH168">
        <v>7.7787735832357834</v>
      </c>
      <c r="AI168">
        <v>1.908747325188648</v>
      </c>
      <c r="AK168">
        <v>44.324649833237842</v>
      </c>
    </row>
    <row r="169" spans="1:37" x14ac:dyDescent="0.2">
      <c r="A169">
        <v>168</v>
      </c>
      <c r="B169">
        <v>784</v>
      </c>
      <c r="C169">
        <v>125</v>
      </c>
      <c r="D169">
        <v>0.47832426807926898</v>
      </c>
      <c r="E169">
        <v>115.88072888835546</v>
      </c>
      <c r="F169">
        <v>63.445904460556989</v>
      </c>
      <c r="G169">
        <v>73.212653997943846</v>
      </c>
      <c r="H169">
        <v>68.677183685212981</v>
      </c>
      <c r="J169">
        <v>52.80604690702009</v>
      </c>
      <c r="L169">
        <v>9.5610375329249067</v>
      </c>
      <c r="M169">
        <v>15.333516331310964</v>
      </c>
      <c r="N169">
        <v>1.9735989658934292</v>
      </c>
      <c r="O169">
        <v>47.415540404868786</v>
      </c>
      <c r="P169">
        <v>12.65902839014209</v>
      </c>
      <c r="R169">
        <v>23.045306508638177</v>
      </c>
      <c r="S169">
        <v>63.646459134208584</v>
      </c>
      <c r="U169">
        <v>3.214969944780786</v>
      </c>
      <c r="V169">
        <v>49.204942424678549</v>
      </c>
      <c r="W169">
        <v>31.953629835876974</v>
      </c>
      <c r="X169">
        <v>42.339511751213813</v>
      </c>
      <c r="Y169">
        <v>10.182011794732608</v>
      </c>
      <c r="Z169">
        <v>32.401158903916304</v>
      </c>
      <c r="AA169">
        <v>9.155910506960165</v>
      </c>
      <c r="AB169">
        <v>40.72005626695703</v>
      </c>
      <c r="AD169">
        <v>8.9281843830308336</v>
      </c>
      <c r="AE169">
        <v>14.028828195333947</v>
      </c>
      <c r="AF169">
        <v>14.950600653598539</v>
      </c>
      <c r="AG169">
        <v>26.683671369723054</v>
      </c>
      <c r="AH169">
        <v>7.2658875361899868</v>
      </c>
      <c r="AI169">
        <v>1.9104731592258202</v>
      </c>
      <c r="AK169">
        <v>44.126703314908866</v>
      </c>
    </row>
    <row r="170" spans="1:37" x14ac:dyDescent="0.2">
      <c r="A170">
        <v>169</v>
      </c>
      <c r="B170">
        <v>783</v>
      </c>
      <c r="C170">
        <v>125</v>
      </c>
      <c r="D170">
        <v>0.47776404866733202</v>
      </c>
      <c r="E170">
        <v>115.646447164777</v>
      </c>
      <c r="F170">
        <v>62.268988310056223</v>
      </c>
      <c r="G170">
        <v>73.013842931094473</v>
      </c>
      <c r="H170">
        <v>68.4755728032071</v>
      </c>
      <c r="J170">
        <v>52.50030201135381</v>
      </c>
      <c r="L170">
        <v>9.2338232976938226</v>
      </c>
      <c r="M170">
        <v>15.359538014080256</v>
      </c>
      <c r="N170">
        <v>1.9755819176526683</v>
      </c>
      <c r="O170">
        <v>46.094635125813916</v>
      </c>
      <c r="P170">
        <v>12.28461985255263</v>
      </c>
      <c r="R170">
        <v>22.596667302594994</v>
      </c>
      <c r="S170">
        <v>63.107900076678654</v>
      </c>
      <c r="U170">
        <v>3.2001724878080813</v>
      </c>
      <c r="V170">
        <v>49.197818539303952</v>
      </c>
      <c r="W170">
        <v>31.722318797055678</v>
      </c>
      <c r="X170">
        <v>42.339755826167035</v>
      </c>
      <c r="Y170">
        <v>9.8167615701082536</v>
      </c>
      <c r="Z170">
        <v>31.73526311946949</v>
      </c>
      <c r="AA170">
        <v>8.8226679333948699</v>
      </c>
      <c r="AB170">
        <v>40.545984302332926</v>
      </c>
      <c r="AD170">
        <v>8.534240474509609</v>
      </c>
      <c r="AE170">
        <v>13.769396795877839</v>
      </c>
      <c r="AF170">
        <v>14.975485557944033</v>
      </c>
      <c r="AG170">
        <v>26.494748625142975</v>
      </c>
      <c r="AH170">
        <v>6.7380647793941995</v>
      </c>
      <c r="AI170">
        <v>1.9121975134136564</v>
      </c>
      <c r="AK170">
        <v>43.920777513329035</v>
      </c>
    </row>
    <row r="171" spans="1:37" x14ac:dyDescent="0.2">
      <c r="A171">
        <v>170</v>
      </c>
      <c r="B171">
        <v>782</v>
      </c>
      <c r="C171">
        <v>125</v>
      </c>
      <c r="D171">
        <v>0.47720276737904699</v>
      </c>
      <c r="E171">
        <v>115.40838170596133</v>
      </c>
      <c r="F171">
        <v>61.059101593948384</v>
      </c>
      <c r="G171">
        <v>72.8094379881191</v>
      </c>
      <c r="H171">
        <v>68.268380542578541</v>
      </c>
      <c r="J171">
        <v>52.171369877907154</v>
      </c>
      <c r="L171">
        <v>8.8951498908804787</v>
      </c>
      <c r="M171">
        <v>15.38763207835529</v>
      </c>
      <c r="N171">
        <v>1.9775641097928525</v>
      </c>
      <c r="O171">
        <v>44.735915543202239</v>
      </c>
      <c r="P171">
        <v>11.899029941790268</v>
      </c>
      <c r="R171">
        <v>22.128878593333983</v>
      </c>
      <c r="S171">
        <v>62.517965470622748</v>
      </c>
      <c r="U171">
        <v>3.188125172110956</v>
      </c>
      <c r="V171">
        <v>49.178638610913609</v>
      </c>
      <c r="W171">
        <v>31.494962240452054</v>
      </c>
      <c r="X171">
        <v>42.348259038164137</v>
      </c>
      <c r="Y171">
        <v>9.4401842324982272</v>
      </c>
      <c r="Z171">
        <v>31.04741061179487</v>
      </c>
      <c r="AA171">
        <v>8.4784375794062363</v>
      </c>
      <c r="AB171">
        <v>40.346070401251382</v>
      </c>
      <c r="AD171">
        <v>8.1264309722477357</v>
      </c>
      <c r="AE171">
        <v>13.501339356412531</v>
      </c>
      <c r="AF171">
        <v>15.002442270302895</v>
      </c>
      <c r="AG171">
        <v>26.279985552544023</v>
      </c>
      <c r="AH171">
        <v>6.1927293190726918</v>
      </c>
      <c r="AI171">
        <v>1.9139203265782339</v>
      </c>
      <c r="AK171">
        <v>43.705094679772017</v>
      </c>
    </row>
    <row r="172" spans="1:37" x14ac:dyDescent="0.2">
      <c r="A172">
        <v>171</v>
      </c>
      <c r="B172">
        <v>781</v>
      </c>
      <c r="C172">
        <v>125</v>
      </c>
      <c r="D172">
        <v>0.476640421192431</v>
      </c>
      <c r="E172">
        <v>115.16549248367853</v>
      </c>
      <c r="F172">
        <v>59.808348353716958</v>
      </c>
      <c r="G172">
        <v>72.598320153872507</v>
      </c>
      <c r="H172">
        <v>68.054487907968493</v>
      </c>
      <c r="J172">
        <v>51.814836767966455</v>
      </c>
      <c r="L172">
        <v>8.5426840638201256</v>
      </c>
      <c r="M172">
        <v>15.417835302174202</v>
      </c>
      <c r="N172">
        <v>1.9795454665664891</v>
      </c>
      <c r="O172">
        <v>43.331477498893484</v>
      </c>
      <c r="P172">
        <v>11.500020572926402</v>
      </c>
      <c r="R172">
        <v>21.638761886965163</v>
      </c>
      <c r="S172">
        <v>61.869138139044367</v>
      </c>
      <c r="U172">
        <v>3.1789265037868812</v>
      </c>
      <c r="V172">
        <v>49.146050636274424</v>
      </c>
      <c r="W172">
        <v>31.271852655450278</v>
      </c>
      <c r="X172">
        <v>42.365308359353314</v>
      </c>
      <c r="Y172">
        <v>9.0499971033474917</v>
      </c>
      <c r="Z172">
        <v>30.331984850873141</v>
      </c>
      <c r="AA172">
        <v>8.1210642932279882</v>
      </c>
      <c r="AB172">
        <v>40.116286878697174</v>
      </c>
      <c r="AD172">
        <v>7.7015122943347567</v>
      </c>
      <c r="AE172">
        <v>13.222197143223022</v>
      </c>
      <c r="AF172">
        <v>15.031507498244039</v>
      </c>
      <c r="AG172">
        <v>26.035354396610302</v>
      </c>
      <c r="AH172">
        <v>5.6263567474425642</v>
      </c>
      <c r="AI172">
        <v>1.9156415211463189</v>
      </c>
      <c r="AK172">
        <v>43.477235389215963</v>
      </c>
    </row>
    <row r="173" spans="1:37" x14ac:dyDescent="0.2">
      <c r="A173">
        <v>172</v>
      </c>
      <c r="B173">
        <v>780</v>
      </c>
      <c r="C173">
        <v>125</v>
      </c>
      <c r="D173">
        <v>0.47607700707401701</v>
      </c>
      <c r="E173">
        <v>114.91633690516363</v>
      </c>
      <c r="F173">
        <v>58.505753729508676</v>
      </c>
      <c r="G173">
        <v>72.378929837088023</v>
      </c>
      <c r="H173">
        <v>67.832335327933464</v>
      </c>
      <c r="J173">
        <v>51.424637649688897</v>
      </c>
      <c r="L173">
        <v>8.1736553453184104</v>
      </c>
      <c r="M173">
        <v>15.450185210160557</v>
      </c>
      <c r="N173">
        <v>1.9815258888470964</v>
      </c>
      <c r="O173">
        <v>41.8703235035292</v>
      </c>
      <c r="P173">
        <v>11.084472485466202</v>
      </c>
      <c r="R173">
        <v>21.121798591529338</v>
      </c>
      <c r="S173">
        <v>61.151238196235241</v>
      </c>
      <c r="U173">
        <v>3.1727138074652514</v>
      </c>
      <c r="V173">
        <v>49.098217328965568</v>
      </c>
      <c r="W173">
        <v>31.053365754787219</v>
      </c>
      <c r="X173">
        <v>42.391300213199621</v>
      </c>
      <c r="Y173">
        <v>8.6430202959943223</v>
      </c>
      <c r="Z173">
        <v>29.581176828198764</v>
      </c>
      <c r="AA173">
        <v>7.7473628000154422</v>
      </c>
      <c r="AB173">
        <v>39.85118687619066</v>
      </c>
      <c r="AD173">
        <v>7.254967902861245</v>
      </c>
      <c r="AE173">
        <v>12.928559425344808</v>
      </c>
      <c r="AF173">
        <v>15.062718672555853</v>
      </c>
      <c r="AG173">
        <v>25.755408205201398</v>
      </c>
      <c r="AH173">
        <v>5.0340314676653115</v>
      </c>
      <c r="AI173">
        <v>1.9173609961642908</v>
      </c>
      <c r="AK173">
        <v>43.233835087445662</v>
      </c>
    </row>
    <row r="174" spans="1:37" x14ac:dyDescent="0.2">
      <c r="A174">
        <v>173</v>
      </c>
      <c r="B174">
        <v>779</v>
      </c>
      <c r="C174">
        <v>125</v>
      </c>
      <c r="D174">
        <v>0.475512521978807</v>
      </c>
      <c r="E174">
        <v>114.65886344672964</v>
      </c>
      <c r="F174">
        <v>57.135691422124346</v>
      </c>
      <c r="G174">
        <v>72.149045854683791</v>
      </c>
      <c r="H174">
        <v>67.599701639253468</v>
      </c>
      <c r="J174">
        <v>50.992203312370634</v>
      </c>
      <c r="L174">
        <v>7.7834440148126527</v>
      </c>
      <c r="M174">
        <v>15.484709731478819</v>
      </c>
      <c r="N174">
        <v>1.9835052438073533</v>
      </c>
      <c r="O174">
        <v>40.336803688508226</v>
      </c>
      <c r="P174">
        <v>10.647943201641381</v>
      </c>
      <c r="R174">
        <v>20.571449628092399</v>
      </c>
      <c r="S174">
        <v>60.350047020755554</v>
      </c>
      <c r="U174">
        <v>3.1696731841755006</v>
      </c>
      <c r="V174">
        <v>49.032560847565811</v>
      </c>
      <c r="W174">
        <v>30.840009656525904</v>
      </c>
      <c r="X174">
        <v>42.426766503148706</v>
      </c>
      <c r="Y174">
        <v>8.2147255943875432</v>
      </c>
      <c r="Z174">
        <v>28.783849730566537</v>
      </c>
      <c r="AA174">
        <v>7.3530212971991711</v>
      </c>
      <c r="AB174">
        <v>39.543164983180418</v>
      </c>
      <c r="AD174">
        <v>6.7803503953289566</v>
      </c>
      <c r="AE174">
        <v>12.615566737074406</v>
      </c>
      <c r="AF174">
        <v>15.096103594878668</v>
      </c>
      <c r="AG174">
        <v>25.432541440423591</v>
      </c>
      <c r="AH174">
        <v>4.4087414255777198</v>
      </c>
      <c r="AI174">
        <v>1.9190786169766423</v>
      </c>
      <c r="AK174">
        <v>42.97009638442109</v>
      </c>
    </row>
    <row r="175" spans="1:37" x14ac:dyDescent="0.2">
      <c r="A175">
        <v>174</v>
      </c>
      <c r="B175">
        <v>778</v>
      </c>
      <c r="C175">
        <v>125</v>
      </c>
      <c r="D175">
        <v>0.47494696285021398</v>
      </c>
      <c r="E175">
        <v>114.39007296278086</v>
      </c>
      <c r="F175">
        <v>55.675305973210087</v>
      </c>
      <c r="G175">
        <v>71.905426812020195</v>
      </c>
      <c r="H175">
        <v>67.353345467187992</v>
      </c>
      <c r="J175">
        <v>50.505069551102409</v>
      </c>
      <c r="L175">
        <v>7.3657646486482484</v>
      </c>
      <c r="M175">
        <v>15.521401055838091</v>
      </c>
      <c r="N175">
        <v>1.9854833492813786</v>
      </c>
      <c r="O175">
        <v>38.708079180976284</v>
      </c>
      <c r="P175">
        <v>10.183949771290964</v>
      </c>
      <c r="R175">
        <v>19.978046728382235</v>
      </c>
      <c r="S175">
        <v>59.445103071860231</v>
      </c>
      <c r="U175">
        <v>3.1700473628736954</v>
      </c>
      <c r="V175">
        <v>48.945355529434366</v>
      </c>
      <c r="W175">
        <v>30.632508015895251</v>
      </c>
      <c r="X175">
        <v>42.472391670250133</v>
      </c>
      <c r="Y175">
        <v>7.7585034858983866</v>
      </c>
      <c r="Z175">
        <v>27.923662388958181</v>
      </c>
      <c r="AA175">
        <v>6.9316566507914246</v>
      </c>
      <c r="AB175">
        <v>39.181263799460901</v>
      </c>
      <c r="AD175">
        <v>6.2681956448061866</v>
      </c>
      <c r="AE175">
        <v>12.276086430614701</v>
      </c>
      <c r="AF175">
        <v>15.131654278070647</v>
      </c>
      <c r="AG175">
        <v>25.055796525405274</v>
      </c>
      <c r="AH175">
        <v>3.7402271572182633</v>
      </c>
      <c r="AI175">
        <v>1.9207941995896554</v>
      </c>
      <c r="AK175">
        <v>42.678984845944782</v>
      </c>
    </row>
    <row r="176" spans="1:37" x14ac:dyDescent="0.2">
      <c r="A176">
        <v>175</v>
      </c>
      <c r="B176">
        <v>777</v>
      </c>
      <c r="C176">
        <v>125</v>
      </c>
      <c r="D176">
        <v>0.47438032662001101</v>
      </c>
      <c r="E176">
        <v>114.10545880201427</v>
      </c>
      <c r="F176">
        <v>54.090256414409438</v>
      </c>
      <c r="G176">
        <v>71.643226965588937</v>
      </c>
      <c r="H176">
        <v>67.088421088166029</v>
      </c>
      <c r="J176">
        <v>49.944595475896755</v>
      </c>
      <c r="L176">
        <v>6.9111409199573464</v>
      </c>
      <c r="M176">
        <v>15.5601529545515</v>
      </c>
      <c r="N176">
        <v>1.9874599518155551</v>
      </c>
      <c r="O176">
        <v>36.94997508994522</v>
      </c>
      <c r="P176">
        <v>9.6828004752841004</v>
      </c>
      <c r="R176">
        <v>19.32697517950124</v>
      </c>
      <c r="S176">
        <v>58.406174810095102</v>
      </c>
      <c r="U176">
        <v>3.1741307113242812</v>
      </c>
      <c r="V176">
        <v>48.831078396122969</v>
      </c>
      <c r="W176">
        <v>30.431943903334314</v>
      </c>
      <c r="X176">
        <v>42.528986587761821</v>
      </c>
      <c r="Y176">
        <v>7.2644670018383799</v>
      </c>
      <c r="Z176">
        <v>26.975935001087986</v>
      </c>
      <c r="AA176">
        <v>6.4737144676127647</v>
      </c>
      <c r="AB176">
        <v>38.749242851195689</v>
      </c>
      <c r="AD176">
        <v>5.7042121647797339</v>
      </c>
      <c r="AE176">
        <v>11.899328548664347</v>
      </c>
      <c r="AF176">
        <v>15.169264245317528</v>
      </c>
      <c r="AG176">
        <v>24.608932738374005</v>
      </c>
      <c r="AH176">
        <v>3.013091370550717</v>
      </c>
      <c r="AI176">
        <v>1.9225074887209443</v>
      </c>
      <c r="AK176">
        <v>42.349890192647564</v>
      </c>
    </row>
    <row r="177" spans="1:37" x14ac:dyDescent="0.2">
      <c r="A177">
        <v>176</v>
      </c>
      <c r="B177">
        <v>776</v>
      </c>
      <c r="C177">
        <v>125</v>
      </c>
      <c r="D177">
        <v>0.47381261020826598</v>
      </c>
      <c r="E177">
        <v>113.79812332246199</v>
      </c>
      <c r="F177">
        <v>52.328006850041625</v>
      </c>
      <c r="G177">
        <v>71.355096114011687</v>
      </c>
      <c r="H177">
        <v>66.797578320783302</v>
      </c>
      <c r="J177">
        <v>49.282401603467008</v>
      </c>
      <c r="L177">
        <v>6.4049474746370691</v>
      </c>
      <c r="M177">
        <v>15.600613612551815</v>
      </c>
      <c r="N177">
        <v>1.9894347018435419</v>
      </c>
      <c r="O177">
        <v>35.010550209389933</v>
      </c>
      <c r="P177">
        <v>9.1297945826928082</v>
      </c>
      <c r="R177">
        <v>18.595843954545707</v>
      </c>
      <c r="S177">
        <v>57.187987996668859</v>
      </c>
      <c r="U177">
        <v>3.1822167495165403</v>
      </c>
      <c r="V177">
        <v>48.681441564474142</v>
      </c>
      <c r="W177">
        <v>30.24000713097513</v>
      </c>
      <c r="X177">
        <v>42.597312508507919</v>
      </c>
      <c r="Y177">
        <v>6.7176023039787092</v>
      </c>
      <c r="Z177">
        <v>25.902612002395312</v>
      </c>
      <c r="AA177">
        <v>5.9647199690936832</v>
      </c>
      <c r="AB177">
        <v>38.222631818508795</v>
      </c>
      <c r="AD177">
        <v>5.0663778905071926</v>
      </c>
      <c r="AE177">
        <v>11.468603753680368</v>
      </c>
      <c r="AF177">
        <v>15.208581337325253</v>
      </c>
      <c r="AG177">
        <v>24.067479415422326</v>
      </c>
      <c r="AH177">
        <v>2.2038426024399436</v>
      </c>
      <c r="AI177">
        <v>1.9242181329743526</v>
      </c>
      <c r="AK177">
        <v>41.966486603268528</v>
      </c>
    </row>
    <row r="178" spans="1:37" x14ac:dyDescent="0.2">
      <c r="A178">
        <v>177</v>
      </c>
      <c r="B178">
        <v>775</v>
      </c>
      <c r="C178">
        <v>125</v>
      </c>
      <c r="D178">
        <v>0.473243810523307</v>
      </c>
      <c r="E178">
        <v>113.45769122671199</v>
      </c>
      <c r="F178">
        <v>50.309580057843064</v>
      </c>
      <c r="G178">
        <v>71.030139167574916</v>
      </c>
      <c r="H178">
        <v>66.46992209534136</v>
      </c>
      <c r="J178">
        <v>48.476092043563519</v>
      </c>
      <c r="L178">
        <v>5.8254686304865464</v>
      </c>
      <c r="M178">
        <v>15.64185672860161</v>
      </c>
      <c r="N178">
        <v>1.9914071579298473</v>
      </c>
      <c r="O178">
        <v>32.812532707828062</v>
      </c>
      <c r="P178">
        <v>8.5031414941150469</v>
      </c>
      <c r="R178">
        <v>17.751121048318794</v>
      </c>
      <c r="S178">
        <v>55.724648475941827</v>
      </c>
      <c r="U178">
        <v>3.1943966510133044</v>
      </c>
      <c r="V178">
        <v>48.484374528232209</v>
      </c>
      <c r="W178">
        <v>30.059373223659051</v>
      </c>
      <c r="X178">
        <v>42.677450552032667</v>
      </c>
      <c r="Y178">
        <v>6.0956098095829825</v>
      </c>
      <c r="Z178">
        <v>24.64575177728053</v>
      </c>
      <c r="AA178">
        <v>5.3829394119575298</v>
      </c>
      <c r="AB178">
        <v>37.565403245787664</v>
      </c>
      <c r="AD178">
        <v>4.321206340100173</v>
      </c>
      <c r="AE178">
        <v>10.958371541049221</v>
      </c>
      <c r="AF178">
        <v>15.248678816772975</v>
      </c>
      <c r="AG178">
        <v>23.395408665053335</v>
      </c>
      <c r="AH178">
        <v>1.2773304912940222</v>
      </c>
      <c r="AI178">
        <v>1.9259256890844556</v>
      </c>
      <c r="AK178">
        <v>41.504006005138265</v>
      </c>
    </row>
    <row r="179" spans="1:37" x14ac:dyDescent="0.2">
      <c r="A179">
        <v>178</v>
      </c>
      <c r="B179">
        <v>774</v>
      </c>
      <c r="C179">
        <v>125</v>
      </c>
      <c r="D179">
        <v>0.47267392446163797</v>
      </c>
      <c r="E179">
        <v>113.07052948132009</v>
      </c>
      <c r="F179">
        <v>47.931202301214626</v>
      </c>
      <c r="G179">
        <v>70.654427158493206</v>
      </c>
      <c r="H179">
        <v>66.091523464103815</v>
      </c>
      <c r="J179">
        <v>47.470529793102699</v>
      </c>
      <c r="L179">
        <v>5.1450448805432245</v>
      </c>
      <c r="M179">
        <v>15.681781648998488</v>
      </c>
      <c r="N179">
        <v>1.9933769544467748</v>
      </c>
      <c r="O179">
        <v>30.256387754473685</v>
      </c>
      <c r="P179">
        <v>7.7749829298634623</v>
      </c>
      <c r="R179">
        <v>16.749333373989142</v>
      </c>
      <c r="S179">
        <v>53.934858637985904</v>
      </c>
      <c r="U179">
        <v>3.2099832713934271</v>
      </c>
      <c r="V179">
        <v>48.224989587241431</v>
      </c>
      <c r="W179">
        <v>29.893998466585987</v>
      </c>
      <c r="X179">
        <v>42.767064780463706</v>
      </c>
      <c r="Y179">
        <v>5.3698584480057896</v>
      </c>
      <c r="Z179">
        <v>23.127319779186045</v>
      </c>
      <c r="AA179">
        <v>4.7005481822844155</v>
      </c>
      <c r="AB179">
        <v>36.731935490484645</v>
      </c>
      <c r="AD179">
        <v>3.4237035362241768</v>
      </c>
      <c r="AE179">
        <v>10.3339118464049</v>
      </c>
      <c r="AF179">
        <v>15.287455669693392</v>
      </c>
      <c r="AG179">
        <v>22.547098484662619</v>
      </c>
      <c r="AH179">
        <v>0.18775774386023025</v>
      </c>
      <c r="AI179">
        <v>1.9276297895929262</v>
      </c>
      <c r="AK179">
        <v>40.929324433841849</v>
      </c>
    </row>
    <row r="180" spans="1:37" x14ac:dyDescent="0.2">
      <c r="A180">
        <v>179</v>
      </c>
      <c r="B180">
        <v>773</v>
      </c>
      <c r="C180">
        <v>125</v>
      </c>
      <c r="D180">
        <v>0.472102948907902</v>
      </c>
      <c r="E180">
        <v>113.29234968483719</v>
      </c>
      <c r="F180">
        <v>48.373573015200613</v>
      </c>
      <c r="G180">
        <v>70.91021347416995</v>
      </c>
      <c r="H180">
        <v>66.34463583456504</v>
      </c>
      <c r="J180">
        <v>42.231343546618184</v>
      </c>
      <c r="L180">
        <v>4.7799038230178992</v>
      </c>
      <c r="M180">
        <v>15.852571151820582</v>
      </c>
      <c r="N180">
        <v>1.9953708869651794</v>
      </c>
      <c r="O180">
        <v>26.827990801100402</v>
      </c>
      <c r="P180">
        <v>8.3098524818941506</v>
      </c>
      <c r="R180">
        <v>16.5103198529265</v>
      </c>
      <c r="S180">
        <v>51.319341734341279</v>
      </c>
      <c r="U180">
        <v>3.2677018671026641</v>
      </c>
      <c r="V180">
        <v>47.585614316474576</v>
      </c>
      <c r="W180">
        <v>29.82921032661973</v>
      </c>
      <c r="X180">
        <v>42.978329338472534</v>
      </c>
      <c r="Y180">
        <v>5.2644275929873761</v>
      </c>
      <c r="Z180">
        <v>21.887336862127523</v>
      </c>
      <c r="AA180">
        <v>4.1265596322204514</v>
      </c>
      <c r="AB180">
        <v>35.030616869241996</v>
      </c>
      <c r="AD180">
        <v>2.8497280429528149</v>
      </c>
      <c r="AE180">
        <v>9.417687124958384</v>
      </c>
      <c r="AF180">
        <v>15.457121475109341</v>
      </c>
      <c r="AG180">
        <v>20.830963992051576</v>
      </c>
      <c r="AI180">
        <v>1.9293572282394065</v>
      </c>
      <c r="AK180">
        <v>37.724210189513052</v>
      </c>
    </row>
    <row r="181" spans="1:37" x14ac:dyDescent="0.2">
      <c r="A181">
        <v>180</v>
      </c>
      <c r="B181">
        <v>772</v>
      </c>
      <c r="C181">
        <v>125</v>
      </c>
      <c r="D181">
        <v>0.47153088073482102</v>
      </c>
      <c r="E181">
        <v>113.30084074494211</v>
      </c>
      <c r="F181">
        <v>47.675922075123701</v>
      </c>
      <c r="G181">
        <v>71.01081263924786</v>
      </c>
      <c r="H181">
        <v>66.442573751495914</v>
      </c>
      <c r="J181">
        <v>36.463977605001446</v>
      </c>
      <c r="L181">
        <v>3.9220659927233172</v>
      </c>
      <c r="M181">
        <v>16.041211072977969</v>
      </c>
      <c r="N181">
        <v>1.9973650875739839</v>
      </c>
      <c r="O181">
        <v>21.586178568566929</v>
      </c>
      <c r="P181">
        <v>8.5343553532126428</v>
      </c>
      <c r="R181">
        <v>15.728254638595436</v>
      </c>
      <c r="S181">
        <v>47.968218449336796</v>
      </c>
      <c r="U181">
        <v>3.2777821469721502</v>
      </c>
      <c r="V181">
        <v>46.95977195436798</v>
      </c>
      <c r="W181">
        <v>29.902439933149775</v>
      </c>
      <c r="X181">
        <v>43.047456326547504</v>
      </c>
      <c r="Y181">
        <v>4.6360706925475377</v>
      </c>
      <c r="Z181">
        <v>19.970661003745214</v>
      </c>
      <c r="AA181">
        <v>3.0508895762459871</v>
      </c>
      <c r="AB181">
        <v>33.304243082617006</v>
      </c>
      <c r="AD181">
        <v>1.8201795670636232</v>
      </c>
      <c r="AE181">
        <v>8.2536535691027595</v>
      </c>
      <c r="AF181">
        <v>15.644638206409732</v>
      </c>
      <c r="AG181">
        <v>19.08977702546705</v>
      </c>
      <c r="AI181">
        <v>1.9310841352811401</v>
      </c>
      <c r="AK181">
        <v>34.092687648400798</v>
      </c>
    </row>
    <row r="182" spans="1:37" x14ac:dyDescent="0.2">
      <c r="A182">
        <v>181</v>
      </c>
      <c r="B182">
        <v>771</v>
      </c>
      <c r="C182">
        <v>125</v>
      </c>
      <c r="D182">
        <v>0.47095771680314102</v>
      </c>
      <c r="E182">
        <v>113.25350372668417</v>
      </c>
      <c r="F182">
        <v>47.199782924961696</v>
      </c>
      <c r="G182">
        <v>71.07459662538848</v>
      </c>
      <c r="H182">
        <v>66.503709206723485</v>
      </c>
      <c r="J182">
        <v>32.220847267450146</v>
      </c>
      <c r="L182">
        <v>3.1511143323266224</v>
      </c>
      <c r="M182">
        <v>16.235092374321646</v>
      </c>
      <c r="N182">
        <v>1.9993583093833676</v>
      </c>
      <c r="O182">
        <v>17.300139272837239</v>
      </c>
      <c r="P182">
        <v>8.6852342619443892</v>
      </c>
      <c r="R182">
        <v>15.087791232713492</v>
      </c>
      <c r="S182">
        <v>45.236259170894165</v>
      </c>
      <c r="U182">
        <v>3.2716820163763352</v>
      </c>
      <c r="V182">
        <v>46.449326790090318</v>
      </c>
      <c r="W182">
        <v>29.995056859338241</v>
      </c>
      <c r="X182">
        <v>43.070258839913301</v>
      </c>
      <c r="Y182">
        <v>3.9999252405166552</v>
      </c>
      <c r="Z182">
        <v>18.770995799803618</v>
      </c>
      <c r="AA182">
        <v>2.1363283862155948</v>
      </c>
      <c r="AB182">
        <v>32.191605824579781</v>
      </c>
      <c r="AD182">
        <v>1.1234997618382028</v>
      </c>
      <c r="AE182">
        <v>7.5332290419439172</v>
      </c>
      <c r="AF182">
        <v>15.837395583953917</v>
      </c>
      <c r="AG182">
        <v>17.962328037613574</v>
      </c>
      <c r="AI182">
        <v>1.9328092619956969</v>
      </c>
      <c r="AK182">
        <v>31.420576204182719</v>
      </c>
    </row>
    <row r="183" spans="1:37" x14ac:dyDescent="0.2">
      <c r="A183">
        <v>182</v>
      </c>
      <c r="B183">
        <v>770</v>
      </c>
      <c r="C183">
        <v>125</v>
      </c>
      <c r="D183">
        <v>0.47038345396155901</v>
      </c>
      <c r="E183">
        <v>113.17387701009031</v>
      </c>
      <c r="F183">
        <v>46.836213734630661</v>
      </c>
      <c r="G183">
        <v>71.114067739960973</v>
      </c>
      <c r="H183">
        <v>66.540544527823343</v>
      </c>
      <c r="J183">
        <v>28.953252032481799</v>
      </c>
      <c r="L183">
        <v>2.475559042252411</v>
      </c>
      <c r="M183">
        <v>16.430117062669353</v>
      </c>
      <c r="N183">
        <v>2.0013505407973176</v>
      </c>
      <c r="O183">
        <v>13.780164726953659</v>
      </c>
      <c r="P183">
        <v>8.7874938329849126</v>
      </c>
      <c r="R183">
        <v>14.562468254816082</v>
      </c>
      <c r="S183">
        <v>42.94548574165951</v>
      </c>
      <c r="U183">
        <v>3.2582183347587677</v>
      </c>
      <c r="V183">
        <v>45.996389952190071</v>
      </c>
      <c r="W183">
        <v>30.095089022327965</v>
      </c>
      <c r="X183">
        <v>43.072125841388257</v>
      </c>
      <c r="Y183">
        <v>3.3899712171313823</v>
      </c>
      <c r="Z183">
        <v>17.983422577990492</v>
      </c>
      <c r="AA183">
        <v>1.3653730575993031</v>
      </c>
      <c r="AB183">
        <v>31.403295164272258</v>
      </c>
      <c r="AD183">
        <v>0.62584274475743906</v>
      </c>
      <c r="AE183">
        <v>7.0628880247450523</v>
      </c>
      <c r="AF183">
        <v>16.031295608375199</v>
      </c>
      <c r="AG183">
        <v>17.159207091678205</v>
      </c>
      <c r="AI183">
        <v>1.9345325949549192</v>
      </c>
      <c r="AK183">
        <v>29.374037052209633</v>
      </c>
    </row>
    <row r="184" spans="1:37" x14ac:dyDescent="0.2">
      <c r="A184">
        <v>183</v>
      </c>
      <c r="B184">
        <v>769</v>
      </c>
      <c r="C184">
        <v>125</v>
      </c>
      <c r="D184">
        <v>0.46980808904668597</v>
      </c>
      <c r="E184">
        <v>113.07507424017918</v>
      </c>
      <c r="F184">
        <v>46.532623398833607</v>
      </c>
      <c r="G184">
        <v>71.137648823135436</v>
      </c>
      <c r="H184">
        <v>66.561502575208337</v>
      </c>
      <c r="J184">
        <v>26.335589630377214</v>
      </c>
      <c r="L184">
        <v>1.8851940279805603</v>
      </c>
      <c r="M184">
        <v>16.624162859700959</v>
      </c>
      <c r="N184">
        <v>2.0033420648735181</v>
      </c>
      <c r="O184">
        <v>10.836896698440535</v>
      </c>
      <c r="P184">
        <v>8.8579800515447094</v>
      </c>
      <c r="R184">
        <v>14.128116425089807</v>
      </c>
      <c r="S184">
        <v>40.983426075731622</v>
      </c>
      <c r="U184">
        <v>3.2409528781480592</v>
      </c>
      <c r="V184">
        <v>45.578254710347231</v>
      </c>
      <c r="W184">
        <v>30.197319505928427</v>
      </c>
      <c r="X184">
        <v>43.063314757102248</v>
      </c>
      <c r="Y184">
        <v>2.8175435551881711</v>
      </c>
      <c r="Z184">
        <v>17.438693615384217</v>
      </c>
      <c r="AA184">
        <v>0.70843713128597297</v>
      </c>
      <c r="AB184">
        <v>30.799476330560235</v>
      </c>
      <c r="AD184">
        <v>0.25014765572887343</v>
      </c>
      <c r="AE184">
        <v>6.7385430057854485</v>
      </c>
      <c r="AF184">
        <v>16.22421628983782</v>
      </c>
      <c r="AG184">
        <v>16.540579705240479</v>
      </c>
      <c r="AI184">
        <v>1.936254415382834</v>
      </c>
      <c r="AK184">
        <v>27.747917726428401</v>
      </c>
    </row>
    <row r="185" spans="1:37" x14ac:dyDescent="0.2">
      <c r="A185">
        <v>184</v>
      </c>
      <c r="B185">
        <v>768</v>
      </c>
      <c r="C185">
        <v>125</v>
      </c>
      <c r="D185">
        <v>0.46923161888296799</v>
      </c>
      <c r="E185">
        <v>112.92443458604839</v>
      </c>
      <c r="F185">
        <v>46.423124825007683</v>
      </c>
      <c r="G185">
        <v>71.113819188446868</v>
      </c>
      <c r="H185">
        <v>66.535062682696747</v>
      </c>
      <c r="J185">
        <v>24.072464667115909</v>
      </c>
      <c r="L185">
        <v>1.318206300485661</v>
      </c>
      <c r="M185">
        <v>16.823412031286036</v>
      </c>
      <c r="N185">
        <v>2.0053302508954305</v>
      </c>
      <c r="O185">
        <v>8.1742915686232287</v>
      </c>
      <c r="P185">
        <v>8.8336489358469752</v>
      </c>
      <c r="R185">
        <v>13.691195090293158</v>
      </c>
      <c r="S185">
        <v>39.171467736825669</v>
      </c>
      <c r="U185">
        <v>3.2217989316267044</v>
      </c>
      <c r="V185">
        <v>45.161818087544646</v>
      </c>
      <c r="W185">
        <v>30.306319067554657</v>
      </c>
      <c r="X185">
        <v>43.049346383187697</v>
      </c>
      <c r="Y185">
        <v>2.2276414462962166</v>
      </c>
      <c r="Z185">
        <v>17.636487745771618</v>
      </c>
      <c r="AA185">
        <v>9.3384158279608526E-2</v>
      </c>
      <c r="AB185">
        <v>30.648570414493626</v>
      </c>
      <c r="AE185">
        <v>6.8541958452528435</v>
      </c>
      <c r="AF185">
        <v>16.422337268928505</v>
      </c>
      <c r="AG185">
        <v>16.374864344309128</v>
      </c>
      <c r="AI185">
        <v>1.9379720907290117</v>
      </c>
      <c r="AK185">
        <v>26.353815818630316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20DD4-6FB9-43CE-88C7-C34CFC44C457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26.777343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77.06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0.08</v>
      </c>
      <c r="D3" t="s">
        <v>23</v>
      </c>
      <c r="E3">
        <v>1</v>
      </c>
    </row>
    <row r="4" spans="1:8" x14ac:dyDescent="0.2">
      <c r="A4" t="s">
        <v>4</v>
      </c>
      <c r="B4">
        <v>12.86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0.58487</v>
      </c>
      <c r="D7" t="s">
        <v>26</v>
      </c>
      <c r="E7">
        <v>25</v>
      </c>
    </row>
    <row r="8" spans="1:8" x14ac:dyDescent="0.2">
      <c r="A8" t="s">
        <v>8</v>
      </c>
      <c r="B8">
        <v>0.04</v>
      </c>
    </row>
    <row r="9" spans="1:8" x14ac:dyDescent="0.2">
      <c r="A9" t="s">
        <v>9</v>
      </c>
      <c r="B9">
        <v>0.03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0.57999999999999996</v>
      </c>
    </row>
    <row r="13" spans="1:8" x14ac:dyDescent="0.2">
      <c r="A13" t="s">
        <v>13</v>
      </c>
      <c r="B13">
        <v>4.79</v>
      </c>
    </row>
    <row r="14" spans="1:8" x14ac:dyDescent="0.2">
      <c r="A14" t="s">
        <v>14</v>
      </c>
      <c r="B14">
        <v>3.78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10.9807357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orthopyroxene</vt:lpstr>
      <vt:lpstr>rhm-oxide</vt:lpstr>
      <vt:lpstr>spinel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2025-06-12T15:53:51Z</dcterms:created>
  <dcterms:modified xsi:type="dcterms:W3CDTF">2025-06-12T15:56:12Z</dcterms:modified>
</cp:coreProperties>
</file>